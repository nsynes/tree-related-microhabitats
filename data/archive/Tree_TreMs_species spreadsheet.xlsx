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ecies" sheetId="1" state="visible" r:id="rId3"/>
    <sheet name="Sheet2" sheetId="2" state="visible" r:id="rId4"/>
  </sheets>
  <externalReferences>
    <externalReference r:id="rId5"/>
  </externalReferenc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<sst xmlns="http://schemas.openxmlformats.org/spreadsheetml/2006/main" count="23375" uniqueCount="10960">
  <si>
    <t xml:space="preserve">Scientific name</t>
  </si>
  <si>
    <t xml:space="preserve">Common name</t>
  </si>
  <si>
    <t xml:space="preserve">Full Name</t>
  </si>
  <si>
    <t xml:space="preserve">Class</t>
  </si>
  <si>
    <t xml:space="preserve">Order</t>
  </si>
  <si>
    <t xml:space="preserve">Family</t>
  </si>
  <si>
    <t xml:space="preserve">Designation(s)</t>
  </si>
  <si>
    <t xml:space="preserve">NE red list</t>
  </si>
  <si>
    <t xml:space="preserve">Distribution</t>
  </si>
  <si>
    <t xml:space="preserve">Habitat requirements</t>
  </si>
  <si>
    <t xml:space="preserve">resource</t>
  </si>
  <si>
    <t xml:space="preserve">Functional group</t>
  </si>
  <si>
    <t xml:space="preserve">sensitivity (lichens)</t>
  </si>
  <si>
    <t xml:space="preserve">Woodland type</t>
  </si>
  <si>
    <t xml:space="preserve">uses open grown</t>
  </si>
  <si>
    <t xml:space="preserve">woodland age</t>
  </si>
  <si>
    <t xml:space="preserve">woodland</t>
  </si>
  <si>
    <t xml:space="preserve">parkland/open grown</t>
  </si>
  <si>
    <t xml:space="preserve">ToW</t>
  </si>
  <si>
    <t xml:space="preserve">Closed / Edge</t>
  </si>
  <si>
    <t xml:space="preserve">Tree type</t>
  </si>
  <si>
    <t xml:space="preserve">Tree species</t>
  </si>
  <si>
    <t xml:space="preserve">Tree age</t>
  </si>
  <si>
    <t xml:space="preserve">part of tree</t>
  </si>
  <si>
    <t xml:space="preserve">standing / fallen</t>
  </si>
  <si>
    <t xml:space="preserve">Dead wood</t>
  </si>
  <si>
    <t xml:space="preserve">cavity</t>
  </si>
  <si>
    <t xml:space="preserve">Borings</t>
  </si>
  <si>
    <t xml:space="preserve">hole with nest</t>
  </si>
  <si>
    <t xml:space="preserve">tree hollows</t>
  </si>
  <si>
    <t xml:space="preserve">concavity</t>
  </si>
  <si>
    <t xml:space="preserve">rot holes</t>
  </si>
  <si>
    <t xml:space="preserve">Decay type</t>
  </si>
  <si>
    <t xml:space="preserve">root decay</t>
  </si>
  <si>
    <t xml:space="preserve">Heart Rot</t>
  </si>
  <si>
    <t xml:space="preserve">Red-rot</t>
  </si>
  <si>
    <t xml:space="preserve">White-rot</t>
  </si>
  <si>
    <t xml:space="preserve">Wood mould</t>
  </si>
  <si>
    <t xml:space="preserve">Injury</t>
  </si>
  <si>
    <t xml:space="preserve">bark association</t>
  </si>
  <si>
    <t xml:space="preserve">loose bark</t>
  </si>
  <si>
    <t xml:space="preserve">Physical damage</t>
  </si>
  <si>
    <t xml:space="preserve">bark trem</t>
  </si>
  <si>
    <t xml:space="preserve">crevices</t>
  </si>
  <si>
    <t xml:space="preserve">dead canopy</t>
  </si>
  <si>
    <t xml:space="preserve">excrescences</t>
  </si>
  <si>
    <t xml:space="preserve">All Epiphytes</t>
  </si>
  <si>
    <t xml:space="preserve">nests</t>
  </si>
  <si>
    <t xml:space="preserve">Epiphytes</t>
  </si>
  <si>
    <t xml:space="preserve">fungal fruiting body</t>
  </si>
  <si>
    <t xml:space="preserve">perennial fungi</t>
  </si>
  <si>
    <t xml:space="preserve">ephemeral fungi</t>
  </si>
  <si>
    <t xml:space="preserve">exudates</t>
  </si>
  <si>
    <t xml:space="preserve">Flowers/nectar?</t>
  </si>
  <si>
    <t xml:space="preserve">Light levels</t>
  </si>
  <si>
    <t xml:space="preserve">Humidity</t>
  </si>
  <si>
    <t xml:space="preserve">Ground-dwelling</t>
  </si>
  <si>
    <t xml:space="preserve">Ground cover</t>
  </si>
  <si>
    <t xml:space="preserve">Sheltered</t>
  </si>
  <si>
    <t xml:space="preserve">Scrub</t>
  </si>
  <si>
    <t xml:space="preserve">Pantheon</t>
  </si>
  <si>
    <t xml:space="preserve">OakEcol</t>
  </si>
  <si>
    <t xml:space="preserve">WoodlandBAP</t>
  </si>
  <si>
    <t xml:space="preserve">Priority</t>
  </si>
  <si>
    <t xml:space="preserve">Duff2012</t>
  </si>
  <si>
    <t xml:space="preserve">Extinction Target</t>
  </si>
  <si>
    <t xml:space="preserve">Column7602</t>
  </si>
  <si>
    <t xml:space="preserve">Column7603</t>
  </si>
  <si>
    <t xml:space="preserve">Column7604</t>
  </si>
  <si>
    <t xml:space="preserve">Column7605</t>
  </si>
  <si>
    <t xml:space="preserve">Column7606</t>
  </si>
  <si>
    <t xml:space="preserve">Column7607</t>
  </si>
  <si>
    <t xml:space="preserve">Column7608</t>
  </si>
  <si>
    <t xml:space="preserve">Column7609</t>
  </si>
  <si>
    <t xml:space="preserve">Column7610</t>
  </si>
  <si>
    <t xml:space="preserve">Column7611</t>
  </si>
  <si>
    <t xml:space="preserve">Column7612</t>
  </si>
  <si>
    <t xml:space="preserve">Column7613</t>
  </si>
  <si>
    <t xml:space="preserve">Column7614</t>
  </si>
  <si>
    <t xml:space="preserve">Column7615</t>
  </si>
  <si>
    <t xml:space="preserve">Column7616</t>
  </si>
  <si>
    <t xml:space="preserve">Column7617</t>
  </si>
  <si>
    <t xml:space="preserve">Column7618</t>
  </si>
  <si>
    <t xml:space="preserve">Column7619</t>
  </si>
  <si>
    <t xml:space="preserve">Column7620</t>
  </si>
  <si>
    <t xml:space="preserve">Column7621</t>
  </si>
  <si>
    <t xml:space="preserve">Column7622</t>
  </si>
  <si>
    <t xml:space="preserve">Column7623</t>
  </si>
  <si>
    <t xml:space="preserve">Column7624</t>
  </si>
  <si>
    <t xml:space="preserve">Column7625</t>
  </si>
  <si>
    <t xml:space="preserve">Column7626</t>
  </si>
  <si>
    <t xml:space="preserve">Column7627</t>
  </si>
  <si>
    <t xml:space="preserve">Column7628</t>
  </si>
  <si>
    <t xml:space="preserve">Column7629</t>
  </si>
  <si>
    <t xml:space="preserve">Column7630</t>
  </si>
  <si>
    <t xml:space="preserve">Column7631</t>
  </si>
  <si>
    <t xml:space="preserve">Column7632</t>
  </si>
  <si>
    <t xml:space="preserve">Column7633</t>
  </si>
  <si>
    <t xml:space="preserve">Column7634</t>
  </si>
  <si>
    <t xml:space="preserve">Column7635</t>
  </si>
  <si>
    <t xml:space="preserve">Column7636</t>
  </si>
  <si>
    <t xml:space="preserve">Column7637</t>
  </si>
  <si>
    <t xml:space="preserve">Column7638</t>
  </si>
  <si>
    <t xml:space="preserve">Column7639</t>
  </si>
  <si>
    <t xml:space="preserve">Column7640</t>
  </si>
  <si>
    <t xml:space="preserve">Column7641</t>
  </si>
  <si>
    <t xml:space="preserve">Column7642</t>
  </si>
  <si>
    <t xml:space="preserve">Column7643</t>
  </si>
  <si>
    <t xml:space="preserve">Column7644</t>
  </si>
  <si>
    <t xml:space="preserve">Column7645</t>
  </si>
  <si>
    <t xml:space="preserve">Column7646</t>
  </si>
  <si>
    <t xml:space="preserve">Column7647</t>
  </si>
  <si>
    <t xml:space="preserve">Column7648</t>
  </si>
  <si>
    <t xml:space="preserve">Column7649</t>
  </si>
  <si>
    <t xml:space="preserve">Column7650</t>
  </si>
  <si>
    <t xml:space="preserve">Column7651</t>
  </si>
  <si>
    <t xml:space="preserve">Column7652</t>
  </si>
  <si>
    <t xml:space="preserve">Column7653</t>
  </si>
  <si>
    <t xml:space="preserve">Column7654</t>
  </si>
  <si>
    <t xml:space="preserve">Column7655</t>
  </si>
  <si>
    <t xml:space="preserve">Column7656</t>
  </si>
  <si>
    <t xml:space="preserve">Column7657</t>
  </si>
  <si>
    <t xml:space="preserve">Column7658</t>
  </si>
  <si>
    <t xml:space="preserve">Column7659</t>
  </si>
  <si>
    <t xml:space="preserve">Column7660</t>
  </si>
  <si>
    <t xml:space="preserve">Column7661</t>
  </si>
  <si>
    <t xml:space="preserve">Column7662</t>
  </si>
  <si>
    <t xml:space="preserve">Column7663</t>
  </si>
  <si>
    <t xml:space="preserve">Column7664</t>
  </si>
  <si>
    <t xml:space="preserve">Column7665</t>
  </si>
  <si>
    <t xml:space="preserve">Column7666</t>
  </si>
  <si>
    <t xml:space="preserve">Column7667</t>
  </si>
  <si>
    <t xml:space="preserve">Column7668</t>
  </si>
  <si>
    <t xml:space="preserve">Column7669</t>
  </si>
  <si>
    <t xml:space="preserve">Column7670</t>
  </si>
  <si>
    <t xml:space="preserve">Column7671</t>
  </si>
  <si>
    <t xml:space="preserve">Column7672</t>
  </si>
  <si>
    <t xml:space="preserve">Column7673</t>
  </si>
  <si>
    <t xml:space="preserve">Column7674</t>
  </si>
  <si>
    <t xml:space="preserve">Column7675</t>
  </si>
  <si>
    <t xml:space="preserve">Column7676</t>
  </si>
  <si>
    <t xml:space="preserve">Column7677</t>
  </si>
  <si>
    <t xml:space="preserve">Column7678</t>
  </si>
  <si>
    <t xml:space="preserve">Column7679</t>
  </si>
  <si>
    <t xml:space="preserve">Column7680</t>
  </si>
  <si>
    <t xml:space="preserve">Column7681</t>
  </si>
  <si>
    <t xml:space="preserve">Column7682</t>
  </si>
  <si>
    <t xml:space="preserve">Column7683</t>
  </si>
  <si>
    <t xml:space="preserve">Column7684</t>
  </si>
  <si>
    <t xml:space="preserve">Column7685</t>
  </si>
  <si>
    <t xml:space="preserve">Column7686</t>
  </si>
  <si>
    <t xml:space="preserve">Column7687</t>
  </si>
  <si>
    <t xml:space="preserve">Column7688</t>
  </si>
  <si>
    <t xml:space="preserve">Column7689</t>
  </si>
  <si>
    <t xml:space="preserve">Column7690</t>
  </si>
  <si>
    <t xml:space="preserve">Column7691</t>
  </si>
  <si>
    <t xml:space="preserve">Column7692</t>
  </si>
  <si>
    <t xml:space="preserve">Column7693</t>
  </si>
  <si>
    <t xml:space="preserve">Column7694</t>
  </si>
  <si>
    <t xml:space="preserve">Column7695</t>
  </si>
  <si>
    <t xml:space="preserve">Column7696</t>
  </si>
  <si>
    <t xml:space="preserve">Column7697</t>
  </si>
  <si>
    <t xml:space="preserve">Column7698</t>
  </si>
  <si>
    <t xml:space="preserve">Column7699</t>
  </si>
  <si>
    <t xml:space="preserve">Column7700</t>
  </si>
  <si>
    <t xml:space="preserve">Column7701</t>
  </si>
  <si>
    <t xml:space="preserve">Column7702</t>
  </si>
  <si>
    <t xml:space="preserve">Column7703</t>
  </si>
  <si>
    <t xml:space="preserve">Column7704</t>
  </si>
  <si>
    <t xml:space="preserve">Column7705</t>
  </si>
  <si>
    <t xml:space="preserve">Column7706</t>
  </si>
  <si>
    <t xml:space="preserve">Column7707</t>
  </si>
  <si>
    <t xml:space="preserve">Column7708</t>
  </si>
  <si>
    <t xml:space="preserve">Column7709</t>
  </si>
  <si>
    <t xml:space="preserve">Column7710</t>
  </si>
  <si>
    <t xml:space="preserve">Column7711</t>
  </si>
  <si>
    <t xml:space="preserve">Column7712</t>
  </si>
  <si>
    <t xml:space="preserve">Column7713</t>
  </si>
  <si>
    <t xml:space="preserve">Column7714</t>
  </si>
  <si>
    <t xml:space="preserve">Column7715</t>
  </si>
  <si>
    <t xml:space="preserve">Column7716</t>
  </si>
  <si>
    <t xml:space="preserve">Column7717</t>
  </si>
  <si>
    <t xml:space="preserve">Column7718</t>
  </si>
  <si>
    <t xml:space="preserve">Column7719</t>
  </si>
  <si>
    <t xml:space="preserve">Column7720</t>
  </si>
  <si>
    <t xml:space="preserve">Column7721</t>
  </si>
  <si>
    <t xml:space="preserve">Column7722</t>
  </si>
  <si>
    <t xml:space="preserve">Column7723</t>
  </si>
  <si>
    <t xml:space="preserve">Column7724</t>
  </si>
  <si>
    <t xml:space="preserve">Column7725</t>
  </si>
  <si>
    <t xml:space="preserve">Column7726</t>
  </si>
  <si>
    <t xml:space="preserve">Column7727</t>
  </si>
  <si>
    <t xml:space="preserve">Column7728</t>
  </si>
  <si>
    <t xml:space="preserve">Column7729</t>
  </si>
  <si>
    <t xml:space="preserve">Column7730</t>
  </si>
  <si>
    <t xml:space="preserve">Column7731</t>
  </si>
  <si>
    <t xml:space="preserve">Column7732</t>
  </si>
  <si>
    <t xml:space="preserve">Column7733</t>
  </si>
  <si>
    <t xml:space="preserve">Column7734</t>
  </si>
  <si>
    <t xml:space="preserve">Column7735</t>
  </si>
  <si>
    <t xml:space="preserve">Column7736</t>
  </si>
  <si>
    <t xml:space="preserve">Column7737</t>
  </si>
  <si>
    <t xml:space="preserve">Column7738</t>
  </si>
  <si>
    <t xml:space="preserve">Column7739</t>
  </si>
  <si>
    <t xml:space="preserve">Column7740</t>
  </si>
  <si>
    <t xml:space="preserve">Column7741</t>
  </si>
  <si>
    <t xml:space="preserve">Column7742</t>
  </si>
  <si>
    <t xml:space="preserve">Column7743</t>
  </si>
  <si>
    <t xml:space="preserve">Column7744</t>
  </si>
  <si>
    <t xml:space="preserve">Column7745</t>
  </si>
  <si>
    <t xml:space="preserve">Column7746</t>
  </si>
  <si>
    <t xml:space="preserve">Column7747</t>
  </si>
  <si>
    <t xml:space="preserve">Column7748</t>
  </si>
  <si>
    <t xml:space="preserve">Column7749</t>
  </si>
  <si>
    <t xml:space="preserve">Column7750</t>
  </si>
  <si>
    <t xml:space="preserve">Column7751</t>
  </si>
  <si>
    <t xml:space="preserve">Column7752</t>
  </si>
  <si>
    <t xml:space="preserve">Column7753</t>
  </si>
  <si>
    <t xml:space="preserve">Column7754</t>
  </si>
  <si>
    <t xml:space="preserve">Column7755</t>
  </si>
  <si>
    <t xml:space="preserve">Column7756</t>
  </si>
  <si>
    <t xml:space="preserve">Column7757</t>
  </si>
  <si>
    <t xml:space="preserve">Column7758</t>
  </si>
  <si>
    <t xml:space="preserve">Column7759</t>
  </si>
  <si>
    <t xml:space="preserve">Column7760</t>
  </si>
  <si>
    <t xml:space="preserve">Column7761</t>
  </si>
  <si>
    <t xml:space="preserve">Column7762</t>
  </si>
  <si>
    <t xml:space="preserve">Column7763</t>
  </si>
  <si>
    <t xml:space="preserve">Column7764</t>
  </si>
  <si>
    <t xml:space="preserve">Column7765</t>
  </si>
  <si>
    <t xml:space="preserve">Column7766</t>
  </si>
  <si>
    <t xml:space="preserve">Column7767</t>
  </si>
  <si>
    <t xml:space="preserve">Column7768</t>
  </si>
  <si>
    <t xml:space="preserve">Column7769</t>
  </si>
  <si>
    <t xml:space="preserve">Column7770</t>
  </si>
  <si>
    <t xml:space="preserve">Column7771</t>
  </si>
  <si>
    <t xml:space="preserve">Column7772</t>
  </si>
  <si>
    <t xml:space="preserve">Column7773</t>
  </si>
  <si>
    <t xml:space="preserve">Column7774</t>
  </si>
  <si>
    <t xml:space="preserve">Column7775</t>
  </si>
  <si>
    <t xml:space="preserve">Column7776</t>
  </si>
  <si>
    <t xml:space="preserve">Column7777</t>
  </si>
  <si>
    <t xml:space="preserve">Column7778</t>
  </si>
  <si>
    <t xml:space="preserve">Column7779</t>
  </si>
  <si>
    <t xml:space="preserve">Column7780</t>
  </si>
  <si>
    <t xml:space="preserve">Column7781</t>
  </si>
  <si>
    <t xml:space="preserve">Column7782</t>
  </si>
  <si>
    <t xml:space="preserve">Column7783</t>
  </si>
  <si>
    <t xml:space="preserve">Column7784</t>
  </si>
  <si>
    <t xml:space="preserve">Column7785</t>
  </si>
  <si>
    <t xml:space="preserve">Column7786</t>
  </si>
  <si>
    <t xml:space="preserve">Column7787</t>
  </si>
  <si>
    <t xml:space="preserve">Column7788</t>
  </si>
  <si>
    <t xml:space="preserve">Column7789</t>
  </si>
  <si>
    <t xml:space="preserve">Column7790</t>
  </si>
  <si>
    <t xml:space="preserve">Column7791</t>
  </si>
  <si>
    <t xml:space="preserve">Column7792</t>
  </si>
  <si>
    <t xml:space="preserve">Column7793</t>
  </si>
  <si>
    <t xml:space="preserve">Column7794</t>
  </si>
  <si>
    <t xml:space="preserve">Column7795</t>
  </si>
  <si>
    <t xml:space="preserve">Column7796</t>
  </si>
  <si>
    <t xml:space="preserve">Column7797</t>
  </si>
  <si>
    <t xml:space="preserve">Column7798</t>
  </si>
  <si>
    <t xml:space="preserve">Column7799</t>
  </si>
  <si>
    <t xml:space="preserve">Column7800</t>
  </si>
  <si>
    <t xml:space="preserve">Column7801</t>
  </si>
  <si>
    <t xml:space="preserve">Column7802</t>
  </si>
  <si>
    <t xml:space="preserve">Column7803</t>
  </si>
  <si>
    <t xml:space="preserve">Column7804</t>
  </si>
  <si>
    <t xml:space="preserve">Column7805</t>
  </si>
  <si>
    <t xml:space="preserve">Column7806</t>
  </si>
  <si>
    <t xml:space="preserve">Column7807</t>
  </si>
  <si>
    <t xml:space="preserve">Column7808</t>
  </si>
  <si>
    <t xml:space="preserve">Column7809</t>
  </si>
  <si>
    <t xml:space="preserve">Column7810</t>
  </si>
  <si>
    <t xml:space="preserve">Column7811</t>
  </si>
  <si>
    <t xml:space="preserve">Column7812</t>
  </si>
  <si>
    <t xml:space="preserve">Column7813</t>
  </si>
  <si>
    <t xml:space="preserve">Column7814</t>
  </si>
  <si>
    <t xml:space="preserve">Column7815</t>
  </si>
  <si>
    <t xml:space="preserve">Column7816</t>
  </si>
  <si>
    <t xml:space="preserve">Column7817</t>
  </si>
  <si>
    <t xml:space="preserve">Column7818</t>
  </si>
  <si>
    <t xml:space="preserve">Column7819</t>
  </si>
  <si>
    <t xml:space="preserve">Column7820</t>
  </si>
  <si>
    <t xml:space="preserve">Column7821</t>
  </si>
  <si>
    <t xml:space="preserve">Column7822</t>
  </si>
  <si>
    <t xml:space="preserve">Column7823</t>
  </si>
  <si>
    <t xml:space="preserve">Column7824</t>
  </si>
  <si>
    <t xml:space="preserve">Column7825</t>
  </si>
  <si>
    <t xml:space="preserve">Column7826</t>
  </si>
  <si>
    <t xml:space="preserve">Column7827</t>
  </si>
  <si>
    <t xml:space="preserve">Column7828</t>
  </si>
  <si>
    <t xml:space="preserve">Column7829</t>
  </si>
  <si>
    <t xml:space="preserve">Column7830</t>
  </si>
  <si>
    <t xml:space="preserve">Column7831</t>
  </si>
  <si>
    <t xml:space="preserve">Column7832</t>
  </si>
  <si>
    <t xml:space="preserve">Column7833</t>
  </si>
  <si>
    <t xml:space="preserve">Column7834</t>
  </si>
  <si>
    <t xml:space="preserve">Column7835</t>
  </si>
  <si>
    <t xml:space="preserve">Column7836</t>
  </si>
  <si>
    <t xml:space="preserve">Column7837</t>
  </si>
  <si>
    <t xml:space="preserve">Column7838</t>
  </si>
  <si>
    <t xml:space="preserve">Column7839</t>
  </si>
  <si>
    <t xml:space="preserve">Column7840</t>
  </si>
  <si>
    <t xml:space="preserve">Column7841</t>
  </si>
  <si>
    <t xml:space="preserve">Column7842</t>
  </si>
  <si>
    <t xml:space="preserve">Column7843</t>
  </si>
  <si>
    <t xml:space="preserve">Column7844</t>
  </si>
  <si>
    <t xml:space="preserve">Column7845</t>
  </si>
  <si>
    <t xml:space="preserve">Column7846</t>
  </si>
  <si>
    <t xml:space="preserve">Column7847</t>
  </si>
  <si>
    <t xml:space="preserve">Column7848</t>
  </si>
  <si>
    <t xml:space="preserve">Column7849</t>
  </si>
  <si>
    <t xml:space="preserve">Column7850</t>
  </si>
  <si>
    <t xml:space="preserve">Column7851</t>
  </si>
  <si>
    <t xml:space="preserve">Column7852</t>
  </si>
  <si>
    <t xml:space="preserve">Column7853</t>
  </si>
  <si>
    <t xml:space="preserve">Column7854</t>
  </si>
  <si>
    <t xml:space="preserve">Column7855</t>
  </si>
  <si>
    <t xml:space="preserve">Column7856</t>
  </si>
  <si>
    <t xml:space="preserve">Column7857</t>
  </si>
  <si>
    <t xml:space="preserve">Column7858</t>
  </si>
  <si>
    <t xml:space="preserve">Column7859</t>
  </si>
  <si>
    <t xml:space="preserve">Column7860</t>
  </si>
  <si>
    <t xml:space="preserve">Column7861</t>
  </si>
  <si>
    <t xml:space="preserve">Column7862</t>
  </si>
  <si>
    <t xml:space="preserve">Column7863</t>
  </si>
  <si>
    <t xml:space="preserve">Column7864</t>
  </si>
  <si>
    <t xml:space="preserve">Column7865</t>
  </si>
  <si>
    <t xml:space="preserve">Column7866</t>
  </si>
  <si>
    <t xml:space="preserve">Column7867</t>
  </si>
  <si>
    <t xml:space="preserve">Column7868</t>
  </si>
  <si>
    <t xml:space="preserve">Column7869</t>
  </si>
  <si>
    <t xml:space="preserve">Column7870</t>
  </si>
  <si>
    <t xml:space="preserve">Column7871</t>
  </si>
  <si>
    <t xml:space="preserve">Column7872</t>
  </si>
  <si>
    <t xml:space="preserve">Column7873</t>
  </si>
  <si>
    <t xml:space="preserve">Column7874</t>
  </si>
  <si>
    <t xml:space="preserve">Column7875</t>
  </si>
  <si>
    <t xml:space="preserve">Column7876</t>
  </si>
  <si>
    <t xml:space="preserve">Column7877</t>
  </si>
  <si>
    <t xml:space="preserve">Column7878</t>
  </si>
  <si>
    <t xml:space="preserve">Column7879</t>
  </si>
  <si>
    <t xml:space="preserve">Column7880</t>
  </si>
  <si>
    <t xml:space="preserve">Column7881</t>
  </si>
  <si>
    <t xml:space="preserve">Column7882</t>
  </si>
  <si>
    <t xml:space="preserve">Column7883</t>
  </si>
  <si>
    <t xml:space="preserve">Column7884</t>
  </si>
  <si>
    <t xml:space="preserve">Column7885</t>
  </si>
  <si>
    <t xml:space="preserve">Column7886</t>
  </si>
  <si>
    <t xml:space="preserve">Column7887</t>
  </si>
  <si>
    <t xml:space="preserve">Column7888</t>
  </si>
  <si>
    <t xml:space="preserve">Column7889</t>
  </si>
  <si>
    <t xml:space="preserve">Column7890</t>
  </si>
  <si>
    <t xml:space="preserve">Column7891</t>
  </si>
  <si>
    <t xml:space="preserve">Column7892</t>
  </si>
  <si>
    <t xml:space="preserve">Column7893</t>
  </si>
  <si>
    <t xml:space="preserve">Column7894</t>
  </si>
  <si>
    <t xml:space="preserve">Column7895</t>
  </si>
  <si>
    <t xml:space="preserve">Column7896</t>
  </si>
  <si>
    <t xml:space="preserve">Column7897</t>
  </si>
  <si>
    <t xml:space="preserve">Column7898</t>
  </si>
  <si>
    <t xml:space="preserve">Column7899</t>
  </si>
  <si>
    <t xml:space="preserve">Column7900</t>
  </si>
  <si>
    <t xml:space="preserve">Column7901</t>
  </si>
  <si>
    <t xml:space="preserve">Column7902</t>
  </si>
  <si>
    <t xml:space="preserve">Column7903</t>
  </si>
  <si>
    <t xml:space="preserve">Column7904</t>
  </si>
  <si>
    <t xml:space="preserve">Column7905</t>
  </si>
  <si>
    <t xml:space="preserve">Column7906</t>
  </si>
  <si>
    <t xml:space="preserve">Column7907</t>
  </si>
  <si>
    <t xml:space="preserve">Column7908</t>
  </si>
  <si>
    <t xml:space="preserve">Column7909</t>
  </si>
  <si>
    <t xml:space="preserve">Column7910</t>
  </si>
  <si>
    <t xml:space="preserve">Column7911</t>
  </si>
  <si>
    <t xml:space="preserve">Column7912</t>
  </si>
  <si>
    <t xml:space="preserve">Column7913</t>
  </si>
  <si>
    <t xml:space="preserve">Column7914</t>
  </si>
  <si>
    <t xml:space="preserve">Column7915</t>
  </si>
  <si>
    <t xml:space="preserve">Column7916</t>
  </si>
  <si>
    <t xml:space="preserve">Column7917</t>
  </si>
  <si>
    <t xml:space="preserve">Column7918</t>
  </si>
  <si>
    <t xml:space="preserve">Column7919</t>
  </si>
  <si>
    <t xml:space="preserve">Column7920</t>
  </si>
  <si>
    <t xml:space="preserve">Column7921</t>
  </si>
  <si>
    <t xml:space="preserve">Column7922</t>
  </si>
  <si>
    <t xml:space="preserve">Column7923</t>
  </si>
  <si>
    <t xml:space="preserve">Column7924</t>
  </si>
  <si>
    <t xml:space="preserve">Column7925</t>
  </si>
  <si>
    <t xml:space="preserve">Column7926</t>
  </si>
  <si>
    <t xml:space="preserve">Column7927</t>
  </si>
  <si>
    <t xml:space="preserve">Column7928</t>
  </si>
  <si>
    <t xml:space="preserve">Column7929</t>
  </si>
  <si>
    <t xml:space="preserve">Column7930</t>
  </si>
  <si>
    <t xml:space="preserve">Column7931</t>
  </si>
  <si>
    <t xml:space="preserve">Column7932</t>
  </si>
  <si>
    <t xml:space="preserve">Column7933</t>
  </si>
  <si>
    <t xml:space="preserve">Column7934</t>
  </si>
  <si>
    <t xml:space="preserve">Column7935</t>
  </si>
  <si>
    <t xml:space="preserve">Column7936</t>
  </si>
  <si>
    <t xml:space="preserve">Column7937</t>
  </si>
  <si>
    <t xml:space="preserve">Column7938</t>
  </si>
  <si>
    <t xml:space="preserve">Column7939</t>
  </si>
  <si>
    <t xml:space="preserve">Column7940</t>
  </si>
  <si>
    <t xml:space="preserve">Column7941</t>
  </si>
  <si>
    <t xml:space="preserve">Column7942</t>
  </si>
  <si>
    <t xml:space="preserve">Column7943</t>
  </si>
  <si>
    <t xml:space="preserve">Column7944</t>
  </si>
  <si>
    <t xml:space="preserve">Column7945</t>
  </si>
  <si>
    <t xml:space="preserve">Column7946</t>
  </si>
  <si>
    <t xml:space="preserve">Column7947</t>
  </si>
  <si>
    <t xml:space="preserve">Column7948</t>
  </si>
  <si>
    <t xml:space="preserve">Column7949</t>
  </si>
  <si>
    <t xml:space="preserve">Column7950</t>
  </si>
  <si>
    <t xml:space="preserve">Column7951</t>
  </si>
  <si>
    <t xml:space="preserve">Column7952</t>
  </si>
  <si>
    <t xml:space="preserve">Column7953</t>
  </si>
  <si>
    <t xml:space="preserve">Column7954</t>
  </si>
  <si>
    <t xml:space="preserve">Column7955</t>
  </si>
  <si>
    <t xml:space="preserve">Column7956</t>
  </si>
  <si>
    <t xml:space="preserve">Column7957</t>
  </si>
  <si>
    <t xml:space="preserve">Column7958</t>
  </si>
  <si>
    <t xml:space="preserve">Column7959</t>
  </si>
  <si>
    <t xml:space="preserve">Column7960</t>
  </si>
  <si>
    <t xml:space="preserve">Column7961</t>
  </si>
  <si>
    <t xml:space="preserve">Column7962</t>
  </si>
  <si>
    <t xml:space="preserve">Column7963</t>
  </si>
  <si>
    <t xml:space="preserve">Column7964</t>
  </si>
  <si>
    <t xml:space="preserve">Column7965</t>
  </si>
  <si>
    <t xml:space="preserve">Column7966</t>
  </si>
  <si>
    <t xml:space="preserve">Column7967</t>
  </si>
  <si>
    <t xml:space="preserve">Column7968</t>
  </si>
  <si>
    <t xml:space="preserve">Column7969</t>
  </si>
  <si>
    <t xml:space="preserve">Column7970</t>
  </si>
  <si>
    <t xml:space="preserve">Column7971</t>
  </si>
  <si>
    <t xml:space="preserve">Column7972</t>
  </si>
  <si>
    <t xml:space="preserve">Column7973</t>
  </si>
  <si>
    <t xml:space="preserve">Column7974</t>
  </si>
  <si>
    <t xml:space="preserve">Column7975</t>
  </si>
  <si>
    <t xml:space="preserve">Column7976</t>
  </si>
  <si>
    <t xml:space="preserve">Column7977</t>
  </si>
  <si>
    <t xml:space="preserve">Column7978</t>
  </si>
  <si>
    <t xml:space="preserve">Column7979</t>
  </si>
  <si>
    <t xml:space="preserve">Column7980</t>
  </si>
  <si>
    <t xml:space="preserve">Column7981</t>
  </si>
  <si>
    <t xml:space="preserve">Column7982</t>
  </si>
  <si>
    <t xml:space="preserve">Column7983</t>
  </si>
  <si>
    <t xml:space="preserve">Column7984</t>
  </si>
  <si>
    <t xml:space="preserve">Column7985</t>
  </si>
  <si>
    <t xml:space="preserve">Column7986</t>
  </si>
  <si>
    <t xml:space="preserve">Column7987</t>
  </si>
  <si>
    <t xml:space="preserve">Column7988</t>
  </si>
  <si>
    <t xml:space="preserve">Column7989</t>
  </si>
  <si>
    <t xml:space="preserve">Column7990</t>
  </si>
  <si>
    <t xml:space="preserve">Column7991</t>
  </si>
  <si>
    <t xml:space="preserve">Column7992</t>
  </si>
  <si>
    <t xml:space="preserve">Column7993</t>
  </si>
  <si>
    <t xml:space="preserve">Column7994</t>
  </si>
  <si>
    <t xml:space="preserve">Column7995</t>
  </si>
  <si>
    <t xml:space="preserve">Column7996</t>
  </si>
  <si>
    <t xml:space="preserve">Column7997</t>
  </si>
  <si>
    <t xml:space="preserve">Column7998</t>
  </si>
  <si>
    <t xml:space="preserve">Column7999</t>
  </si>
  <si>
    <t xml:space="preserve">Column8000</t>
  </si>
  <si>
    <t xml:space="preserve">Column8001</t>
  </si>
  <si>
    <t xml:space="preserve">Column8002</t>
  </si>
  <si>
    <t xml:space="preserve">Column8003</t>
  </si>
  <si>
    <t xml:space="preserve">Column8004</t>
  </si>
  <si>
    <t xml:space="preserve">Column8005</t>
  </si>
  <si>
    <t xml:space="preserve">Column8006</t>
  </si>
  <si>
    <t xml:space="preserve">Column8007</t>
  </si>
  <si>
    <t xml:space="preserve">Column8008</t>
  </si>
  <si>
    <t xml:space="preserve">Column8009</t>
  </si>
  <si>
    <t xml:space="preserve">Column8010</t>
  </si>
  <si>
    <t xml:space="preserve">Column8011</t>
  </si>
  <si>
    <t xml:space="preserve">Column8012</t>
  </si>
  <si>
    <t xml:space="preserve">Column8013</t>
  </si>
  <si>
    <t xml:space="preserve">Column8014</t>
  </si>
  <si>
    <t xml:space="preserve">Column8015</t>
  </si>
  <si>
    <t xml:space="preserve">Column8016</t>
  </si>
  <si>
    <t xml:space="preserve">Column8017</t>
  </si>
  <si>
    <t xml:space="preserve">Column8018</t>
  </si>
  <si>
    <t xml:space="preserve">Column8019</t>
  </si>
  <si>
    <t xml:space="preserve">Column8020</t>
  </si>
  <si>
    <t xml:space="preserve">Column8021</t>
  </si>
  <si>
    <t xml:space="preserve">Column8022</t>
  </si>
  <si>
    <t xml:space="preserve">Column8023</t>
  </si>
  <si>
    <t xml:space="preserve">Column8024</t>
  </si>
  <si>
    <t xml:space="preserve">Column8025</t>
  </si>
  <si>
    <t xml:space="preserve">Column8026</t>
  </si>
  <si>
    <t xml:space="preserve">Column8027</t>
  </si>
  <si>
    <t xml:space="preserve">Column8028</t>
  </si>
  <si>
    <t xml:space="preserve">Column8029</t>
  </si>
  <si>
    <t xml:space="preserve">Column8030</t>
  </si>
  <si>
    <t xml:space="preserve">Column8031</t>
  </si>
  <si>
    <t xml:space="preserve">Column8032</t>
  </si>
  <si>
    <t xml:space="preserve">Column8033</t>
  </si>
  <si>
    <t xml:space="preserve">Column8034</t>
  </si>
  <si>
    <t xml:space="preserve">Column8035</t>
  </si>
  <si>
    <t xml:space="preserve">Column8036</t>
  </si>
  <si>
    <t xml:space="preserve">Column8037</t>
  </si>
  <si>
    <t xml:space="preserve">Column8038</t>
  </si>
  <si>
    <t xml:space="preserve">Column8039</t>
  </si>
  <si>
    <t xml:space="preserve">Column8040</t>
  </si>
  <si>
    <t xml:space="preserve">Column8041</t>
  </si>
  <si>
    <t xml:space="preserve">Column8042</t>
  </si>
  <si>
    <t xml:space="preserve">Column8043</t>
  </si>
  <si>
    <t xml:space="preserve">Column8044</t>
  </si>
  <si>
    <t xml:space="preserve">Column8045</t>
  </si>
  <si>
    <t xml:space="preserve">Column8046</t>
  </si>
  <si>
    <t xml:space="preserve">Column8047</t>
  </si>
  <si>
    <t xml:space="preserve">Column8048</t>
  </si>
  <si>
    <t xml:space="preserve">Column8049</t>
  </si>
  <si>
    <t xml:space="preserve">Column8050</t>
  </si>
  <si>
    <t xml:space="preserve">Column8051</t>
  </si>
  <si>
    <t xml:space="preserve">Column8052</t>
  </si>
  <si>
    <t xml:space="preserve">Column8053</t>
  </si>
  <si>
    <t xml:space="preserve">Column8054</t>
  </si>
  <si>
    <t xml:space="preserve">Column8055</t>
  </si>
  <si>
    <t xml:space="preserve">Column8056</t>
  </si>
  <si>
    <t xml:space="preserve">Column8057</t>
  </si>
  <si>
    <t xml:space="preserve">Column8058</t>
  </si>
  <si>
    <t xml:space="preserve">Column8059</t>
  </si>
  <si>
    <t xml:space="preserve">Column8060</t>
  </si>
  <si>
    <t xml:space="preserve">Column8061</t>
  </si>
  <si>
    <t xml:space="preserve">Column8062</t>
  </si>
  <si>
    <t xml:space="preserve">Column8063</t>
  </si>
  <si>
    <t xml:space="preserve">Column8064</t>
  </si>
  <si>
    <t xml:space="preserve">Column8065</t>
  </si>
  <si>
    <t xml:space="preserve">Column8066</t>
  </si>
  <si>
    <t xml:space="preserve">Column8067</t>
  </si>
  <si>
    <t xml:space="preserve">Column8068</t>
  </si>
  <si>
    <t xml:space="preserve">Column8069</t>
  </si>
  <si>
    <t xml:space="preserve">Column8070</t>
  </si>
  <si>
    <t xml:space="preserve">Column8071</t>
  </si>
  <si>
    <t xml:space="preserve">Column8072</t>
  </si>
  <si>
    <t xml:space="preserve">Column8073</t>
  </si>
  <si>
    <t xml:space="preserve">Column8074</t>
  </si>
  <si>
    <t xml:space="preserve">Column8075</t>
  </si>
  <si>
    <t xml:space="preserve">Column8076</t>
  </si>
  <si>
    <t xml:space="preserve">Column8077</t>
  </si>
  <si>
    <t xml:space="preserve">Column8078</t>
  </si>
  <si>
    <t xml:space="preserve">Column8079</t>
  </si>
  <si>
    <t xml:space="preserve">Column8080</t>
  </si>
  <si>
    <t xml:space="preserve">Column8081</t>
  </si>
  <si>
    <t xml:space="preserve">Column8082</t>
  </si>
  <si>
    <t xml:space="preserve">Column8083</t>
  </si>
  <si>
    <t xml:space="preserve">Column8084</t>
  </si>
  <si>
    <t xml:space="preserve">Column8085</t>
  </si>
  <si>
    <t xml:space="preserve">Column8086</t>
  </si>
  <si>
    <t xml:space="preserve">Column8087</t>
  </si>
  <si>
    <t xml:space="preserve">Column8088</t>
  </si>
  <si>
    <t xml:space="preserve">Column8089</t>
  </si>
  <si>
    <t xml:space="preserve">Column8090</t>
  </si>
  <si>
    <t xml:space="preserve">Column8091</t>
  </si>
  <si>
    <t xml:space="preserve">Column8092</t>
  </si>
  <si>
    <t xml:space="preserve">Column8093</t>
  </si>
  <si>
    <t xml:space="preserve">Column8094</t>
  </si>
  <si>
    <t xml:space="preserve">Column8095</t>
  </si>
  <si>
    <t xml:space="preserve">Column8096</t>
  </si>
  <si>
    <t xml:space="preserve">Column8097</t>
  </si>
  <si>
    <t xml:space="preserve">Column8098</t>
  </si>
  <si>
    <t xml:space="preserve">Column8099</t>
  </si>
  <si>
    <t xml:space="preserve">Column8100</t>
  </si>
  <si>
    <t xml:space="preserve">Column8101</t>
  </si>
  <si>
    <t xml:space="preserve">Column8102</t>
  </si>
  <si>
    <t xml:space="preserve">Column8103</t>
  </si>
  <si>
    <t xml:space="preserve">Column8104</t>
  </si>
  <si>
    <t xml:space="preserve">Column8105</t>
  </si>
  <si>
    <t xml:space="preserve">Column8106</t>
  </si>
  <si>
    <t xml:space="preserve">Column8107</t>
  </si>
  <si>
    <t xml:space="preserve">Column8108</t>
  </si>
  <si>
    <t xml:space="preserve">Column8109</t>
  </si>
  <si>
    <t xml:space="preserve">Column8110</t>
  </si>
  <si>
    <t xml:space="preserve">Column8111</t>
  </si>
  <si>
    <t xml:space="preserve">Column8112</t>
  </si>
  <si>
    <t xml:space="preserve">Column8113</t>
  </si>
  <si>
    <t xml:space="preserve">Column8114</t>
  </si>
  <si>
    <t xml:space="preserve">Column8115</t>
  </si>
  <si>
    <t xml:space="preserve">Column8116</t>
  </si>
  <si>
    <t xml:space="preserve">Column8117</t>
  </si>
  <si>
    <t xml:space="preserve">Column8118</t>
  </si>
  <si>
    <t xml:space="preserve">Column8119</t>
  </si>
  <si>
    <t xml:space="preserve">Column8120</t>
  </si>
  <si>
    <t xml:space="preserve">Column8121</t>
  </si>
  <si>
    <t xml:space="preserve">Column8122</t>
  </si>
  <si>
    <t xml:space="preserve">Column8123</t>
  </si>
  <si>
    <t xml:space="preserve">Column8124</t>
  </si>
  <si>
    <t xml:space="preserve">Column8125</t>
  </si>
  <si>
    <t xml:space="preserve">Column8126</t>
  </si>
  <si>
    <t xml:space="preserve">Column8127</t>
  </si>
  <si>
    <t xml:space="preserve">Column8128</t>
  </si>
  <si>
    <t xml:space="preserve">Column8129</t>
  </si>
  <si>
    <t xml:space="preserve">Column8130</t>
  </si>
  <si>
    <t xml:space="preserve">Column8131</t>
  </si>
  <si>
    <t xml:space="preserve">Column8132</t>
  </si>
  <si>
    <t xml:space="preserve">Column8133</t>
  </si>
  <si>
    <t xml:space="preserve">Column8134</t>
  </si>
  <si>
    <t xml:space="preserve">Column8135</t>
  </si>
  <si>
    <t xml:space="preserve">Column8136</t>
  </si>
  <si>
    <t xml:space="preserve">Column8137</t>
  </si>
  <si>
    <t xml:space="preserve">Column8138</t>
  </si>
  <si>
    <t xml:space="preserve">Column8139</t>
  </si>
  <si>
    <t xml:space="preserve">Column8140</t>
  </si>
  <si>
    <t xml:space="preserve">Column8141</t>
  </si>
  <si>
    <t xml:space="preserve">Column8142</t>
  </si>
  <si>
    <t xml:space="preserve">Column8143</t>
  </si>
  <si>
    <t xml:space="preserve">Column8144</t>
  </si>
  <si>
    <t xml:space="preserve">Column8145</t>
  </si>
  <si>
    <t xml:space="preserve">Column8146</t>
  </si>
  <si>
    <t xml:space="preserve">Column8147</t>
  </si>
  <si>
    <t xml:space="preserve">Column8148</t>
  </si>
  <si>
    <t xml:space="preserve">Column8149</t>
  </si>
  <si>
    <t xml:space="preserve">Column8150</t>
  </si>
  <si>
    <t xml:space="preserve">Column8151</t>
  </si>
  <si>
    <t xml:space="preserve">Column8152</t>
  </si>
  <si>
    <t xml:space="preserve">Column8153</t>
  </si>
  <si>
    <t xml:space="preserve">Column8154</t>
  </si>
  <si>
    <t xml:space="preserve">Column8155</t>
  </si>
  <si>
    <t xml:space="preserve">Column8156</t>
  </si>
  <si>
    <t xml:space="preserve">Column8157</t>
  </si>
  <si>
    <t xml:space="preserve">Column8158</t>
  </si>
  <si>
    <t xml:space="preserve">Column8159</t>
  </si>
  <si>
    <t xml:space="preserve">Column8160</t>
  </si>
  <si>
    <t xml:space="preserve">Column8161</t>
  </si>
  <si>
    <t xml:space="preserve">Column8162</t>
  </si>
  <si>
    <t xml:space="preserve">Column8163</t>
  </si>
  <si>
    <t xml:space="preserve">Column8164</t>
  </si>
  <si>
    <t xml:space="preserve">Column8165</t>
  </si>
  <si>
    <t xml:space="preserve">Column8166</t>
  </si>
  <si>
    <t xml:space="preserve">Column8167</t>
  </si>
  <si>
    <t xml:space="preserve">Column8168</t>
  </si>
  <si>
    <t xml:space="preserve">Column8169</t>
  </si>
  <si>
    <t xml:space="preserve">Column8170</t>
  </si>
  <si>
    <t xml:space="preserve">Column8171</t>
  </si>
  <si>
    <t xml:space="preserve">Column8172</t>
  </si>
  <si>
    <t xml:space="preserve">Column8173</t>
  </si>
  <si>
    <t xml:space="preserve">Column8174</t>
  </si>
  <si>
    <t xml:space="preserve">Column8175</t>
  </si>
  <si>
    <t xml:space="preserve">Column8176</t>
  </si>
  <si>
    <t xml:space="preserve">Column8177</t>
  </si>
  <si>
    <t xml:space="preserve">Column8178</t>
  </si>
  <si>
    <t xml:space="preserve">Column8179</t>
  </si>
  <si>
    <t xml:space="preserve">Column8180</t>
  </si>
  <si>
    <t xml:space="preserve">Column8181</t>
  </si>
  <si>
    <t xml:space="preserve">Column8182</t>
  </si>
  <si>
    <t xml:space="preserve">Column8183</t>
  </si>
  <si>
    <t xml:space="preserve">Column8184</t>
  </si>
  <si>
    <t xml:space="preserve">Column8185</t>
  </si>
  <si>
    <t xml:space="preserve">Column8186</t>
  </si>
  <si>
    <t xml:space="preserve">Column8187</t>
  </si>
  <si>
    <t xml:space="preserve">Column8188</t>
  </si>
  <si>
    <t xml:space="preserve">Column8189</t>
  </si>
  <si>
    <t xml:space="preserve">Column8190</t>
  </si>
  <si>
    <t xml:space="preserve">Column8191</t>
  </si>
  <si>
    <t xml:space="preserve">Column8192</t>
  </si>
  <si>
    <t xml:space="preserve">Column8193</t>
  </si>
  <si>
    <t xml:space="preserve">Column8194</t>
  </si>
  <si>
    <t xml:space="preserve">Column8195</t>
  </si>
  <si>
    <t xml:space="preserve">Column8196</t>
  </si>
  <si>
    <t xml:space="preserve">Column8197</t>
  </si>
  <si>
    <t xml:space="preserve">Column8198</t>
  </si>
  <si>
    <t xml:space="preserve">Column8199</t>
  </si>
  <si>
    <t xml:space="preserve">Column8200</t>
  </si>
  <si>
    <t xml:space="preserve">Column8201</t>
  </si>
  <si>
    <t xml:space="preserve">Column8202</t>
  </si>
  <si>
    <t xml:space="preserve">Column8203</t>
  </si>
  <si>
    <t xml:space="preserve">Column8204</t>
  </si>
  <si>
    <t xml:space="preserve">Column8205</t>
  </si>
  <si>
    <t xml:space="preserve">Column8206</t>
  </si>
  <si>
    <t xml:space="preserve">Column8207</t>
  </si>
  <si>
    <t xml:space="preserve">Column8208</t>
  </si>
  <si>
    <t xml:space="preserve">Column8209</t>
  </si>
  <si>
    <t xml:space="preserve">Column8210</t>
  </si>
  <si>
    <t xml:space="preserve">Column8211</t>
  </si>
  <si>
    <t xml:space="preserve">Column8212</t>
  </si>
  <si>
    <t xml:space="preserve">Column8213</t>
  </si>
  <si>
    <t xml:space="preserve">Column8214</t>
  </si>
  <si>
    <t xml:space="preserve">Column8215</t>
  </si>
  <si>
    <t xml:space="preserve">Column8216</t>
  </si>
  <si>
    <t xml:space="preserve">Column8217</t>
  </si>
  <si>
    <t xml:space="preserve">Column8218</t>
  </si>
  <si>
    <t xml:space="preserve">Column8219</t>
  </si>
  <si>
    <t xml:space="preserve">Column8220</t>
  </si>
  <si>
    <t xml:space="preserve">Column8221</t>
  </si>
  <si>
    <t xml:space="preserve">Column8222</t>
  </si>
  <si>
    <t xml:space="preserve">Column8223</t>
  </si>
  <si>
    <t xml:space="preserve">Column8224</t>
  </si>
  <si>
    <t xml:space="preserve">Column8225</t>
  </si>
  <si>
    <t xml:space="preserve">Column8226</t>
  </si>
  <si>
    <t xml:space="preserve">Column8227</t>
  </si>
  <si>
    <t xml:space="preserve">Column8228</t>
  </si>
  <si>
    <t xml:space="preserve">Column8229</t>
  </si>
  <si>
    <t xml:space="preserve">Column8230</t>
  </si>
  <si>
    <t xml:space="preserve">Column8231</t>
  </si>
  <si>
    <t xml:space="preserve">Column8232</t>
  </si>
  <si>
    <t xml:space="preserve">Column8233</t>
  </si>
  <si>
    <t xml:space="preserve">Column8234</t>
  </si>
  <si>
    <t xml:space="preserve">Column8235</t>
  </si>
  <si>
    <t xml:space="preserve">Column8236</t>
  </si>
  <si>
    <t xml:space="preserve">Column8237</t>
  </si>
  <si>
    <t xml:space="preserve">Column8238</t>
  </si>
  <si>
    <t xml:space="preserve">Column8239</t>
  </si>
  <si>
    <t xml:space="preserve">Column8240</t>
  </si>
  <si>
    <t xml:space="preserve">Column8241</t>
  </si>
  <si>
    <t xml:space="preserve">Column8242</t>
  </si>
  <si>
    <t xml:space="preserve">Column8243</t>
  </si>
  <si>
    <t xml:space="preserve">Column8244</t>
  </si>
  <si>
    <t xml:space="preserve">Column8245</t>
  </si>
  <si>
    <t xml:space="preserve">Column8246</t>
  </si>
  <si>
    <t xml:space="preserve">Column8247</t>
  </si>
  <si>
    <t xml:space="preserve">Column8248</t>
  </si>
  <si>
    <t xml:space="preserve">Column8249</t>
  </si>
  <si>
    <t xml:space="preserve">Column8250</t>
  </si>
  <si>
    <t xml:space="preserve">Column8251</t>
  </si>
  <si>
    <t xml:space="preserve">Column8252</t>
  </si>
  <si>
    <t xml:space="preserve">Column8253</t>
  </si>
  <si>
    <t xml:space="preserve">Column8254</t>
  </si>
  <si>
    <t xml:space="preserve">Column8255</t>
  </si>
  <si>
    <t xml:space="preserve">Column8256</t>
  </si>
  <si>
    <t xml:space="preserve">Column8257</t>
  </si>
  <si>
    <t xml:space="preserve">Column8258</t>
  </si>
  <si>
    <t xml:space="preserve">Column8259</t>
  </si>
  <si>
    <t xml:space="preserve">Column8260</t>
  </si>
  <si>
    <t xml:space="preserve">Column8261</t>
  </si>
  <si>
    <t xml:space="preserve">Column8262</t>
  </si>
  <si>
    <t xml:space="preserve">Column8263</t>
  </si>
  <si>
    <t xml:space="preserve">Column8264</t>
  </si>
  <si>
    <t xml:space="preserve">Column8265</t>
  </si>
  <si>
    <t xml:space="preserve">Column8266</t>
  </si>
  <si>
    <t xml:space="preserve">Column8267</t>
  </si>
  <si>
    <t xml:space="preserve">Column8268</t>
  </si>
  <si>
    <t xml:space="preserve">Column8269</t>
  </si>
  <si>
    <t xml:space="preserve">Column8270</t>
  </si>
  <si>
    <t xml:space="preserve">Column8271</t>
  </si>
  <si>
    <t xml:space="preserve">Column8272</t>
  </si>
  <si>
    <t xml:space="preserve">Column8273</t>
  </si>
  <si>
    <t xml:space="preserve">Column8274</t>
  </si>
  <si>
    <t xml:space="preserve">Column8275</t>
  </si>
  <si>
    <t xml:space="preserve">Column8276</t>
  </si>
  <si>
    <t xml:space="preserve">Column8277</t>
  </si>
  <si>
    <t xml:space="preserve">Column8278</t>
  </si>
  <si>
    <t xml:space="preserve">Column8279</t>
  </si>
  <si>
    <t xml:space="preserve">Column8280</t>
  </si>
  <si>
    <t xml:space="preserve">Column8281</t>
  </si>
  <si>
    <t xml:space="preserve">Column8282</t>
  </si>
  <si>
    <t xml:space="preserve">Column8283</t>
  </si>
  <si>
    <t xml:space="preserve">Column8284</t>
  </si>
  <si>
    <t xml:space="preserve">Column8285</t>
  </si>
  <si>
    <t xml:space="preserve">Column8286</t>
  </si>
  <si>
    <t xml:space="preserve">Column8287</t>
  </si>
  <si>
    <t xml:space="preserve">Column8288</t>
  </si>
  <si>
    <t xml:space="preserve">Column8289</t>
  </si>
  <si>
    <t xml:space="preserve">Column8290</t>
  </si>
  <si>
    <t xml:space="preserve">Column8291</t>
  </si>
  <si>
    <t xml:space="preserve">Column8292</t>
  </si>
  <si>
    <t xml:space="preserve">Column8293</t>
  </si>
  <si>
    <t xml:space="preserve">Column8294</t>
  </si>
  <si>
    <t xml:space="preserve">Column8295</t>
  </si>
  <si>
    <t xml:space="preserve">Column8296</t>
  </si>
  <si>
    <t xml:space="preserve">Column8297</t>
  </si>
  <si>
    <t xml:space="preserve">Column8298</t>
  </si>
  <si>
    <t xml:space="preserve">Column8299</t>
  </si>
  <si>
    <t xml:space="preserve">Column8300</t>
  </si>
  <si>
    <t xml:space="preserve">Column8301</t>
  </si>
  <si>
    <t xml:space="preserve">Column8302</t>
  </si>
  <si>
    <t xml:space="preserve">Column8303</t>
  </si>
  <si>
    <t xml:space="preserve">Column8304</t>
  </si>
  <si>
    <t xml:space="preserve">Column8305</t>
  </si>
  <si>
    <t xml:space="preserve">Column8306</t>
  </si>
  <si>
    <t xml:space="preserve">Column8307</t>
  </si>
  <si>
    <t xml:space="preserve">Column8308</t>
  </si>
  <si>
    <t xml:space="preserve">Column8309</t>
  </si>
  <si>
    <t xml:space="preserve">Column8310</t>
  </si>
  <si>
    <t xml:space="preserve">Column8311</t>
  </si>
  <si>
    <t xml:space="preserve">Column8312</t>
  </si>
  <si>
    <t xml:space="preserve">Column8313</t>
  </si>
  <si>
    <t xml:space="preserve">Column8314</t>
  </si>
  <si>
    <t xml:space="preserve">Column8315</t>
  </si>
  <si>
    <t xml:space="preserve">Column8316</t>
  </si>
  <si>
    <t xml:space="preserve">Column8317</t>
  </si>
  <si>
    <t xml:space="preserve">Column8318</t>
  </si>
  <si>
    <t xml:space="preserve">Column8319</t>
  </si>
  <si>
    <t xml:space="preserve">Column8320</t>
  </si>
  <si>
    <t xml:space="preserve">Column8321</t>
  </si>
  <si>
    <t xml:space="preserve">Column8322</t>
  </si>
  <si>
    <t xml:space="preserve">Column8323</t>
  </si>
  <si>
    <t xml:space="preserve">Column8324</t>
  </si>
  <si>
    <t xml:space="preserve">Column8325</t>
  </si>
  <si>
    <t xml:space="preserve">Column8326</t>
  </si>
  <si>
    <t xml:space="preserve">Column8327</t>
  </si>
  <si>
    <t xml:space="preserve">Column8328</t>
  </si>
  <si>
    <t xml:space="preserve">Column8329</t>
  </si>
  <si>
    <t xml:space="preserve">Column8330</t>
  </si>
  <si>
    <t xml:space="preserve">Column8331</t>
  </si>
  <si>
    <t xml:space="preserve">Column8332</t>
  </si>
  <si>
    <t xml:space="preserve">Column8333</t>
  </si>
  <si>
    <t xml:space="preserve">Column8334</t>
  </si>
  <si>
    <t xml:space="preserve">Column8335</t>
  </si>
  <si>
    <t xml:space="preserve">Column8336</t>
  </si>
  <si>
    <t xml:space="preserve">Column8337</t>
  </si>
  <si>
    <t xml:space="preserve">Column8338</t>
  </si>
  <si>
    <t xml:space="preserve">Column8339</t>
  </si>
  <si>
    <t xml:space="preserve">Column8340</t>
  </si>
  <si>
    <t xml:space="preserve">Column8341</t>
  </si>
  <si>
    <t xml:space="preserve">Column8342</t>
  </si>
  <si>
    <t xml:space="preserve">Column8343</t>
  </si>
  <si>
    <t xml:space="preserve">Column8344</t>
  </si>
  <si>
    <t xml:space="preserve">Column8345</t>
  </si>
  <si>
    <t xml:space="preserve">Column8346</t>
  </si>
  <si>
    <t xml:space="preserve">Column8347</t>
  </si>
  <si>
    <t xml:space="preserve">Column8348</t>
  </si>
  <si>
    <t xml:space="preserve">Column8349</t>
  </si>
  <si>
    <t xml:space="preserve">Column8350</t>
  </si>
  <si>
    <t xml:space="preserve">Column8351</t>
  </si>
  <si>
    <t xml:space="preserve">Column8352</t>
  </si>
  <si>
    <t xml:space="preserve">Column8353</t>
  </si>
  <si>
    <t xml:space="preserve">Column8354</t>
  </si>
  <si>
    <t xml:space="preserve">Column8355</t>
  </si>
  <si>
    <t xml:space="preserve">Column8356</t>
  </si>
  <si>
    <t xml:space="preserve">Column8357</t>
  </si>
  <si>
    <t xml:space="preserve">Column8358</t>
  </si>
  <si>
    <t xml:space="preserve">Column8359</t>
  </si>
  <si>
    <t xml:space="preserve">Column8360</t>
  </si>
  <si>
    <t xml:space="preserve">Column8361</t>
  </si>
  <si>
    <t xml:space="preserve">Column8362</t>
  </si>
  <si>
    <t xml:space="preserve">Column8363</t>
  </si>
  <si>
    <t xml:space="preserve">Column8364</t>
  </si>
  <si>
    <t xml:space="preserve">Column8365</t>
  </si>
  <si>
    <t xml:space="preserve">Column8366</t>
  </si>
  <si>
    <t xml:space="preserve">Column8367</t>
  </si>
  <si>
    <t xml:space="preserve">Column8368</t>
  </si>
  <si>
    <t xml:space="preserve">Column8369</t>
  </si>
  <si>
    <t xml:space="preserve">Column8370</t>
  </si>
  <si>
    <t xml:space="preserve">Column8371</t>
  </si>
  <si>
    <t xml:space="preserve">Column8372</t>
  </si>
  <si>
    <t xml:space="preserve">Column8373</t>
  </si>
  <si>
    <t xml:space="preserve">Column8374</t>
  </si>
  <si>
    <t xml:space="preserve">Column8375</t>
  </si>
  <si>
    <t xml:space="preserve">Column8376</t>
  </si>
  <si>
    <t xml:space="preserve">Column8377</t>
  </si>
  <si>
    <t xml:space="preserve">Column8378</t>
  </si>
  <si>
    <t xml:space="preserve">Column8379</t>
  </si>
  <si>
    <t xml:space="preserve">Column8380</t>
  </si>
  <si>
    <t xml:space="preserve">Column8381</t>
  </si>
  <si>
    <t xml:space="preserve">Column8382</t>
  </si>
  <si>
    <t xml:space="preserve">Column8383</t>
  </si>
  <si>
    <t xml:space="preserve">Column8384</t>
  </si>
  <si>
    <t xml:space="preserve">Column8385</t>
  </si>
  <si>
    <t xml:space="preserve">Column8386</t>
  </si>
  <si>
    <t xml:space="preserve">Column8387</t>
  </si>
  <si>
    <t xml:space="preserve">Column8388</t>
  </si>
  <si>
    <t xml:space="preserve">Column8389</t>
  </si>
  <si>
    <t xml:space="preserve">Column8390</t>
  </si>
  <si>
    <t xml:space="preserve">Column8391</t>
  </si>
  <si>
    <t xml:space="preserve">Column8392</t>
  </si>
  <si>
    <t xml:space="preserve">Column8393</t>
  </si>
  <si>
    <t xml:space="preserve">Column8394</t>
  </si>
  <si>
    <t xml:space="preserve">Column8395</t>
  </si>
  <si>
    <t xml:space="preserve">Column8396</t>
  </si>
  <si>
    <t xml:space="preserve">Column8397</t>
  </si>
  <si>
    <t xml:space="preserve">Column8398</t>
  </si>
  <si>
    <t xml:space="preserve">Column8399</t>
  </si>
  <si>
    <t xml:space="preserve">Column8400</t>
  </si>
  <si>
    <t xml:space="preserve">Column8401</t>
  </si>
  <si>
    <t xml:space="preserve">Column8402</t>
  </si>
  <si>
    <t xml:space="preserve">Column8403</t>
  </si>
  <si>
    <t xml:space="preserve">Column8404</t>
  </si>
  <si>
    <t xml:space="preserve">Column8405</t>
  </si>
  <si>
    <t xml:space="preserve">Column8406</t>
  </si>
  <si>
    <t xml:space="preserve">Column8407</t>
  </si>
  <si>
    <t xml:space="preserve">Column8408</t>
  </si>
  <si>
    <t xml:space="preserve">Column8409</t>
  </si>
  <si>
    <t xml:space="preserve">Column8410</t>
  </si>
  <si>
    <t xml:space="preserve">Column8411</t>
  </si>
  <si>
    <t xml:space="preserve">Column8412</t>
  </si>
  <si>
    <t xml:space="preserve">Column8413</t>
  </si>
  <si>
    <t xml:space="preserve">Column8414</t>
  </si>
  <si>
    <t xml:space="preserve">Column8415</t>
  </si>
  <si>
    <t xml:space="preserve">Column8416</t>
  </si>
  <si>
    <t xml:space="preserve">Column8417</t>
  </si>
  <si>
    <t xml:space="preserve">Column8418</t>
  </si>
  <si>
    <t xml:space="preserve">Column8419</t>
  </si>
  <si>
    <t xml:space="preserve">Column8420</t>
  </si>
  <si>
    <t xml:space="preserve">Column8421</t>
  </si>
  <si>
    <t xml:space="preserve">Column8422</t>
  </si>
  <si>
    <t xml:space="preserve">Column8423</t>
  </si>
  <si>
    <t xml:space="preserve">Column8424</t>
  </si>
  <si>
    <t xml:space="preserve">Column8425</t>
  </si>
  <si>
    <t xml:space="preserve">Column8426</t>
  </si>
  <si>
    <t xml:space="preserve">Column8427</t>
  </si>
  <si>
    <t xml:space="preserve">Column8428</t>
  </si>
  <si>
    <t xml:space="preserve">Column8429</t>
  </si>
  <si>
    <t xml:space="preserve">Column8430</t>
  </si>
  <si>
    <t xml:space="preserve">Column8431</t>
  </si>
  <si>
    <t xml:space="preserve">Column8432</t>
  </si>
  <si>
    <t xml:space="preserve">Column8433</t>
  </si>
  <si>
    <t xml:space="preserve">Column8434</t>
  </si>
  <si>
    <t xml:space="preserve">Column8435</t>
  </si>
  <si>
    <t xml:space="preserve">Column8436</t>
  </si>
  <si>
    <t xml:space="preserve">Column8437</t>
  </si>
  <si>
    <t xml:space="preserve">Column8438</t>
  </si>
  <si>
    <t xml:space="preserve">Column8439</t>
  </si>
  <si>
    <t xml:space="preserve">Column8440</t>
  </si>
  <si>
    <t xml:space="preserve">Column8441</t>
  </si>
  <si>
    <t xml:space="preserve">Column8442</t>
  </si>
  <si>
    <t xml:space="preserve">Column8443</t>
  </si>
  <si>
    <t xml:space="preserve">Column8444</t>
  </si>
  <si>
    <t xml:space="preserve">Column8445</t>
  </si>
  <si>
    <t xml:space="preserve">Column8446</t>
  </si>
  <si>
    <t xml:space="preserve">Column8447</t>
  </si>
  <si>
    <t xml:space="preserve">Column8448</t>
  </si>
  <si>
    <t xml:space="preserve">Column8449</t>
  </si>
  <si>
    <t xml:space="preserve">Column8450</t>
  </si>
  <si>
    <t xml:space="preserve">Column8451</t>
  </si>
  <si>
    <t xml:space="preserve">Column8452</t>
  </si>
  <si>
    <t xml:space="preserve">Column8453</t>
  </si>
  <si>
    <t xml:space="preserve">Column8454</t>
  </si>
  <si>
    <t xml:space="preserve">Column8455</t>
  </si>
  <si>
    <t xml:space="preserve">Column8456</t>
  </si>
  <si>
    <t xml:space="preserve">Column8457</t>
  </si>
  <si>
    <t xml:space="preserve">Column8458</t>
  </si>
  <si>
    <t xml:space="preserve">Column8459</t>
  </si>
  <si>
    <t xml:space="preserve">Column8460</t>
  </si>
  <si>
    <t xml:space="preserve">Column8461</t>
  </si>
  <si>
    <t xml:space="preserve">Column8462</t>
  </si>
  <si>
    <t xml:space="preserve">Column8463</t>
  </si>
  <si>
    <t xml:space="preserve">Column8464</t>
  </si>
  <si>
    <t xml:space="preserve">Column8465</t>
  </si>
  <si>
    <t xml:space="preserve">Column8466</t>
  </si>
  <si>
    <t xml:space="preserve">Column8467</t>
  </si>
  <si>
    <t xml:space="preserve">Column8468</t>
  </si>
  <si>
    <t xml:space="preserve">Column8469</t>
  </si>
  <si>
    <t xml:space="preserve">Column8470</t>
  </si>
  <si>
    <t xml:space="preserve">Column8471</t>
  </si>
  <si>
    <t xml:space="preserve">Column8472</t>
  </si>
  <si>
    <t xml:space="preserve">Column8473</t>
  </si>
  <si>
    <t xml:space="preserve">Column8474</t>
  </si>
  <si>
    <t xml:space="preserve">Column8475</t>
  </si>
  <si>
    <t xml:space="preserve">Column8476</t>
  </si>
  <si>
    <t xml:space="preserve">Column8477</t>
  </si>
  <si>
    <t xml:space="preserve">Column8478</t>
  </si>
  <si>
    <t xml:space="preserve">Column8479</t>
  </si>
  <si>
    <t xml:space="preserve">Column8480</t>
  </si>
  <si>
    <t xml:space="preserve">Column8481</t>
  </si>
  <si>
    <t xml:space="preserve">Column8482</t>
  </si>
  <si>
    <t xml:space="preserve">Column8483</t>
  </si>
  <si>
    <t xml:space="preserve">Column8484</t>
  </si>
  <si>
    <t xml:space="preserve">Column8485</t>
  </si>
  <si>
    <t xml:space="preserve">Column8486</t>
  </si>
  <si>
    <t xml:space="preserve">Column8487</t>
  </si>
  <si>
    <t xml:space="preserve">Column8488</t>
  </si>
  <si>
    <t xml:space="preserve">Column8489</t>
  </si>
  <si>
    <t xml:space="preserve">Column8490</t>
  </si>
  <si>
    <t xml:space="preserve">Column8491</t>
  </si>
  <si>
    <t xml:space="preserve">Column8492</t>
  </si>
  <si>
    <t xml:space="preserve">Column8493</t>
  </si>
  <si>
    <t xml:space="preserve">Column8494</t>
  </si>
  <si>
    <t xml:space="preserve">Column8495</t>
  </si>
  <si>
    <t xml:space="preserve">Column8496</t>
  </si>
  <si>
    <t xml:space="preserve">Column8497</t>
  </si>
  <si>
    <t xml:space="preserve">Column8498</t>
  </si>
  <si>
    <t xml:space="preserve">Column8499</t>
  </si>
  <si>
    <t xml:space="preserve">Column8500</t>
  </si>
  <si>
    <t xml:space="preserve">Column8501</t>
  </si>
  <si>
    <t xml:space="preserve">Column8502</t>
  </si>
  <si>
    <t xml:space="preserve">Column8503</t>
  </si>
  <si>
    <t xml:space="preserve">Column8504</t>
  </si>
  <si>
    <t xml:space="preserve">Column8505</t>
  </si>
  <si>
    <t xml:space="preserve">Column8506</t>
  </si>
  <si>
    <t xml:space="preserve">Column8507</t>
  </si>
  <si>
    <t xml:space="preserve">Column8508</t>
  </si>
  <si>
    <t xml:space="preserve">Column8509</t>
  </si>
  <si>
    <t xml:space="preserve">Column8510</t>
  </si>
  <si>
    <t xml:space="preserve">Column8511</t>
  </si>
  <si>
    <t xml:space="preserve">Column8512</t>
  </si>
  <si>
    <t xml:space="preserve">Column8513</t>
  </si>
  <si>
    <t xml:space="preserve">Column8514</t>
  </si>
  <si>
    <t xml:space="preserve">Column8515</t>
  </si>
  <si>
    <t xml:space="preserve">Column8516</t>
  </si>
  <si>
    <t xml:space="preserve">Column8517</t>
  </si>
  <si>
    <t xml:space="preserve">Column8518</t>
  </si>
  <si>
    <t xml:space="preserve">Column8519</t>
  </si>
  <si>
    <t xml:space="preserve">Column8520</t>
  </si>
  <si>
    <t xml:space="preserve">Column8521</t>
  </si>
  <si>
    <t xml:space="preserve">Column8522</t>
  </si>
  <si>
    <t xml:space="preserve">Column8523</t>
  </si>
  <si>
    <t xml:space="preserve">Column8524</t>
  </si>
  <si>
    <t xml:space="preserve">Column8525</t>
  </si>
  <si>
    <t xml:space="preserve">Column8526</t>
  </si>
  <si>
    <t xml:space="preserve">Column8527</t>
  </si>
  <si>
    <t xml:space="preserve">Column8528</t>
  </si>
  <si>
    <t xml:space="preserve">Column8529</t>
  </si>
  <si>
    <t xml:space="preserve">Column8530</t>
  </si>
  <si>
    <t xml:space="preserve">Column8531</t>
  </si>
  <si>
    <t xml:space="preserve">Column8532</t>
  </si>
  <si>
    <t xml:space="preserve">Column8533</t>
  </si>
  <si>
    <t xml:space="preserve">Column8534</t>
  </si>
  <si>
    <t xml:space="preserve">Column8535</t>
  </si>
  <si>
    <t xml:space="preserve">Column8536</t>
  </si>
  <si>
    <t xml:space="preserve">Column8537</t>
  </si>
  <si>
    <t xml:space="preserve">Column8538</t>
  </si>
  <si>
    <t xml:space="preserve">Column8539</t>
  </si>
  <si>
    <t xml:space="preserve">Column8540</t>
  </si>
  <si>
    <t xml:space="preserve">Column8541</t>
  </si>
  <si>
    <t xml:space="preserve">Column8542</t>
  </si>
  <si>
    <t xml:space="preserve">Column8543</t>
  </si>
  <si>
    <t xml:space="preserve">Column8544</t>
  </si>
  <si>
    <t xml:space="preserve">Column8545</t>
  </si>
  <si>
    <t xml:space="preserve">Column8546</t>
  </si>
  <si>
    <t xml:space="preserve">Column8547</t>
  </si>
  <si>
    <t xml:space="preserve">Column8548</t>
  </si>
  <si>
    <t xml:space="preserve">Column8549</t>
  </si>
  <si>
    <t xml:space="preserve">Column8550</t>
  </si>
  <si>
    <t xml:space="preserve">Column8551</t>
  </si>
  <si>
    <t xml:space="preserve">Column8552</t>
  </si>
  <si>
    <t xml:space="preserve">Column8553</t>
  </si>
  <si>
    <t xml:space="preserve">Column8554</t>
  </si>
  <si>
    <t xml:space="preserve">Column8555</t>
  </si>
  <si>
    <t xml:space="preserve">Column8556</t>
  </si>
  <si>
    <t xml:space="preserve">Column8557</t>
  </si>
  <si>
    <t xml:space="preserve">Column8558</t>
  </si>
  <si>
    <t xml:space="preserve">Column8559</t>
  </si>
  <si>
    <t xml:space="preserve">Column8560</t>
  </si>
  <si>
    <t xml:space="preserve">Column8561</t>
  </si>
  <si>
    <t xml:space="preserve">Column8562</t>
  </si>
  <si>
    <t xml:space="preserve">Column8563</t>
  </si>
  <si>
    <t xml:space="preserve">Column8564</t>
  </si>
  <si>
    <t xml:space="preserve">Column8565</t>
  </si>
  <si>
    <t xml:space="preserve">Column8566</t>
  </si>
  <si>
    <t xml:space="preserve">Column8567</t>
  </si>
  <si>
    <t xml:space="preserve">Column8568</t>
  </si>
  <si>
    <t xml:space="preserve">Column8569</t>
  </si>
  <si>
    <t xml:space="preserve">Column8570</t>
  </si>
  <si>
    <t xml:space="preserve">Column8571</t>
  </si>
  <si>
    <t xml:space="preserve">Column8572</t>
  </si>
  <si>
    <t xml:space="preserve">Column8573</t>
  </si>
  <si>
    <t xml:space="preserve">Column8574</t>
  </si>
  <si>
    <t xml:space="preserve">Column8575</t>
  </si>
  <si>
    <t xml:space="preserve">Column8576</t>
  </si>
  <si>
    <t xml:space="preserve">Column8577</t>
  </si>
  <si>
    <t xml:space="preserve">Column8578</t>
  </si>
  <si>
    <t xml:space="preserve">Column8579</t>
  </si>
  <si>
    <t xml:space="preserve">Column8580</t>
  </si>
  <si>
    <t xml:space="preserve">Column8581</t>
  </si>
  <si>
    <t xml:space="preserve">Column8582</t>
  </si>
  <si>
    <t xml:space="preserve">Column8583</t>
  </si>
  <si>
    <t xml:space="preserve">Column8584</t>
  </si>
  <si>
    <t xml:space="preserve">Column8585</t>
  </si>
  <si>
    <t xml:space="preserve">Column8586</t>
  </si>
  <si>
    <t xml:space="preserve">Column8587</t>
  </si>
  <si>
    <t xml:space="preserve">Column8588</t>
  </si>
  <si>
    <t xml:space="preserve">Column8589</t>
  </si>
  <si>
    <t xml:space="preserve">Column8590</t>
  </si>
  <si>
    <t xml:space="preserve">Column8591</t>
  </si>
  <si>
    <t xml:space="preserve">Column8592</t>
  </si>
  <si>
    <t xml:space="preserve">Column8593</t>
  </si>
  <si>
    <t xml:space="preserve">Column8594</t>
  </si>
  <si>
    <t xml:space="preserve">Column8595</t>
  </si>
  <si>
    <t xml:space="preserve">Column8596</t>
  </si>
  <si>
    <t xml:space="preserve">Column8597</t>
  </si>
  <si>
    <t xml:space="preserve">Column8598</t>
  </si>
  <si>
    <t xml:space="preserve">Column8599</t>
  </si>
  <si>
    <t xml:space="preserve">Column8600</t>
  </si>
  <si>
    <t xml:space="preserve">Column8601</t>
  </si>
  <si>
    <t xml:space="preserve">Column8602</t>
  </si>
  <si>
    <t xml:space="preserve">Column8603</t>
  </si>
  <si>
    <t xml:space="preserve">Column8604</t>
  </si>
  <si>
    <t xml:space="preserve">Column8605</t>
  </si>
  <si>
    <t xml:space="preserve">Column8606</t>
  </si>
  <si>
    <t xml:space="preserve">Column8607</t>
  </si>
  <si>
    <t xml:space="preserve">Column8608</t>
  </si>
  <si>
    <t xml:space="preserve">Column8609</t>
  </si>
  <si>
    <t xml:space="preserve">Column8610</t>
  </si>
  <si>
    <t xml:space="preserve">Column8611</t>
  </si>
  <si>
    <t xml:space="preserve">Column8612</t>
  </si>
  <si>
    <t xml:space="preserve">Column8613</t>
  </si>
  <si>
    <t xml:space="preserve">Column8614</t>
  </si>
  <si>
    <t xml:space="preserve">Column8615</t>
  </si>
  <si>
    <t xml:space="preserve">Column8616</t>
  </si>
  <si>
    <t xml:space="preserve">Column8617</t>
  </si>
  <si>
    <t xml:space="preserve">Column8618</t>
  </si>
  <si>
    <t xml:space="preserve">Column8619</t>
  </si>
  <si>
    <t xml:space="preserve">Column8620</t>
  </si>
  <si>
    <t xml:space="preserve">Column8621</t>
  </si>
  <si>
    <t xml:space="preserve">Column8622</t>
  </si>
  <si>
    <t xml:space="preserve">Column8623</t>
  </si>
  <si>
    <t xml:space="preserve">Column8624</t>
  </si>
  <si>
    <t xml:space="preserve">Column8625</t>
  </si>
  <si>
    <t xml:space="preserve">Column8626</t>
  </si>
  <si>
    <t xml:space="preserve">Column8627</t>
  </si>
  <si>
    <t xml:space="preserve">Column8628</t>
  </si>
  <si>
    <t xml:space="preserve">Column8629</t>
  </si>
  <si>
    <t xml:space="preserve">Column8630</t>
  </si>
  <si>
    <t xml:space="preserve">Column8631</t>
  </si>
  <si>
    <t xml:space="preserve">Column8632</t>
  </si>
  <si>
    <t xml:space="preserve">Column8633</t>
  </si>
  <si>
    <t xml:space="preserve">Column8634</t>
  </si>
  <si>
    <t xml:space="preserve">Column8635</t>
  </si>
  <si>
    <t xml:space="preserve">Column8636</t>
  </si>
  <si>
    <t xml:space="preserve">Column8637</t>
  </si>
  <si>
    <t xml:space="preserve">Column8638</t>
  </si>
  <si>
    <t xml:space="preserve">Column8639</t>
  </si>
  <si>
    <t xml:space="preserve">Column8640</t>
  </si>
  <si>
    <t xml:space="preserve">Column8641</t>
  </si>
  <si>
    <t xml:space="preserve">Column8642</t>
  </si>
  <si>
    <t xml:space="preserve">Column8643</t>
  </si>
  <si>
    <t xml:space="preserve">Column8644</t>
  </si>
  <si>
    <t xml:space="preserve">Column8645</t>
  </si>
  <si>
    <t xml:space="preserve">Column8646</t>
  </si>
  <si>
    <t xml:space="preserve">Column8647</t>
  </si>
  <si>
    <t xml:space="preserve">Column8648</t>
  </si>
  <si>
    <t xml:space="preserve">Column8649</t>
  </si>
  <si>
    <t xml:space="preserve">Column8650</t>
  </si>
  <si>
    <t xml:space="preserve">Column8651</t>
  </si>
  <si>
    <t xml:space="preserve">Column8652</t>
  </si>
  <si>
    <t xml:space="preserve">Column8653</t>
  </si>
  <si>
    <t xml:space="preserve">Column8654</t>
  </si>
  <si>
    <t xml:space="preserve">Column8655</t>
  </si>
  <si>
    <t xml:space="preserve">Column8656</t>
  </si>
  <si>
    <t xml:space="preserve">Column8657</t>
  </si>
  <si>
    <t xml:space="preserve">Column8658</t>
  </si>
  <si>
    <t xml:space="preserve">Column8659</t>
  </si>
  <si>
    <t xml:space="preserve">Column8660</t>
  </si>
  <si>
    <t xml:space="preserve">Column8661</t>
  </si>
  <si>
    <t xml:space="preserve">Column8662</t>
  </si>
  <si>
    <t xml:space="preserve">Column8663</t>
  </si>
  <si>
    <t xml:space="preserve">Column8664</t>
  </si>
  <si>
    <t xml:space="preserve">Column8665</t>
  </si>
  <si>
    <t xml:space="preserve">Column8666</t>
  </si>
  <si>
    <t xml:space="preserve">Column8667</t>
  </si>
  <si>
    <t xml:space="preserve">Column8668</t>
  </si>
  <si>
    <t xml:space="preserve">Column8669</t>
  </si>
  <si>
    <t xml:space="preserve">Column8670</t>
  </si>
  <si>
    <t xml:space="preserve">Column8671</t>
  </si>
  <si>
    <t xml:space="preserve">Column8672</t>
  </si>
  <si>
    <t xml:space="preserve">Column8673</t>
  </si>
  <si>
    <t xml:space="preserve">Column8674</t>
  </si>
  <si>
    <t xml:space="preserve">Column8675</t>
  </si>
  <si>
    <t xml:space="preserve">Column8676</t>
  </si>
  <si>
    <t xml:space="preserve">Column8677</t>
  </si>
  <si>
    <t xml:space="preserve">Column8678</t>
  </si>
  <si>
    <t xml:space="preserve">Column8679</t>
  </si>
  <si>
    <t xml:space="preserve">Column8680</t>
  </si>
  <si>
    <t xml:space="preserve">Column8681</t>
  </si>
  <si>
    <t xml:space="preserve">Column8682</t>
  </si>
  <si>
    <t xml:space="preserve">Column8683</t>
  </si>
  <si>
    <t xml:space="preserve">Column8684</t>
  </si>
  <si>
    <t xml:space="preserve">Column8685</t>
  </si>
  <si>
    <t xml:space="preserve">Column8686</t>
  </si>
  <si>
    <t xml:space="preserve">Column8687</t>
  </si>
  <si>
    <t xml:space="preserve">Column8688</t>
  </si>
  <si>
    <t xml:space="preserve">Column8689</t>
  </si>
  <si>
    <t xml:space="preserve">Column8690</t>
  </si>
  <si>
    <t xml:space="preserve">Column8691</t>
  </si>
  <si>
    <t xml:space="preserve">Column8692</t>
  </si>
  <si>
    <t xml:space="preserve">Column8693</t>
  </si>
  <si>
    <t xml:space="preserve">Column8694</t>
  </si>
  <si>
    <t xml:space="preserve">Column8695</t>
  </si>
  <si>
    <t xml:space="preserve">Column8696</t>
  </si>
  <si>
    <t xml:space="preserve">Column8697</t>
  </si>
  <si>
    <t xml:space="preserve">Column8698</t>
  </si>
  <si>
    <t xml:space="preserve">Column8699</t>
  </si>
  <si>
    <t xml:space="preserve">Column8700</t>
  </si>
  <si>
    <t xml:space="preserve">Column8701</t>
  </si>
  <si>
    <t xml:space="preserve">Column8702</t>
  </si>
  <si>
    <t xml:space="preserve">Column8703</t>
  </si>
  <si>
    <t xml:space="preserve">Column8704</t>
  </si>
  <si>
    <t xml:space="preserve">Column8705</t>
  </si>
  <si>
    <t xml:space="preserve">Column8706</t>
  </si>
  <si>
    <t xml:space="preserve">Column8707</t>
  </si>
  <si>
    <t xml:space="preserve">Column8708</t>
  </si>
  <si>
    <t xml:space="preserve">Column8709</t>
  </si>
  <si>
    <t xml:space="preserve">Column8710</t>
  </si>
  <si>
    <t xml:space="preserve">Column8711</t>
  </si>
  <si>
    <t xml:space="preserve">Column8712</t>
  </si>
  <si>
    <t xml:space="preserve">Column8713</t>
  </si>
  <si>
    <t xml:space="preserve">Column8714</t>
  </si>
  <si>
    <t xml:space="preserve">Column8715</t>
  </si>
  <si>
    <t xml:space="preserve">Column8716</t>
  </si>
  <si>
    <t xml:space="preserve">Column8717</t>
  </si>
  <si>
    <t xml:space="preserve">Column8718</t>
  </si>
  <si>
    <t xml:space="preserve">Column8719</t>
  </si>
  <si>
    <t xml:space="preserve">Column8720</t>
  </si>
  <si>
    <t xml:space="preserve">Column8721</t>
  </si>
  <si>
    <t xml:space="preserve">Column8722</t>
  </si>
  <si>
    <t xml:space="preserve">Column8723</t>
  </si>
  <si>
    <t xml:space="preserve">Column8724</t>
  </si>
  <si>
    <t xml:space="preserve">Column8725</t>
  </si>
  <si>
    <t xml:space="preserve">Column8726</t>
  </si>
  <si>
    <t xml:space="preserve">Column8727</t>
  </si>
  <si>
    <t xml:space="preserve">Column8728</t>
  </si>
  <si>
    <t xml:space="preserve">Column8729</t>
  </si>
  <si>
    <t xml:space="preserve">Column8730</t>
  </si>
  <si>
    <t xml:space="preserve">Column8731</t>
  </si>
  <si>
    <t xml:space="preserve">Column8732</t>
  </si>
  <si>
    <t xml:space="preserve">Column8733</t>
  </si>
  <si>
    <t xml:space="preserve">Column8734</t>
  </si>
  <si>
    <t xml:space="preserve">Column8735</t>
  </si>
  <si>
    <t xml:space="preserve">Column8736</t>
  </si>
  <si>
    <t xml:space="preserve">Column8737</t>
  </si>
  <si>
    <t xml:space="preserve">Column8738</t>
  </si>
  <si>
    <t xml:space="preserve">Column8739</t>
  </si>
  <si>
    <t xml:space="preserve">Column8740</t>
  </si>
  <si>
    <t xml:space="preserve">Column8741</t>
  </si>
  <si>
    <t xml:space="preserve">Column8742</t>
  </si>
  <si>
    <t xml:space="preserve">Column8743</t>
  </si>
  <si>
    <t xml:space="preserve">Column8744</t>
  </si>
  <si>
    <t xml:space="preserve">Column8745</t>
  </si>
  <si>
    <t xml:space="preserve">Column8746</t>
  </si>
  <si>
    <t xml:space="preserve">Column8747</t>
  </si>
  <si>
    <t xml:space="preserve">Column8748</t>
  </si>
  <si>
    <t xml:space="preserve">Column8749</t>
  </si>
  <si>
    <t xml:space="preserve">Column8750</t>
  </si>
  <si>
    <t xml:space="preserve">Column8751</t>
  </si>
  <si>
    <t xml:space="preserve">Column8752</t>
  </si>
  <si>
    <t xml:space="preserve">Column8753</t>
  </si>
  <si>
    <t xml:space="preserve">Column8754</t>
  </si>
  <si>
    <t xml:space="preserve">Column8755</t>
  </si>
  <si>
    <t xml:space="preserve">Column8756</t>
  </si>
  <si>
    <t xml:space="preserve">Column8757</t>
  </si>
  <si>
    <t xml:space="preserve">Column8758</t>
  </si>
  <si>
    <t xml:space="preserve">Column8759</t>
  </si>
  <si>
    <t xml:space="preserve">Column8760</t>
  </si>
  <si>
    <t xml:space="preserve">Column8761</t>
  </si>
  <si>
    <t xml:space="preserve">Column8762</t>
  </si>
  <si>
    <t xml:space="preserve">Column8763</t>
  </si>
  <si>
    <t xml:space="preserve">Column8764</t>
  </si>
  <si>
    <t xml:space="preserve">Column8765</t>
  </si>
  <si>
    <t xml:space="preserve">Column8766</t>
  </si>
  <si>
    <t xml:space="preserve">Column8767</t>
  </si>
  <si>
    <t xml:space="preserve">Column8768</t>
  </si>
  <si>
    <t xml:space="preserve">Column8769</t>
  </si>
  <si>
    <t xml:space="preserve">Column8770</t>
  </si>
  <si>
    <t xml:space="preserve">Column8771</t>
  </si>
  <si>
    <t xml:space="preserve">Column8772</t>
  </si>
  <si>
    <t xml:space="preserve">Column8773</t>
  </si>
  <si>
    <t xml:space="preserve">Column8774</t>
  </si>
  <si>
    <t xml:space="preserve">Column8775</t>
  </si>
  <si>
    <t xml:space="preserve">Column8776</t>
  </si>
  <si>
    <t xml:space="preserve">Column8777</t>
  </si>
  <si>
    <t xml:space="preserve">Column8778</t>
  </si>
  <si>
    <t xml:space="preserve">Column8779</t>
  </si>
  <si>
    <t xml:space="preserve">Column8780</t>
  </si>
  <si>
    <t xml:space="preserve">Column8781</t>
  </si>
  <si>
    <t xml:space="preserve">Column8782</t>
  </si>
  <si>
    <t xml:space="preserve">Column8783</t>
  </si>
  <si>
    <t xml:space="preserve">Column8784</t>
  </si>
  <si>
    <t xml:space="preserve">Column8785</t>
  </si>
  <si>
    <t xml:space="preserve">Column8786</t>
  </si>
  <si>
    <t xml:space="preserve">Column8787</t>
  </si>
  <si>
    <t xml:space="preserve">Column8788</t>
  </si>
  <si>
    <t xml:space="preserve">Column8789</t>
  </si>
  <si>
    <t xml:space="preserve">Column8790</t>
  </si>
  <si>
    <t xml:space="preserve">Column8791</t>
  </si>
  <si>
    <t xml:space="preserve">Column8792</t>
  </si>
  <si>
    <t xml:space="preserve">Column8793</t>
  </si>
  <si>
    <t xml:space="preserve">Column8794</t>
  </si>
  <si>
    <t xml:space="preserve">Column8795</t>
  </si>
  <si>
    <t xml:space="preserve">Column8796</t>
  </si>
  <si>
    <t xml:space="preserve">Column8797</t>
  </si>
  <si>
    <t xml:space="preserve">Column8798</t>
  </si>
  <si>
    <t xml:space="preserve">Column8799</t>
  </si>
  <si>
    <t xml:space="preserve">Column8800</t>
  </si>
  <si>
    <t xml:space="preserve">Column8801</t>
  </si>
  <si>
    <t xml:space="preserve">Column8802</t>
  </si>
  <si>
    <t xml:space="preserve">Column8803</t>
  </si>
  <si>
    <t xml:space="preserve">Column8804</t>
  </si>
  <si>
    <t xml:space="preserve">Column8805</t>
  </si>
  <si>
    <t xml:space="preserve">Column8806</t>
  </si>
  <si>
    <t xml:space="preserve">Column8807</t>
  </si>
  <si>
    <t xml:space="preserve">Column8808</t>
  </si>
  <si>
    <t xml:space="preserve">Column8809</t>
  </si>
  <si>
    <t xml:space="preserve">Column8810</t>
  </si>
  <si>
    <t xml:space="preserve">Column8811</t>
  </si>
  <si>
    <t xml:space="preserve">Column8812</t>
  </si>
  <si>
    <t xml:space="preserve">Column8813</t>
  </si>
  <si>
    <t xml:space="preserve">Column8814</t>
  </si>
  <si>
    <t xml:space="preserve">Column8815</t>
  </si>
  <si>
    <t xml:space="preserve">Column8816</t>
  </si>
  <si>
    <t xml:space="preserve">Column8817</t>
  </si>
  <si>
    <t xml:space="preserve">Column8818</t>
  </si>
  <si>
    <t xml:space="preserve">Column8819</t>
  </si>
  <si>
    <t xml:space="preserve">Column8820</t>
  </si>
  <si>
    <t xml:space="preserve">Column8821</t>
  </si>
  <si>
    <t xml:space="preserve">Column8822</t>
  </si>
  <si>
    <t xml:space="preserve">Column8823</t>
  </si>
  <si>
    <t xml:space="preserve">Column8824</t>
  </si>
  <si>
    <t xml:space="preserve">Column8825</t>
  </si>
  <si>
    <t xml:space="preserve">Column8826</t>
  </si>
  <si>
    <t xml:space="preserve">Column8827</t>
  </si>
  <si>
    <t xml:space="preserve">Column8828</t>
  </si>
  <si>
    <t xml:space="preserve">Column8829</t>
  </si>
  <si>
    <t xml:space="preserve">Column8830</t>
  </si>
  <si>
    <t xml:space="preserve">Column8831</t>
  </si>
  <si>
    <t xml:space="preserve">Column8832</t>
  </si>
  <si>
    <t xml:space="preserve">Column8833</t>
  </si>
  <si>
    <t xml:space="preserve">Column8834</t>
  </si>
  <si>
    <t xml:space="preserve">Column8835</t>
  </si>
  <si>
    <t xml:space="preserve">Column8836</t>
  </si>
  <si>
    <t xml:space="preserve">Column8837</t>
  </si>
  <si>
    <t xml:space="preserve">Column8838</t>
  </si>
  <si>
    <t xml:space="preserve">Column8839</t>
  </si>
  <si>
    <t xml:space="preserve">Column8840</t>
  </si>
  <si>
    <t xml:space="preserve">Column8841</t>
  </si>
  <si>
    <t xml:space="preserve">Column8842</t>
  </si>
  <si>
    <t xml:space="preserve">Column8843</t>
  </si>
  <si>
    <t xml:space="preserve">Column8844</t>
  </si>
  <si>
    <t xml:space="preserve">Column8845</t>
  </si>
  <si>
    <t xml:space="preserve">Column8846</t>
  </si>
  <si>
    <t xml:space="preserve">Column8847</t>
  </si>
  <si>
    <t xml:space="preserve">Column8848</t>
  </si>
  <si>
    <t xml:space="preserve">Column8849</t>
  </si>
  <si>
    <t xml:space="preserve">Column8850</t>
  </si>
  <si>
    <t xml:space="preserve">Column8851</t>
  </si>
  <si>
    <t xml:space="preserve">Column8852</t>
  </si>
  <si>
    <t xml:space="preserve">Column8853</t>
  </si>
  <si>
    <t xml:space="preserve">Column8854</t>
  </si>
  <si>
    <t xml:space="preserve">Column8855</t>
  </si>
  <si>
    <t xml:space="preserve">Column8856</t>
  </si>
  <si>
    <t xml:space="preserve">Column8857</t>
  </si>
  <si>
    <t xml:space="preserve">Column8858</t>
  </si>
  <si>
    <t xml:space="preserve">Column8859</t>
  </si>
  <si>
    <t xml:space="preserve">Column8860</t>
  </si>
  <si>
    <t xml:space="preserve">Column8861</t>
  </si>
  <si>
    <t xml:space="preserve">Column8862</t>
  </si>
  <si>
    <t xml:space="preserve">Column8863</t>
  </si>
  <si>
    <t xml:space="preserve">Column8864</t>
  </si>
  <si>
    <t xml:space="preserve">Column8865</t>
  </si>
  <si>
    <t xml:space="preserve">Column8866</t>
  </si>
  <si>
    <t xml:space="preserve">Column8867</t>
  </si>
  <si>
    <t xml:space="preserve">Column8868</t>
  </si>
  <si>
    <t xml:space="preserve">Column8869</t>
  </si>
  <si>
    <t xml:space="preserve">Column8870</t>
  </si>
  <si>
    <t xml:space="preserve">Column8871</t>
  </si>
  <si>
    <t xml:space="preserve">Column8872</t>
  </si>
  <si>
    <t xml:space="preserve">Column8873</t>
  </si>
  <si>
    <t xml:space="preserve">Column8874</t>
  </si>
  <si>
    <t xml:space="preserve">Column8875</t>
  </si>
  <si>
    <t xml:space="preserve">Column8876</t>
  </si>
  <si>
    <t xml:space="preserve">Column8877</t>
  </si>
  <si>
    <t xml:space="preserve">Column8878</t>
  </si>
  <si>
    <t xml:space="preserve">Column8879</t>
  </si>
  <si>
    <t xml:space="preserve">Column8880</t>
  </si>
  <si>
    <t xml:space="preserve">Column8881</t>
  </si>
  <si>
    <t xml:space="preserve">Column8882</t>
  </si>
  <si>
    <t xml:space="preserve">Column8883</t>
  </si>
  <si>
    <t xml:space="preserve">Column8884</t>
  </si>
  <si>
    <t xml:space="preserve">Column8885</t>
  </si>
  <si>
    <t xml:space="preserve">Column8886</t>
  </si>
  <si>
    <t xml:space="preserve">Column8887</t>
  </si>
  <si>
    <t xml:space="preserve">Column8888</t>
  </si>
  <si>
    <t xml:space="preserve">Column8889</t>
  </si>
  <si>
    <t xml:space="preserve">Column8890</t>
  </si>
  <si>
    <t xml:space="preserve">Column8891</t>
  </si>
  <si>
    <t xml:space="preserve">Column8892</t>
  </si>
  <si>
    <t xml:space="preserve">Column8893</t>
  </si>
  <si>
    <t xml:space="preserve">Column8894</t>
  </si>
  <si>
    <t xml:space="preserve">Column8895</t>
  </si>
  <si>
    <t xml:space="preserve">Column8896</t>
  </si>
  <si>
    <t xml:space="preserve">Column8897</t>
  </si>
  <si>
    <t xml:space="preserve">Column8898</t>
  </si>
  <si>
    <t xml:space="preserve">Column8899</t>
  </si>
  <si>
    <t xml:space="preserve">Column8900</t>
  </si>
  <si>
    <t xml:space="preserve">Column8901</t>
  </si>
  <si>
    <t xml:space="preserve">Column8902</t>
  </si>
  <si>
    <t xml:space="preserve">Column8903</t>
  </si>
  <si>
    <t xml:space="preserve">Column8904</t>
  </si>
  <si>
    <t xml:space="preserve">Column8905</t>
  </si>
  <si>
    <t xml:space="preserve">Column8906</t>
  </si>
  <si>
    <t xml:space="preserve">Column8907</t>
  </si>
  <si>
    <t xml:space="preserve">Column8908</t>
  </si>
  <si>
    <t xml:space="preserve">Column8909</t>
  </si>
  <si>
    <t xml:space="preserve">Column8910</t>
  </si>
  <si>
    <t xml:space="preserve">Column8911</t>
  </si>
  <si>
    <t xml:space="preserve">Column8912</t>
  </si>
  <si>
    <t xml:space="preserve">Column8913</t>
  </si>
  <si>
    <t xml:space="preserve">Column8914</t>
  </si>
  <si>
    <t xml:space="preserve">Column8915</t>
  </si>
  <si>
    <t xml:space="preserve">Column8916</t>
  </si>
  <si>
    <t xml:space="preserve">Column8917</t>
  </si>
  <si>
    <t xml:space="preserve">Column8918</t>
  </si>
  <si>
    <t xml:space="preserve">Column8919</t>
  </si>
  <si>
    <t xml:space="preserve">Column8920</t>
  </si>
  <si>
    <t xml:space="preserve">Column8921</t>
  </si>
  <si>
    <t xml:space="preserve">Column8922</t>
  </si>
  <si>
    <t xml:space="preserve">Column8923</t>
  </si>
  <si>
    <t xml:space="preserve">Column8924</t>
  </si>
  <si>
    <t xml:space="preserve">Column8925</t>
  </si>
  <si>
    <t xml:space="preserve">Column8926</t>
  </si>
  <si>
    <t xml:space="preserve">Column8927</t>
  </si>
  <si>
    <t xml:space="preserve">Column8928</t>
  </si>
  <si>
    <t xml:space="preserve">Column8929</t>
  </si>
  <si>
    <t xml:space="preserve">Column8930</t>
  </si>
  <si>
    <t xml:space="preserve">Column8931</t>
  </si>
  <si>
    <t xml:space="preserve">Column8932</t>
  </si>
  <si>
    <t xml:space="preserve">Column8933</t>
  </si>
  <si>
    <t xml:space="preserve">Column8934</t>
  </si>
  <si>
    <t xml:space="preserve">Column8935</t>
  </si>
  <si>
    <t xml:space="preserve">Column8936</t>
  </si>
  <si>
    <t xml:space="preserve">Column8937</t>
  </si>
  <si>
    <t xml:space="preserve">Column8938</t>
  </si>
  <si>
    <t xml:space="preserve">Column8939</t>
  </si>
  <si>
    <t xml:space="preserve">Column8940</t>
  </si>
  <si>
    <t xml:space="preserve">Column8941</t>
  </si>
  <si>
    <t xml:space="preserve">Column8942</t>
  </si>
  <si>
    <t xml:space="preserve">Column8943</t>
  </si>
  <si>
    <t xml:space="preserve">Column8944</t>
  </si>
  <si>
    <t xml:space="preserve">Column8945</t>
  </si>
  <si>
    <t xml:space="preserve">Column8946</t>
  </si>
  <si>
    <t xml:space="preserve">Column8947</t>
  </si>
  <si>
    <t xml:space="preserve">Column8948</t>
  </si>
  <si>
    <t xml:space="preserve">Column8949</t>
  </si>
  <si>
    <t xml:space="preserve">Column8950</t>
  </si>
  <si>
    <t xml:space="preserve">Column8951</t>
  </si>
  <si>
    <t xml:space="preserve">Column8952</t>
  </si>
  <si>
    <t xml:space="preserve">Column8953</t>
  </si>
  <si>
    <t xml:space="preserve">Column8954</t>
  </si>
  <si>
    <t xml:space="preserve">Column8955</t>
  </si>
  <si>
    <t xml:space="preserve">Column8956</t>
  </si>
  <si>
    <t xml:space="preserve">Column8957</t>
  </si>
  <si>
    <t xml:space="preserve">Column8958</t>
  </si>
  <si>
    <t xml:space="preserve">Column8959</t>
  </si>
  <si>
    <t xml:space="preserve">Column8960</t>
  </si>
  <si>
    <t xml:space="preserve">Column8961</t>
  </si>
  <si>
    <t xml:space="preserve">Column8962</t>
  </si>
  <si>
    <t xml:space="preserve">Column8963</t>
  </si>
  <si>
    <t xml:space="preserve">Column8964</t>
  </si>
  <si>
    <t xml:space="preserve">Column8965</t>
  </si>
  <si>
    <t xml:space="preserve">Column8966</t>
  </si>
  <si>
    <t xml:space="preserve">Column8967</t>
  </si>
  <si>
    <t xml:space="preserve">Column8968</t>
  </si>
  <si>
    <t xml:space="preserve">Column8969</t>
  </si>
  <si>
    <t xml:space="preserve">Column8970</t>
  </si>
  <si>
    <t xml:space="preserve">Column8971</t>
  </si>
  <si>
    <t xml:space="preserve">Column8972</t>
  </si>
  <si>
    <t xml:space="preserve">Column8973</t>
  </si>
  <si>
    <t xml:space="preserve">Column8974</t>
  </si>
  <si>
    <t xml:space="preserve">Column8975</t>
  </si>
  <si>
    <t xml:space="preserve">Column8976</t>
  </si>
  <si>
    <t xml:space="preserve">Column8977</t>
  </si>
  <si>
    <t xml:space="preserve">Column8978</t>
  </si>
  <si>
    <t xml:space="preserve">Column8979</t>
  </si>
  <si>
    <t xml:space="preserve">Column8980</t>
  </si>
  <si>
    <t xml:space="preserve">Column8981</t>
  </si>
  <si>
    <t xml:space="preserve">Column8982</t>
  </si>
  <si>
    <t xml:space="preserve">Column8983</t>
  </si>
  <si>
    <t xml:space="preserve">Column8984</t>
  </si>
  <si>
    <t xml:space="preserve">Column8985</t>
  </si>
  <si>
    <t xml:space="preserve">Column8986</t>
  </si>
  <si>
    <t xml:space="preserve">Column8987</t>
  </si>
  <si>
    <t xml:space="preserve">Column8988</t>
  </si>
  <si>
    <t xml:space="preserve">Column8989</t>
  </si>
  <si>
    <t xml:space="preserve">Column8990</t>
  </si>
  <si>
    <t xml:space="preserve">Column8991</t>
  </si>
  <si>
    <t xml:space="preserve">Column8992</t>
  </si>
  <si>
    <t xml:space="preserve">Column8993</t>
  </si>
  <si>
    <t xml:space="preserve">Column8994</t>
  </si>
  <si>
    <t xml:space="preserve">Column8995</t>
  </si>
  <si>
    <t xml:space="preserve">Column8996</t>
  </si>
  <si>
    <t xml:space="preserve">Column8997</t>
  </si>
  <si>
    <t xml:space="preserve">Column8998</t>
  </si>
  <si>
    <t xml:space="preserve">Column8999</t>
  </si>
  <si>
    <t xml:space="preserve">Column9000</t>
  </si>
  <si>
    <t xml:space="preserve">Column9001</t>
  </si>
  <si>
    <t xml:space="preserve">Column9002</t>
  </si>
  <si>
    <t xml:space="preserve">Column9003</t>
  </si>
  <si>
    <t xml:space="preserve">Column9004</t>
  </si>
  <si>
    <t xml:space="preserve">Column9005</t>
  </si>
  <si>
    <t xml:space="preserve">Column9006</t>
  </si>
  <si>
    <t xml:space="preserve">Column9007</t>
  </si>
  <si>
    <t xml:space="preserve">Column9008</t>
  </si>
  <si>
    <t xml:space="preserve">Column9009</t>
  </si>
  <si>
    <t xml:space="preserve">Column9010</t>
  </si>
  <si>
    <t xml:space="preserve">Column9011</t>
  </si>
  <si>
    <t xml:space="preserve">Column9012</t>
  </si>
  <si>
    <t xml:space="preserve">Column9013</t>
  </si>
  <si>
    <t xml:space="preserve">Column9014</t>
  </si>
  <si>
    <t xml:space="preserve">Column9015</t>
  </si>
  <si>
    <t xml:space="preserve">Column9016</t>
  </si>
  <si>
    <t xml:space="preserve">Column9017</t>
  </si>
  <si>
    <t xml:space="preserve">Column9018</t>
  </si>
  <si>
    <t xml:space="preserve">Column9019</t>
  </si>
  <si>
    <t xml:space="preserve">Column9020</t>
  </si>
  <si>
    <t xml:space="preserve">Column9021</t>
  </si>
  <si>
    <t xml:space="preserve">Column9022</t>
  </si>
  <si>
    <t xml:space="preserve">Column9023</t>
  </si>
  <si>
    <t xml:space="preserve">Column9024</t>
  </si>
  <si>
    <t xml:space="preserve">Column9025</t>
  </si>
  <si>
    <t xml:space="preserve">Column9026</t>
  </si>
  <si>
    <t xml:space="preserve">Column9027</t>
  </si>
  <si>
    <t xml:space="preserve">Column9028</t>
  </si>
  <si>
    <t xml:space="preserve">Column9029</t>
  </si>
  <si>
    <t xml:space="preserve">Column9030</t>
  </si>
  <si>
    <t xml:space="preserve">Column9031</t>
  </si>
  <si>
    <t xml:space="preserve">Column9032</t>
  </si>
  <si>
    <t xml:space="preserve">Column9033</t>
  </si>
  <si>
    <t xml:space="preserve">Column9034</t>
  </si>
  <si>
    <t xml:space="preserve">Column9035</t>
  </si>
  <si>
    <t xml:space="preserve">Column9036</t>
  </si>
  <si>
    <t xml:space="preserve">Column9037</t>
  </si>
  <si>
    <t xml:space="preserve">Column9038</t>
  </si>
  <si>
    <t xml:space="preserve">Column9039</t>
  </si>
  <si>
    <t xml:space="preserve">Column9040</t>
  </si>
  <si>
    <t xml:space="preserve">Column9041</t>
  </si>
  <si>
    <t xml:space="preserve">Column9042</t>
  </si>
  <si>
    <t xml:space="preserve">Column9043</t>
  </si>
  <si>
    <t xml:space="preserve">Column9044</t>
  </si>
  <si>
    <t xml:space="preserve">Column9045</t>
  </si>
  <si>
    <t xml:space="preserve">Column9046</t>
  </si>
  <si>
    <t xml:space="preserve">Column9047</t>
  </si>
  <si>
    <t xml:space="preserve">Column9048</t>
  </si>
  <si>
    <t xml:space="preserve">Column9049</t>
  </si>
  <si>
    <t xml:space="preserve">Column9050</t>
  </si>
  <si>
    <t xml:space="preserve">Column9051</t>
  </si>
  <si>
    <t xml:space="preserve">Column9052</t>
  </si>
  <si>
    <t xml:space="preserve">Column9053</t>
  </si>
  <si>
    <t xml:space="preserve">Column9054</t>
  </si>
  <si>
    <t xml:space="preserve">Column9055</t>
  </si>
  <si>
    <t xml:space="preserve">Column9056</t>
  </si>
  <si>
    <t xml:space="preserve">Column9057</t>
  </si>
  <si>
    <t xml:space="preserve">Column9058</t>
  </si>
  <si>
    <t xml:space="preserve">Column9059</t>
  </si>
  <si>
    <t xml:space="preserve">Column9060</t>
  </si>
  <si>
    <t xml:space="preserve">Column9061</t>
  </si>
  <si>
    <t xml:space="preserve">Column9062</t>
  </si>
  <si>
    <t xml:space="preserve">Column9063</t>
  </si>
  <si>
    <t xml:space="preserve">Column9064</t>
  </si>
  <si>
    <t xml:space="preserve">Column9065</t>
  </si>
  <si>
    <t xml:space="preserve">Column9066</t>
  </si>
  <si>
    <t xml:space="preserve">Column9067</t>
  </si>
  <si>
    <t xml:space="preserve">Column9068</t>
  </si>
  <si>
    <t xml:space="preserve">Column9069</t>
  </si>
  <si>
    <t xml:space="preserve">Column9070</t>
  </si>
  <si>
    <t xml:space="preserve">Column9071</t>
  </si>
  <si>
    <t xml:space="preserve">Column9072</t>
  </si>
  <si>
    <t xml:space="preserve">Column9073</t>
  </si>
  <si>
    <t xml:space="preserve">Column9074</t>
  </si>
  <si>
    <t xml:space="preserve">Column9075</t>
  </si>
  <si>
    <t xml:space="preserve">Column9076</t>
  </si>
  <si>
    <t xml:space="preserve">Column9077</t>
  </si>
  <si>
    <t xml:space="preserve">Column9078</t>
  </si>
  <si>
    <t xml:space="preserve">Column9079</t>
  </si>
  <si>
    <t xml:space="preserve">Column9080</t>
  </si>
  <si>
    <t xml:space="preserve">Column9081</t>
  </si>
  <si>
    <t xml:space="preserve">Column9082</t>
  </si>
  <si>
    <t xml:space="preserve">Column9083</t>
  </si>
  <si>
    <t xml:space="preserve">Column9084</t>
  </si>
  <si>
    <t xml:space="preserve">Column9085</t>
  </si>
  <si>
    <t xml:space="preserve">Column9086</t>
  </si>
  <si>
    <t xml:space="preserve">Column9087</t>
  </si>
  <si>
    <t xml:space="preserve">Column9088</t>
  </si>
  <si>
    <t xml:space="preserve">Column9089</t>
  </si>
  <si>
    <t xml:space="preserve">Column9090</t>
  </si>
  <si>
    <t xml:space="preserve">Column9091</t>
  </si>
  <si>
    <t xml:space="preserve">Column9092</t>
  </si>
  <si>
    <t xml:space="preserve">Column9093</t>
  </si>
  <si>
    <t xml:space="preserve">Column9094</t>
  </si>
  <si>
    <t xml:space="preserve">Column9095</t>
  </si>
  <si>
    <t xml:space="preserve">Column9096</t>
  </si>
  <si>
    <t xml:space="preserve">Column9097</t>
  </si>
  <si>
    <t xml:space="preserve">Column9098</t>
  </si>
  <si>
    <t xml:space="preserve">Column9099</t>
  </si>
  <si>
    <t xml:space="preserve">Column9100</t>
  </si>
  <si>
    <t xml:space="preserve">Column9101</t>
  </si>
  <si>
    <t xml:space="preserve">Column9102</t>
  </si>
  <si>
    <t xml:space="preserve">Column9103</t>
  </si>
  <si>
    <t xml:space="preserve">Column9104</t>
  </si>
  <si>
    <t xml:space="preserve">Column9105</t>
  </si>
  <si>
    <t xml:space="preserve">Column9106</t>
  </si>
  <si>
    <t xml:space="preserve">Column9107</t>
  </si>
  <si>
    <t xml:space="preserve">Column9108</t>
  </si>
  <si>
    <t xml:space="preserve">Column9109</t>
  </si>
  <si>
    <t xml:space="preserve">Column9110</t>
  </si>
  <si>
    <t xml:space="preserve">Column9111</t>
  </si>
  <si>
    <t xml:space="preserve">Column9112</t>
  </si>
  <si>
    <t xml:space="preserve">Column9113</t>
  </si>
  <si>
    <t xml:space="preserve">Column9114</t>
  </si>
  <si>
    <t xml:space="preserve">Column9115</t>
  </si>
  <si>
    <t xml:space="preserve">Column9116</t>
  </si>
  <si>
    <t xml:space="preserve">Column9117</t>
  </si>
  <si>
    <t xml:space="preserve">Column9118</t>
  </si>
  <si>
    <t xml:space="preserve">Column9119</t>
  </si>
  <si>
    <t xml:space="preserve">Column9120</t>
  </si>
  <si>
    <t xml:space="preserve">Column9121</t>
  </si>
  <si>
    <t xml:space="preserve">Column9122</t>
  </si>
  <si>
    <t xml:space="preserve">Column9123</t>
  </si>
  <si>
    <t xml:space="preserve">Column9124</t>
  </si>
  <si>
    <t xml:space="preserve">Column9125</t>
  </si>
  <si>
    <t xml:space="preserve">Column9126</t>
  </si>
  <si>
    <t xml:space="preserve">Column9127</t>
  </si>
  <si>
    <t xml:space="preserve">Column9128</t>
  </si>
  <si>
    <t xml:space="preserve">Column9129</t>
  </si>
  <si>
    <t xml:space="preserve">Column9130</t>
  </si>
  <si>
    <t xml:space="preserve">Column9131</t>
  </si>
  <si>
    <t xml:space="preserve">Column9132</t>
  </si>
  <si>
    <t xml:space="preserve">Column9133</t>
  </si>
  <si>
    <t xml:space="preserve">Column9134</t>
  </si>
  <si>
    <t xml:space="preserve">Column9135</t>
  </si>
  <si>
    <t xml:space="preserve">Column9136</t>
  </si>
  <si>
    <t xml:space="preserve">Column9137</t>
  </si>
  <si>
    <t xml:space="preserve">Column9138</t>
  </si>
  <si>
    <t xml:space="preserve">Column9139</t>
  </si>
  <si>
    <t xml:space="preserve">Column9140</t>
  </si>
  <si>
    <t xml:space="preserve">Column9141</t>
  </si>
  <si>
    <t xml:space="preserve">Column9142</t>
  </si>
  <si>
    <t xml:space="preserve">Column9143</t>
  </si>
  <si>
    <t xml:space="preserve">Column9144</t>
  </si>
  <si>
    <t xml:space="preserve">Column9145</t>
  </si>
  <si>
    <t xml:space="preserve">Column9146</t>
  </si>
  <si>
    <t xml:space="preserve">Column9147</t>
  </si>
  <si>
    <t xml:space="preserve">Column9148</t>
  </si>
  <si>
    <t xml:space="preserve">Column9149</t>
  </si>
  <si>
    <t xml:space="preserve">Column9150</t>
  </si>
  <si>
    <t xml:space="preserve">Column9151</t>
  </si>
  <si>
    <t xml:space="preserve">Column9152</t>
  </si>
  <si>
    <t xml:space="preserve">Column9153</t>
  </si>
  <si>
    <t xml:space="preserve">Column9154</t>
  </si>
  <si>
    <t xml:space="preserve">Column9155</t>
  </si>
  <si>
    <t xml:space="preserve">Column9156</t>
  </si>
  <si>
    <t xml:space="preserve">Column9157</t>
  </si>
  <si>
    <t xml:space="preserve">Column9158</t>
  </si>
  <si>
    <t xml:space="preserve">Column9159</t>
  </si>
  <si>
    <t xml:space="preserve">Column9160</t>
  </si>
  <si>
    <t xml:space="preserve">Column9161</t>
  </si>
  <si>
    <t xml:space="preserve">Column9162</t>
  </si>
  <si>
    <t xml:space="preserve">Column9163</t>
  </si>
  <si>
    <t xml:space="preserve">Column9164</t>
  </si>
  <si>
    <t xml:space="preserve">Column9165</t>
  </si>
  <si>
    <t xml:space="preserve">Column9166</t>
  </si>
  <si>
    <t xml:space="preserve">Column9167</t>
  </si>
  <si>
    <t xml:space="preserve">Column9168</t>
  </si>
  <si>
    <t xml:space="preserve">Column9169</t>
  </si>
  <si>
    <t xml:space="preserve">Column9170</t>
  </si>
  <si>
    <t xml:space="preserve">Column9171</t>
  </si>
  <si>
    <t xml:space="preserve">Column9172</t>
  </si>
  <si>
    <t xml:space="preserve">Column9173</t>
  </si>
  <si>
    <t xml:space="preserve">Column9174</t>
  </si>
  <si>
    <t xml:space="preserve">Column9175</t>
  </si>
  <si>
    <t xml:space="preserve">Column9176</t>
  </si>
  <si>
    <t xml:space="preserve">Column9177</t>
  </si>
  <si>
    <t xml:space="preserve">Column9178</t>
  </si>
  <si>
    <t xml:space="preserve">Column9179</t>
  </si>
  <si>
    <t xml:space="preserve">Column9180</t>
  </si>
  <si>
    <t xml:space="preserve">Column9181</t>
  </si>
  <si>
    <t xml:space="preserve">Column9182</t>
  </si>
  <si>
    <t xml:space="preserve">Column9183</t>
  </si>
  <si>
    <t xml:space="preserve">Column9184</t>
  </si>
  <si>
    <t xml:space="preserve">Column9185</t>
  </si>
  <si>
    <t xml:space="preserve">Column9186</t>
  </si>
  <si>
    <t xml:space="preserve">Column9187</t>
  </si>
  <si>
    <t xml:space="preserve">Column9188</t>
  </si>
  <si>
    <t xml:space="preserve">Column9189</t>
  </si>
  <si>
    <t xml:space="preserve">Column9190</t>
  </si>
  <si>
    <t xml:space="preserve">Column9191</t>
  </si>
  <si>
    <t xml:space="preserve">Column9192</t>
  </si>
  <si>
    <t xml:space="preserve">Column9193</t>
  </si>
  <si>
    <t xml:space="preserve">Column9194</t>
  </si>
  <si>
    <t xml:space="preserve">Column9195</t>
  </si>
  <si>
    <t xml:space="preserve">Column9196</t>
  </si>
  <si>
    <t xml:space="preserve">Column9197</t>
  </si>
  <si>
    <t xml:space="preserve">Column9198</t>
  </si>
  <si>
    <t xml:space="preserve">Column9199</t>
  </si>
  <si>
    <t xml:space="preserve">Column9200</t>
  </si>
  <si>
    <t xml:space="preserve">Column9201</t>
  </si>
  <si>
    <t xml:space="preserve">Column9202</t>
  </si>
  <si>
    <t xml:space="preserve">Column9203</t>
  </si>
  <si>
    <t xml:space="preserve">Column9204</t>
  </si>
  <si>
    <t xml:space="preserve">Column9205</t>
  </si>
  <si>
    <t xml:space="preserve">Column9206</t>
  </si>
  <si>
    <t xml:space="preserve">Column9207</t>
  </si>
  <si>
    <t xml:space="preserve">Column9208</t>
  </si>
  <si>
    <t xml:space="preserve">Column9209</t>
  </si>
  <si>
    <t xml:space="preserve">Column9210</t>
  </si>
  <si>
    <t xml:space="preserve">Column9211</t>
  </si>
  <si>
    <t xml:space="preserve">Column9212</t>
  </si>
  <si>
    <t xml:space="preserve">Column9213</t>
  </si>
  <si>
    <t xml:space="preserve">Column9214</t>
  </si>
  <si>
    <t xml:space="preserve">Column9215</t>
  </si>
  <si>
    <t xml:space="preserve">Column9216</t>
  </si>
  <si>
    <t xml:space="preserve">Column9217</t>
  </si>
  <si>
    <t xml:space="preserve">Column9218</t>
  </si>
  <si>
    <t xml:space="preserve">Column9219</t>
  </si>
  <si>
    <t xml:space="preserve">Column9220</t>
  </si>
  <si>
    <t xml:space="preserve">Column9221</t>
  </si>
  <si>
    <t xml:space="preserve">Column9222</t>
  </si>
  <si>
    <t xml:space="preserve">Column9223</t>
  </si>
  <si>
    <t xml:space="preserve">Column9224</t>
  </si>
  <si>
    <t xml:space="preserve">Column9225</t>
  </si>
  <si>
    <t xml:space="preserve">Column9226</t>
  </si>
  <si>
    <t xml:space="preserve">Column9227</t>
  </si>
  <si>
    <t xml:space="preserve">Column9228</t>
  </si>
  <si>
    <t xml:space="preserve">Column9229</t>
  </si>
  <si>
    <t xml:space="preserve">Column9230</t>
  </si>
  <si>
    <t xml:space="preserve">Column9231</t>
  </si>
  <si>
    <t xml:space="preserve">Column9232</t>
  </si>
  <si>
    <t xml:space="preserve">Column9233</t>
  </si>
  <si>
    <t xml:space="preserve">Column9234</t>
  </si>
  <si>
    <t xml:space="preserve">Column9235</t>
  </si>
  <si>
    <t xml:space="preserve">Column9236</t>
  </si>
  <si>
    <t xml:space="preserve">Column9237</t>
  </si>
  <si>
    <t xml:space="preserve">Column9238</t>
  </si>
  <si>
    <t xml:space="preserve">Column9239</t>
  </si>
  <si>
    <t xml:space="preserve">Column9240</t>
  </si>
  <si>
    <t xml:space="preserve">Column9241</t>
  </si>
  <si>
    <t xml:space="preserve">Column9242</t>
  </si>
  <si>
    <t xml:space="preserve">Column9243</t>
  </si>
  <si>
    <t xml:space="preserve">Column9244</t>
  </si>
  <si>
    <t xml:space="preserve">Column9245</t>
  </si>
  <si>
    <t xml:space="preserve">Column9246</t>
  </si>
  <si>
    <t xml:space="preserve">Column9247</t>
  </si>
  <si>
    <t xml:space="preserve">Column9248</t>
  </si>
  <si>
    <t xml:space="preserve">Column9249</t>
  </si>
  <si>
    <t xml:space="preserve">Column9250</t>
  </si>
  <si>
    <t xml:space="preserve">Column9251</t>
  </si>
  <si>
    <t xml:space="preserve">Column9252</t>
  </si>
  <si>
    <t xml:space="preserve">Column9253</t>
  </si>
  <si>
    <t xml:space="preserve">Column9254</t>
  </si>
  <si>
    <t xml:space="preserve">Column9255</t>
  </si>
  <si>
    <t xml:space="preserve">Column9256</t>
  </si>
  <si>
    <t xml:space="preserve">Column9257</t>
  </si>
  <si>
    <t xml:space="preserve">Column9258</t>
  </si>
  <si>
    <t xml:space="preserve">Column9259</t>
  </si>
  <si>
    <t xml:space="preserve">Column9260</t>
  </si>
  <si>
    <t xml:space="preserve">Column9261</t>
  </si>
  <si>
    <t xml:space="preserve">Column9262</t>
  </si>
  <si>
    <t xml:space="preserve">Column9263</t>
  </si>
  <si>
    <t xml:space="preserve">Column9264</t>
  </si>
  <si>
    <t xml:space="preserve">Column9265</t>
  </si>
  <si>
    <t xml:space="preserve">Column9266</t>
  </si>
  <si>
    <t xml:space="preserve">Column9267</t>
  </si>
  <si>
    <t xml:space="preserve">Column9268</t>
  </si>
  <si>
    <t xml:space="preserve">Column9269</t>
  </si>
  <si>
    <t xml:space="preserve">Column9270</t>
  </si>
  <si>
    <t xml:space="preserve">Column9271</t>
  </si>
  <si>
    <t xml:space="preserve">Column9272</t>
  </si>
  <si>
    <t xml:space="preserve">Column9273</t>
  </si>
  <si>
    <t xml:space="preserve">Column9274</t>
  </si>
  <si>
    <t xml:space="preserve">Column9275</t>
  </si>
  <si>
    <t xml:space="preserve">Column9276</t>
  </si>
  <si>
    <t xml:space="preserve">Column9277</t>
  </si>
  <si>
    <t xml:space="preserve">Column9278</t>
  </si>
  <si>
    <t xml:space="preserve">Column9279</t>
  </si>
  <si>
    <t xml:space="preserve">Column9280</t>
  </si>
  <si>
    <t xml:space="preserve">Column9281</t>
  </si>
  <si>
    <t xml:space="preserve">Column9282</t>
  </si>
  <si>
    <t xml:space="preserve">Column9283</t>
  </si>
  <si>
    <t xml:space="preserve">Column9284</t>
  </si>
  <si>
    <t xml:space="preserve">Column9285</t>
  </si>
  <si>
    <t xml:space="preserve">Column9286</t>
  </si>
  <si>
    <t xml:space="preserve">Column9287</t>
  </si>
  <si>
    <t xml:space="preserve">Column9288</t>
  </si>
  <si>
    <t xml:space="preserve">Column9289</t>
  </si>
  <si>
    <t xml:space="preserve">Column9290</t>
  </si>
  <si>
    <t xml:space="preserve">Column9291</t>
  </si>
  <si>
    <t xml:space="preserve">Column9292</t>
  </si>
  <si>
    <t xml:space="preserve">Column9293</t>
  </si>
  <si>
    <t xml:space="preserve">Column9294</t>
  </si>
  <si>
    <t xml:space="preserve">Column9295</t>
  </si>
  <si>
    <t xml:space="preserve">Column9296</t>
  </si>
  <si>
    <t xml:space="preserve">Column9297</t>
  </si>
  <si>
    <t xml:space="preserve">Column9298</t>
  </si>
  <si>
    <t xml:space="preserve">Column9299</t>
  </si>
  <si>
    <t xml:space="preserve">Column9300</t>
  </si>
  <si>
    <t xml:space="preserve">Column9301</t>
  </si>
  <si>
    <t xml:space="preserve">Column9302</t>
  </si>
  <si>
    <t xml:space="preserve">Column9303</t>
  </si>
  <si>
    <t xml:space="preserve">Column9304</t>
  </si>
  <si>
    <t xml:space="preserve">Column9305</t>
  </si>
  <si>
    <t xml:space="preserve">Column9306</t>
  </si>
  <si>
    <t xml:space="preserve">Column9307</t>
  </si>
  <si>
    <t xml:space="preserve">Column9308</t>
  </si>
  <si>
    <t xml:space="preserve">Column9309</t>
  </si>
  <si>
    <t xml:space="preserve">Column9310</t>
  </si>
  <si>
    <t xml:space="preserve">Column9311</t>
  </si>
  <si>
    <t xml:space="preserve">Column9312</t>
  </si>
  <si>
    <t xml:space="preserve">Column9313</t>
  </si>
  <si>
    <t xml:space="preserve">Column9314</t>
  </si>
  <si>
    <t xml:space="preserve">Column9315</t>
  </si>
  <si>
    <t xml:space="preserve">Column9316</t>
  </si>
  <si>
    <t xml:space="preserve">Column9317</t>
  </si>
  <si>
    <t xml:space="preserve">Column9318</t>
  </si>
  <si>
    <t xml:space="preserve">Column9319</t>
  </si>
  <si>
    <t xml:space="preserve">Column9320</t>
  </si>
  <si>
    <t xml:space="preserve">Column9321</t>
  </si>
  <si>
    <t xml:space="preserve">Column9322</t>
  </si>
  <si>
    <t xml:space="preserve">Column9323</t>
  </si>
  <si>
    <t xml:space="preserve">Column9324</t>
  </si>
  <si>
    <t xml:space="preserve">Column9325</t>
  </si>
  <si>
    <t xml:space="preserve">Column9326</t>
  </si>
  <si>
    <t xml:space="preserve">Column9327</t>
  </si>
  <si>
    <t xml:space="preserve">Column9328</t>
  </si>
  <si>
    <t xml:space="preserve">Column9329</t>
  </si>
  <si>
    <t xml:space="preserve">Column9330</t>
  </si>
  <si>
    <t xml:space="preserve">Column9331</t>
  </si>
  <si>
    <t xml:space="preserve">Column9332</t>
  </si>
  <si>
    <t xml:space="preserve">Column9333</t>
  </si>
  <si>
    <t xml:space="preserve">Column9334</t>
  </si>
  <si>
    <t xml:space="preserve">Column9335</t>
  </si>
  <si>
    <t xml:space="preserve">Column9336</t>
  </si>
  <si>
    <t xml:space="preserve">Column9337</t>
  </si>
  <si>
    <t xml:space="preserve">Column9338</t>
  </si>
  <si>
    <t xml:space="preserve">Column9339</t>
  </si>
  <si>
    <t xml:space="preserve">Column9340</t>
  </si>
  <si>
    <t xml:space="preserve">Column9341</t>
  </si>
  <si>
    <t xml:space="preserve">Column9342</t>
  </si>
  <si>
    <t xml:space="preserve">Column9343</t>
  </si>
  <si>
    <t xml:space="preserve">Column9344</t>
  </si>
  <si>
    <t xml:space="preserve">Column9345</t>
  </si>
  <si>
    <t xml:space="preserve">Column9346</t>
  </si>
  <si>
    <t xml:space="preserve">Column9347</t>
  </si>
  <si>
    <t xml:space="preserve">Column9348</t>
  </si>
  <si>
    <t xml:space="preserve">Column9349</t>
  </si>
  <si>
    <t xml:space="preserve">Column9350</t>
  </si>
  <si>
    <t xml:space="preserve">Column9351</t>
  </si>
  <si>
    <t xml:space="preserve">Column9352</t>
  </si>
  <si>
    <t xml:space="preserve">Column9353</t>
  </si>
  <si>
    <t xml:space="preserve">Column9354</t>
  </si>
  <si>
    <t xml:space="preserve">Column9355</t>
  </si>
  <si>
    <t xml:space="preserve">Column9356</t>
  </si>
  <si>
    <t xml:space="preserve">Column9357</t>
  </si>
  <si>
    <t xml:space="preserve">Column9358</t>
  </si>
  <si>
    <t xml:space="preserve">Column9359</t>
  </si>
  <si>
    <t xml:space="preserve">Column9360</t>
  </si>
  <si>
    <t xml:space="preserve">Column9361</t>
  </si>
  <si>
    <t xml:space="preserve">Column9362</t>
  </si>
  <si>
    <t xml:space="preserve">Column9363</t>
  </si>
  <si>
    <t xml:space="preserve">Column9364</t>
  </si>
  <si>
    <t xml:space="preserve">Column9365</t>
  </si>
  <si>
    <t xml:space="preserve">Column9366</t>
  </si>
  <si>
    <t xml:space="preserve">Column9367</t>
  </si>
  <si>
    <t xml:space="preserve">Column9368</t>
  </si>
  <si>
    <t xml:space="preserve">Column9369</t>
  </si>
  <si>
    <t xml:space="preserve">Column9370</t>
  </si>
  <si>
    <t xml:space="preserve">Column9371</t>
  </si>
  <si>
    <t xml:space="preserve">Column9372</t>
  </si>
  <si>
    <t xml:space="preserve">Column9373</t>
  </si>
  <si>
    <t xml:space="preserve">Column9374</t>
  </si>
  <si>
    <t xml:space="preserve">Column9375</t>
  </si>
  <si>
    <t xml:space="preserve">Column9376</t>
  </si>
  <si>
    <t xml:space="preserve">Column9377</t>
  </si>
  <si>
    <t xml:space="preserve">Column9378</t>
  </si>
  <si>
    <t xml:space="preserve">Column9379</t>
  </si>
  <si>
    <t xml:space="preserve">Column9380</t>
  </si>
  <si>
    <t xml:space="preserve">Column9381</t>
  </si>
  <si>
    <t xml:space="preserve">Column9382</t>
  </si>
  <si>
    <t xml:space="preserve">Column9383</t>
  </si>
  <si>
    <t xml:space="preserve">Column9384</t>
  </si>
  <si>
    <t xml:space="preserve">Column9385</t>
  </si>
  <si>
    <t xml:space="preserve">Column9386</t>
  </si>
  <si>
    <t xml:space="preserve">Column9387</t>
  </si>
  <si>
    <t xml:space="preserve">Column9388</t>
  </si>
  <si>
    <t xml:space="preserve">Column9389</t>
  </si>
  <si>
    <t xml:space="preserve">Column9390</t>
  </si>
  <si>
    <t xml:space="preserve">Column9391</t>
  </si>
  <si>
    <t xml:space="preserve">Column9392</t>
  </si>
  <si>
    <t xml:space="preserve">Column9393</t>
  </si>
  <si>
    <t xml:space="preserve">Column9394</t>
  </si>
  <si>
    <t xml:space="preserve">Column9395</t>
  </si>
  <si>
    <t xml:space="preserve">Column9396</t>
  </si>
  <si>
    <t xml:space="preserve">Column9397</t>
  </si>
  <si>
    <t xml:space="preserve">Column9398</t>
  </si>
  <si>
    <t xml:space="preserve">Column9399</t>
  </si>
  <si>
    <t xml:space="preserve">Column9400</t>
  </si>
  <si>
    <t xml:space="preserve">Column9401</t>
  </si>
  <si>
    <t xml:space="preserve">Column9402</t>
  </si>
  <si>
    <t xml:space="preserve">Column9403</t>
  </si>
  <si>
    <t xml:space="preserve">Column9404</t>
  </si>
  <si>
    <t xml:space="preserve">Column9405</t>
  </si>
  <si>
    <t xml:space="preserve">Column9406</t>
  </si>
  <si>
    <t xml:space="preserve">Column9407</t>
  </si>
  <si>
    <t xml:space="preserve">Column9408</t>
  </si>
  <si>
    <t xml:space="preserve">Column9409</t>
  </si>
  <si>
    <t xml:space="preserve">Column9410</t>
  </si>
  <si>
    <t xml:space="preserve">Column9411</t>
  </si>
  <si>
    <t xml:space="preserve">Column9412</t>
  </si>
  <si>
    <t xml:space="preserve">Column9413</t>
  </si>
  <si>
    <t xml:space="preserve">Column9414</t>
  </si>
  <si>
    <t xml:space="preserve">Column9415</t>
  </si>
  <si>
    <t xml:space="preserve">Column9416</t>
  </si>
  <si>
    <t xml:space="preserve">Column9417</t>
  </si>
  <si>
    <t xml:space="preserve">Column9418</t>
  </si>
  <si>
    <t xml:space="preserve">Column9419</t>
  </si>
  <si>
    <t xml:space="preserve">Column9420</t>
  </si>
  <si>
    <t xml:space="preserve">Column9421</t>
  </si>
  <si>
    <t xml:space="preserve">Column9422</t>
  </si>
  <si>
    <t xml:space="preserve">Column9423</t>
  </si>
  <si>
    <t xml:space="preserve">Column9424</t>
  </si>
  <si>
    <t xml:space="preserve">Column9425</t>
  </si>
  <si>
    <t xml:space="preserve">Column9426</t>
  </si>
  <si>
    <t xml:space="preserve">Column9427</t>
  </si>
  <si>
    <t xml:space="preserve">Column9428</t>
  </si>
  <si>
    <t xml:space="preserve">Column9429</t>
  </si>
  <si>
    <t xml:space="preserve">Column9430</t>
  </si>
  <si>
    <t xml:space="preserve">Column9431</t>
  </si>
  <si>
    <t xml:space="preserve">Column9432</t>
  </si>
  <si>
    <t xml:space="preserve">Column9433</t>
  </si>
  <si>
    <t xml:space="preserve">Column9434</t>
  </si>
  <si>
    <t xml:space="preserve">Column9435</t>
  </si>
  <si>
    <t xml:space="preserve">Column9436</t>
  </si>
  <si>
    <t xml:space="preserve">Column9437</t>
  </si>
  <si>
    <t xml:space="preserve">Column9438</t>
  </si>
  <si>
    <t xml:space="preserve">Column9439</t>
  </si>
  <si>
    <t xml:space="preserve">Column9440</t>
  </si>
  <si>
    <t xml:space="preserve">Column9441</t>
  </si>
  <si>
    <t xml:space="preserve">Column9442</t>
  </si>
  <si>
    <t xml:space="preserve">Column9443</t>
  </si>
  <si>
    <t xml:space="preserve">Column9444</t>
  </si>
  <si>
    <t xml:space="preserve">Column9445</t>
  </si>
  <si>
    <t xml:space="preserve">Column9446</t>
  </si>
  <si>
    <t xml:space="preserve">Column9447</t>
  </si>
  <si>
    <t xml:space="preserve">Column9448</t>
  </si>
  <si>
    <t xml:space="preserve">Column9449</t>
  </si>
  <si>
    <t xml:space="preserve">Column9450</t>
  </si>
  <si>
    <t xml:space="preserve">Column9451</t>
  </si>
  <si>
    <t xml:space="preserve">Column9452</t>
  </si>
  <si>
    <t xml:space="preserve">Column9453</t>
  </si>
  <si>
    <t xml:space="preserve">Column9454</t>
  </si>
  <si>
    <t xml:space="preserve">Column9455</t>
  </si>
  <si>
    <t xml:space="preserve">Column9456</t>
  </si>
  <si>
    <t xml:space="preserve">Column9457</t>
  </si>
  <si>
    <t xml:space="preserve">Column9458</t>
  </si>
  <si>
    <t xml:space="preserve">Column9459</t>
  </si>
  <si>
    <t xml:space="preserve">Column9460</t>
  </si>
  <si>
    <t xml:space="preserve">Column9461</t>
  </si>
  <si>
    <t xml:space="preserve">Column9462</t>
  </si>
  <si>
    <t xml:space="preserve">Column9463</t>
  </si>
  <si>
    <t xml:space="preserve">Column9464</t>
  </si>
  <si>
    <t xml:space="preserve">Column9465</t>
  </si>
  <si>
    <t xml:space="preserve">Column9466</t>
  </si>
  <si>
    <t xml:space="preserve">Column9467</t>
  </si>
  <si>
    <t xml:space="preserve">Column9468</t>
  </si>
  <si>
    <t xml:space="preserve">Column9469</t>
  </si>
  <si>
    <t xml:space="preserve">Column9470</t>
  </si>
  <si>
    <t xml:space="preserve">Column9471</t>
  </si>
  <si>
    <t xml:space="preserve">Column9472</t>
  </si>
  <si>
    <t xml:space="preserve">Column9473</t>
  </si>
  <si>
    <t xml:space="preserve">Column9474</t>
  </si>
  <si>
    <t xml:space="preserve">Column9475</t>
  </si>
  <si>
    <t xml:space="preserve">Column9476</t>
  </si>
  <si>
    <t xml:space="preserve">Column9477</t>
  </si>
  <si>
    <t xml:space="preserve">Column9478</t>
  </si>
  <si>
    <t xml:space="preserve">Column9479</t>
  </si>
  <si>
    <t xml:space="preserve">Column9480</t>
  </si>
  <si>
    <t xml:space="preserve">Column9481</t>
  </si>
  <si>
    <t xml:space="preserve">Column9482</t>
  </si>
  <si>
    <t xml:space="preserve">Column9483</t>
  </si>
  <si>
    <t xml:space="preserve">Column9484</t>
  </si>
  <si>
    <t xml:space="preserve">Column9485</t>
  </si>
  <si>
    <t xml:space="preserve">Column9486</t>
  </si>
  <si>
    <t xml:space="preserve">Column9487</t>
  </si>
  <si>
    <t xml:space="preserve">Column9488</t>
  </si>
  <si>
    <t xml:space="preserve">Column9489</t>
  </si>
  <si>
    <t xml:space="preserve">Column9490</t>
  </si>
  <si>
    <t xml:space="preserve">Column9491</t>
  </si>
  <si>
    <t xml:space="preserve">Column9492</t>
  </si>
  <si>
    <t xml:space="preserve">Column9493</t>
  </si>
  <si>
    <t xml:space="preserve">Column9494</t>
  </si>
  <si>
    <t xml:space="preserve">Column9495</t>
  </si>
  <si>
    <t xml:space="preserve">Column9496</t>
  </si>
  <si>
    <t xml:space="preserve">Column9497</t>
  </si>
  <si>
    <t xml:space="preserve">Column9498</t>
  </si>
  <si>
    <t xml:space="preserve">Column9499</t>
  </si>
  <si>
    <t xml:space="preserve">Column9500</t>
  </si>
  <si>
    <t xml:space="preserve">Column9501</t>
  </si>
  <si>
    <t xml:space="preserve">Column9502</t>
  </si>
  <si>
    <t xml:space="preserve">Column9503</t>
  </si>
  <si>
    <t xml:space="preserve">Column9504</t>
  </si>
  <si>
    <t xml:space="preserve">Column9505</t>
  </si>
  <si>
    <t xml:space="preserve">Column9506</t>
  </si>
  <si>
    <t xml:space="preserve">Column9507</t>
  </si>
  <si>
    <t xml:space="preserve">Column9508</t>
  </si>
  <si>
    <t xml:space="preserve">Column9509</t>
  </si>
  <si>
    <t xml:space="preserve">Column9510</t>
  </si>
  <si>
    <t xml:space="preserve">Column9511</t>
  </si>
  <si>
    <t xml:space="preserve">Column9512</t>
  </si>
  <si>
    <t xml:space="preserve">Column9513</t>
  </si>
  <si>
    <t xml:space="preserve">Column9514</t>
  </si>
  <si>
    <t xml:space="preserve">Column9515</t>
  </si>
  <si>
    <t xml:space="preserve">Column9516</t>
  </si>
  <si>
    <t xml:space="preserve">Column9517</t>
  </si>
  <si>
    <t xml:space="preserve">Column9518</t>
  </si>
  <si>
    <t xml:space="preserve">Column9519</t>
  </si>
  <si>
    <t xml:space="preserve">Column9520</t>
  </si>
  <si>
    <t xml:space="preserve">Column9521</t>
  </si>
  <si>
    <t xml:space="preserve">Column9522</t>
  </si>
  <si>
    <t xml:space="preserve">Column9523</t>
  </si>
  <si>
    <t xml:space="preserve">Column9524</t>
  </si>
  <si>
    <t xml:space="preserve">Column9525</t>
  </si>
  <si>
    <t xml:space="preserve">Column9526</t>
  </si>
  <si>
    <t xml:space="preserve">Column9527</t>
  </si>
  <si>
    <t xml:space="preserve">Column9528</t>
  </si>
  <si>
    <t xml:space="preserve">Column9529</t>
  </si>
  <si>
    <t xml:space="preserve">Column9530</t>
  </si>
  <si>
    <t xml:space="preserve">Column9531</t>
  </si>
  <si>
    <t xml:space="preserve">Column9532</t>
  </si>
  <si>
    <t xml:space="preserve">Column9533</t>
  </si>
  <si>
    <t xml:space="preserve">Column9534</t>
  </si>
  <si>
    <t xml:space="preserve">Column9535</t>
  </si>
  <si>
    <t xml:space="preserve">Column9536</t>
  </si>
  <si>
    <t xml:space="preserve">Column9537</t>
  </si>
  <si>
    <t xml:space="preserve">Column9538</t>
  </si>
  <si>
    <t xml:space="preserve">Column9539</t>
  </si>
  <si>
    <t xml:space="preserve">Column9540</t>
  </si>
  <si>
    <t xml:space="preserve">Column9541</t>
  </si>
  <si>
    <t xml:space="preserve">Column9542</t>
  </si>
  <si>
    <t xml:space="preserve">Column9543</t>
  </si>
  <si>
    <t xml:space="preserve">Column9544</t>
  </si>
  <si>
    <t xml:space="preserve">Column9545</t>
  </si>
  <si>
    <t xml:space="preserve">Column9546</t>
  </si>
  <si>
    <t xml:space="preserve">Column9547</t>
  </si>
  <si>
    <t xml:space="preserve">Column9548</t>
  </si>
  <si>
    <t xml:space="preserve">Column9549</t>
  </si>
  <si>
    <t xml:space="preserve">Column9550</t>
  </si>
  <si>
    <t xml:space="preserve">Column9551</t>
  </si>
  <si>
    <t xml:space="preserve">Column9552</t>
  </si>
  <si>
    <t xml:space="preserve">Column9553</t>
  </si>
  <si>
    <t xml:space="preserve">Column9554</t>
  </si>
  <si>
    <t xml:space="preserve">Column9555</t>
  </si>
  <si>
    <t xml:space="preserve">Column9556</t>
  </si>
  <si>
    <t xml:space="preserve">Column9557</t>
  </si>
  <si>
    <t xml:space="preserve">Column9558</t>
  </si>
  <si>
    <t xml:space="preserve">Column9559</t>
  </si>
  <si>
    <t xml:space="preserve">Column9560</t>
  </si>
  <si>
    <t xml:space="preserve">Column9561</t>
  </si>
  <si>
    <t xml:space="preserve">Column9562</t>
  </si>
  <si>
    <t xml:space="preserve">Column9563</t>
  </si>
  <si>
    <t xml:space="preserve">Column9564</t>
  </si>
  <si>
    <t xml:space="preserve">Column9565</t>
  </si>
  <si>
    <t xml:space="preserve">Column9566</t>
  </si>
  <si>
    <t xml:space="preserve">Column9567</t>
  </si>
  <si>
    <t xml:space="preserve">Column9568</t>
  </si>
  <si>
    <t xml:space="preserve">Column9569</t>
  </si>
  <si>
    <t xml:space="preserve">Column9570</t>
  </si>
  <si>
    <t xml:space="preserve">Column9571</t>
  </si>
  <si>
    <t xml:space="preserve">Column9572</t>
  </si>
  <si>
    <t xml:space="preserve">Column9573</t>
  </si>
  <si>
    <t xml:space="preserve">Column9574</t>
  </si>
  <si>
    <t xml:space="preserve">Column9575</t>
  </si>
  <si>
    <t xml:space="preserve">Column9576</t>
  </si>
  <si>
    <t xml:space="preserve">Column9577</t>
  </si>
  <si>
    <t xml:space="preserve">Column9578</t>
  </si>
  <si>
    <t xml:space="preserve">Column9579</t>
  </si>
  <si>
    <t xml:space="preserve">Column9580</t>
  </si>
  <si>
    <t xml:space="preserve">Column9581</t>
  </si>
  <si>
    <t xml:space="preserve">Column9582</t>
  </si>
  <si>
    <t xml:space="preserve">Column9583</t>
  </si>
  <si>
    <t xml:space="preserve">Column9584</t>
  </si>
  <si>
    <t xml:space="preserve">Column9585</t>
  </si>
  <si>
    <t xml:space="preserve">Column9586</t>
  </si>
  <si>
    <t xml:space="preserve">Column9587</t>
  </si>
  <si>
    <t xml:space="preserve">Column9588</t>
  </si>
  <si>
    <t xml:space="preserve">Column9589</t>
  </si>
  <si>
    <t xml:space="preserve">Column9590</t>
  </si>
  <si>
    <t xml:space="preserve">Column9591</t>
  </si>
  <si>
    <t xml:space="preserve">Column9592</t>
  </si>
  <si>
    <t xml:space="preserve">Column9593</t>
  </si>
  <si>
    <t xml:space="preserve">Column9594</t>
  </si>
  <si>
    <t xml:space="preserve">Column9595</t>
  </si>
  <si>
    <t xml:space="preserve">Column9596</t>
  </si>
  <si>
    <t xml:space="preserve">Column9597</t>
  </si>
  <si>
    <t xml:space="preserve">Column9598</t>
  </si>
  <si>
    <t xml:space="preserve">Column9599</t>
  </si>
  <si>
    <t xml:space="preserve">Column9600</t>
  </si>
  <si>
    <t xml:space="preserve">Column9601</t>
  </si>
  <si>
    <t xml:space="preserve">Column9602</t>
  </si>
  <si>
    <t xml:space="preserve">Column9603</t>
  </si>
  <si>
    <t xml:space="preserve">Column9604</t>
  </si>
  <si>
    <t xml:space="preserve">Column9605</t>
  </si>
  <si>
    <t xml:space="preserve">Column9606</t>
  </si>
  <si>
    <t xml:space="preserve">Column9607</t>
  </si>
  <si>
    <t xml:space="preserve">Column9608</t>
  </si>
  <si>
    <t xml:space="preserve">Column9609</t>
  </si>
  <si>
    <t xml:space="preserve">Column9610</t>
  </si>
  <si>
    <t xml:space="preserve">Column9611</t>
  </si>
  <si>
    <t xml:space="preserve">Column9612</t>
  </si>
  <si>
    <t xml:space="preserve">Column9613</t>
  </si>
  <si>
    <t xml:space="preserve">Column9614</t>
  </si>
  <si>
    <t xml:space="preserve">Column9615</t>
  </si>
  <si>
    <t xml:space="preserve">Column9616</t>
  </si>
  <si>
    <t xml:space="preserve">Column9617</t>
  </si>
  <si>
    <t xml:space="preserve">Column9618</t>
  </si>
  <si>
    <t xml:space="preserve">Column9619</t>
  </si>
  <si>
    <t xml:space="preserve">Column9620</t>
  </si>
  <si>
    <t xml:space="preserve">Column9621</t>
  </si>
  <si>
    <t xml:space="preserve">Column9622</t>
  </si>
  <si>
    <t xml:space="preserve">Column9623</t>
  </si>
  <si>
    <t xml:space="preserve">Column9624</t>
  </si>
  <si>
    <t xml:space="preserve">Column9625</t>
  </si>
  <si>
    <t xml:space="preserve">Column9626</t>
  </si>
  <si>
    <t xml:space="preserve">Column9627</t>
  </si>
  <si>
    <t xml:space="preserve">Column9628</t>
  </si>
  <si>
    <t xml:space="preserve">Column9629</t>
  </si>
  <si>
    <t xml:space="preserve">Column9630</t>
  </si>
  <si>
    <t xml:space="preserve">Column9631</t>
  </si>
  <si>
    <t xml:space="preserve">Column9632</t>
  </si>
  <si>
    <t xml:space="preserve">Column9633</t>
  </si>
  <si>
    <t xml:space="preserve">Column9634</t>
  </si>
  <si>
    <t xml:space="preserve">Column9635</t>
  </si>
  <si>
    <t xml:space="preserve">Column9636</t>
  </si>
  <si>
    <t xml:space="preserve">Column9637</t>
  </si>
  <si>
    <t xml:space="preserve">Column9638</t>
  </si>
  <si>
    <t xml:space="preserve">Column9639</t>
  </si>
  <si>
    <t xml:space="preserve">Column9640</t>
  </si>
  <si>
    <t xml:space="preserve">Column9641</t>
  </si>
  <si>
    <t xml:space="preserve">Column9642</t>
  </si>
  <si>
    <t xml:space="preserve">Column9643</t>
  </si>
  <si>
    <t xml:space="preserve">Column9644</t>
  </si>
  <si>
    <t xml:space="preserve">Column9645</t>
  </si>
  <si>
    <t xml:space="preserve">Column9646</t>
  </si>
  <si>
    <t xml:space="preserve">Column9647</t>
  </si>
  <si>
    <t xml:space="preserve">Column9648</t>
  </si>
  <si>
    <t xml:space="preserve">Column9649</t>
  </si>
  <si>
    <t xml:space="preserve">Column9650</t>
  </si>
  <si>
    <t xml:space="preserve">Column9651</t>
  </si>
  <si>
    <t xml:space="preserve">Column9652</t>
  </si>
  <si>
    <t xml:space="preserve">Column9653</t>
  </si>
  <si>
    <t xml:space="preserve">Column9654</t>
  </si>
  <si>
    <t xml:space="preserve">Column9655</t>
  </si>
  <si>
    <t xml:space="preserve">Column9656</t>
  </si>
  <si>
    <t xml:space="preserve">Column9657</t>
  </si>
  <si>
    <t xml:space="preserve">Column9658</t>
  </si>
  <si>
    <t xml:space="preserve">Column9659</t>
  </si>
  <si>
    <t xml:space="preserve">Column9660</t>
  </si>
  <si>
    <t xml:space="preserve">Column9661</t>
  </si>
  <si>
    <t xml:space="preserve">Column9662</t>
  </si>
  <si>
    <t xml:space="preserve">Column9663</t>
  </si>
  <si>
    <t xml:space="preserve">Column9664</t>
  </si>
  <si>
    <t xml:space="preserve">Column9665</t>
  </si>
  <si>
    <t xml:space="preserve">Column9666</t>
  </si>
  <si>
    <t xml:space="preserve">Column9667</t>
  </si>
  <si>
    <t xml:space="preserve">Column9668</t>
  </si>
  <si>
    <t xml:space="preserve">Column9669</t>
  </si>
  <si>
    <t xml:space="preserve">Column9670</t>
  </si>
  <si>
    <t xml:space="preserve">Column9671</t>
  </si>
  <si>
    <t xml:space="preserve">Column9672</t>
  </si>
  <si>
    <t xml:space="preserve">Column9673</t>
  </si>
  <si>
    <t xml:space="preserve">Column9674</t>
  </si>
  <si>
    <t xml:space="preserve">Column9675</t>
  </si>
  <si>
    <t xml:space="preserve">Column9676</t>
  </si>
  <si>
    <t xml:space="preserve">Column9677</t>
  </si>
  <si>
    <t xml:space="preserve">Column9678</t>
  </si>
  <si>
    <t xml:space="preserve">Column9679</t>
  </si>
  <si>
    <t xml:space="preserve">Column9680</t>
  </si>
  <si>
    <t xml:space="preserve">Column9681</t>
  </si>
  <si>
    <t xml:space="preserve">Column9682</t>
  </si>
  <si>
    <t xml:space="preserve">Column9683</t>
  </si>
  <si>
    <t xml:space="preserve">Column9684</t>
  </si>
  <si>
    <t xml:space="preserve">Column9685</t>
  </si>
  <si>
    <t xml:space="preserve">Column9686</t>
  </si>
  <si>
    <t xml:space="preserve">Column9687</t>
  </si>
  <si>
    <t xml:space="preserve">Column9688</t>
  </si>
  <si>
    <t xml:space="preserve">Column9689</t>
  </si>
  <si>
    <t xml:space="preserve">Column9690</t>
  </si>
  <si>
    <t xml:space="preserve">Column9691</t>
  </si>
  <si>
    <t xml:space="preserve">Column9692</t>
  </si>
  <si>
    <t xml:space="preserve">Column9693</t>
  </si>
  <si>
    <t xml:space="preserve">Column9694</t>
  </si>
  <si>
    <t xml:space="preserve">Column9695</t>
  </si>
  <si>
    <t xml:space="preserve">Column9696</t>
  </si>
  <si>
    <t xml:space="preserve">Column9697</t>
  </si>
  <si>
    <t xml:space="preserve">Column9698</t>
  </si>
  <si>
    <t xml:space="preserve">Column9699</t>
  </si>
  <si>
    <t xml:space="preserve">Column9700</t>
  </si>
  <si>
    <t xml:space="preserve">Column9701</t>
  </si>
  <si>
    <t xml:space="preserve">Column9702</t>
  </si>
  <si>
    <t xml:space="preserve">Column9703</t>
  </si>
  <si>
    <t xml:space="preserve">Column9704</t>
  </si>
  <si>
    <t xml:space="preserve">Column9705</t>
  </si>
  <si>
    <t xml:space="preserve">Column9706</t>
  </si>
  <si>
    <t xml:space="preserve">Column9707</t>
  </si>
  <si>
    <t xml:space="preserve">Column9708</t>
  </si>
  <si>
    <t xml:space="preserve">Column9709</t>
  </si>
  <si>
    <t xml:space="preserve">Column9710</t>
  </si>
  <si>
    <t xml:space="preserve">Column9711</t>
  </si>
  <si>
    <t xml:space="preserve">Column9712</t>
  </si>
  <si>
    <t xml:space="preserve">Column9713</t>
  </si>
  <si>
    <t xml:space="preserve">Column9714</t>
  </si>
  <si>
    <t xml:space="preserve">Column9715</t>
  </si>
  <si>
    <t xml:space="preserve">Column9716</t>
  </si>
  <si>
    <t xml:space="preserve">Column9717</t>
  </si>
  <si>
    <t xml:space="preserve">Column9718</t>
  </si>
  <si>
    <t xml:space="preserve">Column9719</t>
  </si>
  <si>
    <t xml:space="preserve">Column9720</t>
  </si>
  <si>
    <t xml:space="preserve">Column9721</t>
  </si>
  <si>
    <t xml:space="preserve">Column9722</t>
  </si>
  <si>
    <t xml:space="preserve">Column9723</t>
  </si>
  <si>
    <t xml:space="preserve">Column9724</t>
  </si>
  <si>
    <t xml:space="preserve">Column9725</t>
  </si>
  <si>
    <t xml:space="preserve">Column9726</t>
  </si>
  <si>
    <t xml:space="preserve">Column9727</t>
  </si>
  <si>
    <t xml:space="preserve">Column9728</t>
  </si>
  <si>
    <t xml:space="preserve">Column9729</t>
  </si>
  <si>
    <t xml:space="preserve">Column9730</t>
  </si>
  <si>
    <t xml:space="preserve">Column9731</t>
  </si>
  <si>
    <t xml:space="preserve">Column9732</t>
  </si>
  <si>
    <t xml:space="preserve">Column9733</t>
  </si>
  <si>
    <t xml:space="preserve">Column9734</t>
  </si>
  <si>
    <t xml:space="preserve">Column9735</t>
  </si>
  <si>
    <t xml:space="preserve">Column9736</t>
  </si>
  <si>
    <t xml:space="preserve">Column9737</t>
  </si>
  <si>
    <t xml:space="preserve">Column9738</t>
  </si>
  <si>
    <t xml:space="preserve">Column9739</t>
  </si>
  <si>
    <t xml:space="preserve">Column9740</t>
  </si>
  <si>
    <t xml:space="preserve">Column9741</t>
  </si>
  <si>
    <t xml:space="preserve">Column9742</t>
  </si>
  <si>
    <t xml:space="preserve">Column9743</t>
  </si>
  <si>
    <t xml:space="preserve">Column9744</t>
  </si>
  <si>
    <t xml:space="preserve">Column9745</t>
  </si>
  <si>
    <t xml:space="preserve">Column9746</t>
  </si>
  <si>
    <t xml:space="preserve">Column9747</t>
  </si>
  <si>
    <t xml:space="preserve">Column9748</t>
  </si>
  <si>
    <t xml:space="preserve">Column9749</t>
  </si>
  <si>
    <t xml:space="preserve">Column9750</t>
  </si>
  <si>
    <t xml:space="preserve">Column9751</t>
  </si>
  <si>
    <t xml:space="preserve">Column9752</t>
  </si>
  <si>
    <t xml:space="preserve">Column9753</t>
  </si>
  <si>
    <t xml:space="preserve">Column9754</t>
  </si>
  <si>
    <t xml:space="preserve">Column9755</t>
  </si>
  <si>
    <t xml:space="preserve">Column9756</t>
  </si>
  <si>
    <t xml:space="preserve">Column9757</t>
  </si>
  <si>
    <t xml:space="preserve">Column9758</t>
  </si>
  <si>
    <t xml:space="preserve">Column9759</t>
  </si>
  <si>
    <t xml:space="preserve">Column9760</t>
  </si>
  <si>
    <t xml:space="preserve">Column9761</t>
  </si>
  <si>
    <t xml:space="preserve">Column9762</t>
  </si>
  <si>
    <t xml:space="preserve">Column9763</t>
  </si>
  <si>
    <t xml:space="preserve">Column9764</t>
  </si>
  <si>
    <t xml:space="preserve">Column9765</t>
  </si>
  <si>
    <t xml:space="preserve">Column9766</t>
  </si>
  <si>
    <t xml:space="preserve">Column9767</t>
  </si>
  <si>
    <t xml:space="preserve">Column9768</t>
  </si>
  <si>
    <t xml:space="preserve">Column9769</t>
  </si>
  <si>
    <t xml:space="preserve">Column9770</t>
  </si>
  <si>
    <t xml:space="preserve">Column9771</t>
  </si>
  <si>
    <t xml:space="preserve">Column9772</t>
  </si>
  <si>
    <t xml:space="preserve">Column9773</t>
  </si>
  <si>
    <t xml:space="preserve">Column9774</t>
  </si>
  <si>
    <t xml:space="preserve">Column9775</t>
  </si>
  <si>
    <t xml:space="preserve">Column9776</t>
  </si>
  <si>
    <t xml:space="preserve">Column9777</t>
  </si>
  <si>
    <t xml:space="preserve">Column9778</t>
  </si>
  <si>
    <t xml:space="preserve">Column9779</t>
  </si>
  <si>
    <t xml:space="preserve">Column9780</t>
  </si>
  <si>
    <t xml:space="preserve">Column9781</t>
  </si>
  <si>
    <t xml:space="preserve">Column9782</t>
  </si>
  <si>
    <t xml:space="preserve">Column9783</t>
  </si>
  <si>
    <t xml:space="preserve">Column9784</t>
  </si>
  <si>
    <t xml:space="preserve">Column9785</t>
  </si>
  <si>
    <t xml:space="preserve">Column9786</t>
  </si>
  <si>
    <t xml:space="preserve">Column9787</t>
  </si>
  <si>
    <t xml:space="preserve">Column9788</t>
  </si>
  <si>
    <t xml:space="preserve">Column9789</t>
  </si>
  <si>
    <t xml:space="preserve">Column9790</t>
  </si>
  <si>
    <t xml:space="preserve">Column9791</t>
  </si>
  <si>
    <t xml:space="preserve">Column9792</t>
  </si>
  <si>
    <t xml:space="preserve">Column9793</t>
  </si>
  <si>
    <t xml:space="preserve">Column9794</t>
  </si>
  <si>
    <t xml:space="preserve">Column9795</t>
  </si>
  <si>
    <t xml:space="preserve">Column9796</t>
  </si>
  <si>
    <t xml:space="preserve">Column9797</t>
  </si>
  <si>
    <t xml:space="preserve">Column9798</t>
  </si>
  <si>
    <t xml:space="preserve">Column9799</t>
  </si>
  <si>
    <t xml:space="preserve">Column9800</t>
  </si>
  <si>
    <t xml:space="preserve">Column9801</t>
  </si>
  <si>
    <t xml:space="preserve">Column9802</t>
  </si>
  <si>
    <t xml:space="preserve">Column9803</t>
  </si>
  <si>
    <t xml:space="preserve">Column9804</t>
  </si>
  <si>
    <t xml:space="preserve">Column9805</t>
  </si>
  <si>
    <t xml:space="preserve">Column9806</t>
  </si>
  <si>
    <t xml:space="preserve">Column9807</t>
  </si>
  <si>
    <t xml:space="preserve">Column9808</t>
  </si>
  <si>
    <t xml:space="preserve">Column9809</t>
  </si>
  <si>
    <t xml:space="preserve">Column9810</t>
  </si>
  <si>
    <t xml:space="preserve">Column9811</t>
  </si>
  <si>
    <t xml:space="preserve">Column9812</t>
  </si>
  <si>
    <t xml:space="preserve">Column9813</t>
  </si>
  <si>
    <t xml:space="preserve">Column9814</t>
  </si>
  <si>
    <t xml:space="preserve">Column9815</t>
  </si>
  <si>
    <t xml:space="preserve">Column9816</t>
  </si>
  <si>
    <t xml:space="preserve">Column9817</t>
  </si>
  <si>
    <t xml:space="preserve">Column9818</t>
  </si>
  <si>
    <t xml:space="preserve">Column9819</t>
  </si>
  <si>
    <t xml:space="preserve">Column9820</t>
  </si>
  <si>
    <t xml:space="preserve">Column9821</t>
  </si>
  <si>
    <t xml:space="preserve">Column9822</t>
  </si>
  <si>
    <t xml:space="preserve">Column9823</t>
  </si>
  <si>
    <t xml:space="preserve">Column9824</t>
  </si>
  <si>
    <t xml:space="preserve">Column9825</t>
  </si>
  <si>
    <t xml:space="preserve">Column9826</t>
  </si>
  <si>
    <t xml:space="preserve">Column9827</t>
  </si>
  <si>
    <t xml:space="preserve">Column9828</t>
  </si>
  <si>
    <t xml:space="preserve">Column9829</t>
  </si>
  <si>
    <t xml:space="preserve">Column9830</t>
  </si>
  <si>
    <t xml:space="preserve">Column9831</t>
  </si>
  <si>
    <t xml:space="preserve">Column9832</t>
  </si>
  <si>
    <t xml:space="preserve">Column9833</t>
  </si>
  <si>
    <t xml:space="preserve">Column9834</t>
  </si>
  <si>
    <t xml:space="preserve">Column9835</t>
  </si>
  <si>
    <t xml:space="preserve">Column9836</t>
  </si>
  <si>
    <t xml:space="preserve">Column9837</t>
  </si>
  <si>
    <t xml:space="preserve">Column9838</t>
  </si>
  <si>
    <t xml:space="preserve">Column9839</t>
  </si>
  <si>
    <t xml:space="preserve">Column9840</t>
  </si>
  <si>
    <t xml:space="preserve">Column9841</t>
  </si>
  <si>
    <t xml:space="preserve">Column9842</t>
  </si>
  <si>
    <t xml:space="preserve">Column9843</t>
  </si>
  <si>
    <t xml:space="preserve">Column9844</t>
  </si>
  <si>
    <t xml:space="preserve">Column9845</t>
  </si>
  <si>
    <t xml:space="preserve">Column9846</t>
  </si>
  <si>
    <t xml:space="preserve">Column9847</t>
  </si>
  <si>
    <t xml:space="preserve">Column9848</t>
  </si>
  <si>
    <t xml:space="preserve">Column9849</t>
  </si>
  <si>
    <t xml:space="preserve">Column9850</t>
  </si>
  <si>
    <t xml:space="preserve">Column9851</t>
  </si>
  <si>
    <t xml:space="preserve">Column9852</t>
  </si>
  <si>
    <t xml:space="preserve">Column9853</t>
  </si>
  <si>
    <t xml:space="preserve">Column9854</t>
  </si>
  <si>
    <t xml:space="preserve">Column9855</t>
  </si>
  <si>
    <t xml:space="preserve">Column9856</t>
  </si>
  <si>
    <t xml:space="preserve">Column9857</t>
  </si>
  <si>
    <t xml:space="preserve">Column9858</t>
  </si>
  <si>
    <t xml:space="preserve">Column9859</t>
  </si>
  <si>
    <t xml:space="preserve">Column9860</t>
  </si>
  <si>
    <t xml:space="preserve">Column9861</t>
  </si>
  <si>
    <t xml:space="preserve">Column9862</t>
  </si>
  <si>
    <t xml:space="preserve">Column9863</t>
  </si>
  <si>
    <t xml:space="preserve">Column9864</t>
  </si>
  <si>
    <t xml:space="preserve">Column9865</t>
  </si>
  <si>
    <t xml:space="preserve">Column9866</t>
  </si>
  <si>
    <t xml:space="preserve">Column9867</t>
  </si>
  <si>
    <t xml:space="preserve">Column9868</t>
  </si>
  <si>
    <t xml:space="preserve">Column9869</t>
  </si>
  <si>
    <t xml:space="preserve">Column9870</t>
  </si>
  <si>
    <t xml:space="preserve">Column9871</t>
  </si>
  <si>
    <t xml:space="preserve">Column9872</t>
  </si>
  <si>
    <t xml:space="preserve">Column9873</t>
  </si>
  <si>
    <t xml:space="preserve">Column9874</t>
  </si>
  <si>
    <t xml:space="preserve">Column9875</t>
  </si>
  <si>
    <t xml:space="preserve">Column9876</t>
  </si>
  <si>
    <t xml:space="preserve">Column9877</t>
  </si>
  <si>
    <t xml:space="preserve">Column9878</t>
  </si>
  <si>
    <t xml:space="preserve">Column9879</t>
  </si>
  <si>
    <t xml:space="preserve">Column9880</t>
  </si>
  <si>
    <t xml:space="preserve">Column9881</t>
  </si>
  <si>
    <t xml:space="preserve">Column9882</t>
  </si>
  <si>
    <t xml:space="preserve">Column9883</t>
  </si>
  <si>
    <t xml:space="preserve">Column9884</t>
  </si>
  <si>
    <t xml:space="preserve">Column9885</t>
  </si>
  <si>
    <t xml:space="preserve">Column9886</t>
  </si>
  <si>
    <t xml:space="preserve">Column9887</t>
  </si>
  <si>
    <t xml:space="preserve">Column9888</t>
  </si>
  <si>
    <t xml:space="preserve">Column9889</t>
  </si>
  <si>
    <t xml:space="preserve">Column9890</t>
  </si>
  <si>
    <t xml:space="preserve">Column9891</t>
  </si>
  <si>
    <t xml:space="preserve">Column9892</t>
  </si>
  <si>
    <t xml:space="preserve">Column9893</t>
  </si>
  <si>
    <t xml:space="preserve">Column9894</t>
  </si>
  <si>
    <t xml:space="preserve">Column9895</t>
  </si>
  <si>
    <t xml:space="preserve">Column9896</t>
  </si>
  <si>
    <t xml:space="preserve">Column9897</t>
  </si>
  <si>
    <t xml:space="preserve">Column9898</t>
  </si>
  <si>
    <t xml:space="preserve">Column9899</t>
  </si>
  <si>
    <t xml:space="preserve">Column9900</t>
  </si>
  <si>
    <t xml:space="preserve">Column9901</t>
  </si>
  <si>
    <t xml:space="preserve">Column9902</t>
  </si>
  <si>
    <t xml:space="preserve">Column9903</t>
  </si>
  <si>
    <t xml:space="preserve">Column9904</t>
  </si>
  <si>
    <t xml:space="preserve">Column9905</t>
  </si>
  <si>
    <t xml:space="preserve">Column9906</t>
  </si>
  <si>
    <t xml:space="preserve">Column9907</t>
  </si>
  <si>
    <t xml:space="preserve">Column9908</t>
  </si>
  <si>
    <t xml:space="preserve">Column9909</t>
  </si>
  <si>
    <t xml:space="preserve">Column9910</t>
  </si>
  <si>
    <t xml:space="preserve">Column9911</t>
  </si>
  <si>
    <t xml:space="preserve">Column9912</t>
  </si>
  <si>
    <t xml:space="preserve">Column9913</t>
  </si>
  <si>
    <t xml:space="preserve">Column9914</t>
  </si>
  <si>
    <t xml:space="preserve">Column9915</t>
  </si>
  <si>
    <t xml:space="preserve">Column9916</t>
  </si>
  <si>
    <t xml:space="preserve">Column9917</t>
  </si>
  <si>
    <t xml:space="preserve">Column9918</t>
  </si>
  <si>
    <t xml:space="preserve">Column9919</t>
  </si>
  <si>
    <t xml:space="preserve">Column9920</t>
  </si>
  <si>
    <t xml:space="preserve">Column9921</t>
  </si>
  <si>
    <t xml:space="preserve">Column9922</t>
  </si>
  <si>
    <t xml:space="preserve">Column9923</t>
  </si>
  <si>
    <t xml:space="preserve">Column9924</t>
  </si>
  <si>
    <t xml:space="preserve">Column9925</t>
  </si>
  <si>
    <t xml:space="preserve">Column9926</t>
  </si>
  <si>
    <t xml:space="preserve">Column9927</t>
  </si>
  <si>
    <t xml:space="preserve">Column9928</t>
  </si>
  <si>
    <t xml:space="preserve">Column9929</t>
  </si>
  <si>
    <t xml:space="preserve">Column9930</t>
  </si>
  <si>
    <t xml:space="preserve">Column9931</t>
  </si>
  <si>
    <t xml:space="preserve">Column9932</t>
  </si>
  <si>
    <t xml:space="preserve">Column9933</t>
  </si>
  <si>
    <t xml:space="preserve">Column9934</t>
  </si>
  <si>
    <t xml:space="preserve">Column9935</t>
  </si>
  <si>
    <t xml:space="preserve">Column9936</t>
  </si>
  <si>
    <t xml:space="preserve">Column9937</t>
  </si>
  <si>
    <t xml:space="preserve">Column9938</t>
  </si>
  <si>
    <t xml:space="preserve">Column9939</t>
  </si>
  <si>
    <t xml:space="preserve">Column9940</t>
  </si>
  <si>
    <t xml:space="preserve">Column9941</t>
  </si>
  <si>
    <t xml:space="preserve">Column9942</t>
  </si>
  <si>
    <t xml:space="preserve">Column9943</t>
  </si>
  <si>
    <t xml:space="preserve">Column9944</t>
  </si>
  <si>
    <t xml:space="preserve">Column9945</t>
  </si>
  <si>
    <t xml:space="preserve">Column9946</t>
  </si>
  <si>
    <t xml:space="preserve">Column9947</t>
  </si>
  <si>
    <t xml:space="preserve">Column9948</t>
  </si>
  <si>
    <t xml:space="preserve">Column9949</t>
  </si>
  <si>
    <t xml:space="preserve">Column9950</t>
  </si>
  <si>
    <t xml:space="preserve">Column9951</t>
  </si>
  <si>
    <t xml:space="preserve">Column9952</t>
  </si>
  <si>
    <t xml:space="preserve">Column9953</t>
  </si>
  <si>
    <t xml:space="preserve">Column9954</t>
  </si>
  <si>
    <t xml:space="preserve">Column9955</t>
  </si>
  <si>
    <t xml:space="preserve">Column9956</t>
  </si>
  <si>
    <t xml:space="preserve">Column9957</t>
  </si>
  <si>
    <t xml:space="preserve">Column9958</t>
  </si>
  <si>
    <t xml:space="preserve">Column9959</t>
  </si>
  <si>
    <t xml:space="preserve">Column9960</t>
  </si>
  <si>
    <t xml:space="preserve">Column9961</t>
  </si>
  <si>
    <t xml:space="preserve">Column9962</t>
  </si>
  <si>
    <t xml:space="preserve">Column9963</t>
  </si>
  <si>
    <t xml:space="preserve">Column9964</t>
  </si>
  <si>
    <t xml:space="preserve">Column9965</t>
  </si>
  <si>
    <t xml:space="preserve">Column9966</t>
  </si>
  <si>
    <t xml:space="preserve">Column9967</t>
  </si>
  <si>
    <t xml:space="preserve">Column9968</t>
  </si>
  <si>
    <t xml:space="preserve">Column9969</t>
  </si>
  <si>
    <t xml:space="preserve">Column9970</t>
  </si>
  <si>
    <t xml:space="preserve">Column9971</t>
  </si>
  <si>
    <t xml:space="preserve">Column9972</t>
  </si>
  <si>
    <t xml:space="preserve">Column9973</t>
  </si>
  <si>
    <t xml:space="preserve">Column9974</t>
  </si>
  <si>
    <t xml:space="preserve">Column9975</t>
  </si>
  <si>
    <t xml:space="preserve">Column9976</t>
  </si>
  <si>
    <t xml:space="preserve">Column9977</t>
  </si>
  <si>
    <t xml:space="preserve">Column9978</t>
  </si>
  <si>
    <t xml:space="preserve">Column9979</t>
  </si>
  <si>
    <t xml:space="preserve">Column9980</t>
  </si>
  <si>
    <t xml:space="preserve">Column9981</t>
  </si>
  <si>
    <t xml:space="preserve">Column9982</t>
  </si>
  <si>
    <t xml:space="preserve">Column9983</t>
  </si>
  <si>
    <t xml:space="preserve">Column9984</t>
  </si>
  <si>
    <t xml:space="preserve">Column9985</t>
  </si>
  <si>
    <t xml:space="preserve">Column9986</t>
  </si>
  <si>
    <t xml:space="preserve">Column9987</t>
  </si>
  <si>
    <t xml:space="preserve">Column9988</t>
  </si>
  <si>
    <t xml:space="preserve">Column9989</t>
  </si>
  <si>
    <t xml:space="preserve">Column9990</t>
  </si>
  <si>
    <t xml:space="preserve">Column9991</t>
  </si>
  <si>
    <t xml:space="preserve">Column9992</t>
  </si>
  <si>
    <t xml:space="preserve">Column9993</t>
  </si>
  <si>
    <t xml:space="preserve">Column9994</t>
  </si>
  <si>
    <t xml:space="preserve">Column9995</t>
  </si>
  <si>
    <t xml:space="preserve">Column9996</t>
  </si>
  <si>
    <t xml:space="preserve">Column9997</t>
  </si>
  <si>
    <t xml:space="preserve">Column9998</t>
  </si>
  <si>
    <t xml:space="preserve">Column9999</t>
  </si>
  <si>
    <t xml:space="preserve">Column10000</t>
  </si>
  <si>
    <t xml:space="preserve">Column10001</t>
  </si>
  <si>
    <t xml:space="preserve">Column10002</t>
  </si>
  <si>
    <t xml:space="preserve">Column10003</t>
  </si>
  <si>
    <t xml:space="preserve">Column10004</t>
  </si>
  <si>
    <t xml:space="preserve">Column10005</t>
  </si>
  <si>
    <t xml:space="preserve">Column10006</t>
  </si>
  <si>
    <t xml:space="preserve">Column10007</t>
  </si>
  <si>
    <t xml:space="preserve">Column10008</t>
  </si>
  <si>
    <t xml:space="preserve">Column10009</t>
  </si>
  <si>
    <t xml:space="preserve">Column10010</t>
  </si>
  <si>
    <t xml:space="preserve">Column10011</t>
  </si>
  <si>
    <t xml:space="preserve">Column10012</t>
  </si>
  <si>
    <t xml:space="preserve">Column10013</t>
  </si>
  <si>
    <t xml:space="preserve">Column10014</t>
  </si>
  <si>
    <t xml:space="preserve">Column10015</t>
  </si>
  <si>
    <t xml:space="preserve">Column10016</t>
  </si>
  <si>
    <t xml:space="preserve">Column10017</t>
  </si>
  <si>
    <t xml:space="preserve">Column10018</t>
  </si>
  <si>
    <t xml:space="preserve">Column10019</t>
  </si>
  <si>
    <t xml:space="preserve">Column10020</t>
  </si>
  <si>
    <t xml:space="preserve">Column10021</t>
  </si>
  <si>
    <t xml:space="preserve">Column10022</t>
  </si>
  <si>
    <t xml:space="preserve">Column10023</t>
  </si>
  <si>
    <t xml:space="preserve">Column10024</t>
  </si>
  <si>
    <t xml:space="preserve">Column10025</t>
  </si>
  <si>
    <t xml:space="preserve">Column10026</t>
  </si>
  <si>
    <t xml:space="preserve">Column10027</t>
  </si>
  <si>
    <t xml:space="preserve">Column10028</t>
  </si>
  <si>
    <t xml:space="preserve">Column10029</t>
  </si>
  <si>
    <t xml:space="preserve">Column10030</t>
  </si>
  <si>
    <t xml:space="preserve">Column10031</t>
  </si>
  <si>
    <t xml:space="preserve">Column10032</t>
  </si>
  <si>
    <t xml:space="preserve">Column10033</t>
  </si>
  <si>
    <t xml:space="preserve">Column10034</t>
  </si>
  <si>
    <t xml:space="preserve">Column10035</t>
  </si>
  <si>
    <t xml:space="preserve">Column10036</t>
  </si>
  <si>
    <t xml:space="preserve">Column10037</t>
  </si>
  <si>
    <t xml:space="preserve">Column10038</t>
  </si>
  <si>
    <t xml:space="preserve">Column10039</t>
  </si>
  <si>
    <t xml:space="preserve">Column10040</t>
  </si>
  <si>
    <t xml:space="preserve">Column10041</t>
  </si>
  <si>
    <t xml:space="preserve">Column10042</t>
  </si>
  <si>
    <t xml:space="preserve">Column10043</t>
  </si>
  <si>
    <t xml:space="preserve">Column10044</t>
  </si>
  <si>
    <t xml:space="preserve">Column10045</t>
  </si>
  <si>
    <t xml:space="preserve">Column10046</t>
  </si>
  <si>
    <t xml:space="preserve">Column10047</t>
  </si>
  <si>
    <t xml:space="preserve">Column10048</t>
  </si>
  <si>
    <t xml:space="preserve">Column10049</t>
  </si>
  <si>
    <t xml:space="preserve">Column10050</t>
  </si>
  <si>
    <t xml:space="preserve">Column10051</t>
  </si>
  <si>
    <t xml:space="preserve">Column10052</t>
  </si>
  <si>
    <t xml:space="preserve">Column10053</t>
  </si>
  <si>
    <t xml:space="preserve">Column10054</t>
  </si>
  <si>
    <t xml:space="preserve">Column10055</t>
  </si>
  <si>
    <t xml:space="preserve">Column10056</t>
  </si>
  <si>
    <t xml:space="preserve">Column10057</t>
  </si>
  <si>
    <t xml:space="preserve">Column10058</t>
  </si>
  <si>
    <t xml:space="preserve">Column10059</t>
  </si>
  <si>
    <t xml:space="preserve">Column10060</t>
  </si>
  <si>
    <t xml:space="preserve">Column10061</t>
  </si>
  <si>
    <t xml:space="preserve">Column10062</t>
  </si>
  <si>
    <t xml:space="preserve">Column10063</t>
  </si>
  <si>
    <t xml:space="preserve">Column10064</t>
  </si>
  <si>
    <t xml:space="preserve">Column10065</t>
  </si>
  <si>
    <t xml:space="preserve">Column10066</t>
  </si>
  <si>
    <t xml:space="preserve">Column10067</t>
  </si>
  <si>
    <t xml:space="preserve">Column10068</t>
  </si>
  <si>
    <t xml:space="preserve">Column10069</t>
  </si>
  <si>
    <t xml:space="preserve">Column10070</t>
  </si>
  <si>
    <t xml:space="preserve">Column10071</t>
  </si>
  <si>
    <t xml:space="preserve">Column10072</t>
  </si>
  <si>
    <t xml:space="preserve">Column10073</t>
  </si>
  <si>
    <t xml:space="preserve">Column10074</t>
  </si>
  <si>
    <t xml:space="preserve">Column10075</t>
  </si>
  <si>
    <t xml:space="preserve">Column10076</t>
  </si>
  <si>
    <t xml:space="preserve">Column10077</t>
  </si>
  <si>
    <t xml:space="preserve">Column10078</t>
  </si>
  <si>
    <t xml:space="preserve">Column10079</t>
  </si>
  <si>
    <t xml:space="preserve">Column10080</t>
  </si>
  <si>
    <t xml:space="preserve">Column10081</t>
  </si>
  <si>
    <t xml:space="preserve">Column10082</t>
  </si>
  <si>
    <t xml:space="preserve">Column10083</t>
  </si>
  <si>
    <t xml:space="preserve">Column10084</t>
  </si>
  <si>
    <t xml:space="preserve">Column10085</t>
  </si>
  <si>
    <t xml:space="preserve">Column10086</t>
  </si>
  <si>
    <t xml:space="preserve">Column10087</t>
  </si>
  <si>
    <t xml:space="preserve">Column10088</t>
  </si>
  <si>
    <t xml:space="preserve">Column10089</t>
  </si>
  <si>
    <t xml:space="preserve">Column10090</t>
  </si>
  <si>
    <t xml:space="preserve">Column10091</t>
  </si>
  <si>
    <t xml:space="preserve">Column10092</t>
  </si>
  <si>
    <t xml:space="preserve">Column10093</t>
  </si>
  <si>
    <t xml:space="preserve">Column10094</t>
  </si>
  <si>
    <t xml:space="preserve">Column10095</t>
  </si>
  <si>
    <t xml:space="preserve">Column10096</t>
  </si>
  <si>
    <t xml:space="preserve">Column10097</t>
  </si>
  <si>
    <t xml:space="preserve">Column10098</t>
  </si>
  <si>
    <t xml:space="preserve">Column10099</t>
  </si>
  <si>
    <t xml:space="preserve">Column10100</t>
  </si>
  <si>
    <t xml:space="preserve">Column10101</t>
  </si>
  <si>
    <t xml:space="preserve">Column10102</t>
  </si>
  <si>
    <t xml:space="preserve">Column10103</t>
  </si>
  <si>
    <t xml:space="preserve">Column10104</t>
  </si>
  <si>
    <t xml:space="preserve">Column10105</t>
  </si>
  <si>
    <t xml:space="preserve">Column10106</t>
  </si>
  <si>
    <t xml:space="preserve">Column10107</t>
  </si>
  <si>
    <t xml:space="preserve">Column10108</t>
  </si>
  <si>
    <t xml:space="preserve">Column10109</t>
  </si>
  <si>
    <t xml:space="preserve">Column10110</t>
  </si>
  <si>
    <t xml:space="preserve">Column10111</t>
  </si>
  <si>
    <t xml:space="preserve">Column10112</t>
  </si>
  <si>
    <t xml:space="preserve">Column10113</t>
  </si>
  <si>
    <t xml:space="preserve">Column10114</t>
  </si>
  <si>
    <t xml:space="preserve">Column10115</t>
  </si>
  <si>
    <t xml:space="preserve">Column10116</t>
  </si>
  <si>
    <t xml:space="preserve">Column10117</t>
  </si>
  <si>
    <t xml:space="preserve">Column10118</t>
  </si>
  <si>
    <t xml:space="preserve">Column10119</t>
  </si>
  <si>
    <t xml:space="preserve">Column10120</t>
  </si>
  <si>
    <t xml:space="preserve">Column10121</t>
  </si>
  <si>
    <t xml:space="preserve">Column10122</t>
  </si>
  <si>
    <t xml:space="preserve">Column10123</t>
  </si>
  <si>
    <t xml:space="preserve">Column10124</t>
  </si>
  <si>
    <t xml:space="preserve">Column10125</t>
  </si>
  <si>
    <t xml:space="preserve">Column10126</t>
  </si>
  <si>
    <t xml:space="preserve">Column10127</t>
  </si>
  <si>
    <t xml:space="preserve">Column10128</t>
  </si>
  <si>
    <t xml:space="preserve">Column10129</t>
  </si>
  <si>
    <t xml:space="preserve">Column10130</t>
  </si>
  <si>
    <t xml:space="preserve">Column10131</t>
  </si>
  <si>
    <t xml:space="preserve">Column10132</t>
  </si>
  <si>
    <t xml:space="preserve">Column10133</t>
  </si>
  <si>
    <t xml:space="preserve">Column10134</t>
  </si>
  <si>
    <t xml:space="preserve">Column10135</t>
  </si>
  <si>
    <t xml:space="preserve">Column10136</t>
  </si>
  <si>
    <t xml:space="preserve">Column10137</t>
  </si>
  <si>
    <t xml:space="preserve">Column10138</t>
  </si>
  <si>
    <t xml:space="preserve">Column10139</t>
  </si>
  <si>
    <t xml:space="preserve">Column10140</t>
  </si>
  <si>
    <t xml:space="preserve">Column10141</t>
  </si>
  <si>
    <t xml:space="preserve">Column10142</t>
  </si>
  <si>
    <t xml:space="preserve">Column10143</t>
  </si>
  <si>
    <t xml:space="preserve">Column10144</t>
  </si>
  <si>
    <t xml:space="preserve">Column10145</t>
  </si>
  <si>
    <t xml:space="preserve">Column10146</t>
  </si>
  <si>
    <t xml:space="preserve">Column10147</t>
  </si>
  <si>
    <t xml:space="preserve">Column10148</t>
  </si>
  <si>
    <t xml:space="preserve">Column10149</t>
  </si>
  <si>
    <t xml:space="preserve">Column10150</t>
  </si>
  <si>
    <t xml:space="preserve">Column10151</t>
  </si>
  <si>
    <t xml:space="preserve">Column10152</t>
  </si>
  <si>
    <t xml:space="preserve">Column10153</t>
  </si>
  <si>
    <t xml:space="preserve">Column10154</t>
  </si>
  <si>
    <t xml:space="preserve">Column10155</t>
  </si>
  <si>
    <t xml:space="preserve">Column10156</t>
  </si>
  <si>
    <t xml:space="preserve">Column10157</t>
  </si>
  <si>
    <t xml:space="preserve">Column10158</t>
  </si>
  <si>
    <t xml:space="preserve">Column10159</t>
  </si>
  <si>
    <t xml:space="preserve">Column10160</t>
  </si>
  <si>
    <t xml:space="preserve">Column10161</t>
  </si>
  <si>
    <t xml:space="preserve">Column10162</t>
  </si>
  <si>
    <t xml:space="preserve">Column10163</t>
  </si>
  <si>
    <t xml:space="preserve">Column10164</t>
  </si>
  <si>
    <t xml:space="preserve">Column10165</t>
  </si>
  <si>
    <t xml:space="preserve">Column10166</t>
  </si>
  <si>
    <t xml:space="preserve">Column10167</t>
  </si>
  <si>
    <t xml:space="preserve">Column10168</t>
  </si>
  <si>
    <t xml:space="preserve">Column10169</t>
  </si>
  <si>
    <t xml:space="preserve">Column10170</t>
  </si>
  <si>
    <t xml:space="preserve">Column10171</t>
  </si>
  <si>
    <t xml:space="preserve">Column10172</t>
  </si>
  <si>
    <t xml:space="preserve">Column10173</t>
  </si>
  <si>
    <t xml:space="preserve">Column10174</t>
  </si>
  <si>
    <t xml:space="preserve">Column10175</t>
  </si>
  <si>
    <t xml:space="preserve">Column10176</t>
  </si>
  <si>
    <t xml:space="preserve">Column10177</t>
  </si>
  <si>
    <t xml:space="preserve">Column10178</t>
  </si>
  <si>
    <t xml:space="preserve">Column10179</t>
  </si>
  <si>
    <t xml:space="preserve">Column10180</t>
  </si>
  <si>
    <t xml:space="preserve">Column10181</t>
  </si>
  <si>
    <t xml:space="preserve">Column10182</t>
  </si>
  <si>
    <t xml:space="preserve">Column10183</t>
  </si>
  <si>
    <t xml:space="preserve">Column10184</t>
  </si>
  <si>
    <t xml:space="preserve">Column10185</t>
  </si>
  <si>
    <t xml:space="preserve">Column10186</t>
  </si>
  <si>
    <t xml:space="preserve">Column10187</t>
  </si>
  <si>
    <t xml:space="preserve">Column10188</t>
  </si>
  <si>
    <t xml:space="preserve">Column10189</t>
  </si>
  <si>
    <t xml:space="preserve">Column10190</t>
  </si>
  <si>
    <t xml:space="preserve">Column10191</t>
  </si>
  <si>
    <t xml:space="preserve">Column10192</t>
  </si>
  <si>
    <t xml:space="preserve">Column10193</t>
  </si>
  <si>
    <t xml:space="preserve">Column10194</t>
  </si>
  <si>
    <t xml:space="preserve">Column10195</t>
  </si>
  <si>
    <t xml:space="preserve">Column10196</t>
  </si>
  <si>
    <t xml:space="preserve">Column10197</t>
  </si>
  <si>
    <t xml:space="preserve">Column10198</t>
  </si>
  <si>
    <t xml:space="preserve">Column10199</t>
  </si>
  <si>
    <t xml:space="preserve">Column10200</t>
  </si>
  <si>
    <t xml:space="preserve">Column10201</t>
  </si>
  <si>
    <t xml:space="preserve">Column10202</t>
  </si>
  <si>
    <t xml:space="preserve">Column10203</t>
  </si>
  <si>
    <t xml:space="preserve">Column10204</t>
  </si>
  <si>
    <t xml:space="preserve">Column10205</t>
  </si>
  <si>
    <t xml:space="preserve">Column10206</t>
  </si>
  <si>
    <t xml:space="preserve">Column10207</t>
  </si>
  <si>
    <t xml:space="preserve">Column10208</t>
  </si>
  <si>
    <t xml:space="preserve">Column10209</t>
  </si>
  <si>
    <t xml:space="preserve">Column10210</t>
  </si>
  <si>
    <t xml:space="preserve">Column10211</t>
  </si>
  <si>
    <t xml:space="preserve">Column10212</t>
  </si>
  <si>
    <t xml:space="preserve">Column10213</t>
  </si>
  <si>
    <t xml:space="preserve">Column10214</t>
  </si>
  <si>
    <t xml:space="preserve">Column10215</t>
  </si>
  <si>
    <t xml:space="preserve">Column10216</t>
  </si>
  <si>
    <t xml:space="preserve">Column10217</t>
  </si>
  <si>
    <t xml:space="preserve">Column10218</t>
  </si>
  <si>
    <t xml:space="preserve">Column10219</t>
  </si>
  <si>
    <t xml:space="preserve">Column10220</t>
  </si>
  <si>
    <t xml:space="preserve">Column10221</t>
  </si>
  <si>
    <t xml:space="preserve">Column10222</t>
  </si>
  <si>
    <t xml:space="preserve">Column10223</t>
  </si>
  <si>
    <t xml:space="preserve">Column10224</t>
  </si>
  <si>
    <t xml:space="preserve">Column10225</t>
  </si>
  <si>
    <t xml:space="preserve">Column10226</t>
  </si>
  <si>
    <t xml:space="preserve">Column10227</t>
  </si>
  <si>
    <t xml:space="preserve">Column10228</t>
  </si>
  <si>
    <t xml:space="preserve">Column10229</t>
  </si>
  <si>
    <t xml:space="preserve">Column10230</t>
  </si>
  <si>
    <t xml:space="preserve">Column10231</t>
  </si>
  <si>
    <t xml:space="preserve">Column10232</t>
  </si>
  <si>
    <t xml:space="preserve">Column10233</t>
  </si>
  <si>
    <t xml:space="preserve">Column10234</t>
  </si>
  <si>
    <t xml:space="preserve">Column10235</t>
  </si>
  <si>
    <t xml:space="preserve">Column10236</t>
  </si>
  <si>
    <t xml:space="preserve">Column10237</t>
  </si>
  <si>
    <t xml:space="preserve">Column10238</t>
  </si>
  <si>
    <t xml:space="preserve">Column10239</t>
  </si>
  <si>
    <t xml:space="preserve">Column10240</t>
  </si>
  <si>
    <t xml:space="preserve">Column10241</t>
  </si>
  <si>
    <t xml:space="preserve">Column10242</t>
  </si>
  <si>
    <t xml:space="preserve">Column10243</t>
  </si>
  <si>
    <t xml:space="preserve">Column10244</t>
  </si>
  <si>
    <t xml:space="preserve">Column10245</t>
  </si>
  <si>
    <t xml:space="preserve">Column10246</t>
  </si>
  <si>
    <t xml:space="preserve">Column10247</t>
  </si>
  <si>
    <t xml:space="preserve">Column10248</t>
  </si>
  <si>
    <t xml:space="preserve">Column10249</t>
  </si>
  <si>
    <t xml:space="preserve">Column10250</t>
  </si>
  <si>
    <t xml:space="preserve">Column10251</t>
  </si>
  <si>
    <t xml:space="preserve">Column10252</t>
  </si>
  <si>
    <t xml:space="preserve">Column10253</t>
  </si>
  <si>
    <t xml:space="preserve">Column10254</t>
  </si>
  <si>
    <t xml:space="preserve">Column10255</t>
  </si>
  <si>
    <t xml:space="preserve">Column10256</t>
  </si>
  <si>
    <t xml:space="preserve">Column10257</t>
  </si>
  <si>
    <t xml:space="preserve">Column10258</t>
  </si>
  <si>
    <t xml:space="preserve">Column10259</t>
  </si>
  <si>
    <t xml:space="preserve">Column10260</t>
  </si>
  <si>
    <t xml:space="preserve">Column10261</t>
  </si>
  <si>
    <t xml:space="preserve">Column10262</t>
  </si>
  <si>
    <t xml:space="preserve">Column10263</t>
  </si>
  <si>
    <t xml:space="preserve">Column10264</t>
  </si>
  <si>
    <t xml:space="preserve">Column10265</t>
  </si>
  <si>
    <t xml:space="preserve">Column10266</t>
  </si>
  <si>
    <t xml:space="preserve">Column10267</t>
  </si>
  <si>
    <t xml:space="preserve">Column10268</t>
  </si>
  <si>
    <t xml:space="preserve">Column10269</t>
  </si>
  <si>
    <t xml:space="preserve">Column10270</t>
  </si>
  <si>
    <t xml:space="preserve">Column10271</t>
  </si>
  <si>
    <t xml:space="preserve">Column10272</t>
  </si>
  <si>
    <t xml:space="preserve">Column10273</t>
  </si>
  <si>
    <t xml:space="preserve">Column10274</t>
  </si>
  <si>
    <t xml:space="preserve">Column10275</t>
  </si>
  <si>
    <t xml:space="preserve">Column10276</t>
  </si>
  <si>
    <t xml:space="preserve">Column10277</t>
  </si>
  <si>
    <t xml:space="preserve">Column10278</t>
  </si>
  <si>
    <t xml:space="preserve">Column10279</t>
  </si>
  <si>
    <t xml:space="preserve">Column10280</t>
  </si>
  <si>
    <t xml:space="preserve">Column10281</t>
  </si>
  <si>
    <t xml:space="preserve">Column10282</t>
  </si>
  <si>
    <t xml:space="preserve">Column10283</t>
  </si>
  <si>
    <t xml:space="preserve">Column10284</t>
  </si>
  <si>
    <t xml:space="preserve">Column10285</t>
  </si>
  <si>
    <t xml:space="preserve">Column10286</t>
  </si>
  <si>
    <t xml:space="preserve">Column10287</t>
  </si>
  <si>
    <t xml:space="preserve">Column10288</t>
  </si>
  <si>
    <t xml:space="preserve">Column10289</t>
  </si>
  <si>
    <t xml:space="preserve">Column10290</t>
  </si>
  <si>
    <t xml:space="preserve">Column10291</t>
  </si>
  <si>
    <t xml:space="preserve">Column10292</t>
  </si>
  <si>
    <t xml:space="preserve">Column10293</t>
  </si>
  <si>
    <t xml:space="preserve">Column10294</t>
  </si>
  <si>
    <t xml:space="preserve">Column10295</t>
  </si>
  <si>
    <t xml:space="preserve">Column10296</t>
  </si>
  <si>
    <t xml:space="preserve">Column10297</t>
  </si>
  <si>
    <t xml:space="preserve">Column10298</t>
  </si>
  <si>
    <t xml:space="preserve">Column10299</t>
  </si>
  <si>
    <t xml:space="preserve">Column10300</t>
  </si>
  <si>
    <t xml:space="preserve">Column10301</t>
  </si>
  <si>
    <t xml:space="preserve">Column10302</t>
  </si>
  <si>
    <t xml:space="preserve">Column10303</t>
  </si>
  <si>
    <t xml:space="preserve">Column10304</t>
  </si>
  <si>
    <t xml:space="preserve">Column10305</t>
  </si>
  <si>
    <t xml:space="preserve">Column10306</t>
  </si>
  <si>
    <t xml:space="preserve">Column10307</t>
  </si>
  <si>
    <t xml:space="preserve">Column10308</t>
  </si>
  <si>
    <t xml:space="preserve">Column10309</t>
  </si>
  <si>
    <t xml:space="preserve">Column10310</t>
  </si>
  <si>
    <t xml:space="preserve">Column10311</t>
  </si>
  <si>
    <t xml:space="preserve">Column10312</t>
  </si>
  <si>
    <t xml:space="preserve">Column10313</t>
  </si>
  <si>
    <t xml:space="preserve">Column10314</t>
  </si>
  <si>
    <t xml:space="preserve">Column10315</t>
  </si>
  <si>
    <t xml:space="preserve">Column10316</t>
  </si>
  <si>
    <t xml:space="preserve">Column10317</t>
  </si>
  <si>
    <t xml:space="preserve">Column10318</t>
  </si>
  <si>
    <t xml:space="preserve">Column10319</t>
  </si>
  <si>
    <t xml:space="preserve">Column10320</t>
  </si>
  <si>
    <t xml:space="preserve">Column10321</t>
  </si>
  <si>
    <t xml:space="preserve">Column10322</t>
  </si>
  <si>
    <t xml:space="preserve">Column10323</t>
  </si>
  <si>
    <t xml:space="preserve">Column10324</t>
  </si>
  <si>
    <t xml:space="preserve">Column10325</t>
  </si>
  <si>
    <t xml:space="preserve">Column10326</t>
  </si>
  <si>
    <t xml:space="preserve">Column10327</t>
  </si>
  <si>
    <t xml:space="preserve">Column10328</t>
  </si>
  <si>
    <t xml:space="preserve">Column10329</t>
  </si>
  <si>
    <t xml:space="preserve">Column10330</t>
  </si>
  <si>
    <t xml:space="preserve">Column10331</t>
  </si>
  <si>
    <t xml:space="preserve">Column10332</t>
  </si>
  <si>
    <t xml:space="preserve">Column10333</t>
  </si>
  <si>
    <t xml:space="preserve">Column10334</t>
  </si>
  <si>
    <t xml:space="preserve">Column10335</t>
  </si>
  <si>
    <t xml:space="preserve">Column10336</t>
  </si>
  <si>
    <t xml:space="preserve">Column10337</t>
  </si>
  <si>
    <t xml:space="preserve">Column10338</t>
  </si>
  <si>
    <t xml:space="preserve">Column10339</t>
  </si>
  <si>
    <t xml:space="preserve">Column10340</t>
  </si>
  <si>
    <t xml:space="preserve">Column10341</t>
  </si>
  <si>
    <t xml:space="preserve">Column10342</t>
  </si>
  <si>
    <t xml:space="preserve">Column10343</t>
  </si>
  <si>
    <t xml:space="preserve">Column10344</t>
  </si>
  <si>
    <t xml:space="preserve">Column10345</t>
  </si>
  <si>
    <t xml:space="preserve">Column10346</t>
  </si>
  <si>
    <t xml:space="preserve">Column10347</t>
  </si>
  <si>
    <t xml:space="preserve">Column10348</t>
  </si>
  <si>
    <t xml:space="preserve">Column10349</t>
  </si>
  <si>
    <t xml:space="preserve">Column10350</t>
  </si>
  <si>
    <t xml:space="preserve">Column10351</t>
  </si>
  <si>
    <t xml:space="preserve">Column10352</t>
  </si>
  <si>
    <t xml:space="preserve">Column10353</t>
  </si>
  <si>
    <t xml:space="preserve">Column10354</t>
  </si>
  <si>
    <t xml:space="preserve">Column10355</t>
  </si>
  <si>
    <t xml:space="preserve">Column10356</t>
  </si>
  <si>
    <t xml:space="preserve">Column10357</t>
  </si>
  <si>
    <t xml:space="preserve">Column10358</t>
  </si>
  <si>
    <t xml:space="preserve">Column10359</t>
  </si>
  <si>
    <t xml:space="preserve">Column10360</t>
  </si>
  <si>
    <t xml:space="preserve">Column10361</t>
  </si>
  <si>
    <t xml:space="preserve">Column10362</t>
  </si>
  <si>
    <t xml:space="preserve">Column10363</t>
  </si>
  <si>
    <t xml:space="preserve">Column10364</t>
  </si>
  <si>
    <t xml:space="preserve">Column10365</t>
  </si>
  <si>
    <t xml:space="preserve">Column10366</t>
  </si>
  <si>
    <t xml:space="preserve">Column10367</t>
  </si>
  <si>
    <t xml:space="preserve">Column10368</t>
  </si>
  <si>
    <t xml:space="preserve">Column10369</t>
  </si>
  <si>
    <t xml:space="preserve">Column10370</t>
  </si>
  <si>
    <t xml:space="preserve">Column10371</t>
  </si>
  <si>
    <t xml:space="preserve">Column10372</t>
  </si>
  <si>
    <t xml:space="preserve">Column10373</t>
  </si>
  <si>
    <t xml:space="preserve">Column10374</t>
  </si>
  <si>
    <t xml:space="preserve">Column10375</t>
  </si>
  <si>
    <t xml:space="preserve">Column10376</t>
  </si>
  <si>
    <t xml:space="preserve">Column10377</t>
  </si>
  <si>
    <t xml:space="preserve">Column10378</t>
  </si>
  <si>
    <t xml:space="preserve">Column10379</t>
  </si>
  <si>
    <t xml:space="preserve">Column10380</t>
  </si>
  <si>
    <t xml:space="preserve">Column10381</t>
  </si>
  <si>
    <t xml:space="preserve">Column10382</t>
  </si>
  <si>
    <t xml:space="preserve">Column10383</t>
  </si>
  <si>
    <t xml:space="preserve">Column10384</t>
  </si>
  <si>
    <t xml:space="preserve">Column10385</t>
  </si>
  <si>
    <t xml:space="preserve">Column10386</t>
  </si>
  <si>
    <t xml:space="preserve">Column10387</t>
  </si>
  <si>
    <t xml:space="preserve">Column10388</t>
  </si>
  <si>
    <t xml:space="preserve">Column10389</t>
  </si>
  <si>
    <t xml:space="preserve">Column10390</t>
  </si>
  <si>
    <t xml:space="preserve">Column10391</t>
  </si>
  <si>
    <t xml:space="preserve">Column10392</t>
  </si>
  <si>
    <t xml:space="preserve">Column10393</t>
  </si>
  <si>
    <t xml:space="preserve">Column10394</t>
  </si>
  <si>
    <t xml:space="preserve">Column10395</t>
  </si>
  <si>
    <t xml:space="preserve">Column10396</t>
  </si>
  <si>
    <t xml:space="preserve">Column10397</t>
  </si>
  <si>
    <t xml:space="preserve">Column10398</t>
  </si>
  <si>
    <t xml:space="preserve">Column10399</t>
  </si>
  <si>
    <t xml:space="preserve">Column10400</t>
  </si>
  <si>
    <t xml:space="preserve">Column10401</t>
  </si>
  <si>
    <t xml:space="preserve">Column10402</t>
  </si>
  <si>
    <t xml:space="preserve">Column10403</t>
  </si>
  <si>
    <t xml:space="preserve">Column10404</t>
  </si>
  <si>
    <t xml:space="preserve">Column10405</t>
  </si>
  <si>
    <t xml:space="preserve">Column10406</t>
  </si>
  <si>
    <t xml:space="preserve">Column10407</t>
  </si>
  <si>
    <t xml:space="preserve">Column10408</t>
  </si>
  <si>
    <t xml:space="preserve">Column10409</t>
  </si>
  <si>
    <t xml:space="preserve">Column10410</t>
  </si>
  <si>
    <t xml:space="preserve">Column10411</t>
  </si>
  <si>
    <t xml:space="preserve">Column10412</t>
  </si>
  <si>
    <t xml:space="preserve">Column10413</t>
  </si>
  <si>
    <t xml:space="preserve">Column10414</t>
  </si>
  <si>
    <t xml:space="preserve">Column10415</t>
  </si>
  <si>
    <t xml:space="preserve">Column10416</t>
  </si>
  <si>
    <t xml:space="preserve">Column10417</t>
  </si>
  <si>
    <t xml:space="preserve">Column10418</t>
  </si>
  <si>
    <t xml:space="preserve">Column10419</t>
  </si>
  <si>
    <t xml:space="preserve">Column10420</t>
  </si>
  <si>
    <t xml:space="preserve">Column10421</t>
  </si>
  <si>
    <t xml:space="preserve">Column10422</t>
  </si>
  <si>
    <t xml:space="preserve">Column10423</t>
  </si>
  <si>
    <t xml:space="preserve">Column10424</t>
  </si>
  <si>
    <t xml:space="preserve">Column10425</t>
  </si>
  <si>
    <t xml:space="preserve">Column10426</t>
  </si>
  <si>
    <t xml:space="preserve">Column10427</t>
  </si>
  <si>
    <t xml:space="preserve">Column10428</t>
  </si>
  <si>
    <t xml:space="preserve">Column10429</t>
  </si>
  <si>
    <t xml:space="preserve">Column10430</t>
  </si>
  <si>
    <t xml:space="preserve">Column10431</t>
  </si>
  <si>
    <t xml:space="preserve">Column10432</t>
  </si>
  <si>
    <t xml:space="preserve">Column10433</t>
  </si>
  <si>
    <t xml:space="preserve">Column10434</t>
  </si>
  <si>
    <t xml:space="preserve">Column10435</t>
  </si>
  <si>
    <t xml:space="preserve">Column10436</t>
  </si>
  <si>
    <t xml:space="preserve">Column10437</t>
  </si>
  <si>
    <t xml:space="preserve">Column10438</t>
  </si>
  <si>
    <t xml:space="preserve">Column10439</t>
  </si>
  <si>
    <t xml:space="preserve">Column10440</t>
  </si>
  <si>
    <t xml:space="preserve">Column10441</t>
  </si>
  <si>
    <t xml:space="preserve">Column10442</t>
  </si>
  <si>
    <t xml:space="preserve">Column10443</t>
  </si>
  <si>
    <t xml:space="preserve">Column10444</t>
  </si>
  <si>
    <t xml:space="preserve">Column10445</t>
  </si>
  <si>
    <t xml:space="preserve">Column10446</t>
  </si>
  <si>
    <t xml:space="preserve">Column10447</t>
  </si>
  <si>
    <t xml:space="preserve">Column10448</t>
  </si>
  <si>
    <t xml:space="preserve">Column10449</t>
  </si>
  <si>
    <t xml:space="preserve">Column10450</t>
  </si>
  <si>
    <t xml:space="preserve">Column10451</t>
  </si>
  <si>
    <t xml:space="preserve">Column10452</t>
  </si>
  <si>
    <t xml:space="preserve">Column10453</t>
  </si>
  <si>
    <t xml:space="preserve">Column10454</t>
  </si>
  <si>
    <t xml:space="preserve">Column10455</t>
  </si>
  <si>
    <t xml:space="preserve">Column10456</t>
  </si>
  <si>
    <t xml:space="preserve">Column10457</t>
  </si>
  <si>
    <t xml:space="preserve">Column10458</t>
  </si>
  <si>
    <t xml:space="preserve">Column10459</t>
  </si>
  <si>
    <t xml:space="preserve">Column10460</t>
  </si>
  <si>
    <t xml:space="preserve">Column10461</t>
  </si>
  <si>
    <t xml:space="preserve">Column10462</t>
  </si>
  <si>
    <t xml:space="preserve">Column10463</t>
  </si>
  <si>
    <t xml:space="preserve">Column10464</t>
  </si>
  <si>
    <t xml:space="preserve">Column10465</t>
  </si>
  <si>
    <t xml:space="preserve">Column10466</t>
  </si>
  <si>
    <t xml:space="preserve">Column10467</t>
  </si>
  <si>
    <t xml:space="preserve">Column10468</t>
  </si>
  <si>
    <t xml:space="preserve">Column10469</t>
  </si>
  <si>
    <t xml:space="preserve">Column10470</t>
  </si>
  <si>
    <t xml:space="preserve">Column10471</t>
  </si>
  <si>
    <t xml:space="preserve">Column10472</t>
  </si>
  <si>
    <t xml:space="preserve">Column10473</t>
  </si>
  <si>
    <t xml:space="preserve">Column10474</t>
  </si>
  <si>
    <t xml:space="preserve">Column10475</t>
  </si>
  <si>
    <t xml:space="preserve">Column10476</t>
  </si>
  <si>
    <t xml:space="preserve">Column10477</t>
  </si>
  <si>
    <t xml:space="preserve">Column10478</t>
  </si>
  <si>
    <t xml:space="preserve">Column10479</t>
  </si>
  <si>
    <t xml:space="preserve">Column10480</t>
  </si>
  <si>
    <t xml:space="preserve">Column10481</t>
  </si>
  <si>
    <t xml:space="preserve">Column10482</t>
  </si>
  <si>
    <t xml:space="preserve">Column10483</t>
  </si>
  <si>
    <t xml:space="preserve">Column10484</t>
  </si>
  <si>
    <t xml:space="preserve">Column10485</t>
  </si>
  <si>
    <t xml:space="preserve">Column10486</t>
  </si>
  <si>
    <t xml:space="preserve">Column10487</t>
  </si>
  <si>
    <t xml:space="preserve">Column10488</t>
  </si>
  <si>
    <t xml:space="preserve">Column10489</t>
  </si>
  <si>
    <t xml:space="preserve">Column10490</t>
  </si>
  <si>
    <t xml:space="preserve">Column10491</t>
  </si>
  <si>
    <t xml:space="preserve">Column10492</t>
  </si>
  <si>
    <t xml:space="preserve">Column10493</t>
  </si>
  <si>
    <t xml:space="preserve">Column10494</t>
  </si>
  <si>
    <t xml:space="preserve">Column10495</t>
  </si>
  <si>
    <t xml:space="preserve">Column10496</t>
  </si>
  <si>
    <t xml:space="preserve">Column10497</t>
  </si>
  <si>
    <t xml:space="preserve">Column10498</t>
  </si>
  <si>
    <t xml:space="preserve">Column10499</t>
  </si>
  <si>
    <t xml:space="preserve">Column10500</t>
  </si>
  <si>
    <t xml:space="preserve">Column10501</t>
  </si>
  <si>
    <t xml:space="preserve">Column10502</t>
  </si>
  <si>
    <t xml:space="preserve">Column10503</t>
  </si>
  <si>
    <t xml:space="preserve">Column10504</t>
  </si>
  <si>
    <t xml:space="preserve">Column10505</t>
  </si>
  <si>
    <t xml:space="preserve">Column10506</t>
  </si>
  <si>
    <t xml:space="preserve">Column10507</t>
  </si>
  <si>
    <t xml:space="preserve">Column10508</t>
  </si>
  <si>
    <t xml:space="preserve">Column10509</t>
  </si>
  <si>
    <t xml:space="preserve">Column10510</t>
  </si>
  <si>
    <t xml:space="preserve">Column10511</t>
  </si>
  <si>
    <t xml:space="preserve">Column10512</t>
  </si>
  <si>
    <t xml:space="preserve">Column10513</t>
  </si>
  <si>
    <t xml:space="preserve">Column10514</t>
  </si>
  <si>
    <t xml:space="preserve">Column10515</t>
  </si>
  <si>
    <t xml:space="preserve">Column10516</t>
  </si>
  <si>
    <t xml:space="preserve">Column10517</t>
  </si>
  <si>
    <t xml:space="preserve">Column10518</t>
  </si>
  <si>
    <t xml:space="preserve">Column10519</t>
  </si>
  <si>
    <t xml:space="preserve">Column10520</t>
  </si>
  <si>
    <t xml:space="preserve">Column10521</t>
  </si>
  <si>
    <t xml:space="preserve">Column10522</t>
  </si>
  <si>
    <t xml:space="preserve">Column10523</t>
  </si>
  <si>
    <t xml:space="preserve">Column10524</t>
  </si>
  <si>
    <t xml:space="preserve">Column10525</t>
  </si>
  <si>
    <t xml:space="preserve">Column10526</t>
  </si>
  <si>
    <t xml:space="preserve">Column10527</t>
  </si>
  <si>
    <t xml:space="preserve">Column10528</t>
  </si>
  <si>
    <t xml:space="preserve">Column10529</t>
  </si>
  <si>
    <t xml:space="preserve">Column10530</t>
  </si>
  <si>
    <t xml:space="preserve">Column10531</t>
  </si>
  <si>
    <t xml:space="preserve">Column10532</t>
  </si>
  <si>
    <t xml:space="preserve">Column10533</t>
  </si>
  <si>
    <t xml:space="preserve">Column10534</t>
  </si>
  <si>
    <t xml:space="preserve">Column10535</t>
  </si>
  <si>
    <t xml:space="preserve">Column10536</t>
  </si>
  <si>
    <t xml:space="preserve">Column10537</t>
  </si>
  <si>
    <t xml:space="preserve">Column10538</t>
  </si>
  <si>
    <t xml:space="preserve">Column10539</t>
  </si>
  <si>
    <t xml:space="preserve">Column10540</t>
  </si>
  <si>
    <t xml:space="preserve">Column10541</t>
  </si>
  <si>
    <t xml:space="preserve">Column10542</t>
  </si>
  <si>
    <t xml:space="preserve">Column10543</t>
  </si>
  <si>
    <t xml:space="preserve">Column10544</t>
  </si>
  <si>
    <t xml:space="preserve">Column10545</t>
  </si>
  <si>
    <t xml:space="preserve">Column10546</t>
  </si>
  <si>
    <t xml:space="preserve">Column10547</t>
  </si>
  <si>
    <t xml:space="preserve">Column10548</t>
  </si>
  <si>
    <t xml:space="preserve">Column10549</t>
  </si>
  <si>
    <t xml:space="preserve">Column10550</t>
  </si>
  <si>
    <t xml:space="preserve">Column10551</t>
  </si>
  <si>
    <t xml:space="preserve">Column10552</t>
  </si>
  <si>
    <t xml:space="preserve">Column10553</t>
  </si>
  <si>
    <t xml:space="preserve">Column10554</t>
  </si>
  <si>
    <t xml:space="preserve">Column10555</t>
  </si>
  <si>
    <t xml:space="preserve">Column10556</t>
  </si>
  <si>
    <t xml:space="preserve">Column10557</t>
  </si>
  <si>
    <t xml:space="preserve">Column10558</t>
  </si>
  <si>
    <t xml:space="preserve">Column10559</t>
  </si>
  <si>
    <t xml:space="preserve">Column10560</t>
  </si>
  <si>
    <t xml:space="preserve">Column10561</t>
  </si>
  <si>
    <t xml:space="preserve">Column10562</t>
  </si>
  <si>
    <t xml:space="preserve">Column10563</t>
  </si>
  <si>
    <t xml:space="preserve">Column10564</t>
  </si>
  <si>
    <t xml:space="preserve">Column10565</t>
  </si>
  <si>
    <t xml:space="preserve">Column10566</t>
  </si>
  <si>
    <t xml:space="preserve">Column10567</t>
  </si>
  <si>
    <t xml:space="preserve">Column10568</t>
  </si>
  <si>
    <t xml:space="preserve">Column10569</t>
  </si>
  <si>
    <t xml:space="preserve">Column10570</t>
  </si>
  <si>
    <t xml:space="preserve">Column10571</t>
  </si>
  <si>
    <t xml:space="preserve">Column10572</t>
  </si>
  <si>
    <t xml:space="preserve">Column10573</t>
  </si>
  <si>
    <t xml:space="preserve">Column10574</t>
  </si>
  <si>
    <t xml:space="preserve">Column10575</t>
  </si>
  <si>
    <t xml:space="preserve">Column10576</t>
  </si>
  <si>
    <t xml:space="preserve">Column10577</t>
  </si>
  <si>
    <t xml:space="preserve">Column10578</t>
  </si>
  <si>
    <t xml:space="preserve">Column10579</t>
  </si>
  <si>
    <t xml:space="preserve">Column10580</t>
  </si>
  <si>
    <t xml:space="preserve">Column10581</t>
  </si>
  <si>
    <t xml:space="preserve">Column10582</t>
  </si>
  <si>
    <t xml:space="preserve">Column10583</t>
  </si>
  <si>
    <t xml:space="preserve">Column10584</t>
  </si>
  <si>
    <t xml:space="preserve">Column10585</t>
  </si>
  <si>
    <t xml:space="preserve">Column10586</t>
  </si>
  <si>
    <t xml:space="preserve">Column10587</t>
  </si>
  <si>
    <t xml:space="preserve">Column10588</t>
  </si>
  <si>
    <t xml:space="preserve">Column10589</t>
  </si>
  <si>
    <t xml:space="preserve">Column10590</t>
  </si>
  <si>
    <t xml:space="preserve">Column10591</t>
  </si>
  <si>
    <t xml:space="preserve">Column10592</t>
  </si>
  <si>
    <t xml:space="preserve">Column10593</t>
  </si>
  <si>
    <t xml:space="preserve">Column10594</t>
  </si>
  <si>
    <t xml:space="preserve">Column10595</t>
  </si>
  <si>
    <t xml:space="preserve">Column10596</t>
  </si>
  <si>
    <t xml:space="preserve">Column10597</t>
  </si>
  <si>
    <t xml:space="preserve">Column10598</t>
  </si>
  <si>
    <t xml:space="preserve">Column10599</t>
  </si>
  <si>
    <t xml:space="preserve">Column10600</t>
  </si>
  <si>
    <t xml:space="preserve">Column10601</t>
  </si>
  <si>
    <t xml:space="preserve">Column10602</t>
  </si>
  <si>
    <t xml:space="preserve">Column10603</t>
  </si>
  <si>
    <t xml:space="preserve">Column10604</t>
  </si>
  <si>
    <t xml:space="preserve">Column10605</t>
  </si>
  <si>
    <t xml:space="preserve">Column10606</t>
  </si>
  <si>
    <t xml:space="preserve">Column10607</t>
  </si>
  <si>
    <t xml:space="preserve">Column10608</t>
  </si>
  <si>
    <t xml:space="preserve">Column10609</t>
  </si>
  <si>
    <t xml:space="preserve">Column10610</t>
  </si>
  <si>
    <t xml:space="preserve">Column10611</t>
  </si>
  <si>
    <t xml:space="preserve">Column10612</t>
  </si>
  <si>
    <t xml:space="preserve">Column10613</t>
  </si>
  <si>
    <t xml:space="preserve">Column10614</t>
  </si>
  <si>
    <t xml:space="preserve">Column10615</t>
  </si>
  <si>
    <t xml:space="preserve">Column10616</t>
  </si>
  <si>
    <t xml:space="preserve">Column10617</t>
  </si>
  <si>
    <t xml:space="preserve">Column10618</t>
  </si>
  <si>
    <t xml:space="preserve">Column10619</t>
  </si>
  <si>
    <t xml:space="preserve">Column10620</t>
  </si>
  <si>
    <t xml:space="preserve">Column10621</t>
  </si>
  <si>
    <t xml:space="preserve">Column10622</t>
  </si>
  <si>
    <t xml:space="preserve">Column10623</t>
  </si>
  <si>
    <t xml:space="preserve">Column10624</t>
  </si>
  <si>
    <t xml:space="preserve">Column10625</t>
  </si>
  <si>
    <t xml:space="preserve">Column10626</t>
  </si>
  <si>
    <t xml:space="preserve">Column10627</t>
  </si>
  <si>
    <t xml:space="preserve">Column10628</t>
  </si>
  <si>
    <t xml:space="preserve">Column10629</t>
  </si>
  <si>
    <t xml:space="preserve">Column10630</t>
  </si>
  <si>
    <t xml:space="preserve">Column10631</t>
  </si>
  <si>
    <t xml:space="preserve">Column10632</t>
  </si>
  <si>
    <t xml:space="preserve">Column10633</t>
  </si>
  <si>
    <t xml:space="preserve">Column10634</t>
  </si>
  <si>
    <t xml:space="preserve">Column10635</t>
  </si>
  <si>
    <t xml:space="preserve">Column10636</t>
  </si>
  <si>
    <t xml:space="preserve">Column10637</t>
  </si>
  <si>
    <t xml:space="preserve">Column10638</t>
  </si>
  <si>
    <t xml:space="preserve">Column10639</t>
  </si>
  <si>
    <t xml:space="preserve">Column10640</t>
  </si>
  <si>
    <t xml:space="preserve">Column10641</t>
  </si>
  <si>
    <t xml:space="preserve">Column10642</t>
  </si>
  <si>
    <t xml:space="preserve">Column10643</t>
  </si>
  <si>
    <t xml:space="preserve">Column10644</t>
  </si>
  <si>
    <t xml:space="preserve">Column10645</t>
  </si>
  <si>
    <t xml:space="preserve">Column10646</t>
  </si>
  <si>
    <t xml:space="preserve">Column10647</t>
  </si>
  <si>
    <t xml:space="preserve">Column10648</t>
  </si>
  <si>
    <t xml:space="preserve">Column10649</t>
  </si>
  <si>
    <t xml:space="preserve">Column10650</t>
  </si>
  <si>
    <t xml:space="preserve">Column10651</t>
  </si>
  <si>
    <t xml:space="preserve">Column10652</t>
  </si>
  <si>
    <t xml:space="preserve">Column10653</t>
  </si>
  <si>
    <t xml:space="preserve">Column10654</t>
  </si>
  <si>
    <t xml:space="preserve">Column10655</t>
  </si>
  <si>
    <t xml:space="preserve">Column10656</t>
  </si>
  <si>
    <t xml:space="preserve">Column10657</t>
  </si>
  <si>
    <t xml:space="preserve">Column10658</t>
  </si>
  <si>
    <t xml:space="preserve">Column10659</t>
  </si>
  <si>
    <t xml:space="preserve">Column10660</t>
  </si>
  <si>
    <t xml:space="preserve">Column10661</t>
  </si>
  <si>
    <t xml:space="preserve">Column10662</t>
  </si>
  <si>
    <t xml:space="preserve">Column10663</t>
  </si>
  <si>
    <t xml:space="preserve">Column10664</t>
  </si>
  <si>
    <t xml:space="preserve">Column10665</t>
  </si>
  <si>
    <t xml:space="preserve">Column10666</t>
  </si>
  <si>
    <t xml:space="preserve">Column10667</t>
  </si>
  <si>
    <t xml:space="preserve">Column10668</t>
  </si>
  <si>
    <t xml:space="preserve">Column10669</t>
  </si>
  <si>
    <t xml:space="preserve">Column10670</t>
  </si>
  <si>
    <t xml:space="preserve">Column10671</t>
  </si>
  <si>
    <t xml:space="preserve">Column10672</t>
  </si>
  <si>
    <t xml:space="preserve">Column10673</t>
  </si>
  <si>
    <t xml:space="preserve">Column10674</t>
  </si>
  <si>
    <t xml:space="preserve">Column10675</t>
  </si>
  <si>
    <t xml:space="preserve">Column10676</t>
  </si>
  <si>
    <t xml:space="preserve">Column10677</t>
  </si>
  <si>
    <t xml:space="preserve">Column10678</t>
  </si>
  <si>
    <t xml:space="preserve">Column10679</t>
  </si>
  <si>
    <t xml:space="preserve">Column10680</t>
  </si>
  <si>
    <t xml:space="preserve">Column10681</t>
  </si>
  <si>
    <t xml:space="preserve">Column10682</t>
  </si>
  <si>
    <t xml:space="preserve">Column10683</t>
  </si>
  <si>
    <t xml:space="preserve">Column10684</t>
  </si>
  <si>
    <t xml:space="preserve">Column10685</t>
  </si>
  <si>
    <t xml:space="preserve">Column10686</t>
  </si>
  <si>
    <t xml:space="preserve">Column10687</t>
  </si>
  <si>
    <t xml:space="preserve">Column10688</t>
  </si>
  <si>
    <t xml:space="preserve">Column10689</t>
  </si>
  <si>
    <t xml:space="preserve">Column10690</t>
  </si>
  <si>
    <t xml:space="preserve">Column10691</t>
  </si>
  <si>
    <t xml:space="preserve">Column10692</t>
  </si>
  <si>
    <t xml:space="preserve">Column10693</t>
  </si>
  <si>
    <t xml:space="preserve">Column10694</t>
  </si>
  <si>
    <t xml:space="preserve">Column10695</t>
  </si>
  <si>
    <t xml:space="preserve">Column10696</t>
  </si>
  <si>
    <t xml:space="preserve">Column10697</t>
  </si>
  <si>
    <t xml:space="preserve">Column10698</t>
  </si>
  <si>
    <t xml:space="preserve">Column10699</t>
  </si>
  <si>
    <t xml:space="preserve">Column10700</t>
  </si>
  <si>
    <t xml:space="preserve">Column10701</t>
  </si>
  <si>
    <t xml:space="preserve">Column10702</t>
  </si>
  <si>
    <t xml:space="preserve">Column10703</t>
  </si>
  <si>
    <t xml:space="preserve">Column10704</t>
  </si>
  <si>
    <t xml:space="preserve">Column10705</t>
  </si>
  <si>
    <t xml:space="preserve">Column10706</t>
  </si>
  <si>
    <t xml:space="preserve">Column10707</t>
  </si>
  <si>
    <t xml:space="preserve">Column10708</t>
  </si>
  <si>
    <t xml:space="preserve">Column10709</t>
  </si>
  <si>
    <t xml:space="preserve">Column10710</t>
  </si>
  <si>
    <t xml:space="preserve">Column10711</t>
  </si>
  <si>
    <t xml:space="preserve">Column10712</t>
  </si>
  <si>
    <t xml:space="preserve">Column10713</t>
  </si>
  <si>
    <t xml:space="preserve">Column10714</t>
  </si>
  <si>
    <t xml:space="preserve">Column10715</t>
  </si>
  <si>
    <t xml:space="preserve">Column10716</t>
  </si>
  <si>
    <t xml:space="preserve">Column10717</t>
  </si>
  <si>
    <t xml:space="preserve">Column10718</t>
  </si>
  <si>
    <t xml:space="preserve">Column10719</t>
  </si>
  <si>
    <t xml:space="preserve">Column10720</t>
  </si>
  <si>
    <t xml:space="preserve">Column10721</t>
  </si>
  <si>
    <t xml:space="preserve">Column10722</t>
  </si>
  <si>
    <t xml:space="preserve">Column10723</t>
  </si>
  <si>
    <t xml:space="preserve">Column10724</t>
  </si>
  <si>
    <t xml:space="preserve">Column10725</t>
  </si>
  <si>
    <t xml:space="preserve">Column10726</t>
  </si>
  <si>
    <t xml:space="preserve">Column10727</t>
  </si>
  <si>
    <t xml:space="preserve">Column10728</t>
  </si>
  <si>
    <t xml:space="preserve">Column10729</t>
  </si>
  <si>
    <t xml:space="preserve">Column10730</t>
  </si>
  <si>
    <t xml:space="preserve">Column10731</t>
  </si>
  <si>
    <t xml:space="preserve">Column10732</t>
  </si>
  <si>
    <t xml:space="preserve">Column10733</t>
  </si>
  <si>
    <t xml:space="preserve">Column10734</t>
  </si>
  <si>
    <t xml:space="preserve">Column10735</t>
  </si>
  <si>
    <t xml:space="preserve">Column10736</t>
  </si>
  <si>
    <t xml:space="preserve">Column10737</t>
  </si>
  <si>
    <t xml:space="preserve">Column10738</t>
  </si>
  <si>
    <t xml:space="preserve">Column10739</t>
  </si>
  <si>
    <t xml:space="preserve">Column10740</t>
  </si>
  <si>
    <t xml:space="preserve">Column10741</t>
  </si>
  <si>
    <t xml:space="preserve">Column10742</t>
  </si>
  <si>
    <t xml:space="preserve">Column10743</t>
  </si>
  <si>
    <t xml:space="preserve">Column10744</t>
  </si>
  <si>
    <t xml:space="preserve">Column10745</t>
  </si>
  <si>
    <t xml:space="preserve">Column10746</t>
  </si>
  <si>
    <t xml:space="preserve">Column10747</t>
  </si>
  <si>
    <t xml:space="preserve">Column10748</t>
  </si>
  <si>
    <t xml:space="preserve">Column10749</t>
  </si>
  <si>
    <t xml:space="preserve">Column10750</t>
  </si>
  <si>
    <t xml:space="preserve">Column10751</t>
  </si>
  <si>
    <t xml:space="preserve">Column10752</t>
  </si>
  <si>
    <t xml:space="preserve">Column10753</t>
  </si>
  <si>
    <t xml:space="preserve">Column10754</t>
  </si>
  <si>
    <t xml:space="preserve">Column10755</t>
  </si>
  <si>
    <t xml:space="preserve">Column10756</t>
  </si>
  <si>
    <t xml:space="preserve">Column10757</t>
  </si>
  <si>
    <t xml:space="preserve">Column10758</t>
  </si>
  <si>
    <t xml:space="preserve">Column10759</t>
  </si>
  <si>
    <t xml:space="preserve">Column10760</t>
  </si>
  <si>
    <t xml:space="preserve">Column10761</t>
  </si>
  <si>
    <t xml:space="preserve">Column10762</t>
  </si>
  <si>
    <t xml:space="preserve">Column10763</t>
  </si>
  <si>
    <t xml:space="preserve">Column10764</t>
  </si>
  <si>
    <t xml:space="preserve">Column10765</t>
  </si>
  <si>
    <t xml:space="preserve">Column10766</t>
  </si>
  <si>
    <t xml:space="preserve">Column10767</t>
  </si>
  <si>
    <t xml:space="preserve">Column10768</t>
  </si>
  <si>
    <t xml:space="preserve">Column10769</t>
  </si>
  <si>
    <t xml:space="preserve">Column10770</t>
  </si>
  <si>
    <t xml:space="preserve">Column10771</t>
  </si>
  <si>
    <t xml:space="preserve">Column10772</t>
  </si>
  <si>
    <t xml:space="preserve">Column10773</t>
  </si>
  <si>
    <t xml:space="preserve">Column10774</t>
  </si>
  <si>
    <t xml:space="preserve">Column10775</t>
  </si>
  <si>
    <t xml:space="preserve">Column10776</t>
  </si>
  <si>
    <t xml:space="preserve">Column10777</t>
  </si>
  <si>
    <t xml:space="preserve">Column10778</t>
  </si>
  <si>
    <t xml:space="preserve">Column10779</t>
  </si>
  <si>
    <t xml:space="preserve">Column10780</t>
  </si>
  <si>
    <t xml:space="preserve">Column10781</t>
  </si>
  <si>
    <t xml:space="preserve">Column10782</t>
  </si>
  <si>
    <t xml:space="preserve">Column10783</t>
  </si>
  <si>
    <t xml:space="preserve">Column10784</t>
  </si>
  <si>
    <t xml:space="preserve">Column10785</t>
  </si>
  <si>
    <t xml:space="preserve">Column10786</t>
  </si>
  <si>
    <t xml:space="preserve">Column10787</t>
  </si>
  <si>
    <t xml:space="preserve">Column10788</t>
  </si>
  <si>
    <t xml:space="preserve">Column10789</t>
  </si>
  <si>
    <t xml:space="preserve">Column10790</t>
  </si>
  <si>
    <t xml:space="preserve">Column10791</t>
  </si>
  <si>
    <t xml:space="preserve">Column10792</t>
  </si>
  <si>
    <t xml:space="preserve">Column10793</t>
  </si>
  <si>
    <t xml:space="preserve">Column10794</t>
  </si>
  <si>
    <t xml:space="preserve">Column10795</t>
  </si>
  <si>
    <t xml:space="preserve">Column10796</t>
  </si>
  <si>
    <t xml:space="preserve">Column10797</t>
  </si>
  <si>
    <t xml:space="preserve">Column10798</t>
  </si>
  <si>
    <t xml:space="preserve">Column10799</t>
  </si>
  <si>
    <t xml:space="preserve">Column10800</t>
  </si>
  <si>
    <t xml:space="preserve">Column10801</t>
  </si>
  <si>
    <t xml:space="preserve">Column10802</t>
  </si>
  <si>
    <t xml:space="preserve">Column10803</t>
  </si>
  <si>
    <t xml:space="preserve">Column10804</t>
  </si>
  <si>
    <t xml:space="preserve">Column10805</t>
  </si>
  <si>
    <t xml:space="preserve">Column10806</t>
  </si>
  <si>
    <t xml:space="preserve">Column10807</t>
  </si>
  <si>
    <t xml:space="preserve">Column10808</t>
  </si>
  <si>
    <t xml:space="preserve">Column10809</t>
  </si>
  <si>
    <t xml:space="preserve">Column10810</t>
  </si>
  <si>
    <t xml:space="preserve">Column10811</t>
  </si>
  <si>
    <t xml:space="preserve">Column10812</t>
  </si>
  <si>
    <t xml:space="preserve">Column10813</t>
  </si>
  <si>
    <t xml:space="preserve">Column10814</t>
  </si>
  <si>
    <t xml:space="preserve">Column10815</t>
  </si>
  <si>
    <t xml:space="preserve">Column10816</t>
  </si>
  <si>
    <t xml:space="preserve">Column10817</t>
  </si>
  <si>
    <t xml:space="preserve">Column10818</t>
  </si>
  <si>
    <t xml:space="preserve">Column10819</t>
  </si>
  <si>
    <t xml:space="preserve">Column10820</t>
  </si>
  <si>
    <t xml:space="preserve">Column10821</t>
  </si>
  <si>
    <t xml:space="preserve">Column10822</t>
  </si>
  <si>
    <t xml:space="preserve">Column10823</t>
  </si>
  <si>
    <t xml:space="preserve">Column10824</t>
  </si>
  <si>
    <t xml:space="preserve">Column10825</t>
  </si>
  <si>
    <t xml:space="preserve">Column10826</t>
  </si>
  <si>
    <t xml:space="preserve">Column10827</t>
  </si>
  <si>
    <t xml:space="preserve">Column10828</t>
  </si>
  <si>
    <t xml:space="preserve">Column10829</t>
  </si>
  <si>
    <t xml:space="preserve">Column10830</t>
  </si>
  <si>
    <t xml:space="preserve">Column10831</t>
  </si>
  <si>
    <t xml:space="preserve">Column10832</t>
  </si>
  <si>
    <t xml:space="preserve">Column10833</t>
  </si>
  <si>
    <t xml:space="preserve">Column10834</t>
  </si>
  <si>
    <t xml:space="preserve">Column10835</t>
  </si>
  <si>
    <t xml:space="preserve">Column10836</t>
  </si>
  <si>
    <t xml:space="preserve">Column10837</t>
  </si>
  <si>
    <t xml:space="preserve">Column10838</t>
  </si>
  <si>
    <t xml:space="preserve">Column10839</t>
  </si>
  <si>
    <t xml:space="preserve">Column10840</t>
  </si>
  <si>
    <t xml:space="preserve">Column10841</t>
  </si>
  <si>
    <t xml:space="preserve">Column10842</t>
  </si>
  <si>
    <t xml:space="preserve">Column10843</t>
  </si>
  <si>
    <t xml:space="preserve">Column10844</t>
  </si>
  <si>
    <t xml:space="preserve">Column10845</t>
  </si>
  <si>
    <t xml:space="preserve">Column10846</t>
  </si>
  <si>
    <t xml:space="preserve">Column10847</t>
  </si>
  <si>
    <t xml:space="preserve">Column10848</t>
  </si>
  <si>
    <t xml:space="preserve">Column10849</t>
  </si>
  <si>
    <t xml:space="preserve">Column10850</t>
  </si>
  <si>
    <t xml:space="preserve">Column10851</t>
  </si>
  <si>
    <t xml:space="preserve">Column10852</t>
  </si>
  <si>
    <t xml:space="preserve">Column10853</t>
  </si>
  <si>
    <t xml:space="preserve">Column10854</t>
  </si>
  <si>
    <t xml:space="preserve">Column10855</t>
  </si>
  <si>
    <t xml:space="preserve">Column10856</t>
  </si>
  <si>
    <t xml:space="preserve">Column10857</t>
  </si>
  <si>
    <t xml:space="preserve">Column10858</t>
  </si>
  <si>
    <t xml:space="preserve">Column10859</t>
  </si>
  <si>
    <t xml:space="preserve">Column10860</t>
  </si>
  <si>
    <t xml:space="preserve">Column10861</t>
  </si>
  <si>
    <t xml:space="preserve">Column10862</t>
  </si>
  <si>
    <t xml:space="preserve">Column10863</t>
  </si>
  <si>
    <t xml:space="preserve">Column10864</t>
  </si>
  <si>
    <t xml:space="preserve">Column10865</t>
  </si>
  <si>
    <t xml:space="preserve">Column10866</t>
  </si>
  <si>
    <t xml:space="preserve">Column10867</t>
  </si>
  <si>
    <t xml:space="preserve">Column10868</t>
  </si>
  <si>
    <t xml:space="preserve">Column10869</t>
  </si>
  <si>
    <t xml:space="preserve">Column10870</t>
  </si>
  <si>
    <t xml:space="preserve">Column10871</t>
  </si>
  <si>
    <t xml:space="preserve">Column10872</t>
  </si>
  <si>
    <t xml:space="preserve">Column10873</t>
  </si>
  <si>
    <t xml:space="preserve">Column10874</t>
  </si>
  <si>
    <t xml:space="preserve">Column10875</t>
  </si>
  <si>
    <t xml:space="preserve">Column10876</t>
  </si>
  <si>
    <t xml:space="preserve">Column10877</t>
  </si>
  <si>
    <t xml:space="preserve">Column10878</t>
  </si>
  <si>
    <t xml:space="preserve">Column10879</t>
  </si>
  <si>
    <t xml:space="preserve">Column10880</t>
  </si>
  <si>
    <t xml:space="preserve">Column10881</t>
  </si>
  <si>
    <t xml:space="preserve">Column10882</t>
  </si>
  <si>
    <t xml:space="preserve">Column10883</t>
  </si>
  <si>
    <t xml:space="preserve">Column10884</t>
  </si>
  <si>
    <t xml:space="preserve">Column10885</t>
  </si>
  <si>
    <t xml:space="preserve">Column10886</t>
  </si>
  <si>
    <t xml:space="preserve">Column10887</t>
  </si>
  <si>
    <t xml:space="preserve">Column10888</t>
  </si>
  <si>
    <t xml:space="preserve">Column10889</t>
  </si>
  <si>
    <t xml:space="preserve">Column10890</t>
  </si>
  <si>
    <t xml:space="preserve">Column10891</t>
  </si>
  <si>
    <t xml:space="preserve">Column10892</t>
  </si>
  <si>
    <t xml:space="preserve">Column10893</t>
  </si>
  <si>
    <t xml:space="preserve">Column10894</t>
  </si>
  <si>
    <t xml:space="preserve">Column10895</t>
  </si>
  <si>
    <t xml:space="preserve">Column10896</t>
  </si>
  <si>
    <t xml:space="preserve">Column10897</t>
  </si>
  <si>
    <t xml:space="preserve">Column10898</t>
  </si>
  <si>
    <t xml:space="preserve">Column10899</t>
  </si>
  <si>
    <t xml:space="preserve">Column10900</t>
  </si>
  <si>
    <t xml:space="preserve">Column10901</t>
  </si>
  <si>
    <t xml:space="preserve">Column10902</t>
  </si>
  <si>
    <t xml:space="preserve">Column10903</t>
  </si>
  <si>
    <t xml:space="preserve">Column10904</t>
  </si>
  <si>
    <t xml:space="preserve">Column10905</t>
  </si>
  <si>
    <t xml:space="preserve">Column10906</t>
  </si>
  <si>
    <t xml:space="preserve">Column10907</t>
  </si>
  <si>
    <t xml:space="preserve">Column10908</t>
  </si>
  <si>
    <t xml:space="preserve">Column10909</t>
  </si>
  <si>
    <t xml:space="preserve">Column10910</t>
  </si>
  <si>
    <t xml:space="preserve">Column10911</t>
  </si>
  <si>
    <t xml:space="preserve">Column10912</t>
  </si>
  <si>
    <t xml:space="preserve">Column10913</t>
  </si>
  <si>
    <t xml:space="preserve">Column10914</t>
  </si>
  <si>
    <t xml:space="preserve">Column10915</t>
  </si>
  <si>
    <t xml:space="preserve">Column10916</t>
  </si>
  <si>
    <t xml:space="preserve">Column10917</t>
  </si>
  <si>
    <t xml:space="preserve">Column10918</t>
  </si>
  <si>
    <t xml:space="preserve">Column10919</t>
  </si>
  <si>
    <t xml:space="preserve">Column10920</t>
  </si>
  <si>
    <t xml:space="preserve">Column10921</t>
  </si>
  <si>
    <t xml:space="preserve">Column10922</t>
  </si>
  <si>
    <t xml:space="preserve">Column10923</t>
  </si>
  <si>
    <t xml:space="preserve">Column10924</t>
  </si>
  <si>
    <t xml:space="preserve">Column10925</t>
  </si>
  <si>
    <t xml:space="preserve">Column10926</t>
  </si>
  <si>
    <t xml:space="preserve">Column10927</t>
  </si>
  <si>
    <t xml:space="preserve">Column10928</t>
  </si>
  <si>
    <t xml:space="preserve">Column10929</t>
  </si>
  <si>
    <t xml:space="preserve">Column10930</t>
  </si>
  <si>
    <t xml:space="preserve">Column10931</t>
  </si>
  <si>
    <t xml:space="preserve">Column10932</t>
  </si>
  <si>
    <t xml:space="preserve">Column10933</t>
  </si>
  <si>
    <t xml:space="preserve">Column10934</t>
  </si>
  <si>
    <t xml:space="preserve">Column10935</t>
  </si>
  <si>
    <t xml:space="preserve">Column10936</t>
  </si>
  <si>
    <t xml:space="preserve">Column10937</t>
  </si>
  <si>
    <t xml:space="preserve">Column10938</t>
  </si>
  <si>
    <t xml:space="preserve">Column10939</t>
  </si>
  <si>
    <t xml:space="preserve">Column10940</t>
  </si>
  <si>
    <t xml:space="preserve">Column10941</t>
  </si>
  <si>
    <t xml:space="preserve">Column10942</t>
  </si>
  <si>
    <t xml:space="preserve">Column10943</t>
  </si>
  <si>
    <t xml:space="preserve">Column10944</t>
  </si>
  <si>
    <t xml:space="preserve">Column10945</t>
  </si>
  <si>
    <t xml:space="preserve">Column10946</t>
  </si>
  <si>
    <t xml:space="preserve">Column10947</t>
  </si>
  <si>
    <t xml:space="preserve">Column10948</t>
  </si>
  <si>
    <t xml:space="preserve">Column10949</t>
  </si>
  <si>
    <t xml:space="preserve">Column10950</t>
  </si>
  <si>
    <t xml:space="preserve">Column10951</t>
  </si>
  <si>
    <t xml:space="preserve">Column10952</t>
  </si>
  <si>
    <t xml:space="preserve">Column10953</t>
  </si>
  <si>
    <t xml:space="preserve">Column10954</t>
  </si>
  <si>
    <t xml:space="preserve">Column10955</t>
  </si>
  <si>
    <t xml:space="preserve">Column10956</t>
  </si>
  <si>
    <t xml:space="preserve">Column10957</t>
  </si>
  <si>
    <t xml:space="preserve">Column10958</t>
  </si>
  <si>
    <t xml:space="preserve">Column10959</t>
  </si>
  <si>
    <t xml:space="preserve">Column10960</t>
  </si>
  <si>
    <t xml:space="preserve">Column10961</t>
  </si>
  <si>
    <t xml:space="preserve">Column10962</t>
  </si>
  <si>
    <t xml:space="preserve">Column10963</t>
  </si>
  <si>
    <t xml:space="preserve">Column10964</t>
  </si>
  <si>
    <t xml:space="preserve">Column10965</t>
  </si>
  <si>
    <t xml:space="preserve">Column10966</t>
  </si>
  <si>
    <t xml:space="preserve">Column10967</t>
  </si>
  <si>
    <t xml:space="preserve">Column10968</t>
  </si>
  <si>
    <t xml:space="preserve">Column10969</t>
  </si>
  <si>
    <t xml:space="preserve">Column10970</t>
  </si>
  <si>
    <t xml:space="preserve">Column10971</t>
  </si>
  <si>
    <t xml:space="preserve">Column10972</t>
  </si>
  <si>
    <t xml:space="preserve">Column10973</t>
  </si>
  <si>
    <t xml:space="preserve">Column10974</t>
  </si>
  <si>
    <t xml:space="preserve">Column10975</t>
  </si>
  <si>
    <t xml:space="preserve">Column10976</t>
  </si>
  <si>
    <t xml:space="preserve">Column10977</t>
  </si>
  <si>
    <t xml:space="preserve">Column10978</t>
  </si>
  <si>
    <t xml:space="preserve">Column10979</t>
  </si>
  <si>
    <t xml:space="preserve">Column10980</t>
  </si>
  <si>
    <t xml:space="preserve">Column10981</t>
  </si>
  <si>
    <t xml:space="preserve">Column10982</t>
  </si>
  <si>
    <t xml:space="preserve">Column10983</t>
  </si>
  <si>
    <t xml:space="preserve">Column10984</t>
  </si>
  <si>
    <t xml:space="preserve">Column10985</t>
  </si>
  <si>
    <t xml:space="preserve">Column10986</t>
  </si>
  <si>
    <t xml:space="preserve">Column10987</t>
  </si>
  <si>
    <t xml:space="preserve">Column10988</t>
  </si>
  <si>
    <t xml:space="preserve">Column10989</t>
  </si>
  <si>
    <t xml:space="preserve">Column10990</t>
  </si>
  <si>
    <t xml:space="preserve">Column10991</t>
  </si>
  <si>
    <t xml:space="preserve">Column10992</t>
  </si>
  <si>
    <t xml:space="preserve">Column10993</t>
  </si>
  <si>
    <t xml:space="preserve">Column10994</t>
  </si>
  <si>
    <t xml:space="preserve">Column10995</t>
  </si>
  <si>
    <t xml:space="preserve">Column10996</t>
  </si>
  <si>
    <t xml:space="preserve">Column10997</t>
  </si>
  <si>
    <t xml:space="preserve">Column10998</t>
  </si>
  <si>
    <t xml:space="preserve">Column10999</t>
  </si>
  <si>
    <t xml:space="preserve">Column11000</t>
  </si>
  <si>
    <t xml:space="preserve">Column11001</t>
  </si>
  <si>
    <t xml:space="preserve">Column11002</t>
  </si>
  <si>
    <t xml:space="preserve">Column11003</t>
  </si>
  <si>
    <t xml:space="preserve">Column11004</t>
  </si>
  <si>
    <t xml:space="preserve">Column11005</t>
  </si>
  <si>
    <t xml:space="preserve">Column11006</t>
  </si>
  <si>
    <t xml:space="preserve">Column11007</t>
  </si>
  <si>
    <t xml:space="preserve">Column11008</t>
  </si>
  <si>
    <t xml:space="preserve">Column11009</t>
  </si>
  <si>
    <t xml:space="preserve">Column11010</t>
  </si>
  <si>
    <t xml:space="preserve">Column11011</t>
  </si>
  <si>
    <t xml:space="preserve">Column11012</t>
  </si>
  <si>
    <t xml:space="preserve">Column11013</t>
  </si>
  <si>
    <t xml:space="preserve">Column11014</t>
  </si>
  <si>
    <t xml:space="preserve">Column11015</t>
  </si>
  <si>
    <t xml:space="preserve">Column11016</t>
  </si>
  <si>
    <t xml:space="preserve">Column11017</t>
  </si>
  <si>
    <t xml:space="preserve">Column11018</t>
  </si>
  <si>
    <t xml:space="preserve">Column11019</t>
  </si>
  <si>
    <t xml:space="preserve">Column11020</t>
  </si>
  <si>
    <t xml:space="preserve">Column11021</t>
  </si>
  <si>
    <t xml:space="preserve">Column11022</t>
  </si>
  <si>
    <t xml:space="preserve">Column11023</t>
  </si>
  <si>
    <t xml:space="preserve">Column11024</t>
  </si>
  <si>
    <t xml:space="preserve">Column11025</t>
  </si>
  <si>
    <t xml:space="preserve">Column11026</t>
  </si>
  <si>
    <t xml:space="preserve">Column11027</t>
  </si>
  <si>
    <t xml:space="preserve">Column11028</t>
  </si>
  <si>
    <t xml:space="preserve">Column11029</t>
  </si>
  <si>
    <t xml:space="preserve">Column11030</t>
  </si>
  <si>
    <t xml:space="preserve">Column11031</t>
  </si>
  <si>
    <t xml:space="preserve">Column11032</t>
  </si>
  <si>
    <t xml:space="preserve">Column11033</t>
  </si>
  <si>
    <t xml:space="preserve">Column11034</t>
  </si>
  <si>
    <t xml:space="preserve">Column11035</t>
  </si>
  <si>
    <t xml:space="preserve">Column11036</t>
  </si>
  <si>
    <t xml:space="preserve">Column11037</t>
  </si>
  <si>
    <t xml:space="preserve">Column11038</t>
  </si>
  <si>
    <t xml:space="preserve">Column11039</t>
  </si>
  <si>
    <t xml:space="preserve">Column11040</t>
  </si>
  <si>
    <t xml:space="preserve">Column11041</t>
  </si>
  <si>
    <t xml:space="preserve">Column11042</t>
  </si>
  <si>
    <t xml:space="preserve">Column11043</t>
  </si>
  <si>
    <t xml:space="preserve">Column11044</t>
  </si>
  <si>
    <t xml:space="preserve">Column11045</t>
  </si>
  <si>
    <t xml:space="preserve">Column11046</t>
  </si>
  <si>
    <t xml:space="preserve">Column11047</t>
  </si>
  <si>
    <t xml:space="preserve">Column11048</t>
  </si>
  <si>
    <t xml:space="preserve">Column11049</t>
  </si>
  <si>
    <t xml:space="preserve">Column11050</t>
  </si>
  <si>
    <t xml:space="preserve">Column11051</t>
  </si>
  <si>
    <t xml:space="preserve">Column11052</t>
  </si>
  <si>
    <t xml:space="preserve">Column11053</t>
  </si>
  <si>
    <t xml:space="preserve">Column11054</t>
  </si>
  <si>
    <t xml:space="preserve">Column11055</t>
  </si>
  <si>
    <t xml:space="preserve">Column11056</t>
  </si>
  <si>
    <t xml:space="preserve">Column11057</t>
  </si>
  <si>
    <t xml:space="preserve">Column11058</t>
  </si>
  <si>
    <t xml:space="preserve">Column11059</t>
  </si>
  <si>
    <t xml:space="preserve">Column11060</t>
  </si>
  <si>
    <t xml:space="preserve">Column11061</t>
  </si>
  <si>
    <t xml:space="preserve">Column11062</t>
  </si>
  <si>
    <t xml:space="preserve">Column11063</t>
  </si>
  <si>
    <t xml:space="preserve">Column11064</t>
  </si>
  <si>
    <t xml:space="preserve">Column11065</t>
  </si>
  <si>
    <t xml:space="preserve">Column11066</t>
  </si>
  <si>
    <t xml:space="preserve">Column11067</t>
  </si>
  <si>
    <t xml:space="preserve">Column11068</t>
  </si>
  <si>
    <t xml:space="preserve">Column11069</t>
  </si>
  <si>
    <t xml:space="preserve">Column11070</t>
  </si>
  <si>
    <t xml:space="preserve">Column11071</t>
  </si>
  <si>
    <t xml:space="preserve">Column11072</t>
  </si>
  <si>
    <t xml:space="preserve">Column11073</t>
  </si>
  <si>
    <t xml:space="preserve">Column11074</t>
  </si>
  <si>
    <t xml:space="preserve">Column11075</t>
  </si>
  <si>
    <t xml:space="preserve">Column11076</t>
  </si>
  <si>
    <t xml:space="preserve">Column11077</t>
  </si>
  <si>
    <t xml:space="preserve">Column11078</t>
  </si>
  <si>
    <t xml:space="preserve">Column11079</t>
  </si>
  <si>
    <t xml:space="preserve">Column11080</t>
  </si>
  <si>
    <t xml:space="preserve">Column11081</t>
  </si>
  <si>
    <t xml:space="preserve">Column11082</t>
  </si>
  <si>
    <t xml:space="preserve">Column11083</t>
  </si>
  <si>
    <t xml:space="preserve">Column11084</t>
  </si>
  <si>
    <t xml:space="preserve">Column11085</t>
  </si>
  <si>
    <t xml:space="preserve">Column11086</t>
  </si>
  <si>
    <t xml:space="preserve">Column11087</t>
  </si>
  <si>
    <t xml:space="preserve">Column11088</t>
  </si>
  <si>
    <t xml:space="preserve">Column11089</t>
  </si>
  <si>
    <t xml:space="preserve">Column11090</t>
  </si>
  <si>
    <t xml:space="preserve">Column11091</t>
  </si>
  <si>
    <t xml:space="preserve">Column11092</t>
  </si>
  <si>
    <t xml:space="preserve">Column11093</t>
  </si>
  <si>
    <t xml:space="preserve">Column11094</t>
  </si>
  <si>
    <t xml:space="preserve">Column11095</t>
  </si>
  <si>
    <t xml:space="preserve">Column11096</t>
  </si>
  <si>
    <t xml:space="preserve">Column11097</t>
  </si>
  <si>
    <t xml:space="preserve">Column11098</t>
  </si>
  <si>
    <t xml:space="preserve">Column11099</t>
  </si>
  <si>
    <t xml:space="preserve">Column11100</t>
  </si>
  <si>
    <t xml:space="preserve">Column11101</t>
  </si>
  <si>
    <t xml:space="preserve">Column11102</t>
  </si>
  <si>
    <t xml:space="preserve">Column11103</t>
  </si>
  <si>
    <t xml:space="preserve">Column11104</t>
  </si>
  <si>
    <t xml:space="preserve">Column11105</t>
  </si>
  <si>
    <t xml:space="preserve">Column11106</t>
  </si>
  <si>
    <t xml:space="preserve">Column11107</t>
  </si>
  <si>
    <t xml:space="preserve">Column11108</t>
  </si>
  <si>
    <t xml:space="preserve">Column11109</t>
  </si>
  <si>
    <t xml:space="preserve">Column11110</t>
  </si>
  <si>
    <t xml:space="preserve">Column11111</t>
  </si>
  <si>
    <t xml:space="preserve">Column11112</t>
  </si>
  <si>
    <t xml:space="preserve">Column11113</t>
  </si>
  <si>
    <t xml:space="preserve">Column11114</t>
  </si>
  <si>
    <t xml:space="preserve">Column11115</t>
  </si>
  <si>
    <t xml:space="preserve">Column11116</t>
  </si>
  <si>
    <t xml:space="preserve">Column11117</t>
  </si>
  <si>
    <t xml:space="preserve">Column11118</t>
  </si>
  <si>
    <t xml:space="preserve">Column11119</t>
  </si>
  <si>
    <t xml:space="preserve">Column11120</t>
  </si>
  <si>
    <t xml:space="preserve">Column11121</t>
  </si>
  <si>
    <t xml:space="preserve">Column11122</t>
  </si>
  <si>
    <t xml:space="preserve">Column11123</t>
  </si>
  <si>
    <t xml:space="preserve">Column11124</t>
  </si>
  <si>
    <t xml:space="preserve">Column11125</t>
  </si>
  <si>
    <t xml:space="preserve">Column11126</t>
  </si>
  <si>
    <t xml:space="preserve">Column11127</t>
  </si>
  <si>
    <t xml:space="preserve">Column11128</t>
  </si>
  <si>
    <t xml:space="preserve">Column11129</t>
  </si>
  <si>
    <t xml:space="preserve">Column11130</t>
  </si>
  <si>
    <t xml:space="preserve">Column11131</t>
  </si>
  <si>
    <t xml:space="preserve">Column11132</t>
  </si>
  <si>
    <t xml:space="preserve">Column11133</t>
  </si>
  <si>
    <t xml:space="preserve">Column11134</t>
  </si>
  <si>
    <t xml:space="preserve">Column11135</t>
  </si>
  <si>
    <t xml:space="preserve">Column11136</t>
  </si>
  <si>
    <t xml:space="preserve">Column11137</t>
  </si>
  <si>
    <t xml:space="preserve">Column11138</t>
  </si>
  <si>
    <t xml:space="preserve">Column11139</t>
  </si>
  <si>
    <t xml:space="preserve">Column11140</t>
  </si>
  <si>
    <t xml:space="preserve">Column11141</t>
  </si>
  <si>
    <t xml:space="preserve">Column11142</t>
  </si>
  <si>
    <t xml:space="preserve">Column11143</t>
  </si>
  <si>
    <t xml:space="preserve">Column11144</t>
  </si>
  <si>
    <t xml:space="preserve">Column11145</t>
  </si>
  <si>
    <t xml:space="preserve">Column11146</t>
  </si>
  <si>
    <t xml:space="preserve">Column11147</t>
  </si>
  <si>
    <t xml:space="preserve">Column11148</t>
  </si>
  <si>
    <t xml:space="preserve">Column11149</t>
  </si>
  <si>
    <t xml:space="preserve">Column11150</t>
  </si>
  <si>
    <t xml:space="preserve">Column11151</t>
  </si>
  <si>
    <t xml:space="preserve">Column11152</t>
  </si>
  <si>
    <t xml:space="preserve">Column11153</t>
  </si>
  <si>
    <t xml:space="preserve">Column11154</t>
  </si>
  <si>
    <t xml:space="preserve">Column11155</t>
  </si>
  <si>
    <t xml:space="preserve">Column11156</t>
  </si>
  <si>
    <t xml:space="preserve">Column11157</t>
  </si>
  <si>
    <t xml:space="preserve">Column11158</t>
  </si>
  <si>
    <t xml:space="preserve">Column11159</t>
  </si>
  <si>
    <t xml:space="preserve">Column11160</t>
  </si>
  <si>
    <t xml:space="preserve">Column11161</t>
  </si>
  <si>
    <t xml:space="preserve">Column11162</t>
  </si>
  <si>
    <t xml:space="preserve">Column11163</t>
  </si>
  <si>
    <t xml:space="preserve">Column11164</t>
  </si>
  <si>
    <t xml:space="preserve">Column11165</t>
  </si>
  <si>
    <t xml:space="preserve">Column11166</t>
  </si>
  <si>
    <t xml:space="preserve">Column11167</t>
  </si>
  <si>
    <t xml:space="preserve">Column11168</t>
  </si>
  <si>
    <t xml:space="preserve">Column11169</t>
  </si>
  <si>
    <t xml:space="preserve">Column11170</t>
  </si>
  <si>
    <t xml:space="preserve">Column11171</t>
  </si>
  <si>
    <t xml:space="preserve">Column11172</t>
  </si>
  <si>
    <t xml:space="preserve">Column11173</t>
  </si>
  <si>
    <t xml:space="preserve">Column11174</t>
  </si>
  <si>
    <t xml:space="preserve">Column11175</t>
  </si>
  <si>
    <t xml:space="preserve">Column11176</t>
  </si>
  <si>
    <t xml:space="preserve">Column11177</t>
  </si>
  <si>
    <t xml:space="preserve">Column11178</t>
  </si>
  <si>
    <t xml:space="preserve">Column11179</t>
  </si>
  <si>
    <t xml:space="preserve">Column11180</t>
  </si>
  <si>
    <t xml:space="preserve">Column11181</t>
  </si>
  <si>
    <t xml:space="preserve">Column11182</t>
  </si>
  <si>
    <t xml:space="preserve">Column11183</t>
  </si>
  <si>
    <t xml:space="preserve">Column11184</t>
  </si>
  <si>
    <t xml:space="preserve">Column11185</t>
  </si>
  <si>
    <t xml:space="preserve">Column11186</t>
  </si>
  <si>
    <t xml:space="preserve">Column11187</t>
  </si>
  <si>
    <t xml:space="preserve">Column11188</t>
  </si>
  <si>
    <t xml:space="preserve">Column11189</t>
  </si>
  <si>
    <t xml:space="preserve">Column11190</t>
  </si>
  <si>
    <t xml:space="preserve">Column11191</t>
  </si>
  <si>
    <t xml:space="preserve">Column11192</t>
  </si>
  <si>
    <t xml:space="preserve">Column11193</t>
  </si>
  <si>
    <t xml:space="preserve">Column11194</t>
  </si>
  <si>
    <t xml:space="preserve">Column11195</t>
  </si>
  <si>
    <t xml:space="preserve">Column11196</t>
  </si>
  <si>
    <t xml:space="preserve">Column11197</t>
  </si>
  <si>
    <t xml:space="preserve">Column11198</t>
  </si>
  <si>
    <t xml:space="preserve">Column11199</t>
  </si>
  <si>
    <t xml:space="preserve">Column11200</t>
  </si>
  <si>
    <t xml:space="preserve">Column11201</t>
  </si>
  <si>
    <t xml:space="preserve">Column11202</t>
  </si>
  <si>
    <t xml:space="preserve">Column11203</t>
  </si>
  <si>
    <t xml:space="preserve">Column11204</t>
  </si>
  <si>
    <t xml:space="preserve">Column11205</t>
  </si>
  <si>
    <t xml:space="preserve">Column11206</t>
  </si>
  <si>
    <t xml:space="preserve">Column11207</t>
  </si>
  <si>
    <t xml:space="preserve">Column11208</t>
  </si>
  <si>
    <t xml:space="preserve">Column11209</t>
  </si>
  <si>
    <t xml:space="preserve">Column11210</t>
  </si>
  <si>
    <t xml:space="preserve">Column11211</t>
  </si>
  <si>
    <t xml:space="preserve">Column11212</t>
  </si>
  <si>
    <t xml:space="preserve">Column11213</t>
  </si>
  <si>
    <t xml:space="preserve">Column11214</t>
  </si>
  <si>
    <t xml:space="preserve">Column11215</t>
  </si>
  <si>
    <t xml:space="preserve">Column11216</t>
  </si>
  <si>
    <t xml:space="preserve">Column11217</t>
  </si>
  <si>
    <t xml:space="preserve">Column11218</t>
  </si>
  <si>
    <t xml:space="preserve">Column11219</t>
  </si>
  <si>
    <t xml:space="preserve">Column11220</t>
  </si>
  <si>
    <t xml:space="preserve">Column11221</t>
  </si>
  <si>
    <t xml:space="preserve">Column11222</t>
  </si>
  <si>
    <t xml:space="preserve">Column11223</t>
  </si>
  <si>
    <t xml:space="preserve">Column11224</t>
  </si>
  <si>
    <t xml:space="preserve">Column11225</t>
  </si>
  <si>
    <t xml:space="preserve">Column11226</t>
  </si>
  <si>
    <t xml:space="preserve">Column11227</t>
  </si>
  <si>
    <t xml:space="preserve">Column11228</t>
  </si>
  <si>
    <t xml:space="preserve">Column11229</t>
  </si>
  <si>
    <t xml:space="preserve">Column11230</t>
  </si>
  <si>
    <t xml:space="preserve">Column11231</t>
  </si>
  <si>
    <t xml:space="preserve">Column11232</t>
  </si>
  <si>
    <t xml:space="preserve">Column11233</t>
  </si>
  <si>
    <t xml:space="preserve">Column11234</t>
  </si>
  <si>
    <t xml:space="preserve">Column11235</t>
  </si>
  <si>
    <t xml:space="preserve">Column11236</t>
  </si>
  <si>
    <t xml:space="preserve">Column11237</t>
  </si>
  <si>
    <t xml:space="preserve">Column11238</t>
  </si>
  <si>
    <t xml:space="preserve">Column11239</t>
  </si>
  <si>
    <t xml:space="preserve">Column11240</t>
  </si>
  <si>
    <t xml:space="preserve">Column11241</t>
  </si>
  <si>
    <t xml:space="preserve">Column11242</t>
  </si>
  <si>
    <t xml:space="preserve">Column11243</t>
  </si>
  <si>
    <t xml:space="preserve">Column11244</t>
  </si>
  <si>
    <t xml:space="preserve">Column11245</t>
  </si>
  <si>
    <t xml:space="preserve">Column11246</t>
  </si>
  <si>
    <t xml:space="preserve">Column11247</t>
  </si>
  <si>
    <t xml:space="preserve">Column11248</t>
  </si>
  <si>
    <t xml:space="preserve">Column11249</t>
  </si>
  <si>
    <t xml:space="preserve">Column11250</t>
  </si>
  <si>
    <t xml:space="preserve">Column11251</t>
  </si>
  <si>
    <t xml:space="preserve">Column11252</t>
  </si>
  <si>
    <t xml:space="preserve">Column11253</t>
  </si>
  <si>
    <t xml:space="preserve">Column11254</t>
  </si>
  <si>
    <t xml:space="preserve">Column11255</t>
  </si>
  <si>
    <t xml:space="preserve">Column11256</t>
  </si>
  <si>
    <t xml:space="preserve">Column11257</t>
  </si>
  <si>
    <t xml:space="preserve">Column11258</t>
  </si>
  <si>
    <t xml:space="preserve">Column11259</t>
  </si>
  <si>
    <t xml:space="preserve">Column11260</t>
  </si>
  <si>
    <t xml:space="preserve">Column11261</t>
  </si>
  <si>
    <t xml:space="preserve">Column11262</t>
  </si>
  <si>
    <t xml:space="preserve">Column11263</t>
  </si>
  <si>
    <t xml:space="preserve">Column11264</t>
  </si>
  <si>
    <t xml:space="preserve">Column11265</t>
  </si>
  <si>
    <t xml:space="preserve">Column11266</t>
  </si>
  <si>
    <t xml:space="preserve">Column11267</t>
  </si>
  <si>
    <t xml:space="preserve">Column11268</t>
  </si>
  <si>
    <t xml:space="preserve">Column11269</t>
  </si>
  <si>
    <t xml:space="preserve">Column11270</t>
  </si>
  <si>
    <t xml:space="preserve">Column11271</t>
  </si>
  <si>
    <t xml:space="preserve">Column11272</t>
  </si>
  <si>
    <t xml:space="preserve">Column11273</t>
  </si>
  <si>
    <t xml:space="preserve">Column11274</t>
  </si>
  <si>
    <t xml:space="preserve">Column11275</t>
  </si>
  <si>
    <t xml:space="preserve">Column11276</t>
  </si>
  <si>
    <t xml:space="preserve">Column11277</t>
  </si>
  <si>
    <t xml:space="preserve">Column11278</t>
  </si>
  <si>
    <t xml:space="preserve">Column11279</t>
  </si>
  <si>
    <t xml:space="preserve">Column11280</t>
  </si>
  <si>
    <t xml:space="preserve">Column11281</t>
  </si>
  <si>
    <t xml:space="preserve">Column11282</t>
  </si>
  <si>
    <t xml:space="preserve">Column11283</t>
  </si>
  <si>
    <t xml:space="preserve">Column11284</t>
  </si>
  <si>
    <t xml:space="preserve">Column11285</t>
  </si>
  <si>
    <t xml:space="preserve">Column11286</t>
  </si>
  <si>
    <t xml:space="preserve">Column11287</t>
  </si>
  <si>
    <t xml:space="preserve">Column11288</t>
  </si>
  <si>
    <t xml:space="preserve">Column11289</t>
  </si>
  <si>
    <t xml:space="preserve">Column11290</t>
  </si>
  <si>
    <t xml:space="preserve">Column11291</t>
  </si>
  <si>
    <t xml:space="preserve">Column11292</t>
  </si>
  <si>
    <t xml:space="preserve">Column11293</t>
  </si>
  <si>
    <t xml:space="preserve">Column11294</t>
  </si>
  <si>
    <t xml:space="preserve">Column11295</t>
  </si>
  <si>
    <t xml:space="preserve">Column11296</t>
  </si>
  <si>
    <t xml:space="preserve">Column11297</t>
  </si>
  <si>
    <t xml:space="preserve">Column11298</t>
  </si>
  <si>
    <t xml:space="preserve">Column11299</t>
  </si>
  <si>
    <t xml:space="preserve">Column11300</t>
  </si>
  <si>
    <t xml:space="preserve">Column11301</t>
  </si>
  <si>
    <t xml:space="preserve">Column11302</t>
  </si>
  <si>
    <t xml:space="preserve">Column11303</t>
  </si>
  <si>
    <t xml:space="preserve">Column11304</t>
  </si>
  <si>
    <t xml:space="preserve">Column11305</t>
  </si>
  <si>
    <t xml:space="preserve">Column11306</t>
  </si>
  <si>
    <t xml:space="preserve">Column11307</t>
  </si>
  <si>
    <t xml:space="preserve">Column11308</t>
  </si>
  <si>
    <t xml:space="preserve">Column11309</t>
  </si>
  <si>
    <t xml:space="preserve">Column11310</t>
  </si>
  <si>
    <t xml:space="preserve">Column11311</t>
  </si>
  <si>
    <t xml:space="preserve">Column11312</t>
  </si>
  <si>
    <t xml:space="preserve">Column11313</t>
  </si>
  <si>
    <t xml:space="preserve">Column11314</t>
  </si>
  <si>
    <t xml:space="preserve">Column11315</t>
  </si>
  <si>
    <t xml:space="preserve">Column11316</t>
  </si>
  <si>
    <t xml:space="preserve">Column11317</t>
  </si>
  <si>
    <t xml:space="preserve">Column11318</t>
  </si>
  <si>
    <t xml:space="preserve">Column11319</t>
  </si>
  <si>
    <t xml:space="preserve">Column11320</t>
  </si>
  <si>
    <t xml:space="preserve">Column11321</t>
  </si>
  <si>
    <t xml:space="preserve">Column11322</t>
  </si>
  <si>
    <t xml:space="preserve">Column11323</t>
  </si>
  <si>
    <t xml:space="preserve">Column11324</t>
  </si>
  <si>
    <t xml:space="preserve">Column11325</t>
  </si>
  <si>
    <t xml:space="preserve">Column11326</t>
  </si>
  <si>
    <t xml:space="preserve">Column11327</t>
  </si>
  <si>
    <t xml:space="preserve">Column11328</t>
  </si>
  <si>
    <t xml:space="preserve">Column11329</t>
  </si>
  <si>
    <t xml:space="preserve">Column11330</t>
  </si>
  <si>
    <t xml:space="preserve">Column11331</t>
  </si>
  <si>
    <t xml:space="preserve">Column11332</t>
  </si>
  <si>
    <t xml:space="preserve">Column11333</t>
  </si>
  <si>
    <t xml:space="preserve">Column11334</t>
  </si>
  <si>
    <t xml:space="preserve">Column11335</t>
  </si>
  <si>
    <t xml:space="preserve">Column11336</t>
  </si>
  <si>
    <t xml:space="preserve">Column11337</t>
  </si>
  <si>
    <t xml:space="preserve">Column11338</t>
  </si>
  <si>
    <t xml:space="preserve">Column11339</t>
  </si>
  <si>
    <t xml:space="preserve">Column11340</t>
  </si>
  <si>
    <t xml:space="preserve">Column11341</t>
  </si>
  <si>
    <t xml:space="preserve">Column11342</t>
  </si>
  <si>
    <t xml:space="preserve">Column11343</t>
  </si>
  <si>
    <t xml:space="preserve">Column11344</t>
  </si>
  <si>
    <t xml:space="preserve">Column11345</t>
  </si>
  <si>
    <t xml:space="preserve">Column11346</t>
  </si>
  <si>
    <t xml:space="preserve">Column11347</t>
  </si>
  <si>
    <t xml:space="preserve">Column11348</t>
  </si>
  <si>
    <t xml:space="preserve">Column11349</t>
  </si>
  <si>
    <t xml:space="preserve">Column11350</t>
  </si>
  <si>
    <t xml:space="preserve">Column11351</t>
  </si>
  <si>
    <t xml:space="preserve">Column11352</t>
  </si>
  <si>
    <t xml:space="preserve">Column11353</t>
  </si>
  <si>
    <t xml:space="preserve">Column11354</t>
  </si>
  <si>
    <t xml:space="preserve">Column11355</t>
  </si>
  <si>
    <t xml:space="preserve">Column11356</t>
  </si>
  <si>
    <t xml:space="preserve">Column11357</t>
  </si>
  <si>
    <t xml:space="preserve">Column11358</t>
  </si>
  <si>
    <t xml:space="preserve">Column11359</t>
  </si>
  <si>
    <t xml:space="preserve">Column11360</t>
  </si>
  <si>
    <t xml:space="preserve">Column11361</t>
  </si>
  <si>
    <t xml:space="preserve">Column11362</t>
  </si>
  <si>
    <t xml:space="preserve">Column11363</t>
  </si>
  <si>
    <t xml:space="preserve">Column11364</t>
  </si>
  <si>
    <t xml:space="preserve">Column11365</t>
  </si>
  <si>
    <t xml:space="preserve">Column11366</t>
  </si>
  <si>
    <t xml:space="preserve">Column11367</t>
  </si>
  <si>
    <t xml:space="preserve">Column11368</t>
  </si>
  <si>
    <t xml:space="preserve">Column11369</t>
  </si>
  <si>
    <t xml:space="preserve">Column11370</t>
  </si>
  <si>
    <t xml:space="preserve">Column11371</t>
  </si>
  <si>
    <t xml:space="preserve">Column11372</t>
  </si>
  <si>
    <t xml:space="preserve">Column11373</t>
  </si>
  <si>
    <t xml:space="preserve">Column11374</t>
  </si>
  <si>
    <t xml:space="preserve">Column11375</t>
  </si>
  <si>
    <t xml:space="preserve">Column11376</t>
  </si>
  <si>
    <t xml:space="preserve">Column11377</t>
  </si>
  <si>
    <t xml:space="preserve">Column11378</t>
  </si>
  <si>
    <t xml:space="preserve">Column11379</t>
  </si>
  <si>
    <t xml:space="preserve">Column11380</t>
  </si>
  <si>
    <t xml:space="preserve">Column11381</t>
  </si>
  <si>
    <t xml:space="preserve">Column11382</t>
  </si>
  <si>
    <t xml:space="preserve">Column11383</t>
  </si>
  <si>
    <t xml:space="preserve">Column11384</t>
  </si>
  <si>
    <t xml:space="preserve">Column11385</t>
  </si>
  <si>
    <t xml:space="preserve">Column11386</t>
  </si>
  <si>
    <t xml:space="preserve">Column11387</t>
  </si>
  <si>
    <t xml:space="preserve">Column11388</t>
  </si>
  <si>
    <t xml:space="preserve">Column11389</t>
  </si>
  <si>
    <t xml:space="preserve">Column11390</t>
  </si>
  <si>
    <t xml:space="preserve">Column11391</t>
  </si>
  <si>
    <t xml:space="preserve">Column11392</t>
  </si>
  <si>
    <t xml:space="preserve">Column11393</t>
  </si>
  <si>
    <t xml:space="preserve">Column11394</t>
  </si>
  <si>
    <t xml:space="preserve">Column11395</t>
  </si>
  <si>
    <t xml:space="preserve">Column11396</t>
  </si>
  <si>
    <t xml:space="preserve">Column11397</t>
  </si>
  <si>
    <t xml:space="preserve">Column11398</t>
  </si>
  <si>
    <t xml:space="preserve">Column11399</t>
  </si>
  <si>
    <t xml:space="preserve">Column11400</t>
  </si>
  <si>
    <t xml:space="preserve">Column11401</t>
  </si>
  <si>
    <t xml:space="preserve">Column11402</t>
  </si>
  <si>
    <t xml:space="preserve">Column11403</t>
  </si>
  <si>
    <t xml:space="preserve">Column11404</t>
  </si>
  <si>
    <t xml:space="preserve">Column11405</t>
  </si>
  <si>
    <t xml:space="preserve">Column11406</t>
  </si>
  <si>
    <t xml:space="preserve">Column11407</t>
  </si>
  <si>
    <t xml:space="preserve">Column11408</t>
  </si>
  <si>
    <t xml:space="preserve">Column11409</t>
  </si>
  <si>
    <t xml:space="preserve">Column11410</t>
  </si>
  <si>
    <t xml:space="preserve">Column11411</t>
  </si>
  <si>
    <t xml:space="preserve">Column11412</t>
  </si>
  <si>
    <t xml:space="preserve">Column11413</t>
  </si>
  <si>
    <t xml:space="preserve">Column11414</t>
  </si>
  <si>
    <t xml:space="preserve">Column11415</t>
  </si>
  <si>
    <t xml:space="preserve">Column11416</t>
  </si>
  <si>
    <t xml:space="preserve">Column11417</t>
  </si>
  <si>
    <t xml:space="preserve">Column11418</t>
  </si>
  <si>
    <t xml:space="preserve">Column11419</t>
  </si>
  <si>
    <t xml:space="preserve">Column11420</t>
  </si>
  <si>
    <t xml:space="preserve">Column11421</t>
  </si>
  <si>
    <t xml:space="preserve">Column11422</t>
  </si>
  <si>
    <t xml:space="preserve">Column11423</t>
  </si>
  <si>
    <t xml:space="preserve">Column11424</t>
  </si>
  <si>
    <t xml:space="preserve">Column11425</t>
  </si>
  <si>
    <t xml:space="preserve">Column11426</t>
  </si>
  <si>
    <t xml:space="preserve">Column11427</t>
  </si>
  <si>
    <t xml:space="preserve">Column11428</t>
  </si>
  <si>
    <t xml:space="preserve">Column11429</t>
  </si>
  <si>
    <t xml:space="preserve">Column11430</t>
  </si>
  <si>
    <t xml:space="preserve">Column11431</t>
  </si>
  <si>
    <t xml:space="preserve">Column11432</t>
  </si>
  <si>
    <t xml:space="preserve">Column11433</t>
  </si>
  <si>
    <t xml:space="preserve">Column11434</t>
  </si>
  <si>
    <t xml:space="preserve">Column11435</t>
  </si>
  <si>
    <t xml:space="preserve">Column11436</t>
  </si>
  <si>
    <t xml:space="preserve">Column11437</t>
  </si>
  <si>
    <t xml:space="preserve">Column11438</t>
  </si>
  <si>
    <t xml:space="preserve">Column11439</t>
  </si>
  <si>
    <t xml:space="preserve">Column11440</t>
  </si>
  <si>
    <t xml:space="preserve">Column11441</t>
  </si>
  <si>
    <t xml:space="preserve">Column11442</t>
  </si>
  <si>
    <t xml:space="preserve">Column11443</t>
  </si>
  <si>
    <t xml:space="preserve">Column11444</t>
  </si>
  <si>
    <t xml:space="preserve">Column11445</t>
  </si>
  <si>
    <t xml:space="preserve">Column11446</t>
  </si>
  <si>
    <t xml:space="preserve">Column11447</t>
  </si>
  <si>
    <t xml:space="preserve">Column11448</t>
  </si>
  <si>
    <t xml:space="preserve">Column11449</t>
  </si>
  <si>
    <t xml:space="preserve">Column11450</t>
  </si>
  <si>
    <t xml:space="preserve">Column11451</t>
  </si>
  <si>
    <t xml:space="preserve">Column11452</t>
  </si>
  <si>
    <t xml:space="preserve">Column11453</t>
  </si>
  <si>
    <t xml:space="preserve">Column11454</t>
  </si>
  <si>
    <t xml:space="preserve">Column11455</t>
  </si>
  <si>
    <t xml:space="preserve">Column11456</t>
  </si>
  <si>
    <t xml:space="preserve">Column11457</t>
  </si>
  <si>
    <t xml:space="preserve">Column11458</t>
  </si>
  <si>
    <t xml:space="preserve">Column11459</t>
  </si>
  <si>
    <t xml:space="preserve">Column11460</t>
  </si>
  <si>
    <t xml:space="preserve">Column11461</t>
  </si>
  <si>
    <t xml:space="preserve">Column11462</t>
  </si>
  <si>
    <t xml:space="preserve">Column11463</t>
  </si>
  <si>
    <t xml:space="preserve">Column11464</t>
  </si>
  <si>
    <t xml:space="preserve">Column11465</t>
  </si>
  <si>
    <t xml:space="preserve">Column11466</t>
  </si>
  <si>
    <t xml:space="preserve">Column11467</t>
  </si>
  <si>
    <t xml:space="preserve">Column11468</t>
  </si>
  <si>
    <t xml:space="preserve">Column11469</t>
  </si>
  <si>
    <t xml:space="preserve">Column11470</t>
  </si>
  <si>
    <t xml:space="preserve">Column11471</t>
  </si>
  <si>
    <t xml:space="preserve">Column11472</t>
  </si>
  <si>
    <t xml:space="preserve">Column11473</t>
  </si>
  <si>
    <t xml:space="preserve">Column11474</t>
  </si>
  <si>
    <t xml:space="preserve">Column11475</t>
  </si>
  <si>
    <t xml:space="preserve">Column11476</t>
  </si>
  <si>
    <t xml:space="preserve">Column11477</t>
  </si>
  <si>
    <t xml:space="preserve">Column11478</t>
  </si>
  <si>
    <t xml:space="preserve">Column11479</t>
  </si>
  <si>
    <t xml:space="preserve">Column11480</t>
  </si>
  <si>
    <t xml:space="preserve">Column11481</t>
  </si>
  <si>
    <t xml:space="preserve">Column11482</t>
  </si>
  <si>
    <t xml:space="preserve">Column11483</t>
  </si>
  <si>
    <t xml:space="preserve">Column11484</t>
  </si>
  <si>
    <t xml:space="preserve">Column11485</t>
  </si>
  <si>
    <t xml:space="preserve">Column11486</t>
  </si>
  <si>
    <t xml:space="preserve">Column11487</t>
  </si>
  <si>
    <t xml:space="preserve">Column11488</t>
  </si>
  <si>
    <t xml:space="preserve">Column11489</t>
  </si>
  <si>
    <t xml:space="preserve">Column11490</t>
  </si>
  <si>
    <t xml:space="preserve">Column11491</t>
  </si>
  <si>
    <t xml:space="preserve">Column11492</t>
  </si>
  <si>
    <t xml:space="preserve">Column11493</t>
  </si>
  <si>
    <t xml:space="preserve">Column11494</t>
  </si>
  <si>
    <t xml:space="preserve">Column11495</t>
  </si>
  <si>
    <t xml:space="preserve">Column11496</t>
  </si>
  <si>
    <t xml:space="preserve">Column11497</t>
  </si>
  <si>
    <t xml:space="preserve">Column11498</t>
  </si>
  <si>
    <t xml:space="preserve">Column11499</t>
  </si>
  <si>
    <t xml:space="preserve">Column11500</t>
  </si>
  <si>
    <t xml:space="preserve">Column11501</t>
  </si>
  <si>
    <t xml:space="preserve">Column11502</t>
  </si>
  <si>
    <t xml:space="preserve">Column11503</t>
  </si>
  <si>
    <t xml:space="preserve">Column11504</t>
  </si>
  <si>
    <t xml:space="preserve">Column11505</t>
  </si>
  <si>
    <t xml:space="preserve">Column11506</t>
  </si>
  <si>
    <t xml:space="preserve">Column11507</t>
  </si>
  <si>
    <t xml:space="preserve">Column11508</t>
  </si>
  <si>
    <t xml:space="preserve">Column11509</t>
  </si>
  <si>
    <t xml:space="preserve">Column11510</t>
  </si>
  <si>
    <t xml:space="preserve">Column11511</t>
  </si>
  <si>
    <t xml:space="preserve">Column11512</t>
  </si>
  <si>
    <t xml:space="preserve">Column11513</t>
  </si>
  <si>
    <t xml:space="preserve">Column11514</t>
  </si>
  <si>
    <t xml:space="preserve">Column11515</t>
  </si>
  <si>
    <t xml:space="preserve">Column11516</t>
  </si>
  <si>
    <t xml:space="preserve">Column11517</t>
  </si>
  <si>
    <t xml:space="preserve">Column11518</t>
  </si>
  <si>
    <t xml:space="preserve">Column11519</t>
  </si>
  <si>
    <t xml:space="preserve">Column11520</t>
  </si>
  <si>
    <t xml:space="preserve">Column11521</t>
  </si>
  <si>
    <t xml:space="preserve">Column11522</t>
  </si>
  <si>
    <t xml:space="preserve">Column11523</t>
  </si>
  <si>
    <t xml:space="preserve">Column11524</t>
  </si>
  <si>
    <t xml:space="preserve">Column11525</t>
  </si>
  <si>
    <t xml:space="preserve">Column11526</t>
  </si>
  <si>
    <t xml:space="preserve">Column11527</t>
  </si>
  <si>
    <t xml:space="preserve">Column11528</t>
  </si>
  <si>
    <t xml:space="preserve">Column11529</t>
  </si>
  <si>
    <t xml:space="preserve">Column11530</t>
  </si>
  <si>
    <t xml:space="preserve">Column11531</t>
  </si>
  <si>
    <t xml:space="preserve">Column11532</t>
  </si>
  <si>
    <t xml:space="preserve">Column11533</t>
  </si>
  <si>
    <t xml:space="preserve">Column11534</t>
  </si>
  <si>
    <t xml:space="preserve">Column11535</t>
  </si>
  <si>
    <t xml:space="preserve">Column11536</t>
  </si>
  <si>
    <t xml:space="preserve">Column11537</t>
  </si>
  <si>
    <t xml:space="preserve">Column11538</t>
  </si>
  <si>
    <t xml:space="preserve">Column11539</t>
  </si>
  <si>
    <t xml:space="preserve">Column11540</t>
  </si>
  <si>
    <t xml:space="preserve">Column11541</t>
  </si>
  <si>
    <t xml:space="preserve">Column11542</t>
  </si>
  <si>
    <t xml:space="preserve">Column11543</t>
  </si>
  <si>
    <t xml:space="preserve">Column11544</t>
  </si>
  <si>
    <t xml:space="preserve">Column11545</t>
  </si>
  <si>
    <t xml:space="preserve">Column11546</t>
  </si>
  <si>
    <t xml:space="preserve">Column11547</t>
  </si>
  <si>
    <t xml:space="preserve">Column11548</t>
  </si>
  <si>
    <t xml:space="preserve">Column11549</t>
  </si>
  <si>
    <t xml:space="preserve">Column11550</t>
  </si>
  <si>
    <t xml:space="preserve">Column11551</t>
  </si>
  <si>
    <t xml:space="preserve">Column11552</t>
  </si>
  <si>
    <t xml:space="preserve">Column11553</t>
  </si>
  <si>
    <t xml:space="preserve">Column11554</t>
  </si>
  <si>
    <t xml:space="preserve">Column11555</t>
  </si>
  <si>
    <t xml:space="preserve">Column11556</t>
  </si>
  <si>
    <t xml:space="preserve">Column11557</t>
  </si>
  <si>
    <t xml:space="preserve">Column11558</t>
  </si>
  <si>
    <t xml:space="preserve">Column11559</t>
  </si>
  <si>
    <t xml:space="preserve">Column11560</t>
  </si>
  <si>
    <t xml:space="preserve">Column11561</t>
  </si>
  <si>
    <t xml:space="preserve">Column11562</t>
  </si>
  <si>
    <t xml:space="preserve">Column11563</t>
  </si>
  <si>
    <t xml:space="preserve">Column11564</t>
  </si>
  <si>
    <t xml:space="preserve">Column11565</t>
  </si>
  <si>
    <t xml:space="preserve">Column11566</t>
  </si>
  <si>
    <t xml:space="preserve">Column11567</t>
  </si>
  <si>
    <t xml:space="preserve">Column11568</t>
  </si>
  <si>
    <t xml:space="preserve">Column11569</t>
  </si>
  <si>
    <t xml:space="preserve">Column11570</t>
  </si>
  <si>
    <t xml:space="preserve">Column11571</t>
  </si>
  <si>
    <t xml:space="preserve">Column11572</t>
  </si>
  <si>
    <t xml:space="preserve">Column11573</t>
  </si>
  <si>
    <t xml:space="preserve">Column11574</t>
  </si>
  <si>
    <t xml:space="preserve">Column11575</t>
  </si>
  <si>
    <t xml:space="preserve">Column11576</t>
  </si>
  <si>
    <t xml:space="preserve">Column11577</t>
  </si>
  <si>
    <t xml:space="preserve">Column11578</t>
  </si>
  <si>
    <t xml:space="preserve">Column11579</t>
  </si>
  <si>
    <t xml:space="preserve">Column11580</t>
  </si>
  <si>
    <t xml:space="preserve">Column11581</t>
  </si>
  <si>
    <t xml:space="preserve">Column11582</t>
  </si>
  <si>
    <t xml:space="preserve">Column11583</t>
  </si>
  <si>
    <t xml:space="preserve">Column11584</t>
  </si>
  <si>
    <t xml:space="preserve">Column11585</t>
  </si>
  <si>
    <t xml:space="preserve">Column11586</t>
  </si>
  <si>
    <t xml:space="preserve">Column11587</t>
  </si>
  <si>
    <t xml:space="preserve">Column11588</t>
  </si>
  <si>
    <t xml:space="preserve">Column11589</t>
  </si>
  <si>
    <t xml:space="preserve">Column11590</t>
  </si>
  <si>
    <t xml:space="preserve">Column11591</t>
  </si>
  <si>
    <t xml:space="preserve">Column11592</t>
  </si>
  <si>
    <t xml:space="preserve">Column11593</t>
  </si>
  <si>
    <t xml:space="preserve">Column11594</t>
  </si>
  <si>
    <t xml:space="preserve">Column11595</t>
  </si>
  <si>
    <t xml:space="preserve">Column11596</t>
  </si>
  <si>
    <t xml:space="preserve">Column11597</t>
  </si>
  <si>
    <t xml:space="preserve">Column11598</t>
  </si>
  <si>
    <t xml:space="preserve">Column11599</t>
  </si>
  <si>
    <t xml:space="preserve">Column11600</t>
  </si>
  <si>
    <t xml:space="preserve">Column11601</t>
  </si>
  <si>
    <t xml:space="preserve">Column11602</t>
  </si>
  <si>
    <t xml:space="preserve">Column11603</t>
  </si>
  <si>
    <t xml:space="preserve">Column11604</t>
  </si>
  <si>
    <t xml:space="preserve">Column11605</t>
  </si>
  <si>
    <t xml:space="preserve">Column11606</t>
  </si>
  <si>
    <t xml:space="preserve">Column11607</t>
  </si>
  <si>
    <t xml:space="preserve">Column11608</t>
  </si>
  <si>
    <t xml:space="preserve">Column11609</t>
  </si>
  <si>
    <t xml:space="preserve">Column11610</t>
  </si>
  <si>
    <t xml:space="preserve">Column11611</t>
  </si>
  <si>
    <t xml:space="preserve">Column11612</t>
  </si>
  <si>
    <t xml:space="preserve">Column11613</t>
  </si>
  <si>
    <t xml:space="preserve">Column11614</t>
  </si>
  <si>
    <t xml:space="preserve">Column11615</t>
  </si>
  <si>
    <t xml:space="preserve">Column11616</t>
  </si>
  <si>
    <t xml:space="preserve">Column11617</t>
  </si>
  <si>
    <t xml:space="preserve">Column11618</t>
  </si>
  <si>
    <t xml:space="preserve">Column11619</t>
  </si>
  <si>
    <t xml:space="preserve">Column11620</t>
  </si>
  <si>
    <t xml:space="preserve">Column11621</t>
  </si>
  <si>
    <t xml:space="preserve">Column11622</t>
  </si>
  <si>
    <t xml:space="preserve">Column11623</t>
  </si>
  <si>
    <t xml:space="preserve">Column11624</t>
  </si>
  <si>
    <t xml:space="preserve">Column11625</t>
  </si>
  <si>
    <t xml:space="preserve">Column11626</t>
  </si>
  <si>
    <t xml:space="preserve">Column11627</t>
  </si>
  <si>
    <t xml:space="preserve">Column11628</t>
  </si>
  <si>
    <t xml:space="preserve">Column11629</t>
  </si>
  <si>
    <t xml:space="preserve">Column11630</t>
  </si>
  <si>
    <t xml:space="preserve">Column11631</t>
  </si>
  <si>
    <t xml:space="preserve">Column11632</t>
  </si>
  <si>
    <t xml:space="preserve">Column11633</t>
  </si>
  <si>
    <t xml:space="preserve">Column11634</t>
  </si>
  <si>
    <t xml:space="preserve">Column11635</t>
  </si>
  <si>
    <t xml:space="preserve">Column11636</t>
  </si>
  <si>
    <t xml:space="preserve">Column11637</t>
  </si>
  <si>
    <t xml:space="preserve">Column11638</t>
  </si>
  <si>
    <t xml:space="preserve">Column11639</t>
  </si>
  <si>
    <t xml:space="preserve">Column11640</t>
  </si>
  <si>
    <t xml:space="preserve">Column11641</t>
  </si>
  <si>
    <t xml:space="preserve">Column11642</t>
  </si>
  <si>
    <t xml:space="preserve">Column11643</t>
  </si>
  <si>
    <t xml:space="preserve">Column11644</t>
  </si>
  <si>
    <t xml:space="preserve">Column11645</t>
  </si>
  <si>
    <t xml:space="preserve">Column11646</t>
  </si>
  <si>
    <t xml:space="preserve">Column11647</t>
  </si>
  <si>
    <t xml:space="preserve">Column11648</t>
  </si>
  <si>
    <t xml:space="preserve">Column11649</t>
  </si>
  <si>
    <t xml:space="preserve">Column11650</t>
  </si>
  <si>
    <t xml:space="preserve">Column11651</t>
  </si>
  <si>
    <t xml:space="preserve">Column11652</t>
  </si>
  <si>
    <t xml:space="preserve">Column11653</t>
  </si>
  <si>
    <t xml:space="preserve">Column11654</t>
  </si>
  <si>
    <t xml:space="preserve">Column11655</t>
  </si>
  <si>
    <t xml:space="preserve">Column11656</t>
  </si>
  <si>
    <t xml:space="preserve">Column11657</t>
  </si>
  <si>
    <t xml:space="preserve">Column11658</t>
  </si>
  <si>
    <t xml:space="preserve">Column11659</t>
  </si>
  <si>
    <t xml:space="preserve">Column11660</t>
  </si>
  <si>
    <t xml:space="preserve">Column11661</t>
  </si>
  <si>
    <t xml:space="preserve">Column11662</t>
  </si>
  <si>
    <t xml:space="preserve">Column11663</t>
  </si>
  <si>
    <t xml:space="preserve">Column11664</t>
  </si>
  <si>
    <t xml:space="preserve">Column11665</t>
  </si>
  <si>
    <t xml:space="preserve">Column11666</t>
  </si>
  <si>
    <t xml:space="preserve">Column11667</t>
  </si>
  <si>
    <t xml:space="preserve">Column11668</t>
  </si>
  <si>
    <t xml:space="preserve">Column11669</t>
  </si>
  <si>
    <t xml:space="preserve">Column11670</t>
  </si>
  <si>
    <t xml:space="preserve">Column11671</t>
  </si>
  <si>
    <t xml:space="preserve">Column11672</t>
  </si>
  <si>
    <t xml:space="preserve">Column11673</t>
  </si>
  <si>
    <t xml:space="preserve">Column11674</t>
  </si>
  <si>
    <t xml:space="preserve">Column11675</t>
  </si>
  <si>
    <t xml:space="preserve">Column11676</t>
  </si>
  <si>
    <t xml:space="preserve">Column11677</t>
  </si>
  <si>
    <t xml:space="preserve">Column11678</t>
  </si>
  <si>
    <t xml:space="preserve">Column11679</t>
  </si>
  <si>
    <t xml:space="preserve">Column11680</t>
  </si>
  <si>
    <t xml:space="preserve">Column11681</t>
  </si>
  <si>
    <t xml:space="preserve">Column11682</t>
  </si>
  <si>
    <t xml:space="preserve">Column11683</t>
  </si>
  <si>
    <t xml:space="preserve">Column11684</t>
  </si>
  <si>
    <t xml:space="preserve">Column11685</t>
  </si>
  <si>
    <t xml:space="preserve">Column11686</t>
  </si>
  <si>
    <t xml:space="preserve">Column11687</t>
  </si>
  <si>
    <t xml:space="preserve">Column11688</t>
  </si>
  <si>
    <t xml:space="preserve">Column11689</t>
  </si>
  <si>
    <t xml:space="preserve">Column11690</t>
  </si>
  <si>
    <t xml:space="preserve">Column11691</t>
  </si>
  <si>
    <t xml:space="preserve">Column11692</t>
  </si>
  <si>
    <t xml:space="preserve">Column11693</t>
  </si>
  <si>
    <t xml:space="preserve">Column11694</t>
  </si>
  <si>
    <t xml:space="preserve">Column11695</t>
  </si>
  <si>
    <t xml:space="preserve">Column11696</t>
  </si>
  <si>
    <t xml:space="preserve">Column11697</t>
  </si>
  <si>
    <t xml:space="preserve">Column11698</t>
  </si>
  <si>
    <t xml:space="preserve">Column11699</t>
  </si>
  <si>
    <t xml:space="preserve">Column11700</t>
  </si>
  <si>
    <t xml:space="preserve">Column11701</t>
  </si>
  <si>
    <t xml:space="preserve">Column11702</t>
  </si>
  <si>
    <t xml:space="preserve">Column11703</t>
  </si>
  <si>
    <t xml:space="preserve">Column11704</t>
  </si>
  <si>
    <t xml:space="preserve">Column11705</t>
  </si>
  <si>
    <t xml:space="preserve">Column11706</t>
  </si>
  <si>
    <t xml:space="preserve">Column11707</t>
  </si>
  <si>
    <t xml:space="preserve">Column11708</t>
  </si>
  <si>
    <t xml:space="preserve">Column11709</t>
  </si>
  <si>
    <t xml:space="preserve">Column11710</t>
  </si>
  <si>
    <t xml:space="preserve">Column11711</t>
  </si>
  <si>
    <t xml:space="preserve">Column11712</t>
  </si>
  <si>
    <t xml:space="preserve">Column11713</t>
  </si>
  <si>
    <t xml:space="preserve">Column11714</t>
  </si>
  <si>
    <t xml:space="preserve">Column11715</t>
  </si>
  <si>
    <t xml:space="preserve">Column11716</t>
  </si>
  <si>
    <t xml:space="preserve">Column11717</t>
  </si>
  <si>
    <t xml:space="preserve">Column11718</t>
  </si>
  <si>
    <t xml:space="preserve">Column11719</t>
  </si>
  <si>
    <t xml:space="preserve">Column11720</t>
  </si>
  <si>
    <t xml:space="preserve">Column11721</t>
  </si>
  <si>
    <t xml:space="preserve">Column11722</t>
  </si>
  <si>
    <t xml:space="preserve">Column11723</t>
  </si>
  <si>
    <t xml:space="preserve">Column11724</t>
  </si>
  <si>
    <t xml:space="preserve">Column11725</t>
  </si>
  <si>
    <t xml:space="preserve">Column11726</t>
  </si>
  <si>
    <t xml:space="preserve">Column11727</t>
  </si>
  <si>
    <t xml:space="preserve">Column11728</t>
  </si>
  <si>
    <t xml:space="preserve">Column11729</t>
  </si>
  <si>
    <t xml:space="preserve">Column11730</t>
  </si>
  <si>
    <t xml:space="preserve">Column11731</t>
  </si>
  <si>
    <t xml:space="preserve">Column11732</t>
  </si>
  <si>
    <t xml:space="preserve">Column11733</t>
  </si>
  <si>
    <t xml:space="preserve">Column11734</t>
  </si>
  <si>
    <t xml:space="preserve">Column11735</t>
  </si>
  <si>
    <t xml:space="preserve">Column11736</t>
  </si>
  <si>
    <t xml:space="preserve">Column11737</t>
  </si>
  <si>
    <t xml:space="preserve">Column11738</t>
  </si>
  <si>
    <t xml:space="preserve">Column11739</t>
  </si>
  <si>
    <t xml:space="preserve">Column11740</t>
  </si>
  <si>
    <t xml:space="preserve">Column11741</t>
  </si>
  <si>
    <t xml:space="preserve">Column11742</t>
  </si>
  <si>
    <t xml:space="preserve">Column11743</t>
  </si>
  <si>
    <t xml:space="preserve">Column11744</t>
  </si>
  <si>
    <t xml:space="preserve">Column11745</t>
  </si>
  <si>
    <t xml:space="preserve">Column11746</t>
  </si>
  <si>
    <t xml:space="preserve">Column11747</t>
  </si>
  <si>
    <t xml:space="preserve">Column11748</t>
  </si>
  <si>
    <t xml:space="preserve">Column11749</t>
  </si>
  <si>
    <t xml:space="preserve">Column11750</t>
  </si>
  <si>
    <t xml:space="preserve">Column11751</t>
  </si>
  <si>
    <t xml:space="preserve">Column11752</t>
  </si>
  <si>
    <t xml:space="preserve">Column11753</t>
  </si>
  <si>
    <t xml:space="preserve">Column11754</t>
  </si>
  <si>
    <t xml:space="preserve">Column11755</t>
  </si>
  <si>
    <t xml:space="preserve">Column11756</t>
  </si>
  <si>
    <t xml:space="preserve">Column11757</t>
  </si>
  <si>
    <t xml:space="preserve">Column11758</t>
  </si>
  <si>
    <t xml:space="preserve">Column11759</t>
  </si>
  <si>
    <t xml:space="preserve">Column11760</t>
  </si>
  <si>
    <t xml:space="preserve">Column11761</t>
  </si>
  <si>
    <t xml:space="preserve">Column11762</t>
  </si>
  <si>
    <t xml:space="preserve">Column11763</t>
  </si>
  <si>
    <t xml:space="preserve">Column11764</t>
  </si>
  <si>
    <t xml:space="preserve">Column11765</t>
  </si>
  <si>
    <t xml:space="preserve">Column11766</t>
  </si>
  <si>
    <t xml:space="preserve">Column11767</t>
  </si>
  <si>
    <t xml:space="preserve">Column11768</t>
  </si>
  <si>
    <t xml:space="preserve">Column11769</t>
  </si>
  <si>
    <t xml:space="preserve">Column11770</t>
  </si>
  <si>
    <t xml:space="preserve">Column11771</t>
  </si>
  <si>
    <t xml:space="preserve">Column11772</t>
  </si>
  <si>
    <t xml:space="preserve">Column11773</t>
  </si>
  <si>
    <t xml:space="preserve">Column11774</t>
  </si>
  <si>
    <t xml:space="preserve">Column11775</t>
  </si>
  <si>
    <t xml:space="preserve">Column11776</t>
  </si>
  <si>
    <t xml:space="preserve">Column11777</t>
  </si>
  <si>
    <t xml:space="preserve">Column11778</t>
  </si>
  <si>
    <t xml:space="preserve">Column11779</t>
  </si>
  <si>
    <t xml:space="preserve">Column11780</t>
  </si>
  <si>
    <t xml:space="preserve">Column11781</t>
  </si>
  <si>
    <t xml:space="preserve">Column11782</t>
  </si>
  <si>
    <t xml:space="preserve">Column11783</t>
  </si>
  <si>
    <t xml:space="preserve">Column11784</t>
  </si>
  <si>
    <t xml:space="preserve">Column11785</t>
  </si>
  <si>
    <t xml:space="preserve">Column11786</t>
  </si>
  <si>
    <t xml:space="preserve">Column11787</t>
  </si>
  <si>
    <t xml:space="preserve">Column11788</t>
  </si>
  <si>
    <t xml:space="preserve">Column11789</t>
  </si>
  <si>
    <t xml:space="preserve">Column11790</t>
  </si>
  <si>
    <t xml:space="preserve">Column11791</t>
  </si>
  <si>
    <t xml:space="preserve">Column11792</t>
  </si>
  <si>
    <t xml:space="preserve">Column11793</t>
  </si>
  <si>
    <t xml:space="preserve">Column11794</t>
  </si>
  <si>
    <t xml:space="preserve">Column11795</t>
  </si>
  <si>
    <t xml:space="preserve">Column11796</t>
  </si>
  <si>
    <t xml:space="preserve">Column11797</t>
  </si>
  <si>
    <t xml:space="preserve">Column11798</t>
  </si>
  <si>
    <t xml:space="preserve">Column11799</t>
  </si>
  <si>
    <t xml:space="preserve">Column11800</t>
  </si>
  <si>
    <t xml:space="preserve">Column11801</t>
  </si>
  <si>
    <t xml:space="preserve">Column11802</t>
  </si>
  <si>
    <t xml:space="preserve">Column11803</t>
  </si>
  <si>
    <t xml:space="preserve">Column11804</t>
  </si>
  <si>
    <t xml:space="preserve">Column11805</t>
  </si>
  <si>
    <t xml:space="preserve">Column11806</t>
  </si>
  <si>
    <t xml:space="preserve">Column11807</t>
  </si>
  <si>
    <t xml:space="preserve">Column11808</t>
  </si>
  <si>
    <t xml:space="preserve">Column11809</t>
  </si>
  <si>
    <t xml:space="preserve">Column11810</t>
  </si>
  <si>
    <t xml:space="preserve">Column11811</t>
  </si>
  <si>
    <t xml:space="preserve">Column11812</t>
  </si>
  <si>
    <t xml:space="preserve">Column11813</t>
  </si>
  <si>
    <t xml:space="preserve">Column11814</t>
  </si>
  <si>
    <t xml:space="preserve">Column11815</t>
  </si>
  <si>
    <t xml:space="preserve">Column11816</t>
  </si>
  <si>
    <t xml:space="preserve">Column11817</t>
  </si>
  <si>
    <t xml:space="preserve">Column11818</t>
  </si>
  <si>
    <t xml:space="preserve">Column11819</t>
  </si>
  <si>
    <t xml:space="preserve">Column11820</t>
  </si>
  <si>
    <t xml:space="preserve">Column11821</t>
  </si>
  <si>
    <t xml:space="preserve">Column11822</t>
  </si>
  <si>
    <t xml:space="preserve">Column11823</t>
  </si>
  <si>
    <t xml:space="preserve">Column11824</t>
  </si>
  <si>
    <t xml:space="preserve">Column11825</t>
  </si>
  <si>
    <t xml:space="preserve">Column11826</t>
  </si>
  <si>
    <t xml:space="preserve">Column11827</t>
  </si>
  <si>
    <t xml:space="preserve">Column11828</t>
  </si>
  <si>
    <t xml:space="preserve">Column11829</t>
  </si>
  <si>
    <t xml:space="preserve">Column11830</t>
  </si>
  <si>
    <t xml:space="preserve">Column11831</t>
  </si>
  <si>
    <t xml:space="preserve">Column11832</t>
  </si>
  <si>
    <t xml:space="preserve">Column11833</t>
  </si>
  <si>
    <t xml:space="preserve">Column11834</t>
  </si>
  <si>
    <t xml:space="preserve">Column11835</t>
  </si>
  <si>
    <t xml:space="preserve">Column11836</t>
  </si>
  <si>
    <t xml:space="preserve">Column11837</t>
  </si>
  <si>
    <t xml:space="preserve">Column11838</t>
  </si>
  <si>
    <t xml:space="preserve">Column11839</t>
  </si>
  <si>
    <t xml:space="preserve">Column11840</t>
  </si>
  <si>
    <t xml:space="preserve">Column11841</t>
  </si>
  <si>
    <t xml:space="preserve">Column11842</t>
  </si>
  <si>
    <t xml:space="preserve">Column11843</t>
  </si>
  <si>
    <t xml:space="preserve">Column11844</t>
  </si>
  <si>
    <t xml:space="preserve">Column11845</t>
  </si>
  <si>
    <t xml:space="preserve">Column11846</t>
  </si>
  <si>
    <t xml:space="preserve">Column11847</t>
  </si>
  <si>
    <t xml:space="preserve">Column11848</t>
  </si>
  <si>
    <t xml:space="preserve">Column11849</t>
  </si>
  <si>
    <t xml:space="preserve">Column11850</t>
  </si>
  <si>
    <t xml:space="preserve">Column11851</t>
  </si>
  <si>
    <t xml:space="preserve">Column11852</t>
  </si>
  <si>
    <t xml:space="preserve">Column11853</t>
  </si>
  <si>
    <t xml:space="preserve">Column11854</t>
  </si>
  <si>
    <t xml:space="preserve">Column11855</t>
  </si>
  <si>
    <t xml:space="preserve">Column11856</t>
  </si>
  <si>
    <t xml:space="preserve">Column11857</t>
  </si>
  <si>
    <t xml:space="preserve">Column11858</t>
  </si>
  <si>
    <t xml:space="preserve">Column11859</t>
  </si>
  <si>
    <t xml:space="preserve">Column11860</t>
  </si>
  <si>
    <t xml:space="preserve">Column11861</t>
  </si>
  <si>
    <t xml:space="preserve">Column11862</t>
  </si>
  <si>
    <t xml:space="preserve">Column11863</t>
  </si>
  <si>
    <t xml:space="preserve">Column11864</t>
  </si>
  <si>
    <t xml:space="preserve">Column11865</t>
  </si>
  <si>
    <t xml:space="preserve">Column11866</t>
  </si>
  <si>
    <t xml:space="preserve">Column11867</t>
  </si>
  <si>
    <t xml:space="preserve">Column11868</t>
  </si>
  <si>
    <t xml:space="preserve">Column11869</t>
  </si>
  <si>
    <t xml:space="preserve">Column11870</t>
  </si>
  <si>
    <t xml:space="preserve">Column11871</t>
  </si>
  <si>
    <t xml:space="preserve">Column11872</t>
  </si>
  <si>
    <t xml:space="preserve">Column11873</t>
  </si>
  <si>
    <t xml:space="preserve">Column11874</t>
  </si>
  <si>
    <t xml:space="preserve">Column11875</t>
  </si>
  <si>
    <t xml:space="preserve">Column11876</t>
  </si>
  <si>
    <t xml:space="preserve">Column11877</t>
  </si>
  <si>
    <t xml:space="preserve">Column11878</t>
  </si>
  <si>
    <t xml:space="preserve">Column11879</t>
  </si>
  <si>
    <t xml:space="preserve">Column11880</t>
  </si>
  <si>
    <t xml:space="preserve">Column11881</t>
  </si>
  <si>
    <t xml:space="preserve">Column11882</t>
  </si>
  <si>
    <t xml:space="preserve">Column11883</t>
  </si>
  <si>
    <t xml:space="preserve">Column11884</t>
  </si>
  <si>
    <t xml:space="preserve">Column11885</t>
  </si>
  <si>
    <t xml:space="preserve">Column11886</t>
  </si>
  <si>
    <t xml:space="preserve">Column11887</t>
  </si>
  <si>
    <t xml:space="preserve">Column11888</t>
  </si>
  <si>
    <t xml:space="preserve">Column11889</t>
  </si>
  <si>
    <t xml:space="preserve">Column11890</t>
  </si>
  <si>
    <t xml:space="preserve">Column11891</t>
  </si>
  <si>
    <t xml:space="preserve">Column11892</t>
  </si>
  <si>
    <t xml:space="preserve">Column11893</t>
  </si>
  <si>
    <t xml:space="preserve">Column11894</t>
  </si>
  <si>
    <t xml:space="preserve">Column11895</t>
  </si>
  <si>
    <t xml:space="preserve">Column11896</t>
  </si>
  <si>
    <t xml:space="preserve">Column11897</t>
  </si>
  <si>
    <t xml:space="preserve">Column11898</t>
  </si>
  <si>
    <t xml:space="preserve">Column11899</t>
  </si>
  <si>
    <t xml:space="preserve">Column11900</t>
  </si>
  <si>
    <t xml:space="preserve">Column11901</t>
  </si>
  <si>
    <t xml:space="preserve">Column11902</t>
  </si>
  <si>
    <t xml:space="preserve">Column11903</t>
  </si>
  <si>
    <t xml:space="preserve">Column11904</t>
  </si>
  <si>
    <t xml:space="preserve">Column11905</t>
  </si>
  <si>
    <t xml:space="preserve">Column11906</t>
  </si>
  <si>
    <t xml:space="preserve">Column11907</t>
  </si>
  <si>
    <t xml:space="preserve">Column11908</t>
  </si>
  <si>
    <t xml:space="preserve">Column11909</t>
  </si>
  <si>
    <t xml:space="preserve">Column11910</t>
  </si>
  <si>
    <t xml:space="preserve">Column11911</t>
  </si>
  <si>
    <t xml:space="preserve">Column11912</t>
  </si>
  <si>
    <t xml:space="preserve">Column11913</t>
  </si>
  <si>
    <t xml:space="preserve">Column11914</t>
  </si>
  <si>
    <t xml:space="preserve">Column11915</t>
  </si>
  <si>
    <t xml:space="preserve">Column11916</t>
  </si>
  <si>
    <t xml:space="preserve">Column11917</t>
  </si>
  <si>
    <t xml:space="preserve">Column11918</t>
  </si>
  <si>
    <t xml:space="preserve">Column11919</t>
  </si>
  <si>
    <t xml:space="preserve">Column11920</t>
  </si>
  <si>
    <t xml:space="preserve">Column11921</t>
  </si>
  <si>
    <t xml:space="preserve">Column11922</t>
  </si>
  <si>
    <t xml:space="preserve">Column11923</t>
  </si>
  <si>
    <t xml:space="preserve">Column11924</t>
  </si>
  <si>
    <t xml:space="preserve">Column11925</t>
  </si>
  <si>
    <t xml:space="preserve">Column11926</t>
  </si>
  <si>
    <t xml:space="preserve">Column11927</t>
  </si>
  <si>
    <t xml:space="preserve">Column11928</t>
  </si>
  <si>
    <t xml:space="preserve">Column11929</t>
  </si>
  <si>
    <t xml:space="preserve">Column11930</t>
  </si>
  <si>
    <t xml:space="preserve">Column11931</t>
  </si>
  <si>
    <t xml:space="preserve">Column11932</t>
  </si>
  <si>
    <t xml:space="preserve">Column11933</t>
  </si>
  <si>
    <t xml:space="preserve">Column11934</t>
  </si>
  <si>
    <t xml:space="preserve">Column11935</t>
  </si>
  <si>
    <t xml:space="preserve">Column11936</t>
  </si>
  <si>
    <t xml:space="preserve">Column11937</t>
  </si>
  <si>
    <t xml:space="preserve">Column11938</t>
  </si>
  <si>
    <t xml:space="preserve">Column11939</t>
  </si>
  <si>
    <t xml:space="preserve">Column11940</t>
  </si>
  <si>
    <t xml:space="preserve">Column11941</t>
  </si>
  <si>
    <t xml:space="preserve">Column11942</t>
  </si>
  <si>
    <t xml:space="preserve">Column11943</t>
  </si>
  <si>
    <t xml:space="preserve">Column11944</t>
  </si>
  <si>
    <t xml:space="preserve">Column11945</t>
  </si>
  <si>
    <t xml:space="preserve">Column11946</t>
  </si>
  <si>
    <t xml:space="preserve">Column11947</t>
  </si>
  <si>
    <t xml:space="preserve">Column11948</t>
  </si>
  <si>
    <t xml:space="preserve">Column11949</t>
  </si>
  <si>
    <t xml:space="preserve">Column11950</t>
  </si>
  <si>
    <t xml:space="preserve">Column11951</t>
  </si>
  <si>
    <t xml:space="preserve">Column11952</t>
  </si>
  <si>
    <t xml:space="preserve">Column11953</t>
  </si>
  <si>
    <t xml:space="preserve">Column11954</t>
  </si>
  <si>
    <t xml:space="preserve">Column11955</t>
  </si>
  <si>
    <t xml:space="preserve">Column11956</t>
  </si>
  <si>
    <t xml:space="preserve">Column11957</t>
  </si>
  <si>
    <t xml:space="preserve">Column11958</t>
  </si>
  <si>
    <t xml:space="preserve">Column11959</t>
  </si>
  <si>
    <t xml:space="preserve">Column11960</t>
  </si>
  <si>
    <t xml:space="preserve">Column11961</t>
  </si>
  <si>
    <t xml:space="preserve">Column11962</t>
  </si>
  <si>
    <t xml:space="preserve">Column11963</t>
  </si>
  <si>
    <t xml:space="preserve">Column11964</t>
  </si>
  <si>
    <t xml:space="preserve">Column11965</t>
  </si>
  <si>
    <t xml:space="preserve">Column11966</t>
  </si>
  <si>
    <t xml:space="preserve">Column11967</t>
  </si>
  <si>
    <t xml:space="preserve">Column11968</t>
  </si>
  <si>
    <t xml:space="preserve">Column11969</t>
  </si>
  <si>
    <t xml:space="preserve">Column11970</t>
  </si>
  <si>
    <t xml:space="preserve">Column11971</t>
  </si>
  <si>
    <t xml:space="preserve">Column11972</t>
  </si>
  <si>
    <t xml:space="preserve">Column11973</t>
  </si>
  <si>
    <t xml:space="preserve">Column11974</t>
  </si>
  <si>
    <t xml:space="preserve">Column11975</t>
  </si>
  <si>
    <t xml:space="preserve">Column11976</t>
  </si>
  <si>
    <t xml:space="preserve">Column11977</t>
  </si>
  <si>
    <t xml:space="preserve">Column11978</t>
  </si>
  <si>
    <t xml:space="preserve">Column11979</t>
  </si>
  <si>
    <t xml:space="preserve">Column11980</t>
  </si>
  <si>
    <t xml:space="preserve">Column11981</t>
  </si>
  <si>
    <t xml:space="preserve">Column11982</t>
  </si>
  <si>
    <t xml:space="preserve">Column11983</t>
  </si>
  <si>
    <t xml:space="preserve">Column11984</t>
  </si>
  <si>
    <t xml:space="preserve">Column11985</t>
  </si>
  <si>
    <t xml:space="preserve">Column11986</t>
  </si>
  <si>
    <t xml:space="preserve">Column11987</t>
  </si>
  <si>
    <t xml:space="preserve">Column11988</t>
  </si>
  <si>
    <t xml:space="preserve">Column11989</t>
  </si>
  <si>
    <t xml:space="preserve">Column11990</t>
  </si>
  <si>
    <t xml:space="preserve">Column11991</t>
  </si>
  <si>
    <t xml:space="preserve">Column11992</t>
  </si>
  <si>
    <t xml:space="preserve">Column11993</t>
  </si>
  <si>
    <t xml:space="preserve">Column11994</t>
  </si>
  <si>
    <t xml:space="preserve">Column11995</t>
  </si>
  <si>
    <t xml:space="preserve">Column11996</t>
  </si>
  <si>
    <t xml:space="preserve">Column11997</t>
  </si>
  <si>
    <t xml:space="preserve">Column11998</t>
  </si>
  <si>
    <t xml:space="preserve">Column11999</t>
  </si>
  <si>
    <t xml:space="preserve">Column12000</t>
  </si>
  <si>
    <t xml:space="preserve">Column12001</t>
  </si>
  <si>
    <t xml:space="preserve">Column12002</t>
  </si>
  <si>
    <t xml:space="preserve">Column12003</t>
  </si>
  <si>
    <t xml:space="preserve">Column12004</t>
  </si>
  <si>
    <t xml:space="preserve">Column12005</t>
  </si>
  <si>
    <t xml:space="preserve">Column12006</t>
  </si>
  <si>
    <t xml:space="preserve">Column12007</t>
  </si>
  <si>
    <t xml:space="preserve">Column12008</t>
  </si>
  <si>
    <t xml:space="preserve">Column12009</t>
  </si>
  <si>
    <t xml:space="preserve">Column12010</t>
  </si>
  <si>
    <t xml:space="preserve">Column12011</t>
  </si>
  <si>
    <t xml:space="preserve">Column12012</t>
  </si>
  <si>
    <t xml:space="preserve">Column12013</t>
  </si>
  <si>
    <t xml:space="preserve">Column12014</t>
  </si>
  <si>
    <t xml:space="preserve">Column12015</t>
  </si>
  <si>
    <t xml:space="preserve">Column12016</t>
  </si>
  <si>
    <t xml:space="preserve">Column12017</t>
  </si>
  <si>
    <t xml:space="preserve">Column12018</t>
  </si>
  <si>
    <t xml:space="preserve">Column12019</t>
  </si>
  <si>
    <t xml:space="preserve">Column12020</t>
  </si>
  <si>
    <t xml:space="preserve">Column12021</t>
  </si>
  <si>
    <t xml:space="preserve">Column12022</t>
  </si>
  <si>
    <t xml:space="preserve">Column12023</t>
  </si>
  <si>
    <t xml:space="preserve">Column12024</t>
  </si>
  <si>
    <t xml:space="preserve">Column12025</t>
  </si>
  <si>
    <t xml:space="preserve">Column12026</t>
  </si>
  <si>
    <t xml:space="preserve">Column12027</t>
  </si>
  <si>
    <t xml:space="preserve">Column12028</t>
  </si>
  <si>
    <t xml:space="preserve">Column12029</t>
  </si>
  <si>
    <t xml:space="preserve">Column12030</t>
  </si>
  <si>
    <t xml:space="preserve">Column12031</t>
  </si>
  <si>
    <t xml:space="preserve">Column12032</t>
  </si>
  <si>
    <t xml:space="preserve">Column12033</t>
  </si>
  <si>
    <t xml:space="preserve">Column12034</t>
  </si>
  <si>
    <t xml:space="preserve">Column12035</t>
  </si>
  <si>
    <t xml:space="preserve">Column12036</t>
  </si>
  <si>
    <t xml:space="preserve">Column12037</t>
  </si>
  <si>
    <t xml:space="preserve">Column12038</t>
  </si>
  <si>
    <t xml:space="preserve">Column12039</t>
  </si>
  <si>
    <t xml:space="preserve">Column12040</t>
  </si>
  <si>
    <t xml:space="preserve">Column12041</t>
  </si>
  <si>
    <t xml:space="preserve">Column12042</t>
  </si>
  <si>
    <t xml:space="preserve">Column12043</t>
  </si>
  <si>
    <t xml:space="preserve">Column12044</t>
  </si>
  <si>
    <t xml:space="preserve">Column12045</t>
  </si>
  <si>
    <t xml:space="preserve">Column12046</t>
  </si>
  <si>
    <t xml:space="preserve">Column12047</t>
  </si>
  <si>
    <t xml:space="preserve">Column12048</t>
  </si>
  <si>
    <t xml:space="preserve">Column12049</t>
  </si>
  <si>
    <t xml:space="preserve">Column12050</t>
  </si>
  <si>
    <t xml:space="preserve">Column12051</t>
  </si>
  <si>
    <t xml:space="preserve">Column12052</t>
  </si>
  <si>
    <t xml:space="preserve">Column12053</t>
  </si>
  <si>
    <t xml:space="preserve">Column12054</t>
  </si>
  <si>
    <t xml:space="preserve">Column12055</t>
  </si>
  <si>
    <t xml:space="preserve">Column12056</t>
  </si>
  <si>
    <t xml:space="preserve">Column12057</t>
  </si>
  <si>
    <t xml:space="preserve">Column12058</t>
  </si>
  <si>
    <t xml:space="preserve">Column12059</t>
  </si>
  <si>
    <t xml:space="preserve">Column12060</t>
  </si>
  <si>
    <t xml:space="preserve">Column12061</t>
  </si>
  <si>
    <t xml:space="preserve">Column12062</t>
  </si>
  <si>
    <t xml:space="preserve">Column12063</t>
  </si>
  <si>
    <t xml:space="preserve">Column12064</t>
  </si>
  <si>
    <t xml:space="preserve">Column12065</t>
  </si>
  <si>
    <t xml:space="preserve">Column12066</t>
  </si>
  <si>
    <t xml:space="preserve">Column12067</t>
  </si>
  <si>
    <t xml:space="preserve">Column12068</t>
  </si>
  <si>
    <t xml:space="preserve">Column12069</t>
  </si>
  <si>
    <t xml:space="preserve">Column12070</t>
  </si>
  <si>
    <t xml:space="preserve">Column12071</t>
  </si>
  <si>
    <t xml:space="preserve">Column12072</t>
  </si>
  <si>
    <t xml:space="preserve">Column12073</t>
  </si>
  <si>
    <t xml:space="preserve">Column12074</t>
  </si>
  <si>
    <t xml:space="preserve">Column12075</t>
  </si>
  <si>
    <t xml:space="preserve">Column12076</t>
  </si>
  <si>
    <t xml:space="preserve">Column12077</t>
  </si>
  <si>
    <t xml:space="preserve">Column12078</t>
  </si>
  <si>
    <t xml:space="preserve">Column12079</t>
  </si>
  <si>
    <t xml:space="preserve">Column12080</t>
  </si>
  <si>
    <t xml:space="preserve">Column12081</t>
  </si>
  <si>
    <t xml:space="preserve">Column12082</t>
  </si>
  <si>
    <t xml:space="preserve">Column12083</t>
  </si>
  <si>
    <t xml:space="preserve">Column12084</t>
  </si>
  <si>
    <t xml:space="preserve">Column12085</t>
  </si>
  <si>
    <t xml:space="preserve">Column12086</t>
  </si>
  <si>
    <t xml:space="preserve">Column12087</t>
  </si>
  <si>
    <t xml:space="preserve">Column12088</t>
  </si>
  <si>
    <t xml:space="preserve">Column12089</t>
  </si>
  <si>
    <t xml:space="preserve">Column12090</t>
  </si>
  <si>
    <t xml:space="preserve">Column12091</t>
  </si>
  <si>
    <t xml:space="preserve">Column12092</t>
  </si>
  <si>
    <t xml:space="preserve">Column12093</t>
  </si>
  <si>
    <t xml:space="preserve">Column12094</t>
  </si>
  <si>
    <t xml:space="preserve">Column12095</t>
  </si>
  <si>
    <t xml:space="preserve">Column12096</t>
  </si>
  <si>
    <t xml:space="preserve">Column12097</t>
  </si>
  <si>
    <t xml:space="preserve">Column12098</t>
  </si>
  <si>
    <t xml:space="preserve">Column12099</t>
  </si>
  <si>
    <t xml:space="preserve">Column12100</t>
  </si>
  <si>
    <t xml:space="preserve">Column12101</t>
  </si>
  <si>
    <t xml:space="preserve">Column12102</t>
  </si>
  <si>
    <t xml:space="preserve">Column12103</t>
  </si>
  <si>
    <t xml:space="preserve">Column12104</t>
  </si>
  <si>
    <t xml:space="preserve">Column12105</t>
  </si>
  <si>
    <t xml:space="preserve">Column12106</t>
  </si>
  <si>
    <t xml:space="preserve">Column12107</t>
  </si>
  <si>
    <t xml:space="preserve">Column12108</t>
  </si>
  <si>
    <t xml:space="preserve">Column12109</t>
  </si>
  <si>
    <t xml:space="preserve">Column12110</t>
  </si>
  <si>
    <t xml:space="preserve">Column12111</t>
  </si>
  <si>
    <t xml:space="preserve">Column12112</t>
  </si>
  <si>
    <t xml:space="preserve">Column12113</t>
  </si>
  <si>
    <t xml:space="preserve">Column12114</t>
  </si>
  <si>
    <t xml:space="preserve">Column12115</t>
  </si>
  <si>
    <t xml:space="preserve">Column12116</t>
  </si>
  <si>
    <t xml:space="preserve">Column12117</t>
  </si>
  <si>
    <t xml:space="preserve">Column12118</t>
  </si>
  <si>
    <t xml:space="preserve">Column12119</t>
  </si>
  <si>
    <t xml:space="preserve">Column12120</t>
  </si>
  <si>
    <t xml:space="preserve">Column12121</t>
  </si>
  <si>
    <t xml:space="preserve">Column12122</t>
  </si>
  <si>
    <t xml:space="preserve">Column12123</t>
  </si>
  <si>
    <t xml:space="preserve">Column12124</t>
  </si>
  <si>
    <t xml:space="preserve">Column12125</t>
  </si>
  <si>
    <t xml:space="preserve">Column12126</t>
  </si>
  <si>
    <t xml:space="preserve">Column12127</t>
  </si>
  <si>
    <t xml:space="preserve">Column12128</t>
  </si>
  <si>
    <t xml:space="preserve">Column12129</t>
  </si>
  <si>
    <t xml:space="preserve">Column12130</t>
  </si>
  <si>
    <t xml:space="preserve">Column12131</t>
  </si>
  <si>
    <t xml:space="preserve">Column12132</t>
  </si>
  <si>
    <t xml:space="preserve">Column12133</t>
  </si>
  <si>
    <t xml:space="preserve">Column12134</t>
  </si>
  <si>
    <t xml:space="preserve">Column12135</t>
  </si>
  <si>
    <t xml:space="preserve">Column12136</t>
  </si>
  <si>
    <t xml:space="preserve">Column12137</t>
  </si>
  <si>
    <t xml:space="preserve">Column12138</t>
  </si>
  <si>
    <t xml:space="preserve">Column12139</t>
  </si>
  <si>
    <t xml:space="preserve">Column12140</t>
  </si>
  <si>
    <t xml:space="preserve">Column12141</t>
  </si>
  <si>
    <t xml:space="preserve">Column12142</t>
  </si>
  <si>
    <t xml:space="preserve">Column12143</t>
  </si>
  <si>
    <t xml:space="preserve">Column12144</t>
  </si>
  <si>
    <t xml:space="preserve">Column12145</t>
  </si>
  <si>
    <t xml:space="preserve">Column12146</t>
  </si>
  <si>
    <t xml:space="preserve">Column12147</t>
  </si>
  <si>
    <t xml:space="preserve">Column12148</t>
  </si>
  <si>
    <t xml:space="preserve">Column12149</t>
  </si>
  <si>
    <t xml:space="preserve">Column12150</t>
  </si>
  <si>
    <t xml:space="preserve">Column12151</t>
  </si>
  <si>
    <t xml:space="preserve">Column12152</t>
  </si>
  <si>
    <t xml:space="preserve">Column12153</t>
  </si>
  <si>
    <t xml:space="preserve">Column12154</t>
  </si>
  <si>
    <t xml:space="preserve">Column12155</t>
  </si>
  <si>
    <t xml:space="preserve">Column12156</t>
  </si>
  <si>
    <t xml:space="preserve">Column12157</t>
  </si>
  <si>
    <t xml:space="preserve">Column12158</t>
  </si>
  <si>
    <t xml:space="preserve">Column12159</t>
  </si>
  <si>
    <t xml:space="preserve">Column12160</t>
  </si>
  <si>
    <t xml:space="preserve">Column12161</t>
  </si>
  <si>
    <t xml:space="preserve">Column12162</t>
  </si>
  <si>
    <t xml:space="preserve">Column12163</t>
  </si>
  <si>
    <t xml:space="preserve">Column12164</t>
  </si>
  <si>
    <t xml:space="preserve">Column12165</t>
  </si>
  <si>
    <t xml:space="preserve">Column12166</t>
  </si>
  <si>
    <t xml:space="preserve">Column12167</t>
  </si>
  <si>
    <t xml:space="preserve">Column12168</t>
  </si>
  <si>
    <t xml:space="preserve">Column12169</t>
  </si>
  <si>
    <t xml:space="preserve">Column12170</t>
  </si>
  <si>
    <t xml:space="preserve">Column12171</t>
  </si>
  <si>
    <t xml:space="preserve">Column12172</t>
  </si>
  <si>
    <t xml:space="preserve">Column12173</t>
  </si>
  <si>
    <t xml:space="preserve">Column12174</t>
  </si>
  <si>
    <t xml:space="preserve">Column12175</t>
  </si>
  <si>
    <t xml:space="preserve">Column12176</t>
  </si>
  <si>
    <t xml:space="preserve">Column12177</t>
  </si>
  <si>
    <t xml:space="preserve">Column12178</t>
  </si>
  <si>
    <t xml:space="preserve">Column12179</t>
  </si>
  <si>
    <t xml:space="preserve">Column12180</t>
  </si>
  <si>
    <t xml:space="preserve">Column12181</t>
  </si>
  <si>
    <t xml:space="preserve">Column12182</t>
  </si>
  <si>
    <t xml:space="preserve">Column12183</t>
  </si>
  <si>
    <t xml:space="preserve">Column12184</t>
  </si>
  <si>
    <t xml:space="preserve">Column12185</t>
  </si>
  <si>
    <t xml:space="preserve">Column12186</t>
  </si>
  <si>
    <t xml:space="preserve">Column12187</t>
  </si>
  <si>
    <t xml:space="preserve">Column12188</t>
  </si>
  <si>
    <t xml:space="preserve">Column12189</t>
  </si>
  <si>
    <t xml:space="preserve">Column12190</t>
  </si>
  <si>
    <t xml:space="preserve">Column12191</t>
  </si>
  <si>
    <t xml:space="preserve">Column12192</t>
  </si>
  <si>
    <t xml:space="preserve">Column12193</t>
  </si>
  <si>
    <t xml:space="preserve">Column12194</t>
  </si>
  <si>
    <t xml:space="preserve">Column12195</t>
  </si>
  <si>
    <t xml:space="preserve">Column12196</t>
  </si>
  <si>
    <t xml:space="preserve">Column12197</t>
  </si>
  <si>
    <t xml:space="preserve">Column12198</t>
  </si>
  <si>
    <t xml:space="preserve">Column12199</t>
  </si>
  <si>
    <t xml:space="preserve">Column12200</t>
  </si>
  <si>
    <t xml:space="preserve">Column12201</t>
  </si>
  <si>
    <t xml:space="preserve">Column12202</t>
  </si>
  <si>
    <t xml:space="preserve">Column12203</t>
  </si>
  <si>
    <t xml:space="preserve">Column12204</t>
  </si>
  <si>
    <t xml:space="preserve">Column12205</t>
  </si>
  <si>
    <t xml:space="preserve">Column12206</t>
  </si>
  <si>
    <t xml:space="preserve">Column12207</t>
  </si>
  <si>
    <t xml:space="preserve">Column12208</t>
  </si>
  <si>
    <t xml:space="preserve">Column12209</t>
  </si>
  <si>
    <t xml:space="preserve">Column12210</t>
  </si>
  <si>
    <t xml:space="preserve">Column12211</t>
  </si>
  <si>
    <t xml:space="preserve">Column12212</t>
  </si>
  <si>
    <t xml:space="preserve">Column12213</t>
  </si>
  <si>
    <t xml:space="preserve">Column12214</t>
  </si>
  <si>
    <t xml:space="preserve">Column12215</t>
  </si>
  <si>
    <t xml:space="preserve">Column12216</t>
  </si>
  <si>
    <t xml:space="preserve">Column12217</t>
  </si>
  <si>
    <t xml:space="preserve">Column12218</t>
  </si>
  <si>
    <t xml:space="preserve">Column12219</t>
  </si>
  <si>
    <t xml:space="preserve">Column12220</t>
  </si>
  <si>
    <t xml:space="preserve">Column12221</t>
  </si>
  <si>
    <t xml:space="preserve">Column12222</t>
  </si>
  <si>
    <t xml:space="preserve">Column12223</t>
  </si>
  <si>
    <t xml:space="preserve">Column12224</t>
  </si>
  <si>
    <t xml:space="preserve">Column12225</t>
  </si>
  <si>
    <t xml:space="preserve">Column12226</t>
  </si>
  <si>
    <t xml:space="preserve">Column12227</t>
  </si>
  <si>
    <t xml:space="preserve">Column12228</t>
  </si>
  <si>
    <t xml:space="preserve">Column12229</t>
  </si>
  <si>
    <t xml:space="preserve">Column12230</t>
  </si>
  <si>
    <t xml:space="preserve">Column12231</t>
  </si>
  <si>
    <t xml:space="preserve">Column12232</t>
  </si>
  <si>
    <t xml:space="preserve">Column12233</t>
  </si>
  <si>
    <t xml:space="preserve">Column12234</t>
  </si>
  <si>
    <t xml:space="preserve">Column12235</t>
  </si>
  <si>
    <t xml:space="preserve">Column12236</t>
  </si>
  <si>
    <t xml:space="preserve">Column12237</t>
  </si>
  <si>
    <t xml:space="preserve">Column12238</t>
  </si>
  <si>
    <t xml:space="preserve">Column12239</t>
  </si>
  <si>
    <t xml:space="preserve">Column12240</t>
  </si>
  <si>
    <t xml:space="preserve">Column12241</t>
  </si>
  <si>
    <t xml:space="preserve">Column12242</t>
  </si>
  <si>
    <t xml:space="preserve">Column12243</t>
  </si>
  <si>
    <t xml:space="preserve">Column12244</t>
  </si>
  <si>
    <t xml:space="preserve">Column12245</t>
  </si>
  <si>
    <t xml:space="preserve">Column12246</t>
  </si>
  <si>
    <t xml:space="preserve">Column12247</t>
  </si>
  <si>
    <t xml:space="preserve">Column12248</t>
  </si>
  <si>
    <t xml:space="preserve">Column12249</t>
  </si>
  <si>
    <t xml:space="preserve">Column12250</t>
  </si>
  <si>
    <t xml:space="preserve">Column12251</t>
  </si>
  <si>
    <t xml:space="preserve">Column12252</t>
  </si>
  <si>
    <t xml:space="preserve">Column12253</t>
  </si>
  <si>
    <t xml:space="preserve">Column12254</t>
  </si>
  <si>
    <t xml:space="preserve">Column12255</t>
  </si>
  <si>
    <t xml:space="preserve">Column12256</t>
  </si>
  <si>
    <t xml:space="preserve">Column12257</t>
  </si>
  <si>
    <t xml:space="preserve">Column12258</t>
  </si>
  <si>
    <t xml:space="preserve">Column12259</t>
  </si>
  <si>
    <t xml:space="preserve">Column12260</t>
  </si>
  <si>
    <t xml:space="preserve">Column12261</t>
  </si>
  <si>
    <t xml:space="preserve">Column12262</t>
  </si>
  <si>
    <t xml:space="preserve">Column12263</t>
  </si>
  <si>
    <t xml:space="preserve">Column12264</t>
  </si>
  <si>
    <t xml:space="preserve">Column12265</t>
  </si>
  <si>
    <t xml:space="preserve">Column12266</t>
  </si>
  <si>
    <t xml:space="preserve">Column12267</t>
  </si>
  <si>
    <t xml:space="preserve">Column12268</t>
  </si>
  <si>
    <t xml:space="preserve">Column12269</t>
  </si>
  <si>
    <t xml:space="preserve">Column12270</t>
  </si>
  <si>
    <t xml:space="preserve">Column12271</t>
  </si>
  <si>
    <t xml:space="preserve">Column12272</t>
  </si>
  <si>
    <t xml:space="preserve">Column12273</t>
  </si>
  <si>
    <t xml:space="preserve">Column12274</t>
  </si>
  <si>
    <t xml:space="preserve">Column12275</t>
  </si>
  <si>
    <t xml:space="preserve">Column12276</t>
  </si>
  <si>
    <t xml:space="preserve">Column12277</t>
  </si>
  <si>
    <t xml:space="preserve">Column12278</t>
  </si>
  <si>
    <t xml:space="preserve">Column12279</t>
  </si>
  <si>
    <t xml:space="preserve">Column12280</t>
  </si>
  <si>
    <t xml:space="preserve">Column12281</t>
  </si>
  <si>
    <t xml:space="preserve">Column12282</t>
  </si>
  <si>
    <t xml:space="preserve">Column12283</t>
  </si>
  <si>
    <t xml:space="preserve">Column12284</t>
  </si>
  <si>
    <t xml:space="preserve">Column12285</t>
  </si>
  <si>
    <t xml:space="preserve">Column12286</t>
  </si>
  <si>
    <t xml:space="preserve">Column12287</t>
  </si>
  <si>
    <t xml:space="preserve">Column12288</t>
  </si>
  <si>
    <t xml:space="preserve">Column12289</t>
  </si>
  <si>
    <t xml:space="preserve">Column12290</t>
  </si>
  <si>
    <t xml:space="preserve">Column12291</t>
  </si>
  <si>
    <t xml:space="preserve">Column12292</t>
  </si>
  <si>
    <t xml:space="preserve">Column12293</t>
  </si>
  <si>
    <t xml:space="preserve">Column12294</t>
  </si>
  <si>
    <t xml:space="preserve">Column12295</t>
  </si>
  <si>
    <t xml:space="preserve">Column12296</t>
  </si>
  <si>
    <t xml:space="preserve">Column12297</t>
  </si>
  <si>
    <t xml:space="preserve">Column12298</t>
  </si>
  <si>
    <t xml:space="preserve">Column12299</t>
  </si>
  <si>
    <t xml:space="preserve">Column12300</t>
  </si>
  <si>
    <t xml:space="preserve">Column12301</t>
  </si>
  <si>
    <t xml:space="preserve">Column12302</t>
  </si>
  <si>
    <t xml:space="preserve">Column12303</t>
  </si>
  <si>
    <t xml:space="preserve">Column12304</t>
  </si>
  <si>
    <t xml:space="preserve">Column12305</t>
  </si>
  <si>
    <t xml:space="preserve">Column12306</t>
  </si>
  <si>
    <t xml:space="preserve">Column12307</t>
  </si>
  <si>
    <t xml:space="preserve">Column12308</t>
  </si>
  <si>
    <t xml:space="preserve">Column12309</t>
  </si>
  <si>
    <t xml:space="preserve">Column12310</t>
  </si>
  <si>
    <t xml:space="preserve">Column12311</t>
  </si>
  <si>
    <t xml:space="preserve">Column12312</t>
  </si>
  <si>
    <t xml:space="preserve">Column12313</t>
  </si>
  <si>
    <t xml:space="preserve">Column12314</t>
  </si>
  <si>
    <t xml:space="preserve">Column12315</t>
  </si>
  <si>
    <t xml:space="preserve">Column12316</t>
  </si>
  <si>
    <t xml:space="preserve">Column12317</t>
  </si>
  <si>
    <t xml:space="preserve">Column12318</t>
  </si>
  <si>
    <t xml:space="preserve">Column12319</t>
  </si>
  <si>
    <t xml:space="preserve">Column12320</t>
  </si>
  <si>
    <t xml:space="preserve">Column12321</t>
  </si>
  <si>
    <t xml:space="preserve">Column12322</t>
  </si>
  <si>
    <t xml:space="preserve">Column12323</t>
  </si>
  <si>
    <t xml:space="preserve">Column12324</t>
  </si>
  <si>
    <t xml:space="preserve">Column12325</t>
  </si>
  <si>
    <t xml:space="preserve">Column12326</t>
  </si>
  <si>
    <t xml:space="preserve">Column12327</t>
  </si>
  <si>
    <t xml:space="preserve">Column12328</t>
  </si>
  <si>
    <t xml:space="preserve">Column12329</t>
  </si>
  <si>
    <t xml:space="preserve">Column12330</t>
  </si>
  <si>
    <t xml:space="preserve">Column12331</t>
  </si>
  <si>
    <t xml:space="preserve">Column12332</t>
  </si>
  <si>
    <t xml:space="preserve">Column12333</t>
  </si>
  <si>
    <t xml:space="preserve">Column12334</t>
  </si>
  <si>
    <t xml:space="preserve">Column12335</t>
  </si>
  <si>
    <t xml:space="preserve">Column12336</t>
  </si>
  <si>
    <t xml:space="preserve">Column12337</t>
  </si>
  <si>
    <t xml:space="preserve">Column12338</t>
  </si>
  <si>
    <t xml:space="preserve">Column12339</t>
  </si>
  <si>
    <t xml:space="preserve">Column12340</t>
  </si>
  <si>
    <t xml:space="preserve">Column12341</t>
  </si>
  <si>
    <t xml:space="preserve">Column12342</t>
  </si>
  <si>
    <t xml:space="preserve">Column12343</t>
  </si>
  <si>
    <t xml:space="preserve">Column12344</t>
  </si>
  <si>
    <t xml:space="preserve">Column12345</t>
  </si>
  <si>
    <t xml:space="preserve">Column12346</t>
  </si>
  <si>
    <t xml:space="preserve">Column12347</t>
  </si>
  <si>
    <t xml:space="preserve">Column12348</t>
  </si>
  <si>
    <t xml:space="preserve">Column12349</t>
  </si>
  <si>
    <t xml:space="preserve">Column12350</t>
  </si>
  <si>
    <t xml:space="preserve">Column12351</t>
  </si>
  <si>
    <t xml:space="preserve">Column12352</t>
  </si>
  <si>
    <t xml:space="preserve">Column12353</t>
  </si>
  <si>
    <t xml:space="preserve">Column12354</t>
  </si>
  <si>
    <t xml:space="preserve">Column12355</t>
  </si>
  <si>
    <t xml:space="preserve">Column12356</t>
  </si>
  <si>
    <t xml:space="preserve">Column12357</t>
  </si>
  <si>
    <t xml:space="preserve">Column12358</t>
  </si>
  <si>
    <t xml:space="preserve">Column12359</t>
  </si>
  <si>
    <t xml:space="preserve">Column12360</t>
  </si>
  <si>
    <t xml:space="preserve">Column12361</t>
  </si>
  <si>
    <t xml:space="preserve">Column12362</t>
  </si>
  <si>
    <t xml:space="preserve">Column12363</t>
  </si>
  <si>
    <t xml:space="preserve">Column12364</t>
  </si>
  <si>
    <t xml:space="preserve">Column12365</t>
  </si>
  <si>
    <t xml:space="preserve">Column12366</t>
  </si>
  <si>
    <t xml:space="preserve">Column12367</t>
  </si>
  <si>
    <t xml:space="preserve">Column12368</t>
  </si>
  <si>
    <t xml:space="preserve">Column12369</t>
  </si>
  <si>
    <t xml:space="preserve">Column12370</t>
  </si>
  <si>
    <t xml:space="preserve">Column12371</t>
  </si>
  <si>
    <t xml:space="preserve">Column12372</t>
  </si>
  <si>
    <t xml:space="preserve">Column12373</t>
  </si>
  <si>
    <t xml:space="preserve">Column12374</t>
  </si>
  <si>
    <t xml:space="preserve">Column12375</t>
  </si>
  <si>
    <t xml:space="preserve">Column12376</t>
  </si>
  <si>
    <t xml:space="preserve">Column12377</t>
  </si>
  <si>
    <t xml:space="preserve">Column12378</t>
  </si>
  <si>
    <t xml:space="preserve">Column12379</t>
  </si>
  <si>
    <t xml:space="preserve">Column12380</t>
  </si>
  <si>
    <t xml:space="preserve">Column12381</t>
  </si>
  <si>
    <t xml:space="preserve">Column12382</t>
  </si>
  <si>
    <t xml:space="preserve">Column12383</t>
  </si>
  <si>
    <t xml:space="preserve">Column12384</t>
  </si>
  <si>
    <t xml:space="preserve">Column12385</t>
  </si>
  <si>
    <t xml:space="preserve">Column12386</t>
  </si>
  <si>
    <t xml:space="preserve">Column12387</t>
  </si>
  <si>
    <t xml:space="preserve">Column12388</t>
  </si>
  <si>
    <t xml:space="preserve">Column12389</t>
  </si>
  <si>
    <t xml:space="preserve">Column12390</t>
  </si>
  <si>
    <t xml:space="preserve">Column12391</t>
  </si>
  <si>
    <t xml:space="preserve">Column12392</t>
  </si>
  <si>
    <t xml:space="preserve">Column12393</t>
  </si>
  <si>
    <t xml:space="preserve">Column12394</t>
  </si>
  <si>
    <t xml:space="preserve">Column12395</t>
  </si>
  <si>
    <t xml:space="preserve">Column12396</t>
  </si>
  <si>
    <t xml:space="preserve">Column12397</t>
  </si>
  <si>
    <t xml:space="preserve">Column12398</t>
  </si>
  <si>
    <t xml:space="preserve">Column12399</t>
  </si>
  <si>
    <t xml:space="preserve">Column12400</t>
  </si>
  <si>
    <t xml:space="preserve">Column12401</t>
  </si>
  <si>
    <t xml:space="preserve">Column12402</t>
  </si>
  <si>
    <t xml:space="preserve">Column12403</t>
  </si>
  <si>
    <t xml:space="preserve">Column12404</t>
  </si>
  <si>
    <t xml:space="preserve">Column12405</t>
  </si>
  <si>
    <t xml:space="preserve">Column12406</t>
  </si>
  <si>
    <t xml:space="preserve">Column12407</t>
  </si>
  <si>
    <t xml:space="preserve">Column12408</t>
  </si>
  <si>
    <t xml:space="preserve">Column12409</t>
  </si>
  <si>
    <t xml:space="preserve">Column12410</t>
  </si>
  <si>
    <t xml:space="preserve">Column12411</t>
  </si>
  <si>
    <t xml:space="preserve">Column12412</t>
  </si>
  <si>
    <t xml:space="preserve">Column12413</t>
  </si>
  <si>
    <t xml:space="preserve">Column12414</t>
  </si>
  <si>
    <t xml:space="preserve">Column12415</t>
  </si>
  <si>
    <t xml:space="preserve">Column12416</t>
  </si>
  <si>
    <t xml:space="preserve">Column12417</t>
  </si>
  <si>
    <t xml:space="preserve">Column12418</t>
  </si>
  <si>
    <t xml:space="preserve">Column12419</t>
  </si>
  <si>
    <t xml:space="preserve">Column12420</t>
  </si>
  <si>
    <t xml:space="preserve">Column12421</t>
  </si>
  <si>
    <t xml:space="preserve">Column12422</t>
  </si>
  <si>
    <t xml:space="preserve">Column12423</t>
  </si>
  <si>
    <t xml:space="preserve">Column12424</t>
  </si>
  <si>
    <t xml:space="preserve">Column12425</t>
  </si>
  <si>
    <t xml:space="preserve">Column12426</t>
  </si>
  <si>
    <t xml:space="preserve">Column12427</t>
  </si>
  <si>
    <t xml:space="preserve">Column12428</t>
  </si>
  <si>
    <t xml:space="preserve">Column12429</t>
  </si>
  <si>
    <t xml:space="preserve">Column12430</t>
  </si>
  <si>
    <t xml:space="preserve">Column12431</t>
  </si>
  <si>
    <t xml:space="preserve">Column12432</t>
  </si>
  <si>
    <t xml:space="preserve">Column12433</t>
  </si>
  <si>
    <t xml:space="preserve">Column12434</t>
  </si>
  <si>
    <t xml:space="preserve">Column12435</t>
  </si>
  <si>
    <t xml:space="preserve">Column12436</t>
  </si>
  <si>
    <t xml:space="preserve">Column12437</t>
  </si>
  <si>
    <t xml:space="preserve">Column12438</t>
  </si>
  <si>
    <t xml:space="preserve">Column12439</t>
  </si>
  <si>
    <t xml:space="preserve">Column12440</t>
  </si>
  <si>
    <t xml:space="preserve">Column12441</t>
  </si>
  <si>
    <t xml:space="preserve">Column12442</t>
  </si>
  <si>
    <t xml:space="preserve">Column12443</t>
  </si>
  <si>
    <t xml:space="preserve">Column12444</t>
  </si>
  <si>
    <t xml:space="preserve">Column12445</t>
  </si>
  <si>
    <t xml:space="preserve">Column12446</t>
  </si>
  <si>
    <t xml:space="preserve">Column12447</t>
  </si>
  <si>
    <t xml:space="preserve">Column12448</t>
  </si>
  <si>
    <t xml:space="preserve">Column12449</t>
  </si>
  <si>
    <t xml:space="preserve">Column12450</t>
  </si>
  <si>
    <t xml:space="preserve">Column12451</t>
  </si>
  <si>
    <t xml:space="preserve">Column12452</t>
  </si>
  <si>
    <t xml:space="preserve">Column12453</t>
  </si>
  <si>
    <t xml:space="preserve">Column12454</t>
  </si>
  <si>
    <t xml:space="preserve">Column12455</t>
  </si>
  <si>
    <t xml:space="preserve">Column12456</t>
  </si>
  <si>
    <t xml:space="preserve">Column12457</t>
  </si>
  <si>
    <t xml:space="preserve">Column12458</t>
  </si>
  <si>
    <t xml:space="preserve">Column12459</t>
  </si>
  <si>
    <t xml:space="preserve">Column12460</t>
  </si>
  <si>
    <t xml:space="preserve">Column12461</t>
  </si>
  <si>
    <t xml:space="preserve">Column12462</t>
  </si>
  <si>
    <t xml:space="preserve">Column12463</t>
  </si>
  <si>
    <t xml:space="preserve">Column12464</t>
  </si>
  <si>
    <t xml:space="preserve">Column12465</t>
  </si>
  <si>
    <t xml:space="preserve">Column12466</t>
  </si>
  <si>
    <t xml:space="preserve">Column12467</t>
  </si>
  <si>
    <t xml:space="preserve">Column12468</t>
  </si>
  <si>
    <t xml:space="preserve">Column12469</t>
  </si>
  <si>
    <t xml:space="preserve">Column12470</t>
  </si>
  <si>
    <t xml:space="preserve">Column12471</t>
  </si>
  <si>
    <t xml:space="preserve">Column12472</t>
  </si>
  <si>
    <t xml:space="preserve">Column12473</t>
  </si>
  <si>
    <t xml:space="preserve">Column12474</t>
  </si>
  <si>
    <t xml:space="preserve">Column12475</t>
  </si>
  <si>
    <t xml:space="preserve">Column12476</t>
  </si>
  <si>
    <t xml:space="preserve">Column12477</t>
  </si>
  <si>
    <t xml:space="preserve">Column12478</t>
  </si>
  <si>
    <t xml:space="preserve">Column12479</t>
  </si>
  <si>
    <t xml:space="preserve">Column12480</t>
  </si>
  <si>
    <t xml:space="preserve">Column12481</t>
  </si>
  <si>
    <t xml:space="preserve">Column12482</t>
  </si>
  <si>
    <t xml:space="preserve">Column12483</t>
  </si>
  <si>
    <t xml:space="preserve">Column12484</t>
  </si>
  <si>
    <t xml:space="preserve">Column12485</t>
  </si>
  <si>
    <t xml:space="preserve">Column12486</t>
  </si>
  <si>
    <t xml:space="preserve">Column12487</t>
  </si>
  <si>
    <t xml:space="preserve">Column12488</t>
  </si>
  <si>
    <t xml:space="preserve">Column12489</t>
  </si>
  <si>
    <t xml:space="preserve">Column12490</t>
  </si>
  <si>
    <t xml:space="preserve">Column12491</t>
  </si>
  <si>
    <t xml:space="preserve">Column12492</t>
  </si>
  <si>
    <t xml:space="preserve">Column12493</t>
  </si>
  <si>
    <t xml:space="preserve">Column12494</t>
  </si>
  <si>
    <t xml:space="preserve">Column12495</t>
  </si>
  <si>
    <t xml:space="preserve">Column12496</t>
  </si>
  <si>
    <t xml:space="preserve">Column12497</t>
  </si>
  <si>
    <t xml:space="preserve">Column12498</t>
  </si>
  <si>
    <t xml:space="preserve">Column12499</t>
  </si>
  <si>
    <t xml:space="preserve">Column12500</t>
  </si>
  <si>
    <t xml:space="preserve">Column12501</t>
  </si>
  <si>
    <t xml:space="preserve">Column12502</t>
  </si>
  <si>
    <t xml:space="preserve">Column12503</t>
  </si>
  <si>
    <t xml:space="preserve">Column12504</t>
  </si>
  <si>
    <t xml:space="preserve">Column12505</t>
  </si>
  <si>
    <t xml:space="preserve">Column12506</t>
  </si>
  <si>
    <t xml:space="preserve">Column12507</t>
  </si>
  <si>
    <t xml:space="preserve">Column12508</t>
  </si>
  <si>
    <t xml:space="preserve">Column12509</t>
  </si>
  <si>
    <t xml:space="preserve">Column12510</t>
  </si>
  <si>
    <t xml:space="preserve">Column12511</t>
  </si>
  <si>
    <t xml:space="preserve">Column12512</t>
  </si>
  <si>
    <t xml:space="preserve">Column12513</t>
  </si>
  <si>
    <t xml:space="preserve">Column12514</t>
  </si>
  <si>
    <t xml:space="preserve">Column12515</t>
  </si>
  <si>
    <t xml:space="preserve">Column12516</t>
  </si>
  <si>
    <t xml:space="preserve">Column12517</t>
  </si>
  <si>
    <t xml:space="preserve">Column12518</t>
  </si>
  <si>
    <t xml:space="preserve">Column12519</t>
  </si>
  <si>
    <t xml:space="preserve">Column12520</t>
  </si>
  <si>
    <t xml:space="preserve">Column12521</t>
  </si>
  <si>
    <t xml:space="preserve">Column12522</t>
  </si>
  <si>
    <t xml:space="preserve">Column12523</t>
  </si>
  <si>
    <t xml:space="preserve">Column12524</t>
  </si>
  <si>
    <t xml:space="preserve">Column12525</t>
  </si>
  <si>
    <t xml:space="preserve">Column12526</t>
  </si>
  <si>
    <t xml:space="preserve">Column12527</t>
  </si>
  <si>
    <t xml:space="preserve">Column12528</t>
  </si>
  <si>
    <t xml:space="preserve">Column12529</t>
  </si>
  <si>
    <t xml:space="preserve">Column12530</t>
  </si>
  <si>
    <t xml:space="preserve">Column12531</t>
  </si>
  <si>
    <t xml:space="preserve">Column12532</t>
  </si>
  <si>
    <t xml:space="preserve">Column12533</t>
  </si>
  <si>
    <t xml:space="preserve">Column12534</t>
  </si>
  <si>
    <t xml:space="preserve">Column12535</t>
  </si>
  <si>
    <t xml:space="preserve">Column12536</t>
  </si>
  <si>
    <t xml:space="preserve">Column12537</t>
  </si>
  <si>
    <t xml:space="preserve">Column12538</t>
  </si>
  <si>
    <t xml:space="preserve">Column12539</t>
  </si>
  <si>
    <t xml:space="preserve">Column12540</t>
  </si>
  <si>
    <t xml:space="preserve">Column12541</t>
  </si>
  <si>
    <t xml:space="preserve">Column12542</t>
  </si>
  <si>
    <t xml:space="preserve">Column12543</t>
  </si>
  <si>
    <t xml:space="preserve">Column12544</t>
  </si>
  <si>
    <t xml:space="preserve">Column12545</t>
  </si>
  <si>
    <t xml:space="preserve">Column12546</t>
  </si>
  <si>
    <t xml:space="preserve">Column12547</t>
  </si>
  <si>
    <t xml:space="preserve">Column12548</t>
  </si>
  <si>
    <t xml:space="preserve">Column12549</t>
  </si>
  <si>
    <t xml:space="preserve">Column12550</t>
  </si>
  <si>
    <t xml:space="preserve">Column12551</t>
  </si>
  <si>
    <t xml:space="preserve">Column12552</t>
  </si>
  <si>
    <t xml:space="preserve">Column12553</t>
  </si>
  <si>
    <t xml:space="preserve">Column12554</t>
  </si>
  <si>
    <t xml:space="preserve">Column12555</t>
  </si>
  <si>
    <t xml:space="preserve">Column12556</t>
  </si>
  <si>
    <t xml:space="preserve">Column12557</t>
  </si>
  <si>
    <t xml:space="preserve">Column12558</t>
  </si>
  <si>
    <t xml:space="preserve">Column12559</t>
  </si>
  <si>
    <t xml:space="preserve">Column12560</t>
  </si>
  <si>
    <t xml:space="preserve">Column12561</t>
  </si>
  <si>
    <t xml:space="preserve">Column12562</t>
  </si>
  <si>
    <t xml:space="preserve">Column12563</t>
  </si>
  <si>
    <t xml:space="preserve">Column12564</t>
  </si>
  <si>
    <t xml:space="preserve">Column12565</t>
  </si>
  <si>
    <t xml:space="preserve">Column12566</t>
  </si>
  <si>
    <t xml:space="preserve">Column12567</t>
  </si>
  <si>
    <t xml:space="preserve">Column12568</t>
  </si>
  <si>
    <t xml:space="preserve">Column12569</t>
  </si>
  <si>
    <t xml:space="preserve">Column12570</t>
  </si>
  <si>
    <t xml:space="preserve">Column12571</t>
  </si>
  <si>
    <t xml:space="preserve">Column12572</t>
  </si>
  <si>
    <t xml:space="preserve">Column12573</t>
  </si>
  <si>
    <t xml:space="preserve">Column12574</t>
  </si>
  <si>
    <t xml:space="preserve">Column12575</t>
  </si>
  <si>
    <t xml:space="preserve">Column12576</t>
  </si>
  <si>
    <t xml:space="preserve">Column12577</t>
  </si>
  <si>
    <t xml:space="preserve">Column12578</t>
  </si>
  <si>
    <t xml:space="preserve">Column12579</t>
  </si>
  <si>
    <t xml:space="preserve">Column12580</t>
  </si>
  <si>
    <t xml:space="preserve">Column12581</t>
  </si>
  <si>
    <t xml:space="preserve">Column12582</t>
  </si>
  <si>
    <t xml:space="preserve">Column12583</t>
  </si>
  <si>
    <t xml:space="preserve">Column12584</t>
  </si>
  <si>
    <t xml:space="preserve">Column12585</t>
  </si>
  <si>
    <t xml:space="preserve">Column12586</t>
  </si>
  <si>
    <t xml:space="preserve">Column12587</t>
  </si>
  <si>
    <t xml:space="preserve">Column12588</t>
  </si>
  <si>
    <t xml:space="preserve">Column12589</t>
  </si>
  <si>
    <t xml:space="preserve">Column12590</t>
  </si>
  <si>
    <t xml:space="preserve">Column12591</t>
  </si>
  <si>
    <t xml:space="preserve">Column12592</t>
  </si>
  <si>
    <t xml:space="preserve">Column12593</t>
  </si>
  <si>
    <t xml:space="preserve">Column12594</t>
  </si>
  <si>
    <t xml:space="preserve">Column12595</t>
  </si>
  <si>
    <t xml:space="preserve">Column12596</t>
  </si>
  <si>
    <t xml:space="preserve">Column12597</t>
  </si>
  <si>
    <t xml:space="preserve">Column12598</t>
  </si>
  <si>
    <t xml:space="preserve">Column12599</t>
  </si>
  <si>
    <t xml:space="preserve">Column12600</t>
  </si>
  <si>
    <t xml:space="preserve">Column12601</t>
  </si>
  <si>
    <t xml:space="preserve">Column12602</t>
  </si>
  <si>
    <t xml:space="preserve">Column12603</t>
  </si>
  <si>
    <t xml:space="preserve">Column12604</t>
  </si>
  <si>
    <t xml:space="preserve">Column12605</t>
  </si>
  <si>
    <t xml:space="preserve">Column12606</t>
  </si>
  <si>
    <t xml:space="preserve">Column12607</t>
  </si>
  <si>
    <t xml:space="preserve">Column12608</t>
  </si>
  <si>
    <t xml:space="preserve">Column12609</t>
  </si>
  <si>
    <t xml:space="preserve">Column12610</t>
  </si>
  <si>
    <t xml:space="preserve">Column12611</t>
  </si>
  <si>
    <t xml:space="preserve">Column12612</t>
  </si>
  <si>
    <t xml:space="preserve">Column12613</t>
  </si>
  <si>
    <t xml:space="preserve">Column12614</t>
  </si>
  <si>
    <t xml:space="preserve">Column12615</t>
  </si>
  <si>
    <t xml:space="preserve">Column12616</t>
  </si>
  <si>
    <t xml:space="preserve">Column12617</t>
  </si>
  <si>
    <t xml:space="preserve">Column12618</t>
  </si>
  <si>
    <t xml:space="preserve">Column12619</t>
  </si>
  <si>
    <t xml:space="preserve">Column12620</t>
  </si>
  <si>
    <t xml:space="preserve">Column12621</t>
  </si>
  <si>
    <t xml:space="preserve">Column12622</t>
  </si>
  <si>
    <t xml:space="preserve">Column12623</t>
  </si>
  <si>
    <t xml:space="preserve">Column12624</t>
  </si>
  <si>
    <t xml:space="preserve">Column12625</t>
  </si>
  <si>
    <t xml:space="preserve">Column12626</t>
  </si>
  <si>
    <t xml:space="preserve">Column12627</t>
  </si>
  <si>
    <t xml:space="preserve">Column12628</t>
  </si>
  <si>
    <t xml:space="preserve">Column12629</t>
  </si>
  <si>
    <t xml:space="preserve">Column12630</t>
  </si>
  <si>
    <t xml:space="preserve">Column12631</t>
  </si>
  <si>
    <t xml:space="preserve">Column12632</t>
  </si>
  <si>
    <t xml:space="preserve">Column12633</t>
  </si>
  <si>
    <t xml:space="preserve">Column12634</t>
  </si>
  <si>
    <t xml:space="preserve">Column12635</t>
  </si>
  <si>
    <t xml:space="preserve">Column12636</t>
  </si>
  <si>
    <t xml:space="preserve">Column12637</t>
  </si>
  <si>
    <t xml:space="preserve">Column12638</t>
  </si>
  <si>
    <t xml:space="preserve">Column12639</t>
  </si>
  <si>
    <t xml:space="preserve">Column12640</t>
  </si>
  <si>
    <t xml:space="preserve">Column12641</t>
  </si>
  <si>
    <t xml:space="preserve">Column12642</t>
  </si>
  <si>
    <t xml:space="preserve">Column12643</t>
  </si>
  <si>
    <t xml:space="preserve">Column12644</t>
  </si>
  <si>
    <t xml:space="preserve">Column12645</t>
  </si>
  <si>
    <t xml:space="preserve">Column12646</t>
  </si>
  <si>
    <t xml:space="preserve">Column12647</t>
  </si>
  <si>
    <t xml:space="preserve">Column12648</t>
  </si>
  <si>
    <t xml:space="preserve">Column12649</t>
  </si>
  <si>
    <t xml:space="preserve">Column12650</t>
  </si>
  <si>
    <t xml:space="preserve">Column12651</t>
  </si>
  <si>
    <t xml:space="preserve">Column12652</t>
  </si>
  <si>
    <t xml:space="preserve">Column12653</t>
  </si>
  <si>
    <t xml:space="preserve">Column12654</t>
  </si>
  <si>
    <t xml:space="preserve">Column12655</t>
  </si>
  <si>
    <t xml:space="preserve">Column12656</t>
  </si>
  <si>
    <t xml:space="preserve">Column12657</t>
  </si>
  <si>
    <t xml:space="preserve">Column12658</t>
  </si>
  <si>
    <t xml:space="preserve">Column12659</t>
  </si>
  <si>
    <t xml:space="preserve">Column12660</t>
  </si>
  <si>
    <t xml:space="preserve">Column12661</t>
  </si>
  <si>
    <t xml:space="preserve">Column12662</t>
  </si>
  <si>
    <t xml:space="preserve">Column12663</t>
  </si>
  <si>
    <t xml:space="preserve">Column12664</t>
  </si>
  <si>
    <t xml:space="preserve">Column12665</t>
  </si>
  <si>
    <t xml:space="preserve">Column12666</t>
  </si>
  <si>
    <t xml:space="preserve">Column12667</t>
  </si>
  <si>
    <t xml:space="preserve">Column12668</t>
  </si>
  <si>
    <t xml:space="preserve">Column12669</t>
  </si>
  <si>
    <t xml:space="preserve">Column12670</t>
  </si>
  <si>
    <t xml:space="preserve">Column12671</t>
  </si>
  <si>
    <t xml:space="preserve">Column12672</t>
  </si>
  <si>
    <t xml:space="preserve">Column12673</t>
  </si>
  <si>
    <t xml:space="preserve">Column12674</t>
  </si>
  <si>
    <t xml:space="preserve">Column12675</t>
  </si>
  <si>
    <t xml:space="preserve">Column12676</t>
  </si>
  <si>
    <t xml:space="preserve">Column12677</t>
  </si>
  <si>
    <t xml:space="preserve">Column12678</t>
  </si>
  <si>
    <t xml:space="preserve">Column12679</t>
  </si>
  <si>
    <t xml:space="preserve">Column12680</t>
  </si>
  <si>
    <t xml:space="preserve">Column12681</t>
  </si>
  <si>
    <t xml:space="preserve">Column12682</t>
  </si>
  <si>
    <t xml:space="preserve">Column12683</t>
  </si>
  <si>
    <t xml:space="preserve">Column12684</t>
  </si>
  <si>
    <t xml:space="preserve">Column12685</t>
  </si>
  <si>
    <t xml:space="preserve">Column12686</t>
  </si>
  <si>
    <t xml:space="preserve">Column12687</t>
  </si>
  <si>
    <t xml:space="preserve">Column12688</t>
  </si>
  <si>
    <t xml:space="preserve">Column12689</t>
  </si>
  <si>
    <t xml:space="preserve">Column12690</t>
  </si>
  <si>
    <t xml:space="preserve">Column12691</t>
  </si>
  <si>
    <t xml:space="preserve">Column12692</t>
  </si>
  <si>
    <t xml:space="preserve">Column12693</t>
  </si>
  <si>
    <t xml:space="preserve">Column12694</t>
  </si>
  <si>
    <t xml:space="preserve">Column12695</t>
  </si>
  <si>
    <t xml:space="preserve">Column12696</t>
  </si>
  <si>
    <t xml:space="preserve">Column12697</t>
  </si>
  <si>
    <t xml:space="preserve">Column12698</t>
  </si>
  <si>
    <t xml:space="preserve">Column12699</t>
  </si>
  <si>
    <t xml:space="preserve">Column12700</t>
  </si>
  <si>
    <t xml:space="preserve">Column12701</t>
  </si>
  <si>
    <t xml:space="preserve">Column12702</t>
  </si>
  <si>
    <t xml:space="preserve">Column12703</t>
  </si>
  <si>
    <t xml:space="preserve">Column12704</t>
  </si>
  <si>
    <t xml:space="preserve">Column12705</t>
  </si>
  <si>
    <t xml:space="preserve">Column12706</t>
  </si>
  <si>
    <t xml:space="preserve">Column12707</t>
  </si>
  <si>
    <t xml:space="preserve">Column12708</t>
  </si>
  <si>
    <t xml:space="preserve">Column12709</t>
  </si>
  <si>
    <t xml:space="preserve">Column12710</t>
  </si>
  <si>
    <t xml:space="preserve">Column12711</t>
  </si>
  <si>
    <t xml:space="preserve">Column12712</t>
  </si>
  <si>
    <t xml:space="preserve">Column12713</t>
  </si>
  <si>
    <t xml:space="preserve">Column12714</t>
  </si>
  <si>
    <t xml:space="preserve">Column12715</t>
  </si>
  <si>
    <t xml:space="preserve">Column12716</t>
  </si>
  <si>
    <t xml:space="preserve">Column12717</t>
  </si>
  <si>
    <t xml:space="preserve">Column12718</t>
  </si>
  <si>
    <t xml:space="preserve">Column12719</t>
  </si>
  <si>
    <t xml:space="preserve">Column12720</t>
  </si>
  <si>
    <t xml:space="preserve">Column12721</t>
  </si>
  <si>
    <t xml:space="preserve">Column12722</t>
  </si>
  <si>
    <t xml:space="preserve">Column12723</t>
  </si>
  <si>
    <t xml:space="preserve">Column12724</t>
  </si>
  <si>
    <t xml:space="preserve">Column12725</t>
  </si>
  <si>
    <t xml:space="preserve">Column12726</t>
  </si>
  <si>
    <t xml:space="preserve">Column12727</t>
  </si>
  <si>
    <t xml:space="preserve">Column12728</t>
  </si>
  <si>
    <t xml:space="preserve">Column12729</t>
  </si>
  <si>
    <t xml:space="preserve">Column12730</t>
  </si>
  <si>
    <t xml:space="preserve">Column12731</t>
  </si>
  <si>
    <t xml:space="preserve">Column12732</t>
  </si>
  <si>
    <t xml:space="preserve">Column12733</t>
  </si>
  <si>
    <t xml:space="preserve">Column12734</t>
  </si>
  <si>
    <t xml:space="preserve">Column12735</t>
  </si>
  <si>
    <t xml:space="preserve">Column12736</t>
  </si>
  <si>
    <t xml:space="preserve">Column12737</t>
  </si>
  <si>
    <t xml:space="preserve">Column12738</t>
  </si>
  <si>
    <t xml:space="preserve">Column12739</t>
  </si>
  <si>
    <t xml:space="preserve">Column12740</t>
  </si>
  <si>
    <t xml:space="preserve">Column12741</t>
  </si>
  <si>
    <t xml:space="preserve">Column12742</t>
  </si>
  <si>
    <t xml:space="preserve">Column12743</t>
  </si>
  <si>
    <t xml:space="preserve">Column12744</t>
  </si>
  <si>
    <t xml:space="preserve">Column12745</t>
  </si>
  <si>
    <t xml:space="preserve">Column12746</t>
  </si>
  <si>
    <t xml:space="preserve">Column12747</t>
  </si>
  <si>
    <t xml:space="preserve">Column12748</t>
  </si>
  <si>
    <t xml:space="preserve">Column12749</t>
  </si>
  <si>
    <t xml:space="preserve">Column12750</t>
  </si>
  <si>
    <t xml:space="preserve">Column12751</t>
  </si>
  <si>
    <t xml:space="preserve">Column12752</t>
  </si>
  <si>
    <t xml:space="preserve">Column12753</t>
  </si>
  <si>
    <t xml:space="preserve">Column12754</t>
  </si>
  <si>
    <t xml:space="preserve">Column12755</t>
  </si>
  <si>
    <t xml:space="preserve">Column12756</t>
  </si>
  <si>
    <t xml:space="preserve">Column12757</t>
  </si>
  <si>
    <t xml:space="preserve">Column12758</t>
  </si>
  <si>
    <t xml:space="preserve">Column12759</t>
  </si>
  <si>
    <t xml:space="preserve">Column12760</t>
  </si>
  <si>
    <t xml:space="preserve">Column12761</t>
  </si>
  <si>
    <t xml:space="preserve">Column12762</t>
  </si>
  <si>
    <t xml:space="preserve">Column12763</t>
  </si>
  <si>
    <t xml:space="preserve">Column12764</t>
  </si>
  <si>
    <t xml:space="preserve">Column12765</t>
  </si>
  <si>
    <t xml:space="preserve">Column12766</t>
  </si>
  <si>
    <t xml:space="preserve">Column12767</t>
  </si>
  <si>
    <t xml:space="preserve">Column12768</t>
  </si>
  <si>
    <t xml:space="preserve">Column12769</t>
  </si>
  <si>
    <t xml:space="preserve">Column12770</t>
  </si>
  <si>
    <t xml:space="preserve">Column12771</t>
  </si>
  <si>
    <t xml:space="preserve">Column12772</t>
  </si>
  <si>
    <t xml:space="preserve">Column12773</t>
  </si>
  <si>
    <t xml:space="preserve">Column12774</t>
  </si>
  <si>
    <t xml:space="preserve">Column12775</t>
  </si>
  <si>
    <t xml:space="preserve">Column12776</t>
  </si>
  <si>
    <t xml:space="preserve">Column12777</t>
  </si>
  <si>
    <t xml:space="preserve">Column12778</t>
  </si>
  <si>
    <t xml:space="preserve">Column12779</t>
  </si>
  <si>
    <t xml:space="preserve">Column12780</t>
  </si>
  <si>
    <t xml:space="preserve">Column12781</t>
  </si>
  <si>
    <t xml:space="preserve">Column12782</t>
  </si>
  <si>
    <t xml:space="preserve">Column12783</t>
  </si>
  <si>
    <t xml:space="preserve">Column12784</t>
  </si>
  <si>
    <t xml:space="preserve">Column12785</t>
  </si>
  <si>
    <t xml:space="preserve">Column12786</t>
  </si>
  <si>
    <t xml:space="preserve">Column12787</t>
  </si>
  <si>
    <t xml:space="preserve">Column12788</t>
  </si>
  <si>
    <t xml:space="preserve">Column12789</t>
  </si>
  <si>
    <t xml:space="preserve">Column12790</t>
  </si>
  <si>
    <t xml:space="preserve">Column12791</t>
  </si>
  <si>
    <t xml:space="preserve">Column12792</t>
  </si>
  <si>
    <t xml:space="preserve">Column12793</t>
  </si>
  <si>
    <t xml:space="preserve">Column12794</t>
  </si>
  <si>
    <t xml:space="preserve">Column12795</t>
  </si>
  <si>
    <t xml:space="preserve">Column12796</t>
  </si>
  <si>
    <t xml:space="preserve">Column12797</t>
  </si>
  <si>
    <t xml:space="preserve">Column12798</t>
  </si>
  <si>
    <t xml:space="preserve">Column12799</t>
  </si>
  <si>
    <t xml:space="preserve">Column12800</t>
  </si>
  <si>
    <t xml:space="preserve">Column12801</t>
  </si>
  <si>
    <t xml:space="preserve">Column12802</t>
  </si>
  <si>
    <t xml:space="preserve">Column12803</t>
  </si>
  <si>
    <t xml:space="preserve">Column12804</t>
  </si>
  <si>
    <t xml:space="preserve">Column12805</t>
  </si>
  <si>
    <t xml:space="preserve">Column12806</t>
  </si>
  <si>
    <t xml:space="preserve">Column12807</t>
  </si>
  <si>
    <t xml:space="preserve">Column12808</t>
  </si>
  <si>
    <t xml:space="preserve">Column12809</t>
  </si>
  <si>
    <t xml:space="preserve">Column12810</t>
  </si>
  <si>
    <t xml:space="preserve">Column12811</t>
  </si>
  <si>
    <t xml:space="preserve">Column12812</t>
  </si>
  <si>
    <t xml:space="preserve">Column12813</t>
  </si>
  <si>
    <t xml:space="preserve">Column12814</t>
  </si>
  <si>
    <t xml:space="preserve">Column12815</t>
  </si>
  <si>
    <t xml:space="preserve">Column12816</t>
  </si>
  <si>
    <t xml:space="preserve">Column12817</t>
  </si>
  <si>
    <t xml:space="preserve">Column12818</t>
  </si>
  <si>
    <t xml:space="preserve">Column12819</t>
  </si>
  <si>
    <t xml:space="preserve">Column12820</t>
  </si>
  <si>
    <t xml:space="preserve">Column12821</t>
  </si>
  <si>
    <t xml:space="preserve">Column12822</t>
  </si>
  <si>
    <t xml:space="preserve">Column12823</t>
  </si>
  <si>
    <t xml:space="preserve">Column12824</t>
  </si>
  <si>
    <t xml:space="preserve">Column12825</t>
  </si>
  <si>
    <t xml:space="preserve">Column12826</t>
  </si>
  <si>
    <t xml:space="preserve">Column12827</t>
  </si>
  <si>
    <t xml:space="preserve">Column12828</t>
  </si>
  <si>
    <t xml:space="preserve">Column12829</t>
  </si>
  <si>
    <t xml:space="preserve">Column12830</t>
  </si>
  <si>
    <t xml:space="preserve">Column12831</t>
  </si>
  <si>
    <t xml:space="preserve">Column12832</t>
  </si>
  <si>
    <t xml:space="preserve">Column12833</t>
  </si>
  <si>
    <t xml:space="preserve">Column12834</t>
  </si>
  <si>
    <t xml:space="preserve">Column12835</t>
  </si>
  <si>
    <t xml:space="preserve">Column12836</t>
  </si>
  <si>
    <t xml:space="preserve">Column12837</t>
  </si>
  <si>
    <t xml:space="preserve">Column12838</t>
  </si>
  <si>
    <t xml:space="preserve">Column12839</t>
  </si>
  <si>
    <t xml:space="preserve">Column12840</t>
  </si>
  <si>
    <t xml:space="preserve">Column12841</t>
  </si>
  <si>
    <t xml:space="preserve">Column12842</t>
  </si>
  <si>
    <t xml:space="preserve">Column12843</t>
  </si>
  <si>
    <t xml:space="preserve">Column12844</t>
  </si>
  <si>
    <t xml:space="preserve">Column12845</t>
  </si>
  <si>
    <t xml:space="preserve">Column12846</t>
  </si>
  <si>
    <t xml:space="preserve">Column12847</t>
  </si>
  <si>
    <t xml:space="preserve">Column12848</t>
  </si>
  <si>
    <t xml:space="preserve">Column12849</t>
  </si>
  <si>
    <t xml:space="preserve">Column12850</t>
  </si>
  <si>
    <t xml:space="preserve">Column12851</t>
  </si>
  <si>
    <t xml:space="preserve">Column12852</t>
  </si>
  <si>
    <t xml:space="preserve">Column12853</t>
  </si>
  <si>
    <t xml:space="preserve">Column12854</t>
  </si>
  <si>
    <t xml:space="preserve">Column12855</t>
  </si>
  <si>
    <t xml:space="preserve">Column12856</t>
  </si>
  <si>
    <t xml:space="preserve">Column12857</t>
  </si>
  <si>
    <t xml:space="preserve">Column12858</t>
  </si>
  <si>
    <t xml:space="preserve">Column12859</t>
  </si>
  <si>
    <t xml:space="preserve">Column12860</t>
  </si>
  <si>
    <t xml:space="preserve">Column12861</t>
  </si>
  <si>
    <t xml:space="preserve">Column12862</t>
  </si>
  <si>
    <t xml:space="preserve">Column12863</t>
  </si>
  <si>
    <t xml:space="preserve">Column12864</t>
  </si>
  <si>
    <t xml:space="preserve">Column12865</t>
  </si>
  <si>
    <t xml:space="preserve">Column12866</t>
  </si>
  <si>
    <t xml:space="preserve">Column12867</t>
  </si>
  <si>
    <t xml:space="preserve">Column12868</t>
  </si>
  <si>
    <t xml:space="preserve">Column12869</t>
  </si>
  <si>
    <t xml:space="preserve">Column12870</t>
  </si>
  <si>
    <t xml:space="preserve">Column12871</t>
  </si>
  <si>
    <t xml:space="preserve">Column12872</t>
  </si>
  <si>
    <t xml:space="preserve">Column12873</t>
  </si>
  <si>
    <t xml:space="preserve">Column12874</t>
  </si>
  <si>
    <t xml:space="preserve">Column12875</t>
  </si>
  <si>
    <t xml:space="preserve">Column12876</t>
  </si>
  <si>
    <t xml:space="preserve">Column12877</t>
  </si>
  <si>
    <t xml:space="preserve">Column12878</t>
  </si>
  <si>
    <t xml:space="preserve">Column12879</t>
  </si>
  <si>
    <t xml:space="preserve">Column12880</t>
  </si>
  <si>
    <t xml:space="preserve">Column12881</t>
  </si>
  <si>
    <t xml:space="preserve">Column12882</t>
  </si>
  <si>
    <t xml:space="preserve">Column12883</t>
  </si>
  <si>
    <t xml:space="preserve">Column12884</t>
  </si>
  <si>
    <t xml:space="preserve">Column12885</t>
  </si>
  <si>
    <t xml:space="preserve">Column12886</t>
  </si>
  <si>
    <t xml:space="preserve">Column12887</t>
  </si>
  <si>
    <t xml:space="preserve">Column12888</t>
  </si>
  <si>
    <t xml:space="preserve">Column12889</t>
  </si>
  <si>
    <t xml:space="preserve">Column12890</t>
  </si>
  <si>
    <t xml:space="preserve">Column12891</t>
  </si>
  <si>
    <t xml:space="preserve">Column12892</t>
  </si>
  <si>
    <t xml:space="preserve">Column12893</t>
  </si>
  <si>
    <t xml:space="preserve">Column12894</t>
  </si>
  <si>
    <t xml:space="preserve">Column12895</t>
  </si>
  <si>
    <t xml:space="preserve">Column12896</t>
  </si>
  <si>
    <t xml:space="preserve">Column12897</t>
  </si>
  <si>
    <t xml:space="preserve">Column12898</t>
  </si>
  <si>
    <t xml:space="preserve">Column12899</t>
  </si>
  <si>
    <t xml:space="preserve">Column12900</t>
  </si>
  <si>
    <t xml:space="preserve">Column12901</t>
  </si>
  <si>
    <t xml:space="preserve">Column12902</t>
  </si>
  <si>
    <t xml:space="preserve">Column12903</t>
  </si>
  <si>
    <t xml:space="preserve">Column12904</t>
  </si>
  <si>
    <t xml:space="preserve">Column12905</t>
  </si>
  <si>
    <t xml:space="preserve">Column12906</t>
  </si>
  <si>
    <t xml:space="preserve">Column12907</t>
  </si>
  <si>
    <t xml:space="preserve">Column12908</t>
  </si>
  <si>
    <t xml:space="preserve">Column12909</t>
  </si>
  <si>
    <t xml:space="preserve">Column12910</t>
  </si>
  <si>
    <t xml:space="preserve">Column12911</t>
  </si>
  <si>
    <t xml:space="preserve">Column12912</t>
  </si>
  <si>
    <t xml:space="preserve">Column12913</t>
  </si>
  <si>
    <t xml:space="preserve">Column12914</t>
  </si>
  <si>
    <t xml:space="preserve">Column12915</t>
  </si>
  <si>
    <t xml:space="preserve">Column12916</t>
  </si>
  <si>
    <t xml:space="preserve">Column12917</t>
  </si>
  <si>
    <t xml:space="preserve">Column12918</t>
  </si>
  <si>
    <t xml:space="preserve">Column12919</t>
  </si>
  <si>
    <t xml:space="preserve">Column12920</t>
  </si>
  <si>
    <t xml:space="preserve">Column12921</t>
  </si>
  <si>
    <t xml:space="preserve">Column12922</t>
  </si>
  <si>
    <t xml:space="preserve">Column12923</t>
  </si>
  <si>
    <t xml:space="preserve">Column12924</t>
  </si>
  <si>
    <t xml:space="preserve">Column12925</t>
  </si>
  <si>
    <t xml:space="preserve">Column12926</t>
  </si>
  <si>
    <t xml:space="preserve">Column12927</t>
  </si>
  <si>
    <t xml:space="preserve">Column12928</t>
  </si>
  <si>
    <t xml:space="preserve">Column12929</t>
  </si>
  <si>
    <t xml:space="preserve">Column12930</t>
  </si>
  <si>
    <t xml:space="preserve">Column12931</t>
  </si>
  <si>
    <t xml:space="preserve">Column12932</t>
  </si>
  <si>
    <t xml:space="preserve">Column12933</t>
  </si>
  <si>
    <t xml:space="preserve">Column12934</t>
  </si>
  <si>
    <t xml:space="preserve">Column12935</t>
  </si>
  <si>
    <t xml:space="preserve">Column12936</t>
  </si>
  <si>
    <t xml:space="preserve">Column12937</t>
  </si>
  <si>
    <t xml:space="preserve">Column12938</t>
  </si>
  <si>
    <t xml:space="preserve">Column12939</t>
  </si>
  <si>
    <t xml:space="preserve">Column12940</t>
  </si>
  <si>
    <t xml:space="preserve">Column12941</t>
  </si>
  <si>
    <t xml:space="preserve">Column12942</t>
  </si>
  <si>
    <t xml:space="preserve">Column12943</t>
  </si>
  <si>
    <t xml:space="preserve">Column12944</t>
  </si>
  <si>
    <t xml:space="preserve">Column12945</t>
  </si>
  <si>
    <t xml:space="preserve">Column12946</t>
  </si>
  <si>
    <t xml:space="preserve">Column12947</t>
  </si>
  <si>
    <t xml:space="preserve">Column12948</t>
  </si>
  <si>
    <t xml:space="preserve">Column12949</t>
  </si>
  <si>
    <t xml:space="preserve">Column12950</t>
  </si>
  <si>
    <t xml:space="preserve">Column12951</t>
  </si>
  <si>
    <t xml:space="preserve">Column12952</t>
  </si>
  <si>
    <t xml:space="preserve">Column12953</t>
  </si>
  <si>
    <t xml:space="preserve">Column12954</t>
  </si>
  <si>
    <t xml:space="preserve">Column12955</t>
  </si>
  <si>
    <t xml:space="preserve">Column12956</t>
  </si>
  <si>
    <t xml:space="preserve">Column12957</t>
  </si>
  <si>
    <t xml:space="preserve">Column12958</t>
  </si>
  <si>
    <t xml:space="preserve">Column12959</t>
  </si>
  <si>
    <t xml:space="preserve">Column12960</t>
  </si>
  <si>
    <t xml:space="preserve">Column12961</t>
  </si>
  <si>
    <t xml:space="preserve">Column12962</t>
  </si>
  <si>
    <t xml:space="preserve">Column12963</t>
  </si>
  <si>
    <t xml:space="preserve">Column12964</t>
  </si>
  <si>
    <t xml:space="preserve">Column12965</t>
  </si>
  <si>
    <t xml:space="preserve">Column12966</t>
  </si>
  <si>
    <t xml:space="preserve">Column12967</t>
  </si>
  <si>
    <t xml:space="preserve">Column12968</t>
  </si>
  <si>
    <t xml:space="preserve">Column12969</t>
  </si>
  <si>
    <t xml:space="preserve">Column12970</t>
  </si>
  <si>
    <t xml:space="preserve">Column12971</t>
  </si>
  <si>
    <t xml:space="preserve">Column12972</t>
  </si>
  <si>
    <t xml:space="preserve">Column12973</t>
  </si>
  <si>
    <t xml:space="preserve">Column12974</t>
  </si>
  <si>
    <t xml:space="preserve">Column12975</t>
  </si>
  <si>
    <t xml:space="preserve">Column12976</t>
  </si>
  <si>
    <t xml:space="preserve">Column12977</t>
  </si>
  <si>
    <t xml:space="preserve">Column12978</t>
  </si>
  <si>
    <t xml:space="preserve">Column12979</t>
  </si>
  <si>
    <t xml:space="preserve">Column12980</t>
  </si>
  <si>
    <t xml:space="preserve">Column12981</t>
  </si>
  <si>
    <t xml:space="preserve">Column12982</t>
  </si>
  <si>
    <t xml:space="preserve">Column12983</t>
  </si>
  <si>
    <t xml:space="preserve">Column12984</t>
  </si>
  <si>
    <t xml:space="preserve">Column12985</t>
  </si>
  <si>
    <t xml:space="preserve">Column12986</t>
  </si>
  <si>
    <t xml:space="preserve">Column12987</t>
  </si>
  <si>
    <t xml:space="preserve">Column12988</t>
  </si>
  <si>
    <t xml:space="preserve">Column12989</t>
  </si>
  <si>
    <t xml:space="preserve">Column12990</t>
  </si>
  <si>
    <t xml:space="preserve">Column12991</t>
  </si>
  <si>
    <t xml:space="preserve">Column12992</t>
  </si>
  <si>
    <t xml:space="preserve">Column12993</t>
  </si>
  <si>
    <t xml:space="preserve">Column12994</t>
  </si>
  <si>
    <t xml:space="preserve">Column12995</t>
  </si>
  <si>
    <t xml:space="preserve">Column12996</t>
  </si>
  <si>
    <t xml:space="preserve">Column12997</t>
  </si>
  <si>
    <t xml:space="preserve">Column12998</t>
  </si>
  <si>
    <t xml:space="preserve">Column12999</t>
  </si>
  <si>
    <t xml:space="preserve">Column13000</t>
  </si>
  <si>
    <t xml:space="preserve">Column13001</t>
  </si>
  <si>
    <t xml:space="preserve">Column13002</t>
  </si>
  <si>
    <t xml:space="preserve">Column13003</t>
  </si>
  <si>
    <t xml:space="preserve">Column13004</t>
  </si>
  <si>
    <t xml:space="preserve">Column13005</t>
  </si>
  <si>
    <t xml:space="preserve">Column13006</t>
  </si>
  <si>
    <t xml:space="preserve">Column13007</t>
  </si>
  <si>
    <t xml:space="preserve">Column13008</t>
  </si>
  <si>
    <t xml:space="preserve">Column13009</t>
  </si>
  <si>
    <t xml:space="preserve">Column13010</t>
  </si>
  <si>
    <t xml:space="preserve">Column13011</t>
  </si>
  <si>
    <t xml:space="preserve">Column13012</t>
  </si>
  <si>
    <t xml:space="preserve">Column13013</t>
  </si>
  <si>
    <t xml:space="preserve">Column13014</t>
  </si>
  <si>
    <t xml:space="preserve">Column13015</t>
  </si>
  <si>
    <t xml:space="preserve">Column13016</t>
  </si>
  <si>
    <t xml:space="preserve">Column13017</t>
  </si>
  <si>
    <t xml:space="preserve">Column13018</t>
  </si>
  <si>
    <t xml:space="preserve">Column13019</t>
  </si>
  <si>
    <t xml:space="preserve">Column13020</t>
  </si>
  <si>
    <t xml:space="preserve">Column13021</t>
  </si>
  <si>
    <t xml:space="preserve">Column13022</t>
  </si>
  <si>
    <t xml:space="preserve">Column13023</t>
  </si>
  <si>
    <t xml:space="preserve">Column13024</t>
  </si>
  <si>
    <t xml:space="preserve">Column13025</t>
  </si>
  <si>
    <t xml:space="preserve">Column13026</t>
  </si>
  <si>
    <t xml:space="preserve">Column13027</t>
  </si>
  <si>
    <t xml:space="preserve">Column13028</t>
  </si>
  <si>
    <t xml:space="preserve">Column13029</t>
  </si>
  <si>
    <t xml:space="preserve">Column13030</t>
  </si>
  <si>
    <t xml:space="preserve">Column13031</t>
  </si>
  <si>
    <t xml:space="preserve">Column13032</t>
  </si>
  <si>
    <t xml:space="preserve">Column13033</t>
  </si>
  <si>
    <t xml:space="preserve">Column13034</t>
  </si>
  <si>
    <t xml:space="preserve">Column13035</t>
  </si>
  <si>
    <t xml:space="preserve">Column13036</t>
  </si>
  <si>
    <t xml:space="preserve">Column13037</t>
  </si>
  <si>
    <t xml:space="preserve">Column13038</t>
  </si>
  <si>
    <t xml:space="preserve">Column13039</t>
  </si>
  <si>
    <t xml:space="preserve">Column13040</t>
  </si>
  <si>
    <t xml:space="preserve">Column13041</t>
  </si>
  <si>
    <t xml:space="preserve">Column13042</t>
  </si>
  <si>
    <t xml:space="preserve">Column13043</t>
  </si>
  <si>
    <t xml:space="preserve">Column13044</t>
  </si>
  <si>
    <t xml:space="preserve">Column13045</t>
  </si>
  <si>
    <t xml:space="preserve">Column13046</t>
  </si>
  <si>
    <t xml:space="preserve">Column13047</t>
  </si>
  <si>
    <t xml:space="preserve">Column13048</t>
  </si>
  <si>
    <t xml:space="preserve">Column13049</t>
  </si>
  <si>
    <t xml:space="preserve">Column13050</t>
  </si>
  <si>
    <t xml:space="preserve">Column13051</t>
  </si>
  <si>
    <t xml:space="preserve">Column13052</t>
  </si>
  <si>
    <t xml:space="preserve">Column13053</t>
  </si>
  <si>
    <t xml:space="preserve">Column13054</t>
  </si>
  <si>
    <t xml:space="preserve">Column13055</t>
  </si>
  <si>
    <t xml:space="preserve">Column13056</t>
  </si>
  <si>
    <t xml:space="preserve">Column13057</t>
  </si>
  <si>
    <t xml:space="preserve">Column13058</t>
  </si>
  <si>
    <t xml:space="preserve">Column13059</t>
  </si>
  <si>
    <t xml:space="preserve">Column13060</t>
  </si>
  <si>
    <t xml:space="preserve">Column13061</t>
  </si>
  <si>
    <t xml:space="preserve">Column13062</t>
  </si>
  <si>
    <t xml:space="preserve">Column13063</t>
  </si>
  <si>
    <t xml:space="preserve">Column13064</t>
  </si>
  <si>
    <t xml:space="preserve">Column13065</t>
  </si>
  <si>
    <t xml:space="preserve">Column13066</t>
  </si>
  <si>
    <t xml:space="preserve">Column13067</t>
  </si>
  <si>
    <t xml:space="preserve">Column13068</t>
  </si>
  <si>
    <t xml:space="preserve">Column13069</t>
  </si>
  <si>
    <t xml:space="preserve">Column13070</t>
  </si>
  <si>
    <t xml:space="preserve">Column13071</t>
  </si>
  <si>
    <t xml:space="preserve">Column13072</t>
  </si>
  <si>
    <t xml:space="preserve">Column13073</t>
  </si>
  <si>
    <t xml:space="preserve">Column13074</t>
  </si>
  <si>
    <t xml:space="preserve">Column13075</t>
  </si>
  <si>
    <t xml:space="preserve">Column13076</t>
  </si>
  <si>
    <t xml:space="preserve">Column13077</t>
  </si>
  <si>
    <t xml:space="preserve">Column13078</t>
  </si>
  <si>
    <t xml:space="preserve">Column13079</t>
  </si>
  <si>
    <t xml:space="preserve">Column13080</t>
  </si>
  <si>
    <t xml:space="preserve">Column13081</t>
  </si>
  <si>
    <t xml:space="preserve">Column13082</t>
  </si>
  <si>
    <t xml:space="preserve">Column13083</t>
  </si>
  <si>
    <t xml:space="preserve">Column13084</t>
  </si>
  <si>
    <t xml:space="preserve">Column13085</t>
  </si>
  <si>
    <t xml:space="preserve">Column13086</t>
  </si>
  <si>
    <t xml:space="preserve">Column13087</t>
  </si>
  <si>
    <t xml:space="preserve">Column13088</t>
  </si>
  <si>
    <t xml:space="preserve">Column13089</t>
  </si>
  <si>
    <t xml:space="preserve">Column13090</t>
  </si>
  <si>
    <t xml:space="preserve">Column13091</t>
  </si>
  <si>
    <t xml:space="preserve">Column13092</t>
  </si>
  <si>
    <t xml:space="preserve">Column13093</t>
  </si>
  <si>
    <t xml:space="preserve">Column13094</t>
  </si>
  <si>
    <t xml:space="preserve">Column13095</t>
  </si>
  <si>
    <t xml:space="preserve">Column13096</t>
  </si>
  <si>
    <t xml:space="preserve">Column13097</t>
  </si>
  <si>
    <t xml:space="preserve">Column13098</t>
  </si>
  <si>
    <t xml:space="preserve">Column13099</t>
  </si>
  <si>
    <t xml:space="preserve">Column13100</t>
  </si>
  <si>
    <t xml:space="preserve">Column13101</t>
  </si>
  <si>
    <t xml:space="preserve">Column13102</t>
  </si>
  <si>
    <t xml:space="preserve">Column13103</t>
  </si>
  <si>
    <t xml:space="preserve">Column13104</t>
  </si>
  <si>
    <t xml:space="preserve">Column13105</t>
  </si>
  <si>
    <t xml:space="preserve">Column13106</t>
  </si>
  <si>
    <t xml:space="preserve">Column13107</t>
  </si>
  <si>
    <t xml:space="preserve">Column13108</t>
  </si>
  <si>
    <t xml:space="preserve">Column13109</t>
  </si>
  <si>
    <t xml:space="preserve">Column13110</t>
  </si>
  <si>
    <t xml:space="preserve">Column13111</t>
  </si>
  <si>
    <t xml:space="preserve">Column13112</t>
  </si>
  <si>
    <t xml:space="preserve">Column13113</t>
  </si>
  <si>
    <t xml:space="preserve">Column13114</t>
  </si>
  <si>
    <t xml:space="preserve">Column13115</t>
  </si>
  <si>
    <t xml:space="preserve">Column13116</t>
  </si>
  <si>
    <t xml:space="preserve">Column13117</t>
  </si>
  <si>
    <t xml:space="preserve">Column13118</t>
  </si>
  <si>
    <t xml:space="preserve">Column13119</t>
  </si>
  <si>
    <t xml:space="preserve">Column13120</t>
  </si>
  <si>
    <t xml:space="preserve">Column13121</t>
  </si>
  <si>
    <t xml:space="preserve">Column13122</t>
  </si>
  <si>
    <t xml:space="preserve">Column13123</t>
  </si>
  <si>
    <t xml:space="preserve">Column13124</t>
  </si>
  <si>
    <t xml:space="preserve">Column13125</t>
  </si>
  <si>
    <t xml:space="preserve">Column13126</t>
  </si>
  <si>
    <t xml:space="preserve">Column13127</t>
  </si>
  <si>
    <t xml:space="preserve">Column13128</t>
  </si>
  <si>
    <t xml:space="preserve">Column13129</t>
  </si>
  <si>
    <t xml:space="preserve">Column13130</t>
  </si>
  <si>
    <t xml:space="preserve">Column13131</t>
  </si>
  <si>
    <t xml:space="preserve">Column13132</t>
  </si>
  <si>
    <t xml:space="preserve">Column13133</t>
  </si>
  <si>
    <t xml:space="preserve">Column13134</t>
  </si>
  <si>
    <t xml:space="preserve">Column13135</t>
  </si>
  <si>
    <t xml:space="preserve">Column13136</t>
  </si>
  <si>
    <t xml:space="preserve">Column13137</t>
  </si>
  <si>
    <t xml:space="preserve">Column13138</t>
  </si>
  <si>
    <t xml:space="preserve">Column13139</t>
  </si>
  <si>
    <t xml:space="preserve">Column13140</t>
  </si>
  <si>
    <t xml:space="preserve">Column13141</t>
  </si>
  <si>
    <t xml:space="preserve">Column13142</t>
  </si>
  <si>
    <t xml:space="preserve">Column13143</t>
  </si>
  <si>
    <t xml:space="preserve">Column13144</t>
  </si>
  <si>
    <t xml:space="preserve">Column13145</t>
  </si>
  <si>
    <t xml:space="preserve">Column13146</t>
  </si>
  <si>
    <t xml:space="preserve">Column13147</t>
  </si>
  <si>
    <t xml:space="preserve">Column13148</t>
  </si>
  <si>
    <t xml:space="preserve">Column13149</t>
  </si>
  <si>
    <t xml:space="preserve">Column13150</t>
  </si>
  <si>
    <t xml:space="preserve">Column13151</t>
  </si>
  <si>
    <t xml:space="preserve">Column13152</t>
  </si>
  <si>
    <t xml:space="preserve">Column13153</t>
  </si>
  <si>
    <t xml:space="preserve">Column13154</t>
  </si>
  <si>
    <t xml:space="preserve">Column13155</t>
  </si>
  <si>
    <t xml:space="preserve">Column13156</t>
  </si>
  <si>
    <t xml:space="preserve">Column13157</t>
  </si>
  <si>
    <t xml:space="preserve">Column13158</t>
  </si>
  <si>
    <t xml:space="preserve">Column13159</t>
  </si>
  <si>
    <t xml:space="preserve">Column13160</t>
  </si>
  <si>
    <t xml:space="preserve">Column13161</t>
  </si>
  <si>
    <t xml:space="preserve">Column13162</t>
  </si>
  <si>
    <t xml:space="preserve">Column13163</t>
  </si>
  <si>
    <t xml:space="preserve">Column13164</t>
  </si>
  <si>
    <t xml:space="preserve">Column13165</t>
  </si>
  <si>
    <t xml:space="preserve">Column13166</t>
  </si>
  <si>
    <t xml:space="preserve">Column13167</t>
  </si>
  <si>
    <t xml:space="preserve">Column13168</t>
  </si>
  <si>
    <t xml:space="preserve">Column13169</t>
  </si>
  <si>
    <t xml:space="preserve">Column13170</t>
  </si>
  <si>
    <t xml:space="preserve">Column13171</t>
  </si>
  <si>
    <t xml:space="preserve">Column13172</t>
  </si>
  <si>
    <t xml:space="preserve">Column13173</t>
  </si>
  <si>
    <t xml:space="preserve">Column13174</t>
  </si>
  <si>
    <t xml:space="preserve">Column13175</t>
  </si>
  <si>
    <t xml:space="preserve">Column13176</t>
  </si>
  <si>
    <t xml:space="preserve">Column13177</t>
  </si>
  <si>
    <t xml:space="preserve">Column13178</t>
  </si>
  <si>
    <t xml:space="preserve">Column13179</t>
  </si>
  <si>
    <t xml:space="preserve">Column13180</t>
  </si>
  <si>
    <t xml:space="preserve">Column13181</t>
  </si>
  <si>
    <t xml:space="preserve">Column13182</t>
  </si>
  <si>
    <t xml:space="preserve">Column13183</t>
  </si>
  <si>
    <t xml:space="preserve">Column13184</t>
  </si>
  <si>
    <t xml:space="preserve">Column13185</t>
  </si>
  <si>
    <t xml:space="preserve">Column13186</t>
  </si>
  <si>
    <t xml:space="preserve">Column13187</t>
  </si>
  <si>
    <t xml:space="preserve">Column13188</t>
  </si>
  <si>
    <t xml:space="preserve">Column13189</t>
  </si>
  <si>
    <t xml:space="preserve">Column13190</t>
  </si>
  <si>
    <t xml:space="preserve">Column13191</t>
  </si>
  <si>
    <t xml:space="preserve">Column13192</t>
  </si>
  <si>
    <t xml:space="preserve">Column13193</t>
  </si>
  <si>
    <t xml:space="preserve">Column13194</t>
  </si>
  <si>
    <t xml:space="preserve">Column13195</t>
  </si>
  <si>
    <t xml:space="preserve">Column13196</t>
  </si>
  <si>
    <t xml:space="preserve">Column13197</t>
  </si>
  <si>
    <t xml:space="preserve">Column13198</t>
  </si>
  <si>
    <t xml:space="preserve">Column13199</t>
  </si>
  <si>
    <t xml:space="preserve">Column13200</t>
  </si>
  <si>
    <t xml:space="preserve">Column13201</t>
  </si>
  <si>
    <t xml:space="preserve">Column13202</t>
  </si>
  <si>
    <t xml:space="preserve">Column13203</t>
  </si>
  <si>
    <t xml:space="preserve">Column13204</t>
  </si>
  <si>
    <t xml:space="preserve">Column13205</t>
  </si>
  <si>
    <t xml:space="preserve">Column13206</t>
  </si>
  <si>
    <t xml:space="preserve">Column13207</t>
  </si>
  <si>
    <t xml:space="preserve">Column13208</t>
  </si>
  <si>
    <t xml:space="preserve">Column13209</t>
  </si>
  <si>
    <t xml:space="preserve">Column13210</t>
  </si>
  <si>
    <t xml:space="preserve">Column13211</t>
  </si>
  <si>
    <t xml:space="preserve">Column13212</t>
  </si>
  <si>
    <t xml:space="preserve">Column13213</t>
  </si>
  <si>
    <t xml:space="preserve">Column13214</t>
  </si>
  <si>
    <t xml:space="preserve">Column13215</t>
  </si>
  <si>
    <t xml:space="preserve">Column13216</t>
  </si>
  <si>
    <t xml:space="preserve">Column13217</t>
  </si>
  <si>
    <t xml:space="preserve">Column13218</t>
  </si>
  <si>
    <t xml:space="preserve">Column13219</t>
  </si>
  <si>
    <t xml:space="preserve">Column13220</t>
  </si>
  <si>
    <t xml:space="preserve">Column13221</t>
  </si>
  <si>
    <t xml:space="preserve">Column13222</t>
  </si>
  <si>
    <t xml:space="preserve">Column13223</t>
  </si>
  <si>
    <t xml:space="preserve">Column13224</t>
  </si>
  <si>
    <t xml:space="preserve">Column13225</t>
  </si>
  <si>
    <t xml:space="preserve">Column13226</t>
  </si>
  <si>
    <t xml:space="preserve">Column13227</t>
  </si>
  <si>
    <t xml:space="preserve">Column13228</t>
  </si>
  <si>
    <t xml:space="preserve">Column13229</t>
  </si>
  <si>
    <t xml:space="preserve">Column13230</t>
  </si>
  <si>
    <t xml:space="preserve">Column13231</t>
  </si>
  <si>
    <t xml:space="preserve">Column13232</t>
  </si>
  <si>
    <t xml:space="preserve">Column13233</t>
  </si>
  <si>
    <t xml:space="preserve">Column13234</t>
  </si>
  <si>
    <t xml:space="preserve">Column13235</t>
  </si>
  <si>
    <t xml:space="preserve">Column13236</t>
  </si>
  <si>
    <t xml:space="preserve">Column13237</t>
  </si>
  <si>
    <t xml:space="preserve">Column13238</t>
  </si>
  <si>
    <t xml:space="preserve">Column13239</t>
  </si>
  <si>
    <t xml:space="preserve">Column13240</t>
  </si>
  <si>
    <t xml:space="preserve">Column13241</t>
  </si>
  <si>
    <t xml:space="preserve">Column13242</t>
  </si>
  <si>
    <t xml:space="preserve">Column13243</t>
  </si>
  <si>
    <t xml:space="preserve">Column13244</t>
  </si>
  <si>
    <t xml:space="preserve">Column13245</t>
  </si>
  <si>
    <t xml:space="preserve">Column13246</t>
  </si>
  <si>
    <t xml:space="preserve">Column13247</t>
  </si>
  <si>
    <t xml:space="preserve">Column13248</t>
  </si>
  <si>
    <t xml:space="preserve">Column13249</t>
  </si>
  <si>
    <t xml:space="preserve">Column13250</t>
  </si>
  <si>
    <t xml:space="preserve">Column13251</t>
  </si>
  <si>
    <t xml:space="preserve">Column13252</t>
  </si>
  <si>
    <t xml:space="preserve">Column13253</t>
  </si>
  <si>
    <t xml:space="preserve">Column13254</t>
  </si>
  <si>
    <t xml:space="preserve">Column13255</t>
  </si>
  <si>
    <t xml:space="preserve">Column13256</t>
  </si>
  <si>
    <t xml:space="preserve">Column13257</t>
  </si>
  <si>
    <t xml:space="preserve">Column13258</t>
  </si>
  <si>
    <t xml:space="preserve">Column13259</t>
  </si>
  <si>
    <t xml:space="preserve">Column13260</t>
  </si>
  <si>
    <t xml:space="preserve">Column13261</t>
  </si>
  <si>
    <t xml:space="preserve">Column13262</t>
  </si>
  <si>
    <t xml:space="preserve">Column13263</t>
  </si>
  <si>
    <t xml:space="preserve">Column13264</t>
  </si>
  <si>
    <t xml:space="preserve">Column13265</t>
  </si>
  <si>
    <t xml:space="preserve">Column13266</t>
  </si>
  <si>
    <t xml:space="preserve">Column13267</t>
  </si>
  <si>
    <t xml:space="preserve">Column13268</t>
  </si>
  <si>
    <t xml:space="preserve">Column13269</t>
  </si>
  <si>
    <t xml:space="preserve">Column13270</t>
  </si>
  <si>
    <t xml:space="preserve">Column13271</t>
  </si>
  <si>
    <t xml:space="preserve">Column13272</t>
  </si>
  <si>
    <t xml:space="preserve">Column13273</t>
  </si>
  <si>
    <t xml:space="preserve">Column13274</t>
  </si>
  <si>
    <t xml:space="preserve">Column13275</t>
  </si>
  <si>
    <t xml:space="preserve">Column13276</t>
  </si>
  <si>
    <t xml:space="preserve">Column13277</t>
  </si>
  <si>
    <t xml:space="preserve">Column13278</t>
  </si>
  <si>
    <t xml:space="preserve">Column13279</t>
  </si>
  <si>
    <t xml:space="preserve">Column13280</t>
  </si>
  <si>
    <t xml:space="preserve">Column13281</t>
  </si>
  <si>
    <t xml:space="preserve">Column13282</t>
  </si>
  <si>
    <t xml:space="preserve">Column13283</t>
  </si>
  <si>
    <t xml:space="preserve">Column13284</t>
  </si>
  <si>
    <t xml:space="preserve">Column13285</t>
  </si>
  <si>
    <t xml:space="preserve">Column13286</t>
  </si>
  <si>
    <t xml:space="preserve">Column13287</t>
  </si>
  <si>
    <t xml:space="preserve">Column13288</t>
  </si>
  <si>
    <t xml:space="preserve">Column13289</t>
  </si>
  <si>
    <t xml:space="preserve">Column13290</t>
  </si>
  <si>
    <t xml:space="preserve">Column13291</t>
  </si>
  <si>
    <t xml:space="preserve">Column13292</t>
  </si>
  <si>
    <t xml:space="preserve">Column13293</t>
  </si>
  <si>
    <t xml:space="preserve">Column13294</t>
  </si>
  <si>
    <t xml:space="preserve">Column13295</t>
  </si>
  <si>
    <t xml:space="preserve">Column13296</t>
  </si>
  <si>
    <t xml:space="preserve">Column13297</t>
  </si>
  <si>
    <t xml:space="preserve">Column13298</t>
  </si>
  <si>
    <t xml:space="preserve">Column13299</t>
  </si>
  <si>
    <t xml:space="preserve">Column13300</t>
  </si>
  <si>
    <t xml:space="preserve">Column13301</t>
  </si>
  <si>
    <t xml:space="preserve">Column13302</t>
  </si>
  <si>
    <t xml:space="preserve">Column13303</t>
  </si>
  <si>
    <t xml:space="preserve">Column13304</t>
  </si>
  <si>
    <t xml:space="preserve">Column13305</t>
  </si>
  <si>
    <t xml:space="preserve">Column13306</t>
  </si>
  <si>
    <t xml:space="preserve">Column13307</t>
  </si>
  <si>
    <t xml:space="preserve">Column13308</t>
  </si>
  <si>
    <t xml:space="preserve">Column13309</t>
  </si>
  <si>
    <t xml:space="preserve">Column13310</t>
  </si>
  <si>
    <t xml:space="preserve">Column13311</t>
  </si>
  <si>
    <t xml:space="preserve">Column13312</t>
  </si>
  <si>
    <t xml:space="preserve">Column13313</t>
  </si>
  <si>
    <t xml:space="preserve">Column13314</t>
  </si>
  <si>
    <t xml:space="preserve">Column13315</t>
  </si>
  <si>
    <t xml:space="preserve">Column13316</t>
  </si>
  <si>
    <t xml:space="preserve">Column13317</t>
  </si>
  <si>
    <t xml:space="preserve">Column13318</t>
  </si>
  <si>
    <t xml:space="preserve">Column13319</t>
  </si>
  <si>
    <t xml:space="preserve">Column13320</t>
  </si>
  <si>
    <t xml:space="preserve">Column13321</t>
  </si>
  <si>
    <t xml:space="preserve">Column13322</t>
  </si>
  <si>
    <t xml:space="preserve">Column13323</t>
  </si>
  <si>
    <t xml:space="preserve">Column13324</t>
  </si>
  <si>
    <t xml:space="preserve">Column13325</t>
  </si>
  <si>
    <t xml:space="preserve">Column13326</t>
  </si>
  <si>
    <t xml:space="preserve">Column13327</t>
  </si>
  <si>
    <t xml:space="preserve">Column13328</t>
  </si>
  <si>
    <t xml:space="preserve">Column13329</t>
  </si>
  <si>
    <t xml:space="preserve">Column13330</t>
  </si>
  <si>
    <t xml:space="preserve">Column13331</t>
  </si>
  <si>
    <t xml:space="preserve">Column13332</t>
  </si>
  <si>
    <t xml:space="preserve">Column13333</t>
  </si>
  <si>
    <t xml:space="preserve">Column13334</t>
  </si>
  <si>
    <t xml:space="preserve">Column13335</t>
  </si>
  <si>
    <t xml:space="preserve">Column13336</t>
  </si>
  <si>
    <t xml:space="preserve">Column13337</t>
  </si>
  <si>
    <t xml:space="preserve">Column13338</t>
  </si>
  <si>
    <t xml:space="preserve">Column13339</t>
  </si>
  <si>
    <t xml:space="preserve">Column13340</t>
  </si>
  <si>
    <t xml:space="preserve">Column13341</t>
  </si>
  <si>
    <t xml:space="preserve">Column13342</t>
  </si>
  <si>
    <t xml:space="preserve">Column13343</t>
  </si>
  <si>
    <t xml:space="preserve">Column13344</t>
  </si>
  <si>
    <t xml:space="preserve">Column13345</t>
  </si>
  <si>
    <t xml:space="preserve">Column13346</t>
  </si>
  <si>
    <t xml:space="preserve">Column13347</t>
  </si>
  <si>
    <t xml:space="preserve">Column13348</t>
  </si>
  <si>
    <t xml:space="preserve">Column13349</t>
  </si>
  <si>
    <t xml:space="preserve">Column13350</t>
  </si>
  <si>
    <t xml:space="preserve">Column13351</t>
  </si>
  <si>
    <t xml:space="preserve">Column13352</t>
  </si>
  <si>
    <t xml:space="preserve">Column13353</t>
  </si>
  <si>
    <t xml:space="preserve">Column13354</t>
  </si>
  <si>
    <t xml:space="preserve">Column13355</t>
  </si>
  <si>
    <t xml:space="preserve">Column13356</t>
  </si>
  <si>
    <t xml:space="preserve">Column13357</t>
  </si>
  <si>
    <t xml:space="preserve">Column13358</t>
  </si>
  <si>
    <t xml:space="preserve">Column13359</t>
  </si>
  <si>
    <t xml:space="preserve">Column13360</t>
  </si>
  <si>
    <t xml:space="preserve">Column13361</t>
  </si>
  <si>
    <t xml:space="preserve">Column13362</t>
  </si>
  <si>
    <t xml:space="preserve">Column13363</t>
  </si>
  <si>
    <t xml:space="preserve">Column13364</t>
  </si>
  <si>
    <t xml:space="preserve">Column13365</t>
  </si>
  <si>
    <t xml:space="preserve">Column13366</t>
  </si>
  <si>
    <t xml:space="preserve">Column13367</t>
  </si>
  <si>
    <t xml:space="preserve">Column13368</t>
  </si>
  <si>
    <t xml:space="preserve">Column13369</t>
  </si>
  <si>
    <t xml:space="preserve">Column13370</t>
  </si>
  <si>
    <t xml:space="preserve">Column13371</t>
  </si>
  <si>
    <t xml:space="preserve">Column13372</t>
  </si>
  <si>
    <t xml:space="preserve">Column13373</t>
  </si>
  <si>
    <t xml:space="preserve">Column13374</t>
  </si>
  <si>
    <t xml:space="preserve">Column13375</t>
  </si>
  <si>
    <t xml:space="preserve">Column13376</t>
  </si>
  <si>
    <t xml:space="preserve">Column13377</t>
  </si>
  <si>
    <t xml:space="preserve">Column13378</t>
  </si>
  <si>
    <t xml:space="preserve">Column13379</t>
  </si>
  <si>
    <t xml:space="preserve">Column13380</t>
  </si>
  <si>
    <t xml:space="preserve">Column13381</t>
  </si>
  <si>
    <t xml:space="preserve">Column13382</t>
  </si>
  <si>
    <t xml:space="preserve">Column13383</t>
  </si>
  <si>
    <t xml:space="preserve">Column13384</t>
  </si>
  <si>
    <t xml:space="preserve">Column13385</t>
  </si>
  <si>
    <t xml:space="preserve">Column13386</t>
  </si>
  <si>
    <t xml:space="preserve">Column13387</t>
  </si>
  <si>
    <t xml:space="preserve">Column13388</t>
  </si>
  <si>
    <t xml:space="preserve">Column13389</t>
  </si>
  <si>
    <t xml:space="preserve">Column13390</t>
  </si>
  <si>
    <t xml:space="preserve">Column13391</t>
  </si>
  <si>
    <t xml:space="preserve">Column13392</t>
  </si>
  <si>
    <t xml:space="preserve">Column13393</t>
  </si>
  <si>
    <t xml:space="preserve">Column13394</t>
  </si>
  <si>
    <t xml:space="preserve">Column13395</t>
  </si>
  <si>
    <t xml:space="preserve">Column13396</t>
  </si>
  <si>
    <t xml:space="preserve">Column13397</t>
  </si>
  <si>
    <t xml:space="preserve">Column13398</t>
  </si>
  <si>
    <t xml:space="preserve">Column13399</t>
  </si>
  <si>
    <t xml:space="preserve">Column13400</t>
  </si>
  <si>
    <t xml:space="preserve">Column13401</t>
  </si>
  <si>
    <t xml:space="preserve">Column13402</t>
  </si>
  <si>
    <t xml:space="preserve">Column13403</t>
  </si>
  <si>
    <t xml:space="preserve">Column13404</t>
  </si>
  <si>
    <t xml:space="preserve">Column13405</t>
  </si>
  <si>
    <t xml:space="preserve">Column13406</t>
  </si>
  <si>
    <t xml:space="preserve">Column13407</t>
  </si>
  <si>
    <t xml:space="preserve">Column13408</t>
  </si>
  <si>
    <t xml:space="preserve">Column13409</t>
  </si>
  <si>
    <t xml:space="preserve">Column13410</t>
  </si>
  <si>
    <t xml:space="preserve">Column13411</t>
  </si>
  <si>
    <t xml:space="preserve">Column13412</t>
  </si>
  <si>
    <t xml:space="preserve">Column13413</t>
  </si>
  <si>
    <t xml:space="preserve">Column13414</t>
  </si>
  <si>
    <t xml:space="preserve">Column13415</t>
  </si>
  <si>
    <t xml:space="preserve">Column13416</t>
  </si>
  <si>
    <t xml:space="preserve">Column13417</t>
  </si>
  <si>
    <t xml:space="preserve">Column13418</t>
  </si>
  <si>
    <t xml:space="preserve">Column13419</t>
  </si>
  <si>
    <t xml:space="preserve">Column13420</t>
  </si>
  <si>
    <t xml:space="preserve">Column13421</t>
  </si>
  <si>
    <t xml:space="preserve">Column13422</t>
  </si>
  <si>
    <t xml:space="preserve">Column13423</t>
  </si>
  <si>
    <t xml:space="preserve">Column13424</t>
  </si>
  <si>
    <t xml:space="preserve">Column13425</t>
  </si>
  <si>
    <t xml:space="preserve">Column13426</t>
  </si>
  <si>
    <t xml:space="preserve">Column13427</t>
  </si>
  <si>
    <t xml:space="preserve">Column13428</t>
  </si>
  <si>
    <t xml:space="preserve">Column13429</t>
  </si>
  <si>
    <t xml:space="preserve">Column13430</t>
  </si>
  <si>
    <t xml:space="preserve">Column13431</t>
  </si>
  <si>
    <t xml:space="preserve">Column13432</t>
  </si>
  <si>
    <t xml:space="preserve">Column13433</t>
  </si>
  <si>
    <t xml:space="preserve">Column13434</t>
  </si>
  <si>
    <t xml:space="preserve">Column13435</t>
  </si>
  <si>
    <t xml:space="preserve">Column13436</t>
  </si>
  <si>
    <t xml:space="preserve">Column13437</t>
  </si>
  <si>
    <t xml:space="preserve">Column13438</t>
  </si>
  <si>
    <t xml:space="preserve">Column13439</t>
  </si>
  <si>
    <t xml:space="preserve">Column13440</t>
  </si>
  <si>
    <t xml:space="preserve">Column13441</t>
  </si>
  <si>
    <t xml:space="preserve">Column13442</t>
  </si>
  <si>
    <t xml:space="preserve">Column13443</t>
  </si>
  <si>
    <t xml:space="preserve">Column13444</t>
  </si>
  <si>
    <t xml:space="preserve">Column13445</t>
  </si>
  <si>
    <t xml:space="preserve">Column13446</t>
  </si>
  <si>
    <t xml:space="preserve">Column13447</t>
  </si>
  <si>
    <t xml:space="preserve">Column13448</t>
  </si>
  <si>
    <t xml:space="preserve">Column13449</t>
  </si>
  <si>
    <t xml:space="preserve">Column13450</t>
  </si>
  <si>
    <t xml:space="preserve">Column13451</t>
  </si>
  <si>
    <t xml:space="preserve">Column13452</t>
  </si>
  <si>
    <t xml:space="preserve">Column13453</t>
  </si>
  <si>
    <t xml:space="preserve">Column13454</t>
  </si>
  <si>
    <t xml:space="preserve">Column13455</t>
  </si>
  <si>
    <t xml:space="preserve">Column13456</t>
  </si>
  <si>
    <t xml:space="preserve">Column13457</t>
  </si>
  <si>
    <t xml:space="preserve">Column13458</t>
  </si>
  <si>
    <t xml:space="preserve">Column13459</t>
  </si>
  <si>
    <t xml:space="preserve">Column13460</t>
  </si>
  <si>
    <t xml:space="preserve">Column13461</t>
  </si>
  <si>
    <t xml:space="preserve">Column13462</t>
  </si>
  <si>
    <t xml:space="preserve">Column13463</t>
  </si>
  <si>
    <t xml:space="preserve">Column13464</t>
  </si>
  <si>
    <t xml:space="preserve">Column13465</t>
  </si>
  <si>
    <t xml:space="preserve">Column13466</t>
  </si>
  <si>
    <t xml:space="preserve">Column13467</t>
  </si>
  <si>
    <t xml:space="preserve">Column13468</t>
  </si>
  <si>
    <t xml:space="preserve">Column13469</t>
  </si>
  <si>
    <t xml:space="preserve">Column13470</t>
  </si>
  <si>
    <t xml:space="preserve">Column13471</t>
  </si>
  <si>
    <t xml:space="preserve">Column13472</t>
  </si>
  <si>
    <t xml:space="preserve">Column13473</t>
  </si>
  <si>
    <t xml:space="preserve">Column13474</t>
  </si>
  <si>
    <t xml:space="preserve">Column13475</t>
  </si>
  <si>
    <t xml:space="preserve">Column13476</t>
  </si>
  <si>
    <t xml:space="preserve">Column13477</t>
  </si>
  <si>
    <t xml:space="preserve">Column13478</t>
  </si>
  <si>
    <t xml:space="preserve">Column13479</t>
  </si>
  <si>
    <t xml:space="preserve">Column13480</t>
  </si>
  <si>
    <t xml:space="preserve">Column13481</t>
  </si>
  <si>
    <t xml:space="preserve">Column13482</t>
  </si>
  <si>
    <t xml:space="preserve">Column13483</t>
  </si>
  <si>
    <t xml:space="preserve">Column13484</t>
  </si>
  <si>
    <t xml:space="preserve">Column13485</t>
  </si>
  <si>
    <t xml:space="preserve">Column13486</t>
  </si>
  <si>
    <t xml:space="preserve">Column13487</t>
  </si>
  <si>
    <t xml:space="preserve">Column13488</t>
  </si>
  <si>
    <t xml:space="preserve">Column13489</t>
  </si>
  <si>
    <t xml:space="preserve">Column13490</t>
  </si>
  <si>
    <t xml:space="preserve">Column13491</t>
  </si>
  <si>
    <t xml:space="preserve">Column13492</t>
  </si>
  <si>
    <t xml:space="preserve">Column13493</t>
  </si>
  <si>
    <t xml:space="preserve">Column13494</t>
  </si>
  <si>
    <t xml:space="preserve">Column13495</t>
  </si>
  <si>
    <t xml:space="preserve">Column13496</t>
  </si>
  <si>
    <t xml:space="preserve">Column13497</t>
  </si>
  <si>
    <t xml:space="preserve">Column13498</t>
  </si>
  <si>
    <t xml:space="preserve">Column13499</t>
  </si>
  <si>
    <t xml:space="preserve">Column13500</t>
  </si>
  <si>
    <t xml:space="preserve">Column13501</t>
  </si>
  <si>
    <t xml:space="preserve">Column13502</t>
  </si>
  <si>
    <t xml:space="preserve">Column13503</t>
  </si>
  <si>
    <t xml:space="preserve">Column13504</t>
  </si>
  <si>
    <t xml:space="preserve">Column13505</t>
  </si>
  <si>
    <t xml:space="preserve">Column13506</t>
  </si>
  <si>
    <t xml:space="preserve">Column13507</t>
  </si>
  <si>
    <t xml:space="preserve">Column13508</t>
  </si>
  <si>
    <t xml:space="preserve">Column13509</t>
  </si>
  <si>
    <t xml:space="preserve">Column13510</t>
  </si>
  <si>
    <t xml:space="preserve">Column13511</t>
  </si>
  <si>
    <t xml:space="preserve">Column13512</t>
  </si>
  <si>
    <t xml:space="preserve">Column13513</t>
  </si>
  <si>
    <t xml:space="preserve">Column13514</t>
  </si>
  <si>
    <t xml:space="preserve">Column13515</t>
  </si>
  <si>
    <t xml:space="preserve">Column13516</t>
  </si>
  <si>
    <t xml:space="preserve">Column13517</t>
  </si>
  <si>
    <t xml:space="preserve">Column13518</t>
  </si>
  <si>
    <t xml:space="preserve">Column13519</t>
  </si>
  <si>
    <t xml:space="preserve">Column13520</t>
  </si>
  <si>
    <t xml:space="preserve">Column13521</t>
  </si>
  <si>
    <t xml:space="preserve">Column13522</t>
  </si>
  <si>
    <t xml:space="preserve">Column13523</t>
  </si>
  <si>
    <t xml:space="preserve">Column13524</t>
  </si>
  <si>
    <t xml:space="preserve">Column13525</t>
  </si>
  <si>
    <t xml:space="preserve">Column13526</t>
  </si>
  <si>
    <t xml:space="preserve">Column13527</t>
  </si>
  <si>
    <t xml:space="preserve">Column13528</t>
  </si>
  <si>
    <t xml:space="preserve">Column13529</t>
  </si>
  <si>
    <t xml:space="preserve">Column13530</t>
  </si>
  <si>
    <t xml:space="preserve">Column13531</t>
  </si>
  <si>
    <t xml:space="preserve">Column13532</t>
  </si>
  <si>
    <t xml:space="preserve">Column13533</t>
  </si>
  <si>
    <t xml:space="preserve">Column13534</t>
  </si>
  <si>
    <t xml:space="preserve">Column13535</t>
  </si>
  <si>
    <t xml:space="preserve">Column13536</t>
  </si>
  <si>
    <t xml:space="preserve">Column13537</t>
  </si>
  <si>
    <t xml:space="preserve">Column13538</t>
  </si>
  <si>
    <t xml:space="preserve">Column13539</t>
  </si>
  <si>
    <t xml:space="preserve">Column13540</t>
  </si>
  <si>
    <t xml:space="preserve">Column13541</t>
  </si>
  <si>
    <t xml:space="preserve">Column13542</t>
  </si>
  <si>
    <t xml:space="preserve">Column13543</t>
  </si>
  <si>
    <t xml:space="preserve">Column13544</t>
  </si>
  <si>
    <t xml:space="preserve">Column13545</t>
  </si>
  <si>
    <t xml:space="preserve">Column13546</t>
  </si>
  <si>
    <t xml:space="preserve">Column13547</t>
  </si>
  <si>
    <t xml:space="preserve">Column13548</t>
  </si>
  <si>
    <t xml:space="preserve">Column13549</t>
  </si>
  <si>
    <t xml:space="preserve">Column13550</t>
  </si>
  <si>
    <t xml:space="preserve">Column13551</t>
  </si>
  <si>
    <t xml:space="preserve">Column13552</t>
  </si>
  <si>
    <t xml:space="preserve">Column13553</t>
  </si>
  <si>
    <t xml:space="preserve">Column13554</t>
  </si>
  <si>
    <t xml:space="preserve">Column13555</t>
  </si>
  <si>
    <t xml:space="preserve">Column13556</t>
  </si>
  <si>
    <t xml:space="preserve">Column13557</t>
  </si>
  <si>
    <t xml:space="preserve">Column13558</t>
  </si>
  <si>
    <t xml:space="preserve">Column13559</t>
  </si>
  <si>
    <t xml:space="preserve">Column13560</t>
  </si>
  <si>
    <t xml:space="preserve">Column13561</t>
  </si>
  <si>
    <t xml:space="preserve">Column13562</t>
  </si>
  <si>
    <t xml:space="preserve">Column13563</t>
  </si>
  <si>
    <t xml:space="preserve">Column13564</t>
  </si>
  <si>
    <t xml:space="preserve">Column13565</t>
  </si>
  <si>
    <t xml:space="preserve">Column13566</t>
  </si>
  <si>
    <t xml:space="preserve">Column13567</t>
  </si>
  <si>
    <t xml:space="preserve">Column13568</t>
  </si>
  <si>
    <t xml:space="preserve">Column13569</t>
  </si>
  <si>
    <t xml:space="preserve">Column13570</t>
  </si>
  <si>
    <t xml:space="preserve">Column13571</t>
  </si>
  <si>
    <t xml:space="preserve">Column13572</t>
  </si>
  <si>
    <t xml:space="preserve">Column13573</t>
  </si>
  <si>
    <t xml:space="preserve">Column13574</t>
  </si>
  <si>
    <t xml:space="preserve">Column13575</t>
  </si>
  <si>
    <t xml:space="preserve">Column13576</t>
  </si>
  <si>
    <t xml:space="preserve">Column13577</t>
  </si>
  <si>
    <t xml:space="preserve">Column13578</t>
  </si>
  <si>
    <t xml:space="preserve">Column13579</t>
  </si>
  <si>
    <t xml:space="preserve">Column13580</t>
  </si>
  <si>
    <t xml:space="preserve">Column13581</t>
  </si>
  <si>
    <t xml:space="preserve">Column13582</t>
  </si>
  <si>
    <t xml:space="preserve">Column13583</t>
  </si>
  <si>
    <t xml:space="preserve">Column13584</t>
  </si>
  <si>
    <t xml:space="preserve">Column13585</t>
  </si>
  <si>
    <t xml:space="preserve">Column13586</t>
  </si>
  <si>
    <t xml:space="preserve">Column13587</t>
  </si>
  <si>
    <t xml:space="preserve">Column13588</t>
  </si>
  <si>
    <t xml:space="preserve">Column13589</t>
  </si>
  <si>
    <t xml:space="preserve">Column13590</t>
  </si>
  <si>
    <t xml:space="preserve">Column13591</t>
  </si>
  <si>
    <t xml:space="preserve">Column13592</t>
  </si>
  <si>
    <t xml:space="preserve">Column13593</t>
  </si>
  <si>
    <t xml:space="preserve">Column13594</t>
  </si>
  <si>
    <t xml:space="preserve">Column13595</t>
  </si>
  <si>
    <t xml:space="preserve">Column13596</t>
  </si>
  <si>
    <t xml:space="preserve">Column13597</t>
  </si>
  <si>
    <t xml:space="preserve">Column13598</t>
  </si>
  <si>
    <t xml:space="preserve">Column13599</t>
  </si>
  <si>
    <t xml:space="preserve">Column13600</t>
  </si>
  <si>
    <t xml:space="preserve">Column13601</t>
  </si>
  <si>
    <t xml:space="preserve">Column13602</t>
  </si>
  <si>
    <t xml:space="preserve">Column13603</t>
  </si>
  <si>
    <t xml:space="preserve">Column13604</t>
  </si>
  <si>
    <t xml:space="preserve">Column13605</t>
  </si>
  <si>
    <t xml:space="preserve">Column13606</t>
  </si>
  <si>
    <t xml:space="preserve">Column13607</t>
  </si>
  <si>
    <t xml:space="preserve">Column13608</t>
  </si>
  <si>
    <t xml:space="preserve">Column13609</t>
  </si>
  <si>
    <t xml:space="preserve">Column13610</t>
  </si>
  <si>
    <t xml:space="preserve">Column13611</t>
  </si>
  <si>
    <t xml:space="preserve">Column13612</t>
  </si>
  <si>
    <t xml:space="preserve">Column13613</t>
  </si>
  <si>
    <t xml:space="preserve">Column13614</t>
  </si>
  <si>
    <t xml:space="preserve">Column13615</t>
  </si>
  <si>
    <t xml:space="preserve">Column13616</t>
  </si>
  <si>
    <t xml:space="preserve">Column13617</t>
  </si>
  <si>
    <t xml:space="preserve">Column13618</t>
  </si>
  <si>
    <t xml:space="preserve">Column13619</t>
  </si>
  <si>
    <t xml:space="preserve">Column13620</t>
  </si>
  <si>
    <t xml:space="preserve">Column13621</t>
  </si>
  <si>
    <t xml:space="preserve">Column13622</t>
  </si>
  <si>
    <t xml:space="preserve">Column13623</t>
  </si>
  <si>
    <t xml:space="preserve">Column13624</t>
  </si>
  <si>
    <t xml:space="preserve">Column13625</t>
  </si>
  <si>
    <t xml:space="preserve">Column13626</t>
  </si>
  <si>
    <t xml:space="preserve">Column13627</t>
  </si>
  <si>
    <t xml:space="preserve">Column13628</t>
  </si>
  <si>
    <t xml:space="preserve">Column13629</t>
  </si>
  <si>
    <t xml:space="preserve">Column13630</t>
  </si>
  <si>
    <t xml:space="preserve">Column13631</t>
  </si>
  <si>
    <t xml:space="preserve">Column13632</t>
  </si>
  <si>
    <t xml:space="preserve">Column13633</t>
  </si>
  <si>
    <t xml:space="preserve">Column13634</t>
  </si>
  <si>
    <t xml:space="preserve">Column13635</t>
  </si>
  <si>
    <t xml:space="preserve">Column13636</t>
  </si>
  <si>
    <t xml:space="preserve">Column13637</t>
  </si>
  <si>
    <t xml:space="preserve">Column13638</t>
  </si>
  <si>
    <t xml:space="preserve">Column13639</t>
  </si>
  <si>
    <t xml:space="preserve">Column13640</t>
  </si>
  <si>
    <t xml:space="preserve">Column13641</t>
  </si>
  <si>
    <t xml:space="preserve">Column13642</t>
  </si>
  <si>
    <t xml:space="preserve">Column13643</t>
  </si>
  <si>
    <t xml:space="preserve">Column13644</t>
  </si>
  <si>
    <t xml:space="preserve">Column13645</t>
  </si>
  <si>
    <t xml:space="preserve">Column13646</t>
  </si>
  <si>
    <t xml:space="preserve">Column13647</t>
  </si>
  <si>
    <t xml:space="preserve">Column13648</t>
  </si>
  <si>
    <t xml:space="preserve">Column13649</t>
  </si>
  <si>
    <t xml:space="preserve">Column13650</t>
  </si>
  <si>
    <t xml:space="preserve">Column13651</t>
  </si>
  <si>
    <t xml:space="preserve">Column13652</t>
  </si>
  <si>
    <t xml:space="preserve">Column13653</t>
  </si>
  <si>
    <t xml:space="preserve">Column13654</t>
  </si>
  <si>
    <t xml:space="preserve">Column13655</t>
  </si>
  <si>
    <t xml:space="preserve">Column13656</t>
  </si>
  <si>
    <t xml:space="preserve">Column13657</t>
  </si>
  <si>
    <t xml:space="preserve">Column13658</t>
  </si>
  <si>
    <t xml:space="preserve">Column13659</t>
  </si>
  <si>
    <t xml:space="preserve">Column13660</t>
  </si>
  <si>
    <t xml:space="preserve">Column13661</t>
  </si>
  <si>
    <t xml:space="preserve">Column13662</t>
  </si>
  <si>
    <t xml:space="preserve">Column13663</t>
  </si>
  <si>
    <t xml:space="preserve">Column13664</t>
  </si>
  <si>
    <t xml:space="preserve">Column13665</t>
  </si>
  <si>
    <t xml:space="preserve">Column13666</t>
  </si>
  <si>
    <t xml:space="preserve">Column13667</t>
  </si>
  <si>
    <t xml:space="preserve">Column13668</t>
  </si>
  <si>
    <t xml:space="preserve">Column13669</t>
  </si>
  <si>
    <t xml:space="preserve">Column13670</t>
  </si>
  <si>
    <t xml:space="preserve">Column13671</t>
  </si>
  <si>
    <t xml:space="preserve">Column13672</t>
  </si>
  <si>
    <t xml:space="preserve">Column13673</t>
  </si>
  <si>
    <t xml:space="preserve">Column13674</t>
  </si>
  <si>
    <t xml:space="preserve">Column13675</t>
  </si>
  <si>
    <t xml:space="preserve">Column13676</t>
  </si>
  <si>
    <t xml:space="preserve">Column13677</t>
  </si>
  <si>
    <t xml:space="preserve">Column13678</t>
  </si>
  <si>
    <t xml:space="preserve">Column13679</t>
  </si>
  <si>
    <t xml:space="preserve">Column13680</t>
  </si>
  <si>
    <t xml:space="preserve">Column13681</t>
  </si>
  <si>
    <t xml:space="preserve">Column13682</t>
  </si>
  <si>
    <t xml:space="preserve">Column13683</t>
  </si>
  <si>
    <t xml:space="preserve">Column13684</t>
  </si>
  <si>
    <t xml:space="preserve">Column13685</t>
  </si>
  <si>
    <t xml:space="preserve">Column13686</t>
  </si>
  <si>
    <t xml:space="preserve">Column13687</t>
  </si>
  <si>
    <t xml:space="preserve">Column13688</t>
  </si>
  <si>
    <t xml:space="preserve">Column13689</t>
  </si>
  <si>
    <t xml:space="preserve">Column13690</t>
  </si>
  <si>
    <t xml:space="preserve">Column13691</t>
  </si>
  <si>
    <t xml:space="preserve">Column13692</t>
  </si>
  <si>
    <t xml:space="preserve">Column13693</t>
  </si>
  <si>
    <t xml:space="preserve">Column13694</t>
  </si>
  <si>
    <t xml:space="preserve">Column13695</t>
  </si>
  <si>
    <t xml:space="preserve">Column13696</t>
  </si>
  <si>
    <t xml:space="preserve">Column13697</t>
  </si>
  <si>
    <t xml:space="preserve">Column13698</t>
  </si>
  <si>
    <t xml:space="preserve">Column13699</t>
  </si>
  <si>
    <t xml:space="preserve">Column13700</t>
  </si>
  <si>
    <t xml:space="preserve">Column13701</t>
  </si>
  <si>
    <t xml:space="preserve">Column13702</t>
  </si>
  <si>
    <t xml:space="preserve">Column13703</t>
  </si>
  <si>
    <t xml:space="preserve">Column13704</t>
  </si>
  <si>
    <t xml:space="preserve">Column13705</t>
  </si>
  <si>
    <t xml:space="preserve">Column13706</t>
  </si>
  <si>
    <t xml:space="preserve">Column13707</t>
  </si>
  <si>
    <t xml:space="preserve">Column13708</t>
  </si>
  <si>
    <t xml:space="preserve">Column13709</t>
  </si>
  <si>
    <t xml:space="preserve">Column13710</t>
  </si>
  <si>
    <t xml:space="preserve">Column13711</t>
  </si>
  <si>
    <t xml:space="preserve">Column13712</t>
  </si>
  <si>
    <t xml:space="preserve">Column13713</t>
  </si>
  <si>
    <t xml:space="preserve">Column13714</t>
  </si>
  <si>
    <t xml:space="preserve">Column13715</t>
  </si>
  <si>
    <t xml:space="preserve">Column13716</t>
  </si>
  <si>
    <t xml:space="preserve">Column13717</t>
  </si>
  <si>
    <t xml:space="preserve">Column13718</t>
  </si>
  <si>
    <t xml:space="preserve">Column13719</t>
  </si>
  <si>
    <t xml:space="preserve">Column13720</t>
  </si>
  <si>
    <t xml:space="preserve">Column13721</t>
  </si>
  <si>
    <t xml:space="preserve">Column13722</t>
  </si>
  <si>
    <t xml:space="preserve">Column13723</t>
  </si>
  <si>
    <t xml:space="preserve">Column13724</t>
  </si>
  <si>
    <t xml:space="preserve">Column13725</t>
  </si>
  <si>
    <t xml:space="preserve">Column13726</t>
  </si>
  <si>
    <t xml:space="preserve">Column13727</t>
  </si>
  <si>
    <t xml:space="preserve">Column13728</t>
  </si>
  <si>
    <t xml:space="preserve">Column13729</t>
  </si>
  <si>
    <t xml:space="preserve">Column13730</t>
  </si>
  <si>
    <t xml:space="preserve">Column13731</t>
  </si>
  <si>
    <t xml:space="preserve">Column13732</t>
  </si>
  <si>
    <t xml:space="preserve">Column13733</t>
  </si>
  <si>
    <t xml:space="preserve">Column13734</t>
  </si>
  <si>
    <t xml:space="preserve">Column13735</t>
  </si>
  <si>
    <t xml:space="preserve">Column13736</t>
  </si>
  <si>
    <t xml:space="preserve">Column13737</t>
  </si>
  <si>
    <t xml:space="preserve">Column13738</t>
  </si>
  <si>
    <t xml:space="preserve">Column13739</t>
  </si>
  <si>
    <t xml:space="preserve">Column13740</t>
  </si>
  <si>
    <t xml:space="preserve">Column13741</t>
  </si>
  <si>
    <t xml:space="preserve">Column13742</t>
  </si>
  <si>
    <t xml:space="preserve">Column13743</t>
  </si>
  <si>
    <t xml:space="preserve">Column13744</t>
  </si>
  <si>
    <t xml:space="preserve">Column13745</t>
  </si>
  <si>
    <t xml:space="preserve">Column13746</t>
  </si>
  <si>
    <t xml:space="preserve">Column13747</t>
  </si>
  <si>
    <t xml:space="preserve">Column13748</t>
  </si>
  <si>
    <t xml:space="preserve">Column13749</t>
  </si>
  <si>
    <t xml:space="preserve">Column13750</t>
  </si>
  <si>
    <t xml:space="preserve">Column13751</t>
  </si>
  <si>
    <t xml:space="preserve">Column13752</t>
  </si>
  <si>
    <t xml:space="preserve">Column13753</t>
  </si>
  <si>
    <t xml:space="preserve">Column13754</t>
  </si>
  <si>
    <t xml:space="preserve">Column13755</t>
  </si>
  <si>
    <t xml:space="preserve">Column13756</t>
  </si>
  <si>
    <t xml:space="preserve">Column13757</t>
  </si>
  <si>
    <t xml:space="preserve">Column13758</t>
  </si>
  <si>
    <t xml:space="preserve">Column13759</t>
  </si>
  <si>
    <t xml:space="preserve">Column13760</t>
  </si>
  <si>
    <t xml:space="preserve">Column13761</t>
  </si>
  <si>
    <t xml:space="preserve">Column13762</t>
  </si>
  <si>
    <t xml:space="preserve">Column13763</t>
  </si>
  <si>
    <t xml:space="preserve">Column13764</t>
  </si>
  <si>
    <t xml:space="preserve">Column13765</t>
  </si>
  <si>
    <t xml:space="preserve">Column13766</t>
  </si>
  <si>
    <t xml:space="preserve">Column13767</t>
  </si>
  <si>
    <t xml:space="preserve">Column13768</t>
  </si>
  <si>
    <t xml:space="preserve">Column13769</t>
  </si>
  <si>
    <t xml:space="preserve">Column13770</t>
  </si>
  <si>
    <t xml:space="preserve">Column13771</t>
  </si>
  <si>
    <t xml:space="preserve">Column13772</t>
  </si>
  <si>
    <t xml:space="preserve">Column13773</t>
  </si>
  <si>
    <t xml:space="preserve">Column13774</t>
  </si>
  <si>
    <t xml:space="preserve">Column13775</t>
  </si>
  <si>
    <t xml:space="preserve">Column13776</t>
  </si>
  <si>
    <t xml:space="preserve">Column13777</t>
  </si>
  <si>
    <t xml:space="preserve">Column13778</t>
  </si>
  <si>
    <t xml:space="preserve">Column13779</t>
  </si>
  <si>
    <t xml:space="preserve">Column13780</t>
  </si>
  <si>
    <t xml:space="preserve">Column13781</t>
  </si>
  <si>
    <t xml:space="preserve">Column13782</t>
  </si>
  <si>
    <t xml:space="preserve">Column13783</t>
  </si>
  <si>
    <t xml:space="preserve">Column13784</t>
  </si>
  <si>
    <t xml:space="preserve">Column13785</t>
  </si>
  <si>
    <t xml:space="preserve">Column13786</t>
  </si>
  <si>
    <t xml:space="preserve">Column13787</t>
  </si>
  <si>
    <t xml:space="preserve">Column13788</t>
  </si>
  <si>
    <t xml:space="preserve">Column13789</t>
  </si>
  <si>
    <t xml:space="preserve">Column13790</t>
  </si>
  <si>
    <t xml:space="preserve">Column13791</t>
  </si>
  <si>
    <t xml:space="preserve">Column13792</t>
  </si>
  <si>
    <t xml:space="preserve">Column13793</t>
  </si>
  <si>
    <t xml:space="preserve">Column13794</t>
  </si>
  <si>
    <t xml:space="preserve">Column13795</t>
  </si>
  <si>
    <t xml:space="preserve">Column13796</t>
  </si>
  <si>
    <t xml:space="preserve">Column13797</t>
  </si>
  <si>
    <t xml:space="preserve">Column13798</t>
  </si>
  <si>
    <t xml:space="preserve">Column13799</t>
  </si>
  <si>
    <t xml:space="preserve">Column13800</t>
  </si>
  <si>
    <t xml:space="preserve">Column13801</t>
  </si>
  <si>
    <t xml:space="preserve">Column13802</t>
  </si>
  <si>
    <t xml:space="preserve">Column13803</t>
  </si>
  <si>
    <t xml:space="preserve">Column13804</t>
  </si>
  <si>
    <t xml:space="preserve">Column13805</t>
  </si>
  <si>
    <t xml:space="preserve">Column13806</t>
  </si>
  <si>
    <t xml:space="preserve">Column13807</t>
  </si>
  <si>
    <t xml:space="preserve">Column13808</t>
  </si>
  <si>
    <t xml:space="preserve">Column13809</t>
  </si>
  <si>
    <t xml:space="preserve">Column13810</t>
  </si>
  <si>
    <t xml:space="preserve">Column13811</t>
  </si>
  <si>
    <t xml:space="preserve">Column13812</t>
  </si>
  <si>
    <t xml:space="preserve">Column13813</t>
  </si>
  <si>
    <t xml:space="preserve">Column13814</t>
  </si>
  <si>
    <t xml:space="preserve">Column13815</t>
  </si>
  <si>
    <t xml:space="preserve">Column13816</t>
  </si>
  <si>
    <t xml:space="preserve">Column13817</t>
  </si>
  <si>
    <t xml:space="preserve">Column13818</t>
  </si>
  <si>
    <t xml:space="preserve">Column13819</t>
  </si>
  <si>
    <t xml:space="preserve">Column13820</t>
  </si>
  <si>
    <t xml:space="preserve">Column13821</t>
  </si>
  <si>
    <t xml:space="preserve">Column13822</t>
  </si>
  <si>
    <t xml:space="preserve">Column13823</t>
  </si>
  <si>
    <t xml:space="preserve">Column13824</t>
  </si>
  <si>
    <t xml:space="preserve">Column13825</t>
  </si>
  <si>
    <t xml:space="preserve">Column13826</t>
  </si>
  <si>
    <t xml:space="preserve">Column13827</t>
  </si>
  <si>
    <t xml:space="preserve">Column13828</t>
  </si>
  <si>
    <t xml:space="preserve">Column13829</t>
  </si>
  <si>
    <t xml:space="preserve">Column13830</t>
  </si>
  <si>
    <t xml:space="preserve">Column13831</t>
  </si>
  <si>
    <t xml:space="preserve">Column13832</t>
  </si>
  <si>
    <t xml:space="preserve">Column13833</t>
  </si>
  <si>
    <t xml:space="preserve">Column13834</t>
  </si>
  <si>
    <t xml:space="preserve">Column13835</t>
  </si>
  <si>
    <t xml:space="preserve">Column13836</t>
  </si>
  <si>
    <t xml:space="preserve">Column13837</t>
  </si>
  <si>
    <t xml:space="preserve">Column13838</t>
  </si>
  <si>
    <t xml:space="preserve">Column13839</t>
  </si>
  <si>
    <t xml:space="preserve">Column13840</t>
  </si>
  <si>
    <t xml:space="preserve">Column13841</t>
  </si>
  <si>
    <t xml:space="preserve">Column13842</t>
  </si>
  <si>
    <t xml:space="preserve">Column13843</t>
  </si>
  <si>
    <t xml:space="preserve">Column13844</t>
  </si>
  <si>
    <t xml:space="preserve">Column13845</t>
  </si>
  <si>
    <t xml:space="preserve">Column13846</t>
  </si>
  <si>
    <t xml:space="preserve">Column13847</t>
  </si>
  <si>
    <t xml:space="preserve">Column13848</t>
  </si>
  <si>
    <t xml:space="preserve">Column13849</t>
  </si>
  <si>
    <t xml:space="preserve">Column13850</t>
  </si>
  <si>
    <t xml:space="preserve">Column13851</t>
  </si>
  <si>
    <t xml:space="preserve">Column13852</t>
  </si>
  <si>
    <t xml:space="preserve">Column13853</t>
  </si>
  <si>
    <t xml:space="preserve">Column13854</t>
  </si>
  <si>
    <t xml:space="preserve">Column13855</t>
  </si>
  <si>
    <t xml:space="preserve">Column13856</t>
  </si>
  <si>
    <t xml:space="preserve">Column13857</t>
  </si>
  <si>
    <t xml:space="preserve">Column13858</t>
  </si>
  <si>
    <t xml:space="preserve">Column13859</t>
  </si>
  <si>
    <t xml:space="preserve">Column13860</t>
  </si>
  <si>
    <t xml:space="preserve">Column13861</t>
  </si>
  <si>
    <t xml:space="preserve">Column13862</t>
  </si>
  <si>
    <t xml:space="preserve">Column13863</t>
  </si>
  <si>
    <t xml:space="preserve">Column13864</t>
  </si>
  <si>
    <t xml:space="preserve">Column13865</t>
  </si>
  <si>
    <t xml:space="preserve">Column13866</t>
  </si>
  <si>
    <t xml:space="preserve">Column13867</t>
  </si>
  <si>
    <t xml:space="preserve">Column13868</t>
  </si>
  <si>
    <t xml:space="preserve">Column13869</t>
  </si>
  <si>
    <t xml:space="preserve">Column13870</t>
  </si>
  <si>
    <t xml:space="preserve">Column13871</t>
  </si>
  <si>
    <t xml:space="preserve">Column13872</t>
  </si>
  <si>
    <t xml:space="preserve">Column13873</t>
  </si>
  <si>
    <t xml:space="preserve">Column13874</t>
  </si>
  <si>
    <t xml:space="preserve">Column13875</t>
  </si>
  <si>
    <t xml:space="preserve">Column13876</t>
  </si>
  <si>
    <t xml:space="preserve">Column13877</t>
  </si>
  <si>
    <t xml:space="preserve">Column13878</t>
  </si>
  <si>
    <t xml:space="preserve">Column13879</t>
  </si>
  <si>
    <t xml:space="preserve">Column13880</t>
  </si>
  <si>
    <t xml:space="preserve">Column13881</t>
  </si>
  <si>
    <t xml:space="preserve">Column13882</t>
  </si>
  <si>
    <t xml:space="preserve">Column13883</t>
  </si>
  <si>
    <t xml:space="preserve">Column13884</t>
  </si>
  <si>
    <t xml:space="preserve">Column13885</t>
  </si>
  <si>
    <t xml:space="preserve">Column13886</t>
  </si>
  <si>
    <t xml:space="preserve">Column13887</t>
  </si>
  <si>
    <t xml:space="preserve">Column13888</t>
  </si>
  <si>
    <t xml:space="preserve">Column13889</t>
  </si>
  <si>
    <t xml:space="preserve">Column13890</t>
  </si>
  <si>
    <t xml:space="preserve">Column13891</t>
  </si>
  <si>
    <t xml:space="preserve">Column13892</t>
  </si>
  <si>
    <t xml:space="preserve">Column13893</t>
  </si>
  <si>
    <t xml:space="preserve">Column13894</t>
  </si>
  <si>
    <t xml:space="preserve">Column13895</t>
  </si>
  <si>
    <t xml:space="preserve">Column13896</t>
  </si>
  <si>
    <t xml:space="preserve">Column13897</t>
  </si>
  <si>
    <t xml:space="preserve">Column13898</t>
  </si>
  <si>
    <t xml:space="preserve">Column13899</t>
  </si>
  <si>
    <t xml:space="preserve">Column13900</t>
  </si>
  <si>
    <t xml:space="preserve">Column13901</t>
  </si>
  <si>
    <t xml:space="preserve">Column13902</t>
  </si>
  <si>
    <t xml:space="preserve">Column13903</t>
  </si>
  <si>
    <t xml:space="preserve">Column13904</t>
  </si>
  <si>
    <t xml:space="preserve">Column13905</t>
  </si>
  <si>
    <t xml:space="preserve">Column13906</t>
  </si>
  <si>
    <t xml:space="preserve">Column13907</t>
  </si>
  <si>
    <t xml:space="preserve">Column13908</t>
  </si>
  <si>
    <t xml:space="preserve">Column13909</t>
  </si>
  <si>
    <t xml:space="preserve">Column13910</t>
  </si>
  <si>
    <t xml:space="preserve">Column13911</t>
  </si>
  <si>
    <t xml:space="preserve">Column13912</t>
  </si>
  <si>
    <t xml:space="preserve">Column13913</t>
  </si>
  <si>
    <t xml:space="preserve">Column13914</t>
  </si>
  <si>
    <t xml:space="preserve">Column13915</t>
  </si>
  <si>
    <t xml:space="preserve">Column13916</t>
  </si>
  <si>
    <t xml:space="preserve">Column13917</t>
  </si>
  <si>
    <t xml:space="preserve">Column13918</t>
  </si>
  <si>
    <t xml:space="preserve">Column13919</t>
  </si>
  <si>
    <t xml:space="preserve">Column13920</t>
  </si>
  <si>
    <t xml:space="preserve">Column13921</t>
  </si>
  <si>
    <t xml:space="preserve">Column13922</t>
  </si>
  <si>
    <t xml:space="preserve">Column13923</t>
  </si>
  <si>
    <t xml:space="preserve">Column13924</t>
  </si>
  <si>
    <t xml:space="preserve">Column13925</t>
  </si>
  <si>
    <t xml:space="preserve">Column13926</t>
  </si>
  <si>
    <t xml:space="preserve">Column13927</t>
  </si>
  <si>
    <t xml:space="preserve">Column13928</t>
  </si>
  <si>
    <t xml:space="preserve">Column13929</t>
  </si>
  <si>
    <t xml:space="preserve">Column13930</t>
  </si>
  <si>
    <t xml:space="preserve">Column13931</t>
  </si>
  <si>
    <t xml:space="preserve">Column13932</t>
  </si>
  <si>
    <t xml:space="preserve">Column13933</t>
  </si>
  <si>
    <t xml:space="preserve">Column13934</t>
  </si>
  <si>
    <t xml:space="preserve">Column13935</t>
  </si>
  <si>
    <t xml:space="preserve">Column13936</t>
  </si>
  <si>
    <t xml:space="preserve">Column13937</t>
  </si>
  <si>
    <t xml:space="preserve">Column13938</t>
  </si>
  <si>
    <t xml:space="preserve">Column13939</t>
  </si>
  <si>
    <t xml:space="preserve">Column13940</t>
  </si>
  <si>
    <t xml:space="preserve">Column13941</t>
  </si>
  <si>
    <t xml:space="preserve">Column13942</t>
  </si>
  <si>
    <t xml:space="preserve">Column13943</t>
  </si>
  <si>
    <t xml:space="preserve">Column13944</t>
  </si>
  <si>
    <t xml:space="preserve">Column13945</t>
  </si>
  <si>
    <t xml:space="preserve">Column13946</t>
  </si>
  <si>
    <t xml:space="preserve">Column13947</t>
  </si>
  <si>
    <t xml:space="preserve">Column13948</t>
  </si>
  <si>
    <t xml:space="preserve">Column13949</t>
  </si>
  <si>
    <t xml:space="preserve">Column13950</t>
  </si>
  <si>
    <t xml:space="preserve">Column13951</t>
  </si>
  <si>
    <t xml:space="preserve">Column13952</t>
  </si>
  <si>
    <t xml:space="preserve">Column13953</t>
  </si>
  <si>
    <t xml:space="preserve">Column13954</t>
  </si>
  <si>
    <t xml:space="preserve">Column13955</t>
  </si>
  <si>
    <t xml:space="preserve">Column13956</t>
  </si>
  <si>
    <t xml:space="preserve">Column13957</t>
  </si>
  <si>
    <t xml:space="preserve">Column13958</t>
  </si>
  <si>
    <t xml:space="preserve">Column13959</t>
  </si>
  <si>
    <t xml:space="preserve">Column13960</t>
  </si>
  <si>
    <t xml:space="preserve">Column13961</t>
  </si>
  <si>
    <t xml:space="preserve">Column13962</t>
  </si>
  <si>
    <t xml:space="preserve">Column13963</t>
  </si>
  <si>
    <t xml:space="preserve">Column13964</t>
  </si>
  <si>
    <t xml:space="preserve">Column13965</t>
  </si>
  <si>
    <t xml:space="preserve">Column13966</t>
  </si>
  <si>
    <t xml:space="preserve">Column13967</t>
  </si>
  <si>
    <t xml:space="preserve">Column13968</t>
  </si>
  <si>
    <t xml:space="preserve">Column13969</t>
  </si>
  <si>
    <t xml:space="preserve">Column13970</t>
  </si>
  <si>
    <t xml:space="preserve">Column13971</t>
  </si>
  <si>
    <t xml:space="preserve">Column13972</t>
  </si>
  <si>
    <t xml:space="preserve">Column13973</t>
  </si>
  <si>
    <t xml:space="preserve">Column13974</t>
  </si>
  <si>
    <t xml:space="preserve">Column13975</t>
  </si>
  <si>
    <t xml:space="preserve">Column13976</t>
  </si>
  <si>
    <t xml:space="preserve">Column13977</t>
  </si>
  <si>
    <t xml:space="preserve">Column13978</t>
  </si>
  <si>
    <t xml:space="preserve">Column13979</t>
  </si>
  <si>
    <t xml:space="preserve">Column13980</t>
  </si>
  <si>
    <t xml:space="preserve">Column13981</t>
  </si>
  <si>
    <t xml:space="preserve">Column13982</t>
  </si>
  <si>
    <t xml:space="preserve">Column13983</t>
  </si>
  <si>
    <t xml:space="preserve">Column13984</t>
  </si>
  <si>
    <t xml:space="preserve">Column13985</t>
  </si>
  <si>
    <t xml:space="preserve">Column13986</t>
  </si>
  <si>
    <t xml:space="preserve">Column13987</t>
  </si>
  <si>
    <t xml:space="preserve">Column13988</t>
  </si>
  <si>
    <t xml:space="preserve">Column13989</t>
  </si>
  <si>
    <t xml:space="preserve">Column13990</t>
  </si>
  <si>
    <t xml:space="preserve">Column13991</t>
  </si>
  <si>
    <t xml:space="preserve">Column13992</t>
  </si>
  <si>
    <t xml:space="preserve">Column13993</t>
  </si>
  <si>
    <t xml:space="preserve">Column13994</t>
  </si>
  <si>
    <t xml:space="preserve">Column13995</t>
  </si>
  <si>
    <t xml:space="preserve">Column13996</t>
  </si>
  <si>
    <t xml:space="preserve">Column13997</t>
  </si>
  <si>
    <t xml:space="preserve">Column13998</t>
  </si>
  <si>
    <t xml:space="preserve">Column13999</t>
  </si>
  <si>
    <t xml:space="preserve">Column14000</t>
  </si>
  <si>
    <t xml:space="preserve">Column14001</t>
  </si>
  <si>
    <t xml:space="preserve">Column14002</t>
  </si>
  <si>
    <t xml:space="preserve">Column14003</t>
  </si>
  <si>
    <t xml:space="preserve">Column14004</t>
  </si>
  <si>
    <t xml:space="preserve">Column14005</t>
  </si>
  <si>
    <t xml:space="preserve">Column14006</t>
  </si>
  <si>
    <t xml:space="preserve">Column14007</t>
  </si>
  <si>
    <t xml:space="preserve">Column14008</t>
  </si>
  <si>
    <t xml:space="preserve">Column14009</t>
  </si>
  <si>
    <t xml:space="preserve">Column14010</t>
  </si>
  <si>
    <t xml:space="preserve">Column14011</t>
  </si>
  <si>
    <t xml:space="preserve">Column14012</t>
  </si>
  <si>
    <t xml:space="preserve">Column14013</t>
  </si>
  <si>
    <t xml:space="preserve">Column14014</t>
  </si>
  <si>
    <t xml:space="preserve">Column14015</t>
  </si>
  <si>
    <t xml:space="preserve">Column14016</t>
  </si>
  <si>
    <t xml:space="preserve">Column14017</t>
  </si>
  <si>
    <t xml:space="preserve">Column14018</t>
  </si>
  <si>
    <t xml:space="preserve">Column14019</t>
  </si>
  <si>
    <t xml:space="preserve">Column14020</t>
  </si>
  <si>
    <t xml:space="preserve">Column14021</t>
  </si>
  <si>
    <t xml:space="preserve">Column14022</t>
  </si>
  <si>
    <t xml:space="preserve">Column14023</t>
  </si>
  <si>
    <t xml:space="preserve">Column14024</t>
  </si>
  <si>
    <t xml:space="preserve">Column14025</t>
  </si>
  <si>
    <t xml:space="preserve">Column14026</t>
  </si>
  <si>
    <t xml:space="preserve">Column14027</t>
  </si>
  <si>
    <t xml:space="preserve">Column14028</t>
  </si>
  <si>
    <t xml:space="preserve">Column14029</t>
  </si>
  <si>
    <t xml:space="preserve">Column14030</t>
  </si>
  <si>
    <t xml:space="preserve">Column14031</t>
  </si>
  <si>
    <t xml:space="preserve">Column14032</t>
  </si>
  <si>
    <t xml:space="preserve">Column14033</t>
  </si>
  <si>
    <t xml:space="preserve">Column14034</t>
  </si>
  <si>
    <t xml:space="preserve">Column14035</t>
  </si>
  <si>
    <t xml:space="preserve">Column14036</t>
  </si>
  <si>
    <t xml:space="preserve">Column14037</t>
  </si>
  <si>
    <t xml:space="preserve">Column14038</t>
  </si>
  <si>
    <t xml:space="preserve">Column14039</t>
  </si>
  <si>
    <t xml:space="preserve">Column14040</t>
  </si>
  <si>
    <t xml:space="preserve">Column14041</t>
  </si>
  <si>
    <t xml:space="preserve">Column14042</t>
  </si>
  <si>
    <t xml:space="preserve">Column14043</t>
  </si>
  <si>
    <t xml:space="preserve">Column14044</t>
  </si>
  <si>
    <t xml:space="preserve">Column14045</t>
  </si>
  <si>
    <t xml:space="preserve">Column14046</t>
  </si>
  <si>
    <t xml:space="preserve">Column14047</t>
  </si>
  <si>
    <t xml:space="preserve">Column14048</t>
  </si>
  <si>
    <t xml:space="preserve">Column14049</t>
  </si>
  <si>
    <t xml:space="preserve">Column14050</t>
  </si>
  <si>
    <t xml:space="preserve">Column14051</t>
  </si>
  <si>
    <t xml:space="preserve">Column14052</t>
  </si>
  <si>
    <t xml:space="preserve">Column14053</t>
  </si>
  <si>
    <t xml:space="preserve">Column14054</t>
  </si>
  <si>
    <t xml:space="preserve">Column14055</t>
  </si>
  <si>
    <t xml:space="preserve">Column14056</t>
  </si>
  <si>
    <t xml:space="preserve">Column14057</t>
  </si>
  <si>
    <t xml:space="preserve">Column14058</t>
  </si>
  <si>
    <t xml:space="preserve">Column14059</t>
  </si>
  <si>
    <t xml:space="preserve">Column14060</t>
  </si>
  <si>
    <t xml:space="preserve">Column14061</t>
  </si>
  <si>
    <t xml:space="preserve">Column14062</t>
  </si>
  <si>
    <t xml:space="preserve">Column14063</t>
  </si>
  <si>
    <t xml:space="preserve">Column14064</t>
  </si>
  <si>
    <t xml:space="preserve">Column14065</t>
  </si>
  <si>
    <t xml:space="preserve">Column14066</t>
  </si>
  <si>
    <t xml:space="preserve">Column14067</t>
  </si>
  <si>
    <t xml:space="preserve">Column14068</t>
  </si>
  <si>
    <t xml:space="preserve">Column14069</t>
  </si>
  <si>
    <t xml:space="preserve">Column14070</t>
  </si>
  <si>
    <t xml:space="preserve">Column14071</t>
  </si>
  <si>
    <t xml:space="preserve">Column14072</t>
  </si>
  <si>
    <t xml:space="preserve">Column14073</t>
  </si>
  <si>
    <t xml:space="preserve">Column14074</t>
  </si>
  <si>
    <t xml:space="preserve">Column14075</t>
  </si>
  <si>
    <t xml:space="preserve">Column14076</t>
  </si>
  <si>
    <t xml:space="preserve">Column14077</t>
  </si>
  <si>
    <t xml:space="preserve">Column14078</t>
  </si>
  <si>
    <t xml:space="preserve">Column14079</t>
  </si>
  <si>
    <t xml:space="preserve">Column14080</t>
  </si>
  <si>
    <t xml:space="preserve">Column14081</t>
  </si>
  <si>
    <t xml:space="preserve">Column14082</t>
  </si>
  <si>
    <t xml:space="preserve">Column14083</t>
  </si>
  <si>
    <t xml:space="preserve">Column14084</t>
  </si>
  <si>
    <t xml:space="preserve">Column14085</t>
  </si>
  <si>
    <t xml:space="preserve">Column14086</t>
  </si>
  <si>
    <t xml:space="preserve">Column14087</t>
  </si>
  <si>
    <t xml:space="preserve">Column14088</t>
  </si>
  <si>
    <t xml:space="preserve">Column14089</t>
  </si>
  <si>
    <t xml:space="preserve">Column14090</t>
  </si>
  <si>
    <t xml:space="preserve">Column14091</t>
  </si>
  <si>
    <t xml:space="preserve">Column14092</t>
  </si>
  <si>
    <t xml:space="preserve">Column14093</t>
  </si>
  <si>
    <t xml:space="preserve">Column14094</t>
  </si>
  <si>
    <t xml:space="preserve">Column14095</t>
  </si>
  <si>
    <t xml:space="preserve">Column14096</t>
  </si>
  <si>
    <t xml:space="preserve">Column14097</t>
  </si>
  <si>
    <t xml:space="preserve">Column14098</t>
  </si>
  <si>
    <t xml:space="preserve">Column14099</t>
  </si>
  <si>
    <t xml:space="preserve">Column14100</t>
  </si>
  <si>
    <t xml:space="preserve">Column14101</t>
  </si>
  <si>
    <t xml:space="preserve">Column14102</t>
  </si>
  <si>
    <t xml:space="preserve">Column14103</t>
  </si>
  <si>
    <t xml:space="preserve">Column14104</t>
  </si>
  <si>
    <t xml:space="preserve">Column14105</t>
  </si>
  <si>
    <t xml:space="preserve">Column14106</t>
  </si>
  <si>
    <t xml:space="preserve">Column14107</t>
  </si>
  <si>
    <t xml:space="preserve">Column14108</t>
  </si>
  <si>
    <t xml:space="preserve">Column14109</t>
  </si>
  <si>
    <t xml:space="preserve">Column14110</t>
  </si>
  <si>
    <t xml:space="preserve">Column14111</t>
  </si>
  <si>
    <t xml:space="preserve">Column14112</t>
  </si>
  <si>
    <t xml:space="preserve">Column14113</t>
  </si>
  <si>
    <t xml:space="preserve">Column14114</t>
  </si>
  <si>
    <t xml:space="preserve">Column14115</t>
  </si>
  <si>
    <t xml:space="preserve">Column14116</t>
  </si>
  <si>
    <t xml:space="preserve">Column14117</t>
  </si>
  <si>
    <t xml:space="preserve">Column14118</t>
  </si>
  <si>
    <t xml:space="preserve">Column14119</t>
  </si>
  <si>
    <t xml:space="preserve">Column14120</t>
  </si>
  <si>
    <t xml:space="preserve">Column14121</t>
  </si>
  <si>
    <t xml:space="preserve">Column14122</t>
  </si>
  <si>
    <t xml:space="preserve">Column14123</t>
  </si>
  <si>
    <t xml:space="preserve">Column14124</t>
  </si>
  <si>
    <t xml:space="preserve">Column14125</t>
  </si>
  <si>
    <t xml:space="preserve">Column14126</t>
  </si>
  <si>
    <t xml:space="preserve">Column14127</t>
  </si>
  <si>
    <t xml:space="preserve">Column14128</t>
  </si>
  <si>
    <t xml:space="preserve">Column14129</t>
  </si>
  <si>
    <t xml:space="preserve">Column14130</t>
  </si>
  <si>
    <t xml:space="preserve">Column14131</t>
  </si>
  <si>
    <t xml:space="preserve">Column14132</t>
  </si>
  <si>
    <t xml:space="preserve">Column14133</t>
  </si>
  <si>
    <t xml:space="preserve">Column14134</t>
  </si>
  <si>
    <t xml:space="preserve">Column14135</t>
  </si>
  <si>
    <t xml:space="preserve">Column14136</t>
  </si>
  <si>
    <t xml:space="preserve">Column14137</t>
  </si>
  <si>
    <t xml:space="preserve">Column14138</t>
  </si>
  <si>
    <t xml:space="preserve">Column14139</t>
  </si>
  <si>
    <t xml:space="preserve">Column14140</t>
  </si>
  <si>
    <t xml:space="preserve">Column14141</t>
  </si>
  <si>
    <t xml:space="preserve">Column14142</t>
  </si>
  <si>
    <t xml:space="preserve">Column14143</t>
  </si>
  <si>
    <t xml:space="preserve">Column14144</t>
  </si>
  <si>
    <t xml:space="preserve">Column14145</t>
  </si>
  <si>
    <t xml:space="preserve">Column14146</t>
  </si>
  <si>
    <t xml:space="preserve">Column14147</t>
  </si>
  <si>
    <t xml:space="preserve">Column14148</t>
  </si>
  <si>
    <t xml:space="preserve">Column14149</t>
  </si>
  <si>
    <t xml:space="preserve">Column14150</t>
  </si>
  <si>
    <t xml:space="preserve">Column14151</t>
  </si>
  <si>
    <t xml:space="preserve">Column14152</t>
  </si>
  <si>
    <t xml:space="preserve">Column14153</t>
  </si>
  <si>
    <t xml:space="preserve">Column14154</t>
  </si>
  <si>
    <t xml:space="preserve">Column14155</t>
  </si>
  <si>
    <t xml:space="preserve">Column14156</t>
  </si>
  <si>
    <t xml:space="preserve">Column14157</t>
  </si>
  <si>
    <t xml:space="preserve">Column14158</t>
  </si>
  <si>
    <t xml:space="preserve">Column14159</t>
  </si>
  <si>
    <t xml:space="preserve">Column14160</t>
  </si>
  <si>
    <t xml:space="preserve">Column14161</t>
  </si>
  <si>
    <t xml:space="preserve">Column14162</t>
  </si>
  <si>
    <t xml:space="preserve">Column14163</t>
  </si>
  <si>
    <t xml:space="preserve">Column14164</t>
  </si>
  <si>
    <t xml:space="preserve">Column14165</t>
  </si>
  <si>
    <t xml:space="preserve">Column14166</t>
  </si>
  <si>
    <t xml:space="preserve">Column14167</t>
  </si>
  <si>
    <t xml:space="preserve">Column14168</t>
  </si>
  <si>
    <t xml:space="preserve">Column14169</t>
  </si>
  <si>
    <t xml:space="preserve">Column14170</t>
  </si>
  <si>
    <t xml:space="preserve">Column14171</t>
  </si>
  <si>
    <t xml:space="preserve">Column14172</t>
  </si>
  <si>
    <t xml:space="preserve">Column14173</t>
  </si>
  <si>
    <t xml:space="preserve">Column14174</t>
  </si>
  <si>
    <t xml:space="preserve">Column14175</t>
  </si>
  <si>
    <t xml:space="preserve">Column14176</t>
  </si>
  <si>
    <t xml:space="preserve">Column14177</t>
  </si>
  <si>
    <t xml:space="preserve">Column14178</t>
  </si>
  <si>
    <t xml:space="preserve">Column14179</t>
  </si>
  <si>
    <t xml:space="preserve">Column14180</t>
  </si>
  <si>
    <t xml:space="preserve">Column14181</t>
  </si>
  <si>
    <t xml:space="preserve">Column14182</t>
  </si>
  <si>
    <t xml:space="preserve">Column14183</t>
  </si>
  <si>
    <t xml:space="preserve">Column14184</t>
  </si>
  <si>
    <t xml:space="preserve">Column14185</t>
  </si>
  <si>
    <t xml:space="preserve">Column14186</t>
  </si>
  <si>
    <t xml:space="preserve">Column14187</t>
  </si>
  <si>
    <t xml:space="preserve">Column14188</t>
  </si>
  <si>
    <t xml:space="preserve">Column14189</t>
  </si>
  <si>
    <t xml:space="preserve">Column14190</t>
  </si>
  <si>
    <t xml:space="preserve">Column14191</t>
  </si>
  <si>
    <t xml:space="preserve">Column14192</t>
  </si>
  <si>
    <t xml:space="preserve">Column14193</t>
  </si>
  <si>
    <t xml:space="preserve">Column14194</t>
  </si>
  <si>
    <t xml:space="preserve">Column14195</t>
  </si>
  <si>
    <t xml:space="preserve">Column14196</t>
  </si>
  <si>
    <t xml:space="preserve">Column14197</t>
  </si>
  <si>
    <t xml:space="preserve">Column14198</t>
  </si>
  <si>
    <t xml:space="preserve">Column14199</t>
  </si>
  <si>
    <t xml:space="preserve">Column14200</t>
  </si>
  <si>
    <t xml:space="preserve">Column14201</t>
  </si>
  <si>
    <t xml:space="preserve">Column14202</t>
  </si>
  <si>
    <t xml:space="preserve">Column14203</t>
  </si>
  <si>
    <t xml:space="preserve">Column14204</t>
  </si>
  <si>
    <t xml:space="preserve">Column14205</t>
  </si>
  <si>
    <t xml:space="preserve">Column14206</t>
  </si>
  <si>
    <t xml:space="preserve">Column14207</t>
  </si>
  <si>
    <t xml:space="preserve">Column14208</t>
  </si>
  <si>
    <t xml:space="preserve">Column14209</t>
  </si>
  <si>
    <t xml:space="preserve">Column14210</t>
  </si>
  <si>
    <t xml:space="preserve">Column14211</t>
  </si>
  <si>
    <t xml:space="preserve">Column14212</t>
  </si>
  <si>
    <t xml:space="preserve">Column14213</t>
  </si>
  <si>
    <t xml:space="preserve">Column14214</t>
  </si>
  <si>
    <t xml:space="preserve">Column14215</t>
  </si>
  <si>
    <t xml:space="preserve">Column14216</t>
  </si>
  <si>
    <t xml:space="preserve">Column14217</t>
  </si>
  <si>
    <t xml:space="preserve">Column14218</t>
  </si>
  <si>
    <t xml:space="preserve">Column14219</t>
  </si>
  <si>
    <t xml:space="preserve">Column14220</t>
  </si>
  <si>
    <t xml:space="preserve">Column14221</t>
  </si>
  <si>
    <t xml:space="preserve">Column14222</t>
  </si>
  <si>
    <t xml:space="preserve">Column14223</t>
  </si>
  <si>
    <t xml:space="preserve">Column14224</t>
  </si>
  <si>
    <t xml:space="preserve">Column14225</t>
  </si>
  <si>
    <t xml:space="preserve">Column14226</t>
  </si>
  <si>
    <t xml:space="preserve">Column14227</t>
  </si>
  <si>
    <t xml:space="preserve">Column14228</t>
  </si>
  <si>
    <t xml:space="preserve">Column14229</t>
  </si>
  <si>
    <t xml:space="preserve">Column14230</t>
  </si>
  <si>
    <t xml:space="preserve">Column14231</t>
  </si>
  <si>
    <t xml:space="preserve">Column14232</t>
  </si>
  <si>
    <t xml:space="preserve">Column14233</t>
  </si>
  <si>
    <t xml:space="preserve">Column14234</t>
  </si>
  <si>
    <t xml:space="preserve">Column14235</t>
  </si>
  <si>
    <t xml:space="preserve">Column14236</t>
  </si>
  <si>
    <t xml:space="preserve">Column14237</t>
  </si>
  <si>
    <t xml:space="preserve">Column14238</t>
  </si>
  <si>
    <t xml:space="preserve">Column14239</t>
  </si>
  <si>
    <t xml:space="preserve">Column14240</t>
  </si>
  <si>
    <t xml:space="preserve">Column14241</t>
  </si>
  <si>
    <t xml:space="preserve">Column14242</t>
  </si>
  <si>
    <t xml:space="preserve">Column14243</t>
  </si>
  <si>
    <t xml:space="preserve">Column14244</t>
  </si>
  <si>
    <t xml:space="preserve">Column14245</t>
  </si>
  <si>
    <t xml:space="preserve">Column14246</t>
  </si>
  <si>
    <t xml:space="preserve">Column14247</t>
  </si>
  <si>
    <t xml:space="preserve">Column14248</t>
  </si>
  <si>
    <t xml:space="preserve">Column14249</t>
  </si>
  <si>
    <t xml:space="preserve">Column14250</t>
  </si>
  <si>
    <t xml:space="preserve">Column14251</t>
  </si>
  <si>
    <t xml:space="preserve">Column14252</t>
  </si>
  <si>
    <t xml:space="preserve">Column14253</t>
  </si>
  <si>
    <t xml:space="preserve">Column14254</t>
  </si>
  <si>
    <t xml:space="preserve">Column14255</t>
  </si>
  <si>
    <t xml:space="preserve">Column14256</t>
  </si>
  <si>
    <t xml:space="preserve">Column14257</t>
  </si>
  <si>
    <t xml:space="preserve">Column14258</t>
  </si>
  <si>
    <t xml:space="preserve">Column14259</t>
  </si>
  <si>
    <t xml:space="preserve">Column14260</t>
  </si>
  <si>
    <t xml:space="preserve">Column14261</t>
  </si>
  <si>
    <t xml:space="preserve">Column14262</t>
  </si>
  <si>
    <t xml:space="preserve">Column14263</t>
  </si>
  <si>
    <t xml:space="preserve">Column14264</t>
  </si>
  <si>
    <t xml:space="preserve">Column14265</t>
  </si>
  <si>
    <t xml:space="preserve">Column14266</t>
  </si>
  <si>
    <t xml:space="preserve">Column14267</t>
  </si>
  <si>
    <t xml:space="preserve">Column14268</t>
  </si>
  <si>
    <t xml:space="preserve">Column14269</t>
  </si>
  <si>
    <t xml:space="preserve">Column14270</t>
  </si>
  <si>
    <t xml:space="preserve">Column14271</t>
  </si>
  <si>
    <t xml:space="preserve">Column14272</t>
  </si>
  <si>
    <t xml:space="preserve">Column14273</t>
  </si>
  <si>
    <t xml:space="preserve">Column14274</t>
  </si>
  <si>
    <t xml:space="preserve">Column14275</t>
  </si>
  <si>
    <t xml:space="preserve">Column14276</t>
  </si>
  <si>
    <t xml:space="preserve">Column14277</t>
  </si>
  <si>
    <t xml:space="preserve">Column14278</t>
  </si>
  <si>
    <t xml:space="preserve">Column14279</t>
  </si>
  <si>
    <t xml:space="preserve">Column14280</t>
  </si>
  <si>
    <t xml:space="preserve">Column14281</t>
  </si>
  <si>
    <t xml:space="preserve">Column14282</t>
  </si>
  <si>
    <t xml:space="preserve">Column14283</t>
  </si>
  <si>
    <t xml:space="preserve">Column14284</t>
  </si>
  <si>
    <t xml:space="preserve">Column14285</t>
  </si>
  <si>
    <t xml:space="preserve">Column14286</t>
  </si>
  <si>
    <t xml:space="preserve">Column14287</t>
  </si>
  <si>
    <t xml:space="preserve">Column14288</t>
  </si>
  <si>
    <t xml:space="preserve">Column14289</t>
  </si>
  <si>
    <t xml:space="preserve">Column14290</t>
  </si>
  <si>
    <t xml:space="preserve">Column14291</t>
  </si>
  <si>
    <t xml:space="preserve">Column14292</t>
  </si>
  <si>
    <t xml:space="preserve">Column14293</t>
  </si>
  <si>
    <t xml:space="preserve">Column14294</t>
  </si>
  <si>
    <t xml:space="preserve">Column14295</t>
  </si>
  <si>
    <t xml:space="preserve">Column14296</t>
  </si>
  <si>
    <t xml:space="preserve">Column14297</t>
  </si>
  <si>
    <t xml:space="preserve">Column14298</t>
  </si>
  <si>
    <t xml:space="preserve">Column14299</t>
  </si>
  <si>
    <t xml:space="preserve">Column14300</t>
  </si>
  <si>
    <t xml:space="preserve">Column14301</t>
  </si>
  <si>
    <t xml:space="preserve">Column14302</t>
  </si>
  <si>
    <t xml:space="preserve">Column14303</t>
  </si>
  <si>
    <t xml:space="preserve">Column14304</t>
  </si>
  <si>
    <t xml:space="preserve">Column14305</t>
  </si>
  <si>
    <t xml:space="preserve">Column14306</t>
  </si>
  <si>
    <t xml:space="preserve">Column14307</t>
  </si>
  <si>
    <t xml:space="preserve">Column14308</t>
  </si>
  <si>
    <t xml:space="preserve">Column14309</t>
  </si>
  <si>
    <t xml:space="preserve">Column14310</t>
  </si>
  <si>
    <t xml:space="preserve">Column14311</t>
  </si>
  <si>
    <t xml:space="preserve">Column14312</t>
  </si>
  <si>
    <t xml:space="preserve">Column14313</t>
  </si>
  <si>
    <t xml:space="preserve">Column14314</t>
  </si>
  <si>
    <t xml:space="preserve">Column14315</t>
  </si>
  <si>
    <t xml:space="preserve">Column14316</t>
  </si>
  <si>
    <t xml:space="preserve">Column14317</t>
  </si>
  <si>
    <t xml:space="preserve">Column14318</t>
  </si>
  <si>
    <t xml:space="preserve">Column14319</t>
  </si>
  <si>
    <t xml:space="preserve">Column14320</t>
  </si>
  <si>
    <t xml:space="preserve">Column14321</t>
  </si>
  <si>
    <t xml:space="preserve">Column14322</t>
  </si>
  <si>
    <t xml:space="preserve">Column14323</t>
  </si>
  <si>
    <t xml:space="preserve">Column14324</t>
  </si>
  <si>
    <t xml:space="preserve">Column14325</t>
  </si>
  <si>
    <t xml:space="preserve">Column14326</t>
  </si>
  <si>
    <t xml:space="preserve">Column14327</t>
  </si>
  <si>
    <t xml:space="preserve">Column14328</t>
  </si>
  <si>
    <t xml:space="preserve">Column14329</t>
  </si>
  <si>
    <t xml:space="preserve">Column14330</t>
  </si>
  <si>
    <t xml:space="preserve">Column14331</t>
  </si>
  <si>
    <t xml:space="preserve">Column14332</t>
  </si>
  <si>
    <t xml:space="preserve">Column14333</t>
  </si>
  <si>
    <t xml:space="preserve">Column14334</t>
  </si>
  <si>
    <t xml:space="preserve">Column14335</t>
  </si>
  <si>
    <t xml:space="preserve">Column14336</t>
  </si>
  <si>
    <t xml:space="preserve">Column14337</t>
  </si>
  <si>
    <t xml:space="preserve">Column14338</t>
  </si>
  <si>
    <t xml:space="preserve">Column14339</t>
  </si>
  <si>
    <t xml:space="preserve">Column14340</t>
  </si>
  <si>
    <t xml:space="preserve">Column14341</t>
  </si>
  <si>
    <t xml:space="preserve">Column14342</t>
  </si>
  <si>
    <t xml:space="preserve">Column14343</t>
  </si>
  <si>
    <t xml:space="preserve">Column14344</t>
  </si>
  <si>
    <t xml:space="preserve">Column14345</t>
  </si>
  <si>
    <t xml:space="preserve">Column14346</t>
  </si>
  <si>
    <t xml:space="preserve">Column14347</t>
  </si>
  <si>
    <t xml:space="preserve">Column14348</t>
  </si>
  <si>
    <t xml:space="preserve">Column14349</t>
  </si>
  <si>
    <t xml:space="preserve">Column14350</t>
  </si>
  <si>
    <t xml:space="preserve">Column14351</t>
  </si>
  <si>
    <t xml:space="preserve">Column14352</t>
  </si>
  <si>
    <t xml:space="preserve">Column14353</t>
  </si>
  <si>
    <t xml:space="preserve">Column14354</t>
  </si>
  <si>
    <t xml:space="preserve">Column14355</t>
  </si>
  <si>
    <t xml:space="preserve">Column14356</t>
  </si>
  <si>
    <t xml:space="preserve">Column14357</t>
  </si>
  <si>
    <t xml:space="preserve">Column14358</t>
  </si>
  <si>
    <t xml:space="preserve">Column14359</t>
  </si>
  <si>
    <t xml:space="preserve">Column14360</t>
  </si>
  <si>
    <t xml:space="preserve">Column14361</t>
  </si>
  <si>
    <t xml:space="preserve">Column14362</t>
  </si>
  <si>
    <t xml:space="preserve">Column14363</t>
  </si>
  <si>
    <t xml:space="preserve">Column14364</t>
  </si>
  <si>
    <t xml:space="preserve">Column14365</t>
  </si>
  <si>
    <t xml:space="preserve">Column14366</t>
  </si>
  <si>
    <t xml:space="preserve">Column14367</t>
  </si>
  <si>
    <t xml:space="preserve">Column14368</t>
  </si>
  <si>
    <t xml:space="preserve">Column14369</t>
  </si>
  <si>
    <t xml:space="preserve">Column14370</t>
  </si>
  <si>
    <t xml:space="preserve">Column14371</t>
  </si>
  <si>
    <t xml:space="preserve">Column14372</t>
  </si>
  <si>
    <t xml:space="preserve">Column14373</t>
  </si>
  <si>
    <t xml:space="preserve">Column14374</t>
  </si>
  <si>
    <t xml:space="preserve">Column14375</t>
  </si>
  <si>
    <t xml:space="preserve">Column14376</t>
  </si>
  <si>
    <t xml:space="preserve">Column14377</t>
  </si>
  <si>
    <t xml:space="preserve">Column14378</t>
  </si>
  <si>
    <t xml:space="preserve">Column14379</t>
  </si>
  <si>
    <t xml:space="preserve">Column14380</t>
  </si>
  <si>
    <t xml:space="preserve">Column14381</t>
  </si>
  <si>
    <t xml:space="preserve">Column14382</t>
  </si>
  <si>
    <t xml:space="preserve">Column14383</t>
  </si>
  <si>
    <t xml:space="preserve">Column14384</t>
  </si>
  <si>
    <t xml:space="preserve">Column14385</t>
  </si>
  <si>
    <t xml:space="preserve">Column14386</t>
  </si>
  <si>
    <t xml:space="preserve">Column14387</t>
  </si>
  <si>
    <t xml:space="preserve">Column14388</t>
  </si>
  <si>
    <t xml:space="preserve">Column14389</t>
  </si>
  <si>
    <t xml:space="preserve">Column14390</t>
  </si>
  <si>
    <t xml:space="preserve">Column14391</t>
  </si>
  <si>
    <t xml:space="preserve">Column14392</t>
  </si>
  <si>
    <t xml:space="preserve">Column14393</t>
  </si>
  <si>
    <t xml:space="preserve">Column14394</t>
  </si>
  <si>
    <t xml:space="preserve">Column14395</t>
  </si>
  <si>
    <t xml:space="preserve">Column14396</t>
  </si>
  <si>
    <t xml:space="preserve">Column14397</t>
  </si>
  <si>
    <t xml:space="preserve">Column14398</t>
  </si>
  <si>
    <t xml:space="preserve">Column14399</t>
  </si>
  <si>
    <t xml:space="preserve">Column14400</t>
  </si>
  <si>
    <t xml:space="preserve">Column14401</t>
  </si>
  <si>
    <t xml:space="preserve">Column14402</t>
  </si>
  <si>
    <t xml:space="preserve">Column14403</t>
  </si>
  <si>
    <t xml:space="preserve">Column14404</t>
  </si>
  <si>
    <t xml:space="preserve">Column14405</t>
  </si>
  <si>
    <t xml:space="preserve">Column14406</t>
  </si>
  <si>
    <t xml:space="preserve">Column14407</t>
  </si>
  <si>
    <t xml:space="preserve">Column14408</t>
  </si>
  <si>
    <t xml:space="preserve">Column14409</t>
  </si>
  <si>
    <t xml:space="preserve">Column14410</t>
  </si>
  <si>
    <t xml:space="preserve">Column14411</t>
  </si>
  <si>
    <t xml:space="preserve">Column14412</t>
  </si>
  <si>
    <t xml:space="preserve">Column14413</t>
  </si>
  <si>
    <t xml:space="preserve">Column14414</t>
  </si>
  <si>
    <t xml:space="preserve">Column14415</t>
  </si>
  <si>
    <t xml:space="preserve">Column14416</t>
  </si>
  <si>
    <t xml:space="preserve">Column14417</t>
  </si>
  <si>
    <t xml:space="preserve">Column14418</t>
  </si>
  <si>
    <t xml:space="preserve">Column14419</t>
  </si>
  <si>
    <t xml:space="preserve">Column14420</t>
  </si>
  <si>
    <t xml:space="preserve">Column14421</t>
  </si>
  <si>
    <t xml:space="preserve">Column14422</t>
  </si>
  <si>
    <t xml:space="preserve">Column14423</t>
  </si>
  <si>
    <t xml:space="preserve">Column14424</t>
  </si>
  <si>
    <t xml:space="preserve">Column14425</t>
  </si>
  <si>
    <t xml:space="preserve">Column14426</t>
  </si>
  <si>
    <t xml:space="preserve">Column14427</t>
  </si>
  <si>
    <t xml:space="preserve">Column14428</t>
  </si>
  <si>
    <t xml:space="preserve">Column14429</t>
  </si>
  <si>
    <t xml:space="preserve">Column14430</t>
  </si>
  <si>
    <t xml:space="preserve">Column14431</t>
  </si>
  <si>
    <t xml:space="preserve">Column14432</t>
  </si>
  <si>
    <t xml:space="preserve">Column14433</t>
  </si>
  <si>
    <t xml:space="preserve">Column14434</t>
  </si>
  <si>
    <t xml:space="preserve">Column14435</t>
  </si>
  <si>
    <t xml:space="preserve">Column14436</t>
  </si>
  <si>
    <t xml:space="preserve">Column14437</t>
  </si>
  <si>
    <t xml:space="preserve">Column14438</t>
  </si>
  <si>
    <t xml:space="preserve">Column14439</t>
  </si>
  <si>
    <t xml:space="preserve">Column14440</t>
  </si>
  <si>
    <t xml:space="preserve">Column14441</t>
  </si>
  <si>
    <t xml:space="preserve">Column14442</t>
  </si>
  <si>
    <t xml:space="preserve">Column14443</t>
  </si>
  <si>
    <t xml:space="preserve">Column14444</t>
  </si>
  <si>
    <t xml:space="preserve">Column14445</t>
  </si>
  <si>
    <t xml:space="preserve">Column14446</t>
  </si>
  <si>
    <t xml:space="preserve">Column14447</t>
  </si>
  <si>
    <t xml:space="preserve">Column14448</t>
  </si>
  <si>
    <t xml:space="preserve">Column14449</t>
  </si>
  <si>
    <t xml:space="preserve">Column14450</t>
  </si>
  <si>
    <t xml:space="preserve">Column14451</t>
  </si>
  <si>
    <t xml:space="preserve">Column14452</t>
  </si>
  <si>
    <t xml:space="preserve">Column14453</t>
  </si>
  <si>
    <t xml:space="preserve">Column14454</t>
  </si>
  <si>
    <t xml:space="preserve">Column14455</t>
  </si>
  <si>
    <t xml:space="preserve">Column14456</t>
  </si>
  <si>
    <t xml:space="preserve">Column14457</t>
  </si>
  <si>
    <t xml:space="preserve">Column14458</t>
  </si>
  <si>
    <t xml:space="preserve">Column14459</t>
  </si>
  <si>
    <t xml:space="preserve">Column14460</t>
  </si>
  <si>
    <t xml:space="preserve">Column14461</t>
  </si>
  <si>
    <t xml:space="preserve">Column14462</t>
  </si>
  <si>
    <t xml:space="preserve">Column14463</t>
  </si>
  <si>
    <t xml:space="preserve">Column14464</t>
  </si>
  <si>
    <t xml:space="preserve">Column14465</t>
  </si>
  <si>
    <t xml:space="preserve">Column14466</t>
  </si>
  <si>
    <t xml:space="preserve">Column14467</t>
  </si>
  <si>
    <t xml:space="preserve">Column14468</t>
  </si>
  <si>
    <t xml:space="preserve">Column14469</t>
  </si>
  <si>
    <t xml:space="preserve">Column14470</t>
  </si>
  <si>
    <t xml:space="preserve">Column14471</t>
  </si>
  <si>
    <t xml:space="preserve">Column14472</t>
  </si>
  <si>
    <t xml:space="preserve">Column14473</t>
  </si>
  <si>
    <t xml:space="preserve">Column14474</t>
  </si>
  <si>
    <t xml:space="preserve">Column14475</t>
  </si>
  <si>
    <t xml:space="preserve">Column14476</t>
  </si>
  <si>
    <t xml:space="preserve">Column14477</t>
  </si>
  <si>
    <t xml:space="preserve">Column14478</t>
  </si>
  <si>
    <t xml:space="preserve">Column14479</t>
  </si>
  <si>
    <t xml:space="preserve">Column14480</t>
  </si>
  <si>
    <t xml:space="preserve">Column14481</t>
  </si>
  <si>
    <t xml:space="preserve">Column14482</t>
  </si>
  <si>
    <t xml:space="preserve">Column14483</t>
  </si>
  <si>
    <t xml:space="preserve">Column14484</t>
  </si>
  <si>
    <t xml:space="preserve">Column14485</t>
  </si>
  <si>
    <t xml:space="preserve">Column14486</t>
  </si>
  <si>
    <t xml:space="preserve">Column14487</t>
  </si>
  <si>
    <t xml:space="preserve">Column14488</t>
  </si>
  <si>
    <t xml:space="preserve">Column14489</t>
  </si>
  <si>
    <t xml:space="preserve">Column14490</t>
  </si>
  <si>
    <t xml:space="preserve">Column14491</t>
  </si>
  <si>
    <t xml:space="preserve">Column14492</t>
  </si>
  <si>
    <t xml:space="preserve">Column14493</t>
  </si>
  <si>
    <t xml:space="preserve">Column14494</t>
  </si>
  <si>
    <t xml:space="preserve">Column14495</t>
  </si>
  <si>
    <t xml:space="preserve">Column14496</t>
  </si>
  <si>
    <t xml:space="preserve">Column14497</t>
  </si>
  <si>
    <t xml:space="preserve">Column14498</t>
  </si>
  <si>
    <t xml:space="preserve">Column14499</t>
  </si>
  <si>
    <t xml:space="preserve">Column14500</t>
  </si>
  <si>
    <t xml:space="preserve">Column14501</t>
  </si>
  <si>
    <t xml:space="preserve">Column14502</t>
  </si>
  <si>
    <t xml:space="preserve">Column14503</t>
  </si>
  <si>
    <t xml:space="preserve">Column14504</t>
  </si>
  <si>
    <t xml:space="preserve">Column14505</t>
  </si>
  <si>
    <t xml:space="preserve">Column14506</t>
  </si>
  <si>
    <t xml:space="preserve">Column14507</t>
  </si>
  <si>
    <t xml:space="preserve">Column14508</t>
  </si>
  <si>
    <t xml:space="preserve">Column14509</t>
  </si>
  <si>
    <t xml:space="preserve">Column14510</t>
  </si>
  <si>
    <t xml:space="preserve">Column14511</t>
  </si>
  <si>
    <t xml:space="preserve">Column14512</t>
  </si>
  <si>
    <t xml:space="preserve">Column14513</t>
  </si>
  <si>
    <t xml:space="preserve">Column14514</t>
  </si>
  <si>
    <t xml:space="preserve">Column14515</t>
  </si>
  <si>
    <t xml:space="preserve">Column14516</t>
  </si>
  <si>
    <t xml:space="preserve">Column14517</t>
  </si>
  <si>
    <t xml:space="preserve">Column14518</t>
  </si>
  <si>
    <t xml:space="preserve">Column14519</t>
  </si>
  <si>
    <t xml:space="preserve">Column14520</t>
  </si>
  <si>
    <t xml:space="preserve">Column14521</t>
  </si>
  <si>
    <t xml:space="preserve">Column14522</t>
  </si>
  <si>
    <t xml:space="preserve">Column14523</t>
  </si>
  <si>
    <t xml:space="preserve">Column14524</t>
  </si>
  <si>
    <t xml:space="preserve">Column14525</t>
  </si>
  <si>
    <t xml:space="preserve">Column14526</t>
  </si>
  <si>
    <t xml:space="preserve">Column14527</t>
  </si>
  <si>
    <t xml:space="preserve">Column14528</t>
  </si>
  <si>
    <t xml:space="preserve">Column14529</t>
  </si>
  <si>
    <t xml:space="preserve">Column14530</t>
  </si>
  <si>
    <t xml:space="preserve">Column14531</t>
  </si>
  <si>
    <t xml:space="preserve">Column14532</t>
  </si>
  <si>
    <t xml:space="preserve">Column14533</t>
  </si>
  <si>
    <t xml:space="preserve">Column14534</t>
  </si>
  <si>
    <t xml:space="preserve">Column14535</t>
  </si>
  <si>
    <t xml:space="preserve">Column14536</t>
  </si>
  <si>
    <t xml:space="preserve">Column14537</t>
  </si>
  <si>
    <t xml:space="preserve">Column14538</t>
  </si>
  <si>
    <t xml:space="preserve">Column14539</t>
  </si>
  <si>
    <t xml:space="preserve">Column14540</t>
  </si>
  <si>
    <t xml:space="preserve">Column14541</t>
  </si>
  <si>
    <t xml:space="preserve">Column14542</t>
  </si>
  <si>
    <t xml:space="preserve">Column14543</t>
  </si>
  <si>
    <t xml:space="preserve">Column14544</t>
  </si>
  <si>
    <t xml:space="preserve">Column14545</t>
  </si>
  <si>
    <t xml:space="preserve">Column14546</t>
  </si>
  <si>
    <t xml:space="preserve">Column14547</t>
  </si>
  <si>
    <t xml:space="preserve">Column14548</t>
  </si>
  <si>
    <t xml:space="preserve">Column14549</t>
  </si>
  <si>
    <t xml:space="preserve">Column14550</t>
  </si>
  <si>
    <t xml:space="preserve">Column14551</t>
  </si>
  <si>
    <t xml:space="preserve">Column14552</t>
  </si>
  <si>
    <t xml:space="preserve">Column14553</t>
  </si>
  <si>
    <t xml:space="preserve">Column14554</t>
  </si>
  <si>
    <t xml:space="preserve">Column14555</t>
  </si>
  <si>
    <t xml:space="preserve">Column14556</t>
  </si>
  <si>
    <t xml:space="preserve">Column14557</t>
  </si>
  <si>
    <t xml:space="preserve">Column14558</t>
  </si>
  <si>
    <t xml:space="preserve">Column14559</t>
  </si>
  <si>
    <t xml:space="preserve">Column14560</t>
  </si>
  <si>
    <t xml:space="preserve">Column14561</t>
  </si>
  <si>
    <t xml:space="preserve">Column14562</t>
  </si>
  <si>
    <t xml:space="preserve">Column14563</t>
  </si>
  <si>
    <t xml:space="preserve">Column14564</t>
  </si>
  <si>
    <t xml:space="preserve">Column14565</t>
  </si>
  <si>
    <t xml:space="preserve">Column14566</t>
  </si>
  <si>
    <t xml:space="preserve">Column14567</t>
  </si>
  <si>
    <t xml:space="preserve">Column14568</t>
  </si>
  <si>
    <t xml:space="preserve">Column14569</t>
  </si>
  <si>
    <t xml:space="preserve">Column14570</t>
  </si>
  <si>
    <t xml:space="preserve">Column14571</t>
  </si>
  <si>
    <t xml:space="preserve">Column14572</t>
  </si>
  <si>
    <t xml:space="preserve">Column14573</t>
  </si>
  <si>
    <t xml:space="preserve">Column14574</t>
  </si>
  <si>
    <t xml:space="preserve">Column14575</t>
  </si>
  <si>
    <t xml:space="preserve">Column14576</t>
  </si>
  <si>
    <t xml:space="preserve">Column14577</t>
  </si>
  <si>
    <t xml:space="preserve">Column14578</t>
  </si>
  <si>
    <t xml:space="preserve">Column14579</t>
  </si>
  <si>
    <t xml:space="preserve">Column14580</t>
  </si>
  <si>
    <t xml:space="preserve">Column14581</t>
  </si>
  <si>
    <t xml:space="preserve">Column14582</t>
  </si>
  <si>
    <t xml:space="preserve">Column14583</t>
  </si>
  <si>
    <t xml:space="preserve">Column14584</t>
  </si>
  <si>
    <t xml:space="preserve">Column14585</t>
  </si>
  <si>
    <t xml:space="preserve">Column14586</t>
  </si>
  <si>
    <t xml:space="preserve">Column14587</t>
  </si>
  <si>
    <t xml:space="preserve">Column14588</t>
  </si>
  <si>
    <t xml:space="preserve">Column14589</t>
  </si>
  <si>
    <t xml:space="preserve">Column14590</t>
  </si>
  <si>
    <t xml:space="preserve">Column14591</t>
  </si>
  <si>
    <t xml:space="preserve">Column14592</t>
  </si>
  <si>
    <t xml:space="preserve">Column14593</t>
  </si>
  <si>
    <t xml:space="preserve">Column14594</t>
  </si>
  <si>
    <t xml:space="preserve">Column14595</t>
  </si>
  <si>
    <t xml:space="preserve">Column14596</t>
  </si>
  <si>
    <t xml:space="preserve">Column14597</t>
  </si>
  <si>
    <t xml:space="preserve">Column14598</t>
  </si>
  <si>
    <t xml:space="preserve">Column14599</t>
  </si>
  <si>
    <t xml:space="preserve">Column14600</t>
  </si>
  <si>
    <t xml:space="preserve">Column14601</t>
  </si>
  <si>
    <t xml:space="preserve">Column14602</t>
  </si>
  <si>
    <t xml:space="preserve">Column14603</t>
  </si>
  <si>
    <t xml:space="preserve">Column14604</t>
  </si>
  <si>
    <t xml:space="preserve">Column14605</t>
  </si>
  <si>
    <t xml:space="preserve">Column14606</t>
  </si>
  <si>
    <t xml:space="preserve">Column14607</t>
  </si>
  <si>
    <t xml:space="preserve">Column14608</t>
  </si>
  <si>
    <t xml:space="preserve">Column14609</t>
  </si>
  <si>
    <t xml:space="preserve">Column14610</t>
  </si>
  <si>
    <t xml:space="preserve">Column14611</t>
  </si>
  <si>
    <t xml:space="preserve">Column14612</t>
  </si>
  <si>
    <t xml:space="preserve">Column14613</t>
  </si>
  <si>
    <t xml:space="preserve">Column14614</t>
  </si>
  <si>
    <t xml:space="preserve">Column14615</t>
  </si>
  <si>
    <t xml:space="preserve">Column14616</t>
  </si>
  <si>
    <t xml:space="preserve">Column14617</t>
  </si>
  <si>
    <t xml:space="preserve">Column14618</t>
  </si>
  <si>
    <t xml:space="preserve">Column14619</t>
  </si>
  <si>
    <t xml:space="preserve">Column14620</t>
  </si>
  <si>
    <t xml:space="preserve">Column14621</t>
  </si>
  <si>
    <t xml:space="preserve">Column14622</t>
  </si>
  <si>
    <t xml:space="preserve">Column14623</t>
  </si>
  <si>
    <t xml:space="preserve">Column14624</t>
  </si>
  <si>
    <t xml:space="preserve">Column14625</t>
  </si>
  <si>
    <t xml:space="preserve">Column14626</t>
  </si>
  <si>
    <t xml:space="preserve">Column14627</t>
  </si>
  <si>
    <t xml:space="preserve">Column14628</t>
  </si>
  <si>
    <t xml:space="preserve">Column14629</t>
  </si>
  <si>
    <t xml:space="preserve">Column14630</t>
  </si>
  <si>
    <t xml:space="preserve">Column14631</t>
  </si>
  <si>
    <t xml:space="preserve">Column14632</t>
  </si>
  <si>
    <t xml:space="preserve">Column14633</t>
  </si>
  <si>
    <t xml:space="preserve">Column14634</t>
  </si>
  <si>
    <t xml:space="preserve">Column14635</t>
  </si>
  <si>
    <t xml:space="preserve">Column14636</t>
  </si>
  <si>
    <t xml:space="preserve">Column14637</t>
  </si>
  <si>
    <t xml:space="preserve">Column14638</t>
  </si>
  <si>
    <t xml:space="preserve">Column14639</t>
  </si>
  <si>
    <t xml:space="preserve">Column14640</t>
  </si>
  <si>
    <t xml:space="preserve">Column14641</t>
  </si>
  <si>
    <t xml:space="preserve">Column14642</t>
  </si>
  <si>
    <t xml:space="preserve">Column14643</t>
  </si>
  <si>
    <t xml:space="preserve">Column14644</t>
  </si>
  <si>
    <t xml:space="preserve">Column14645</t>
  </si>
  <si>
    <t xml:space="preserve">Column14646</t>
  </si>
  <si>
    <t xml:space="preserve">Column14647</t>
  </si>
  <si>
    <t xml:space="preserve">Column14648</t>
  </si>
  <si>
    <t xml:space="preserve">Column14649</t>
  </si>
  <si>
    <t xml:space="preserve">Column14650</t>
  </si>
  <si>
    <t xml:space="preserve">Column14651</t>
  </si>
  <si>
    <t xml:space="preserve">Column14652</t>
  </si>
  <si>
    <t xml:space="preserve">Column14653</t>
  </si>
  <si>
    <t xml:space="preserve">Column14654</t>
  </si>
  <si>
    <t xml:space="preserve">Column14655</t>
  </si>
  <si>
    <t xml:space="preserve">Column14656</t>
  </si>
  <si>
    <t xml:space="preserve">Column14657</t>
  </si>
  <si>
    <t xml:space="preserve">Column14658</t>
  </si>
  <si>
    <t xml:space="preserve">Column14659</t>
  </si>
  <si>
    <t xml:space="preserve">Column14660</t>
  </si>
  <si>
    <t xml:space="preserve">Column14661</t>
  </si>
  <si>
    <t xml:space="preserve">Column14662</t>
  </si>
  <si>
    <t xml:space="preserve">Column14663</t>
  </si>
  <si>
    <t xml:space="preserve">Column14664</t>
  </si>
  <si>
    <t xml:space="preserve">Column14665</t>
  </si>
  <si>
    <t xml:space="preserve">Column14666</t>
  </si>
  <si>
    <t xml:space="preserve">Column14667</t>
  </si>
  <si>
    <t xml:space="preserve">Column14668</t>
  </si>
  <si>
    <t xml:space="preserve">Column14669</t>
  </si>
  <si>
    <t xml:space="preserve">Column14670</t>
  </si>
  <si>
    <t xml:space="preserve">Column14671</t>
  </si>
  <si>
    <t xml:space="preserve">Column14672</t>
  </si>
  <si>
    <t xml:space="preserve">Column14673</t>
  </si>
  <si>
    <t xml:space="preserve">Column14674</t>
  </si>
  <si>
    <t xml:space="preserve">Column14675</t>
  </si>
  <si>
    <t xml:space="preserve">Column14676</t>
  </si>
  <si>
    <t xml:space="preserve">Column14677</t>
  </si>
  <si>
    <t xml:space="preserve">Column14678</t>
  </si>
  <si>
    <t xml:space="preserve">Column14679</t>
  </si>
  <si>
    <t xml:space="preserve">Column14680</t>
  </si>
  <si>
    <t xml:space="preserve">Column14681</t>
  </si>
  <si>
    <t xml:space="preserve">Column14682</t>
  </si>
  <si>
    <t xml:space="preserve">Column14683</t>
  </si>
  <si>
    <t xml:space="preserve">Column14684</t>
  </si>
  <si>
    <t xml:space="preserve">Column14685</t>
  </si>
  <si>
    <t xml:space="preserve">Column14686</t>
  </si>
  <si>
    <t xml:space="preserve">Column14687</t>
  </si>
  <si>
    <t xml:space="preserve">Column14688</t>
  </si>
  <si>
    <t xml:space="preserve">Column14689</t>
  </si>
  <si>
    <t xml:space="preserve">Column14690</t>
  </si>
  <si>
    <t xml:space="preserve">Column14691</t>
  </si>
  <si>
    <t xml:space="preserve">Column14692</t>
  </si>
  <si>
    <t xml:space="preserve">Column14693</t>
  </si>
  <si>
    <t xml:space="preserve">Column14694</t>
  </si>
  <si>
    <t xml:space="preserve">Column14695</t>
  </si>
  <si>
    <t xml:space="preserve">Column14696</t>
  </si>
  <si>
    <t xml:space="preserve">Column14697</t>
  </si>
  <si>
    <t xml:space="preserve">Column14698</t>
  </si>
  <si>
    <t xml:space="preserve">Column14699</t>
  </si>
  <si>
    <t xml:space="preserve">Column14700</t>
  </si>
  <si>
    <t xml:space="preserve">Column14701</t>
  </si>
  <si>
    <t xml:space="preserve">Column14702</t>
  </si>
  <si>
    <t xml:space="preserve">Column14703</t>
  </si>
  <si>
    <t xml:space="preserve">Column14704</t>
  </si>
  <si>
    <t xml:space="preserve">Column14705</t>
  </si>
  <si>
    <t xml:space="preserve">Column14706</t>
  </si>
  <si>
    <t xml:space="preserve">Column14707</t>
  </si>
  <si>
    <t xml:space="preserve">Column14708</t>
  </si>
  <si>
    <t xml:space="preserve">Column14709</t>
  </si>
  <si>
    <t xml:space="preserve">Column14710</t>
  </si>
  <si>
    <t xml:space="preserve">Column14711</t>
  </si>
  <si>
    <t xml:space="preserve">Column14712</t>
  </si>
  <si>
    <t xml:space="preserve">Column14713</t>
  </si>
  <si>
    <t xml:space="preserve">Column14714</t>
  </si>
  <si>
    <t xml:space="preserve">Column14715</t>
  </si>
  <si>
    <t xml:space="preserve">Column14716</t>
  </si>
  <si>
    <t xml:space="preserve">Column14717</t>
  </si>
  <si>
    <t xml:space="preserve">Column14718</t>
  </si>
  <si>
    <t xml:space="preserve">Column14719</t>
  </si>
  <si>
    <t xml:space="preserve">Column14720</t>
  </si>
  <si>
    <t xml:space="preserve">Column14721</t>
  </si>
  <si>
    <t xml:space="preserve">Column14722</t>
  </si>
  <si>
    <t xml:space="preserve">Column14723</t>
  </si>
  <si>
    <t xml:space="preserve">Column14724</t>
  </si>
  <si>
    <t xml:space="preserve">Column14725</t>
  </si>
  <si>
    <t xml:space="preserve">Column14726</t>
  </si>
  <si>
    <t xml:space="preserve">Column14727</t>
  </si>
  <si>
    <t xml:space="preserve">Column14728</t>
  </si>
  <si>
    <t xml:space="preserve">Column14729</t>
  </si>
  <si>
    <t xml:space="preserve">Column14730</t>
  </si>
  <si>
    <t xml:space="preserve">Column14731</t>
  </si>
  <si>
    <t xml:space="preserve">Column14732</t>
  </si>
  <si>
    <t xml:space="preserve">Column14733</t>
  </si>
  <si>
    <t xml:space="preserve">Column14734</t>
  </si>
  <si>
    <t xml:space="preserve">Column14735</t>
  </si>
  <si>
    <t xml:space="preserve">Column14736</t>
  </si>
  <si>
    <t xml:space="preserve">Column14737</t>
  </si>
  <si>
    <t xml:space="preserve">Column14738</t>
  </si>
  <si>
    <t xml:space="preserve">Column14739</t>
  </si>
  <si>
    <t xml:space="preserve">Column14740</t>
  </si>
  <si>
    <t xml:space="preserve">Column14741</t>
  </si>
  <si>
    <t xml:space="preserve">Column14742</t>
  </si>
  <si>
    <t xml:space="preserve">Column14743</t>
  </si>
  <si>
    <t xml:space="preserve">Column14744</t>
  </si>
  <si>
    <t xml:space="preserve">Column14745</t>
  </si>
  <si>
    <t xml:space="preserve">Column14746</t>
  </si>
  <si>
    <t xml:space="preserve">Column14747</t>
  </si>
  <si>
    <t xml:space="preserve">Column14748</t>
  </si>
  <si>
    <t xml:space="preserve">Column14749</t>
  </si>
  <si>
    <t xml:space="preserve">Column14750</t>
  </si>
  <si>
    <t xml:space="preserve">Column14751</t>
  </si>
  <si>
    <t xml:space="preserve">Column14752</t>
  </si>
  <si>
    <t xml:space="preserve">Column14753</t>
  </si>
  <si>
    <t xml:space="preserve">Column14754</t>
  </si>
  <si>
    <t xml:space="preserve">Column14755</t>
  </si>
  <si>
    <t xml:space="preserve">Column14756</t>
  </si>
  <si>
    <t xml:space="preserve">Column14757</t>
  </si>
  <si>
    <t xml:space="preserve">Column14758</t>
  </si>
  <si>
    <t xml:space="preserve">Column14759</t>
  </si>
  <si>
    <t xml:space="preserve">Column14760</t>
  </si>
  <si>
    <t xml:space="preserve">Column14761</t>
  </si>
  <si>
    <t xml:space="preserve">Column14762</t>
  </si>
  <si>
    <t xml:space="preserve">Column14763</t>
  </si>
  <si>
    <t xml:space="preserve">Column14764</t>
  </si>
  <si>
    <t xml:space="preserve">Column14765</t>
  </si>
  <si>
    <t xml:space="preserve">Column14766</t>
  </si>
  <si>
    <t xml:space="preserve">Column14767</t>
  </si>
  <si>
    <t xml:space="preserve">Column14768</t>
  </si>
  <si>
    <t xml:space="preserve">Column14769</t>
  </si>
  <si>
    <t xml:space="preserve">Column14770</t>
  </si>
  <si>
    <t xml:space="preserve">Column14771</t>
  </si>
  <si>
    <t xml:space="preserve">Column14772</t>
  </si>
  <si>
    <t xml:space="preserve">Column14773</t>
  </si>
  <si>
    <t xml:space="preserve">Column14774</t>
  </si>
  <si>
    <t xml:space="preserve">Column14775</t>
  </si>
  <si>
    <t xml:space="preserve">Column14776</t>
  </si>
  <si>
    <t xml:space="preserve">Column14777</t>
  </si>
  <si>
    <t xml:space="preserve">Column14778</t>
  </si>
  <si>
    <t xml:space="preserve">Column14779</t>
  </si>
  <si>
    <t xml:space="preserve">Column14780</t>
  </si>
  <si>
    <t xml:space="preserve">Column14781</t>
  </si>
  <si>
    <t xml:space="preserve">Column14782</t>
  </si>
  <si>
    <t xml:space="preserve">Column14783</t>
  </si>
  <si>
    <t xml:space="preserve">Column14784</t>
  </si>
  <si>
    <t xml:space="preserve">Column14785</t>
  </si>
  <si>
    <t xml:space="preserve">Column14786</t>
  </si>
  <si>
    <t xml:space="preserve">Column14787</t>
  </si>
  <si>
    <t xml:space="preserve">Column14788</t>
  </si>
  <si>
    <t xml:space="preserve">Column14789</t>
  </si>
  <si>
    <t xml:space="preserve">Column14790</t>
  </si>
  <si>
    <t xml:space="preserve">Column14791</t>
  </si>
  <si>
    <t xml:space="preserve">Column14792</t>
  </si>
  <si>
    <t xml:space="preserve">Column14793</t>
  </si>
  <si>
    <t xml:space="preserve">Column14794</t>
  </si>
  <si>
    <t xml:space="preserve">Column14795</t>
  </si>
  <si>
    <t xml:space="preserve">Column14796</t>
  </si>
  <si>
    <t xml:space="preserve">Column14797</t>
  </si>
  <si>
    <t xml:space="preserve">Column14798</t>
  </si>
  <si>
    <t xml:space="preserve">Column14799</t>
  </si>
  <si>
    <t xml:space="preserve">Column14800</t>
  </si>
  <si>
    <t xml:space="preserve">Column14801</t>
  </si>
  <si>
    <t xml:space="preserve">Column14802</t>
  </si>
  <si>
    <t xml:space="preserve">Column14803</t>
  </si>
  <si>
    <t xml:space="preserve">Column14804</t>
  </si>
  <si>
    <t xml:space="preserve">Column14805</t>
  </si>
  <si>
    <t xml:space="preserve">Column14806</t>
  </si>
  <si>
    <t xml:space="preserve">Column14807</t>
  </si>
  <si>
    <t xml:space="preserve">Column14808</t>
  </si>
  <si>
    <t xml:space="preserve">Column14809</t>
  </si>
  <si>
    <t xml:space="preserve">Column14810</t>
  </si>
  <si>
    <t xml:space="preserve">Column14811</t>
  </si>
  <si>
    <t xml:space="preserve">Column14812</t>
  </si>
  <si>
    <t xml:space="preserve">Column14813</t>
  </si>
  <si>
    <t xml:space="preserve">Column14814</t>
  </si>
  <si>
    <t xml:space="preserve">Column14815</t>
  </si>
  <si>
    <t xml:space="preserve">Column14816</t>
  </si>
  <si>
    <t xml:space="preserve">Column14817</t>
  </si>
  <si>
    <t xml:space="preserve">Column14818</t>
  </si>
  <si>
    <t xml:space="preserve">Column14819</t>
  </si>
  <si>
    <t xml:space="preserve">Column14820</t>
  </si>
  <si>
    <t xml:space="preserve">Column14821</t>
  </si>
  <si>
    <t xml:space="preserve">Column14822</t>
  </si>
  <si>
    <t xml:space="preserve">Column14823</t>
  </si>
  <si>
    <t xml:space="preserve">Column14824</t>
  </si>
  <si>
    <t xml:space="preserve">Column14825</t>
  </si>
  <si>
    <t xml:space="preserve">Column14826</t>
  </si>
  <si>
    <t xml:space="preserve">Column14827</t>
  </si>
  <si>
    <t xml:space="preserve">Column14828</t>
  </si>
  <si>
    <t xml:space="preserve">Column14829</t>
  </si>
  <si>
    <t xml:space="preserve">Column14830</t>
  </si>
  <si>
    <t xml:space="preserve">Column14831</t>
  </si>
  <si>
    <t xml:space="preserve">Column14832</t>
  </si>
  <si>
    <t xml:space="preserve">Column14833</t>
  </si>
  <si>
    <t xml:space="preserve">Column14834</t>
  </si>
  <si>
    <t xml:space="preserve">Column14835</t>
  </si>
  <si>
    <t xml:space="preserve">Column14836</t>
  </si>
  <si>
    <t xml:space="preserve">Column14837</t>
  </si>
  <si>
    <t xml:space="preserve">Column14838</t>
  </si>
  <si>
    <t xml:space="preserve">Column14839</t>
  </si>
  <si>
    <t xml:space="preserve">Column14840</t>
  </si>
  <si>
    <t xml:space="preserve">Column14841</t>
  </si>
  <si>
    <t xml:space="preserve">Column14842</t>
  </si>
  <si>
    <t xml:space="preserve">Column14843</t>
  </si>
  <si>
    <t xml:space="preserve">Column14844</t>
  </si>
  <si>
    <t xml:space="preserve">Column14845</t>
  </si>
  <si>
    <t xml:space="preserve">Column14846</t>
  </si>
  <si>
    <t xml:space="preserve">Column14847</t>
  </si>
  <si>
    <t xml:space="preserve">Column14848</t>
  </si>
  <si>
    <t xml:space="preserve">Column14849</t>
  </si>
  <si>
    <t xml:space="preserve">Column14850</t>
  </si>
  <si>
    <t xml:space="preserve">Column14851</t>
  </si>
  <si>
    <t xml:space="preserve">Column14852</t>
  </si>
  <si>
    <t xml:space="preserve">Column14853</t>
  </si>
  <si>
    <t xml:space="preserve">Column14854</t>
  </si>
  <si>
    <t xml:space="preserve">Column14855</t>
  </si>
  <si>
    <t xml:space="preserve">Column14856</t>
  </si>
  <si>
    <t xml:space="preserve">Column14857</t>
  </si>
  <si>
    <t xml:space="preserve">Column14858</t>
  </si>
  <si>
    <t xml:space="preserve">Column14859</t>
  </si>
  <si>
    <t xml:space="preserve">Column14860</t>
  </si>
  <si>
    <t xml:space="preserve">Column14861</t>
  </si>
  <si>
    <t xml:space="preserve">Column14862</t>
  </si>
  <si>
    <t xml:space="preserve">Column14863</t>
  </si>
  <si>
    <t xml:space="preserve">Column14864</t>
  </si>
  <si>
    <t xml:space="preserve">Column14865</t>
  </si>
  <si>
    <t xml:space="preserve">Column14866</t>
  </si>
  <si>
    <t xml:space="preserve">Column14867</t>
  </si>
  <si>
    <t xml:space="preserve">Column14868</t>
  </si>
  <si>
    <t xml:space="preserve">Column14869</t>
  </si>
  <si>
    <t xml:space="preserve">Column14870</t>
  </si>
  <si>
    <t xml:space="preserve">Column14871</t>
  </si>
  <si>
    <t xml:space="preserve">Column14872</t>
  </si>
  <si>
    <t xml:space="preserve">Column14873</t>
  </si>
  <si>
    <t xml:space="preserve">Column14874</t>
  </si>
  <si>
    <t xml:space="preserve">Column14875</t>
  </si>
  <si>
    <t xml:space="preserve">Column14876</t>
  </si>
  <si>
    <t xml:space="preserve">Column14877</t>
  </si>
  <si>
    <t xml:space="preserve">Column14878</t>
  </si>
  <si>
    <t xml:space="preserve">Column14879</t>
  </si>
  <si>
    <t xml:space="preserve">Column14880</t>
  </si>
  <si>
    <t xml:space="preserve">Column14881</t>
  </si>
  <si>
    <t xml:space="preserve">Column14882</t>
  </si>
  <si>
    <t xml:space="preserve">Column14883</t>
  </si>
  <si>
    <t xml:space="preserve">Column14884</t>
  </si>
  <si>
    <t xml:space="preserve">Column14885</t>
  </si>
  <si>
    <t xml:space="preserve">Column14886</t>
  </si>
  <si>
    <t xml:space="preserve">Column14887</t>
  </si>
  <si>
    <t xml:space="preserve">Column14888</t>
  </si>
  <si>
    <t xml:space="preserve">Column14889</t>
  </si>
  <si>
    <t xml:space="preserve">Column14890</t>
  </si>
  <si>
    <t xml:space="preserve">Column14891</t>
  </si>
  <si>
    <t xml:space="preserve">Column14892</t>
  </si>
  <si>
    <t xml:space="preserve">Column14893</t>
  </si>
  <si>
    <t xml:space="preserve">Column14894</t>
  </si>
  <si>
    <t xml:space="preserve">Column14895</t>
  </si>
  <si>
    <t xml:space="preserve">Column14896</t>
  </si>
  <si>
    <t xml:space="preserve">Column14897</t>
  </si>
  <si>
    <t xml:space="preserve">Column14898</t>
  </si>
  <si>
    <t xml:space="preserve">Column14899</t>
  </si>
  <si>
    <t xml:space="preserve">Column14900</t>
  </si>
  <si>
    <t xml:space="preserve">Column14901</t>
  </si>
  <si>
    <t xml:space="preserve">Column14902</t>
  </si>
  <si>
    <t xml:space="preserve">Column14903</t>
  </si>
  <si>
    <t xml:space="preserve">Column14904</t>
  </si>
  <si>
    <t xml:space="preserve">Column14905</t>
  </si>
  <si>
    <t xml:space="preserve">Column14906</t>
  </si>
  <si>
    <t xml:space="preserve">Column14907</t>
  </si>
  <si>
    <t xml:space="preserve">Column14908</t>
  </si>
  <si>
    <t xml:space="preserve">Column14909</t>
  </si>
  <si>
    <t xml:space="preserve">Column14910</t>
  </si>
  <si>
    <t xml:space="preserve">Column14911</t>
  </si>
  <si>
    <t xml:space="preserve">Column14912</t>
  </si>
  <si>
    <t xml:space="preserve">Column14913</t>
  </si>
  <si>
    <t xml:space="preserve">Column14914</t>
  </si>
  <si>
    <t xml:space="preserve">Column14915</t>
  </si>
  <si>
    <t xml:space="preserve">Column14916</t>
  </si>
  <si>
    <t xml:space="preserve">Column14917</t>
  </si>
  <si>
    <t xml:space="preserve">Column14918</t>
  </si>
  <si>
    <t xml:space="preserve">Column14919</t>
  </si>
  <si>
    <t xml:space="preserve">Column14920</t>
  </si>
  <si>
    <t xml:space="preserve">Column14921</t>
  </si>
  <si>
    <t xml:space="preserve">Column14922</t>
  </si>
  <si>
    <t xml:space="preserve">Column14923</t>
  </si>
  <si>
    <t xml:space="preserve">Column14924</t>
  </si>
  <si>
    <t xml:space="preserve">Column14925</t>
  </si>
  <si>
    <t xml:space="preserve">Column14926</t>
  </si>
  <si>
    <t xml:space="preserve">Column14927</t>
  </si>
  <si>
    <t xml:space="preserve">Column14928</t>
  </si>
  <si>
    <t xml:space="preserve">Column14929</t>
  </si>
  <si>
    <t xml:space="preserve">Column14930</t>
  </si>
  <si>
    <t xml:space="preserve">Column14931</t>
  </si>
  <si>
    <t xml:space="preserve">Column14932</t>
  </si>
  <si>
    <t xml:space="preserve">Column14933</t>
  </si>
  <si>
    <t xml:space="preserve">Column14934</t>
  </si>
  <si>
    <t xml:space="preserve">Column14935</t>
  </si>
  <si>
    <t xml:space="preserve">Column14936</t>
  </si>
  <si>
    <t xml:space="preserve">Column14937</t>
  </si>
  <si>
    <t xml:space="preserve">Column14938</t>
  </si>
  <si>
    <t xml:space="preserve">Column14939</t>
  </si>
  <si>
    <t xml:space="preserve">Column14940</t>
  </si>
  <si>
    <t xml:space="preserve">Column14941</t>
  </si>
  <si>
    <t xml:space="preserve">Column14942</t>
  </si>
  <si>
    <t xml:space="preserve">Column14943</t>
  </si>
  <si>
    <t xml:space="preserve">Column14944</t>
  </si>
  <si>
    <t xml:space="preserve">Column14945</t>
  </si>
  <si>
    <t xml:space="preserve">Column14946</t>
  </si>
  <si>
    <t xml:space="preserve">Column14947</t>
  </si>
  <si>
    <t xml:space="preserve">Column14948</t>
  </si>
  <si>
    <t xml:space="preserve">Column14949</t>
  </si>
  <si>
    <t xml:space="preserve">Column14950</t>
  </si>
  <si>
    <t xml:space="preserve">Column14951</t>
  </si>
  <si>
    <t xml:space="preserve">Column14952</t>
  </si>
  <si>
    <t xml:space="preserve">Column14953</t>
  </si>
  <si>
    <t xml:space="preserve">Column14954</t>
  </si>
  <si>
    <t xml:space="preserve">Column14955</t>
  </si>
  <si>
    <t xml:space="preserve">Column14956</t>
  </si>
  <si>
    <t xml:space="preserve">Column14957</t>
  </si>
  <si>
    <t xml:space="preserve">Column14958</t>
  </si>
  <si>
    <t xml:space="preserve">Column14959</t>
  </si>
  <si>
    <t xml:space="preserve">Column14960</t>
  </si>
  <si>
    <t xml:space="preserve">Column14961</t>
  </si>
  <si>
    <t xml:space="preserve">Column14962</t>
  </si>
  <si>
    <t xml:space="preserve">Column14963</t>
  </si>
  <si>
    <t xml:space="preserve">Column14964</t>
  </si>
  <si>
    <t xml:space="preserve">Column14965</t>
  </si>
  <si>
    <t xml:space="preserve">Column14966</t>
  </si>
  <si>
    <t xml:space="preserve">Column14967</t>
  </si>
  <si>
    <t xml:space="preserve">Column14968</t>
  </si>
  <si>
    <t xml:space="preserve">Column14969</t>
  </si>
  <si>
    <t xml:space="preserve">Column14970</t>
  </si>
  <si>
    <t xml:space="preserve">Column14971</t>
  </si>
  <si>
    <t xml:space="preserve">Column14972</t>
  </si>
  <si>
    <t xml:space="preserve">Column14973</t>
  </si>
  <si>
    <t xml:space="preserve">Column14974</t>
  </si>
  <si>
    <t xml:space="preserve">Column14975</t>
  </si>
  <si>
    <t xml:space="preserve">Column14976</t>
  </si>
  <si>
    <t xml:space="preserve">Column14977</t>
  </si>
  <si>
    <t xml:space="preserve">Column14978</t>
  </si>
  <si>
    <t xml:space="preserve">Column14979</t>
  </si>
  <si>
    <t xml:space="preserve">Column14980</t>
  </si>
  <si>
    <t xml:space="preserve">Column14981</t>
  </si>
  <si>
    <t xml:space="preserve">Column14982</t>
  </si>
  <si>
    <t xml:space="preserve">Column14983</t>
  </si>
  <si>
    <t xml:space="preserve">Column14984</t>
  </si>
  <si>
    <t xml:space="preserve">Column14985</t>
  </si>
  <si>
    <t xml:space="preserve">Column14986</t>
  </si>
  <si>
    <t xml:space="preserve">Column14987</t>
  </si>
  <si>
    <t xml:space="preserve">Column14988</t>
  </si>
  <si>
    <t xml:space="preserve">Column14989</t>
  </si>
  <si>
    <t xml:space="preserve">Column14990</t>
  </si>
  <si>
    <t xml:space="preserve">Column14991</t>
  </si>
  <si>
    <t xml:space="preserve">Column14992</t>
  </si>
  <si>
    <t xml:space="preserve">Column14993</t>
  </si>
  <si>
    <t xml:space="preserve">Column14994</t>
  </si>
  <si>
    <t xml:space="preserve">Column14995</t>
  </si>
  <si>
    <t xml:space="preserve">Column14996</t>
  </si>
  <si>
    <t xml:space="preserve">Column14997</t>
  </si>
  <si>
    <t xml:space="preserve">Column14998</t>
  </si>
  <si>
    <t xml:space="preserve">Column14999</t>
  </si>
  <si>
    <t xml:space="preserve">Column15000</t>
  </si>
  <si>
    <t xml:space="preserve">Column15001</t>
  </si>
  <si>
    <t xml:space="preserve">Column15002</t>
  </si>
  <si>
    <t xml:space="preserve">Column15003</t>
  </si>
  <si>
    <t xml:space="preserve">Column15004</t>
  </si>
  <si>
    <t xml:space="preserve">Column15005</t>
  </si>
  <si>
    <t xml:space="preserve">Column15006</t>
  </si>
  <si>
    <t xml:space="preserve">Column15007</t>
  </si>
  <si>
    <t xml:space="preserve">Column15008</t>
  </si>
  <si>
    <t xml:space="preserve">Column15009</t>
  </si>
  <si>
    <t xml:space="preserve">Column15010</t>
  </si>
  <si>
    <t xml:space="preserve">Column15011</t>
  </si>
  <si>
    <t xml:space="preserve">Column15012</t>
  </si>
  <si>
    <t xml:space="preserve">Column15013</t>
  </si>
  <si>
    <t xml:space="preserve">Column15014</t>
  </si>
  <si>
    <t xml:space="preserve">Column15015</t>
  </si>
  <si>
    <t xml:space="preserve">Column15016</t>
  </si>
  <si>
    <t xml:space="preserve">Column15017</t>
  </si>
  <si>
    <t xml:space="preserve">Column15018</t>
  </si>
  <si>
    <t xml:space="preserve">Column15019</t>
  </si>
  <si>
    <t xml:space="preserve">Column15020</t>
  </si>
  <si>
    <t xml:space="preserve">Column15021</t>
  </si>
  <si>
    <t xml:space="preserve">Column15022</t>
  </si>
  <si>
    <t xml:space="preserve">Column15023</t>
  </si>
  <si>
    <t xml:space="preserve">Column15024</t>
  </si>
  <si>
    <t xml:space="preserve">Column15025</t>
  </si>
  <si>
    <t xml:space="preserve">Column15026</t>
  </si>
  <si>
    <t xml:space="preserve">Column15027</t>
  </si>
  <si>
    <t xml:space="preserve">Column15028</t>
  </si>
  <si>
    <t xml:space="preserve">Column15029</t>
  </si>
  <si>
    <t xml:space="preserve">Column15030</t>
  </si>
  <si>
    <t xml:space="preserve">Column15031</t>
  </si>
  <si>
    <t xml:space="preserve">Column15032</t>
  </si>
  <si>
    <t xml:space="preserve">Column15033</t>
  </si>
  <si>
    <t xml:space="preserve">Column15034</t>
  </si>
  <si>
    <t xml:space="preserve">Column15035</t>
  </si>
  <si>
    <t xml:space="preserve">Column15036</t>
  </si>
  <si>
    <t xml:space="preserve">Column15037</t>
  </si>
  <si>
    <t xml:space="preserve">Column15038</t>
  </si>
  <si>
    <t xml:space="preserve">Column15039</t>
  </si>
  <si>
    <t xml:space="preserve">Column15040</t>
  </si>
  <si>
    <t xml:space="preserve">Column15041</t>
  </si>
  <si>
    <t xml:space="preserve">Column15042</t>
  </si>
  <si>
    <t xml:space="preserve">Column15043</t>
  </si>
  <si>
    <t xml:space="preserve">Column15044</t>
  </si>
  <si>
    <t xml:space="preserve">Column15045</t>
  </si>
  <si>
    <t xml:space="preserve">Column15046</t>
  </si>
  <si>
    <t xml:space="preserve">Column15047</t>
  </si>
  <si>
    <t xml:space="preserve">Column15048</t>
  </si>
  <si>
    <t xml:space="preserve">Column15049</t>
  </si>
  <si>
    <t xml:space="preserve">Column15050</t>
  </si>
  <si>
    <t xml:space="preserve">Column15051</t>
  </si>
  <si>
    <t xml:space="preserve">Column15052</t>
  </si>
  <si>
    <t xml:space="preserve">Column15053</t>
  </si>
  <si>
    <t xml:space="preserve">Column15054</t>
  </si>
  <si>
    <t xml:space="preserve">Column15055</t>
  </si>
  <si>
    <t xml:space="preserve">Column15056</t>
  </si>
  <si>
    <t xml:space="preserve">Column15057</t>
  </si>
  <si>
    <t xml:space="preserve">Column15058</t>
  </si>
  <si>
    <t xml:space="preserve">Column15059</t>
  </si>
  <si>
    <t xml:space="preserve">Column15060</t>
  </si>
  <si>
    <t xml:space="preserve">Column15061</t>
  </si>
  <si>
    <t xml:space="preserve">Column15062</t>
  </si>
  <si>
    <t xml:space="preserve">Column15063</t>
  </si>
  <si>
    <t xml:space="preserve">Column15064</t>
  </si>
  <si>
    <t xml:space="preserve">Column15065</t>
  </si>
  <si>
    <t xml:space="preserve">Column15066</t>
  </si>
  <si>
    <t xml:space="preserve">Column15067</t>
  </si>
  <si>
    <t xml:space="preserve">Column15068</t>
  </si>
  <si>
    <t xml:space="preserve">Column15069</t>
  </si>
  <si>
    <t xml:space="preserve">Column15070</t>
  </si>
  <si>
    <t xml:space="preserve">Column15071</t>
  </si>
  <si>
    <t xml:space="preserve">Column15072</t>
  </si>
  <si>
    <t xml:space="preserve">Column15073</t>
  </si>
  <si>
    <t xml:space="preserve">Column15074</t>
  </si>
  <si>
    <t xml:space="preserve">Column15075</t>
  </si>
  <si>
    <t xml:space="preserve">Column15076</t>
  </si>
  <si>
    <t xml:space="preserve">Column15077</t>
  </si>
  <si>
    <t xml:space="preserve">Column15078</t>
  </si>
  <si>
    <t xml:space="preserve">Column15079</t>
  </si>
  <si>
    <t xml:space="preserve">Column15080</t>
  </si>
  <si>
    <t xml:space="preserve">Column15081</t>
  </si>
  <si>
    <t xml:space="preserve">Column15082</t>
  </si>
  <si>
    <t xml:space="preserve">Column15083</t>
  </si>
  <si>
    <t xml:space="preserve">Column15084</t>
  </si>
  <si>
    <t xml:space="preserve">Column15085</t>
  </si>
  <si>
    <t xml:space="preserve">Column15086</t>
  </si>
  <si>
    <t xml:space="preserve">Column15087</t>
  </si>
  <si>
    <t xml:space="preserve">Column15088</t>
  </si>
  <si>
    <t xml:space="preserve">Column15089</t>
  </si>
  <si>
    <t xml:space="preserve">Column15090</t>
  </si>
  <si>
    <t xml:space="preserve">Column15091</t>
  </si>
  <si>
    <t xml:space="preserve">Column15092</t>
  </si>
  <si>
    <t xml:space="preserve">Column15093</t>
  </si>
  <si>
    <t xml:space="preserve">Column15094</t>
  </si>
  <si>
    <t xml:space="preserve">Column15095</t>
  </si>
  <si>
    <t xml:space="preserve">Column15096</t>
  </si>
  <si>
    <t xml:space="preserve">Column15097</t>
  </si>
  <si>
    <t xml:space="preserve">Column15098</t>
  </si>
  <si>
    <t xml:space="preserve">Column15099</t>
  </si>
  <si>
    <t xml:space="preserve">Column15100</t>
  </si>
  <si>
    <t xml:space="preserve">Column15101</t>
  </si>
  <si>
    <t xml:space="preserve">Column15102</t>
  </si>
  <si>
    <t xml:space="preserve">Column15103</t>
  </si>
  <si>
    <t xml:space="preserve">Column15104</t>
  </si>
  <si>
    <t xml:space="preserve">Column15105</t>
  </si>
  <si>
    <t xml:space="preserve">Column15106</t>
  </si>
  <si>
    <t xml:space="preserve">Column15107</t>
  </si>
  <si>
    <t xml:space="preserve">Column15108</t>
  </si>
  <si>
    <t xml:space="preserve">Column15109</t>
  </si>
  <si>
    <t xml:space="preserve">Column15110</t>
  </si>
  <si>
    <t xml:space="preserve">Column15111</t>
  </si>
  <si>
    <t xml:space="preserve">Column15112</t>
  </si>
  <si>
    <t xml:space="preserve">Column15113</t>
  </si>
  <si>
    <t xml:space="preserve">Column15114</t>
  </si>
  <si>
    <t xml:space="preserve">Column15115</t>
  </si>
  <si>
    <t xml:space="preserve">Column15116</t>
  </si>
  <si>
    <t xml:space="preserve">Column15117</t>
  </si>
  <si>
    <t xml:space="preserve">Column15118</t>
  </si>
  <si>
    <t xml:space="preserve">Column15119</t>
  </si>
  <si>
    <t xml:space="preserve">Column15120</t>
  </si>
  <si>
    <t xml:space="preserve">Column15121</t>
  </si>
  <si>
    <t xml:space="preserve">Column15122</t>
  </si>
  <si>
    <t xml:space="preserve">Column15123</t>
  </si>
  <si>
    <t xml:space="preserve">Column15124</t>
  </si>
  <si>
    <t xml:space="preserve">Column15125</t>
  </si>
  <si>
    <t xml:space="preserve">Column15126</t>
  </si>
  <si>
    <t xml:space="preserve">Column15127</t>
  </si>
  <si>
    <t xml:space="preserve">Column15128</t>
  </si>
  <si>
    <t xml:space="preserve">Column15129</t>
  </si>
  <si>
    <t xml:space="preserve">Column15130</t>
  </si>
  <si>
    <t xml:space="preserve">Column15131</t>
  </si>
  <si>
    <t xml:space="preserve">Column15132</t>
  </si>
  <si>
    <t xml:space="preserve">Column15133</t>
  </si>
  <si>
    <t xml:space="preserve">Column15134</t>
  </si>
  <si>
    <t xml:space="preserve">Column15135</t>
  </si>
  <si>
    <t xml:space="preserve">Column15136</t>
  </si>
  <si>
    <t xml:space="preserve">Column15137</t>
  </si>
  <si>
    <t xml:space="preserve">Column15138</t>
  </si>
  <si>
    <t xml:space="preserve">Column15139</t>
  </si>
  <si>
    <t xml:space="preserve">Column15140</t>
  </si>
  <si>
    <t xml:space="preserve">Column15141</t>
  </si>
  <si>
    <t xml:space="preserve">Column15142</t>
  </si>
  <si>
    <t xml:space="preserve">Column15143</t>
  </si>
  <si>
    <t xml:space="preserve">Column15144</t>
  </si>
  <si>
    <t xml:space="preserve">Column15145</t>
  </si>
  <si>
    <t xml:space="preserve">Column15146</t>
  </si>
  <si>
    <t xml:space="preserve">Column15147</t>
  </si>
  <si>
    <t xml:space="preserve">Column15148</t>
  </si>
  <si>
    <t xml:space="preserve">Column15149</t>
  </si>
  <si>
    <t xml:space="preserve">Column15150</t>
  </si>
  <si>
    <t xml:space="preserve">Column15151</t>
  </si>
  <si>
    <t xml:space="preserve">Column15152</t>
  </si>
  <si>
    <t xml:space="preserve">Column15153</t>
  </si>
  <si>
    <t xml:space="preserve">Column15154</t>
  </si>
  <si>
    <t xml:space="preserve">Column15155</t>
  </si>
  <si>
    <t xml:space="preserve">Column15156</t>
  </si>
  <si>
    <t xml:space="preserve">Column15157</t>
  </si>
  <si>
    <t xml:space="preserve">Column15158</t>
  </si>
  <si>
    <t xml:space="preserve">Column15159</t>
  </si>
  <si>
    <t xml:space="preserve">Column15160</t>
  </si>
  <si>
    <t xml:space="preserve">Column15161</t>
  </si>
  <si>
    <t xml:space="preserve">Column15162</t>
  </si>
  <si>
    <t xml:space="preserve">Column15163</t>
  </si>
  <si>
    <t xml:space="preserve">Column15164</t>
  </si>
  <si>
    <t xml:space="preserve">Column15165</t>
  </si>
  <si>
    <t xml:space="preserve">Column15166</t>
  </si>
  <si>
    <t xml:space="preserve">Column15167</t>
  </si>
  <si>
    <t xml:space="preserve">Column15168</t>
  </si>
  <si>
    <t xml:space="preserve">Column15169</t>
  </si>
  <si>
    <t xml:space="preserve">Column15170</t>
  </si>
  <si>
    <t xml:space="preserve">Column15171</t>
  </si>
  <si>
    <t xml:space="preserve">Column15172</t>
  </si>
  <si>
    <t xml:space="preserve">Column15173</t>
  </si>
  <si>
    <t xml:space="preserve">Column15174</t>
  </si>
  <si>
    <t xml:space="preserve">Column15175</t>
  </si>
  <si>
    <t xml:space="preserve">Column15176</t>
  </si>
  <si>
    <t xml:space="preserve">Column15177</t>
  </si>
  <si>
    <t xml:space="preserve">Column15178</t>
  </si>
  <si>
    <t xml:space="preserve">Column15179</t>
  </si>
  <si>
    <t xml:space="preserve">Column15180</t>
  </si>
  <si>
    <t xml:space="preserve">Column15181</t>
  </si>
  <si>
    <t xml:space="preserve">Column15182</t>
  </si>
  <si>
    <t xml:space="preserve">Column15183</t>
  </si>
  <si>
    <t xml:space="preserve">Column15184</t>
  </si>
  <si>
    <t xml:space="preserve">Column15185</t>
  </si>
  <si>
    <t xml:space="preserve">Column15186</t>
  </si>
  <si>
    <t xml:space="preserve">Column15187</t>
  </si>
  <si>
    <t xml:space="preserve">Column15188</t>
  </si>
  <si>
    <t xml:space="preserve">Column15189</t>
  </si>
  <si>
    <t xml:space="preserve">Column15190</t>
  </si>
  <si>
    <t xml:space="preserve">Column15191</t>
  </si>
  <si>
    <t xml:space="preserve">Column15192</t>
  </si>
  <si>
    <t xml:space="preserve">Column15193</t>
  </si>
  <si>
    <t xml:space="preserve">Column15194</t>
  </si>
  <si>
    <t xml:space="preserve">Column15195</t>
  </si>
  <si>
    <t xml:space="preserve">Column15196</t>
  </si>
  <si>
    <t xml:space="preserve">Column15197</t>
  </si>
  <si>
    <t xml:space="preserve">Column15198</t>
  </si>
  <si>
    <t xml:space="preserve">Column15199</t>
  </si>
  <si>
    <t xml:space="preserve">Column15200</t>
  </si>
  <si>
    <t xml:space="preserve">Column15201</t>
  </si>
  <si>
    <t xml:space="preserve">Column15202</t>
  </si>
  <si>
    <t xml:space="preserve">Column15203</t>
  </si>
  <si>
    <t xml:space="preserve">Column15204</t>
  </si>
  <si>
    <t xml:space="preserve">Column15205</t>
  </si>
  <si>
    <t xml:space="preserve">Column15206</t>
  </si>
  <si>
    <t xml:space="preserve">Column15207</t>
  </si>
  <si>
    <t xml:space="preserve">Column15208</t>
  </si>
  <si>
    <t xml:space="preserve">Column15209</t>
  </si>
  <si>
    <t xml:space="preserve">Column15210</t>
  </si>
  <si>
    <t xml:space="preserve">Column15211</t>
  </si>
  <si>
    <t xml:space="preserve">Column15212</t>
  </si>
  <si>
    <t xml:space="preserve">Column15213</t>
  </si>
  <si>
    <t xml:space="preserve">Column15214</t>
  </si>
  <si>
    <t xml:space="preserve">Column15215</t>
  </si>
  <si>
    <t xml:space="preserve">Column15216</t>
  </si>
  <si>
    <t xml:space="preserve">Column15217</t>
  </si>
  <si>
    <t xml:space="preserve">Column15218</t>
  </si>
  <si>
    <t xml:space="preserve">Column15219</t>
  </si>
  <si>
    <t xml:space="preserve">Column15220</t>
  </si>
  <si>
    <t xml:space="preserve">Column15221</t>
  </si>
  <si>
    <t xml:space="preserve">Column15222</t>
  </si>
  <si>
    <t xml:space="preserve">Column15223</t>
  </si>
  <si>
    <t xml:space="preserve">Column15224</t>
  </si>
  <si>
    <t xml:space="preserve">Column15225</t>
  </si>
  <si>
    <t xml:space="preserve">Column15226</t>
  </si>
  <si>
    <t xml:space="preserve">Column15227</t>
  </si>
  <si>
    <t xml:space="preserve">Column15228</t>
  </si>
  <si>
    <t xml:space="preserve">Column15229</t>
  </si>
  <si>
    <t xml:space="preserve">Column15230</t>
  </si>
  <si>
    <t xml:space="preserve">Column15231</t>
  </si>
  <si>
    <t xml:space="preserve">Column15232</t>
  </si>
  <si>
    <t xml:space="preserve">Column15233</t>
  </si>
  <si>
    <t xml:space="preserve">Column15234</t>
  </si>
  <si>
    <t xml:space="preserve">Column15235</t>
  </si>
  <si>
    <t xml:space="preserve">Column15236</t>
  </si>
  <si>
    <t xml:space="preserve">Column15237</t>
  </si>
  <si>
    <t xml:space="preserve">Column15238</t>
  </si>
  <si>
    <t xml:space="preserve">Column15239</t>
  </si>
  <si>
    <t xml:space="preserve">Column15240</t>
  </si>
  <si>
    <t xml:space="preserve">Column15241</t>
  </si>
  <si>
    <t xml:space="preserve">Column15242</t>
  </si>
  <si>
    <t xml:space="preserve">Column15243</t>
  </si>
  <si>
    <t xml:space="preserve">Column15244</t>
  </si>
  <si>
    <t xml:space="preserve">Column15245</t>
  </si>
  <si>
    <t xml:space="preserve">Column15246</t>
  </si>
  <si>
    <t xml:space="preserve">Column15247</t>
  </si>
  <si>
    <t xml:space="preserve">Column15248</t>
  </si>
  <si>
    <t xml:space="preserve">Column15249</t>
  </si>
  <si>
    <t xml:space="preserve">Column15250</t>
  </si>
  <si>
    <t xml:space="preserve">Column15251</t>
  </si>
  <si>
    <t xml:space="preserve">Column15252</t>
  </si>
  <si>
    <t xml:space="preserve">Column15253</t>
  </si>
  <si>
    <t xml:space="preserve">Column15254</t>
  </si>
  <si>
    <t xml:space="preserve">Column15255</t>
  </si>
  <si>
    <t xml:space="preserve">Column15256</t>
  </si>
  <si>
    <t xml:space="preserve">Column15257</t>
  </si>
  <si>
    <t xml:space="preserve">Column15258</t>
  </si>
  <si>
    <t xml:space="preserve">Column15259</t>
  </si>
  <si>
    <t xml:space="preserve">Column15260</t>
  </si>
  <si>
    <t xml:space="preserve">Column15261</t>
  </si>
  <si>
    <t xml:space="preserve">Column15262</t>
  </si>
  <si>
    <t xml:space="preserve">Column15263</t>
  </si>
  <si>
    <t xml:space="preserve">Column15264</t>
  </si>
  <si>
    <t xml:space="preserve">Column15265</t>
  </si>
  <si>
    <t xml:space="preserve">Column15266</t>
  </si>
  <si>
    <t xml:space="preserve">Column15267</t>
  </si>
  <si>
    <t xml:space="preserve">Column15268</t>
  </si>
  <si>
    <t xml:space="preserve">Column15269</t>
  </si>
  <si>
    <t xml:space="preserve">Column15270</t>
  </si>
  <si>
    <t xml:space="preserve">Column15271</t>
  </si>
  <si>
    <t xml:space="preserve">Column15272</t>
  </si>
  <si>
    <t xml:space="preserve">Column15273</t>
  </si>
  <si>
    <t xml:space="preserve">Column15274</t>
  </si>
  <si>
    <t xml:space="preserve">Column15275</t>
  </si>
  <si>
    <t xml:space="preserve">Column15276</t>
  </si>
  <si>
    <t xml:space="preserve">Column15277</t>
  </si>
  <si>
    <t xml:space="preserve">Column15278</t>
  </si>
  <si>
    <t xml:space="preserve">Column15279</t>
  </si>
  <si>
    <t xml:space="preserve">Column15280</t>
  </si>
  <si>
    <t xml:space="preserve">Column15281</t>
  </si>
  <si>
    <t xml:space="preserve">Column15282</t>
  </si>
  <si>
    <t xml:space="preserve">Column15283</t>
  </si>
  <si>
    <t xml:space="preserve">Column15284</t>
  </si>
  <si>
    <t xml:space="preserve">Column15285</t>
  </si>
  <si>
    <t xml:space="preserve">Column15286</t>
  </si>
  <si>
    <t xml:space="preserve">Column15287</t>
  </si>
  <si>
    <t xml:space="preserve">Column15288</t>
  </si>
  <si>
    <t xml:space="preserve">Column15289</t>
  </si>
  <si>
    <t xml:space="preserve">Column15290</t>
  </si>
  <si>
    <t xml:space="preserve">Column15291</t>
  </si>
  <si>
    <t xml:space="preserve">Column15292</t>
  </si>
  <si>
    <t xml:space="preserve">Column15293</t>
  </si>
  <si>
    <t xml:space="preserve">Column15294</t>
  </si>
  <si>
    <t xml:space="preserve">Column15295</t>
  </si>
  <si>
    <t xml:space="preserve">Column15296</t>
  </si>
  <si>
    <t xml:space="preserve">Column15297</t>
  </si>
  <si>
    <t xml:space="preserve">Column15298</t>
  </si>
  <si>
    <t xml:space="preserve">Column15299</t>
  </si>
  <si>
    <t xml:space="preserve">Column15300</t>
  </si>
  <si>
    <t xml:space="preserve">Column15301</t>
  </si>
  <si>
    <t xml:space="preserve">Column15302</t>
  </si>
  <si>
    <t xml:space="preserve">Column15303</t>
  </si>
  <si>
    <t xml:space="preserve">Column15304</t>
  </si>
  <si>
    <t xml:space="preserve">Column15305</t>
  </si>
  <si>
    <t xml:space="preserve">Column15306</t>
  </si>
  <si>
    <t xml:space="preserve">Column15307</t>
  </si>
  <si>
    <t xml:space="preserve">Column15308</t>
  </si>
  <si>
    <t xml:space="preserve">Column15309</t>
  </si>
  <si>
    <t xml:space="preserve">Column15310</t>
  </si>
  <si>
    <t xml:space="preserve">Column15311</t>
  </si>
  <si>
    <t xml:space="preserve">Column15312</t>
  </si>
  <si>
    <t xml:space="preserve">Column15313</t>
  </si>
  <si>
    <t xml:space="preserve">Column15314</t>
  </si>
  <si>
    <t xml:space="preserve">Column15315</t>
  </si>
  <si>
    <t xml:space="preserve">Column15316</t>
  </si>
  <si>
    <t xml:space="preserve">Column15317</t>
  </si>
  <si>
    <t xml:space="preserve">Column15318</t>
  </si>
  <si>
    <t xml:space="preserve">Column15319</t>
  </si>
  <si>
    <t xml:space="preserve">Column15320</t>
  </si>
  <si>
    <t xml:space="preserve">Column15321</t>
  </si>
  <si>
    <t xml:space="preserve">Column15322</t>
  </si>
  <si>
    <t xml:space="preserve">Column15323</t>
  </si>
  <si>
    <t xml:space="preserve">Column15324</t>
  </si>
  <si>
    <t xml:space="preserve">Column15325</t>
  </si>
  <si>
    <t xml:space="preserve">Column15326</t>
  </si>
  <si>
    <t xml:space="preserve">Column15327</t>
  </si>
  <si>
    <t xml:space="preserve">Column15328</t>
  </si>
  <si>
    <t xml:space="preserve">Column15329</t>
  </si>
  <si>
    <t xml:space="preserve">Column15330</t>
  </si>
  <si>
    <t xml:space="preserve">Column15331</t>
  </si>
  <si>
    <t xml:space="preserve">Column15332</t>
  </si>
  <si>
    <t xml:space="preserve">Column15333</t>
  </si>
  <si>
    <t xml:space="preserve">Column15334</t>
  </si>
  <si>
    <t xml:space="preserve">Column15335</t>
  </si>
  <si>
    <t xml:space="preserve">Column15336</t>
  </si>
  <si>
    <t xml:space="preserve">Column15337</t>
  </si>
  <si>
    <t xml:space="preserve">Column15338</t>
  </si>
  <si>
    <t xml:space="preserve">Column15339</t>
  </si>
  <si>
    <t xml:space="preserve">Column15340</t>
  </si>
  <si>
    <t xml:space="preserve">Column15341</t>
  </si>
  <si>
    <t xml:space="preserve">Column15342</t>
  </si>
  <si>
    <t xml:space="preserve">Column15343</t>
  </si>
  <si>
    <t xml:space="preserve">Column15344</t>
  </si>
  <si>
    <t xml:space="preserve">Column15345</t>
  </si>
  <si>
    <t xml:space="preserve">Column15346</t>
  </si>
  <si>
    <t xml:space="preserve">Column15347</t>
  </si>
  <si>
    <t xml:space="preserve">Column15348</t>
  </si>
  <si>
    <t xml:space="preserve">Column15349</t>
  </si>
  <si>
    <t xml:space="preserve">Column15350</t>
  </si>
  <si>
    <t xml:space="preserve">Column15351</t>
  </si>
  <si>
    <t xml:space="preserve">Column15352</t>
  </si>
  <si>
    <t xml:space="preserve">Column15353</t>
  </si>
  <si>
    <t xml:space="preserve">Column15354</t>
  </si>
  <si>
    <t xml:space="preserve">Column15355</t>
  </si>
  <si>
    <t xml:space="preserve">Column15356</t>
  </si>
  <si>
    <t xml:space="preserve">Column15357</t>
  </si>
  <si>
    <t xml:space="preserve">Column15358</t>
  </si>
  <si>
    <t xml:space="preserve">Column15359</t>
  </si>
  <si>
    <t xml:space="preserve">Column15360</t>
  </si>
  <si>
    <t xml:space="preserve">Column15361</t>
  </si>
  <si>
    <t xml:space="preserve">Column15362</t>
  </si>
  <si>
    <t xml:space="preserve">Column15363</t>
  </si>
  <si>
    <t xml:space="preserve">Column15364</t>
  </si>
  <si>
    <t xml:space="preserve">Column15365</t>
  </si>
  <si>
    <t xml:space="preserve">Column15366</t>
  </si>
  <si>
    <t xml:space="preserve">Column15367</t>
  </si>
  <si>
    <t xml:space="preserve">Column15368</t>
  </si>
  <si>
    <t xml:space="preserve">Column15369</t>
  </si>
  <si>
    <t xml:space="preserve">Column15370</t>
  </si>
  <si>
    <t xml:space="preserve">Column15371</t>
  </si>
  <si>
    <t xml:space="preserve">Column15372</t>
  </si>
  <si>
    <t xml:space="preserve">Column15373</t>
  </si>
  <si>
    <t xml:space="preserve">Column15374</t>
  </si>
  <si>
    <t xml:space="preserve">Column15375</t>
  </si>
  <si>
    <t xml:space="preserve">Column15376</t>
  </si>
  <si>
    <t xml:space="preserve">Column15377</t>
  </si>
  <si>
    <t xml:space="preserve">Column15378</t>
  </si>
  <si>
    <t xml:space="preserve">Column15379</t>
  </si>
  <si>
    <t xml:space="preserve">Column15380</t>
  </si>
  <si>
    <t xml:space="preserve">Column15381</t>
  </si>
  <si>
    <t xml:space="preserve">Column15382</t>
  </si>
  <si>
    <t xml:space="preserve">Column15383</t>
  </si>
  <si>
    <t xml:space="preserve">Column15384</t>
  </si>
  <si>
    <t xml:space="preserve">Column15385</t>
  </si>
  <si>
    <t xml:space="preserve">Column15386</t>
  </si>
  <si>
    <t xml:space="preserve">Column15387</t>
  </si>
  <si>
    <t xml:space="preserve">Column15388</t>
  </si>
  <si>
    <t xml:space="preserve">Column15389</t>
  </si>
  <si>
    <t xml:space="preserve">Column15390</t>
  </si>
  <si>
    <t xml:space="preserve">Column15391</t>
  </si>
  <si>
    <t xml:space="preserve">Column15392</t>
  </si>
  <si>
    <t xml:space="preserve">Column15393</t>
  </si>
  <si>
    <t xml:space="preserve">Column15394</t>
  </si>
  <si>
    <t xml:space="preserve">Column15395</t>
  </si>
  <si>
    <t xml:space="preserve">Column15396</t>
  </si>
  <si>
    <t xml:space="preserve">Column15397</t>
  </si>
  <si>
    <t xml:space="preserve">Column15398</t>
  </si>
  <si>
    <t xml:space="preserve">Column15399</t>
  </si>
  <si>
    <t xml:space="preserve">Column15400</t>
  </si>
  <si>
    <t xml:space="preserve">Column15401</t>
  </si>
  <si>
    <t xml:space="preserve">Column15402</t>
  </si>
  <si>
    <t xml:space="preserve">Column15403</t>
  </si>
  <si>
    <t xml:space="preserve">Column15404</t>
  </si>
  <si>
    <t xml:space="preserve">Column15405</t>
  </si>
  <si>
    <t xml:space="preserve">Column15406</t>
  </si>
  <si>
    <t xml:space="preserve">Column15407</t>
  </si>
  <si>
    <t xml:space="preserve">Column15408</t>
  </si>
  <si>
    <t xml:space="preserve">Column15409</t>
  </si>
  <si>
    <t xml:space="preserve">Column15410</t>
  </si>
  <si>
    <t xml:space="preserve">Column15411</t>
  </si>
  <si>
    <t xml:space="preserve">Column15412</t>
  </si>
  <si>
    <t xml:space="preserve">Column15413</t>
  </si>
  <si>
    <t xml:space="preserve">Column15414</t>
  </si>
  <si>
    <t xml:space="preserve">Column15415</t>
  </si>
  <si>
    <t xml:space="preserve">Column15416</t>
  </si>
  <si>
    <t xml:space="preserve">Column15417</t>
  </si>
  <si>
    <t xml:space="preserve">Column15418</t>
  </si>
  <si>
    <t xml:space="preserve">Column15419</t>
  </si>
  <si>
    <t xml:space="preserve">Column15420</t>
  </si>
  <si>
    <t xml:space="preserve">Column15421</t>
  </si>
  <si>
    <t xml:space="preserve">Column15422</t>
  </si>
  <si>
    <t xml:space="preserve">Column15423</t>
  </si>
  <si>
    <t xml:space="preserve">Column15424</t>
  </si>
  <si>
    <t xml:space="preserve">Column15425</t>
  </si>
  <si>
    <t xml:space="preserve">Column15426</t>
  </si>
  <si>
    <t xml:space="preserve">Column15427</t>
  </si>
  <si>
    <t xml:space="preserve">Column15428</t>
  </si>
  <si>
    <t xml:space="preserve">Column15429</t>
  </si>
  <si>
    <t xml:space="preserve">Column15430</t>
  </si>
  <si>
    <t xml:space="preserve">Column15431</t>
  </si>
  <si>
    <t xml:space="preserve">Column15432</t>
  </si>
  <si>
    <t xml:space="preserve">Column15433</t>
  </si>
  <si>
    <t xml:space="preserve">Column15434</t>
  </si>
  <si>
    <t xml:space="preserve">Column15435</t>
  </si>
  <si>
    <t xml:space="preserve">Column15436</t>
  </si>
  <si>
    <t xml:space="preserve">Column15437</t>
  </si>
  <si>
    <t xml:space="preserve">Column15438</t>
  </si>
  <si>
    <t xml:space="preserve">Column15439</t>
  </si>
  <si>
    <t xml:space="preserve">Column15440</t>
  </si>
  <si>
    <t xml:space="preserve">Column15441</t>
  </si>
  <si>
    <t xml:space="preserve">Column15442</t>
  </si>
  <si>
    <t xml:space="preserve">Column15443</t>
  </si>
  <si>
    <t xml:space="preserve">Column15444</t>
  </si>
  <si>
    <t xml:space="preserve">Column15445</t>
  </si>
  <si>
    <t xml:space="preserve">Column15446</t>
  </si>
  <si>
    <t xml:space="preserve">Column15447</t>
  </si>
  <si>
    <t xml:space="preserve">Column15448</t>
  </si>
  <si>
    <t xml:space="preserve">Column15449</t>
  </si>
  <si>
    <t xml:space="preserve">Column15450</t>
  </si>
  <si>
    <t xml:space="preserve">Column15451</t>
  </si>
  <si>
    <t xml:space="preserve">Column15452</t>
  </si>
  <si>
    <t xml:space="preserve">Column15453</t>
  </si>
  <si>
    <t xml:space="preserve">Column15454</t>
  </si>
  <si>
    <t xml:space="preserve">Column15455</t>
  </si>
  <si>
    <t xml:space="preserve">Column15456</t>
  </si>
  <si>
    <t xml:space="preserve">Column15457</t>
  </si>
  <si>
    <t xml:space="preserve">Column15458</t>
  </si>
  <si>
    <t xml:space="preserve">Column15459</t>
  </si>
  <si>
    <t xml:space="preserve">Column15460</t>
  </si>
  <si>
    <t xml:space="preserve">Column15461</t>
  </si>
  <si>
    <t xml:space="preserve">Column15462</t>
  </si>
  <si>
    <t xml:space="preserve">Column15463</t>
  </si>
  <si>
    <t xml:space="preserve">Column15464</t>
  </si>
  <si>
    <t xml:space="preserve">Column15465</t>
  </si>
  <si>
    <t xml:space="preserve">Column15466</t>
  </si>
  <si>
    <t xml:space="preserve">Column15467</t>
  </si>
  <si>
    <t xml:space="preserve">Column15468</t>
  </si>
  <si>
    <t xml:space="preserve">Column15469</t>
  </si>
  <si>
    <t xml:space="preserve">Column15470</t>
  </si>
  <si>
    <t xml:space="preserve">Column15471</t>
  </si>
  <si>
    <t xml:space="preserve">Column15472</t>
  </si>
  <si>
    <t xml:space="preserve">Column15473</t>
  </si>
  <si>
    <t xml:space="preserve">Column15474</t>
  </si>
  <si>
    <t xml:space="preserve">Column15475</t>
  </si>
  <si>
    <t xml:space="preserve">Column15476</t>
  </si>
  <si>
    <t xml:space="preserve">Column15477</t>
  </si>
  <si>
    <t xml:space="preserve">Column15478</t>
  </si>
  <si>
    <t xml:space="preserve">Column15479</t>
  </si>
  <si>
    <t xml:space="preserve">Column15480</t>
  </si>
  <si>
    <t xml:space="preserve">Column15481</t>
  </si>
  <si>
    <t xml:space="preserve">Column15482</t>
  </si>
  <si>
    <t xml:space="preserve">Column15483</t>
  </si>
  <si>
    <t xml:space="preserve">Column15484</t>
  </si>
  <si>
    <t xml:space="preserve">Column15485</t>
  </si>
  <si>
    <t xml:space="preserve">Column15486</t>
  </si>
  <si>
    <t xml:space="preserve">Column15487</t>
  </si>
  <si>
    <t xml:space="preserve">Column15488</t>
  </si>
  <si>
    <t xml:space="preserve">Column15489</t>
  </si>
  <si>
    <t xml:space="preserve">Column15490</t>
  </si>
  <si>
    <t xml:space="preserve">Column15491</t>
  </si>
  <si>
    <t xml:space="preserve">Column15492</t>
  </si>
  <si>
    <t xml:space="preserve">Column15493</t>
  </si>
  <si>
    <t xml:space="preserve">Column15494</t>
  </si>
  <si>
    <t xml:space="preserve">Column15495</t>
  </si>
  <si>
    <t xml:space="preserve">Column15496</t>
  </si>
  <si>
    <t xml:space="preserve">Column15497</t>
  </si>
  <si>
    <t xml:space="preserve">Column15498</t>
  </si>
  <si>
    <t xml:space="preserve">Column15499</t>
  </si>
  <si>
    <t xml:space="preserve">Column15500</t>
  </si>
  <si>
    <t xml:space="preserve">Column15501</t>
  </si>
  <si>
    <t xml:space="preserve">Column15502</t>
  </si>
  <si>
    <t xml:space="preserve">Column15503</t>
  </si>
  <si>
    <t xml:space="preserve">Column15504</t>
  </si>
  <si>
    <t xml:space="preserve">Column15505</t>
  </si>
  <si>
    <t xml:space="preserve">Column15506</t>
  </si>
  <si>
    <t xml:space="preserve">Column15507</t>
  </si>
  <si>
    <t xml:space="preserve">Column15508</t>
  </si>
  <si>
    <t xml:space="preserve">Column15509</t>
  </si>
  <si>
    <t xml:space="preserve">Column15510</t>
  </si>
  <si>
    <t xml:space="preserve">Column15511</t>
  </si>
  <si>
    <t xml:space="preserve">Column15512</t>
  </si>
  <si>
    <t xml:space="preserve">Column15513</t>
  </si>
  <si>
    <t xml:space="preserve">Column15514</t>
  </si>
  <si>
    <t xml:space="preserve">Column15515</t>
  </si>
  <si>
    <t xml:space="preserve">Column15516</t>
  </si>
  <si>
    <t xml:space="preserve">Column15517</t>
  </si>
  <si>
    <t xml:space="preserve">Column15518</t>
  </si>
  <si>
    <t xml:space="preserve">Column15519</t>
  </si>
  <si>
    <t xml:space="preserve">Column15520</t>
  </si>
  <si>
    <t xml:space="preserve">Column15521</t>
  </si>
  <si>
    <t xml:space="preserve">Column15522</t>
  </si>
  <si>
    <t xml:space="preserve">Column15523</t>
  </si>
  <si>
    <t xml:space="preserve">Column15524</t>
  </si>
  <si>
    <t xml:space="preserve">Column15525</t>
  </si>
  <si>
    <t xml:space="preserve">Column15526</t>
  </si>
  <si>
    <t xml:space="preserve">Column15527</t>
  </si>
  <si>
    <t xml:space="preserve">Column15528</t>
  </si>
  <si>
    <t xml:space="preserve">Column15529</t>
  </si>
  <si>
    <t xml:space="preserve">Column15530</t>
  </si>
  <si>
    <t xml:space="preserve">Column15531</t>
  </si>
  <si>
    <t xml:space="preserve">Column15532</t>
  </si>
  <si>
    <t xml:space="preserve">Column15533</t>
  </si>
  <si>
    <t xml:space="preserve">Column15534</t>
  </si>
  <si>
    <t xml:space="preserve">Column15535</t>
  </si>
  <si>
    <t xml:space="preserve">Column15536</t>
  </si>
  <si>
    <t xml:space="preserve">Column15537</t>
  </si>
  <si>
    <t xml:space="preserve">Column15538</t>
  </si>
  <si>
    <t xml:space="preserve">Column15539</t>
  </si>
  <si>
    <t xml:space="preserve">Column15540</t>
  </si>
  <si>
    <t xml:space="preserve">Column15541</t>
  </si>
  <si>
    <t xml:space="preserve">Column15542</t>
  </si>
  <si>
    <t xml:space="preserve">Column15543</t>
  </si>
  <si>
    <t xml:space="preserve">Column15544</t>
  </si>
  <si>
    <t xml:space="preserve">Column15545</t>
  </si>
  <si>
    <t xml:space="preserve">Column15546</t>
  </si>
  <si>
    <t xml:space="preserve">Column15547</t>
  </si>
  <si>
    <t xml:space="preserve">Column15548</t>
  </si>
  <si>
    <t xml:space="preserve">Column15549</t>
  </si>
  <si>
    <t xml:space="preserve">Column15550</t>
  </si>
  <si>
    <t xml:space="preserve">Column15551</t>
  </si>
  <si>
    <t xml:space="preserve">Column15552</t>
  </si>
  <si>
    <t xml:space="preserve">Column15553</t>
  </si>
  <si>
    <t xml:space="preserve">Column15554</t>
  </si>
  <si>
    <t xml:space="preserve">Column15555</t>
  </si>
  <si>
    <t xml:space="preserve">Column15556</t>
  </si>
  <si>
    <t xml:space="preserve">Column15557</t>
  </si>
  <si>
    <t xml:space="preserve">Column15558</t>
  </si>
  <si>
    <t xml:space="preserve">Column15559</t>
  </si>
  <si>
    <t xml:space="preserve">Column15560</t>
  </si>
  <si>
    <t xml:space="preserve">Column15561</t>
  </si>
  <si>
    <t xml:space="preserve">Column15562</t>
  </si>
  <si>
    <t xml:space="preserve">Column15563</t>
  </si>
  <si>
    <t xml:space="preserve">Column15564</t>
  </si>
  <si>
    <t xml:space="preserve">Column15565</t>
  </si>
  <si>
    <t xml:space="preserve">Column15566</t>
  </si>
  <si>
    <t xml:space="preserve">Column15567</t>
  </si>
  <si>
    <t xml:space="preserve">Column15568</t>
  </si>
  <si>
    <t xml:space="preserve">Column15569</t>
  </si>
  <si>
    <t xml:space="preserve">Column15570</t>
  </si>
  <si>
    <t xml:space="preserve">Column15571</t>
  </si>
  <si>
    <t xml:space="preserve">Column15572</t>
  </si>
  <si>
    <t xml:space="preserve">Column15573</t>
  </si>
  <si>
    <t xml:space="preserve">Column15574</t>
  </si>
  <si>
    <t xml:space="preserve">Column15575</t>
  </si>
  <si>
    <t xml:space="preserve">Column15576</t>
  </si>
  <si>
    <t xml:space="preserve">Column15577</t>
  </si>
  <si>
    <t xml:space="preserve">Column15578</t>
  </si>
  <si>
    <t xml:space="preserve">Column15579</t>
  </si>
  <si>
    <t xml:space="preserve">Column15580</t>
  </si>
  <si>
    <t xml:space="preserve">Column15581</t>
  </si>
  <si>
    <t xml:space="preserve">Column15582</t>
  </si>
  <si>
    <t xml:space="preserve">Column15583</t>
  </si>
  <si>
    <t xml:space="preserve">Column15584</t>
  </si>
  <si>
    <t xml:space="preserve">Column15585</t>
  </si>
  <si>
    <t xml:space="preserve">Column15586</t>
  </si>
  <si>
    <t xml:space="preserve">Column15587</t>
  </si>
  <si>
    <t xml:space="preserve">Column15588</t>
  </si>
  <si>
    <t xml:space="preserve">Column15589</t>
  </si>
  <si>
    <t xml:space="preserve">Column15590</t>
  </si>
  <si>
    <t xml:space="preserve">Column15591</t>
  </si>
  <si>
    <t xml:space="preserve">Column15592</t>
  </si>
  <si>
    <t xml:space="preserve">Column15593</t>
  </si>
  <si>
    <t xml:space="preserve">Column15594</t>
  </si>
  <si>
    <t xml:space="preserve">Column15595</t>
  </si>
  <si>
    <t xml:space="preserve">Column15596</t>
  </si>
  <si>
    <t xml:space="preserve">Column15597</t>
  </si>
  <si>
    <t xml:space="preserve">Column15598</t>
  </si>
  <si>
    <t xml:space="preserve">Column15599</t>
  </si>
  <si>
    <t xml:space="preserve">Column15600</t>
  </si>
  <si>
    <t xml:space="preserve">Column15601</t>
  </si>
  <si>
    <t xml:space="preserve">Column15602</t>
  </si>
  <si>
    <t xml:space="preserve">Column15603</t>
  </si>
  <si>
    <t xml:space="preserve">Column15604</t>
  </si>
  <si>
    <t xml:space="preserve">Column15605</t>
  </si>
  <si>
    <t xml:space="preserve">Column15606</t>
  </si>
  <si>
    <t xml:space="preserve">Column15607</t>
  </si>
  <si>
    <t xml:space="preserve">Column15608</t>
  </si>
  <si>
    <t xml:space="preserve">Column15609</t>
  </si>
  <si>
    <t xml:space="preserve">Column15610</t>
  </si>
  <si>
    <t xml:space="preserve">Column15611</t>
  </si>
  <si>
    <t xml:space="preserve">Column15612</t>
  </si>
  <si>
    <t xml:space="preserve">Column15613</t>
  </si>
  <si>
    <t xml:space="preserve">Column15614</t>
  </si>
  <si>
    <t xml:space="preserve">Column15615</t>
  </si>
  <si>
    <t xml:space="preserve">Column15616</t>
  </si>
  <si>
    <t xml:space="preserve">Column15617</t>
  </si>
  <si>
    <t xml:space="preserve">Column15618</t>
  </si>
  <si>
    <t xml:space="preserve">Column15619</t>
  </si>
  <si>
    <t xml:space="preserve">Column15620</t>
  </si>
  <si>
    <t xml:space="preserve">Column15621</t>
  </si>
  <si>
    <t xml:space="preserve">Column15622</t>
  </si>
  <si>
    <t xml:space="preserve">Column15623</t>
  </si>
  <si>
    <t xml:space="preserve">Column15624</t>
  </si>
  <si>
    <t xml:space="preserve">Column15625</t>
  </si>
  <si>
    <t xml:space="preserve">Column15626</t>
  </si>
  <si>
    <t xml:space="preserve">Column15627</t>
  </si>
  <si>
    <t xml:space="preserve">Column15628</t>
  </si>
  <si>
    <t xml:space="preserve">Column15629</t>
  </si>
  <si>
    <t xml:space="preserve">Column15630</t>
  </si>
  <si>
    <t xml:space="preserve">Column15631</t>
  </si>
  <si>
    <t xml:space="preserve">Column15632</t>
  </si>
  <si>
    <t xml:space="preserve">Column15633</t>
  </si>
  <si>
    <t xml:space="preserve">Column15634</t>
  </si>
  <si>
    <t xml:space="preserve">Column15635</t>
  </si>
  <si>
    <t xml:space="preserve">Column15636</t>
  </si>
  <si>
    <t xml:space="preserve">Column15637</t>
  </si>
  <si>
    <t xml:space="preserve">Column15638</t>
  </si>
  <si>
    <t xml:space="preserve">Column15639</t>
  </si>
  <si>
    <t xml:space="preserve">Column15640</t>
  </si>
  <si>
    <t xml:space="preserve">Column15641</t>
  </si>
  <si>
    <t xml:space="preserve">Column15642</t>
  </si>
  <si>
    <t xml:space="preserve">Column15643</t>
  </si>
  <si>
    <t xml:space="preserve">Column15644</t>
  </si>
  <si>
    <t xml:space="preserve">Column15645</t>
  </si>
  <si>
    <t xml:space="preserve">Column15646</t>
  </si>
  <si>
    <t xml:space="preserve">Column15647</t>
  </si>
  <si>
    <t xml:space="preserve">Column15648</t>
  </si>
  <si>
    <t xml:space="preserve">Column15649</t>
  </si>
  <si>
    <t xml:space="preserve">Column15650</t>
  </si>
  <si>
    <t xml:space="preserve">Column15651</t>
  </si>
  <si>
    <t xml:space="preserve">Column15652</t>
  </si>
  <si>
    <t xml:space="preserve">Column15653</t>
  </si>
  <si>
    <t xml:space="preserve">Column15654</t>
  </si>
  <si>
    <t xml:space="preserve">Column15655</t>
  </si>
  <si>
    <t xml:space="preserve">Column15656</t>
  </si>
  <si>
    <t xml:space="preserve">Column15657</t>
  </si>
  <si>
    <t xml:space="preserve">Column15658</t>
  </si>
  <si>
    <t xml:space="preserve">Column15659</t>
  </si>
  <si>
    <t xml:space="preserve">Column15660</t>
  </si>
  <si>
    <t xml:space="preserve">Column15661</t>
  </si>
  <si>
    <t xml:space="preserve">Column15662</t>
  </si>
  <si>
    <t xml:space="preserve">Column15663</t>
  </si>
  <si>
    <t xml:space="preserve">Column15664</t>
  </si>
  <si>
    <t xml:space="preserve">Column15665</t>
  </si>
  <si>
    <t xml:space="preserve">Column15666</t>
  </si>
  <si>
    <t xml:space="preserve">Column15667</t>
  </si>
  <si>
    <t xml:space="preserve">Column15668</t>
  </si>
  <si>
    <t xml:space="preserve">Column15669</t>
  </si>
  <si>
    <t xml:space="preserve">Column15670</t>
  </si>
  <si>
    <t xml:space="preserve">Column15671</t>
  </si>
  <si>
    <t xml:space="preserve">Column15672</t>
  </si>
  <si>
    <t xml:space="preserve">Column15673</t>
  </si>
  <si>
    <t xml:space="preserve">Column15674</t>
  </si>
  <si>
    <t xml:space="preserve">Column15675</t>
  </si>
  <si>
    <t xml:space="preserve">Column15676</t>
  </si>
  <si>
    <t xml:space="preserve">Column15677</t>
  </si>
  <si>
    <t xml:space="preserve">Column15678</t>
  </si>
  <si>
    <t xml:space="preserve">Column15679</t>
  </si>
  <si>
    <t xml:space="preserve">Column15680</t>
  </si>
  <si>
    <t xml:space="preserve">Column15681</t>
  </si>
  <si>
    <t xml:space="preserve">Column15682</t>
  </si>
  <si>
    <t xml:space="preserve">Column15683</t>
  </si>
  <si>
    <t xml:space="preserve">Column15684</t>
  </si>
  <si>
    <t xml:space="preserve">Column15685</t>
  </si>
  <si>
    <t xml:space="preserve">Column15686</t>
  </si>
  <si>
    <t xml:space="preserve">Column15687</t>
  </si>
  <si>
    <t xml:space="preserve">Column15688</t>
  </si>
  <si>
    <t xml:space="preserve">Column15689</t>
  </si>
  <si>
    <t xml:space="preserve">Column15690</t>
  </si>
  <si>
    <t xml:space="preserve">Column15691</t>
  </si>
  <si>
    <t xml:space="preserve">Column15692</t>
  </si>
  <si>
    <t xml:space="preserve">Column15693</t>
  </si>
  <si>
    <t xml:space="preserve">Column15694</t>
  </si>
  <si>
    <t xml:space="preserve">Column15695</t>
  </si>
  <si>
    <t xml:space="preserve">Column15696</t>
  </si>
  <si>
    <t xml:space="preserve">Column15697</t>
  </si>
  <si>
    <t xml:space="preserve">Column15698</t>
  </si>
  <si>
    <t xml:space="preserve">Column15699</t>
  </si>
  <si>
    <t xml:space="preserve">Column15700</t>
  </si>
  <si>
    <t xml:space="preserve">Column15701</t>
  </si>
  <si>
    <t xml:space="preserve">Column15702</t>
  </si>
  <si>
    <t xml:space="preserve">Column15703</t>
  </si>
  <si>
    <t xml:space="preserve">Column15704</t>
  </si>
  <si>
    <t xml:space="preserve">Column15705</t>
  </si>
  <si>
    <t xml:space="preserve">Column15706</t>
  </si>
  <si>
    <t xml:space="preserve">Column15707</t>
  </si>
  <si>
    <t xml:space="preserve">Column15708</t>
  </si>
  <si>
    <t xml:space="preserve">Column15709</t>
  </si>
  <si>
    <t xml:space="preserve">Column15710</t>
  </si>
  <si>
    <t xml:space="preserve">Column15711</t>
  </si>
  <si>
    <t xml:space="preserve">Column15712</t>
  </si>
  <si>
    <t xml:space="preserve">Column15713</t>
  </si>
  <si>
    <t xml:space="preserve">Column15714</t>
  </si>
  <si>
    <t xml:space="preserve">Column15715</t>
  </si>
  <si>
    <t xml:space="preserve">Column15716</t>
  </si>
  <si>
    <t xml:space="preserve">Column15717</t>
  </si>
  <si>
    <t xml:space="preserve">Column15718</t>
  </si>
  <si>
    <t xml:space="preserve">Column15719</t>
  </si>
  <si>
    <t xml:space="preserve">Column15720</t>
  </si>
  <si>
    <t xml:space="preserve">Column15721</t>
  </si>
  <si>
    <t xml:space="preserve">Column15722</t>
  </si>
  <si>
    <t xml:space="preserve">Column15723</t>
  </si>
  <si>
    <t xml:space="preserve">Column15724</t>
  </si>
  <si>
    <t xml:space="preserve">Column15725</t>
  </si>
  <si>
    <t xml:space="preserve">Column15726</t>
  </si>
  <si>
    <t xml:space="preserve">Column15727</t>
  </si>
  <si>
    <t xml:space="preserve">Column15728</t>
  </si>
  <si>
    <t xml:space="preserve">Column15729</t>
  </si>
  <si>
    <t xml:space="preserve">Column15730</t>
  </si>
  <si>
    <t xml:space="preserve">Column15731</t>
  </si>
  <si>
    <t xml:space="preserve">Column15732</t>
  </si>
  <si>
    <t xml:space="preserve">Column15733</t>
  </si>
  <si>
    <t xml:space="preserve">Column15734</t>
  </si>
  <si>
    <t xml:space="preserve">Column15735</t>
  </si>
  <si>
    <t xml:space="preserve">Column15736</t>
  </si>
  <si>
    <t xml:space="preserve">Column15737</t>
  </si>
  <si>
    <t xml:space="preserve">Column15738</t>
  </si>
  <si>
    <t xml:space="preserve">Column15739</t>
  </si>
  <si>
    <t xml:space="preserve">Column15740</t>
  </si>
  <si>
    <t xml:space="preserve">Column15741</t>
  </si>
  <si>
    <t xml:space="preserve">Column15742</t>
  </si>
  <si>
    <t xml:space="preserve">Column15743</t>
  </si>
  <si>
    <t xml:space="preserve">Column15744</t>
  </si>
  <si>
    <t xml:space="preserve">Column15745</t>
  </si>
  <si>
    <t xml:space="preserve">Column15746</t>
  </si>
  <si>
    <t xml:space="preserve">Column15747</t>
  </si>
  <si>
    <t xml:space="preserve">Column15748</t>
  </si>
  <si>
    <t xml:space="preserve">Column15749</t>
  </si>
  <si>
    <t xml:space="preserve">Column15750</t>
  </si>
  <si>
    <t xml:space="preserve">Column15751</t>
  </si>
  <si>
    <t xml:space="preserve">Column15752</t>
  </si>
  <si>
    <t xml:space="preserve">Column15753</t>
  </si>
  <si>
    <t xml:space="preserve">Column15754</t>
  </si>
  <si>
    <t xml:space="preserve">Column15755</t>
  </si>
  <si>
    <t xml:space="preserve">Column15756</t>
  </si>
  <si>
    <t xml:space="preserve">Column15757</t>
  </si>
  <si>
    <t xml:space="preserve">Column15758</t>
  </si>
  <si>
    <t xml:space="preserve">Column15759</t>
  </si>
  <si>
    <t xml:space="preserve">Column15760</t>
  </si>
  <si>
    <t xml:space="preserve">Column15761</t>
  </si>
  <si>
    <t xml:space="preserve">Column15762</t>
  </si>
  <si>
    <t xml:space="preserve">Column15763</t>
  </si>
  <si>
    <t xml:space="preserve">Column15764</t>
  </si>
  <si>
    <t xml:space="preserve">Column15765</t>
  </si>
  <si>
    <t xml:space="preserve">Column15766</t>
  </si>
  <si>
    <t xml:space="preserve">Column15767</t>
  </si>
  <si>
    <t xml:space="preserve">Column15768</t>
  </si>
  <si>
    <t xml:space="preserve">Column15769</t>
  </si>
  <si>
    <t xml:space="preserve">Column15770</t>
  </si>
  <si>
    <t xml:space="preserve">Column15771</t>
  </si>
  <si>
    <t xml:space="preserve">Column15772</t>
  </si>
  <si>
    <t xml:space="preserve">Column15773</t>
  </si>
  <si>
    <t xml:space="preserve">Column15774</t>
  </si>
  <si>
    <t xml:space="preserve">Column15775</t>
  </si>
  <si>
    <t xml:space="preserve">Column15776</t>
  </si>
  <si>
    <t xml:space="preserve">Column15777</t>
  </si>
  <si>
    <t xml:space="preserve">Column15778</t>
  </si>
  <si>
    <t xml:space="preserve">Column15779</t>
  </si>
  <si>
    <t xml:space="preserve">Column15780</t>
  </si>
  <si>
    <t xml:space="preserve">Column15781</t>
  </si>
  <si>
    <t xml:space="preserve">Column15782</t>
  </si>
  <si>
    <t xml:space="preserve">Column15783</t>
  </si>
  <si>
    <t xml:space="preserve">Column15784</t>
  </si>
  <si>
    <t xml:space="preserve">Column15785</t>
  </si>
  <si>
    <t xml:space="preserve">Column15786</t>
  </si>
  <si>
    <t xml:space="preserve">Column15787</t>
  </si>
  <si>
    <t xml:space="preserve">Column15788</t>
  </si>
  <si>
    <t xml:space="preserve">Column15789</t>
  </si>
  <si>
    <t xml:space="preserve">Column15790</t>
  </si>
  <si>
    <t xml:space="preserve">Column15791</t>
  </si>
  <si>
    <t xml:space="preserve">Column15792</t>
  </si>
  <si>
    <t xml:space="preserve">Column15793</t>
  </si>
  <si>
    <t xml:space="preserve">Column15794</t>
  </si>
  <si>
    <t xml:space="preserve">Column15795</t>
  </si>
  <si>
    <t xml:space="preserve">Column15796</t>
  </si>
  <si>
    <t xml:space="preserve">Column15797</t>
  </si>
  <si>
    <t xml:space="preserve">Column15798</t>
  </si>
  <si>
    <t xml:space="preserve">Column15799</t>
  </si>
  <si>
    <t xml:space="preserve">Column15800</t>
  </si>
  <si>
    <t xml:space="preserve">Column15801</t>
  </si>
  <si>
    <t xml:space="preserve">Column15802</t>
  </si>
  <si>
    <t xml:space="preserve">Column15803</t>
  </si>
  <si>
    <t xml:space="preserve">Column15804</t>
  </si>
  <si>
    <t xml:space="preserve">Column15805</t>
  </si>
  <si>
    <t xml:space="preserve">Column15806</t>
  </si>
  <si>
    <t xml:space="preserve">Column15807</t>
  </si>
  <si>
    <t xml:space="preserve">Column15808</t>
  </si>
  <si>
    <t xml:space="preserve">Column15809</t>
  </si>
  <si>
    <t xml:space="preserve">Column15810</t>
  </si>
  <si>
    <t xml:space="preserve">Column15811</t>
  </si>
  <si>
    <t xml:space="preserve">Column15812</t>
  </si>
  <si>
    <t xml:space="preserve">Column15813</t>
  </si>
  <si>
    <t xml:space="preserve">Column15814</t>
  </si>
  <si>
    <t xml:space="preserve">Column15815</t>
  </si>
  <si>
    <t xml:space="preserve">Column15816</t>
  </si>
  <si>
    <t xml:space="preserve">Column15817</t>
  </si>
  <si>
    <t xml:space="preserve">Column15818</t>
  </si>
  <si>
    <t xml:space="preserve">Column15819</t>
  </si>
  <si>
    <t xml:space="preserve">Column15820</t>
  </si>
  <si>
    <t xml:space="preserve">Column15821</t>
  </si>
  <si>
    <t xml:space="preserve">Column15822</t>
  </si>
  <si>
    <t xml:space="preserve">Column15823</t>
  </si>
  <si>
    <t xml:space="preserve">Column15824</t>
  </si>
  <si>
    <t xml:space="preserve">Column15825</t>
  </si>
  <si>
    <t xml:space="preserve">Column15826</t>
  </si>
  <si>
    <t xml:space="preserve">Column15827</t>
  </si>
  <si>
    <t xml:space="preserve">Column15828</t>
  </si>
  <si>
    <t xml:space="preserve">Column15829</t>
  </si>
  <si>
    <t xml:space="preserve">Column15830</t>
  </si>
  <si>
    <t xml:space="preserve">Column15831</t>
  </si>
  <si>
    <t xml:space="preserve">Column15832</t>
  </si>
  <si>
    <t xml:space="preserve">Column15833</t>
  </si>
  <si>
    <t xml:space="preserve">Column15834</t>
  </si>
  <si>
    <t xml:space="preserve">Column15835</t>
  </si>
  <si>
    <t xml:space="preserve">Column15836</t>
  </si>
  <si>
    <t xml:space="preserve">Column15837</t>
  </si>
  <si>
    <t xml:space="preserve">Column15838</t>
  </si>
  <si>
    <t xml:space="preserve">Column15839</t>
  </si>
  <si>
    <t xml:space="preserve">Column15840</t>
  </si>
  <si>
    <t xml:space="preserve">Column15841</t>
  </si>
  <si>
    <t xml:space="preserve">Column15842</t>
  </si>
  <si>
    <t xml:space="preserve">Column15843</t>
  </si>
  <si>
    <t xml:space="preserve">Column15844</t>
  </si>
  <si>
    <t xml:space="preserve">Column15845</t>
  </si>
  <si>
    <t xml:space="preserve">Column15846</t>
  </si>
  <si>
    <t xml:space="preserve">Column15847</t>
  </si>
  <si>
    <t xml:space="preserve">Column15848</t>
  </si>
  <si>
    <t xml:space="preserve">Column15849</t>
  </si>
  <si>
    <t xml:space="preserve">Column15850</t>
  </si>
  <si>
    <t xml:space="preserve">Column15851</t>
  </si>
  <si>
    <t xml:space="preserve">Column15852</t>
  </si>
  <si>
    <t xml:space="preserve">Column15853</t>
  </si>
  <si>
    <t xml:space="preserve">Column15854</t>
  </si>
  <si>
    <t xml:space="preserve">Column15855</t>
  </si>
  <si>
    <t xml:space="preserve">Column15856</t>
  </si>
  <si>
    <t xml:space="preserve">Column15857</t>
  </si>
  <si>
    <t xml:space="preserve">Column15858</t>
  </si>
  <si>
    <t xml:space="preserve">Column15859</t>
  </si>
  <si>
    <t xml:space="preserve">Column15860</t>
  </si>
  <si>
    <t xml:space="preserve">Column15861</t>
  </si>
  <si>
    <t xml:space="preserve">Column15862</t>
  </si>
  <si>
    <t xml:space="preserve">Column15863</t>
  </si>
  <si>
    <t xml:space="preserve">Column15864</t>
  </si>
  <si>
    <t xml:space="preserve">Column15865</t>
  </si>
  <si>
    <t xml:space="preserve">Column15866</t>
  </si>
  <si>
    <t xml:space="preserve">Column15867</t>
  </si>
  <si>
    <t xml:space="preserve">Column15868</t>
  </si>
  <si>
    <t xml:space="preserve">Column15869</t>
  </si>
  <si>
    <t xml:space="preserve">Column15870</t>
  </si>
  <si>
    <t xml:space="preserve">Column15871</t>
  </si>
  <si>
    <t xml:space="preserve">Column15872</t>
  </si>
  <si>
    <t xml:space="preserve">Column15873</t>
  </si>
  <si>
    <t xml:space="preserve">Column15874</t>
  </si>
  <si>
    <t xml:space="preserve">Column15875</t>
  </si>
  <si>
    <t xml:space="preserve">Column15876</t>
  </si>
  <si>
    <t xml:space="preserve">Column15877</t>
  </si>
  <si>
    <t xml:space="preserve">Column15878</t>
  </si>
  <si>
    <t xml:space="preserve">Column15879</t>
  </si>
  <si>
    <t xml:space="preserve">Column15880</t>
  </si>
  <si>
    <t xml:space="preserve">Column15881</t>
  </si>
  <si>
    <t xml:space="preserve">Column15882</t>
  </si>
  <si>
    <t xml:space="preserve">Column15883</t>
  </si>
  <si>
    <t xml:space="preserve">Column15884</t>
  </si>
  <si>
    <t xml:space="preserve">Column15885</t>
  </si>
  <si>
    <t xml:space="preserve">Column15886</t>
  </si>
  <si>
    <t xml:space="preserve">Column15887</t>
  </si>
  <si>
    <t xml:space="preserve">Column15888</t>
  </si>
  <si>
    <t xml:space="preserve">Column15889</t>
  </si>
  <si>
    <t xml:space="preserve">Column15890</t>
  </si>
  <si>
    <t xml:space="preserve">Column15891</t>
  </si>
  <si>
    <t xml:space="preserve">Column15892</t>
  </si>
  <si>
    <t xml:space="preserve">Column15893</t>
  </si>
  <si>
    <t xml:space="preserve">Column15894</t>
  </si>
  <si>
    <t xml:space="preserve">Column15895</t>
  </si>
  <si>
    <t xml:space="preserve">Column15896</t>
  </si>
  <si>
    <t xml:space="preserve">Column15897</t>
  </si>
  <si>
    <t xml:space="preserve">Column15898</t>
  </si>
  <si>
    <t xml:space="preserve">Column15899</t>
  </si>
  <si>
    <t xml:space="preserve">Column15900</t>
  </si>
  <si>
    <t xml:space="preserve">Column15901</t>
  </si>
  <si>
    <t xml:space="preserve">Column15902</t>
  </si>
  <si>
    <t xml:space="preserve">Column15903</t>
  </si>
  <si>
    <t xml:space="preserve">Column15904</t>
  </si>
  <si>
    <t xml:space="preserve">Column15905</t>
  </si>
  <si>
    <t xml:space="preserve">Column15906</t>
  </si>
  <si>
    <t xml:space="preserve">Column15907</t>
  </si>
  <si>
    <t xml:space="preserve">Column15908</t>
  </si>
  <si>
    <t xml:space="preserve">Column15909</t>
  </si>
  <si>
    <t xml:space="preserve">Column15910</t>
  </si>
  <si>
    <t xml:space="preserve">Column15911</t>
  </si>
  <si>
    <t xml:space="preserve">Column15912</t>
  </si>
  <si>
    <t xml:space="preserve">Column15913</t>
  </si>
  <si>
    <t xml:space="preserve">Column15914</t>
  </si>
  <si>
    <t xml:space="preserve">Column15915</t>
  </si>
  <si>
    <t xml:space="preserve">Column15916</t>
  </si>
  <si>
    <t xml:space="preserve">Column15917</t>
  </si>
  <si>
    <t xml:space="preserve">Column15918</t>
  </si>
  <si>
    <t xml:space="preserve">Column15919</t>
  </si>
  <si>
    <t xml:space="preserve">Column15920</t>
  </si>
  <si>
    <t xml:space="preserve">Column15921</t>
  </si>
  <si>
    <t xml:space="preserve">Column15922</t>
  </si>
  <si>
    <t xml:space="preserve">Column15923</t>
  </si>
  <si>
    <t xml:space="preserve">Column15924</t>
  </si>
  <si>
    <t xml:space="preserve">Column15925</t>
  </si>
  <si>
    <t xml:space="preserve">Column15926</t>
  </si>
  <si>
    <t xml:space="preserve">Column15927</t>
  </si>
  <si>
    <t xml:space="preserve">Column15928</t>
  </si>
  <si>
    <t xml:space="preserve">Column15929</t>
  </si>
  <si>
    <t xml:space="preserve">Column15930</t>
  </si>
  <si>
    <t xml:space="preserve">Column15931</t>
  </si>
  <si>
    <t xml:space="preserve">Column15932</t>
  </si>
  <si>
    <t xml:space="preserve">Column15933</t>
  </si>
  <si>
    <t xml:space="preserve">Column15934</t>
  </si>
  <si>
    <t xml:space="preserve">Column15935</t>
  </si>
  <si>
    <t xml:space="preserve">Column15936</t>
  </si>
  <si>
    <t xml:space="preserve">Column15937</t>
  </si>
  <si>
    <t xml:space="preserve">Column15938</t>
  </si>
  <si>
    <t xml:space="preserve">Column15939</t>
  </si>
  <si>
    <t xml:space="preserve">Column15940</t>
  </si>
  <si>
    <t xml:space="preserve">Column15941</t>
  </si>
  <si>
    <t xml:space="preserve">Column15942</t>
  </si>
  <si>
    <t xml:space="preserve">Column15943</t>
  </si>
  <si>
    <t xml:space="preserve">Column15944</t>
  </si>
  <si>
    <t xml:space="preserve">Column15945</t>
  </si>
  <si>
    <t xml:space="preserve">Column15946</t>
  </si>
  <si>
    <t xml:space="preserve">Column15947</t>
  </si>
  <si>
    <t xml:space="preserve">Column15948</t>
  </si>
  <si>
    <t xml:space="preserve">Column15949</t>
  </si>
  <si>
    <t xml:space="preserve">Column15950</t>
  </si>
  <si>
    <t xml:space="preserve">Column15951</t>
  </si>
  <si>
    <t xml:space="preserve">Column15952</t>
  </si>
  <si>
    <t xml:space="preserve">Column15953</t>
  </si>
  <si>
    <t xml:space="preserve">Column15954</t>
  </si>
  <si>
    <t xml:space="preserve">Column15955</t>
  </si>
  <si>
    <t xml:space="preserve">Column15956</t>
  </si>
  <si>
    <t xml:space="preserve">Column15957</t>
  </si>
  <si>
    <t xml:space="preserve">Column15958</t>
  </si>
  <si>
    <t xml:space="preserve">Column15959</t>
  </si>
  <si>
    <t xml:space="preserve">Column15960</t>
  </si>
  <si>
    <t xml:space="preserve">Column15961</t>
  </si>
  <si>
    <t xml:space="preserve">Column15962</t>
  </si>
  <si>
    <t xml:space="preserve">Column15963</t>
  </si>
  <si>
    <t xml:space="preserve">Column15964</t>
  </si>
  <si>
    <t xml:space="preserve">Column15965</t>
  </si>
  <si>
    <t xml:space="preserve">Column15966</t>
  </si>
  <si>
    <t xml:space="preserve">Column15967</t>
  </si>
  <si>
    <t xml:space="preserve">Column15968</t>
  </si>
  <si>
    <t xml:space="preserve">Column15969</t>
  </si>
  <si>
    <t xml:space="preserve">Column15970</t>
  </si>
  <si>
    <t xml:space="preserve">Column15971</t>
  </si>
  <si>
    <t xml:space="preserve">Column15972</t>
  </si>
  <si>
    <t xml:space="preserve">Column15973</t>
  </si>
  <si>
    <t xml:space="preserve">Column15974</t>
  </si>
  <si>
    <t xml:space="preserve">Column15975</t>
  </si>
  <si>
    <t xml:space="preserve">Column15976</t>
  </si>
  <si>
    <t xml:space="preserve">Column15977</t>
  </si>
  <si>
    <t xml:space="preserve">Column15978</t>
  </si>
  <si>
    <t xml:space="preserve">Column15979</t>
  </si>
  <si>
    <t xml:space="preserve">Column15980</t>
  </si>
  <si>
    <t xml:space="preserve">Column15981</t>
  </si>
  <si>
    <t xml:space="preserve">Column15982</t>
  </si>
  <si>
    <t xml:space="preserve">Column15983</t>
  </si>
  <si>
    <t xml:space="preserve">Column15984</t>
  </si>
  <si>
    <t xml:space="preserve">Column15985</t>
  </si>
  <si>
    <t xml:space="preserve">Column15986</t>
  </si>
  <si>
    <t xml:space="preserve">Column15987</t>
  </si>
  <si>
    <t xml:space="preserve">Column15988</t>
  </si>
  <si>
    <t xml:space="preserve">Column15989</t>
  </si>
  <si>
    <t xml:space="preserve">Column15990</t>
  </si>
  <si>
    <t xml:space="preserve">Column15991</t>
  </si>
  <si>
    <t xml:space="preserve">Column15992</t>
  </si>
  <si>
    <t xml:space="preserve">Column15993</t>
  </si>
  <si>
    <t xml:space="preserve">Column15994</t>
  </si>
  <si>
    <t xml:space="preserve">Column15995</t>
  </si>
  <si>
    <t xml:space="preserve">Column15996</t>
  </si>
  <si>
    <t xml:space="preserve">Column15997</t>
  </si>
  <si>
    <t xml:space="preserve">Column15998</t>
  </si>
  <si>
    <t xml:space="preserve">Column15999</t>
  </si>
  <si>
    <t xml:space="preserve">Column16000</t>
  </si>
  <si>
    <t xml:space="preserve">Column16001</t>
  </si>
  <si>
    <t xml:space="preserve">Column16002</t>
  </si>
  <si>
    <t xml:space="preserve">Column16003</t>
  </si>
  <si>
    <t xml:space="preserve">Column16004</t>
  </si>
  <si>
    <t xml:space="preserve">Column16005</t>
  </si>
  <si>
    <t xml:space="preserve">Column16006</t>
  </si>
  <si>
    <t xml:space="preserve">Column16007</t>
  </si>
  <si>
    <t xml:space="preserve">Column16008</t>
  </si>
  <si>
    <t xml:space="preserve">Column16009</t>
  </si>
  <si>
    <t xml:space="preserve">Column16010</t>
  </si>
  <si>
    <t xml:space="preserve">Column16011</t>
  </si>
  <si>
    <t xml:space="preserve">Column16012</t>
  </si>
  <si>
    <t xml:space="preserve">Column16013</t>
  </si>
  <si>
    <t xml:space="preserve">Column16014</t>
  </si>
  <si>
    <t xml:space="preserve">Column16015</t>
  </si>
  <si>
    <t xml:space="preserve">Column16016</t>
  </si>
  <si>
    <t xml:space="preserve">Column16017</t>
  </si>
  <si>
    <t xml:space="preserve">Column16018</t>
  </si>
  <si>
    <t xml:space="preserve">Column16019</t>
  </si>
  <si>
    <t xml:space="preserve">Column16020</t>
  </si>
  <si>
    <t xml:space="preserve">Column16021</t>
  </si>
  <si>
    <t xml:space="preserve">Column16022</t>
  </si>
  <si>
    <t xml:space="preserve">Column16023</t>
  </si>
  <si>
    <t xml:space="preserve">Column16024</t>
  </si>
  <si>
    <t xml:space="preserve">Column16025</t>
  </si>
  <si>
    <t xml:space="preserve">Column16026</t>
  </si>
  <si>
    <t xml:space="preserve">Column16027</t>
  </si>
  <si>
    <t xml:space="preserve">Column16028</t>
  </si>
  <si>
    <t xml:space="preserve">Column16029</t>
  </si>
  <si>
    <t xml:space="preserve">Column16030</t>
  </si>
  <si>
    <t xml:space="preserve">Column16031</t>
  </si>
  <si>
    <t xml:space="preserve">Column16032</t>
  </si>
  <si>
    <t xml:space="preserve">Column16033</t>
  </si>
  <si>
    <t xml:space="preserve">Column16034</t>
  </si>
  <si>
    <t xml:space="preserve">Column16035</t>
  </si>
  <si>
    <t xml:space="preserve">Column16036</t>
  </si>
  <si>
    <t xml:space="preserve">Column16037</t>
  </si>
  <si>
    <t xml:space="preserve">Column16038</t>
  </si>
  <si>
    <t xml:space="preserve">Column16039</t>
  </si>
  <si>
    <t xml:space="preserve">Column16040</t>
  </si>
  <si>
    <t xml:space="preserve">Column16041</t>
  </si>
  <si>
    <t xml:space="preserve">Column16042</t>
  </si>
  <si>
    <t xml:space="preserve">Column16043</t>
  </si>
  <si>
    <t xml:space="preserve">Column16044</t>
  </si>
  <si>
    <t xml:space="preserve">Column16045</t>
  </si>
  <si>
    <t xml:space="preserve">Column16046</t>
  </si>
  <si>
    <t xml:space="preserve">Column16047</t>
  </si>
  <si>
    <t xml:space="preserve">Column16048</t>
  </si>
  <si>
    <t xml:space="preserve">Column16049</t>
  </si>
  <si>
    <t xml:space="preserve">Column16050</t>
  </si>
  <si>
    <t xml:space="preserve">Column16051</t>
  </si>
  <si>
    <t xml:space="preserve">Column16052</t>
  </si>
  <si>
    <t xml:space="preserve">Column16053</t>
  </si>
  <si>
    <t xml:space="preserve">Column16054</t>
  </si>
  <si>
    <t xml:space="preserve">Column16055</t>
  </si>
  <si>
    <t xml:space="preserve">Column16056</t>
  </si>
  <si>
    <t xml:space="preserve">Column16057</t>
  </si>
  <si>
    <t xml:space="preserve">Column16058</t>
  </si>
  <si>
    <t xml:space="preserve">Column16059</t>
  </si>
  <si>
    <t xml:space="preserve">Column16060</t>
  </si>
  <si>
    <t xml:space="preserve">Column16061</t>
  </si>
  <si>
    <t xml:space="preserve">Column16062</t>
  </si>
  <si>
    <t xml:space="preserve">Column16063</t>
  </si>
  <si>
    <t xml:space="preserve">Column16064</t>
  </si>
  <si>
    <t xml:space="preserve">Column16065</t>
  </si>
  <si>
    <t xml:space="preserve">Column16066</t>
  </si>
  <si>
    <t xml:space="preserve">Column16067</t>
  </si>
  <si>
    <t xml:space="preserve">Column16068</t>
  </si>
  <si>
    <t xml:space="preserve">Column16069</t>
  </si>
  <si>
    <t xml:space="preserve">Column16070</t>
  </si>
  <si>
    <t xml:space="preserve">Column16071</t>
  </si>
  <si>
    <t xml:space="preserve">Column16072</t>
  </si>
  <si>
    <t xml:space="preserve">Column16073</t>
  </si>
  <si>
    <t xml:space="preserve">Column16074</t>
  </si>
  <si>
    <t xml:space="preserve">Column16075</t>
  </si>
  <si>
    <t xml:space="preserve">Column16076</t>
  </si>
  <si>
    <t xml:space="preserve">Column16077</t>
  </si>
  <si>
    <t xml:space="preserve">Column16078</t>
  </si>
  <si>
    <t xml:space="preserve">Column16079</t>
  </si>
  <si>
    <t xml:space="preserve">Column16080</t>
  </si>
  <si>
    <t xml:space="preserve">Column16081</t>
  </si>
  <si>
    <t xml:space="preserve">Column16082</t>
  </si>
  <si>
    <t xml:space="preserve">Column16083</t>
  </si>
  <si>
    <t xml:space="preserve">Column16084</t>
  </si>
  <si>
    <t xml:space="preserve">Column16085</t>
  </si>
  <si>
    <t xml:space="preserve">Column16086</t>
  </si>
  <si>
    <t xml:space="preserve">Column16087</t>
  </si>
  <si>
    <t xml:space="preserve">Column16088</t>
  </si>
  <si>
    <t xml:space="preserve">Column16089</t>
  </si>
  <si>
    <t xml:space="preserve">Column16090</t>
  </si>
  <si>
    <t xml:space="preserve">Column16091</t>
  </si>
  <si>
    <t xml:space="preserve">Column16092</t>
  </si>
  <si>
    <t xml:space="preserve">Column16093</t>
  </si>
  <si>
    <t xml:space="preserve">Dryobates minor</t>
  </si>
  <si>
    <t xml:space="preserve">Lesser Spotted Woodpecker</t>
  </si>
  <si>
    <t xml:space="preserve">Vertebrate</t>
  </si>
  <si>
    <t xml:space="preserve">Bird</t>
  </si>
  <si>
    <t xml:space="preserve">Picidae</t>
  </si>
  <si>
    <t xml:space="preserve">Priority (England); UK Red List</t>
  </si>
  <si>
    <t xml:space="preserve">scattered</t>
  </si>
  <si>
    <t xml:space="preserve">mature broadleaf woodland, esp oak. with well grown canopy (uncrowded), humidity, standing dead wood. The declines appear to be linked to chicks not surviving to adulthood, specifically chicks not having enough food. </t>
  </si>
  <si>
    <t xml:space="preserve">omnivore</t>
  </si>
  <si>
    <t xml:space="preserve">old</t>
  </si>
  <si>
    <t xml:space="preserve">parkland</t>
  </si>
  <si>
    <t xml:space="preserve">edges</t>
  </si>
  <si>
    <t xml:space="preserve">broadleaved</t>
  </si>
  <si>
    <t xml:space="preserve">veteran</t>
  </si>
  <si>
    <t xml:space="preserve">trunks, boughs</t>
  </si>
  <si>
    <t xml:space="preserve">standing</t>
  </si>
  <si>
    <t xml:space="preserve">dead</t>
  </si>
  <si>
    <t xml:space="preserve">decay</t>
  </si>
  <si>
    <t xml:space="preserve">heart rot</t>
  </si>
  <si>
    <t xml:space="preserve">damp</t>
  </si>
  <si>
    <t xml:space="preserve">yes</t>
  </si>
  <si>
    <t xml:space="preserve">Abdera flexuosa</t>
  </si>
  <si>
    <t xml:space="preserve">Insect</t>
  </si>
  <si>
    <t xml:space="preserve">Coleoptera</t>
  </si>
  <si>
    <t xml:space="preserve">Melandryidae</t>
  </si>
  <si>
    <t xml:space="preserve">Nationally Scarce</t>
  </si>
  <si>
    <t xml:space="preserve">Mainly develops in the small bracket fungus Inonotus radiatus which grows especially on the dead trunks of alder Alnus, also willow Salix &amp; birch Betula; adult once reported from under beech Fagus bark in winter. Most records are from ancient woodlands and wood pastures. Also found on I. dryadeus fruiting on oak Quercus in Co Fermanagh and Phellinus pini in Aberdeenshire.</t>
  </si>
  <si>
    <t xml:space="preserve">bracket fungus</t>
  </si>
  <si>
    <t xml:space="preserve">saproxylic</t>
  </si>
  <si>
    <t xml:space="preserve">ancient</t>
  </si>
  <si>
    <t xml:space="preserve">alder, willow, birch</t>
  </si>
  <si>
    <t xml:space="preserve">trunks</t>
  </si>
  <si>
    <t xml:space="preserve">pantheon</t>
  </si>
  <si>
    <t xml:space="preserve">no</t>
  </si>
  <si>
    <t xml:space="preserve">Abdera quadrifasciata</t>
  </si>
  <si>
    <t xml:space="preserve">S; E; C</t>
  </si>
  <si>
    <t xml:space="preserve">Develops in decaying branchwood; most often associated with hornbeam Carpinus, oak Quercus, and beech Fagus, but also horse chestnut Aesculus. Generally found on lower dead branches which have been shaded out by the tree's own canopy. Scattered across lowland southern Britain, into the Welsh Marches, but not known from the southwest. Mainly in ancient wood pastures, but occasionally in ancient woods.</t>
  </si>
  <si>
    <t xml:space="preserve">decaying branchwood</t>
  </si>
  <si>
    <t xml:space="preserve">hornbeam, oak, beech, horse chestnut</t>
  </si>
  <si>
    <t xml:space="preserve">branches</t>
  </si>
  <si>
    <t xml:space="preserve">dead, decaying</t>
  </si>
  <si>
    <t xml:space="preserve">aerial dead branches</t>
  </si>
  <si>
    <t xml:space="preserve">shaded</t>
  </si>
  <si>
    <t xml:space="preserve">Partial</t>
  </si>
  <si>
    <t xml:space="preserve">Abdera triguttata</t>
  </si>
  <si>
    <t xml:space="preserve">E; C; Scotland</t>
  </si>
  <si>
    <t xml:space="preserve">Formerly confined to Scottish Highlands, but now also in East Anglia. Has been found in association with oak Quercus in Suffolk, as well as pine Pinus.</t>
  </si>
  <si>
    <t xml:space="preserve">broadleaved, conifer</t>
  </si>
  <si>
    <t xml:space="preserve">Oak, pine</t>
  </si>
  <si>
    <t xml:space="preserve">fungal fruiting bodies</t>
  </si>
  <si>
    <t xml:space="preserve">Aderus populneus</t>
  </si>
  <si>
    <t xml:space="preserve">Aderidae</t>
  </si>
  <si>
    <t xml:space="preserve">S</t>
  </si>
  <si>
    <t xml:space="preserve">Larvae probably develop in decaying heartwood (including red rot) of assorted broadleaved trees e.g oak, lime, plane and willow. Found in woodland, pasture-woodland, hedged farmland and sometimes gardens and other urban situations. Visits hawthorn and willow flowers in spring.</t>
  </si>
  <si>
    <t xml:space="preserve">red rot</t>
  </si>
  <si>
    <t xml:space="preserve">xylophagous</t>
  </si>
  <si>
    <t xml:space="preserve">decaying</t>
  </si>
  <si>
    <t xml:space="preserve">hollow tree cavity</t>
  </si>
  <si>
    <t xml:space="preserve">rot hole</t>
  </si>
  <si>
    <t xml:space="preserve">heartrot</t>
  </si>
  <si>
    <t xml:space="preserve">flowers</t>
  </si>
  <si>
    <t xml:space="preserve">y</t>
  </si>
  <si>
    <t xml:space="preserve">Ampedus quercicola</t>
  </si>
  <si>
    <t xml:space="preserve">Elateridae</t>
  </si>
  <si>
    <t xml:space="preserve">S; C</t>
  </si>
  <si>
    <t xml:space="preserve">Develops in decayed heartwood of birch Betula, beech Fagus, hawthorn Crataegus and probably other trees; pupate at end of season and hibernate as adult; adults attracted to hawthorn blossom. Primarily associated with ancient wood pastures. Concentrated in Hants and E.Midlands.</t>
  </si>
  <si>
    <t xml:space="preserve">birch, beech, hawthorn</t>
  </si>
  <si>
    <t xml:space="preserve">trunks, branches</t>
  </si>
  <si>
    <t xml:space="preserve">moist red rot</t>
  </si>
  <si>
    <t xml:space="preserve">white rot</t>
  </si>
  <si>
    <t xml:space="preserve">wood mould</t>
  </si>
  <si>
    <t xml:space="preserve">humidity</t>
  </si>
  <si>
    <t xml:space="preserve">Uses</t>
  </si>
  <si>
    <t xml:space="preserve">Acalles misellus</t>
  </si>
  <si>
    <t xml:space="preserve">Curculionoidea</t>
  </si>
  <si>
    <t xml:space="preserve">Rare</t>
  </si>
  <si>
    <t xml:space="preserve">C; S</t>
  </si>
  <si>
    <t xml:space="preserve">often associated with dead ivy and hawthorn, they have been recorded from a wide range of deciduous trees including ash, beech, chestnut, lime, oak, hazel, birch, box and sycamore, on the continent also from pine and we have found them beneath areas of dead bark on an otherwise healthy yew tree in a Watford wood. On dead branches, twigs or in litter.</t>
  </si>
  <si>
    <t xml:space="preserve">ivy, hawthorn, ash, beech, chestnut, lime, oak, hazel, birch, box, sycamore, yew</t>
  </si>
  <si>
    <t xml:space="preserve">freshly dead</t>
  </si>
  <si>
    <t xml:space="preserve">beneath bark</t>
  </si>
  <si>
    <t xml:space="preserve">Epi</t>
  </si>
  <si>
    <t xml:space="preserve">ivy</t>
  </si>
  <si>
    <t xml:space="preserve">Acalypta brunnea</t>
  </si>
  <si>
    <t xml:space="preserve">Hemiptera</t>
  </si>
  <si>
    <t xml:space="preserve">Tingidae</t>
  </si>
  <si>
    <t xml:space="preserve">Local</t>
  </si>
  <si>
    <t xml:space="preserve">widespread</t>
  </si>
  <si>
    <t xml:space="preserve">in moss growing on the base of tree-trunks or on rotten stumps</t>
  </si>
  <si>
    <t xml:space="preserve">moss</t>
  </si>
  <si>
    <t xml:space="preserve">herbivore</t>
  </si>
  <si>
    <t xml:space="preserve">trunks, stumps</t>
  </si>
  <si>
    <t xml:space="preserve">mosses</t>
  </si>
  <si>
    <t xml:space="preserve">Acrulia inflata</t>
  </si>
  <si>
    <t xml:space="preserve">Staphylinidae</t>
  </si>
  <si>
    <t xml:space="preserve">N; W; Wales; C</t>
  </si>
  <si>
    <t xml:space="preserve">Adults and larvae under fungoid bark on sound timber of various broad-leaved trees, where moist interface; also in fungi growing on wood; general scavengers, feeding on insect material; </t>
  </si>
  <si>
    <t xml:space="preserve">fungi growing on wood</t>
  </si>
  <si>
    <t xml:space="preserve">scavenger</t>
  </si>
  <si>
    <t xml:space="preserve">injury</t>
  </si>
  <si>
    <t xml:space="preserve">beneath mouldy bark</t>
  </si>
  <si>
    <t xml:space="preserve">bird</t>
  </si>
  <si>
    <t xml:space="preserve">Amphotis marginata</t>
  </si>
  <si>
    <t xml:space="preserve">Nitidulidae</t>
  </si>
  <si>
    <t xml:space="preserve">Red Data Book</t>
  </si>
  <si>
    <t xml:space="preserve">In nests and runs of jet ant Lasius fuliginosus in woodland.</t>
  </si>
  <si>
    <t xml:space="preserve">ants</t>
  </si>
  <si>
    <t xml:space="preserve">predator</t>
  </si>
  <si>
    <t xml:space="preserve">nest cavity</t>
  </si>
  <si>
    <t xml:space="preserve">Anthocomus fasciatus</t>
  </si>
  <si>
    <t xml:space="preserve">Melyridae</t>
  </si>
  <si>
    <t xml:space="preserve">S; E; C; Wales</t>
  </si>
  <si>
    <t xml:space="preserve">Larvae probably predatory in borings of anobiid beetles; adults usually found by sweeping beneath trees or at umbel flowers.</t>
  </si>
  <si>
    <t xml:space="preserve">Anobiinae, flowers (adult)</t>
  </si>
  <si>
    <t xml:space="preserve">beetle galleries</t>
  </si>
  <si>
    <t xml:space="preserve">Agathidium arcticum</t>
  </si>
  <si>
    <t xml:space="preserve">S; W; N</t>
  </si>
  <si>
    <t xml:space="preserve">At slime moulds under fungoid bark, pine Pinus and birch Betula; a northern species best known from Caledonian pine forests, but also recently in SW Yorkshire.</t>
  </si>
  <si>
    <t xml:space="preserve">slime mould</t>
  </si>
  <si>
    <t xml:space="preserve">fungivore</t>
  </si>
  <si>
    <t xml:space="preserve">Broadleaved, conifer</t>
  </si>
  <si>
    <t xml:space="preserve">Pine, Birch</t>
  </si>
  <si>
    <t xml:space="preserve">Agathidium nigrinum</t>
  </si>
  <si>
    <t xml:space="preserve">S; C; E; Wales</t>
  </si>
  <si>
    <t xml:space="preserve">damp and shaded woodland with plenty of decaying timber but the species is also likely to occur on isolated trees in hedgerows or even domestic gardens</t>
  </si>
  <si>
    <t xml:space="preserve">decaying wood</t>
  </si>
  <si>
    <t xml:space="preserve">Agathidium seminulum</t>
  </si>
  <si>
    <t xml:space="preserve">Associated with rotten wood, various broad-leaved trees, in woodland; widespread in Britain, although local.</t>
  </si>
  <si>
    <t xml:space="preserve">Agathomyia collini</t>
  </si>
  <si>
    <t xml:space="preserve">Diptera</t>
  </si>
  <si>
    <t xml:space="preserve">Platypezidae</t>
  </si>
  <si>
    <t xml:space="preserve">EN</t>
  </si>
  <si>
    <t xml:space="preserve">E</t>
  </si>
  <si>
    <t xml:space="preserve">According to Chandler (2018) the biology is unknown with a suspected link to bracket fungus (Phellinus pomaceus) which is associated to old fruit trees (Rosaceae. Spp), thus links to old orchards. On a wider scale preservation of these could benefit the species although the population is either small or under recorded. </t>
  </si>
  <si>
    <t xml:space="preserve">orchards</t>
  </si>
  <si>
    <t xml:space="preserve">apple</t>
  </si>
  <si>
    <t xml:space="preserve">living</t>
  </si>
  <si>
    <t xml:space="preserve">Agathomyia lundbecki</t>
  </si>
  <si>
    <t xml:space="preserve">W</t>
  </si>
  <si>
    <t xml:space="preserve">Develops in fruiting bodies of Inonotus radiatus on decaying alder trunks.</t>
  </si>
  <si>
    <t xml:space="preserve">bracket fungus Mensularia radiata / Inonotus radiatus</t>
  </si>
  <si>
    <t xml:space="preserve">Alder</t>
  </si>
  <si>
    <t xml:space="preserve">Agathomyia wankowiczii</t>
  </si>
  <si>
    <t xml:space="preserve">SE; N</t>
  </si>
  <si>
    <t xml:space="preserve">Larvae form galls under brackets of Ganoderma applanatum; . Presumed to be a recent establishment as the galls are conspicuous and records increasing.</t>
  </si>
  <si>
    <t xml:space="preserve">Bracket fungus Ganoderma applanatum</t>
  </si>
  <si>
    <t xml:space="preserve">birch, beech</t>
  </si>
  <si>
    <t xml:space="preserve">deacying</t>
  </si>
  <si>
    <t xml:space="preserve">Abdera biflexuosa</t>
  </si>
  <si>
    <t xml:space="preserve">S; W</t>
  </si>
  <si>
    <t xml:space="preserve">Develops in decaying branchwood of oak Quercus, and to a lesser extent other broad-leaved trees. Branches still attached to tree. Alexader, 2002: found on lower dead branches which have been shaded out by the tree's own canopy. Gielen et al 2022 reports thin dead branches. Associated with fungi.</t>
  </si>
  <si>
    <t xml:space="preserve">Stereum sp fungus</t>
  </si>
  <si>
    <t xml:space="preserve">Oak</t>
  </si>
  <si>
    <t xml:space="preserve">decaying, freshly dead</t>
  </si>
  <si>
    <t xml:space="preserve">Agrilus viridis</t>
  </si>
  <si>
    <t xml:space="preserve">Buprestidae</t>
  </si>
  <si>
    <t xml:space="preserve">SE</t>
  </si>
  <si>
    <t xml:space="preserve">Larvae in dying boughs of Salix caprea and S .cinerea, especially recently split poles; also reported in oak Quercus. Very restricted distribution in south-east, with old record from Wyre Forest. Possibly associated mainly with old wood pasture commons.</t>
  </si>
  <si>
    <t xml:space="preserve">oak, willow</t>
  </si>
  <si>
    <t xml:space="preserve">dying</t>
  </si>
  <si>
    <t xml:space="preserve">cambial layer</t>
  </si>
  <si>
    <t xml:space="preserve">broken branches/limbs</t>
  </si>
  <si>
    <t xml:space="preserve">Alcis jubata</t>
  </si>
  <si>
    <t xml:space="preserve">Dotted Carpet</t>
  </si>
  <si>
    <t xml:space="preserve">Lepidoptera</t>
  </si>
  <si>
    <t xml:space="preserve">Geometridae</t>
  </si>
  <si>
    <t xml:space="preserve">Mature deciduous woodland. Larvae feed on lichens such as Usnea barbata</t>
  </si>
  <si>
    <t xml:space="preserve">lichen</t>
  </si>
  <si>
    <t xml:space="preserve">lichens</t>
  </si>
  <si>
    <t xml:space="preserve">Amaurobius fenestralis</t>
  </si>
  <si>
    <t xml:space="preserve">Invert</t>
  </si>
  <si>
    <t xml:space="preserve">Araneae</t>
  </si>
  <si>
    <t xml:space="preserve">Amouribuidae</t>
  </si>
  <si>
    <t xml:space="preserve">common</t>
  </si>
  <si>
    <t xml:space="preserve">Webs in crevices in trunks of trees and under stones; needs long tubular crevices in large-sized wood. Common &amp; widespread.</t>
  </si>
  <si>
    <t xml:space="preserve">small crevices</t>
  </si>
  <si>
    <t xml:space="preserve">beneath loose bark</t>
  </si>
  <si>
    <t xml:space="preserve">bark damage</t>
  </si>
  <si>
    <t xml:space="preserve">Ampedus balteatus</t>
  </si>
  <si>
    <t xml:space="preserve">LC</t>
  </si>
  <si>
    <t xml:space="preserve">Develops in red-rotten stumps and boughs of various trees; pupates at end of season and hibernates as adult. In woodlands and on peatlands; an association with ancient wood pastures has been suggested in northern England. Adults have been take in flight in June &amp; July, and may be found sheltering amongst tree foliage during daylight at this time. Widespread, although no records from the far west, and in Ireland strangely only known from Rathlin Island.</t>
  </si>
  <si>
    <t xml:space="preserve">pine, flowers</t>
  </si>
  <si>
    <t xml:space="preserve">Birch, oak, pine</t>
  </si>
  <si>
    <t xml:space="preserve">stumps, branches</t>
  </si>
  <si>
    <t xml:space="preserve">Agrilus laticornis</t>
  </si>
  <si>
    <t xml:space="preserve">S; C; E; W</t>
  </si>
  <si>
    <t xml:space="preserve">Larvae in dying branches of oak Quercus, usually in larger branches than A. angustulus and with thicker bark.</t>
  </si>
  <si>
    <t xml:space="preserve">oak</t>
  </si>
  <si>
    <t xml:space="preserve">branches, trunks</t>
  </si>
  <si>
    <t xml:space="preserve">High</t>
  </si>
  <si>
    <t xml:space="preserve">Ampedus cardinalis</t>
  </si>
  <si>
    <t xml:space="preserve">Cardinal Click Beetle</t>
  </si>
  <si>
    <t xml:space="preserve">C</t>
  </si>
  <si>
    <t xml:space="preserve">Develops in red-rotten heartwood of old oaks Quercus, in smaller boughs as well as trunks; relict old forests and ancient parks. Long larval period and adult dormancy; adults in pupal cells Sept-April, and under loose bark May-July; mostly Thames and Severn Basins, very thin scatter elsewhere in central England.</t>
  </si>
  <si>
    <t xml:space="preserve">Ampedus elongantulus</t>
  </si>
  <si>
    <t xml:space="preserve">S; SE</t>
  </si>
  <si>
    <t xml:space="preserve">Nationally Scarce A. Larvae in red-rotten wood of oak Quercus and pine Pinus, also from beech Fagus; pupate at end of season and hibernate as adult; ancient woods and wood pastures. Adults fly mid May to July, and attracted to hawthorn Crataegus blossom. Mainly S &amp; SE England.</t>
  </si>
  <si>
    <t xml:space="preserve">old rotting wood, pine, hawthorn flowers</t>
  </si>
  <si>
    <t xml:space="preserve">beech, oak, pine</t>
  </si>
  <si>
    <t xml:space="preserve">Ampedus cinnabarinus</t>
  </si>
  <si>
    <t xml:space="preserve">Larvae in dead timber of various broad-leaved trees, mainly in heart-rot, but also under bark on rotten limbs; feed on larvae of the beetle Dorcus, etc; pupate at end of season and hibernate as adult. Principally associated with old oak Quercus forest; centred on Hants, W. Sussex and Forest of Dean; also N. Devon.</t>
  </si>
  <si>
    <t xml:space="preserve">dead wood</t>
  </si>
  <si>
    <t xml:space="preserve">Ampedus nigrinus</t>
  </si>
  <si>
    <t xml:space="preserve">N; W</t>
  </si>
  <si>
    <t xml:space="preserve">Nationally Scarce B. Larvae in heart-rot of pine Pinus and birch Betula; probably other trees too; pupate at end of season and hibernate as adult; predominantly in Scottish pinewoods, but also found elsewhere &amp; a thin scatter in N &amp; W England.</t>
  </si>
  <si>
    <t xml:space="preserve">birch</t>
  </si>
  <si>
    <t xml:space="preserve">Ampedus pomorum</t>
  </si>
  <si>
    <t xml:space="preserve">Nationally Scarce B. Larvae in decayed timber of oak Quercus, birch Betula, pine Pinus &amp; probably other trees; pupate at end of season and hibernate as adult; very thin scatter in N &amp; W Britain and widely in Ireland. Primarily associated with ancient wood pastures, also widely known from birches around peatlands. Adults active May &amp; June.</t>
  </si>
  <si>
    <t xml:space="preserve">oak, birch, pine</t>
  </si>
  <si>
    <t xml:space="preserve">Ampedus nigerrimus</t>
  </si>
  <si>
    <t xml:space="preserve">RDB1 &amp; BAP Grouped Species Statement. Develops exclusively in large decayed oak Quercus - trunk, boughs, especially stumps - chiefly red-rotten ones; pupate at end of season and hibernate as adult; adult has been taken at hawthorn Crataegus blossom. Old forest relic only known from Windsor Forest.</t>
  </si>
  <si>
    <t xml:space="preserve">hawthorn flowers, red rotten oak</t>
  </si>
  <si>
    <t xml:space="preserve">saprophagous, nectivore</t>
  </si>
  <si>
    <t xml:space="preserve">trunks, branches, stumps</t>
  </si>
  <si>
    <t xml:space="preserve">standing, fallen</t>
  </si>
  <si>
    <t xml:space="preserve">Obligate</t>
  </si>
  <si>
    <t xml:space="preserve">Ampedus rufipennis</t>
  </si>
  <si>
    <t xml:space="preserve">a click-beetle</t>
  </si>
  <si>
    <t xml:space="preserve">Priority (England)</t>
  </si>
  <si>
    <t xml:space="preserve">RDB2; BAP Grouped Species Statement. Larvae develop in relatively soft rotten heartwood of beech Fagus (at Windsor; Moccas); ash Fraxinus (Cotswolds); elm Ulmus (Moccas; Cotswolds); in trunks; logs; boughs; more rarely in stumps; pupate at end of season; hibernate as adult; adults 40 have occasionally been taken off hawthorn Crataegus blossom; mainly Windsor; Moccas Park; North Cotswolds; plus a few other areas.</t>
  </si>
  <si>
    <t xml:space="preserve">decayingwood; flowers</t>
  </si>
  <si>
    <t xml:space="preserve">beech, elm</t>
  </si>
  <si>
    <t xml:space="preserve">moist white rot</t>
  </si>
  <si>
    <t xml:space="preserve">Atheta consanguinea</t>
  </si>
  <si>
    <t xml:space="preserve">Acrotona troglodytes</t>
  </si>
  <si>
    <t xml:space="preserve">Found in debris in hollow beech Fagus and elm Ulmus stumps; also in haystack litter and in nest of brown tree ant Lasius brunneus; Britain; widely distributed but rare in C. Europe &amp; Scandinavia.</t>
  </si>
  <si>
    <t xml:space="preserve">trunks, litter</t>
  </si>
  <si>
    <t xml:space="preserve">dry wood mould</t>
  </si>
  <si>
    <t xml:space="preserve">Anaglyptus mysticus</t>
  </si>
  <si>
    <t xml:space="preserve">Cerambycidae</t>
  </si>
  <si>
    <t xml:space="preserve">C; S; E</t>
  </si>
  <si>
    <t xml:space="preserve">Develops in boles and branches of dry or fresh hardwoods, especially where fire-scorched; adults attracted to hawthorn Crataegus blossom; larvae under bark and in the wood of very dry dead boles and branches; 2 year cycle, pupae over-wintering</t>
  </si>
  <si>
    <t xml:space="preserve">xylophagous, nectivore</t>
  </si>
  <si>
    <t xml:space="preserve">burnt</t>
  </si>
  <si>
    <t xml:space="preserve">dead branches</t>
  </si>
  <si>
    <t xml:space="preserve">dry</t>
  </si>
  <si>
    <t xml:space="preserve">Aplocnemus nigricornis</t>
  </si>
  <si>
    <t xml:space="preserve">Rhadalidae</t>
  </si>
  <si>
    <t xml:space="preserve">S; E; W; C</t>
  </si>
  <si>
    <t xml:space="preserve">Found in ancient broadleaved woodland and parkland with hollow oaks; also mixed and coniferous woodland. The larvae develop in decaying wood.</t>
  </si>
  <si>
    <t xml:space="preserve">Anisandrus dispar</t>
  </si>
  <si>
    <t xml:space="preserve">Scolytidae</t>
  </si>
  <si>
    <t xml:space="preserve">Hosts include deciduous trees from a range of families as well as, much less frequently, various conifers. They generally infect dead or dying areas of wood but stressed healthy trees may also be attacked.</t>
  </si>
  <si>
    <t xml:space="preserve">birch, oak</t>
  </si>
  <si>
    <t xml:space="preserve">Anisotoma glabra</t>
  </si>
  <si>
    <t xml:space="preserve">Leiodidae</t>
  </si>
  <si>
    <t xml:space="preserve">Scotland; NE</t>
  </si>
  <si>
    <t xml:space="preserve">Under fungoid bark on pine Pinus; a northern species not uncommon in Caledonian pine forests, and recently found in Yorkshire.</t>
  </si>
  <si>
    <t xml:space="preserve">conifer </t>
  </si>
  <si>
    <t xml:space="preserve">Anisotoma orbicularis</t>
  </si>
  <si>
    <t xml:space="preserve">Possibly a woodland species; widely distributed in Britain.</t>
  </si>
  <si>
    <t xml:space="preserve">Anisoxya fuscula</t>
  </si>
  <si>
    <t xml:space="preserve">Larvae in decaying boughs and twigs, of a wide variety of broad-leaved trees. Associated particularly with ancient wood-pasture type habitats, including floodplain willow pollard systems; Glamorgan to Kent and 
north to Yorkshire</t>
  </si>
  <si>
    <t xml:space="preserve">old trees with dead twigs in canopy </t>
  </si>
  <si>
    <t xml:space="preserve">Anaspis frontalis</t>
  </si>
  <si>
    <t xml:space="preserve">Scraptiidae</t>
  </si>
  <si>
    <t xml:space="preserve">larvae are known to develop under bark or within decaying wood of various broadleaf trees and shrubs, on the continent they have been recorded from oak and maple, and they are thought to feed either on wood fibres or on wood infested with fungi.</t>
  </si>
  <si>
    <t xml:space="preserve">wood fibres and fungi and other animals. Adults on flowers</t>
  </si>
  <si>
    <t xml:space="preserve">predator, xylophage, nectivore</t>
  </si>
  <si>
    <t xml:space="preserve">Anobium inexspectatum</t>
  </si>
  <si>
    <t xml:space="preserve">Ptinidae</t>
  </si>
  <si>
    <t xml:space="preserve">exclusively associated with old ivy although on the continent they are thought to occur on some broadleaf trees such as oak</t>
  </si>
  <si>
    <t xml:space="preserve">old ivy</t>
  </si>
  <si>
    <t xml:space="preserve">Anobium punctatum</t>
  </si>
  <si>
    <t xml:space="preserve">Common Furniture Beetle</t>
  </si>
  <si>
    <t xml:space="preserve">On dry wood of deciduous and coniferous trees; it likes ivy. Woodwork and furniture in houses, stores, warehouses in Europe; widespread in Britain. </t>
  </si>
  <si>
    <t xml:space="preserve">bark &amp; sapwood decay</t>
  </si>
  <si>
    <t xml:space="preserve">Anomognathus cuspidatus</t>
  </si>
  <si>
    <t xml:space="preserve">S; C; E; N; Wales</t>
  </si>
  <si>
    <t xml:space="preserve"> broad-leaved woodland and wooded parkland with trees in various stages of decay, they also occur on individual trees in wasteland and gardens. they are associated with bark in the early stages of decay and will often be found under close-fitting bark that is still damp, more generally they occur near fungal fruiting bodies although no specific associations are known and it is likely they frequent such habitats simple to predate the early stages of fungivorous flies and beetles</t>
  </si>
  <si>
    <t xml:space="preserve">oak, beech</t>
  </si>
  <si>
    <t xml:space="preserve">beneath tight bark</t>
  </si>
  <si>
    <t xml:space="preserve">Anoplodera sexguttata</t>
  </si>
  <si>
    <t xml:space="preserve">6-spotted Longhorn</t>
  </si>
  <si>
    <t xml:space="preserve">S; E; Wales</t>
  </si>
  <si>
    <t xml:space="preserve">Develops in dead branches of oak Quercus and beech Fagus  It seems to particularly like large items of seasoned oak being decayed by the heartwood-decay fungus Hymenochaete rubiginosa.; adults most often seen nectaring at flowers of plants such as hogweed Heracleum and water-dropwort Oenanthe. Very much a relict old forest species, with a scattered distribution across southern Britain, reaching N. Yorkshire in the north, and Merionethshire and N, Devon in the west.</t>
  </si>
  <si>
    <t xml:space="preserve">Anitys rubens</t>
  </si>
  <si>
    <t xml:space="preserve">Develops in red-rotted heartwood of old oaks Quercus in ancient wood pastures; southern England to Yorkshire, and Ceredigion.</t>
  </si>
  <si>
    <t xml:space="preserve">saprophagous</t>
  </si>
  <si>
    <t xml:space="preserve">Apis mellifera mellifera</t>
  </si>
  <si>
    <t xml:space="preserve">Honey Bee</t>
  </si>
  <si>
    <t xml:space="preserve">Hymenoptera</t>
  </si>
  <si>
    <t xml:space="preserve">Apidae</t>
  </si>
  <si>
    <t xml:space="preserve">Least Concern</t>
  </si>
  <si>
    <t xml:space="preserve">The main natural nest site for this species in Britain is standing hollow trees, although the bees forage widely in the surrounding countryside.</t>
  </si>
  <si>
    <t xml:space="preserve">hollow trees, flowers</t>
  </si>
  <si>
    <t xml:space="preserve">nectivore</t>
  </si>
  <si>
    <t xml:space="preserve">tow</t>
  </si>
  <si>
    <t xml:space="preserve">Aplocnemus impressus</t>
  </si>
  <si>
    <t xml:space="preserve">The larvae develop in decaying wood of various broadleaved trees including oak, birch, pear, sycamore and occasionally pine. Most records are for broadleaved and mixed woodland and parkland with plenty of over-mature trees.</t>
  </si>
  <si>
    <t xml:space="preserve">oak, pine</t>
  </si>
  <si>
    <t xml:space="preserve">Aulonothroscus brevicollis</t>
  </si>
  <si>
    <t xml:space="preserve">Larvae develop under bark in dead branches and in wood mould, probably mainly oak Quercus; very thin scatter of records and all ancient wood pastures.  develops in decaying wood in old open-grown tree trunks, usually oak; known from a dozen or so sites across southern England</t>
  </si>
  <si>
    <t xml:space="preserve">oak, cherry</t>
  </si>
  <si>
    <t xml:space="preserve">bark &amp; cambium</t>
  </si>
  <si>
    <t xml:space="preserve">Aplota palpellus</t>
  </si>
  <si>
    <t xml:space="preserve">Scarce Brown Streak</t>
  </si>
  <si>
    <t xml:space="preserve">Oecophoridae</t>
  </si>
  <si>
    <t xml:space="preserve">mosses on large old, open grown trees on wood edge and parkland</t>
  </si>
  <si>
    <t xml:space="preserve">moss growing undisturbed in a thin mat</t>
  </si>
  <si>
    <t xml:space="preserve">bark</t>
  </si>
  <si>
    <t xml:space="preserve">Apomyelois bistriatella
</t>
  </si>
  <si>
    <t xml:space="preserve">Pyralidae</t>
  </si>
  <si>
    <t xml:space="preserve">O: On Daldinia vernicosa; probably other Daldinia spp. growing on burnt gorse and birch.
L: In a silk-lined gallery within the fungus; if, when the fungus is broken off, white silk threads are seen, there should be a larva in the fungus or the wood nearby.
P: In a cocoon within the fungus, under the bark of the host tree or in softer decayed wood.
I: Once in late April. With a possible partial second generation. Flies at night and comes to light. Has been reported to be found by tapping old gorse stems, when it drops to the ground.</t>
  </si>
  <si>
    <t xml:space="preserve">Aradus cinnamomeus</t>
  </si>
  <si>
    <t xml:space="preserve">Pine flatbug. </t>
  </si>
  <si>
    <t xml:space="preserve">Aradidae</t>
  </si>
  <si>
    <t xml:space="preserve">Under bark scales of Scots pine less than 25 years old, feeding on pine sap; S &amp; SE England, first recognised GB in 1951</t>
  </si>
  <si>
    <t xml:space="preserve">young</t>
  </si>
  <si>
    <t xml:space="preserve">pine</t>
  </si>
  <si>
    <t xml:space="preserve">sap</t>
  </si>
  <si>
    <t xml:space="preserve">Aradus depressus</t>
  </si>
  <si>
    <t xml:space="preserve">On stumps and under bark on various dead trees, but especially beech, birch and oak; feeds on mycelia and fruiting bodies of Polyporus and other fungi. Widespread in England &amp; Wales</t>
  </si>
  <si>
    <t xml:space="preserve">beech, birch, oak</t>
  </si>
  <si>
    <t xml:space="preserve">Archinemapogon yildizae
</t>
  </si>
  <si>
    <t xml:space="preserve">Tineidae</t>
  </si>
  <si>
    <t xml:space="preserve">Scotland</t>
  </si>
  <si>
    <t xml:space="preserve">L: On bracket fungi of old birch woodland, particularly Fomes fomentarius or Fomitopsis betulina, also Xanthoporia radiata. When on Fomes, normally in association with the tenebrionid beetle Bolitophagus reticulatus.
I: Rests on trunks; flies around birch at sunset.</t>
  </si>
  <si>
    <t xml:space="preserve">Argyresthia goedartella
</t>
  </si>
  <si>
    <t xml:space="preserve">Argyresthiidae</t>
  </si>
  <si>
    <t xml:space="preserve">Widespread</t>
  </si>
  <si>
    <t xml:space="preserve">O: On Betula spp. or Alnus glutinosa.
L: In a shoot or catkins, sometimes congregating under bark in the spring.
P: In a cocoon in or under the bark, or in the fungus Fomitopsis betulinus.
I: In one extended generation. Comes to light.</t>
  </si>
  <si>
    <t xml:space="preserve">birch, alder</t>
  </si>
  <si>
    <t xml:space="preserve">Arhopalus ferus</t>
  </si>
  <si>
    <t xml:space="preserve">Burnt Pine Longhorn</t>
  </si>
  <si>
    <t xml:space="preserve">rare</t>
  </si>
  <si>
    <t xml:space="preserve">Arhopalus ferus is known to attack logs, stumps, slash and standing dead or dying pine trees. Heavy infestations are known to occur in trees recently damaged by fire.</t>
  </si>
  <si>
    <t xml:space="preserve">trunks, stumps, logs, roots</t>
  </si>
  <si>
    <t xml:space="preserve">Arhopalus rusticus</t>
  </si>
  <si>
    <t xml:space="preserve">Dusky Longhorn</t>
  </si>
  <si>
    <t xml:space="preserve">Larva in standing and fallen trunks and stumps of various conifers, and will attack larvae of the long-horn beetle Asemum striatum if encountered; up to 2 years life cycle, pupal eclosion from May onwards; nocturnal, hiding under bark by day, but attracted to light after dark; also active in hot weather; Scottish native but has spread widely with conifer plantations over England.</t>
  </si>
  <si>
    <t xml:space="preserve">xylophagous, predator</t>
  </si>
  <si>
    <t xml:space="preserve">plantations</t>
  </si>
  <si>
    <t xml:space="preserve">Arthonia invadens</t>
  </si>
  <si>
    <t xml:space="preserve">Lichen</t>
  </si>
  <si>
    <t xml:space="preserve">SW; S</t>
  </si>
  <si>
    <t xml:space="preserve">parasite on another species. Dependant on populations of host and host density. Open grown trees; old oak, ash trees; crevices and rain tracks (host) </t>
  </si>
  <si>
    <t xml:space="preserve">Good populations of Schizotrema quercicola</t>
  </si>
  <si>
    <t xml:space="preserve">epiphyte</t>
  </si>
  <si>
    <t xml:space="preserve">oak, ash</t>
  </si>
  <si>
    <t xml:space="preserve">bark, rain track</t>
  </si>
  <si>
    <t xml:space="preserve">well-lit</t>
  </si>
  <si>
    <t xml:space="preserve">sheltered</t>
  </si>
  <si>
    <t xml:space="preserve">Arthonia zwackhii</t>
  </si>
  <si>
    <t xml:space="preserve">Near Threatened</t>
  </si>
  <si>
    <t xml:space="preserve">SW; S; Wales</t>
  </si>
  <si>
    <t xml:space="preserve">This rare lichen appears to starts life as a fungal parasite of Phlyctis species, including the common Phlyctis argena, but soon becomes an independent lichen. Like some other parasites of common lichens, it is curiously restricted to old growth woodlands and parklands and is rare.</t>
  </si>
  <si>
    <t xml:space="preserve">Phlyctis argena and rarely P. agelaea thalli </t>
  </si>
  <si>
    <t xml:space="preserve">beech, ash, sycamore, maple, oak</t>
  </si>
  <si>
    <t xml:space="preserve">Cosmopolitan</t>
  </si>
  <si>
    <t xml:space="preserve">Asteia amoena</t>
  </si>
  <si>
    <t xml:space="preserve">Asteiidae</t>
  </si>
  <si>
    <t xml:space="preserve">Feeds at ivy blossom and sap; develops in wood detritus, in hollow trees, etc.</t>
  </si>
  <si>
    <t xml:space="preserve">Athene noctua</t>
  </si>
  <si>
    <t xml:space="preserve">Little Owl</t>
  </si>
  <si>
    <t xml:space="preserve">Strigidae</t>
  </si>
  <si>
    <t xml:space="preserve">LC; Not assessed</t>
  </si>
  <si>
    <t xml:space="preserve">Woodland, Urban and Suburban, Farmland, Grassland</t>
  </si>
  <si>
    <t xml:space="preserve">Batrisodes adnexus</t>
  </si>
  <si>
    <t xml:space="preserve">Pselaphidae</t>
  </si>
  <si>
    <t xml:space="preserve">Adults in decaying timber of old broad-leaved trees, with brown tree ant Lasius brunneus; probably a mite predator; has been reared from a bracket fungus. Windsor &amp; Epping Forests.</t>
  </si>
  <si>
    <t xml:space="preserve">bracket fungus, Lasius brunneus</t>
  </si>
  <si>
    <t xml:space="preserve">Atolmis rubricollis</t>
  </si>
  <si>
    <t xml:space="preserve">Red-necked Footman</t>
  </si>
  <si>
    <t xml:space="preserve">Erebidae</t>
  </si>
  <si>
    <t xml:space="preserve">Feeding on lichens and algae growing on tree-trunks</t>
  </si>
  <si>
    <t xml:space="preserve">lichens and algae</t>
  </si>
  <si>
    <t xml:space="preserve">beech, oak, larch</t>
  </si>
  <si>
    <t xml:space="preserve">Batrisodes delaporti</t>
  </si>
  <si>
    <t xml:space="preserve">Adult in nests of brown tree ant L. brunneus, in decaying wood of old broad-leaved trees; probably a mite predator. Windsor Forest.</t>
  </si>
  <si>
    <t xml:space="preserve">Atomaria umbrina</t>
  </si>
  <si>
    <t xml:space="preserve">Cryptophagidae</t>
  </si>
  <si>
    <t xml:space="preserve">Associated with the fruiting bodies of wood-rotting fungi, especially the gill fungi Armillaria mellea and Pholiota spp, in woodlands. Also taken in grass heaps.</t>
  </si>
  <si>
    <t xml:space="preserve">fungi</t>
  </si>
  <si>
    <t xml:space="preserve">Atypophthalmus inustus</t>
  </si>
  <si>
    <t xml:space="preserve">Tipulidae</t>
  </si>
  <si>
    <t xml:space="preserve">Has been reared from decaying Merulius tremellosus fungus.</t>
  </si>
  <si>
    <t xml:space="preserve">perennial</t>
  </si>
  <si>
    <t xml:space="preserve">Aulonium trisulcus</t>
  </si>
  <si>
    <t xml:space="preserve">Colydiidae</t>
  </si>
  <si>
    <t xml:space="preserve">woodland and wooded parkland saproxylic</t>
  </si>
  <si>
    <t xml:space="preserve">fungivore, predator</t>
  </si>
  <si>
    <t xml:space="preserve">elm</t>
  </si>
  <si>
    <t xml:space="preserve">Batrisodes venustus</t>
  </si>
  <si>
    <t xml:space="preserve">Adults in decaying heartwood of old broad-leaved trees; occasionally found in nests of brown tree ant L. brunneus and jet ant L. fuliginosus. Widespread in Lowland England, although most often found in the south.</t>
  </si>
  <si>
    <t xml:space="preserve">Auplopus carbonarius</t>
  </si>
  <si>
    <t xml:space="preserve">Pompilidae</t>
  </si>
  <si>
    <t xml:space="preserve">S; E</t>
  </si>
  <si>
    <t xml:space="preserve">Constructs cells in sheltered situations such as beneath stones or in hollow tree trunks; preys on a wide range of free-living spiders.</t>
  </si>
  <si>
    <t xml:space="preserve">spiders</t>
  </si>
  <si>
    <t xml:space="preserve">parasitoid</t>
  </si>
  <si>
    <t xml:space="preserve">Bacidia circumspecta</t>
  </si>
  <si>
    <t xml:space="preserve">old trees in parkland; in wound track/rain track; beech</t>
  </si>
  <si>
    <t xml:space="preserve">bark </t>
  </si>
  <si>
    <t xml:space="preserve">beech, elm, ash</t>
  </si>
  <si>
    <t xml:space="preserve">wounds</t>
  </si>
  <si>
    <t xml:space="preserve">Bacidia incompta</t>
  </si>
  <si>
    <t xml:space="preserve">S; C; NE</t>
  </si>
  <si>
    <t xml:space="preserve">bark on old trees; wound seepage tracks and rain tracks; elm, ash and beech</t>
  </si>
  <si>
    <t xml:space="preserve">beech, elm, ash, holly, hornbeam, sycamore</t>
  </si>
  <si>
    <t xml:space="preserve">Bacidia subturgidula</t>
  </si>
  <si>
    <t xml:space="preserve">old, hard lignin exposed on standing old holly trees</t>
  </si>
  <si>
    <t xml:space="preserve">holly, oak</t>
  </si>
  <si>
    <t xml:space="preserve">Bacotia claustrella
</t>
  </si>
  <si>
    <t xml:space="preserve">Psychidae</t>
  </si>
  <si>
    <t xml:space="preserve">S; SE; E</t>
  </si>
  <si>
    <t xml:space="preserve">O: Laid in the larval case. Hatches in four to five weeks.
L: On lichens and algae growing on trunks and branches of trees and on posts or fences. In a short, cylindrical case, rounded at the posterior end giving it a bud-like appearance, covered with lichen and algae and projecting at right angles to the substrate. Overwinters as a young larva.
P: In the larval case attached to a trunk, etc. Male pupal shell protrudes halfway from the larval case on emergence. Female pupal shell remains within larval case.
I: Female apterous. Male comes to light.</t>
  </si>
  <si>
    <t xml:space="preserve">Barbastella barbastellus</t>
  </si>
  <si>
    <t xml:space="preserve">Barbastelle Bat</t>
  </si>
  <si>
    <t xml:space="preserve">Mammal</t>
  </si>
  <si>
    <t xml:space="preserve">Vespertilionidae</t>
  </si>
  <si>
    <t xml:space="preserve">S; W; E</t>
  </si>
  <si>
    <t xml:space="preserve">building and underground sites; old woodland with plenty of dead trees; loose bark; crevices; glades and rides; hunts over water; well-structured woodland with complex understorey; hedgerows and tree lines used for feeding</t>
  </si>
  <si>
    <t xml:space="preserve">invertebrates</t>
  </si>
  <si>
    <t xml:space="preserve">scrub</t>
  </si>
  <si>
    <t xml:space="preserve">Bisnius subuliformis</t>
  </si>
  <si>
    <t xml:space="preserve">Philonthus subuliformis</t>
  </si>
  <si>
    <t xml:space="preserve">In bird nests, mainly those in tree holes.</t>
  </si>
  <si>
    <t xml:space="preserve">bird nests</t>
  </si>
  <si>
    <t xml:space="preserve">Clambus pallidulus</t>
  </si>
  <si>
    <t xml:space="preserve">Clambidae</t>
  </si>
  <si>
    <t xml:space="preserve">SW</t>
  </si>
  <si>
    <t xml:space="preserve">In hollow apple Malus tree (Worcestershire); in debris in rotten elm Ulmus stump, in moss among rotten logs.</t>
  </si>
  <si>
    <t xml:space="preserve">apple, elm</t>
  </si>
  <si>
    <t xml:space="preserve">Corticaria alleni</t>
  </si>
  <si>
    <t xml:space="preserve">Latridiidae</t>
  </si>
  <si>
    <t xml:space="preserve">S; SE; C</t>
  </si>
  <si>
    <t xml:space="preserve">Lives under loose dry bark usually; also in myxomycete fungus and in dry crumbly heartwood. Associated with areas of old deciduous (oak Quercus/ beech Fagus) woodlands in S/SE England; also recorded from Sherwood Forest and Easterness.</t>
  </si>
  <si>
    <t xml:space="preserve">oak , beech</t>
  </si>
  <si>
    <t xml:space="preserve">Atomaria morio</t>
  </si>
  <si>
    <t xml:space="preserve">Primarily associated with bird nests in tree cavities, but also reported from squirrel dreys, a mole nest and a cut stump.</t>
  </si>
  <si>
    <t xml:space="preserve">bird nests in cavities</t>
  </si>
  <si>
    <t xml:space="preserve">bird, mammals</t>
  </si>
  <si>
    <t xml:space="preserve">Biatora veteranorum</t>
  </si>
  <si>
    <t xml:space="preserve">a lichen</t>
  </si>
  <si>
    <t xml:space="preserve">Priority (Scotland)</t>
  </si>
  <si>
    <t xml:space="preserve">E; Scotland</t>
  </si>
  <si>
    <t xml:space="preserve">old trees in lignum; in snags</t>
  </si>
  <si>
    <t xml:space="preserve">lignum</t>
  </si>
  <si>
    <t xml:space="preserve">Bibloporus minutus</t>
  </si>
  <si>
    <t xml:space="preserve">Adults live under bark on dead broad_x0002_leaved timber; larvae predatory; all records from areas of old forest.</t>
  </si>
  <si>
    <t xml:space="preserve">Biphyllus lunatus</t>
  </si>
  <si>
    <t xml:space="preserve">Biphyllidae</t>
  </si>
  <si>
    <t xml:space="preserve">Develop in the fruiting body of the fungus Daldinia concentrica growing on ash Fraxinus and, to a lesser extent, other broad-leaved trees; pupate in the fruit body. Widespread in lowland England, although rarer in the west where strongly associated with ancient wood pastures; Dyfed. Rare and threatened in central Europe.</t>
  </si>
  <si>
    <t xml:space="preserve">ash</t>
  </si>
  <si>
    <t xml:space="preserve">Corticaria longicollis</t>
  </si>
  <si>
    <t xml:space="preserve">Recorded in a red-rotten hollow oak Quercus, beneath bark on dead wood, and in wood ant Formica rufa nest.</t>
  </si>
  <si>
    <t xml:space="preserve">Blarneya hibernica</t>
  </si>
  <si>
    <t xml:space="preserve">SW; Wales</t>
  </si>
  <si>
    <t xml:space="preserve">parasite on various species; grows on lichen, spreads over different species; dry sheltetred bark at bases of old oak and ivy; warm oceanic coastal sites</t>
  </si>
  <si>
    <t xml:space="preserve">oak, holly</t>
  </si>
  <si>
    <t xml:space="preserve">trunks, base</t>
  </si>
  <si>
    <t xml:space="preserve">Bolitochara bella</t>
  </si>
  <si>
    <t xml:space="preserve">Associated with fleshy fungi on dead broad-leaved trees.</t>
  </si>
  <si>
    <t xml:space="preserve">fleshy fungi</t>
  </si>
  <si>
    <t xml:space="preserve">Bolitochara mulsanti</t>
  </si>
  <si>
    <t xml:space="preserve">In rotten and fungus infested wood, under bark on fungus-infested pine Pinus, and in fungus Piptoporus betulinus on birch Betula.</t>
  </si>
  <si>
    <t xml:space="preserve">fungus-infested wood</t>
  </si>
  <si>
    <t xml:space="preserve">Bolitochara pulchra</t>
  </si>
  <si>
    <t xml:space="preserve">NE; W</t>
  </si>
  <si>
    <t xml:space="preserve">In Piptoporus betulinus and other fungi, under beech Fagus bark and in rotten wood</t>
  </si>
  <si>
    <t xml:space="preserve">fungus</t>
  </si>
  <si>
    <t xml:space="preserve">Beech</t>
  </si>
  <si>
    <t xml:space="preserve">Brachygonus ruficeps</t>
  </si>
  <si>
    <t xml:space="preserve">Develop mainly in red-rotted ancient oaks Quercus, often in lining of cavities in trunks &amp; main boughs; pupate at end of season and hibernate as adult; old forest relic, Windsor Great Park; very rare species of S-C &amp; S Europe</t>
  </si>
  <si>
    <t xml:space="preserve">Brachyopa bicolor</t>
  </si>
  <si>
    <t xml:space="preserve">Syrphidae</t>
  </si>
  <si>
    <t xml:space="preserve">Larvae feed on decomposing sap in sap-runs, most often on oak and beech. A rare species of the old forest areas of south-east England, especially the New Forest and the Windsor area</t>
  </si>
  <si>
    <t xml:space="preserve">sap runs</t>
  </si>
  <si>
    <t xml:space="preserve">oak, beech, horse chestnut, birch</t>
  </si>
  <si>
    <t xml:space="preserve">goat moth</t>
  </si>
  <si>
    <t xml:space="preserve">bark decay</t>
  </si>
  <si>
    <t xml:space="preserve">sap run</t>
  </si>
  <si>
    <t xml:space="preserve">Brachyopa insensilis</t>
  </si>
  <si>
    <t xml:space="preserve">Larvae feed on decomposing sap in sap_x0002_runs on various broadleaves: elm, horse chestnut, ash, beech, lime, oak; widespread in Britain &amp; Ireland.</t>
  </si>
  <si>
    <t xml:space="preserve">elm, horse chestnut, ash, beech, lime, oak</t>
  </si>
  <si>
    <t xml:space="preserve">Brachyopa scutellaris</t>
  </si>
  <si>
    <t xml:space="preserve">Larvae feed on decomposing sap in sap-runs low down at the base of a wide variety of broadleaves and even yew. Widespread in England and Wales, but more isolated populations in Scotland. Also Ireland.</t>
  </si>
  <si>
    <t xml:space="preserve">Brachypalpoides lentus</t>
  </si>
  <si>
    <t xml:space="preserve">Develops in decaying heartwood in old live beech, particularly trees with exposed decay at ground level which extends into the roots. Adults often seen flying low around the roots of oaks and other large deciduous trees. Feed on honeydew and pollen grains. Larvae in soft, wet, rotten wood of large dead tree rootsEngland &amp; Wales; scattered across central Scotland; Ireland.</t>
  </si>
  <si>
    <t xml:space="preserve">beech</t>
  </si>
  <si>
    <t xml:space="preserve">trunks, base, roots</t>
  </si>
  <si>
    <t xml:space="preserve">exposed decay</t>
  </si>
  <si>
    <t xml:space="preserve">Brachypalpus laphriformis</t>
  </si>
  <si>
    <t xml:space="preserve">Larvae develop in rot-holes in large old broad-leaved trees; adults tend to favour oviposition in standing hollow trunks broken off 2-4m above ground, particularly beech, but also oak and ash.</t>
  </si>
  <si>
    <t xml:space="preserve">beech, ash, oak</t>
  </si>
  <si>
    <t xml:space="preserve">wet hollow</t>
  </si>
  <si>
    <t xml:space="preserve">wet rot hole</t>
  </si>
  <si>
    <t xml:space="preserve">wet</t>
  </si>
  <si>
    <t xml:space="preserve">Calambus bipustulatus</t>
  </si>
  <si>
    <t xml:space="preserve">Larvae a predator living in relatively soft rotten wood in stumps and trunks of oak Quercus &amp; other broadleaves; pupate at end of season and hibernate as adult; adult nectars at blackthorn Prunus spinosa and hogweed Heracleum in daylight; S Britain, thin scatter, plus old record in SE Ireland.</t>
  </si>
  <si>
    <t xml:space="preserve">old trees, dead wood, flowers</t>
  </si>
  <si>
    <t xml:space="preserve">predator, nectivore</t>
  </si>
  <si>
    <t xml:space="preserve">Calosoma inquisitor</t>
  </si>
  <si>
    <t xml:space="preserve">Lesser Searcher</t>
  </si>
  <si>
    <t xml:space="preserve">Carabidae</t>
  </si>
  <si>
    <t xml:space="preserve">canopy in mature trees; oak; ancient woodland</t>
  </si>
  <si>
    <t xml:space="preserve">caterpillars</t>
  </si>
  <si>
    <t xml:space="preserve">canopy, branches</t>
  </si>
  <si>
    <t xml:space="preserve">loose bark; cracks in bark</t>
  </si>
  <si>
    <t xml:space="preserve">Cis fagi</t>
  </si>
  <si>
    <t xml:space="preserve">Ciidae</t>
  </si>
  <si>
    <t xml:space="preserve">Primarily develops in the mycelium of Laetiporus sulphureus in cubical red_x0002_rotten oak Quercus heartwood; larvae have also reported from subcortical mycelial sheets of Armillaria sp; adults reported widely, feeding at wide variety of wood-decay fungi. Very thinly scattered across Britain.</t>
  </si>
  <si>
    <t xml:space="preserve">Caladromius spilotus</t>
  </si>
  <si>
    <t xml:space="preserve">Dromius quadrinotatus; Dromius 4-notatus; Calodromius quadrinotatus</t>
  </si>
  <si>
    <t xml:space="preserve">Typical habitats are open deciduous and mixed woodland, wooded parkland and often found on individual trees in hedgerows, verges and gardens,</t>
  </si>
  <si>
    <t xml:space="preserve">Cis micans</t>
  </si>
  <si>
    <t xml:space="preserve">Develops in the brackets of Ganoderma spp in particular; the larvae have particularly heavily developed mandibles for chewing this exceptionally woody fungus; can also develop in Piptoporus betulinus. Most often found in old parklands or wood pastures.</t>
  </si>
  <si>
    <t xml:space="preserve">Caliprobola speciosa</t>
  </si>
  <si>
    <t xml:space="preserve">Larvae develop in decaying heartwood of beech trees, especially large old stumps, extending underground in the roots; southern old forest species, mainly the New Forest and Windsor.</t>
  </si>
  <si>
    <t xml:space="preserve">beech, oak</t>
  </si>
  <si>
    <t xml:space="preserve">stumps, roots</t>
  </si>
  <si>
    <t xml:space="preserve">Callicera aurata</t>
  </si>
  <si>
    <t xml:space="preserve">Adult primarily arboreal, descending rarely to drink by dapple-shaded streams or to feed at bramble flowers; larvae in water-filled rot-holes in live beeches &amp; birches. A rare species of southern old forests in GB; across Europe, extending into Caucasus.</t>
  </si>
  <si>
    <t xml:space="preserve">Callicera spinolae</t>
  </si>
  <si>
    <t xml:space="preserve">Golden Hoverfly</t>
  </si>
  <si>
    <t xml:space="preserve">rot holes in mature trees; ivy cover</t>
  </si>
  <si>
    <t xml:space="preserve">ivy - nectar source</t>
  </si>
  <si>
    <t xml:space="preserve">beech, horse chestnut, ash</t>
  </si>
  <si>
    <t xml:space="preserve">moist wood mould</t>
  </si>
  <si>
    <t xml:space="preserve">Cis pygmaeus</t>
  </si>
  <si>
    <t xml:space="preserve">Larval ecology not known; adults are reported to be attracted to the ascomycete fungus Ascodichaena rugosa on moribund peripheral twigs of oak Quercus; southern Britain</t>
  </si>
  <si>
    <t xml:space="preserve">Caloplaca virescens</t>
  </si>
  <si>
    <t xml:space="preserve">sheltered, well lit bark below wounds on large trees; base-rich areas; sycamore and walnut, elm and ash</t>
  </si>
  <si>
    <t xml:space="preserve">elm, ash sycamore, walnut</t>
  </si>
  <si>
    <t xml:space="preserve">Ctesias serra</t>
  </si>
  <si>
    <t xml:space="preserve">Cobweb Beetle</t>
  </si>
  <si>
    <t xml:space="preserve">Dermestidae</t>
  </si>
  <si>
    <t xml:space="preserve">S; W; E; C</t>
  </si>
  <si>
    <t xml:space="preserve">Larvae under loose webby bark, or in rotting trees or stumps of mainly broad-leaved, over_x0002_mature trees; it is found in insect galleries, in old fungus, around webs of tube- and sheet-web building spiders, where it apparently feeds on dead insects and woodlice which accumulate near the webs; it has also been recorded attacking the immature stages of various moths including the egg masses. Adults have been collected at the fermenting sap of an oak Quercus tree infested with goat moth Cossus. Widespread in lowland Britain, but scarcer in the west and only a few sites in southern Scotland; a relatively mobile species, occurring anywhere there are mature trees, e.g. old parks, woodlands, wood pastures, hedgerows etc, and identified from nearly 150 10km squares.</t>
  </si>
  <si>
    <t xml:space="preserve">goat moth, beetle galleries</t>
  </si>
  <si>
    <t xml:space="preserve">Carpophilus sexpustulatus</t>
  </si>
  <si>
    <t xml:space="preserve">E; SE</t>
  </si>
  <si>
    <t xml:space="preserve">Under bark on sappy recently dead timber, especially sweet chestnut Castanea, but has also been reported from under bark with the fruiting bodies of the fungus Bulgaria inquinans; may be predator of bark beetles. Peculiar history in Britain, with earlier records all from stored products, but has increasingly been found in old wood pastures. Largely eastern distribution in Britain, and especially in south-east and east side of Pennines, but also known from Gloucestershire, Herefordshire, and Lancashire.</t>
  </si>
  <si>
    <t xml:space="preserve">fruiting bodies of the fungus Bulgaria inquinans</t>
  </si>
  <si>
    <t xml:space="preserve">sweet chestnut</t>
  </si>
  <si>
    <t xml:space="preserve">Catapyrenium psoromoides</t>
  </si>
  <si>
    <t xml:space="preserve">Tree Catapyrenium</t>
  </si>
  <si>
    <t xml:space="preserve">on bark and mosses on trees; sheltered well-lit locations</t>
  </si>
  <si>
    <t xml:space="preserve">elm, ash</t>
  </si>
  <si>
    <t xml:space="preserve">Cryptarcha undata</t>
  </si>
  <si>
    <t xml:space="preserve">S; E; W</t>
  </si>
  <si>
    <t xml:space="preserve">Associated with freshly exposed and fermenting sap; oak Quercus. </t>
  </si>
  <si>
    <t xml:space="preserve">Euconnus pragensis</t>
  </si>
  <si>
    <t xml:space="preserve">Scydmaenidae</t>
  </si>
  <si>
    <t xml:space="preserve">With the ant Lasius brunneus in decaying heartwood of old trees, especially oak Quercus; Windsor Forest; mainly east-mid European.</t>
  </si>
  <si>
    <t xml:space="preserve">Celypha aurofasciana
</t>
  </si>
  <si>
    <t xml:space="preserve">Tortricidae</t>
  </si>
  <si>
    <t xml:space="preserve">S: C</t>
  </si>
  <si>
    <t xml:space="preserve">L: In a silken gallery under moss or liverworts growing on old or rotting bark of trees.
P: In the larval habitation.
I: Rests on trunks by day, when it is easily disturbed. Flies during late afternoon and early evening, and comes to light.</t>
  </si>
  <si>
    <t xml:space="preserve">rotting bark</t>
  </si>
  <si>
    <t xml:space="preserve">Celypha woodiana</t>
  </si>
  <si>
    <t xml:space="preserve">O: On Viscum.
L: Mines the leaves, overwintering in a small crescent-shaped mine, making large blotches when full-grown.
P: In a cocoon under bark or lichen on the host tree.
I: Rests on trunks by day. Flies from dusk onwards, occasionally comes to light.</t>
  </si>
  <si>
    <t xml:space="preserve">lichens, mistletoe</t>
  </si>
  <si>
    <t xml:space="preserve">Certhia familiaris</t>
  </si>
  <si>
    <t xml:space="preserve">Treecreeper</t>
  </si>
  <si>
    <t xml:space="preserve">Certhiidae</t>
  </si>
  <si>
    <t xml:space="preserve">LC; Green</t>
  </si>
  <si>
    <t xml:space="preserve">Treecreepers need mature trees in which to search the bark's nooks, crannies and fissures for invertebrate food. </t>
  </si>
  <si>
    <t xml:space="preserve">Cerylon fagi</t>
  </si>
  <si>
    <t xml:space="preserve">Cerylonidae</t>
  </si>
  <si>
    <t xml:space="preserve">Lives under bark of deadwood and within decaying heartwood, especially oak Quercus, and especially in later stages of decay. Also found in beech Fagus and ash Fraxinus. Widespread in lowland Britain and most frequent in south-east; north to Lanarkshire and west to Devon and Gwent. Confined to ancient woodlands and wood pastures.</t>
  </si>
  <si>
    <t xml:space="preserve">Oak, beech, ash</t>
  </si>
  <si>
    <t xml:space="preserve">Cerylon ferrugineum</t>
  </si>
  <si>
    <t xml:space="preserve">Develops beneath bark on dead broad-leaved timber in the early stages of decay; feed on fungal hyphae and spores. Mostly in ancient woodland and wood pasture; widespread in Britain, scarce in Ireland.</t>
  </si>
  <si>
    <t xml:space="preserve">Cerylon histeroides</t>
  </si>
  <si>
    <t xml:space="preserve">In fungoid and decaying timber of various broadleaves &amp; pine Pinus. Mostly in ancient woodland and wood pasture; widespread in Britain, although most frequent in lowland England; rare in Ireland.</t>
  </si>
  <si>
    <t xml:space="preserve">Chaenotheca gracilenta</t>
  </si>
  <si>
    <t xml:space="preserve">dry bases of sycamore and elm; sheltered; in bases of boulders; shade tolerant</t>
  </si>
  <si>
    <t xml:space="preserve">elm, sycamore</t>
  </si>
  <si>
    <t xml:space="preserve">Chaenothecopsis viridireagens</t>
  </si>
  <si>
    <t xml:space="preserve">N</t>
  </si>
  <si>
    <t xml:space="preserve">This species is a parasite on Chaenotheca stemonea &amp; C.trichialis. Which are generally found in deep bark crevices of old trees/wood. This species appears to be limited to hosts found in sub-oceanic old-growth woodlands.</t>
  </si>
  <si>
    <t xml:space="preserve">Chernes cimicoides</t>
  </si>
  <si>
    <t xml:space="preserve">Pseudoscorpion</t>
  </si>
  <si>
    <t xml:space="preserve">Chernetidae</t>
  </si>
  <si>
    <t xml:space="preserve">Typical of old native woodland and wood pasture; under bark and in rotting wood of dead and decaying trees, especially oak and beech. Widespread in Lowland Britain north to Yorkshire. Reported from Ireland.</t>
  </si>
  <si>
    <t xml:space="preserve">Dropephylla gracilicornis</t>
  </si>
  <si>
    <t xml:space="preserve">S; C; Wales; N</t>
  </si>
  <si>
    <t xml:space="preserve">Under bark and in rotten wood of dead branches of broad-leaved trees, especially oak Quercus; adults also occasionally found in reed Phragmites refuse. Scarce in GB; I</t>
  </si>
  <si>
    <t xml:space="preserve">Choragus sheppardi</t>
  </si>
  <si>
    <t xml:space="preserve">Anthribidae</t>
  </si>
  <si>
    <t xml:space="preserve">Larvae develop in rotten, fungus_x0002_infested wood of old ivy Hedera, in hedges and woods</t>
  </si>
  <si>
    <t xml:space="preserve">fungoid dead wood</t>
  </si>
  <si>
    <t xml:space="preserve">Chrysopilus laetus</t>
  </si>
  <si>
    <t xml:space="preserve">Tree Snipefly</t>
  </si>
  <si>
    <t xml:space="preserve">Rhagionidae</t>
  </si>
  <si>
    <t xml:space="preserve">Larvae develop in moist wood mould in decaying stumps, rot holes and aerial dead boughs, nearly always in beech. Sites tend to be open structured beech woodland with ancient trees. It appears to be a relict old forest species and is most widespread in Windsor Forest; also known from Cambridgeshire, Burnham Beeches and Cobham Woods, Kent.</t>
  </si>
  <si>
    <t xml:space="preserve">Chrysothrix candalaris </t>
  </si>
  <si>
    <t xml:space="preserve">Found in dry, shaded crevices on rough-barked deciduous trees, often on oak. Occasional on vertical, shaded acidic rocks.</t>
  </si>
  <si>
    <t xml:space="preserve">air indicator good </t>
  </si>
  <si>
    <t xml:space="preserve">Sycamore and oak</t>
  </si>
  <si>
    <t xml:space="preserve">rough bark</t>
  </si>
  <si>
    <t xml:space="preserve">Cicones undatus</t>
  </si>
  <si>
    <t xml:space="preserve">Associated with sooty bark disease on sycamore Acer pseudoplatanus, caused by the ascomycete fungus Cryptostroma corticale. Very local nationally, but common and widespread in the London area.</t>
  </si>
  <si>
    <t xml:space="preserve">sooty mould</t>
  </si>
  <si>
    <t xml:space="preserve">Sycamore</t>
  </si>
  <si>
    <t xml:space="preserve">Cis bidentatus</t>
  </si>
  <si>
    <t xml:space="preserve">Most regularly develops in the brackets of Piptoporus betulinus and Laetiporus sulphureus, but also reported from Pleurotus, Polyporus squamosus, and Ganoderma spp.</t>
  </si>
  <si>
    <t xml:space="preserve">Cis bilamellatus</t>
  </si>
  <si>
    <t xml:space="preserve">Under fungoid bark and in various bracket fungi, most often in Piptoporus betulinus on birch Betula; also in Ganoderma applanatum and other bracket fungi; reached Britain from Australia in 1870's; now widespread.</t>
  </si>
  <si>
    <t xml:space="preserve">Cis boleti</t>
  </si>
  <si>
    <t xml:space="preserve">Develop in the fully expanded fruit bodies of the fungus Trametes versicolor. The most frequent species of the family</t>
  </si>
  <si>
    <t xml:space="preserve">Ennearthron cornutum</t>
  </si>
  <si>
    <t xml:space="preserve">Larvae develop in the fruiting bodies of various bracket fungi</t>
  </si>
  <si>
    <t xml:space="preserve">Cis festivus</t>
  </si>
  <si>
    <t xml:space="preserve">In fungal brackets on decaying timber; Salix, birch Betula, and aspen Populus tremula.</t>
  </si>
  <si>
    <t xml:space="preserve">salix, birch, aspen</t>
  </si>
  <si>
    <t xml:space="preserve">Cis hispidus</t>
  </si>
  <si>
    <t xml:space="preserve">Cis savilli</t>
  </si>
  <si>
    <t xml:space="preserve">Develop in the brackets of the fungi Trametes hirsutus and T. versicolor; possibly favours open wood pasture situations.</t>
  </si>
  <si>
    <t xml:space="preserve">Cis lineatocribratus</t>
  </si>
  <si>
    <t xml:space="preserve">In hard bracket fungi; Scotland and northern England.</t>
  </si>
  <si>
    <t xml:space="preserve">Euglenes oculatus</t>
  </si>
  <si>
    <t xml:space="preserve">Develops in moist crumbly red-rot of old hollowing oaks Quercus; also reared from other broad-leaved trees. Adults favour elder Sambucus blossom. Widespread in ancient parks and wood pastures of southern Britain: north to Yorkshire and west to Ceredigion</t>
  </si>
  <si>
    <t xml:space="preserve">Elder blossom, heart rot</t>
  </si>
  <si>
    <t xml:space="preserve">Cis nitidus</t>
  </si>
  <si>
    <t xml:space="preserve">Cis punctulatus</t>
  </si>
  <si>
    <t xml:space="preserve">In Hirschioporus abietinus, on larch Larix and pine Pinus; Scotland, but recently established in S and E England.</t>
  </si>
  <si>
    <t xml:space="preserve">Pine</t>
  </si>
  <si>
    <t xml:space="preserve">Eulagius filicornis</t>
  </si>
  <si>
    <t xml:space="preserve">A species of southern Europe and N. Africa which has become established in the Reading area, 1993 onwards. Possibly associated with the fungus Stereum hirsutum growing on dead branches of broad_x0002_leaved trees.</t>
  </si>
  <si>
    <t xml:space="preserve">Cis vestitus</t>
  </si>
  <si>
    <t xml:space="preserve">Mainly on dead oak Quercus branches, especially on old trees; also polypore fungi on elm Ulmus and beech Fagus. Apparently more frequent now than in the recorded past.</t>
  </si>
  <si>
    <t xml:space="preserve">oak, elm, beech</t>
  </si>
  <si>
    <t xml:space="preserve">Cis villosulus</t>
  </si>
  <si>
    <t xml:space="preserve">S; W; E; C; Wales</t>
  </si>
  <si>
    <t xml:space="preserve">Larvae develop under fungoid bark colonised by Trametes versicolor. Adults feed on hyphae of a wider variety of wood-decay fungi.</t>
  </si>
  <si>
    <t xml:space="preserve">wood decay fungi</t>
  </si>
  <si>
    <t xml:space="preserve">Cladonia caespiticia</t>
  </si>
  <si>
    <t xml:space="preserve">On mossy tree trunks, stumps and earth banks chiefly in sheltered situations, often in long-established, mature woodlands; widespread but rather local, easily overlooked and often sterile, when it cannot be identified with confidence. Rare on sheltered banks in heathlands and shaded mossy rocks in woods.</t>
  </si>
  <si>
    <t xml:space="preserve">stumps</t>
  </si>
  <si>
    <t xml:space="preserve">stumps, trunks</t>
  </si>
  <si>
    <t xml:space="preserve">Cryptophagus micaceus</t>
  </si>
  <si>
    <t xml:space="preserve">C; Wales; S; E</t>
  </si>
  <si>
    <t xml:space="preserve">In tree hole nests of hornet Vespa crabro and social wasps (Vespidae); also reported from rotting timber, fungi, sap and nest debris.</t>
  </si>
  <si>
    <t xml:space="preserve">hornet</t>
  </si>
  <si>
    <t xml:space="preserve">wasps</t>
  </si>
  <si>
    <t xml:space="preserve">Cleorodes lichenaria</t>
  </si>
  <si>
    <t xml:space="preserve">Brussels Lace</t>
  </si>
  <si>
    <t xml:space="preserve">Larvae feed on lichens growing on trees (including Quercus spp.) and sometimes on rocks and walls.</t>
  </si>
  <si>
    <t xml:space="preserve">Coccothraustes coccothraustes coccothraustes</t>
  </si>
  <si>
    <t xml:space="preserve">Hawfinch</t>
  </si>
  <si>
    <t xml:space="preserve">Fringillidae</t>
  </si>
  <si>
    <t xml:space="preserve">Priority (England); UK red list</t>
  </si>
  <si>
    <t xml:space="preserve">mature broadleaf trees, good supply of fruit, seeds and keys; forages on ground under canopy in winter; need for drinking pools</t>
  </si>
  <si>
    <t xml:space="preserve">abundant seeds and fruit</t>
  </si>
  <si>
    <t xml:space="preserve">bare ground / short veg</t>
  </si>
  <si>
    <t xml:space="preserve">Codonoblepharon forsteri</t>
  </si>
  <si>
    <t xml:space="preserve">Knothole Yoke-moss</t>
  </si>
  <si>
    <t xml:space="preserve">Moss</t>
  </si>
  <si>
    <t xml:space="preserve">This is a very rare plant with a highly restricted distribution and a very specialised habitat – around fluid filled knotholes in ancient trees, especially beech, known as dendrotelmata, and where water trickles intermittently down the trunk and exposed roots.</t>
  </si>
  <si>
    <t xml:space="preserve">dendrotelm</t>
  </si>
  <si>
    <t xml:space="preserve">Collema furfuraceum</t>
  </si>
  <si>
    <t xml:space="preserve">Deciduous trees (often with large horizaontal branches) or on mosses on trees and, more rarely, on rocks (mainly coastal).</t>
  </si>
  <si>
    <t xml:space="preserve">Columba oenas</t>
  </si>
  <si>
    <t xml:space="preserve">Stock Dove</t>
  </si>
  <si>
    <t xml:space="preserve">Columbidae</t>
  </si>
  <si>
    <t xml:space="preserve">LC; Amber</t>
  </si>
  <si>
    <t xml:space="preserve">Stock Doves enjoy a mixture of farmland for feeding, and woodland where they nest in holes in large old trees.</t>
  </si>
  <si>
    <t xml:space="preserve">Colydium elongatum</t>
  </si>
  <si>
    <t xml:space="preserve">Zopheridae</t>
  </si>
  <si>
    <t xml:space="preserve">Under bark of various dead broad-leaved trees; also in conifers on Continent; predator of Platypus &amp; Xyloterus beetle larvae. Increasing its distribution and abundance locally from mid 1990s, presumably in response to expansion of range of Platypus (q.v.);</t>
  </si>
  <si>
    <t xml:space="preserve">predator, saproxylic, fungivore</t>
  </si>
  <si>
    <t xml:space="preserve">Conopalpus testaceus</t>
  </si>
  <si>
    <t xml:space="preserve">SE; C</t>
  </si>
  <si>
    <t xml:space="preserve">Develops in decaying boughs and branches, especially of oak Quercus, also hazel Corylus; adults may visit flowers, especially umbellifers. Associated with ancient wood pastures; widespread in central and southeastern England, rare in west; Dyfed.</t>
  </si>
  <si>
    <t xml:space="preserve">fungivore, nectivore</t>
  </si>
  <si>
    <t xml:space="preserve">oak, hazel</t>
  </si>
  <si>
    <t xml:space="preserve">Eutheia linearis</t>
  </si>
  <si>
    <t xml:space="preserve">Under dead bark and in moist crumbly dead wood, especially mature oak Quercus; old forest areas: Sherwood, Windsor, New Forest, and unconfirmed records elsewhere.</t>
  </si>
  <si>
    <t xml:space="preserve">Corticaria dubia</t>
  </si>
  <si>
    <t xml:space="preserve">In slime moulds on trees.</t>
  </si>
  <si>
    <t xml:space="preserve">Corticaria fagi</t>
  </si>
  <si>
    <t xml:space="preserve">Associated with old mouldy deadwood; Windsor Forest (1936), Sussex (1974) &amp; Suffolk (1983). Widely distributed in Europe although rare and sporadic.</t>
  </si>
  <si>
    <t xml:space="preserve">Dendrophilus punctatus</t>
  </si>
  <si>
    <t xml:space="preserve">Histeridae</t>
  </si>
  <si>
    <t xml:space="preserve">S; E; C; W</t>
  </si>
  <si>
    <t xml:space="preserve">Most often found in the nests of birds within hollow trees, but also in a variety of other situations, including the nests of wood ant Formica rufa. Uncommon.</t>
  </si>
  <si>
    <t xml:space="preserve">saproxylic, scavenger</t>
  </si>
  <si>
    <t xml:space="preserve">Corticeus bicolor</t>
  </si>
  <si>
    <t xml:space="preserve">Tenebrionidae</t>
  </si>
  <si>
    <t xml:space="preserve">Commensal in burrows of bark beetle Scolytus scolytus &amp; S. multistriatus in elm Ulmus, mainly feeding on fungi and detritus, but will also feed on eggs, larvae and pupae of not only the bark beetle but also other associated insects; more rarely associated with Daldinia concentrica on old ash Fraxinus and with Polyporus squamosus; also occur under bark on oak Quercus. Eastern Britain, extending across to the Welsh Marches.</t>
  </si>
  <si>
    <t xml:space="preserve">Corticeus fraxini</t>
  </si>
  <si>
    <t xml:space="preserve">s</t>
  </si>
  <si>
    <t xml:space="preserve">Inhabits burrows of bark beetle Ips sexdentatus in pine Pinus, also in burrows of Orthotomicus spp.; introduced in pine pit-props from France, early C19th</t>
  </si>
  <si>
    <t xml:space="preserve">Corticeus unicolor</t>
  </si>
  <si>
    <t xml:space="preserve">Develops chiefly in freshly dead birch Betula wood, also beech Fagus and oak Quercus, and is probably predatory on larvae of the beetle Hylecoetus and other wood borers. Confined to the north Midlands, with two distinct areas: Nottinghamshire/S. Yorkshire and Cheshire, probably now extinct in latter area.</t>
  </si>
  <si>
    <t xml:space="preserve">Birch, beech</t>
  </si>
  <si>
    <t xml:space="preserve">Cossonus linearis</t>
  </si>
  <si>
    <t xml:space="preserve">Curculionidae</t>
  </si>
  <si>
    <t xml:space="preserve">SE; E</t>
  </si>
  <si>
    <t xml:space="preserve">Larvae and adults in dead wood of poplar Populus and willow Salix; discovered in East Anglia in 1939, subsequently also in Kent, Surrey &amp; Sussex; a probable immigrant.</t>
  </si>
  <si>
    <t xml:space="preserve">poplar, willow</t>
  </si>
  <si>
    <t xml:space="preserve">Cossonus parallelepipedus</t>
  </si>
  <si>
    <t xml:space="preserve">E; C; S</t>
  </si>
  <si>
    <t xml:space="preserve">Larvae and adults in hard decaying heartwood of wide variety of trees, especially willows Salix; bore communally in heartwood of trunk &amp; root base. Mainly in floodplains; central and eastern England.</t>
  </si>
  <si>
    <t xml:space="preserve">willow</t>
  </si>
  <si>
    <t xml:space="preserve">Criorhina asilica</t>
  </si>
  <si>
    <t xml:space="preserve">Develops in decayed heartwood debris in the base of hollowed trees, probably mainly beech; adults at hawthorn blossom. Widespread in England and Wales but scarce within this range</t>
  </si>
  <si>
    <t xml:space="preserve">trunks, roots</t>
  </si>
  <si>
    <t xml:space="preserve">Criorhina berberina</t>
  </si>
  <si>
    <t xml:space="preserve">Eggs are mainly laid in bark crevices around the base of stumps and on the undersides of leaves of plants growing on or next to stumps, particularly beech; the larvae develop in wet heart-rot within the tree roots; later puparia are formed in leaf litter around the stumps. The species also develops in wet rot-holes in tree trunks. The adults require blossom for nectaring, especially hawthorn. Mainly associated with ancient woodlands and wood pastures; widespread over much of England, Wales &amp; Ireland, also in southern Scotland.</t>
  </si>
  <si>
    <t xml:space="preserve">base, stumps, roots</t>
  </si>
  <si>
    <t xml:space="preserve">bark crevices</t>
  </si>
  <si>
    <t xml:space="preserve">Criorhina floccosa</t>
  </si>
  <si>
    <t xml:space="preserve">Larvae develop in wet decaying wood debris in cavities and roots of elm, sycamore and beech. A scarce woodland species, although extending out along adjoining hedgerows where available. Widespread but scarce.</t>
  </si>
  <si>
    <t xml:space="preserve">elm, sycamore, beech</t>
  </si>
  <si>
    <t xml:space="preserve">root cavity</t>
  </si>
  <si>
    <t xml:space="preserve">Criorhina ranunculi</t>
  </si>
  <si>
    <t xml:space="preserve">Develops in moist decaying heartwood in bases and roots of old trees and stumps, especially beech. Adults usually found at blossom of early spring-flowering shrubs. Primarily an old woodland species. Widespread across England; Ireland; rare in Scotland.</t>
  </si>
  <si>
    <t xml:space="preserve">Crossocerus leucostomus</t>
  </si>
  <si>
    <t xml:space="preserve">White Mouthed Digger Wasp</t>
  </si>
  <si>
    <t xml:space="preserve">Sphecidae</t>
  </si>
  <si>
    <t xml:space="preserve">Nest in deadwood in warm sunny situations, often using the abandoned larval tunnels of scolytid beetles; preys on small Diptera such as simuliids. A northern, conifer associate, formerly mainly native pine Pinus woods but now more widespread through plantations.</t>
  </si>
  <si>
    <t xml:space="preserve">sun exposed</t>
  </si>
  <si>
    <t xml:space="preserve">open habitats; tree-associated</t>
  </si>
  <si>
    <t xml:space="preserve">scrub edge</t>
  </si>
  <si>
    <t xml:space="preserve">Crossocerus vagabundus</t>
  </si>
  <si>
    <t xml:space="preserve">Nests constructed in old beetle galleries, branched or straight, within dead timber; found where a combination of suitable nest sites in dappled shade and damp or lush areas rich in its prey of crane flies. Formerly sparingly widespread across lowland England, from Dorset to Lincolnshire, but has declined very seriously.</t>
  </si>
  <si>
    <t xml:space="preserve">Cryphia algae</t>
  </si>
  <si>
    <t xml:space="preserve">Tree-lichen Beauty</t>
  </si>
  <si>
    <t xml:space="preserve">Noctuidae</t>
  </si>
  <si>
    <t xml:space="preserve">The species occurs in southern Europe, where the larvae feed on lichens growing on trees, and the adult moths fly between July and September. Most British records are during July and August.</t>
  </si>
  <si>
    <t xml:space="preserve">Cryptarcha strigata</t>
  </si>
  <si>
    <t xml:space="preserve">Associated with freshly exposed and fermenting sap; oak Quercus and ash Fraxinus reported.</t>
  </si>
  <si>
    <t xml:space="preserve">oak, ash, beech</t>
  </si>
  <si>
    <t xml:space="preserve">Gnorimus variabilis</t>
  </si>
  <si>
    <t xml:space="preserve">Scarabaeidae</t>
  </si>
  <si>
    <t xml:space="preserve">open grown veteran trees; red rot in trunks, branches and stumps</t>
  </si>
  <si>
    <t xml:space="preserve">Cryptolestes ferrugineus</t>
  </si>
  <si>
    <t xml:space="preserve">Laemophloeidae</t>
  </si>
  <si>
    <t xml:space="preserve">Under bark on beech Fagus, especially where still sappy; also on oak Quercus, horse chestnut Aesculus, etc. Possibly associated with ancient wood pastures, but also in granaries. Scattered across southern England.</t>
  </si>
  <si>
    <t xml:space="preserve">beech, horse chestnut, oak</t>
  </si>
  <si>
    <t xml:space="preserve">Cryptophagus confusus</t>
  </si>
  <si>
    <t xml:space="preserve">In moist crumbly dead beech Fagus timber, including saw dust from insect borers; Windsor &amp; Richmond.</t>
  </si>
  <si>
    <t xml:space="preserve">Cryptophagus falcozi</t>
  </si>
  <si>
    <t xml:space="preserve">Old forest relict. In moist crumbly fungoid dead wood on ancient beeches Fagus and associated with Ganoderma bracket fungi, Windsor &amp; Reading.</t>
  </si>
  <si>
    <t xml:space="preserve">bracket fungus, Ganoderma</t>
  </si>
  <si>
    <t xml:space="preserve">Cryptophagus intermedius</t>
  </si>
  <si>
    <t xml:space="preserve">C; E</t>
  </si>
  <si>
    <t xml:space="preserve">Known from borings of bark beetle Leperesinus varius under ash Fraxinus bark and at sycamore Acer pseudoplatanus sap.</t>
  </si>
  <si>
    <t xml:space="preserve">ash, sycamore</t>
  </si>
  <si>
    <t xml:space="preserve">Cryptophagus labilis</t>
  </si>
  <si>
    <t xml:space="preserve">Under bark on deadwood and in moist crumbly rotten wood and old stumps, generally where these have been bored by lesser stag beetle Dorcus parallelipipedus; ancient wood pastures.</t>
  </si>
  <si>
    <t xml:space="preserve">Dorcus</t>
  </si>
  <si>
    <t xml:space="preserve">Elater ferrugineus</t>
  </si>
  <si>
    <t xml:space="preserve">Develops in black wood mould in interior of old trunks and boughs; elm Ulmus, beech Fagus, ash Fraxinus, and once in oak Quercus; larvae often in rot-holes where there has been a nest; pupate in the spring; carnivorous, in captivity eats small worms and Dorcus larvae; adult short-lived &amp; crepuscular, attracted to lights; Thames Basin &amp; E. Anglia</t>
  </si>
  <si>
    <t xml:space="preserve">beech, willow, elm</t>
  </si>
  <si>
    <t xml:space="preserve">Cryptophagus ruficornis</t>
  </si>
  <si>
    <t xml:space="preserve">Associated with the fungi Daldinia concentrica growing on ash Fraxinus and D. vernicosa on burnt birch Betula. Britain &amp; Co Antrim.</t>
  </si>
  <si>
    <t xml:space="preserve">ash, birch</t>
  </si>
  <si>
    <t xml:space="preserve">Crypturgus subcribrosus</t>
  </si>
  <si>
    <t xml:space="preserve">Dead and dying spruce Picea, in the galleries of Orthotomicus laricis and Polygraphus poligraphus; New Forest and West Sussex.</t>
  </si>
  <si>
    <t xml:space="preserve">spruce</t>
  </si>
  <si>
    <t xml:space="preserve">dead, dying</t>
  </si>
  <si>
    <t xml:space="preserve">Ctenophora flaveolata</t>
  </si>
  <si>
    <t xml:space="preserve">Probably associated with large overmature trees, especially beech in the south-east, about which a female has been seen flying, although also occurs in sites lacking beech; larvae in decaying wood, probably one year cycle. Adults visit blossom such as hawthorn. Associated with ancient broadleaved woodland and wood pasture, widely across southern Britain – does not warrant RDB status.</t>
  </si>
  <si>
    <t xml:space="preserve">Ctenophora ornata</t>
  </si>
  <si>
    <t xml:space="preserve">Larvae reared from porridge-like wet wood mould in standing or fallen beech trees. Adults come to m.v. light after dark. Mainly known from the New Forest, but also from Windsor Forest, Ashridge, Ashtead Common, and Portmadoc, N. Wales.</t>
  </si>
  <si>
    <t xml:space="preserve">wet wood mould</t>
  </si>
  <si>
    <t xml:space="preserve">Ctenophora pectinicornis</t>
  </si>
  <si>
    <t xml:space="preserve">Associated with rot-holes in large broadleaved trees, especially beech; larvae often occur in the rotten shattered ends of trunks and have been found in rotten boughs which have freshly fallen from at least 10m up. Widespread in southern Britain, scarcer in west and north.</t>
  </si>
  <si>
    <t xml:space="preserve">Erotides cosnardi</t>
  </si>
  <si>
    <t xml:space="preserve">Cosnard's Net-winged Beetle</t>
  </si>
  <si>
    <t xml:space="preserve">Lycidae</t>
  </si>
  <si>
    <t xml:space="preserve">typical habitat is long-established mixed or deciduous woodland where the beetles develop in decaying wood of a range of deciduous trees e.g. birch, beech and ash. open grown veteran trees; decayed wood</t>
  </si>
  <si>
    <t xml:space="preserve">beech, birch, ash</t>
  </si>
  <si>
    <t xml:space="preserve">Cyanistes caeruleus</t>
  </si>
  <si>
    <t xml:space="preserve">Eurasian Blue Tit</t>
  </si>
  <si>
    <t xml:space="preserve">Paridae</t>
  </si>
  <si>
    <t xml:space="preserve">nest in tree holes</t>
  </si>
  <si>
    <t xml:space="preserve">trunk</t>
  </si>
  <si>
    <t xml:space="preserve">dry rot hole</t>
  </si>
  <si>
    <t xml:space="preserve">Cydia leguminana</t>
  </si>
  <si>
    <t xml:space="preserve">Larva in decaying bark, especially on elm pollards which have excrescences with soft bark; probably also on other tree species; hedgerows and wood margins; Wicken Fen until elms lost in 1970s; Epping Forest, up until 1890. </t>
  </si>
  <si>
    <t xml:space="preserve">sycamore, beech, elm</t>
  </si>
  <si>
    <t xml:space="preserve">excrescenc</t>
  </si>
  <si>
    <t xml:space="preserve">Cypha imitator</t>
  </si>
  <si>
    <t xml:space="preserve">In rotten wood of old beech Fagus stump &amp; under sycamore Acer pseudoplatanus bark; also in haystack litter.</t>
  </si>
  <si>
    <t xml:space="preserve">beech, sycamore</t>
  </si>
  <si>
    <t xml:space="preserve">Dacne bipustulata</t>
  </si>
  <si>
    <t xml:space="preserve">Erotylidae</t>
  </si>
  <si>
    <t xml:space="preserve">Adults normally frequent fruiting brackets of the softer polypore fungi on trunks of broad-leaved trees. Has been reared from Laetiporus sulphureus &amp; Piptoporus betulinus. Widespread in lowland Britain; rare in Ireland.</t>
  </si>
  <si>
    <t xml:space="preserve">Dacne rufifrons</t>
  </si>
  <si>
    <t xml:space="preserve">Adults normally frequent fruiting brackets of the softer polypore fungi on trunks of broad-leaved trees. Widespread in lowland England but more local than D. bipustulata. .</t>
  </si>
  <si>
    <t xml:space="preserve">Dadobia immersa</t>
  </si>
  <si>
    <t xml:space="preserve">Under pine Pinus bark. Widespread in Britain</t>
  </si>
  <si>
    <t xml:space="preserve">Dasycera oliviella</t>
  </si>
  <si>
    <t xml:space="preserve">Larvae feed under bark of decaying wood of Quercus and several other broadleaved trees.</t>
  </si>
  <si>
    <t xml:space="preserve">oak, blackthorn, hazel</t>
  </si>
  <si>
    <t xml:space="preserve">Dendrochernes cyrneus</t>
  </si>
  <si>
    <t xml:space="preserve">Large Tree-chernes</t>
  </si>
  <si>
    <t xml:space="preserve">Arachnid</t>
  </si>
  <si>
    <t xml:space="preserve">Ancient woodland and wood pasture, under pieces of loose bark and in very dry sapwood of dead parts of overmature trees, especially oak; also in rot holes. Prefers timber heated by the sun, and reported to be active on outside surfaces of trunk on calm warm summer evenings. Rare species, most sites within area enclosed by London to Sherwood to Gloucestershire. Phoretic on longhorn beetles. </t>
  </si>
  <si>
    <t xml:space="preserve">Dendrocopos major</t>
  </si>
  <si>
    <t xml:space="preserve">Great Spotted Woodpecker</t>
  </si>
  <si>
    <t xml:space="preserve">The great spotted woodpecker is a medium-sized woodpecker. It nests in holes that it excavates in trees in broadleaved woodlands, large parks and gardens. Great spotted woodpeckers eat insects and larvae, probing tree trunks with their extremely sticky tongues to extract them from their nests. In autumn and winter, they will switch to eating berries and nuts, and will visit peanut feeders in gardens.</t>
  </si>
  <si>
    <t xml:space="preserve">Lacon querceus</t>
  </si>
  <si>
    <t xml:space="preserve">open grown veteran trees; red rot in trunks, branches and stumps. Larvae are predators of beetle larvae Mycetophagus piceus</t>
  </si>
  <si>
    <t xml:space="preserve">Grammoptera abdominalis</t>
  </si>
  <si>
    <t xml:space="preserve"> develops in rotten branches of deciduous trees attacked by a fungus Vuilleminia comedens. The larvae of this species feed centrally in the branches and later they create pupal cells perpendicular to the branch axis. The pupal cell leads directly under the bark surface and is not secured by any wad of frass as it is common in other Cerambycidae. The preferred habitat of this species are oak woods growing on south facing slopes of river valleys in Central Europe.</t>
  </si>
  <si>
    <t xml:space="preserve">Denisia similella
</t>
  </si>
  <si>
    <t xml:space="preserve">N; Scotland; S</t>
  </si>
  <si>
    <t xml:space="preserve">O: On a wide variety of fungi under the bark of dead trees and on several species of bracket fungus.
L: Feeds within dead wood and below the bark.
P: In the larval feeding place. May sometimes overwinter twice.
I: Flies at dawn and dusk and comes to light.</t>
  </si>
  <si>
    <t xml:space="preserve">Diacanthous undulatus</t>
  </si>
  <si>
    <t xml:space="preserve">Larvae under thick bark or in dead wood immediately beneath bark of dead birch Betula timber, 4-5 years duration; pupate in spring; adult crepuscular; usually fallen trunks; northern British birchwoods – relatively widespread in northern boreal forest</t>
  </si>
  <si>
    <t xml:space="preserve">beneath thick bark</t>
  </si>
  <si>
    <t xml:space="preserve">Diaperis boleti</t>
  </si>
  <si>
    <t xml:space="preserve">The typical habitat is old established broadleaf woodland with plenty of trees in various stages of decay but it may also occur on isolated old trees in parkland or gardens</t>
  </si>
  <si>
    <t xml:space="preserve">Dictenidia bimaculata</t>
  </si>
  <si>
    <t xml:space="preserve">In fens and ancient woodland, developing in well_x0002_decayed timber of a variety of broad-leaved trees</t>
  </si>
  <si>
    <t xml:space="preserve">Diplocoelus fagi</t>
  </si>
  <si>
    <t xml:space="preserve">Until recently, exclusively associated with beech Fagus, the adults occurring under bark on deadwood, particularly the loose outer layer. In 1998 found in association with sooty bark disease on sycamore Acer pseudoplatanus logs in the London area. Adults overwinter in deadwood, including oak Quercus. Associated with the fungus Tubercularia confluens in Scandinavia. Ancient woodlands and wood pastures, although increasingly less so; south and south-east England.</t>
  </si>
  <si>
    <t xml:space="preserve">predator, fungivore</t>
  </si>
  <si>
    <t xml:space="preserve">sycamore, beech, oak</t>
  </si>
  <si>
    <t xml:space="preserve">Diplodoma laichartingella
</t>
  </si>
  <si>
    <t xml:space="preserve">O: Laid singly in cracks of bark. Hatches in four to five weeks.
L: Feeds mostly on dead insects but also decaying leaves, fungi, moss, lichen and algae growing at the base or trees or stumps, or under loose bark. In a hard triangular inner case enclosed in a longer, soft case covered with detritus, fragments of dead insects, etc. Usually living two years.
P: In larval case attached low down on a trunk or stump. Emergent pupa protrudes halfway from the case. 
I: Both sexes winged. Rests on trunks &amp; comes to light.</t>
  </si>
  <si>
    <t xml:space="preserve">detritivore</t>
  </si>
  <si>
    <t xml:space="preserve">trunk, base</t>
  </si>
  <si>
    <t xml:space="preserve"> loose bark</t>
  </si>
  <si>
    <t xml:space="preserve">bark cracks</t>
  </si>
  <si>
    <t xml:space="preserve">moss, lichen</t>
  </si>
  <si>
    <t xml:space="preserve">Dipogon subintermedius</t>
  </si>
  <si>
    <t xml:space="preserve">A cavity-nesting species, using flight holes in deadwood and even hard bracket fungi, as well as bramble stems and walls, provisioning with the spider Segestria senoculata; a speciality of mature timber and old hedgerows.</t>
  </si>
  <si>
    <t xml:space="preserve">bracket fungus, deadwood</t>
  </si>
  <si>
    <t xml:space="preserve">Dorcatoma ambjoerni</t>
  </si>
  <si>
    <t xml:space="preserve">Reared from fruiting bodies of the bracket fungus Inonotus cuticularis on old beeches Fagus; and from red-rotten heartwood; probably hibernates in larval stage, like others of genus; active later in summer than others of genus; discovered in Windsor Forest in 1990 and now known from three localities</t>
  </si>
  <si>
    <t xml:space="preserve">bracket fungus, Inonotus cuticularis</t>
  </si>
  <si>
    <t xml:space="preserve">Dorcatoma chrysomelina</t>
  </si>
  <si>
    <t xml:space="preserve">Develops in the interior of boughs and trunks of oak Quercus which are red-rotten, due to activity of the fungus Laetiporus sulphureus; has also been found in a red-rotted ash Fraxinus stump. Ancient wood pastures. Dyfed to East Anglia, north to Lancs. and Yorks., but apparently absent from SW England.</t>
  </si>
  <si>
    <t xml:space="preserve">Dorcatoma dresdensis</t>
  </si>
  <si>
    <t xml:space="preserve">Develops in hard perennial bracket fungi on broad-leaved trees, incl. Ganoderma on old beech Fagus and Phellinus spp. Ancient wood pastures of south-east England, west to Severn Vale.</t>
  </si>
  <si>
    <t xml:space="preserve">perennial brackets</t>
  </si>
  <si>
    <t xml:space="preserve">Dorcatoma flavicornis</t>
  </si>
  <si>
    <t xml:space="preserve">S; E; C; SW</t>
  </si>
  <si>
    <t xml:space="preserve">Dorcatoma substriata</t>
  </si>
  <si>
    <t xml:space="preserve">Develops in hard bracket fungi on broadleaved trees, especially Inonotus dryadeus; ancient wood pastures of central and south-eastern England, reaching into the Welsh Marches</t>
  </si>
  <si>
    <t xml:space="preserve">annual brackets</t>
  </si>
  <si>
    <t xml:space="preserve">Dorcus parallelipipedus</t>
  </si>
  <si>
    <t xml:space="preserve">Lesser Stag Beetle</t>
  </si>
  <si>
    <t xml:space="preserve">Lucanidae</t>
  </si>
  <si>
    <t xml:space="preserve">The natural habitat is woodland, wooded parkland and gardens and it is a common urban species.</t>
  </si>
  <si>
    <t xml:space="preserve">ash, beech, apple</t>
  </si>
  <si>
    <t xml:space="preserve">Drapetis arcuata</t>
  </si>
  <si>
    <t xml:space="preserve">Hybotidae</t>
  </si>
  <si>
    <t xml:space="preserve">Has been reared from inside a hollow horse chestnut.</t>
  </si>
  <si>
    <t xml:space="preserve">horse chestnut</t>
  </si>
  <si>
    <t xml:space="preserve">Drapetis simulans</t>
  </si>
  <si>
    <t xml:space="preserve">Has been found in an owl nest in a hollow willow; also rot holes in sycamore, beech &amp; poplar.</t>
  </si>
  <si>
    <t xml:space="preserve">sycamore, beech, poplar, willow</t>
  </si>
  <si>
    <t xml:space="preserve">Dromius agilis</t>
  </si>
  <si>
    <t xml:space="preserve">Adults and larvae under loose bark on various standing trees; local.</t>
  </si>
  <si>
    <t xml:space="preserve">Gyrophaena strictula</t>
  </si>
  <si>
    <t xml:space="preserve">Characteristically associated with the bracket fungus Daedalea quercina but occasionally reported with other fungi; Britain &amp; Powerscourt, Co. Wicklow. Widely distributed and not uncommon in N Europe.</t>
  </si>
  <si>
    <t xml:space="preserve">Dropephylla ioptera</t>
  </si>
  <si>
    <t xml:space="preserve">Under bark of dead branchwood; broad-leaved trees; adults visit flowers of rowan Sorbus aucuparia, etc; widespread GB, probably very local in Ireland.</t>
  </si>
  <si>
    <t xml:space="preserve">predator; nectivore</t>
  </si>
  <si>
    <t xml:space="preserve">Dryophthorus corticalis</t>
  </si>
  <si>
    <t xml:space="preserve">Wood-Boring Weevil</t>
  </si>
  <si>
    <t xml:space="preserve">At interface of hard oak Quercus timber with red-rot, also in beech Fagus, and often associated with the ant Lasius brunneus; larvae wood-feeders; old relict forest species presently confined to Windsor, but known from Somerset Levels and Thorne Moors in Neolithic.</t>
  </si>
  <si>
    <t xml:space="preserve">Malthodes crassicornis</t>
  </si>
  <si>
    <t xml:space="preserve">Cantharidae</t>
  </si>
  <si>
    <t xml:space="preserve">S; E; C; N; </t>
  </si>
  <si>
    <t xml:space="preserve">Larvae develop in moist crumbly red heart-rot of large old oaks Quercus. A speciality of relict old forest with open-grown ancient trees.</t>
  </si>
  <si>
    <t xml:space="preserve">Ectemnius sexcinctus</t>
  </si>
  <si>
    <t xml:space="preserve">Crabionidae</t>
  </si>
  <si>
    <t xml:space="preserve">Nest in beetle burrows in tree stumps, fence posts, building timbers, exposed wood-decay in living trees and rotten wood generally; cells stocked with medium-sized flies such as calypterates and hoverflies. Southern half of Britain.</t>
  </si>
  <si>
    <t xml:space="preserve">stumps, trunks, fence posts</t>
  </si>
  <si>
    <t xml:space="preserve">sunny</t>
  </si>
  <si>
    <t xml:space="preserve">Eilema depressa</t>
  </si>
  <si>
    <t xml:space="preserve">Buff Footman</t>
  </si>
  <si>
    <t xml:space="preserve">woodland, scrubland and chalky downland</t>
  </si>
  <si>
    <t xml:space="preserve">Eilema griseola</t>
  </si>
  <si>
    <t xml:space="preserve">Dingy Footman</t>
  </si>
  <si>
    <t xml:space="preserve">damp woodland, fens and sea-cliffs.</t>
  </si>
  <si>
    <t xml:space="preserve">wet carr</t>
  </si>
  <si>
    <t xml:space="preserve">Eilema lurideola</t>
  </si>
  <si>
    <t xml:space="preserve">Common Footman</t>
  </si>
  <si>
    <t xml:space="preserve"> widespread species in most of Britain, except in Scotland where it is local. Quite common in the south of its range</t>
  </si>
  <si>
    <t xml:space="preserve">Eilema sororcula</t>
  </si>
  <si>
    <t xml:space="preserve">Orange Footman</t>
  </si>
  <si>
    <t xml:space="preserve">The caterpillars live on lichens growing on the trunks of oak (Quercus) and beech (Fagus) trees.</t>
  </si>
  <si>
    <t xml:space="preserve">Euplectus kirbyi</t>
  </si>
  <si>
    <t xml:space="preserve">C; W; E; S</t>
  </si>
  <si>
    <t xml:space="preserve">Found beneath bark on dead broad-leaved timber; also in tree hollows.</t>
  </si>
  <si>
    <t xml:space="preserve">beneath dead bark</t>
  </si>
  <si>
    <t xml:space="preserve">Eledona agricola</t>
  </si>
  <si>
    <t xml:space="preserve">Develops primarily in the fruiting bodies of Laetiporus sulphureus and very occasionally adults have been reported from other similar soft annual bracket fungi; mostly in old wood pastures. Central and southern Britain; one record from Dumfriesshire.</t>
  </si>
  <si>
    <t xml:space="preserve">Enarmonia formosana
</t>
  </si>
  <si>
    <t xml:space="preserve">O: Laid singly or in small batches on a smooth area of the bark of various rosaceous trees, especially mature Malus, Prunus avium, P. cerasus, Sorbus spp. or ornamental cherries.
L: Often in a wound in the bark, exuding reddish frass, and sometimes under loose bark.
P: In the feeding place.
I: Emerges mid-morning and rests on a trunk till noon; flies in afternoon and evening sunshine; occasionally comes to light.</t>
  </si>
  <si>
    <t xml:space="preserve">Broadleaved</t>
  </si>
  <si>
    <t xml:space="preserve">Cherry, Sorbus, Prunus</t>
  </si>
  <si>
    <t xml:space="preserve">Endomychus coccineus</t>
  </si>
  <si>
    <t xml:space="preserve">Endomychidae</t>
  </si>
  <si>
    <t xml:space="preserve">Lives gregariously with its larvae on or around fungoid growth under bark of dead timber; especially in beech Fagus, but also in apple Malus, crack willow Salix fragilis, horse chestnut Aesculus, birch Betula.</t>
  </si>
  <si>
    <t xml:space="preserve">Fagus, Salix</t>
  </si>
  <si>
    <t xml:space="preserve">beech, willow, horse chestnut, birch</t>
  </si>
  <si>
    <t xml:space="preserve">Enicmus brevicornis</t>
  </si>
  <si>
    <t xml:space="preserve">C; SE; NW</t>
  </si>
  <si>
    <t xml:space="preserve">Associated with mouldy bark of beech Fagus, birch Betula, ash Fraxinus and sycamore Acer pseudoplatanus. Appears to have increased in numbers and range in recent years through favouring the development of sooty bark disease Cryptostroma corticale on sycamore. Central and south-eastern England; also in Cumbria.</t>
  </si>
  <si>
    <t xml:space="preserve">birch, ash, sycamore</t>
  </si>
  <si>
    <t xml:space="preserve">Enicmus fungicola</t>
  </si>
  <si>
    <t xml:space="preserve">C; N</t>
  </si>
  <si>
    <t xml:space="preserve">In ripe powdery slime fungi on oak Quercus and beech Fagus boughs and trunks.</t>
  </si>
  <si>
    <t xml:space="preserve">Fagus, Quercus</t>
  </si>
  <si>
    <t xml:space="preserve">Enicmus rugosus</t>
  </si>
  <si>
    <t xml:space="preserve">C; SE</t>
  </si>
  <si>
    <t xml:space="preserve">In slime mould on trees, often under bark on deadwood; mainly oak Quercus, but also ash Fraxinus, beech Fagus, alder Alnus and pine Pinus. Old forest areas: Highlands, Lanarkshire, and central and south-eastern England.</t>
  </si>
  <si>
    <t xml:space="preserve">oak, ash, beech, alder, pine</t>
  </si>
  <si>
    <t xml:space="preserve">Enicmus testaceus</t>
  </si>
  <si>
    <t xml:space="preserve">In ripe slime fungus on beech Fagus and other trunks.</t>
  </si>
  <si>
    <t xml:space="preserve">slime fungus</t>
  </si>
  <si>
    <t xml:space="preserve">Hypebaeus flavipes</t>
  </si>
  <si>
    <t xml:space="preserve">Moccas Beetle</t>
  </si>
  <si>
    <t xml:space="preserve">Malachiidae </t>
  </si>
  <si>
    <t xml:space="preserve">Larvae in galleries made by woodborers in ancient oaks Quercus in open sunny situations; Moccas Park.</t>
  </si>
  <si>
    <t xml:space="preserve">Enterographa elaborata</t>
  </si>
  <si>
    <t xml:space="preserve">New Forest Beech-lichen</t>
  </si>
  <si>
    <t xml:space="preserve">Critically Endangered; Section 41</t>
  </si>
  <si>
    <t xml:space="preserve">a woodland species that requires good indirect light and is absent from deeply shaded stands but conspicuously avoids southern aspects on trees, even in dense woodland. It requires veteran trees with complex trunk architectures that allow rain tracks to form.</t>
  </si>
  <si>
    <t xml:space="preserve">partial shade</t>
  </si>
  <si>
    <t xml:space="preserve">avoids south aspect</t>
  </si>
  <si>
    <t xml:space="preserve">Epierus comptus</t>
  </si>
  <si>
    <t xml:space="preserve">Discovered under bark of a mature fallen beech Fagus, 1980, Groveley Wood, S. Wilts, and also under beech bark in the New Forest in 2000.</t>
  </si>
  <si>
    <t xml:space="preserve">Fagus</t>
  </si>
  <si>
    <t xml:space="preserve">Euplectus nanus</t>
  </si>
  <si>
    <t xml:space="preserve">Under bark and in moist crumbly rotten timber</t>
  </si>
  <si>
    <t xml:space="preserve">Epuraea angustula</t>
  </si>
  <si>
    <t xml:space="preserve">S; E; C; N; NW</t>
  </si>
  <si>
    <t xml:space="preserve">Associated with the borings of Xyloterus bark beetles in sickly or freshly dead trunks and boughs, especially of birch Betula, oak Quercus and beech Fagus; lowland England, except south-west; pine Pinus in Highlands; also in Co Donegal. Associated with ancient wood pastures.</t>
  </si>
  <si>
    <t xml:space="preserve">birch, beech, oak</t>
  </si>
  <si>
    <t xml:space="preserve">freshly dead, dying</t>
  </si>
  <si>
    <t xml:space="preserve">Epuraea distincta</t>
  </si>
  <si>
    <t xml:space="preserve">W; S</t>
  </si>
  <si>
    <t xml:space="preserve">Develops in the bracket fungi Daedaleopsis confragosa on waterside Salix; adults have been reported over_x0002_wintering in reed litter; possibly a recent arrival</t>
  </si>
  <si>
    <t xml:space="preserve">Epuraea fuscicollis</t>
  </si>
  <si>
    <t xml:space="preserve">At exuding sap of trees, especially those attacked by goat moth Cossus; very rare in mid-Europe</t>
  </si>
  <si>
    <t xml:space="preserve">Epuraea guttata</t>
  </si>
  <si>
    <t xml:space="preserve">At exuding sap of trees, including those attacked by goat moth Cossus.</t>
  </si>
  <si>
    <t xml:space="preserve">Epuraea limbata</t>
  </si>
  <si>
    <t xml:space="preserve">N; W; E; C</t>
  </si>
  <si>
    <t xml:space="preserve">In tree fungi</t>
  </si>
  <si>
    <t xml:space="preserve">Epuraea longula</t>
  </si>
  <si>
    <t xml:space="preserve">Adults have been found at goat moth Cossus burrows, but are more regularly found at woodland flowers; also from rotten elm Ulmus.</t>
  </si>
  <si>
    <t xml:space="preserve">Epuraea marseuli</t>
  </si>
  <si>
    <t xml:space="preserve">At flowers, under sappy bark of deadwood and in tree fungi.</t>
  </si>
  <si>
    <t xml:space="preserve">Epuraea rufomarginata</t>
  </si>
  <si>
    <t xml:space="preserve">SE; C; NW</t>
  </si>
  <si>
    <t xml:space="preserve">Amongst borings of the beetle Xyloterus domesticus in a cut bough; also under dead spruce Picea bark and in oak Quercus faggots; and in Daldinia fungus on ash.</t>
  </si>
  <si>
    <t xml:space="preserve">saprophagous, fungivore</t>
  </si>
  <si>
    <t xml:space="preserve">Epuraea silacea</t>
  </si>
  <si>
    <t xml:space="preserve">At flowers, under sappy bark on dead wood, and in bracket fungi. Very rare in mid-Europe.</t>
  </si>
  <si>
    <t xml:space="preserve">Ernobius gigas</t>
  </si>
  <si>
    <t xml:space="preserve">Associated with burnt and dead pines Pinus in S England.</t>
  </si>
  <si>
    <t xml:space="preserve">scorched wood</t>
  </si>
  <si>
    <t xml:space="preserve">beneath scorched bark</t>
  </si>
  <si>
    <t xml:space="preserve">Ernobius nigrinus</t>
  </si>
  <si>
    <t xml:space="preserve">Develops in thin branches of pine Pinus and spruce Picea after primary attack of Magdalis weevils and Hylastes bark beetles. Formerly confined to Scottish Highlands, but now also in southern pine plantations.</t>
  </si>
  <si>
    <t xml:space="preserve">Euplectus piceus</t>
  </si>
  <si>
    <t xml:space="preserve">Under bark of oak Quercus and beech Fagus, and in red_x0002_rotten oak.</t>
  </si>
  <si>
    <t xml:space="preserve">Esperia sulphurella
</t>
  </si>
  <si>
    <t xml:space="preserve">O: Oblong-ovate, dimpled and pearly white; one to three, covered with perianal hairs and laid end to end in crevices in dead bark of many trees and shrubs in old hedges or on dead gorse, the fungus Daldinia concentrica, rotting fence posts, etc.
L: On dead wood and under bark; prefers the feeding site to be fairly dry. In a loose silken tube with copious frass. Larva pale grey, pinacula dark grey, head and plates chestnut brown.
P: In a firm cocoon of silk and frass, in the feeding place.
I: Males fly in morning sunshine, sometimes assembling to females. Occasionally comes to light.</t>
  </si>
  <si>
    <t xml:space="preserve">Euplectus punctatus</t>
  </si>
  <si>
    <t xml:space="preserve">E. tholini</t>
  </si>
  <si>
    <t xml:space="preserve">In moist crumbly rotten wood, oak Quercus and beech Fagus, also pine Pinus in Highlands; primarily a relict species of primary forest.</t>
  </si>
  <si>
    <t xml:space="preserve">Euryusa optabilis</t>
  </si>
  <si>
    <t xml:space="preserve">In decaying wood of old trees, especially oak Quercus and beech Fagus, also elm Ulmus; often with Lasius ants; also litter at base of goat moth Cossus trees.</t>
  </si>
  <si>
    <t xml:space="preserve">oak, beech, elm</t>
  </si>
  <si>
    <t xml:space="preserve">trunks, branches, litter</t>
  </si>
  <si>
    <t xml:space="preserve">Eudonia delunella
</t>
  </si>
  <si>
    <t xml:space="preserve">Crambidae</t>
  </si>
  <si>
    <t xml:space="preserve">O: On lichens and mosses growing on the trunks of ash, apple and sometimes elm or poplar. *Has been reared from Leucodon sciuroides.
L: Probably overwinters in the larval stage.
I: Has been recorded in late May. Rests by day on the tree trunks, such as those of ash; flies from dusk and later comes to light and sugar.</t>
  </si>
  <si>
    <t xml:space="preserve">ash, apple, elm, poplar</t>
  </si>
  <si>
    <t xml:space="preserve">Eudonia lineola
</t>
  </si>
  <si>
    <t xml:space="preserve">O: On the lichen Xanthoria parietina growing on fences, branches of old scrub, and on old walls and rocks.
L: In a slight web which is sometimes visible over the lichen. Possibly overwinters when small.
P: In a slight cocoon under the lichen.
I: Has been recorded in November. Very occasionally there is a partial second brood. Rests by day on lichen-covered branches or fences, flying for cover when disturbed; flies at dusk and comes to light.</t>
  </si>
  <si>
    <t xml:space="preserve">Micridium halidaii</t>
  </si>
  <si>
    <t xml:space="preserve">Ptiliidae</t>
  </si>
  <si>
    <t xml:space="preserve">Has been found in red-rotten wood from inside hollow live oak Quercus (Windsor), also under bark of dead oak (Sherwood); probably associated with mycelia of Laetiporus sulphureus. Also Richmond Park &amp; Calke Park. All sites are typical ancient wood pastures.</t>
  </si>
  <si>
    <t xml:space="preserve">fungus, Laetiporus sulphureus</t>
  </si>
  <si>
    <t xml:space="preserve">Lucanus cervus</t>
  </si>
  <si>
    <t xml:space="preserve">Stag Beetle</t>
  </si>
  <si>
    <t xml:space="preserve">broadleaved woodlands, esp oak, also parks and gardens where there are hedgerows, old tree stumps and logs</t>
  </si>
  <si>
    <t xml:space="preserve">wood pasture</t>
  </si>
  <si>
    <t xml:space="preserve">stumps, logs, roots</t>
  </si>
  <si>
    <t xml:space="preserve">Euophryum confine</t>
  </si>
  <si>
    <t xml:space="preserve">Immigrant New Zealand species, first reported in 1937, now widespread throughout Britain; always found associated with timber where damp and decay evident; appear to have two overlapping life cycles per year, and adults long-lived; flight holes c.1.1mm and ragged outline, and dense channelled galleries in heartwood. Regularly found in cuboidal red rot of fungus Laetiporus sulphureus outdoors, but also in wet rot on timbers in buildings.</t>
  </si>
  <si>
    <t xml:space="preserve">timber</t>
  </si>
  <si>
    <t xml:space="preserve">Euplectus bonvouloiri</t>
  </si>
  <si>
    <t xml:space="preserve">Associated with decaying tree roots.</t>
  </si>
  <si>
    <t xml:space="preserve">roots</t>
  </si>
  <si>
    <t xml:space="preserve">Euplectus brunneus</t>
  </si>
  <si>
    <t xml:space="preserve">Found under dead bark and in rotten wood; may be associated with Myrmica ants. Cobham Park, Kent, is only confirmed locality</t>
  </si>
  <si>
    <t xml:space="preserve">Euryusa sinuata</t>
  </si>
  <si>
    <t xml:space="preserve">In decaying wood of old trees, especially oak Quercus and beech Fagus, often with Lasius brunneus ants, but not dependant on them</t>
  </si>
  <si>
    <t xml:space="preserve">Eutheia formicetorum</t>
  </si>
  <si>
    <t xml:space="preserve">In moist crumbly dead wood and wood mould, particularly beech Fagus and oak Quercus; has been found with brown tree ant Lasius brunneus; southern old forests: Windsor, New Forest, and the ancient neglected coppice of Prattle Wood, Oxon.</t>
  </si>
  <si>
    <t xml:space="preserve">Euplectus mutator</t>
  </si>
  <si>
    <t xml:space="preserve">Euplectus fauveli</t>
  </si>
  <si>
    <t xml:space="preserve">C; E; W</t>
  </si>
  <si>
    <t xml:space="preserve">In bird nests, under dead bark and in rotten wood; oak Quercus and beech Fagus.</t>
  </si>
  <si>
    <t xml:space="preserve">Opilo mollis</t>
  </si>
  <si>
    <t xml:space="preserve">Cleridae</t>
  </si>
  <si>
    <t xml:space="preserve">Larvae predatory on anobiid beetle larvae in old hard timber; Opilo larvae crawl through Anobium tunnels in search of prey; eggs laid only if adult Anobium have been found; pupate beneath bark. Nocturnal. Widespread in lowland England, but absent from south-west and north; Welsh record from Denbighshire. Widespread on continent.</t>
  </si>
  <si>
    <t xml:space="preserve">Anobiinae</t>
  </si>
  <si>
    <t xml:space="preserve">Globicornis nigripes</t>
  </si>
  <si>
    <t xml:space="preserve">Globicornis rufitarsis</t>
  </si>
  <si>
    <t xml:space="preserve">Larvae develop under loose bark and in old decayed wood where feed on dry larval &amp; pupal skins of other insects, generally in tree hollows beneath bird nests; adults occasionally found at blossom - especially umbellifers. Two centres known in Britain: i) Windsor Forest, and ii) S. Worcestershire/Gloucestershire, where it is found in low-lying areas with large old willow Salix pollards in ancient field boundaries (P. Whitehead, pers. comm.) as well as ancient wood pasture oaks Quercus.</t>
  </si>
  <si>
    <t xml:space="preserve">scavenger, nectivore</t>
  </si>
  <si>
    <t xml:space="preserve">Gnathoncus buyssoni</t>
  </si>
  <si>
    <t xml:space="preserve">A scavenger, living particularly in the nests of birds within hollow trees, but also in squirrel dreys and other situations. Widespread across the lowlands of southern Britain, but very localised within its range.</t>
  </si>
  <si>
    <t xml:space="preserve">bird, squirrel</t>
  </si>
  <si>
    <t xml:space="preserve">Gnathoncus communis</t>
  </si>
  <si>
    <t xml:space="preserve">Most often found in the nests of birds within hollow trees, rarely in other situations. Uncommon. </t>
  </si>
  <si>
    <t xml:space="preserve">Gnathoncus nannetensis</t>
  </si>
  <si>
    <t xml:space="preserve">Most often found in the nests of birds within hollow trees, but also in a variety of other situations. Uncommon.</t>
  </si>
  <si>
    <t xml:space="preserve">Gnathoncus nanus</t>
  </si>
  <si>
    <t xml:space="preserve">Most often found in the nests of birds within hollow trees, but also in a variety of other situations. Uncommon. </t>
  </si>
  <si>
    <t xml:space="preserve">Gnorimus nobilis</t>
  </si>
  <si>
    <t xml:space="preserve">Noble Chafer</t>
  </si>
  <si>
    <t xml:space="preserve">open grown veteran trees; decaying wood; fruit trees</t>
  </si>
  <si>
    <t xml:space="preserve">fruit trees</t>
  </si>
  <si>
    <t xml:space="preserve">Euthyneura halidayi</t>
  </si>
  <si>
    <t xml:space="preserve">Has been reared from a rot hole in willow; local in woodland, including carr, England, Scotland &amp; Ireland.</t>
  </si>
  <si>
    <t xml:space="preserve">Fannia aequilineata</t>
  </si>
  <si>
    <t xml:space="preserve">Fanniidae</t>
  </si>
  <si>
    <t xml:space="preserve">The larvae have been reared from wood detritus, from the fungi Inonotus dryadeus and Daldinia concentrica, and from blackbird nest; adults associated with sap-runs.</t>
  </si>
  <si>
    <t xml:space="preserve">Fannia difficilis</t>
  </si>
  <si>
    <t xml:space="preserve">Has been reared from sap runs, although also from bird nests and terrestrial fungi. </t>
  </si>
  <si>
    <t xml:space="preserve">Fannia gotlandica</t>
  </si>
  <si>
    <t xml:space="preserve">Has been reared from detritus and litter collected from hollow bole of elm tree; also from beech</t>
  </si>
  <si>
    <t xml:space="preserve">elm, beech</t>
  </si>
  <si>
    <t xml:space="preserve">Ferdinandea cuprea</t>
  </si>
  <si>
    <t xml:space="preserve">woodland species. Larvae live in sap runs.</t>
  </si>
  <si>
    <t xml:space="preserve">Ficedula hypoleuca</t>
  </si>
  <si>
    <t xml:space="preserve">Pied flycatcher</t>
  </si>
  <si>
    <t xml:space="preserve">Muscicapidae</t>
  </si>
  <si>
    <t xml:space="preserve">Not assessed</t>
  </si>
  <si>
    <t xml:space="preserve">N; C; SW; Wales; Scotland</t>
  </si>
  <si>
    <t xml:space="preserve">Wales's Oak woodlands are very much the breeding stronghold for this summer visitor but breeding populations can also be found in Scotland, and northern, central and south-west England. </t>
  </si>
  <si>
    <t xml:space="preserve">Gastrallus immarginatus</t>
  </si>
  <si>
    <t xml:space="preserve">Maple Wood-boring Beetle</t>
  </si>
  <si>
    <t xml:space="preserve">Develops in the bark of old field maple Acer campestre and fruit trees, clusters of tiny exit-holes occurring on well-lit live trunks; very localised in Windsor Forest but widely over north Cotswolds and adjoining country. Sub-fossil records from Somerset Levels</t>
  </si>
  <si>
    <t xml:space="preserve">maple, apple, cherry, plum, Pear</t>
  </si>
  <si>
    <t xml:space="preserve">Gelechia turpella
</t>
  </si>
  <si>
    <t xml:space="preserve">Gelechiidae</t>
  </si>
  <si>
    <t xml:space="preserve">O: On Populus nigra, including P. nigra ‘Italica’; possibly Salix spp.
L: Probably between spun, upwardly podded, leaves.
P: Under loose bark on the foodplant, in dense white silk cocoons incorporating debris; sometimes gregariously.
I: Rests on trunks during the day, runs rapidly upwards or flies away when disturbed; comes to light.</t>
  </si>
  <si>
    <t xml:space="preserve">foliovore</t>
  </si>
  <si>
    <t xml:space="preserve">Poplar</t>
  </si>
  <si>
    <t xml:space="preserve">Glaphyra umbellatarum</t>
  </si>
  <si>
    <t xml:space="preserve">Larva in trunks, slender or broken off branches and dead twigs of bramble Rubus, crab apple Malus, dog-rose Rosa canina, guelder rose Viburnum, pine Pinus, spruce Picea and fruit trees (Rosaceae); 2 year cycle; pupae over-winter; adults at blossom.</t>
  </si>
  <si>
    <t xml:space="preserve">apple, pine, spruce</t>
  </si>
  <si>
    <t xml:space="preserve">Glischrochilus quadriguttatus</t>
  </si>
  <si>
    <t xml:space="preserve">feeds on fermenting sap; associated with ash Fraxinus in Ireland.</t>
  </si>
  <si>
    <t xml:space="preserve">fermenting sap</t>
  </si>
  <si>
    <t xml:space="preserve">Oxypoda recondita</t>
  </si>
  <si>
    <t xml:space="preserve">Wales; C; SE</t>
  </si>
  <si>
    <t xml:space="preserve">Associated with red-rotten wood and ants</t>
  </si>
  <si>
    <t xml:space="preserve">Haploglossa gentilis</t>
  </si>
  <si>
    <t xml:space="preserve">SE; C; Wales</t>
  </si>
  <si>
    <t xml:space="preserve">With jet ant L. fuliginosus and in owl nests.</t>
  </si>
  <si>
    <t xml:space="preserve">owl, ants</t>
  </si>
  <si>
    <t xml:space="preserve">Hypnogyra angularis</t>
  </si>
  <si>
    <t xml:space="preserve">Xantholinus angularis</t>
  </si>
  <si>
    <t xml:space="preserve">SE; E; S; Wales</t>
  </si>
  <si>
    <t xml:space="preserve">Found in damp wood mould beneath bird nests or in ant nests in hollow trees; various broad-leaved trees; southern England.</t>
  </si>
  <si>
    <t xml:space="preserve">beech, yew</t>
  </si>
  <si>
    <t xml:space="preserve">Ischnodes sanguinicollis</t>
  </si>
  <si>
    <t xml:space="preserve">Eucnemidae</t>
  </si>
  <si>
    <t xml:space="preserve">Larvae develop in soft decaying wood and black wood mould, mainly in ash Fraxinus and elm Ulmus, but also field maple Acer campestre and beech Fagus; generally beneath bird nests; pupate at end of season and hibernate as adult. Adults crepuscular. Mainly S and SE England.</t>
  </si>
  <si>
    <t xml:space="preserve">ash, elm, beech, maple</t>
  </si>
  <si>
    <t xml:space="preserve">Plectophloeus nitidus</t>
  </si>
  <si>
    <t xml:space="preserve">In red-rotten heartwood and wood mould in old hollow oaks Quercus; old forests and parks.</t>
  </si>
  <si>
    <t xml:space="preserve">Gnophomyia elsneri</t>
  </si>
  <si>
    <t xml:space="preserve">Royal Cranefly</t>
  </si>
  <si>
    <t xml:space="preserve">Limoniidae</t>
  </si>
  <si>
    <t xml:space="preserve">porridge-like wet wood-mould at base of hollow veteran trees</t>
  </si>
  <si>
    <t xml:space="preserve">inundated rot hole</t>
  </si>
  <si>
    <t xml:space="preserve">Limoniscus violaceus</t>
  </si>
  <si>
    <t xml:space="preserve">Violet Click Beetle</t>
  </si>
  <si>
    <t xml:space="preserve">open grown veteran trees; decayed wood (heartrot). The larvae feed on the decaying wood they are born in, getting nutrients from the mix of rotting wood, bird droppings and leaf litter in the tree. Adult violet click beetles are thought to feed on nectar.
</t>
  </si>
  <si>
    <t xml:space="preserve">old beech nd sh with heart rot. Flowers</t>
  </si>
  <si>
    <t xml:space="preserve">beech, ash</t>
  </si>
  <si>
    <t xml:space="preserve">Malthinus frontalis</t>
  </si>
  <si>
    <t xml:space="preserve">Associated particularly with large old and open-grown trees in parkland or other situations. Formerly widespread but has become increasingly scarce.</t>
  </si>
  <si>
    <t xml:space="preserve">Mycetophagus piceus</t>
  </si>
  <si>
    <t xml:space="preserve">Most often develops in red-rotten heartwood in oak Quercus trunks and boughs, i.e. in the decay caused by the fungus Laetiporus sulphureus, the larvae occurring where the decay is fresh and moist. Adults are also found feeding on fruiting bodies of other bracket fungi. Primarily in ancient woodlands and wood pastures. Widespread over much of England and Wales, but absent from far south-west and north; one southern Scottish record.</t>
  </si>
  <si>
    <t xml:space="preserve">Grammoptera ruficornis</t>
  </si>
  <si>
    <t xml:space="preserve">Polyphagous larvae, in dead twigs and decaying small branches of many broad-leaved trees; pupates in Spring; adults at blossom. Common England, Wales, Ireland, but scarcer in Scotland north of the Forth/Clyde line.</t>
  </si>
  <si>
    <t xml:space="preserve">Grammoptera ustulata</t>
  </si>
  <si>
    <t xml:space="preserve">Mostly Thames, Hampshire and Severn Basins; also Yorkshire; larva in dry dead or mouldy lichen-covered twigs of maple Acer campestre and oak Quercus, also other broad-leaved trees, where they feed on the outer sapwood; adults at blossom; life cycle one year.</t>
  </si>
  <si>
    <t xml:space="preserve">lichen or mould covered twigs</t>
  </si>
  <si>
    <t xml:space="preserve">oak, field maple</t>
  </si>
  <si>
    <t xml:space="preserve">Grammoptera variegata</t>
  </si>
  <si>
    <t xml:space="preserve">Larva feed on the outer sapwood of dead upper branches of oak Quercus, pear Pyrus and sweet chestnut Castanea, boring deeper to pupate; adults at blossom.</t>
  </si>
  <si>
    <t xml:space="preserve">dead branches, nectar</t>
  </si>
  <si>
    <t xml:space="preserve">oak, pear, sweet chestnut</t>
  </si>
  <si>
    <t xml:space="preserve">Grapholita janthinana
</t>
  </si>
  <si>
    <t xml:space="preserve">O: Laid singly on a berry of Crataegus.
L: In the berries, spinning two or three together; overwinters from October in its cocoon.
P: In a cocoon under loose bark, in rotten wood, or amongst leaf-litter.
I: Flies in afternoon sunshine up to dusk in warm weather and at night when it comes to light.</t>
  </si>
  <si>
    <t xml:space="preserve">hawthorn</t>
  </si>
  <si>
    <t xml:space="preserve">Gyrophaena affinis</t>
  </si>
  <si>
    <t xml:space="preserve">In bracket fungi in woods. Britain &amp; Ireland; widespread.</t>
  </si>
  <si>
    <t xml:space="preserve">Gyrophaena bihamata</t>
  </si>
  <si>
    <t xml:space="preserve">On bracket fungi in woods. Very local in southern Britain; Killarney.</t>
  </si>
  <si>
    <t xml:space="preserve">Gyrophaena congrua</t>
  </si>
  <si>
    <t xml:space="preserve">In bracket fungi Polyporus squamosus, Trametes versicolor, Pseudotrametes gibbosa.</t>
  </si>
  <si>
    <t xml:space="preserve">Gyrophaena joyi</t>
  </si>
  <si>
    <t xml:space="preserve">Associated with wood-decaying fungi in wet woodland, including Lentinus tigrinus and Polyporus squamosus. Southern Britain &amp; Co Down.</t>
  </si>
  <si>
    <t xml:space="preserve">Gyrophaena lucidula</t>
  </si>
  <si>
    <t xml:space="preserve">In fungi on trees, incl. Lentinus tigrinus and Gymnopilus junonius on ash Fraxinus stump. Wet woodlands.</t>
  </si>
  <si>
    <t xml:space="preserve">Gyrophaena munsteri</t>
  </si>
  <si>
    <t xml:space="preserve">In fruiting bodies of wood-rotting fungi, incl. polypores &amp; gill fungi, but also the non-wood-rotter Hebeloma saccharoliens. Southern Britain.</t>
  </si>
  <si>
    <t xml:space="preserve">Gyrophaena poweri</t>
  </si>
  <si>
    <t xml:space="preserve">In fruiting bodies of wood-rotting fungi, such as Hypholoma fasciculare and Pleurotus. Rare, south-east England; Killarney</t>
  </si>
  <si>
    <t xml:space="preserve">Gyrophaena pulchella</t>
  </si>
  <si>
    <t xml:space="preserve">Has been recorded from the fungus Hypholoma fasciculare. Rare in Britain; possibly less so in Ireland.</t>
  </si>
  <si>
    <t xml:space="preserve">Gyrophaena rousi</t>
  </si>
  <si>
    <t xml:space="preserve">Discovered on bracket of Polyporus squamosus at Chippenham Fen in 1999.</t>
  </si>
  <si>
    <t xml:space="preserve">Prionychus melanarius</t>
  </si>
  <si>
    <t xml:space="preserve">Larvae develop in similar situations to P. ater, but with more emphasis on accumulations of frass and other debris beneath loose bark on decaying oak Quercus and other broad-leaved trees. Adults nocturnal. Mould pockets. Relict old forest species known from Severn Vale, Sherwood, Arundel Park area of South Downs, and Staverton Park.</t>
  </si>
  <si>
    <t xml:space="preserve">Hadrobregmus denticollis</t>
  </si>
  <si>
    <t xml:space="preserve">Develop in dead heartwood of various broad-leaved trees, e.g. red-rot of Salix fragilis, old oak Quercus, pear Pyrus and hawthorn Crataegus. Southern England as far north as Worcester.</t>
  </si>
  <si>
    <t xml:space="preserve">dead heartwood</t>
  </si>
  <si>
    <t xml:space="preserve">oak, pear, willow, hawthorn</t>
  </si>
  <si>
    <t xml:space="preserve">Hallomenus binotatus</t>
  </si>
  <si>
    <t xml:space="preserve">Tetratomidae</t>
  </si>
  <si>
    <t xml:space="preserve">Develops in the fruiting bodies of large polypore fungi in ancient wood pastures, particularly in Laetiporus sulphureus, but also in pine-associates in the ancient Scottish pine forests. Thinly scattered over much of Britain and scarcest in the west.</t>
  </si>
  <si>
    <t xml:space="preserve">pine, oak</t>
  </si>
  <si>
    <t xml:space="preserve">Hapalaraea pygmaea</t>
  </si>
  <si>
    <t xml:space="preserve">Largely confined to areas of mature woodland, where it is found in bracket fungi, bird nests and squirrel dreys in tree canopy, rotten wood, etc.; probably not a true wood-decay associate; widespread in GB, but only one old record from Ireland.</t>
  </si>
  <si>
    <t xml:space="preserve">Oxypoda vittata</t>
  </si>
  <si>
    <t xml:space="preserve">In runs of jet ant L.fuliginosus. Britain;</t>
  </si>
  <si>
    <t xml:space="preserve">Haplotinea insectella
</t>
  </si>
  <si>
    <t xml:space="preserve">L: On stored products of plant or animal origin, poultry-house or stable refuse; also, on fungi and rotten wood in rot holes.
I: Sometimes comes to light.</t>
  </si>
  <si>
    <t xml:space="preserve">Harpella forficella
</t>
  </si>
  <si>
    <t xml:space="preserve">O: *On rotting wood or the fungus Daldinia concentrica.
L: *Often under loose bark. May take two years to develop.
I: *Flies in afternoon, early evening and at dawn. Comes to light.</t>
  </si>
  <si>
    <t xml:space="preserve">ash, beech</t>
  </si>
  <si>
    <t xml:space="preserve">fallen</t>
  </si>
  <si>
    <t xml:space="preserve">Helicigona lapicida lapicida </t>
  </si>
  <si>
    <t xml:space="preserve">mollusc</t>
  </si>
  <si>
    <t xml:space="preserve">Helicidae</t>
  </si>
  <si>
    <t xml:space="preserve">Scarce; Widespread, but hard to find in dry weather; probably frequent in high quality woods. Rare to extinct in the east. Often found in open habitats in the north where there is exposure of limestone. </t>
  </si>
  <si>
    <t xml:space="preserve">beech, hornbeam, sycamore</t>
  </si>
  <si>
    <t xml:space="preserve">Helops caeruleus</t>
  </si>
  <si>
    <t xml:space="preserve">In decaying trees, principally oak Quercus, but also in a wide variety of other species including pine Pinus; also in prepared timber; larvae in rather hard and dryish decaying wood; adults come to sugar, nocturnal; probably flightless. Most often found in coastal situations, but also in ancient wood pastures inland. South and east of England</t>
  </si>
  <si>
    <t xml:space="preserve">Henoticus serratus</t>
  </si>
  <si>
    <t xml:space="preserve">Under bark on deadwood or at blossom, near fresh water; widely distributed but very sparse, especially in Scotland.</t>
  </si>
  <si>
    <t xml:space="preserve">Hercostomus nigrilamellatus</t>
  </si>
  <si>
    <t xml:space="preserve">Dolichopodidae</t>
  </si>
  <si>
    <t xml:space="preserve">Has been reared from decomposing wood debris in the base of hollow trees, etc; willow, poplar &amp; elm.</t>
  </si>
  <si>
    <t xml:space="preserve">willow, poplar, elm</t>
  </si>
  <si>
    <t xml:space="preserve">Homalota plana</t>
  </si>
  <si>
    <t xml:space="preserve">Under bark on dead beech Fagus; adult feeds on detritus and fungi. Local in southern Britain</t>
  </si>
  <si>
    <t xml:space="preserve">Hylis cariniceps</t>
  </si>
  <si>
    <t xml:space="preserve">Larvae probably in dead wood of old beeches Fagus; New Forest and Brownsea Island. Although only recently discovered, believed to be a relict native distribution.</t>
  </si>
  <si>
    <t xml:space="preserve">Hylis olexai</t>
  </si>
  <si>
    <t xml:space="preserve">Larvae in decaying heartwood of beech Fagus, etc, usually in woodlands and particularly those on Chalk; SE England. Although only recently discovered, believed to be a relict native distribution.</t>
  </si>
  <si>
    <t xml:space="preserve">beech, others</t>
  </si>
  <si>
    <t xml:space="preserve">Pentaphyllus testaceus</t>
  </si>
  <si>
    <t xml:space="preserve">Found once in Britain in “Polyporus squamosus” placed as a trap in a “partially decayed oak”, Hornsey, N. London, 1876. Known on Continent from decaying bracket fungus Laetiporus sulphureus on oak, also in broad_x0002_leaved leaf litter and red-rotten oak and other decaying timber.</t>
  </si>
  <si>
    <t xml:space="preserve">decaying fungus</t>
  </si>
  <si>
    <t xml:space="preserve">Megapenthes lugens</t>
  </si>
  <si>
    <t xml:space="preserve">Develops in decaying elm Ulmus and beech Fagus, mainly hollow trunks and boughs; larvae feed in harder, drier heartwood than Ampedus, probably on Cossonine weevil larvae; pupate at end of season and hibernate as adult; adults nocturnal and attracted to blossom. SE England.</t>
  </si>
  <si>
    <t xml:space="preserve">weevil larvae</t>
  </si>
  <si>
    <t xml:space="preserve">Hypocreopsis lichenoides</t>
  </si>
  <si>
    <t xml:space="preserve">Willow Gloves</t>
  </si>
  <si>
    <t xml:space="preserve">Fungi</t>
  </si>
  <si>
    <t xml:space="preserve">Hypocreaceae</t>
  </si>
  <si>
    <t xml:space="preserve">sallow/willow with fungus Hymenochaete tabacina; uncoppiced</t>
  </si>
  <si>
    <t xml:space="preserve">Hymenochaete tabacina</t>
  </si>
  <si>
    <t xml:space="preserve">closed canopy</t>
  </si>
  <si>
    <t xml:space="preserve">Hypocreopsis rhododendri</t>
  </si>
  <si>
    <t xml:space="preserve">Hazel Gloves</t>
  </si>
  <si>
    <t xml:space="preserve">SW; Wales; Scotland</t>
  </si>
  <si>
    <t xml:space="preserve">on uncoppiced Corylus (also Salix, Prunus, Rosa) associated with and possibly parasitic on Hymenochaete corrugata</t>
  </si>
  <si>
    <t xml:space="preserve">lack of disturbance; uncoppiced, scrub; Hymenochaete corrugata</t>
  </si>
  <si>
    <t xml:space="preserve">hazel, willow</t>
  </si>
  <si>
    <t xml:space="preserve">Inonotus hispidus</t>
  </si>
  <si>
    <t xml:space="preserve">Shaggy Bracket</t>
  </si>
  <si>
    <t xml:space="preserve">Hymenochaetaceae</t>
  </si>
  <si>
    <t xml:space="preserve">on trunks of broad-leaved trees, and in particular Fraxinus (ash trees) and Malus (apple trees).. </t>
  </si>
  <si>
    <t xml:space="preserve">causes white rot</t>
  </si>
  <si>
    <t xml:space="preserve">parasite</t>
  </si>
  <si>
    <t xml:space="preserve">ash, apple</t>
  </si>
  <si>
    <t xml:space="preserve">Megatoma undata</t>
  </si>
  <si>
    <t xml:space="preserve">A scavenger in the nests or burrows of other insects, and in spider webs, in decaying wood in old trees, feeding on remnants of insects, spider exuviae, etc; also known from bee-hives and bee burrows, where its larvae feed on cast skins, pupae etc; rarely within human buildings. Adults have been found at flowers, and have been observed feeding on cast aphid skins and even dead cat fleas. Widespread in lowland England, although most frequent in south-east and Midlands; Europe &amp; Siberia.</t>
  </si>
  <si>
    <t xml:space="preserve">dead insects, spiders</t>
  </si>
  <si>
    <t xml:space="preserve">insect galleries</t>
  </si>
  <si>
    <t xml:space="preserve">Ischnomera caerulea</t>
  </si>
  <si>
    <t xml:space="preserve">Oedemeridae</t>
  </si>
  <si>
    <t xml:space="preserve">Larvae develop in relatively soft white-rotting heartwood of elm Ulmus in Britain, but reported from oak Quercus timber on Continent; adults attracted to hawthorn Crataegus blossom. Ancient wood pastures.</t>
  </si>
  <si>
    <t xml:space="preserve">elm, oak</t>
  </si>
  <si>
    <t xml:space="preserve">Ischnomera cinerascens</t>
  </si>
  <si>
    <t xml:space="preserve">Develops in white-rot heartwood of large old wych elms Ulmus glabra and perhaps other tree species; adults usually found in closed canopy woodlands or at blossom close by, but also in old wood pastures.</t>
  </si>
  <si>
    <t xml:space="preserve">Ischnomera sanguinicollis</t>
  </si>
  <si>
    <t xml:space="preserve">Develops in old relatively soft dead wood of wych elms Ulmus glabra, adults at flowers of hawthorn Crataegus, field maple Acer campestre, sycamore A. pseudoplatanus, oak Quercus, lime Tilia, and guelder rose Viburnum. Most frequent in ancient woods and wood pastures of central southern England, but with outliers in parts of Wales, Sherwood and N. Yorkshire; throughout Europe, although more upland in S &amp; SE.</t>
  </si>
  <si>
    <t xml:space="preserve">Ixapion variegatum</t>
  </si>
  <si>
    <t xml:space="preserve">On mistletoe</t>
  </si>
  <si>
    <t xml:space="preserve">canopy</t>
  </si>
  <si>
    <t xml:space="preserve">mistletoe</t>
  </si>
  <si>
    <t xml:space="preserve">Karstenia dictyospora</t>
  </si>
  <si>
    <t xml:space="preserve">S; SW; Wales; NW; Scotland</t>
  </si>
  <si>
    <t xml:space="preserve">veteran trees in old woodland and waysides. Endemic. On wood inside hollow hazel and elm. Shade</t>
  </si>
  <si>
    <t xml:space="preserve">elm, hazel</t>
  </si>
  <si>
    <t xml:space="preserve">Karstenia nigra</t>
  </si>
  <si>
    <t xml:space="preserve">S; SW; NW</t>
  </si>
  <si>
    <t xml:space="preserve">veteran trees; on wood inside hollow trunks of beech, ash etc. in spongey bark of oak</t>
  </si>
  <si>
    <t xml:space="preserve">ash, beech, oak</t>
  </si>
  <si>
    <t xml:space="preserve">Kyklioacalles roboris</t>
  </si>
  <si>
    <t xml:space="preserve">The typical habitat is deciduous woodland with plenty of wood in various stages of decay but adults may also occur on isolated trees in parks etc. and in mixed hedgerows.  generally associated with dead branches and areas of dead wood on the trunks of oak, beech and chestnut but they also occur on birch, ash and hazel and on the continent have been recorded from fir trees. </t>
  </si>
  <si>
    <t xml:space="preserve">oak, beech, chestnut</t>
  </si>
  <si>
    <t xml:space="preserve">Phloiophilus edwardsii</t>
  </si>
  <si>
    <t xml:space="preserve">Phloiophilidae</t>
  </si>
  <si>
    <t xml:space="preserve">Decaying wood with fungi</t>
  </si>
  <si>
    <t xml:space="preserve">Scraptia fuscula</t>
  </si>
  <si>
    <t xml:space="preserve">Larvae develop in relatively soft rotten heartwood of oak Quercus. A speciality of Windsor Great Park &amp; Forest; single unconfirmed record from near Gloucester.</t>
  </si>
  <si>
    <t xml:space="preserve">veteran oaks and associated deadwood. Flowers</t>
  </si>
  <si>
    <t xml:space="preserve">Lasiambia baliola</t>
  </si>
  <si>
    <t xml:space="preserve">Chloropidae</t>
  </si>
  <si>
    <t xml:space="preserve">Notable</t>
  </si>
  <si>
    <t xml:space="preserve">Associated with sap flows: adults may visit sap for feeding, and has been reared from sappy bark</t>
  </si>
  <si>
    <t xml:space="preserve">Lasiambia brevibucca</t>
  </si>
  <si>
    <t xml:space="preserve">Associated with sap flows and rot holes; adults may visit sap for feeding; has been reared from both rot-hole debris from sappy bark. Widespread in lowland England.</t>
  </si>
  <si>
    <t xml:space="preserve">Trinodes hirtus</t>
  </si>
  <si>
    <t xml:space="preserve">Adults and larvae amongst webs of tube- and sheet-web building spiders beneath loose dry bark on large ancient trees, mainly of oak Quercus, where they feed on the dead remains of insects and spider exuviae. Adults have been found at blossom and on foliage. Relict old forest species of lowland England; Europe, Algeria, Caucasus &amp; Turkmen.</t>
  </si>
  <si>
    <t xml:space="preserve">Lasius fuliginosus</t>
  </si>
  <si>
    <t xml:space="preserve">Jet Ant</t>
  </si>
  <si>
    <t xml:space="preserve">Formicidae</t>
  </si>
  <si>
    <t xml:space="preserve">S; E; W; C; Wales</t>
  </si>
  <si>
    <t xml:space="preserve">Forms populous colonies in old trees, stumps, hedges, old walls and in sand dunes; nest is of carton, macerated wood hardened by secretions from the mandibular glands.</t>
  </si>
  <si>
    <t xml:space="preserve">aphids</t>
  </si>
  <si>
    <t xml:space="preserve">Laspeyria flexula</t>
  </si>
  <si>
    <t xml:space="preserve">Beautiful Hook-tip</t>
  </si>
  <si>
    <t xml:space="preserve">Occupies woodland, parks, gardens and orchards and the larvae feed on lichens which grow on the bark of a variety of deciduous and coniferous trees.</t>
  </si>
  <si>
    <t xml:space="preserve">Lathridius consimilis</t>
  </si>
  <si>
    <t xml:space="preserve">In fungi on trees, mainly birch polypore Piptoporus betulinus, also from ash Fraxinus, beech Fagus &amp; elm Ulmus. Widely scattered across lowland England, with records from SE Devon and Cardiganshire in the extreme west; 10km square map in Tozer (1973).</t>
  </si>
  <si>
    <t xml:space="preserve">birch, ash, beech, elm</t>
  </si>
  <si>
    <t xml:space="preserve">Lecanactis abietina</t>
  </si>
  <si>
    <t xml:space="preserve">On dry, often shaded acid bark and exposed wood in woodland on medium-aged to old trees, deciduous and, sometimes, coniferous trees; best developed in vertical crevices on N. or N.E. sides of trunks; occasionally under overhangs of acid rocks, bryophytes or plant debris;</t>
  </si>
  <si>
    <t xml:space="preserve">Lecania chlorotiza</t>
  </si>
  <si>
    <t xml:space="preserve">shaded base-rich bark; inside veteran hollow trees - ash willow and oak</t>
  </si>
  <si>
    <t xml:space="preserve">ash, oak, willow</t>
  </si>
  <si>
    <t xml:space="preserve">Xyletinus longitarsis</t>
  </si>
  <si>
    <t xml:space="preserve">VU</t>
  </si>
  <si>
    <t xml:space="preserve">C; SE; E</t>
  </si>
  <si>
    <t xml:space="preserve">Found in very brittle and powdery white-rotten deadwood of oak, usually large old hulks in open parkland.</t>
  </si>
  <si>
    <t xml:space="preserve">Leiopus linnei/nebulosus agg.</t>
  </si>
  <si>
    <t xml:space="preserve">E; C; W</t>
  </si>
  <si>
    <t xml:space="preserve">Larvae bore beneath bark of dead lower branches of oak Quercus, also reported from a wide variety of other trees; larvae feed in cambial layer</t>
  </si>
  <si>
    <t xml:space="preserve">cambium</t>
  </si>
  <si>
    <t xml:space="preserve">Lepthyphantes midas</t>
  </si>
  <si>
    <t xml:space="preserve">Linyphiidae</t>
  </si>
  <si>
    <t xml:space="preserve">Primarily found in hollow trees, associated with bird nest material, squirrel dreys and other litter; beech, hornbeam, oak. Ancient forests and historic deer parks. </t>
  </si>
  <si>
    <t xml:space="preserve">vertebrate nests</t>
  </si>
  <si>
    <t xml:space="preserve">beech, hornbeam, oak</t>
  </si>
  <si>
    <t xml:space="preserve">Leptogium cochleatum</t>
  </si>
  <si>
    <t xml:space="preserve">Wales; Scotland</t>
  </si>
  <si>
    <t xml:space="preserve">sheltered trunks of veteran deciduous trees; near streams and also on mossy rocks - humidity</t>
  </si>
  <si>
    <t xml:space="preserve">Microscydmus minimus</t>
  </si>
  <si>
    <t xml:space="preserve">In cavities in old hollow oaks Quercus and beech Fagus, particularly in wood mould and red-rot; old oak Quercus forests: Sherwood, Bagots Park (Needwood Forest), Windsor, New Forest.</t>
  </si>
  <si>
    <t xml:space="preserve">Leptusa pulchella</t>
  </si>
  <si>
    <t xml:space="preserve">Under dead bark on a wide variety of tree species. Mainly in ancient woodlands, especially where wet. Widespread but local in southern Britain &amp; Co. Antrim</t>
  </si>
  <si>
    <t xml:space="preserve">Leviellus stroemi</t>
  </si>
  <si>
    <t xml:space="preserve">Araneidae</t>
  </si>
  <si>
    <t xml:space="preserve">occurs on deeply fissured trunks of pine and large oak trees, and occasionally on lower branches. It spins a small, delicate orb web on the surface of the trunk, and lives in a retreat in deep fissures in the bark.</t>
  </si>
  <si>
    <t xml:space="preserve">deeply fissured bark</t>
  </si>
  <si>
    <t xml:space="preserve">fissured bark</t>
  </si>
  <si>
    <t xml:space="preserve">Limax cinereoniger</t>
  </si>
  <si>
    <t xml:space="preserve">Ash-black Slug. </t>
  </si>
  <si>
    <t xml:space="preserve">Limacidae</t>
  </si>
  <si>
    <t xml:space="preserve">Grazes Pleurococcus algae on tree trunks and boughs and on dead wood; also feeds on fungi; shelters in nooks and crannies on trees and in dead wood under cold or dry conditions; most active when air relatively still, warm &amp; humid. Thinly scattered in ancient woods and wood pastures over much of GB, but apparently absent from much of E. Midlands &amp; E. Anglia. Very thin scatter of sites across Ireland. </t>
  </si>
  <si>
    <t xml:space="preserve">Pleurococcus algae</t>
  </si>
  <si>
    <t xml:space="preserve">algae</t>
  </si>
  <si>
    <t xml:space="preserve">Limax tenellus</t>
  </si>
  <si>
    <t xml:space="preserve">Slender Slug</t>
  </si>
  <si>
    <t xml:space="preserve">Feeds on fungi on dead and decaying timber; in GB it appears to require large rotting balks for moist shelter as well as feeding, although this isn’t the case across the English Channel; ancient wood pastures. Very thinly scattered, but throughout much of GB, and distinct concentrations in Weald, Chilterns, Welsh Borders, N. England and Scottish Highlands.</t>
  </si>
  <si>
    <t xml:space="preserve">Mycetochara humeralis</t>
  </si>
  <si>
    <t xml:space="preserve">E; C; SE</t>
  </si>
  <si>
    <t xml:space="preserve">Larvae develop in old decaying beech Fagus, oak Quercus and cherry Prunus, generally hollow trees, in wood mould beneath bird nests; adults generally found sheltering under bark. Mainly known from the wood pastures of East Midlands, East Anglia and southeast.</t>
  </si>
  <si>
    <t xml:space="preserve">Lissodema cursor</t>
  </si>
  <si>
    <t xml:space="preserve">Salpingidae</t>
  </si>
  <si>
    <t xml:space="preserve">Develop in dead and dying branch tips high in ash Fraxinus canopy; with pollarded ash only after c.14 years growth, not in young growth. Most widespread in southeastern and eastern England.</t>
  </si>
  <si>
    <t xml:space="preserve">Lissodema denticollis</t>
  </si>
  <si>
    <t xml:space="preserve">S; C; E; W; Wales</t>
  </si>
  <si>
    <t xml:space="preserve">In dead wood of a wide variety of trees including pine Pinus.</t>
  </si>
  <si>
    <t xml:space="preserve">Litargus connexus</t>
  </si>
  <si>
    <t xml:space="preserve">Mycetophagidae</t>
  </si>
  <si>
    <t xml:space="preserve">Larvae develop in the fungus Daldinia concentrica; the adults are generally found under dead bark close to the fruiting bodies. Widespread across lowland Britain, but rare in west, and with only single known localities in southern Scotland &amp; northern Ireland.</t>
  </si>
  <si>
    <t xml:space="preserve">Ptinus palliatus</t>
  </si>
  <si>
    <t xml:space="preserve">(not listed)</t>
  </si>
  <si>
    <t xml:space="preserve">S; SE; SW</t>
  </si>
  <si>
    <t xml:space="preserve">In old dry timber of oak, less often beech and other woody broad-leaves, and from old fence-posts, both in ancient wood-pasture and in exposed places by coasts. It lives in early-stage white-rotten wood, requiring at least two years for its development; it feeds on larval and pupal skins in the galleries of other insects inhabiting the wood; the larvae dig galleries themselves and devour the wood.</t>
  </si>
  <si>
    <t xml:space="preserve">Lonchaea caucasica</t>
  </si>
  <si>
    <t xml:space="preserve">Lonchaeidae</t>
  </si>
  <si>
    <t xml:space="preserve">A recent addition to the British list; previously confused with L .limatula. Larvae found on surface of a polypore on beech trunk in north-west Caucasus. Found on beech in southern England; has been reared from under birch bark in Scotland.</t>
  </si>
  <si>
    <t xml:space="preserve">Lonchaea collini</t>
  </si>
  <si>
    <t xml:space="preserve">Usually found on pines and is a facultative predator of scolytid beetles. England &amp; Scotland.</t>
  </si>
  <si>
    <t xml:space="preserve">pine, spruce</t>
  </si>
  <si>
    <t xml:space="preserve">Lonchaea contraria</t>
  </si>
  <si>
    <t xml:space="preserve">- Has been reared from under bark on beeches in New Forest and Burnham Beeches. Quite widespread in central Europe.</t>
  </si>
  <si>
    <t xml:space="preserve">Lonchaea fraxina</t>
  </si>
  <si>
    <t xml:space="preserve">Misidentified as L.hirticeps until very recently. All reared material are from puparia found beneath bark on dead ash. Widespread across GB and across western Europe from Finland to Spain.</t>
  </si>
  <si>
    <t xml:space="preserve">Lonchaea hackmani</t>
  </si>
  <si>
    <t xml:space="preserve">Has been reared from under bark on Populus tremula widely in northern Scotland; also male taken in Sandwell Valley, English Midlands; Russia &amp; Finland.</t>
  </si>
  <si>
    <t xml:space="preserve">poplar</t>
  </si>
  <si>
    <t xml:space="preserve">Lonchaea mallochi</t>
  </si>
  <si>
    <t xml:space="preserve">One of three species which had been confused as L.laticornis. Has been reared from larvae found under bark on various broadleaves – Fraxinus, Quercus, Betula, Fagus, Alnus, Acer. Widespread in Scotland; in various lowland wood pastures in England; France, Netherlands &amp; Spain</t>
  </si>
  <si>
    <t xml:space="preserve">ash, oak, beech, birch, alder, maple, sycamore</t>
  </si>
  <si>
    <t xml:space="preserve">Lonchaea peregrina</t>
  </si>
  <si>
    <t xml:space="preserve">Under bark of Salix, Populus, elm, sycamore &amp; ash. Common under bark of fallen aspen in north-east Scotland; widely scattered across Britain.</t>
  </si>
  <si>
    <t xml:space="preserve">willow, poplar, elm, sycamore, ash</t>
  </si>
  <si>
    <t xml:space="preserve">Lonchaea serrata</t>
  </si>
  <si>
    <t xml:space="preserve">local</t>
  </si>
  <si>
    <t xml:space="preserve">One of three species which had been confused as L. laticornis. Has been reared from softened sapwood under bark on Fagus and Salix. Known from various lowland wood pastures in England: Ashridge, Burnham Beeches, New Forest, etc.</t>
  </si>
  <si>
    <t xml:space="preserve">beech, willow</t>
  </si>
  <si>
    <t xml:space="preserve">Lophophanes cristatus</t>
  </si>
  <si>
    <t xml:space="preserve">Crested tit</t>
  </si>
  <si>
    <t xml:space="preserve">It makes a nest in a hole in rotting stumps or old woodlpecker holes. This bird often feeds low down in trees, but although not shy, it is not always easily approached. It will join winter tit flocks with other species. Prefer mature forests. Excavate their won nests in soft decaying wood.</t>
  </si>
  <si>
    <t xml:space="preserve">conifer</t>
  </si>
  <si>
    <t xml:space="preserve">Loricula elegantula</t>
  </si>
  <si>
    <t xml:space="preserve">Microphysidae</t>
  </si>
  <si>
    <t xml:space="preserve">Widespread in Britain on the bark of trees and on rocks, associated with lichens and wood-decay fungi; feed on mites, springtails, fly larvae and bark flies (Psocoptera).</t>
  </si>
  <si>
    <t xml:space="preserve">Loricula pselaphiformis</t>
  </si>
  <si>
    <t xml:space="preserve">Not often reported, but widely distributed, occurring on the bark of trees such as hawthorn, beech and birch, often lichen-covered.</t>
  </si>
  <si>
    <t xml:space="preserve">beech, birch, hawthorn</t>
  </si>
  <si>
    <t xml:space="preserve">Pyrrhidium sanguineum</t>
  </si>
  <si>
    <t xml:space="preserve">Oviposition on dead oak Quercus boughs, crown, felled trunks and stumps; also on other hardwoods; larvae develop in dead wood at bark/sapwood interface; 2-3 years to maturity; adults bask in sun and fly actively under suitable conditions, but not known from blossom. Welsh border counties; southern Europe</t>
  </si>
  <si>
    <t xml:space="preserve">crown, trunks, branches, stumps</t>
  </si>
  <si>
    <t xml:space="preserve">Luffia lapidella
</t>
  </si>
  <si>
    <t xml:space="preserve">O: Laid in the pupal shell within the larval case. Hatches in three to five weeks.
L: On lichens and algae growing on rocks and wood, the asexual form preferring shady locations. In a cylindrical case, the asexual form usually being smaller than the sexual form. In late spring and early summer, parasitised larvae produce cases as large as the sexual form. The cases are conical at the posterior end, covered with lichen, algae and sand. The lichen and algal covering of the case often forms rings of different colours. Overwinters as a young larva.
P: In the larval case, attached to substrate where the larva fed. Pupal shell retained within larval case; male pupal shell protrudes halfway from the case on emergence.
I: Often large numbers occur on a single trunk or rock The asexual form is quite widespread, while the sexual form is restricted to Cornwall and the Channel Islands (once in July in Essex, 1992).</t>
  </si>
  <si>
    <t xml:space="preserve">Lymantor coryli</t>
  </si>
  <si>
    <t xml:space="preserve">In dead dry branches of hazel Corylus, also in other broad_x0002_leaved trees.</t>
  </si>
  <si>
    <t xml:space="preserve">dead dry branches</t>
  </si>
  <si>
    <t xml:space="preserve">Hazel</t>
  </si>
  <si>
    <t xml:space="preserve">Lymexylon navale</t>
  </si>
  <si>
    <t xml:space="preserve">Lymexylidae</t>
  </si>
  <si>
    <t xml:space="preserve">Confined to ancient forest areas, where larvae bore into heartwood of living and dead standing oaks Quercus and occasionally sweet chestnut Castanea, usually well above ground level, of in felled trunks or stumps, but always where bark has been damaged, drying out the underlying sapwood to some extent; eggs laid in such situations from end of May to July; larvae bore very narrow galleries straight into the centre of the trunk; auxiliary passages constructed as larvae get larger; feeds on cellulose, etc, not fungi; pupal chamber under outer wood surface close to ingress point; at least 1 year life cycle. A clustered distribution in Britain, in West Midlands and south-east; N, E, &amp; C Europe</t>
  </si>
  <si>
    <t xml:space="preserve">living and freshly dead standing trees</t>
  </si>
  <si>
    <t xml:space="preserve">oak, sweet chestnut</t>
  </si>
  <si>
    <t xml:space="preserve">Macronychia polyodon</t>
  </si>
  <si>
    <t xml:space="preserve">Sarcophagidae</t>
  </si>
  <si>
    <t xml:space="preserve">Specialist parasite of deadwood-nesting sphecid wasps. Ancient hedgerows</t>
  </si>
  <si>
    <t xml:space="preserve">sphecid</t>
  </si>
  <si>
    <t xml:space="preserve">Buglife</t>
  </si>
  <si>
    <t xml:space="preserve">Macronychia striginervis</t>
  </si>
  <si>
    <t xml:space="preserve">Malachius bipustulatus</t>
  </si>
  <si>
    <t xml:space="preserve">Malachite Beetle</t>
  </si>
  <si>
    <t xml:space="preserve">Larvae partly predatory in holes of wood-borers, partly feeding on their excreta and larval skins; adults sun-loving and feed on pollen, also seen to attack and eat the beetle Dasytes aerosus</t>
  </si>
  <si>
    <t xml:space="preserve">predator, scavenger, nectivore</t>
  </si>
  <si>
    <t xml:space="preserve">Mallota cimbiciformis</t>
  </si>
  <si>
    <t xml:space="preserve">Larvae in water-filled rot-holes of varying sizes and heights on a wide variety of small and large broad-leaves; puparia occur just above in drier detritus. A species of relict ancient woodlands and wood pastures, widely but sparingly across lowland England, but also known from North Wales and the Clyde Valley woods.</t>
  </si>
  <si>
    <t xml:space="preserve">Mycetophagus quadriguttatus</t>
  </si>
  <si>
    <t xml:space="preserve">S; C; Wales</t>
  </si>
  <si>
    <t xml:space="preserve">In old decaying broad_x0002_leaved timber with mildewy cavities, very rare; also very occasionally in stored products where fungal decay, e.g. granary refuse, haystacks, etc</t>
  </si>
  <si>
    <t xml:space="preserve">Oligella intermedia</t>
  </si>
  <si>
    <t xml:space="preserve">NE</t>
  </si>
  <si>
    <t xml:space="preserve">In humus at foot of old trees on Continent; Yorkshire &amp; 19C.</t>
  </si>
  <si>
    <t xml:space="preserve">soil</t>
  </si>
  <si>
    <t xml:space="preserve">Malthodes marginatus</t>
  </si>
  <si>
    <t xml:space="preserve">Larvae develop in decaying wood or beneath bark on dead timber; mainly predatory on insect larvae including dead ones, but will also feed on decaying timber to some extent. Widespread.</t>
  </si>
  <si>
    <t xml:space="preserve">Martes martes</t>
  </si>
  <si>
    <t xml:space="preserve">Pine Marten</t>
  </si>
  <si>
    <t xml:space="preserve">Mustelidae</t>
  </si>
  <si>
    <t xml:space="preserve">glades and rides; young plantations; where rodents are plentiful; old trees for nesting or outcrops in uplands (off ground den sites)</t>
  </si>
  <si>
    <t xml:space="preserve">Mastigusa arietina</t>
  </si>
  <si>
    <t xml:space="preserve">Hahniidae</t>
  </si>
  <si>
    <t xml:space="preserve">The species occurs only in the nests of the ants Lasius fuliginosus (Latreille) and L. brunneus (Latreille), which inhabit tree stumps and old trees. </t>
  </si>
  <si>
    <t xml:space="preserve">ant nests</t>
  </si>
  <si>
    <t xml:space="preserve">Mastigusa macrophthalma</t>
  </si>
  <si>
    <t xml:space="preserve">The spider has a strong association with ants, often in areas of over-mature trees and dead wood. It has been found in the nests of Lasius fuliginosus (Latreille), L. umbratus (Nylander), L. brunneus (Latreille) and Formica rufa L. Occasionally, M. macrophthalma has been found away from ants, under the bark and within the hollow trunks of dead and ancient trees. </t>
  </si>
  <si>
    <t xml:space="preserve">ant nests and hollow trees </t>
  </si>
  <si>
    <t xml:space="preserve">Medetera bispinosa</t>
  </si>
  <si>
    <t xml:space="preserve">The yellowish maggot-like larvae develop in Scolytus scolytus bark beetle galleries under elm bark, and are largely restricted to galleries in branches of more than 7-8cm diameter, effectively restricting it to this scolytid in elm; adults hunt over vertical tree trunks, and have been found on lime. Larvae have on the Continent also been found under beech bark in the burrows of the scolytid Taphrorychus bicolor and, and occasionally in the passages of Trypodendron domesticum and T.signatum. Cornwall, Berks, Essex, Glos, Worcs.</t>
  </si>
  <si>
    <t xml:space="preserve">Scolytus scolytus</t>
  </si>
  <si>
    <t xml:space="preserve">Medetera impigra</t>
  </si>
  <si>
    <t xml:space="preserve">Medeterus impiger</t>
  </si>
  <si>
    <t xml:space="preserve">SE; E; C; W; Wales; Scotland</t>
  </si>
  <si>
    <t xml:space="preserve">Reared from larch, spruce, grey poplar, hornbeam, beech, ash and elm - in galleries of Scolytus scolytus. Has also been reared from the fruiting body of the wood-decay fungus Daldinia</t>
  </si>
  <si>
    <t xml:space="preserve">bark beetles</t>
  </si>
  <si>
    <t xml:space="preserve">larch, spruce, poplar</t>
  </si>
  <si>
    <t xml:space="preserve">Medetera jacula </t>
  </si>
  <si>
    <t xml:space="preserve">SE; E; C; W; Wales</t>
  </si>
  <si>
    <t xml:space="preserve">On sycamore, beech, birch, ash, poplar and pine.</t>
  </si>
  <si>
    <t xml:space="preserve">Predator</t>
  </si>
  <si>
    <t xml:space="preserve">sycamore, beech, birch, ash, poplar, pine</t>
  </si>
  <si>
    <t xml:space="preserve">Megalaria laureri</t>
  </si>
  <si>
    <t xml:space="preserve">trunks of old beech; in rain tracks in old growth</t>
  </si>
  <si>
    <t xml:space="preserve">Megamerina dolium</t>
  </si>
  <si>
    <t xml:space="preserve">Megamerinidae</t>
  </si>
  <si>
    <t xml:space="preserve">Larvae under bark of dead and dying broadleaves, apparently predaceous or necrophagous. In GB confined to ancient woodlands. Widespread across Europe, occurring in Germany &amp; Russia.</t>
  </si>
  <si>
    <t xml:space="preserve">predator scavenger</t>
  </si>
  <si>
    <t xml:space="preserve">Rhizophagus oblongicollis</t>
  </si>
  <si>
    <t xml:space="preserve">Monotomidae</t>
  </si>
  <si>
    <t xml:space="preserve">Probably develops underground at the roots of old oaks Quercus, but at times comes to the surface and seeks new larval habitat. Above ground it is attracted to sap associated with damaged bark.</t>
  </si>
  <si>
    <t xml:space="preserve">Megarthrus hemipterus</t>
  </si>
  <si>
    <t xml:space="preserve">Consistently associated with decaying fungi, including beefsteak Fistulina hepatica. Widespread across southern Britain.</t>
  </si>
  <si>
    <t xml:space="preserve">beefsteak fungus</t>
  </si>
  <si>
    <t xml:space="preserve">Pedostrangalia revestita</t>
  </si>
  <si>
    <t xml:space="preserve">Larval habitat not known in GB, but most probably in living oak Quercus branches, and possibly other broad-leaved trees; does not come to blossom; lives in tree canopy; S Midlands &amp; SE England. Widespread on Continent, although has become rarer and more localised even there; develops preferably in trees on the edge of woodlands and open-grown situations such as parks; feed in thinner branches, especially those with damaged bark; also in moist decaying tree stumps.</t>
  </si>
  <si>
    <t xml:space="preserve">branches, canopy</t>
  </si>
  <si>
    <t xml:space="preserve">aerial branches</t>
  </si>
  <si>
    <t xml:space="preserve">Melandrya barbata</t>
  </si>
  <si>
    <t xml:space="preserve">Bearded False Darkling Beetle</t>
  </si>
  <si>
    <t xml:space="preserve">open grown veteran trees; decayed wood (heartrot)</t>
  </si>
  <si>
    <t xml:space="preserve">Melandrya caraboides</t>
  </si>
  <si>
    <t xml:space="preserve">Develops in relatively soft moist white-rotted heartwood of boughs, trunks and stumps; various broad-leaved trees, especially ash Fraxinus and beech Fagus. Widespread in England and Wales, but rare in Scotland and Ireland; mostly associated with ancient woodlands and wood pastures, including linear sites such as riverside trees.</t>
  </si>
  <si>
    <t xml:space="preserve">Fagus, Fraxinus</t>
  </si>
  <si>
    <t xml:space="preserve">boughs, trunks, stumps</t>
  </si>
  <si>
    <t xml:space="preserve">Melanophila acuminata</t>
  </si>
  <si>
    <t xml:space="preserve">Fire beetle</t>
  </si>
  <si>
    <t xml:space="preserve">Larvae feed in and under bark of scorched and burnt conifers; also recorded from burnt birch Betula; adults oviposit on very recently burnt and scorched trees, and fly great distances to forest fires. Ascot district only in GB. Assumed to be an established exotic, although the evidence for this is unclear.</t>
  </si>
  <si>
    <t xml:space="preserve">birch, pine, spruce</t>
  </si>
  <si>
    <t xml:space="preserve">Melanophthalma suturalis</t>
  </si>
  <si>
    <t xml:space="preserve">Lathridiidae</t>
  </si>
  <si>
    <t xml:space="preserve">In bracket fungi.</t>
  </si>
  <si>
    <t xml:space="preserve">Melaspilea lentiginosa</t>
  </si>
  <si>
    <t xml:space="preserve">S; SW</t>
  </si>
  <si>
    <t xml:space="preserve">Dependant on large populations of its host (Phaeographis dendritica) on veteran trees in old growth woodlands. Conservation action needs to target host.</t>
  </si>
  <si>
    <t xml:space="preserve">beech, holly, sycamore</t>
  </si>
  <si>
    <t xml:space="preserve">Mesosa nebulosa</t>
  </si>
  <si>
    <t xml:space="preserve">SE; S</t>
  </si>
  <si>
    <t xml:space="preserve">Eggs laid on uppermost branches of dead or dying broad-leaved trees; larvae feed in cambial layer initially then bore in sapwood; 2 year cycle; adult forms in Autumn, but remains in pupal cell until following July; rarely descends from topmost branches; not attracted to blossom.</t>
  </si>
  <si>
    <t xml:space="preserve">dead or dying wood</t>
  </si>
  <si>
    <t xml:space="preserve">dying aerial branches</t>
  </si>
  <si>
    <t xml:space="preserve">Meta bourneti</t>
  </si>
  <si>
    <t xml:space="preserve">Tetragnathidae</t>
  </si>
  <si>
    <t xml:space="preserve">generally regarded as a spider found in underground situations, e.g. tunnels, culverts and drainage inspection chambers. However, males have been recorded close to ancient oak trees in Sherwood Forest. This suggests that the hollow trunks of ancient trees may provide similar conditions to those found in the spider's acknowledged habitat, i.e. dark, damp spaces of sufficient dimensions to enable the large orb web to be spun.</t>
  </si>
  <si>
    <t xml:space="preserve">large hollow trunks</t>
  </si>
  <si>
    <t xml:space="preserve">dark</t>
  </si>
  <si>
    <t xml:space="preserve">Meta menardi</t>
  </si>
  <si>
    <t xml:space="preserve">Metalimnobia quadrimaculata</t>
  </si>
  <si>
    <t xml:space="preserve">Larvae in a wide variety of bracket fungi on trees in broad-leaved woodland.</t>
  </si>
  <si>
    <t xml:space="preserve">Phyllodrepa nigra</t>
  </si>
  <si>
    <t xml:space="preserve">Larvae probably develop in bird nests in hollow trees or in wood mould beneath; adults mostly found in decaying wood or mould of old, generally hollow trees or at hawthorn Crataegus blossom; but also in tree fungi, at sap runs, in pigeon dung and in hornet Vespa crabro nest; predatory and/or scavengers; old forest species of highly restricted distribution: Windsor Forest and unconfirmed records elsewhere.</t>
  </si>
  <si>
    <t xml:space="preserve">nectivore, predator, scavenger</t>
  </si>
  <si>
    <t xml:space="preserve">bird, wasps</t>
  </si>
  <si>
    <t xml:space="preserve">Microdynerus exilis</t>
  </si>
  <si>
    <t xml:space="preserve">Vespidae</t>
  </si>
  <si>
    <t xml:space="preserve">Nests in small beetle holes in wood, and very occasionally in bramble Rubus stems; nest stocked with weevil larvae. Southern and eastern England, first reported in 1937</t>
  </si>
  <si>
    <t xml:space="preserve">beetles</t>
  </si>
  <si>
    <t xml:space="preserve">Microrhagus pygmaeus</t>
  </si>
  <si>
    <t xml:space="preserve">Larvae in well-decayed wood of broad-leaved trees; particularly in old shady oak Quercus woods; adult on wing sparingly May-Sept; very thin scatter throughout much of Britain, although particularly widespread in parts of 38 Hampshire and Sussex, and absent from E Midlands &amp; E Anglia; widespread in north and central Europe. Has become much more frequent in recent decades.</t>
  </si>
  <si>
    <t xml:space="preserve">Platycis minutus</t>
  </si>
  <si>
    <t xml:space="preserve">Larvae develop in large relatively soft moist decaying heartwood, especially beech Fagus and probably ash Fraxinus; mostly in closed-canopy areas of ancient woodland; southern and eastern England.</t>
  </si>
  <si>
    <t xml:space="preserve">rotting wood, shade, flowers</t>
  </si>
  <si>
    <t xml:space="preserve">Microscydmus nanus</t>
  </si>
  <si>
    <t xml:space="preserve">In rotten wood and under bark; also in leaf litter and moss. Mostly ancient woodlands and wood pastures.</t>
  </si>
  <si>
    <t xml:space="preserve">litter, moss</t>
  </si>
  <si>
    <t xml:space="preserve">Midia midas</t>
  </si>
  <si>
    <t xml:space="preserve">Midas Tree-weaver </t>
  </si>
  <si>
    <t xml:space="preserve">lives in old tree hollows; litter; bird nests in ancient trees - beech; shade. Ancient rees, particularly ancient pollards</t>
  </si>
  <si>
    <t xml:space="preserve">tree hollows,birds nests</t>
  </si>
  <si>
    <t xml:space="preserve">Miltochrista miniata</t>
  </si>
  <si>
    <t xml:space="preserve">Rosy Footman</t>
  </si>
  <si>
    <t xml:space="preserve">The caterpillars feed on lichens growing on trees, including dog lichen (Peltigera canina).</t>
  </si>
  <si>
    <t xml:space="preserve">Mimumesa dahlbomi</t>
  </si>
  <si>
    <t xml:space="preserve">Crabronidae</t>
  </si>
  <si>
    <t xml:space="preserve">Nest in beetle holes in dead wood; preys on delphacids and cicadellids (Homoptera). Widespread across the lowlands of southern Britain; one record from Ireland.</t>
  </si>
  <si>
    <t xml:space="preserve">homoptera</t>
  </si>
  <si>
    <t xml:space="preserve">Molorchus minor</t>
  </si>
  <si>
    <t xml:space="preserve">generally associated with conifer woodland, including commercial plantations, but has occasionally been recorded from deciduous trees such as birch. Eggs are usually laid among damaged bark on recently damaged or cut branches and larvae initially develop under bark but as they grow they enter the xylem. Larval galleries are very distinctive</t>
  </si>
  <si>
    <t xml:space="preserve">pine, spruce, larch</t>
  </si>
  <si>
    <t xml:space="preserve">Monocephalus castaneipes</t>
  </si>
  <si>
    <t xml:space="preserve">a money spider</t>
  </si>
  <si>
    <t xml:space="preserve">SW; Wales; Scotland; N</t>
  </si>
  <si>
    <t xml:space="preserve">either in moorland under stones and other cover (so diverse structure) or in damp moss on trunks in south</t>
  </si>
  <si>
    <t xml:space="preserve">damp moss on trunks</t>
  </si>
  <si>
    <t xml:space="preserve">Monopis fenestratella</t>
  </si>
  <si>
    <t xml:space="preserve">A rare species in Britain and Europe, reported from: Chatteris, Cambs in 1877, where thought to have bred in rotten elm stumps in a garden; Loxley, Warks in 1980, reared from kestrel nest in a hedgerow oak; and Richmond Park, Surrey in 1995, at light trap close to old hollow oaks. Elsewhere in Europe has been reared from nests of kestrel, owls, and hornet, as well as associated with fungi, dead wood and dry plant material. </t>
  </si>
  <si>
    <t xml:space="preserve">Mordellochroa abdominalis</t>
  </si>
  <si>
    <t xml:space="preserve">Mordellidae</t>
  </si>
  <si>
    <t xml:space="preserve">Develops in dry sapwood of dead broad-leaved trees, including ash Fraxinus. Adults locally frequent at flowers of hawthorn Crataegus, hogweed Heracleum, etc</t>
  </si>
  <si>
    <t xml:space="preserve">Morophaga choragella
</t>
  </si>
  <si>
    <t xml:space="preserve">L: On various bracket fungi, including Fistulina hepatica, Ganoderma adspersum, G. applanatum, Trametes sp. or Fomitopsis betulina. Frass may hang below fungus on silk threads.
P: In the fungus or wood.
I: Comes to light.</t>
  </si>
  <si>
    <t xml:space="preserve">Muscicapa striata striata</t>
  </si>
  <si>
    <t xml:space="preserve">Spotted Flycatcher</t>
  </si>
  <si>
    <t xml:space="preserve">Priority (England); Red</t>
  </si>
  <si>
    <t xml:space="preserve">structuraly diverse woodland and scrub/hedgerows - understorey and tree canopy required; nests in crooks, bark fissures, ivy etc</t>
  </si>
  <si>
    <t xml:space="preserve">crooks, bark fissures, ivy</t>
  </si>
  <si>
    <t xml:space="preserve">well-developed understorey</t>
  </si>
  <si>
    <t xml:space="preserve">Myathropa florea</t>
  </si>
  <si>
    <t xml:space="preserve">Develops in a wide range of wet decaying timber microhabitats from rot-holes high in the canopy to decaying roots underground and shallow pools of water on the bark of fallen trees; also in sap runs; not yet found under bark; puparia just above the surface of wet wood detritus or the water, either buried in decaying wood or exposed; wide range of broad-leaved trees. Very widespread in Britain. Ireland</t>
  </si>
  <si>
    <t xml:space="preserve">roots, trunks, branches</t>
  </si>
  <si>
    <t xml:space="preserve">Mycetobia pallipes</t>
  </si>
  <si>
    <t xml:space="preserve">Anisopodidae </t>
  </si>
  <si>
    <t xml:space="preserve">Larvae feed on decomposing sap in sap_x0002_runs on or beneath the bark on tree trunks; also reared from rot hole broadleaved woodland and parkland. Widespread in Britain; Ireland: Glengarriff, Killarney &amp; Westmeath.</t>
  </si>
  <si>
    <t xml:space="preserve">horse chestnut, apple</t>
  </si>
  <si>
    <t xml:space="preserve">Tachyusida gracilis</t>
  </si>
  <si>
    <t xml:space="preserve">In wood mould of old trees, especially oak Quercus, usually with Lasius brunneus; Windsor Great Park &amp; Forest</t>
  </si>
  <si>
    <t xml:space="preserve">Mycetophagus atomarius</t>
  </si>
  <si>
    <t xml:space="preserve">Larvae develop in the hard black fruiting bodies of Hypoxylon fragiforme on dead &amp; dying beech Fagus, or Daldinia concentrica on ash Fraxinus; pupae reported under bark and in deadwood. Throughout England, although rare in west; Welsh Borders; extending into S and W Scotland.</t>
  </si>
  <si>
    <t xml:space="preserve">Mycetophagus multipunctatus</t>
  </si>
  <si>
    <t xml:space="preserve">With fungi on ash Fraxinus and other broad-leaved trees; widespread in lowland England and especially along alluvial floodplain situations, but increasingly scarce to the north and west; not known from Cornwall and Devon, and mainly in border counties of Wales; rare in Scotland.</t>
  </si>
  <si>
    <t xml:space="preserve">Tetratoma desmarestii</t>
  </si>
  <si>
    <t xml:space="preserve">Most often associated with dead, shaded out, lower boughs of mature and overmature oaks Quercus, possibly developing in Stereum; adult has once been found at the fruiting body of Laetiporus sulphureus on old oak; probably pupates at ground level as larva and pupae have been recorded under moss below oak. Thinly scattered over much of lowland Britain</t>
  </si>
  <si>
    <t xml:space="preserve">shaded out lower branches</t>
  </si>
  <si>
    <t xml:space="preserve">Prionychus ater</t>
  </si>
  <si>
    <t xml:space="preserve">Larvae most often develop in black wood mould in hollowing broad-leaved trees, often but not invariably beneath nests of birds such as jackdaw; also very occasionally found in accumulations of frass beneath loose bark on trunks and large boughs. Adults nocturnal. Widely in wood pastures across southern Britain, but absent from far west.</t>
  </si>
  <si>
    <t xml:space="preserve">Thamiaraea cinnamomea</t>
  </si>
  <si>
    <t xml:space="preserve">At the exuding frass of goat moth Cossus colonised trees.</t>
  </si>
  <si>
    <t xml:space="preserve">Mycetophagus quadripustulatus</t>
  </si>
  <si>
    <t xml:space="preserve">Adults found beneath fungoid bark and at soft bracket fungi, on a wide range of broad-leaved trees; develops most frequently in the fruiting brackets of Polyporus squamosus</t>
  </si>
  <si>
    <t xml:space="preserve">bracket fungus, fungoid bark</t>
  </si>
  <si>
    <t xml:space="preserve">Myolepta dubia</t>
  </si>
  <si>
    <t xml:space="preserve">Larvae in wet rot-holes of varying sizes on a wide variety of small and large broad-leaves; rot-holes high and low on trees. Ancient woodlands and wood pastures across southern and eastern England.</t>
  </si>
  <si>
    <t xml:space="preserve">Myolepta potens</t>
  </si>
  <si>
    <t xml:space="preserve">Western Wood-vase Hoverfly</t>
  </si>
  <si>
    <t xml:space="preserve">Develops in water-filled rot_x0002_holes at base of ancient beech and other broad-leaved trees</t>
  </si>
  <si>
    <t xml:space="preserve">beech, horse chestnut</t>
  </si>
  <si>
    <t xml:space="preserve">Myotis bechsteinii</t>
  </si>
  <si>
    <t xml:space="preserve">Bechstein`s Bat</t>
  </si>
  <si>
    <t xml:space="preserve">hunts within closed canopy woodland and above woodland streams; dense understory (of native species such as holly, hawthorn &amp; hazel); roosts in holes and cracks in old trees (e.g. old woodpecker holes)</t>
  </si>
  <si>
    <t xml:space="preserve">holly, hawthorn, hazel</t>
  </si>
  <si>
    <t xml:space="preserve">Myotis brandtii</t>
  </si>
  <si>
    <t xml:space="preserve">Brandt's bat</t>
  </si>
  <si>
    <t xml:space="preserve">roost in hollow trees</t>
  </si>
  <si>
    <t xml:space="preserve">Myotis daubentonii</t>
  </si>
  <si>
    <t xml:space="preserve">Daubenton's Bat</t>
  </si>
  <si>
    <t xml:space="preserve">roost in rot holes feeds near water, deciduous woods</t>
  </si>
  <si>
    <t xml:space="preserve">Myotis mystacinus</t>
  </si>
  <si>
    <t xml:space="preserve">Whiskered bat</t>
  </si>
  <si>
    <t xml:space="preserve">Myrmedobia coleoptrata</t>
  </si>
  <si>
    <t xml:space="preserve">Under bark of various dead trees, including spruce, and in tufts of moss around trunk bases; also in other situations, but usually in well-wooded sites; feeds on small aphids &amp; other insects. Females are flightless. Widespread in England, but largely southern.</t>
  </si>
  <si>
    <t xml:space="preserve">small insects</t>
  </si>
  <si>
    <t xml:space="preserve">Nalassus laevioctostriatus</t>
  </si>
  <si>
    <t xml:space="preserve">Develops in decaying timber in ancient woodlands and wood pastures; also in peaty soils of heaths. Larvae feed indiscriminately on organic material. Adults nocturnal; feed on algae encrusting timber or lichens on heaths. Widespread in southern Britain. Mostly short-winged, but with occasional reports of flying individuals.</t>
  </si>
  <si>
    <t xml:space="preserve">Narycia duplicella
</t>
  </si>
  <si>
    <t xml:space="preserve">O: Laid in cracks of bark. Hatches in four to five weeks.
L: On lichens and algae growing on tree-trunks, fences, rocks and walls. In a portable subtriangular case, greyish green to black, dusted with lichen and algae. Overwinters as young larva.
P: In the larval case attached to a trunk, fence or rock. Pupa protrudes halfway from the case on emergence (both sexes).
I: Both sexes winged. Rests on trunks &amp; comes to light.</t>
  </si>
  <si>
    <t xml:space="preserve">Procraerus tibialis</t>
  </si>
  <si>
    <t xml:space="preserve">Larvae develop in decaying heartwood of oak Quercus, beech Fagus, ash Fraxinus and probably other trees; probably feed on the larvae of the weevils Stereocorynes truncorum &amp; Phloeophagus lignarius; pupate at end of season and hibernate as adult. C &amp; SE England, mainly Thames and Severn Basins.</t>
  </si>
  <si>
    <t xml:space="preserve">oak, beech, ash</t>
  </si>
  <si>
    <t xml:space="preserve">Nemapogon clematella
</t>
  </si>
  <si>
    <t xml:space="preserve">L: On Diatrype disciformis or Hypoxylon fuscum on dead or dying branches of Corylus. In silken galleries on surface of bark, covered with conspicuous pale and dark frass, joining several fruiting bodies. Will occasionally bore below the bark.
P: In cocoon in the silk gallery or at end of bored area under bark.
I: Sometimes earlier. Flies at dawn; comes to light.</t>
  </si>
  <si>
    <t xml:space="preserve">Nemapogon cloacella
</t>
  </si>
  <si>
    <t xml:space="preserve">L: On various fungi, including Trametes spp.; on callus-tissue around tree-wounds. Less frequently on stored vegetable products. Within the fungus; producing frass and silk webbing on surface.
I: Probably bivoltine in the south. Rests on trunks or host fungus. Flies in morning sun, in the afternoon and around dusk; comes to light.</t>
  </si>
  <si>
    <t xml:space="preserve">sappy wounds</t>
  </si>
  <si>
    <t xml:space="preserve">Nemapogon granella
</t>
  </si>
  <si>
    <t xml:space="preserve">L: On grain and a great variety of other stored vegetable products; also on bracket fungi, especially Trametes versicolor or Fomitopsis betulina.
I: Probably continuously brooded indoors.</t>
  </si>
  <si>
    <t xml:space="preserve">Nemapogon koenigi
</t>
  </si>
  <si>
    <t xml:space="preserve">S; C; W; E</t>
  </si>
  <si>
    <t xml:space="preserve">L: On Annulohypoxylon multiforme, including the surrounding dead wood, or Fomitopsis betulina on dead birch. Within the fungus, in slight silken tubes, sometimes with small grains of dry black frass externally; also mines into the dead wood around and beneath the fungus.
P: In silk cocoon covered with frass, inside the fungus or nearby dead wood.
I: Flies occasionally during the day and evening; will sometimes come to light and has been attracted on occasions to a VES pheromone lure.</t>
  </si>
  <si>
    <t xml:space="preserve">Nemapogon picarella
</t>
  </si>
  <si>
    <t xml:space="preserve">L: On bracket fungi and adjacent dead wood. Appears to favour Fomitopsis betulina or Xanthoporia radiata on dead trunks of Alnus glutinosa.
I: Occasionally flies by day. Attracted to light.</t>
  </si>
  <si>
    <t xml:space="preserve">Nemapogon ruricolella
</t>
  </si>
  <si>
    <t xml:space="preserve">L: On a range of bracket fungi, particularly Trametes versicolor.
I: May respond to the ‘VES’ clearwing pheromone lure and has been attracted to mv light.</t>
  </si>
  <si>
    <t xml:space="preserve">Nemapogon variatella
</t>
  </si>
  <si>
    <t xml:space="preserve">L: On various bracket fungi, including Fistulina hepatica or Fomitopsis betulina; sometimes on stored vegetable products. Makes holes near the edge of the fungus, extruding white frass which becomes trapped in silken material.
I: Possibly bivoltine. Has been found indoors, outside on an old oak trunk and once at mv light.</t>
  </si>
  <si>
    <t xml:space="preserve">Nemasoma varicorne</t>
  </si>
  <si>
    <t xml:space="preserve">Isobates varicornis sensu Blower, 1958 &amp; Isobates varicornis</t>
  </si>
  <si>
    <t xml:space="preserve">Millipede</t>
  </si>
  <si>
    <t xml:space="preserve">Nemasomatidae</t>
  </si>
  <si>
    <t xml:space="preserve">Almost exclusively under bark of deadwood of conifers and broadleaves; most frequently associated with beech, ash and poplar. Throughout GB, but local</t>
  </si>
  <si>
    <t xml:space="preserve">beech, ash, poplar, pine</t>
  </si>
  <si>
    <t xml:space="preserve">Nemaxera betulinella
</t>
  </si>
  <si>
    <t xml:space="preserve">L: On various bracket fungi, especially Trametes versicolor or Fomitopsis betulina; occasionally on dead wood. Frass-covered patches on the surface of the fungus may indicate presence of this species or other fungus-feeding Tineidae.
I: Two broods a year have been recorded. Comes to light.</t>
  </si>
  <si>
    <t xml:space="preserve">Nemozoma elongatum</t>
  </si>
  <si>
    <t xml:space="preserve">Trogossitidae</t>
  </si>
  <si>
    <t xml:space="preserve">Develops in small girth, thin-barked dying or freshly dead stems of a wide variety of trees and shrubs, where it lives in the burrows of bark beetles and feeds on their larvae. In Britain it has formerly been especially associated with Pteleobius vittatus and Hylesinus varius, mostly known from split elm and ash palings, and often found in the wood-yards where palings were being made - this industry has long since ceased. Two recent reports are from along the Thames, both from dead Blackthorn Prunus spinosa stems inhabited by Scolytus rugulosus and rich in other saproxylic beetles - one an old tall mixed hedge through allotments in an otherwise built up area, the other a fairly dense belt of scrub with lots of sloe at the top of the saltmarsh, in quite an exposed situation next to the Thames Estuary. The issue is, why is it so rare, if these resources are numerous?</t>
  </si>
  <si>
    <t xml:space="preserve">elm, blackthorn</t>
  </si>
  <si>
    <t xml:space="preserve">Neoempheria lineola</t>
  </si>
  <si>
    <t xml:space="preserve">A Fungus-gnat</t>
  </si>
  <si>
    <t xml:space="preserve">Mycetophilidae</t>
  </si>
  <si>
    <t xml:space="preserve">Larvae can be found in webs on fungi or rotting wood; adults have been recorded flying around fallen hollow logs and stumps of Beech (Fagus .spp). A survey of the site with the most recent record occurred this year but it wasn't found.</t>
  </si>
  <si>
    <t xml:space="preserve">Neopachygaster meromelas</t>
  </si>
  <si>
    <t xml:space="preserve">Silver-strips Black</t>
  </si>
  <si>
    <t xml:space="preserve">Stratiomyidae</t>
  </si>
  <si>
    <t xml:space="preserve">The flattened greyish larvae can be frequent in the moist detritus beneath loose bark on dead poplar; also willow, holly, horse chestnut, elm, etc; and in beetle tunnels. Feed on the detritus. Widely across English lowlands.</t>
  </si>
  <si>
    <t xml:space="preserve">poplar, willow, holly, horse chestnut, elm</t>
  </si>
  <si>
    <t xml:space="preserve">Neossus nidicola</t>
  </si>
  <si>
    <t xml:space="preserve">Heleomyzidae</t>
  </si>
  <si>
    <t xml:space="preserve">Probably needs old hollow trees where it is associated with bird nests (barn owl &amp; starling) or bat roosts (noctule); also in other dark, damp environments with the same hosts. Only three GB localities known.</t>
  </si>
  <si>
    <t xml:space="preserve">bird, bats</t>
  </si>
  <si>
    <t xml:space="preserve">Niditinea piercella</t>
  </si>
  <si>
    <t xml:space="preserve">Develops in bird nests inside hollow trees and in nest boxes; larvae feed on feathers and other animal fibres; lowland southern and eastern Britain; local.</t>
  </si>
  <si>
    <t xml:space="preserve">Normandina pulchella</t>
  </si>
  <si>
    <t xml:space="preserve">elf-ear lichen</t>
  </si>
  <si>
    <t xml:space="preserve">On the twigs and trunks of decidious trees oak and sycamore </t>
  </si>
  <si>
    <t xml:space="preserve">Pseudocistela ceramboides</t>
  </si>
  <si>
    <t xml:space="preserve">Larvae in wood-mould of hollow decayed oaks Quercus, also beech Fagus, etc; generally beneath bird nests; adults generally in small numbers, come to blossom of hawthorn Crataegus. Widely in wood pastures of central southern and eastern England; also in old orchards. Mould pockets</t>
  </si>
  <si>
    <t xml:space="preserve">Nuctenea umbratica</t>
  </si>
  <si>
    <t xml:space="preserve">Under bark on dead timber; isolated trees as well as woods, parks, etc. Common and widespread throughout Britain, but rare in Ireland.</t>
  </si>
  <si>
    <t xml:space="preserve">loose bark and crevices</t>
  </si>
  <si>
    <t xml:space="preserve">Nyctalus leisleri</t>
  </si>
  <si>
    <t xml:space="preserve">a forest species, roosting in tree holes. They also roost in buildings, both old and new. Leisler’s bats hibernate in tree holes, in the cracks and cavities of buildings and occasionally in caves and tunnels.</t>
  </si>
  <si>
    <t xml:space="preserve">Nyctalus noctula</t>
  </si>
  <si>
    <t xml:space="preserve">Noctule </t>
  </si>
  <si>
    <t xml:space="preserve">mature/old trees – predominately roosts in tree cavities (also known to roost in buildings); forages above canopy and over water and pasture</t>
  </si>
  <si>
    <t xml:space="preserve">Nycteus meridionalis</t>
  </si>
  <si>
    <t xml:space="preserve">Eucinetidae</t>
  </si>
  <si>
    <t xml:space="preserve">Larvae feed on fungi under bark of dead trees, especially pine Pinus; adults at flowers, wintering amongst litter. Discovered relatively recently; most likely a casual importation.</t>
  </si>
  <si>
    <t xml:space="preserve">Ochina ptinoides</t>
  </si>
  <si>
    <t xml:space="preserve">Ivy Boring Beetle</t>
  </si>
  <si>
    <t xml:space="preserve">Develops in dead thick stems of ivy Hedera on trees.</t>
  </si>
  <si>
    <t xml:space="preserve">Octotemnus glabriculus</t>
  </si>
  <si>
    <t xml:space="preserve">Develop chiefly in young, expanding brackets of Trametes versicolor; also in Pseudotrametes gibbosa; particularly characteristic of beech Fagus woods, but also found in association with other broad-leaved tree species.</t>
  </si>
  <si>
    <t xml:space="preserve">Thamiaraea hospita</t>
  </si>
  <si>
    <t xml:space="preserve">At exuding sap on tree trunks, especially oak. Scattered throughout England.</t>
  </si>
  <si>
    <t xml:space="preserve">Odinia meijerei</t>
  </si>
  <si>
    <t xml:space="preserve">Odiniidae</t>
  </si>
  <si>
    <t xml:space="preserve">Larvae are commensal in borings of the elm bark beetles Scolytus scolytus &amp; S. multistriatus. Southern England.</t>
  </si>
  <si>
    <t xml:space="preserve">Elm</t>
  </si>
  <si>
    <t xml:space="preserve">Oecophora bractella</t>
  </si>
  <si>
    <t xml:space="preserve">Larva develops under dead bark of oak, ash, larch, pine, etc, especially when tree has been colonised by honey fungus Armillaria mellea agg. In gallery of loosely woven silk and frass between bark and tree; larva olive_x0002_grey-brown, pinacula darker, head pale brown, plates darker. Northern and western England.</t>
  </si>
  <si>
    <t xml:space="preserve">oak, ash, larch, pine</t>
  </si>
  <si>
    <t xml:space="preserve">Oecophora bractella
</t>
  </si>
  <si>
    <t xml:space="preserve">O: Laid in fissures in bark of various species of dead trees, both broad-leaved and coniferous, especially when the tree is infected with fungi such as honey-fungus (Armillaria mellea).
L: In a gallery of loosely woven silk and frass under thin, moist, dead bark. Larva dark leaden grey or pale yellowish green, paler ventrally, pinacula darker; head pale or reddish brown, plates darker.
P: In a cocoon of silk and frass in the feeding place.
I: Flies from dawn to sunrise and less often at night. Occasionally comes to light.</t>
  </si>
  <si>
    <t xml:space="preserve">Ptinus fur</t>
  </si>
  <si>
    <t xml:space="preserve">White-Marked Spider Beetle</t>
  </si>
  <si>
    <t xml:space="preserve">Larvae develop in a wide range of dry organic matter, including fungoid heartwood and old bracket fungi. They are a regular feature of ancient trees.</t>
  </si>
  <si>
    <t xml:space="preserve">Oligota apicata</t>
  </si>
  <si>
    <t xml:space="preserve">Occurs in bracket fungi on trees: Stereum hirsutum, Polyporus squamosus, Trametes versicolor; possibly preys on Cis beetle larvae; also recorded in leaf litter inside a hollow oak Quercus, under beech Fagus bark, etc. Britain, widespread, &amp; Co. Antrim</t>
  </si>
  <si>
    <t xml:space="preserve">litter</t>
  </si>
  <si>
    <t xml:space="preserve">Omalus aeneus</t>
  </si>
  <si>
    <t xml:space="preserve">Chrysididae</t>
  </si>
  <si>
    <t xml:space="preserve">A brood parasite of stem and wood-nesting Sphecid wasps of the sub-family Pemphredoninae. Widespread across lowland Britain.</t>
  </si>
  <si>
    <t xml:space="preserve">Ptinus subpilosus</t>
  </si>
  <si>
    <t xml:space="preserve">SW; Wales; E; SE</t>
  </si>
  <si>
    <t xml:space="preserve">In old hollow trees and under bark, mainly of oak Quercus, and old pines Pinus in Highlands; also scavenger in bird nests. Relict old forest species.</t>
  </si>
  <si>
    <t xml:space="preserve">Orchesia micans</t>
  </si>
  <si>
    <t xml:space="preserve">Develops in a variety of large polypore fungi: especially Inonotus hispidus on ash Fraxinus, but also I. radiatus on alder Alnus, I. cuticularis on beech Fagus, and even reported from Fistulina hepatica on oak Quercus; mainly but possibly not exclusively in ancient woodland and wood pasture. Widespread in England and Wales, but rare in southwest and north;</t>
  </si>
  <si>
    <t xml:space="preserve">ash, alder, beech</t>
  </si>
  <si>
    <t xml:space="preserve">Orchesia minor</t>
  </si>
  <si>
    <t xml:space="preserve">Develops in the fruiting bodies of a variety of wood-decay polypore fungi and possibly certain Ascomycetes; especially in permanently damp woodlands, in carr or gorge situations. Most often found in ancient woodland and wood pasture. Widespread in Britain, although increasingly scarce in west. Co. Kerry</t>
  </si>
  <si>
    <t xml:space="preserve">Orchesia undulata</t>
  </si>
  <si>
    <t xml:space="preserve">Develops in decaying dead branches of oak Quercus trees, where possibly associated with the fungus Exidia glandulosa; also reported from other broad-leaved trees to some extent. Adults are relatively mobile and occasionally turn up in association with the dead wood of a wider variety of tree species outside of the period June/July, and these may have been attracted to fruiting wood-decay fungi for feeding (particularly in May) or be merely sheltering between periods of activity, especially while over-wintering. Adults are occasionally found at hawthorn and umbel blossom. Mainly found in ancient wood pastures; widespread in Britain; rare in Ireland. Rare and threatened in central Europe.</t>
  </si>
  <si>
    <t xml:space="preserve">bracket fungus on Alnus, Fraxinus, Quercus</t>
  </si>
  <si>
    <t xml:space="preserve">oak, ash, alder</t>
  </si>
  <si>
    <t xml:space="preserve">Orthocis coluber</t>
  </si>
  <si>
    <t xml:space="preserve">Cis coluber</t>
  </si>
  <si>
    <t xml:space="preserve">In fungi on trees: Quercus, Salix, Alnus.</t>
  </si>
  <si>
    <t xml:space="preserve">alder, oak, willow</t>
  </si>
  <si>
    <t xml:space="preserve">Ostoma ferrugineum</t>
  </si>
  <si>
    <t xml:space="preserve">Larvae feed in heartwood and sapwood of large Scots pine Pinus sylvestris that have been extensively rotted by the fungus Phaeolus schweinitzii; adults usually found under bark; relict old pine forest in GB, also ancient spruce Picea forest elsewhere in Europe; widely distributed Palaearctic sp.</t>
  </si>
  <si>
    <t xml:space="preserve">Pyropterus nigroruber</t>
  </si>
  <si>
    <t xml:space="preserve">C; NE</t>
  </si>
  <si>
    <t xml:space="preserve">Larvae develop in decaying heartwood of various broad-leaved trees, especially birch Betula and beech Fagus; known from a large area of country in S. Yorkshire and adjacent parts of Nottinghamshire, Derbyshire and Lincolnshire; also Caledonian Pine Forest relicts and Killarney oakwoods of SW Ireland</t>
  </si>
  <si>
    <t xml:space="preserve">Thymalus limbatus</t>
  </si>
  <si>
    <t xml:space="preserve">Thymalidae</t>
  </si>
  <si>
    <t xml:space="preserve">Larvae and adults live beneath loose bark on decaying broad-leaved timber, especially oak Quercus, and in the later stages of white-rot decay when the heartwood is dry and soft. In Britain has a northern &amp; western distribution extending across to the Weald in southern England. Ireland: Kerry. Confined to ancient wood pastures.</t>
  </si>
  <si>
    <t xml:space="preserve">Palloptera usta</t>
  </si>
  <si>
    <t xml:space="preserve">Pallopteridae</t>
  </si>
  <si>
    <t xml:space="preserve">Mainly Scottish, but with scattered localities throughout England, plus Anglesey; at sappy pine; larvae predatory on scolytid beetle larvae.</t>
  </si>
  <si>
    <t xml:space="preserve">Pammene populana
</t>
  </si>
  <si>
    <t xml:space="preserve">O: On Salix spp., especially S. caprea, S. repens and S. viminalis.
L: On the shoots, from a silk-lined spinning incorporating withered fragments of leaf.
P: In a cocoon spun under loose bark or in a dead stem or rotten wood.
I: Rests on the foliage of its foodplants in the afternoon; comes to light.</t>
  </si>
  <si>
    <t xml:space="preserve">Pammene regiana
</t>
  </si>
  <si>
    <t xml:space="preserve">O: On Acer pseudoplatanus or A. platanoides; probably also on A. campestre.
L: In the seeds; overwinters from September in its cocoon.
P: In a cocoon spun under flakes of bark near the base of the host tree.
I: Emerges between 0800 and 1000 and later ascends high up on the trees, though some may remain low down. Occasionally taken at light.</t>
  </si>
  <si>
    <t xml:space="preserve">seeds</t>
  </si>
  <si>
    <t xml:space="preserve">sycamore, maple</t>
  </si>
  <si>
    <t xml:space="preserve">Pandivirilia melaleuca</t>
  </si>
  <si>
    <t xml:space="preserve">Forest Silver-stiletto</t>
  </si>
  <si>
    <t xml:space="preserve">Therevidae</t>
  </si>
  <si>
    <t xml:space="preserve">Larvae in very dry powdery red-rotten heartwood of oak and in decaying heartwood of ash, often devoid of other living macro-organisms; wide scatter of reports across southern Britain (although confirmation through rearing only from Windsor), but always ancient wood pastures.</t>
  </si>
  <si>
    <t xml:space="preserve">oak, ash, pear</t>
  </si>
  <si>
    <t xml:space="preserve">Parmeliella testacea</t>
  </si>
  <si>
    <t xml:space="preserve">veteran mossy basic barked broad-leaved trees; moist and sheltered woodland</t>
  </si>
  <si>
    <t xml:space="preserve">Paromalus flavicornis</t>
  </si>
  <si>
    <t xml:space="preserve">E; SE; SW; W; C</t>
  </si>
  <si>
    <t xml:space="preserve">Associated with debris beneath bark on deadwood of medium age, and sometimes in the rotten wood and fungi; larvae feed on smaller larvae; broad-leaved trees generally; local, mostly old parks and ancient woodlands in 26 S. &amp; E. England, north to Yorkshire; rarer in west; Gwent, Powys. Association with ancient sites strongest in west.</t>
  </si>
  <si>
    <t xml:space="preserve">Paromalus parallelepipedus</t>
  </si>
  <si>
    <t xml:space="preserve">This species inhabits woodland where it has been found under bark of conifers. It is a predator of sub-cortical bark beetle larvae (Curculionidae, Scolytinae). The recent British records concern specimens found under bark, mainly on the upper-side of a fallen Scot's Pine tree and also on cut logs resulting from felling operations in conifer plantations. One old record from the New Forest was described as 'in black powdery fungus on fir stumps'. It may be difficult to negotiate suitable management with current silviculture methods, as these seek to deter infestation of living trees with bark beetle and may also promote the removal of dead wood.</t>
  </si>
  <si>
    <t xml:space="preserve">parus major</t>
  </si>
  <si>
    <t xml:space="preserve">Great Tit</t>
  </si>
  <si>
    <t xml:space="preserve">great tits are cavity nesters and will readily use nest boxes on garden trees, as well as natural hollows in trees and holes that have been excavated by woodpeckers and nuthatches.</t>
  </si>
  <si>
    <t xml:space="preserve">Passaloecus eremita</t>
  </si>
  <si>
    <t xml:space="preserve">Discovered as recently as 1978 in West Sussex, but now known to be locally common in south-east England and found as far north as Warwickshire and Norfolk. Nest constructed in old beetle holes in pine Pinus and other trees, fence posts and other dead wood – the hole is plugged with pine resin</t>
  </si>
  <si>
    <t xml:space="preserve">Passer montanus montanus</t>
  </si>
  <si>
    <t xml:space="preserve">Tree sparrow</t>
  </si>
  <si>
    <t xml:space="preserve">Passeridae</t>
  </si>
  <si>
    <t xml:space="preserve">wood edge and hedgerows with mature trees with holes; inverts in adjacent open habitats, wetland edge habitats valued; feeds on seeds in winter</t>
  </si>
  <si>
    <t xml:space="preserve">holes for nesting</t>
  </si>
  <si>
    <t xml:space="preserve">Pediacus depressus</t>
  </si>
  <si>
    <t xml:space="preserve">Cucujidae</t>
  </si>
  <si>
    <t xml:space="preserve">Attracted to freshly cut or broken stumps; also from goat moth burrows. Very thin scatter of sites across England; one Welsh locality, in Carmarthenshire</t>
  </si>
  <si>
    <t xml:space="preserve">Pediacus dermestoides</t>
  </si>
  <si>
    <t xml:space="preserve">Develops beneath bark on dead broad-leaved timber in the early stages of decay, especially in shattered ends of broken boughs; larvae feed on other insect larvae, while adults are fungivorous. Widespread in ancient woodlands and wood pastures</t>
  </si>
  <si>
    <t xml:space="preserve">predator, fungivore, nectivore</t>
  </si>
  <si>
    <t xml:space="preserve">Quedius aetolicus</t>
  </si>
  <si>
    <t xml:space="preserve">Most often found in squirrel dreys and bird nests in hollow trees, and in wood mould beneath; also in fungi, in rotting wood and under bark. Extreme south-east of England.</t>
  </si>
  <si>
    <t xml:space="preserve">mammals, bird</t>
  </si>
  <si>
    <t xml:space="preserve">Pemphredon inornata</t>
  </si>
  <si>
    <t xml:space="preserve">Shuckard's Wasp</t>
  </si>
  <si>
    <t xml:space="preserve">A common cavity nesting species over much of England, Wales and Ireland, extending into southern Scotland.</t>
  </si>
  <si>
    <t xml:space="preserve">Vanonus brevicornis</t>
  </si>
  <si>
    <t xml:space="preserve"> usually associated with old deciduous trees growing in open situations exposed to the sun, they are mostly nocturnal and often attracted to decaying soft bracket fungi on which they are thought to feed. They generally occur low down on trunks or stumps and have been found on the ground beside moss-covered stumps,</t>
  </si>
  <si>
    <t xml:space="preserve">Periparus ater</t>
  </si>
  <si>
    <t xml:space="preserve">Coal Tit</t>
  </si>
  <si>
    <t xml:space="preserve">nest in tree hollows or in mouse holes. The nest is made from moss, wool and spiders’ webs in a cup shape and lined with moss. Coal Tits like man made nest boxes facing North/East which will stop the nest from overheating by protecting it from direct sun light. </t>
  </si>
  <si>
    <t xml:space="preserve">Periscelis annulata</t>
  </si>
  <si>
    <t xml:space="preserve">Periscelididae</t>
  </si>
  <si>
    <t xml:space="preserve">Larvae appear to develop in the fermenting sap of broadleaved trees, including beech, elm, ash and sycamore. Adults are usually found near to sap runs. Prefers old woods with post-mature trees; mostly in southern England. Also a few records from Edinburgh area and Perthshire where non-woodland trees involved.</t>
  </si>
  <si>
    <t xml:space="preserve">beech, elm, ash, sycamore</t>
  </si>
  <si>
    <t xml:space="preserve">Periscelis winnertzi</t>
  </si>
  <si>
    <t xml:space="preserve">Reported at sap; larval biology unknown. New Forest, Wyre Forest &amp; Moccas Park.</t>
  </si>
  <si>
    <t xml:space="preserve">Phaonia canescens</t>
  </si>
  <si>
    <t xml:space="preserve">Muscidae</t>
  </si>
  <si>
    <t xml:space="preserve">Has been reared from under bark, in rotten wood and from fungi; south Britain.</t>
  </si>
  <si>
    <t xml:space="preserve">Phaonia cincta</t>
  </si>
  <si>
    <t xml:space="preserve">Develops in sap runs of broad-leaved trees, especially elm and horse chestnut, where larvae prey upon those of lonchaeid, clusiid and Mycetobia pallipes flies; also from wet, rotten fungus-ridden wood within trunk base of large old live beech, and from damp tree humus from rot-hole in large live sycamore; south Britain &amp; Ireland.</t>
  </si>
  <si>
    <t xml:space="preserve">Tow</t>
  </si>
  <si>
    <t xml:space="preserve">elm, horse chestnut, beech, sycamore</t>
  </si>
  <si>
    <t xml:space="preserve">Phaonia exoleta</t>
  </si>
  <si>
    <t xml:space="preserve">widespread but very scarce with scattered records in southern and central England as far north as Duncombe Park, Yorkshire; also Cardiganshire in Wales. It is a species of old parkland and forest with plentiful old broadleaved trees such as Beech, Ash, Horse Chestnut, Sycamore and elms. the larvae develop in water-filled rot holes where they are predatory on the larvae of mosquitoes and midges. They have also been found in very humid decomposed wood</t>
  </si>
  <si>
    <t xml:space="preserve">saprophagous, predator</t>
  </si>
  <si>
    <t xml:space="preserve">Phaonia laeta</t>
  </si>
  <si>
    <t xml:space="preserve">known from scattered location in England but is very rare in Wales (Caernarvonshire) and Scotland (Perthshire). It is associated with old broadleaved trees bearing sappy wounds in woodland and parkland/pasture woodland. Host trees include Beech oak, elm, Horse Chestnut, Sycamore and birch. Adults are usually found on trunks close to such wounds. It is presumed that the larvae develop in sappy wounds (female will investigate crevices as if looking for oviposition sites) though they have also been reared from a birch rot hole. </t>
  </si>
  <si>
    <t xml:space="preserve">birch, horse chestnut, oak</t>
  </si>
  <si>
    <t xml:space="preserve">Phaonia pratensis</t>
  </si>
  <si>
    <t xml:space="preserve">P. pratensis is a scarce species with scattered records in England and Wales north to Northumberland but seemingly no Scottish records. It is associated with older trees with sap runs and other wounds</t>
  </si>
  <si>
    <t xml:space="preserve">Philodromus margaritatus</t>
  </si>
  <si>
    <t xml:space="preserve">a crab spider</t>
  </si>
  <si>
    <t xml:space="preserve">Philodromidae</t>
  </si>
  <si>
    <t xml:space="preserve">occurs on trunks of trees, both pines and broad-leaved, especially when these are covered with lichens</t>
  </si>
  <si>
    <t xml:space="preserve">lichen covered trunks</t>
  </si>
  <si>
    <t xml:space="preserve">Phloeocharis subtilissima</t>
  </si>
  <si>
    <t xml:space="preserve">Amongst debris under beech Fagus bark, in moss on trees, on bracket fungi especially Daedaleopsis confragrosa on Salix, etc. Very local, Britain &amp; Ireland.</t>
  </si>
  <si>
    <t xml:space="preserve">bracket fungus on Salix</t>
  </si>
  <si>
    <t xml:space="preserve">willow, beech</t>
  </si>
  <si>
    <t xml:space="preserve">Phloeonomus punctipennis</t>
  </si>
  <si>
    <t xml:space="preserve">Adults and larvae under bark of various broad_x0002_leaved trees; fungal feeder; widespread in Britain and Ireland; under-recorded due to confusion with P. pusillus.</t>
  </si>
  <si>
    <t xml:space="preserve">Phloeonomus pusillus</t>
  </si>
  <si>
    <t xml:space="preserve">Adults and larvae under bark, mostly conifers; widespread GB, less so Ireland.</t>
  </si>
  <si>
    <t xml:space="preserve">Phloeophagus lignarius</t>
  </si>
  <si>
    <t xml:space="preserve">Develop in decayed heartwood of beech Fagus, hawthorn Crataegus, ash Fraxinus, etc. Widespread across lowland England, except in south-west and far north.</t>
  </si>
  <si>
    <t xml:space="preserve">beech, hawthorn, ash</t>
  </si>
  <si>
    <t xml:space="preserve">Phloeostiba plana</t>
  </si>
  <si>
    <t xml:space="preserve">SE; E; C; Wales</t>
  </si>
  <si>
    <t xml:space="preserve">- Adults attracted to fresh sap of broad-leaved trees – feed on the sap; larvae under bark, feeding on sap as well as insects; mostly in areas of ancient woodland; scarce GB</t>
  </si>
  <si>
    <t xml:space="preserve">Choerades marginatus</t>
  </si>
  <si>
    <t xml:space="preserve">Golden-haired Robberfly</t>
  </si>
  <si>
    <t xml:space="preserve">Asilidae</t>
  </si>
  <si>
    <t xml:space="preserve">In ancient oak woods and wood pastures of C and S England. The larvae have been reported from beetle burrows in decaying oak branches, while the adults hunt a wide variety of insects.</t>
  </si>
  <si>
    <t xml:space="preserve">Phoenicurus phoenicurus</t>
  </si>
  <si>
    <t xml:space="preserve">Redstart</t>
  </si>
  <si>
    <t xml:space="preserve">mature trees, open canopy, tree cavities</t>
  </si>
  <si>
    <t xml:space="preserve">Phortica variegata</t>
  </si>
  <si>
    <t xml:space="preserve">variegated Sap Fly</t>
  </si>
  <si>
    <t xml:space="preserve">Drosophilidae</t>
  </si>
  <si>
    <t xml:space="preserve">living wood attacked by Goat moth; often in seasonally flooded areas (stressed trees?). Larval ecology not well established</t>
  </si>
  <si>
    <t xml:space="preserve">fermenting sap run. Goat Moth trees</t>
  </si>
  <si>
    <t xml:space="preserve">Quedius scitus</t>
  </si>
  <si>
    <t xml:space="preserve">Usually subcortical, in moist crumbly red-rot of various broad-leaved trees. Mainly central and eastern England, but records also from Carmarthenshire and Lanarkshire in old parks</t>
  </si>
  <si>
    <t xml:space="preserve">Phymatodes testaceus</t>
  </si>
  <si>
    <t xml:space="preserve">Oak Longhorn</t>
  </si>
  <si>
    <t xml:space="preserve">Develops in dead branches, dead boles and logs of various broad-leaved trees, also in conifers, but favourite is oak Quercus. Eggs laid under bark of recently cut or snapped trunks or boughs; larvae make characteristic borings in the bark and sapwood; 1-3 year cycle, pupating in Spring. Adults crepuscular, and attracted to light and sweet secretions. Widespread in southern Britain, extending into Devon in west and southern Scotland in north. Mainly associated with ancient woodlands and wood pastures.</t>
  </si>
  <si>
    <t xml:space="preserve">oak, others</t>
  </si>
  <si>
    <t xml:space="preserve">branches, trunks, logs</t>
  </si>
  <si>
    <t xml:space="preserve">Physatocheila dumetorum</t>
  </si>
  <si>
    <t xml:space="preserve">Typically found on lichen-covered trees, particularly hawthorn, across much of England and Wales.</t>
  </si>
  <si>
    <t xml:space="preserve">lichen covered trees</t>
  </si>
  <si>
    <t xml:space="preserve">Physatocheila smreczynskii</t>
  </si>
  <si>
    <t xml:space="preserve">Apple Lace-bug</t>
  </si>
  <si>
    <t xml:space="preserve">A very scarce species confined to southern England, where it is most frequently associated with lichen-covered apple trees. Interestingly, on the continent the bug is usually found on Sorbus species. It is found chiefly on lichen-covered apple trees, both crab apple in woodland and cultivated apple in traditional orchards.</t>
  </si>
  <si>
    <t xml:space="preserve">lichen covered branches</t>
  </si>
  <si>
    <t xml:space="preserve">apple, crab apple</t>
  </si>
  <si>
    <t xml:space="preserve">Picus viridis</t>
  </si>
  <si>
    <t xml:space="preserve">Green woodpecker</t>
  </si>
  <si>
    <t xml:space="preserve">A combination of old deciduous trees for nesting, and nearby feeding grounds with plenty of ants, is essential. </t>
  </si>
  <si>
    <t xml:space="preserve">Pipistrellus nathusii</t>
  </si>
  <si>
    <t xml:space="preserve">Nathusius Pipistrelle</t>
  </si>
  <si>
    <t xml:space="preserve">Nathusius’ pipistrelles are often recorded roosting in crevices and have been found in cracks in walls, under soffit boards, fissures in rocks and tree hollows.</t>
  </si>
  <si>
    <t xml:space="preserve">Pipistrellus pipistrellus</t>
  </si>
  <si>
    <t xml:space="preserve">Common pipistrelles feed in a wide range of habitats comprising woodland, hedgerows, grassland, farmland, suburban and also urban areas. Common pipistrelle is also known to roost in tree holes and crevices, and also in bat boxes. In winter, common pipistrelles are found singly or in small numbers in crevices of buildings and trees, and also in bat boxes. They are often found in relatively exposed locations and rarely underground.</t>
  </si>
  <si>
    <t xml:space="preserve">Pipistrellus pygmaeus</t>
  </si>
  <si>
    <t xml:space="preserve">Soprano Pipistrelle</t>
  </si>
  <si>
    <t xml:space="preserve">generalist - preference for riparian habitats near water; buildings important for roosting; good vegetation linkages for commuting between roosts and foraging grounds</t>
  </si>
  <si>
    <t xml:space="preserve">Placusa depressa</t>
  </si>
  <si>
    <t xml:space="preserve">Lives in burrows of bark beetle Tomicus piniperda under pine Pinus bark; predominantly northern Britain.</t>
  </si>
  <si>
    <t xml:space="preserve">Tomicus piniperda</t>
  </si>
  <si>
    <t xml:space="preserve">Placusa tachyporoides</t>
  </si>
  <si>
    <t xml:space="preserve">SE; S; C</t>
  </si>
  <si>
    <t xml:space="preserve">Associated with freshly exposed sap of oak Quercus and sweet chestnut Castanea.</t>
  </si>
  <si>
    <t xml:space="preserve">Oak, sweet chestnut</t>
  </si>
  <si>
    <t xml:space="preserve">fresh sap</t>
  </si>
  <si>
    <t xml:space="preserve">Platycis cosnardi</t>
  </si>
  <si>
    <t xml:space="preserve">The larvae are believed to develop in white-rotten heartwood of old Beech hulks.</t>
  </si>
  <si>
    <t xml:space="preserve">Odinia maculata</t>
  </si>
  <si>
    <t xml:space="preserve">Larvae associated with sappy workings of wood-boring beetle larvae and goat moth in oak, and adult has been found at a sap run on oak. Five localities across southern England</t>
  </si>
  <si>
    <t xml:space="preserve">Platypus cylindrus</t>
  </si>
  <si>
    <t xml:space="preserve">Pinhole Borer</t>
  </si>
  <si>
    <t xml:space="preserve">S </t>
  </si>
  <si>
    <t xml:space="preserve">Strongly attracted to smell of fermenting sap, arriving at freshly split or felled timber; male appears first and bores into a crack or crevice, female arriving later and entering tunnel; both emerge to mate, then female continues boring, producing white &amp; splintery bore-dust, and eggs laid in main tunnels; larval period 1 year normally, and graze on lining of tunnel which is composed of small fragments of wood on which the fungal growth occurs; adults and larvae in galleries extending deep into heartwood, feeding on fungi cultured in borings; mainly oak Quercus, but also beech Fagus and other broad_x0002_leaved trees. Widespread in southern England and Wales, but absent from far south_x0002_west.</t>
  </si>
  <si>
    <t xml:space="preserve">Platyrhinus resinosus</t>
  </si>
  <si>
    <t xml:space="preserve">Cramp-Ball Fungus Weevil</t>
  </si>
  <si>
    <t xml:space="preserve">S; NE</t>
  </si>
  <si>
    <t xml:space="preserve">Larvae develop in the fungus Daldinia concentrica, which usually grows on ash Fraxinus, and Hypoxylon fragiforme on beech Fagus; frequent along Jurassic Limestone belt of central England; also on Exmoor, SE England and widely in Yorkshire. Also birches Betula 68 in Spey and Clyde Valleys, where presumably developing in Daldinia vernicosa. In ancient woods and wood pastures. Palaearctic.</t>
  </si>
  <si>
    <t xml:space="preserve">Daldinia concentrica</t>
  </si>
  <si>
    <t xml:space="preserve">bracket fungis</t>
  </si>
  <si>
    <t xml:space="preserve">Platystomos albinus</t>
  </si>
  <si>
    <t xml:space="preserve">Larvae develop in deadwood on dead and dying trees, also the fungus Daldinia, usually in woods. Central southern and eastern England.</t>
  </si>
  <si>
    <t xml:space="preserve">Plecotus auritus</t>
  </si>
  <si>
    <t xml:space="preserve">Brown Long-eared bat</t>
  </si>
  <si>
    <t xml:space="preserve">roosts in trees and buildings; hunts in tree canopy &amp; understorey; good vegetation linkages for commuting between roosts and foraging grounds</t>
  </si>
  <si>
    <t xml:space="preserve">varied / mosaic; complex understorey</t>
  </si>
  <si>
    <t xml:space="preserve">Scraptia testacea</t>
  </si>
  <si>
    <t xml:space="preserve">Larvae develop in relatively soft rotten heartwood of oak Quercus, also beech Fagus, hawthorn Crataegus. South and southeast England.</t>
  </si>
  <si>
    <t xml:space="preserve">veteran oak, hawthorn flowers</t>
  </si>
  <si>
    <t xml:space="preserve">oak, beech, hawthorn</t>
  </si>
  <si>
    <t xml:space="preserve">Stereocorynes truncorum</t>
  </si>
  <si>
    <t xml:space="preserve">In damp hard dead timber inside of hollow oak Quercus, beech Fagus and poplar Populus. Confined to ancient wood pastures. Southern and south-eastern England, as far west as Herefordshire</t>
  </si>
  <si>
    <t xml:space="preserve">Fagus, Populus, Quercus</t>
  </si>
  <si>
    <t xml:space="preserve">oak, beech, poplar</t>
  </si>
  <si>
    <t xml:space="preserve">Pocota personata</t>
  </si>
  <si>
    <t xml:space="preserve">Develops in rot-holes, especially in beech but also ash, mostly high above ground; restricted to woodlands and parklands with ancient trees; scattered widely although very sparingly across lowland England, especially Windsor Forest and the New Forest.</t>
  </si>
  <si>
    <t xml:space="preserve">Poecile montanus</t>
  </si>
  <si>
    <t xml:space="preserve">Willow Tit</t>
  </si>
  <si>
    <t xml:space="preserve">Willow Tit prefer damp, young, regenerating woodland containing old dead wood and remain on or near their territory all year round. Adults excavate their own nest holes in April, and lay up to eight eggs in a single annual breeding attempt. Fledglings disperse a few kilometres away.</t>
  </si>
  <si>
    <t xml:space="preserve">Poecile palustris</t>
  </si>
  <si>
    <t xml:space="preserve">Marsh Tit</t>
  </si>
  <si>
    <t xml:space="preserve">Red</t>
  </si>
  <si>
    <t xml:space="preserve">Marsh Tit favours mature deciduous woodland habitat with some understorey in which to forage.</t>
  </si>
  <si>
    <t xml:space="preserve">Polyxenus lagurus </t>
  </si>
  <si>
    <t xml:space="preserve">Bristly Millipede. </t>
  </si>
  <si>
    <t xml:space="preserve">Polyxenidae</t>
  </si>
  <si>
    <t xml:space="preserve">Most often found under bark of dead timber or within dry-rotted heartwood, but also on ground in leaf litter and on rocks. A specialist feeder on encrusting algae. Mostly in Central &amp; Southern Britain, but very thin scatter of sites elsewhere, up into Highlands. Apparently largely coastal in Ireland.</t>
  </si>
  <si>
    <t xml:space="preserve">encrusting algae</t>
  </si>
  <si>
    <t xml:space="preserve">dry rot</t>
  </si>
  <si>
    <t xml:space="preserve">Potamia setifemur</t>
  </si>
  <si>
    <t xml:space="preserve">Has been reared from detritus collected in beech rot hole and in artificial rot hole containing beech sawdust; New Forest, Windsor, Wandlebury (Cambridgeshire).</t>
  </si>
  <si>
    <t xml:space="preserve">Stichoglossa semirufa</t>
  </si>
  <si>
    <t xml:space="preserve">Develops in decaying wood and wood mould of old broad-leaved trees; also found at base of trees; old forests of southern Britain</t>
  </si>
  <si>
    <t xml:space="preserve">Tillus elongatus</t>
  </si>
  <si>
    <t xml:space="preserve">S; C; E</t>
  </si>
  <si>
    <t xml:space="preserve">The heat-loving species is found in old deciduous and mixed forests, as well as in parks. They are usually found in forest edges or in clearcuts on sun-exposed trunks of hardwoods with insect infestation. They are also found in flowering bushes</t>
  </si>
  <si>
    <t xml:space="preserve">exposed heartwood</t>
  </si>
  <si>
    <t xml:space="preserve">Trichonyx sulcicollis</t>
  </si>
  <si>
    <t xml:space="preserve">In rotten broad-leaved wood, especially old elm Ulmus stumps. Possibly associated with Lasius ants.</t>
  </si>
  <si>
    <t xml:space="preserve">Psilota anthracina</t>
  </si>
  <si>
    <t xml:space="preserve">SE; C ;E</t>
  </si>
  <si>
    <t xml:space="preserve">Larvae have been reported from sap runs on living oak trees on the Continent; adults at hawthorn blossom. Restricted to sites with large numbers of ancient trees, such as Windsor Forest, the New Forest and Richmond Park, but known from as far north as Derbyshire</t>
  </si>
  <si>
    <t xml:space="preserve">Buglossoporus pulvinus</t>
  </si>
  <si>
    <t xml:space="preserve">Oak polypore</t>
  </si>
  <si>
    <t xml:space="preserve">Fomitopsidaceae</t>
  </si>
  <si>
    <t xml:space="preserve">This rare fungus is known only from a single ancient dead oak tree in Staverton Park in East Suffolk. Its fruit bodies appear during the summer, but do not persist long making monitoring the species difficult. It is a heartwood rotting species that requires exposed, seasoned wood of mature or dead oak trees. It is restricted to wood pasture habitat due to the need for a long continuity of mature oak.</t>
  </si>
  <si>
    <t xml:space="preserve">Pseudocyphellaria intricata</t>
  </si>
  <si>
    <t xml:space="preserve">W; NW; Wales; Scotland</t>
  </si>
  <si>
    <t xml:space="preserve">It lives on somewhat basic mossy trunks and boulders in woodland or sheltered ravines in humid, oceanic areas. It is usually found in sites with a well-developed Lobarion community. mossy trunks, branches and rocks - sometimes on Calluna stems; humidity; shaded</t>
  </si>
  <si>
    <t xml:space="preserve">Pseudotriphyllus suturalis</t>
  </si>
  <si>
    <t xml:space="preserve">Adults associated with bracket fungi, most often Laetiporus sulphureus and Polyporus squamosus. Widespread over lowland central and eastern England, extending north into the Lothians.</t>
  </si>
  <si>
    <t xml:space="preserve">Lasius brunneus</t>
  </si>
  <si>
    <t xml:space="preserve">Brown Tree Ant</t>
  </si>
  <si>
    <t xml:space="preserve">Fugitive tree-dwelling species, typically nesting in heartwood of old oak Quercus trees in parkland, also occasionally in open woodland and hedgerows, and also in other broadleaves; frequent in old orchard trees through the Severn Vale; workers tend aphids which are feeding on the tree; a very localised distribution in central southern England.</t>
  </si>
  <si>
    <t xml:space="preserve">Psittacula krameri</t>
  </si>
  <si>
    <t xml:space="preserve">Ring-necked parakeet</t>
  </si>
  <si>
    <t xml:space="preserve">Psittacidae</t>
  </si>
  <si>
    <t xml:space="preserve">The Ring-necked Parakeet was accepted onto the British List in 1983. It has long been a popular cage-bird and the British breeding population, currently estimated at around 12,000 pairs, is the result of birds escaping from captivity over a long period of time. The birds breeding here in Britain constitute the most northerly breeding parrots in the world.</t>
  </si>
  <si>
    <t xml:space="preserve">Zyras haworthi</t>
  </si>
  <si>
    <t xml:space="preserve">In runs and nests of jet ant Lasius fuliginosus; also found in leaf litter and flood debris</t>
  </si>
  <si>
    <t xml:space="preserve">leaf litter</t>
  </si>
  <si>
    <t xml:space="preserve">Abraeus granulum</t>
  </si>
  <si>
    <t xml:space="preserve">Hister Beetle</t>
  </si>
  <si>
    <t xml:space="preserve">Lives in the sludge and under the bark of old trees</t>
  </si>
  <si>
    <t xml:space="preserve">moist crumbly rotten wood</t>
  </si>
  <si>
    <t xml:space="preserve">Ptilinus pectinicornis</t>
  </si>
  <si>
    <t xml:space="preserve">Fan-bearing Wood-borer</t>
  </si>
  <si>
    <t xml:space="preserve">Bores in exposed dry heartwood of old broad-leaved trees, making small pinholes; especially in beech Fagus, but also in most other species; female attracts males by release of pheromone, effective over a few metres; females bore breeding passages into timber to lay eggs, vertical surfaces preferred; may also use existing flight hole to gain entry; only a few females actually leave the old breeding site to initiate new infestation. Widespread</t>
  </si>
  <si>
    <t xml:space="preserve">Fagus, Plantae</t>
  </si>
  <si>
    <t xml:space="preserve">Ptinella aptera</t>
  </si>
  <si>
    <t xml:space="preserve">Under bark of decaying oak Quercus and beech Fagus timber.</t>
  </si>
  <si>
    <t xml:space="preserve">Abraeus perpusillus</t>
  </si>
  <si>
    <t xml:space="preserve">In moist crumbly rotten wood of various broad-leaved trees; sites are typically ancient wood pastures. Found on any dead wood but they are strongly attracted to the sawn ends of recently felled trunks and branches and will often appear alongside saproxylic ants such as Lasius brunneus</t>
  </si>
  <si>
    <t xml:space="preserve">moist rotten wood</t>
  </si>
  <si>
    <t xml:space="preserve">fungoid sappy bark</t>
  </si>
  <si>
    <t xml:space="preserve">ants, birds, squirrel</t>
  </si>
  <si>
    <t xml:space="preserve">bracket, slime mould, </t>
  </si>
  <si>
    <t xml:space="preserve">Ptinus lichenum</t>
  </si>
  <si>
    <t xml:space="preserve">Larvae bore in dry wood and bark, in old palings, etc. Also a scavenger in bird nests.</t>
  </si>
  <si>
    <t xml:space="preserve">Catocala promissa</t>
  </si>
  <si>
    <t xml:space="preserve">Light Crimson Underwing</t>
  </si>
  <si>
    <t xml:space="preserve">mature trees in open oak woodland</t>
  </si>
  <si>
    <t xml:space="preserve">leaves</t>
  </si>
  <si>
    <t xml:space="preserve">honeydew/sap run</t>
  </si>
  <si>
    <t xml:space="preserve">Aeletes atomarius</t>
  </si>
  <si>
    <t xml:space="preserve">Usually in burrows of lesser stag beetle Dorcus parallelopipedus in moist crumbly decaying heartwood, although also recorded with Sinodendron cylindricum and brown tree ant Lasius brunneus; in beech Fagus, ash Fraxinus, willow Salix, alder Alnus. Ancient wood pastures; mostly central England, to Yorkshire in north and Hampshire and Kent in south-east</t>
  </si>
  <si>
    <t xml:space="preserve">lesser stag beetle burrow</t>
  </si>
  <si>
    <t xml:space="preserve">beech, ash, willow, alder</t>
  </si>
  <si>
    <t xml:space="preserve">Pycnomerus fuliginosus</t>
  </si>
  <si>
    <t xml:space="preserve">SE; E; C</t>
  </si>
  <si>
    <t xml:space="preserve">Under bark of dead oak Quercus, sweet chestnut Castanea, birch Betula, hornbeam Carpinus, beech Fagus; an Australian import; very local, with concentrations in Hampshire/Surrey/Sussex border area, Devon, Epping Forest; also established in N. Ireland</t>
  </si>
  <si>
    <t xml:space="preserve">oak, chestnut, birch, hornbeam, beech</t>
  </si>
  <si>
    <t xml:space="preserve">Epiphanis cornutus</t>
  </si>
  <si>
    <t xml:space="preserve">C; E; W; S</t>
  </si>
  <si>
    <t xml:space="preserve">In the UK they occur mostly in long established woodland rich in saproxylic beetles generally, the larvae are known to develop in among decaying wood of various broadleaf and conifer trees </t>
  </si>
  <si>
    <t xml:space="preserve">Catocala sponsa</t>
  </si>
  <si>
    <t xml:space="preserve">Dark Crimson Underwing</t>
  </si>
  <si>
    <t xml:space="preserve">Eucnemis capucina</t>
  </si>
  <si>
    <t xml:space="preserve">False click beetle</t>
  </si>
  <si>
    <t xml:space="preserve">Larvae develop in hard dead wood and under bark, mainly in old beech Fagus, also ash Fraxinus; pupae have been found in mould beneath fallen beech Fagus branch; adults May-August; old forest relic, Windsor, New Forest &amp; north Cotswolds, with sub-fossils from Thorne Moors.</t>
  </si>
  <si>
    <t xml:space="preserve">Quedius dilatatus</t>
  </si>
  <si>
    <t xml:space="preserve">Hornet Rove-Beetle</t>
  </si>
  <si>
    <t xml:space="preserve">Within hornet Vespa crabro nests inside old trees; adults and larvae prey on fly larvae in nest debris; adults also at sap of goat moth Cossus trees and comes to sugary baits. Southern England.</t>
  </si>
  <si>
    <t xml:space="preserve">Leptusa fumida</t>
  </si>
  <si>
    <t xml:space="preserve">Under bark on dead wood of various trees, also in rot holes; feed mostly on detritus and fungi, but will eat insect larvae and eggs. Widespread and frequent in Britain; common around Belfast</t>
  </si>
  <si>
    <t xml:space="preserve">fungivore; scavenger</t>
  </si>
  <si>
    <t xml:space="preserve">Mycetophagus populi</t>
  </si>
  <si>
    <t xml:space="preserve">Larvae probably develop within fungal mycelia within decaying wood, although the favoured situations and conditions are not known. Adults are most often found during winter and spring and so were probably not in breeding habitat at the time; reported from under loose bark on wood and in soft moist decaying sapwood of elm Ulmus and other broadleaves; spring records include association with fresh sap. Status probably needs up-grading to RDB</t>
  </si>
  <si>
    <t xml:space="preserve">Nemadus colonoides</t>
  </si>
  <si>
    <t xml:space="preserve">Frequents the rot-holes in trees that have been used by birds for nesting</t>
  </si>
  <si>
    <t xml:space="preserve">Nossidium pilosellum</t>
  </si>
  <si>
    <t xml:space="preserve">Develops in decaying wood, particularly rotten stumps and damp, rotten, fungus-colonised timber, and especially elm Ulmus and beech Fagus; in Polyporus squamosus on ash Fraxinus (Glos); in hollow apple tree Malus (Worcs); in a gill fungus on oak Quercus; in wood frass in Dorcus burrows.</t>
  </si>
  <si>
    <t xml:space="preserve">elm, beech, ash, apple, oak</t>
  </si>
  <si>
    <t xml:space="preserve">Quedius xanthopus</t>
  </si>
  <si>
    <t xml:space="preserve">Under bark in decaying timber and in the fruiting bodies of fungi growing from it. A wide variety of tree species form suitable habitat. Primarily a species of ancient woodlands and wood pastures. Widespread in Britain.</t>
  </si>
  <si>
    <t xml:space="preserve">Rhipidia ctenophora</t>
  </si>
  <si>
    <t xml:space="preserve">Broad-leaved woodlands, where the long almost transparent larvae have been reared from a wide range of dead wood situations, incl. rot-holes, sap and rotting stumps; elm, horse chestnut and sycamore. A few scattered localities from southern England north to Yorkshire.</t>
  </si>
  <si>
    <t xml:space="preserve">elm, sycamore, horse chestnut</t>
  </si>
  <si>
    <t xml:space="preserve">Rhipidia uniseriata</t>
  </si>
  <si>
    <t xml:space="preserve">Larvae in dead and decaying timber in old broad_x0002_leaved woodland and hedgerows; rot-holes; elm, beech, birch, oak. Southern &amp; Midland England.</t>
  </si>
  <si>
    <t xml:space="preserve">elm, beech, birch, oak</t>
  </si>
  <si>
    <t xml:space="preserve">Rhizophagus bipustulatus</t>
  </si>
  <si>
    <t xml:space="preserve">Adults and larvae under bark of most dead broad_x0002_leaved trees; feed on fungal hyphae and will also eat dead scolytid bark beetle larvae.</t>
  </si>
  <si>
    <t xml:space="preserve">Rhizophagus dispar</t>
  </si>
  <si>
    <t xml:space="preserve">Under bark of most dead broad-leaved trees, and in bracket fungi; adult has been observed feeding on a fly larva. Common and widespread, particularly so in the north and west</t>
  </si>
  <si>
    <t xml:space="preserve">Rhizophagus fenestralis</t>
  </si>
  <si>
    <t xml:space="preserve">It lives in broadleaved forests under the bark of decaying trees wich are affected by bark beetles (Scolytinae)</t>
  </si>
  <si>
    <t xml:space="preserve">Rhizophagus ferrugineus</t>
  </si>
  <si>
    <t xml:space="preserve">Under bark on deadwood &amp; in heart-rot.</t>
  </si>
  <si>
    <t xml:space="preserve">Dystebenna stephensi</t>
  </si>
  <si>
    <t xml:space="preserve">Parametriotidae</t>
  </si>
  <si>
    <t xml:space="preserve">Eggs laid in crevice in bark of old oak trees, larva feeds in the bark; large and old trees preferred. Local in London area, Dorset, Essex &amp; Yorkshire</t>
  </si>
  <si>
    <t xml:space="preserve">Saprosites mendax</t>
  </si>
  <si>
    <t xml:space="preserve">Australian introduction; in borings of Dorcus and Sinodendron beetles</t>
  </si>
  <si>
    <t xml:space="preserve">Sarcodontia crocea</t>
  </si>
  <si>
    <t xml:space="preserve">Orchard Toothcrust</t>
  </si>
  <si>
    <t xml:space="preserve">Meruliaceae</t>
  </si>
  <si>
    <t xml:space="preserve">SW; SE; S; C</t>
  </si>
  <si>
    <r>
      <rPr>
        <i val="true"/>
        <sz val="10"/>
        <color rgb="FF333333"/>
        <rFont val="Aptos Narrow"/>
        <family val="2"/>
        <charset val="1"/>
      </rPr>
      <t xml:space="preserve">Sarcodontia crocea</t>
    </r>
    <r>
      <rPr>
        <sz val="10"/>
        <color rgb="FF333333"/>
        <rFont val="Aptos Narrow"/>
        <family val="2"/>
        <charset val="1"/>
      </rPr>
      <t xml:space="preserve"> is a bright yellow resupinate wood-inhabiting fungus growing on old fruit trees, mainly apple trees (</t>
    </r>
    <r>
      <rPr>
        <i val="true"/>
        <sz val="10"/>
        <color rgb="FF333333"/>
        <rFont val="Aptos Narrow"/>
        <family val="2"/>
        <charset val="1"/>
      </rPr>
      <t xml:space="preserve">Malus </t>
    </r>
    <r>
      <rPr>
        <sz val="10"/>
        <color rgb="FF333333"/>
        <rFont val="Aptos Narrow"/>
        <family val="2"/>
        <charset val="1"/>
      </rPr>
      <t xml:space="preserve">spp.) in old orchards, gardens, meadows and along roadsides throughout Europe. Such trees have become rare due to the cutting of old and damaged fruit trees and modern engagement of gardens and orchards. </t>
    </r>
  </si>
  <si>
    <t xml:space="preserve">saprotroph</t>
  </si>
  <si>
    <t xml:space="preserve">cracks, crevices</t>
  </si>
  <si>
    <t xml:space="preserve">Scaphisoma assimile</t>
  </si>
  <si>
    <t xml:space="preserve">Scaphosoma agaricinum</t>
  </si>
  <si>
    <t xml:space="preserve">Scaphidiidae</t>
  </si>
  <si>
    <t xml:space="preserve">A specialist of wood-decay fungi; only known from SE.</t>
  </si>
  <si>
    <t xml:space="preserve">Scaphisoma boleti</t>
  </si>
  <si>
    <t xml:space="preserve">A specialist of wood-decay fungi</t>
  </si>
  <si>
    <t xml:space="preserve">Scenopinus niger</t>
  </si>
  <si>
    <t xml:space="preserve">Forest Windowfly</t>
  </si>
  <si>
    <t xml:space="preserve">Scenopinidae</t>
  </si>
  <si>
    <t xml:space="preserve">Larvae predatory on dermestid and probably other beetle larvae in dry red-rotting heartwood of various broad-leaved trees in ancient wood pastures; also found under bark and in dry rot holes of elm and beech</t>
  </si>
  <si>
    <t xml:space="preserve">arthropods</t>
  </si>
  <si>
    <t xml:space="preserve">predator, phytosaprophage</t>
  </si>
  <si>
    <t xml:space="preserve">elm, beech, oak</t>
  </si>
  <si>
    <t xml:space="preserve">Schiffermuelleria grandis</t>
  </si>
  <si>
    <t xml:space="preserve">Larva feeds in soft decaying wood beneath bark on oak, beech, elm and even gorse and ivy; pupates under bark. Local in New Forest, N. Wales &amp; West Midlands</t>
  </si>
  <si>
    <t xml:space="preserve">Schiffermuelleria similella</t>
  </si>
  <si>
    <t xml:space="preserve">S; Wales; C</t>
  </si>
  <si>
    <t xml:space="preserve">Larva on fungus under dead bark of pine or sycamore; also reared from Fomes fomentarius and Daldinia concentrica; pupates in feeding place. Local from Staffordshire northwards; a hill country species.</t>
  </si>
  <si>
    <t xml:space="preserve">pine, sycamore</t>
  </si>
  <si>
    <t xml:space="preserve">Sciurus carolinensis</t>
  </si>
  <si>
    <t xml:space="preserve">Grey squirrel</t>
  </si>
  <si>
    <t xml:space="preserve">Sciuridae</t>
  </si>
  <si>
    <t xml:space="preserve">deciduous woodland and conifer plantations; mixtures of tree species (food supply)</t>
  </si>
  <si>
    <t xml:space="preserve">Sciurus vulgaris</t>
  </si>
  <si>
    <t xml:space="preserve">Red Squirrel</t>
  </si>
  <si>
    <t xml:space="preserve">Sclerophora pallida</t>
  </si>
  <si>
    <t xml:space="preserve">C; N; Scotland</t>
  </si>
  <si>
    <t xml:space="preserve">dry bark crevices on wood of deciduous trees</t>
  </si>
  <si>
    <t xml:space="preserve">Scleroprocta pentagonalis</t>
  </si>
  <si>
    <t xml:space="preserve">Wet woodland, where case-bearing larvae have been found in rotting birch polypore fungus Piptoporus betulinus when it has fallen from the tree in the spring.</t>
  </si>
  <si>
    <t xml:space="preserve">birch polypore fungus</t>
  </si>
  <si>
    <t xml:space="preserve">Scleroprocta sororcula</t>
  </si>
  <si>
    <t xml:space="preserve">Has been reared from larvae in galleries in birch polypore Piptoporus betulinus.</t>
  </si>
  <si>
    <t xml:space="preserve">Lithosia quadra</t>
  </si>
  <si>
    <t xml:space="preserve">Four-spotted Footman</t>
  </si>
  <si>
    <t xml:space="preserve">Larvae feed on lichens on Quercus and other trees and on rocks.</t>
  </si>
  <si>
    <t xml:space="preserve">Plegaderus dissectus</t>
  </si>
  <si>
    <t xml:space="preserve">Confined to ancient wood pastures; lives in moist crumbly decaying timber of various broad-leaved trees, and occasionally found under sappy bark; central southern and eastern England, north up to Nottinghamshire, but absent from west.</t>
  </si>
  <si>
    <t xml:space="preserve">beneath sappy bark</t>
  </si>
  <si>
    <t xml:space="preserve">Scydmaenus rufus</t>
  </si>
  <si>
    <t xml:space="preserve">Usually under bark and in moist crumbly wood or wood mould of various broad-leaved trees; also found among dung and other farmyard debris during winter months.</t>
  </si>
  <si>
    <t xml:space="preserve">Scytinium fragrans</t>
  </si>
  <si>
    <t xml:space="preserve">old wounded elm trees and parkland; nutrient enriched bark</t>
  </si>
  <si>
    <t xml:space="preserve">Seri obscuripennis</t>
  </si>
  <si>
    <t xml:space="preserve">Has been reared from a soft polypore, possibly Polyporus squamosus</t>
  </si>
  <si>
    <t xml:space="preserve">Saproxylic</t>
  </si>
  <si>
    <t xml:space="preserve">Silusa rubiginosa</t>
  </si>
  <si>
    <t xml:space="preserve">At sap and under bark, especially goat moth Cossus trees.</t>
  </si>
  <si>
    <t xml:space="preserve">Sinodendron cylindricum</t>
  </si>
  <si>
    <t xml:space="preserve">Rhinoceros Beetle</t>
  </si>
  <si>
    <t xml:space="preserve">Bores in dead heartwood of large broad_x0002_leaved trees, and also pine Pinus, including stumps. Larval development takes 2-3 years, burrowing even into quite hard timber. Particularly associated with ancient woodlands and wood pastures, although apparently not confined to them. Reported from floating timber in both freshwater and seawater. Widespread in Britain &amp; Ireland. Flies in daylight in early summer.</t>
  </si>
  <si>
    <t xml:space="preserve">Sitta europaea</t>
  </si>
  <si>
    <t xml:space="preserve">Nuthatch</t>
  </si>
  <si>
    <t xml:space="preserve">Sittidae</t>
  </si>
  <si>
    <t xml:space="preserve">Birds can be seen all year round in the UK, particularly in old deciduous woodland, they nest in tree holes or nest boxes, reinforcing the nest entrance with dried mud. </t>
  </si>
  <si>
    <t xml:space="preserve">Soronia grisea</t>
  </si>
  <si>
    <t xml:space="preserve">Under bark on dead ash Fraxinus</t>
  </si>
  <si>
    <t xml:space="preserve">Soronia punctatissima</t>
  </si>
  <si>
    <t xml:space="preserve">Associated with oak Quercus and alder Alnus; attracted to sappy stumps, as well as trees attacked by goat moth Cossus and clearwing moths (Sesiidae); associated with ash Fraxinus in Ireland.</t>
  </si>
  <si>
    <t xml:space="preserve">oak, alder, ash</t>
  </si>
  <si>
    <t xml:space="preserve">goat moth, clearwings</t>
  </si>
  <si>
    <t xml:space="preserve">Sphaeriestes reyi</t>
  </si>
  <si>
    <t xml:space="preserve">In burnt twigs. Locally common in England and Ireland</t>
  </si>
  <si>
    <t xml:space="preserve">burnt twigs</t>
  </si>
  <si>
    <t xml:space="preserve">Sphegina elegans</t>
  </si>
  <si>
    <t xml:space="preserve">Larvae develop in accumulations of decaying sap under wet bark; damp shady woodlands, generally in much wetter situations than S. clunipes. Scattered but widespread in Britain &amp; Ireland.</t>
  </si>
  <si>
    <t xml:space="preserve">Sphegina sibirica</t>
  </si>
  <si>
    <t xml:space="preserve">A northern and western species in Britain, only recently discovered: several Scottish records, also Wenlock Edge, Shropshire, &amp; SE Wales. On the continent in Picea forest. and known to be spreading westward</t>
  </si>
  <si>
    <t xml:space="preserve">Sphegina verecunda</t>
  </si>
  <si>
    <t xml:space="preserve">Larvae in decaying sap under wet bark of broadleaves and conifers, including sap in tunnels of the weevil Hylobius abietis in conifer stumps. Most frequent in the damper south-west of Britain, but scattered over much of GB.</t>
  </si>
  <si>
    <t xml:space="preserve">beneath wet bark</t>
  </si>
  <si>
    <t xml:space="preserve">Stenagostus rhombeus</t>
  </si>
  <si>
    <t xml:space="preserve">C; SE; Wales</t>
  </si>
  <si>
    <t xml:space="preserve">Larvae develop under loose bark of deadwood of various broad-leaved trees, most frequently in beech Fagus; sometimes in the relatively soft rotting heartwood beneath; predator of longhorn beetle (Cerambycidae) larvae; at least two summers in larval stage in southern England and pupate in spring; adults 39 very short-lived, crepuscular and nocturnal, attracted to light. Widespread in C &amp; SE England; also Wales.</t>
  </si>
  <si>
    <t xml:space="preserve">Prionocyphon serricornis</t>
  </si>
  <si>
    <t xml:space="preserve">Scirtidae</t>
  </si>
  <si>
    <t xml:space="preserve">Develops in water_x0002_logged hollows in old trees, especially beech Fagus, and including hollows amongst roots; larvae aquatic, feed on detritus from dead leaves; adults active fliers, short_x0002_lived. Widely across lowland England, but scarcer in the west and north; one record from central Scotland</t>
  </si>
  <si>
    <t xml:space="preserve">Ptenidium gressneri</t>
  </si>
  <si>
    <t xml:space="preserve">Only found in ancient deciduous forests, generally in moist crumbly wood mould in hollow trunks &amp; rot holes; also in nests of hornet Vespa crabro and squirrel dreys in hollow trees; most records from beech Fagus.</t>
  </si>
  <si>
    <t xml:space="preserve">wasps, squirrel</t>
  </si>
  <si>
    <t xml:space="preserve">Stictographa lentiginosa</t>
  </si>
  <si>
    <t xml:space="preserve">a lichenicolous fungus</t>
  </si>
  <si>
    <t xml:space="preserve">parasite on Phaeographis dendritica. Little disturbed old growth stands on smooth barked trees on beech and holly - reasonable light and humidty</t>
  </si>
  <si>
    <t xml:space="preserve">Phaeographis dendritica</t>
  </si>
  <si>
    <t xml:space="preserve">beech, holly</t>
  </si>
  <si>
    <t xml:space="preserve">Stictoleptura rubra</t>
  </si>
  <si>
    <t xml:space="preserve">Leptura rubra</t>
  </si>
  <si>
    <t xml:space="preserve">Larvae in logs and rotten roots and stumps of conifers; duration of larval stage 2 years; mainly East Anglia, presumed immigrant.</t>
  </si>
  <si>
    <t xml:space="preserve">logs, roots</t>
  </si>
  <si>
    <t xml:space="preserve">Stictoleptura scutellata</t>
  </si>
  <si>
    <t xml:space="preserve">Old forest areas with many ancient trees; larvae develop deep in the decaying heartwood of sun-exposed stumps, trunks and major boughs of beech Fagus, also in oak Quercus, birch Betula, hornbeam Carpinus and sycamore Acer pseudoplatanus; adults at hawthorn Crataegus blossom.</t>
  </si>
  <si>
    <t xml:space="preserve">saprophagous, xylophagous, nectivore</t>
  </si>
  <si>
    <t xml:space="preserve">beech, oak, birch, hornbeam, sycamore</t>
  </si>
  <si>
    <t xml:space="preserve">stumps, trunks, branches</t>
  </si>
  <si>
    <t xml:space="preserve">Stigmus solskyi</t>
  </si>
  <si>
    <t xml:space="preserve">Fairly common and widespread. Nests in small old beetle holes in dead wood.</t>
  </si>
  <si>
    <t xml:space="preserve">Strix aluca</t>
  </si>
  <si>
    <t xml:space="preserve">Tawny Owl</t>
  </si>
  <si>
    <t xml:space="preserve">woodland, occasionally parks and gardens</t>
  </si>
  <si>
    <t xml:space="preserve">Stroemiellus stroemi</t>
  </si>
  <si>
    <t xml:space="preserve">S; Scotland</t>
  </si>
  <si>
    <t xml:space="preserve">deep fissures</t>
  </si>
  <si>
    <t xml:space="preserve">Sturnus vulgaris vulgaris</t>
  </si>
  <si>
    <t xml:space="preserve">Starling</t>
  </si>
  <si>
    <t xml:space="preserve">Sturnidae</t>
  </si>
  <si>
    <t xml:space="preserve">mature trees (and buildings) with holes for nesting; grasslands for inverts; cultivated land/pastures/gardens for foraging in winter; woods and reedbeds for roosting</t>
  </si>
  <si>
    <t xml:space="preserve">Sulcacis affinis</t>
  </si>
  <si>
    <t xml:space="preserve">Ennearthron affinis; Entypus affinis</t>
  </si>
  <si>
    <t xml:space="preserve">Cisidae</t>
  </si>
  <si>
    <t xml:space="preserve">Develop in brackets of the fungus Trametes versicolor, but occasionally also reported from other fungi</t>
  </si>
  <si>
    <t xml:space="preserve">Sulcacis bicornis</t>
  </si>
  <si>
    <t xml:space="preserve">Develop in brackets of the fungus Trametes versicolor; characteristic of beech Fagus woods but also found with ash Fraxinus.</t>
  </si>
  <si>
    <t xml:space="preserve">Symbiotes latus</t>
  </si>
  <si>
    <t xml:space="preserve">Anamorphidae</t>
  </si>
  <si>
    <t xml:space="preserve">In fungi and under bark on deadwood; elm Ulmus, poplar Populus, ash Fraxinus, beech Fagus.</t>
  </si>
  <si>
    <t xml:space="preserve">Fagus, Fraxinus, Populus, Ulmus</t>
  </si>
  <si>
    <t xml:space="preserve">elm, poplar, beech</t>
  </si>
  <si>
    <t xml:space="preserve">Synanthedon culiciformis</t>
  </si>
  <si>
    <t xml:space="preserve">Large Red-belted Clearwing</t>
  </si>
  <si>
    <t xml:space="preserve">Sesiidae</t>
  </si>
  <si>
    <t xml:space="preserve">Eggs laid within crevices of birch stumps of 1-3 years and living stems, also on alder; larvae bore under bark; heaths and open woods, widely across lowland Britain; also in N. Scotland</t>
  </si>
  <si>
    <t xml:space="preserve">Synanthedon myopaeformis</t>
  </si>
  <si>
    <t xml:space="preserve">Red-belted Clearwing</t>
  </si>
  <si>
    <t xml:space="preserve">Eggs laid in bark crevices of various Prunaceae;larvae bore in timber; southern and eastern Britain.</t>
  </si>
  <si>
    <t xml:space="preserve">Synanthedon vespiformis</t>
  </si>
  <si>
    <t xml:space="preserve">Yellow-legged Clearwing</t>
  </si>
  <si>
    <t xml:space="preserve">The eggs are laid along edges or within bark crevices of oak stumps of up to 3 years age, and in crevices of sap-runs on living trunks; larvae develop under sappy bark, where also pupate; occasionally other broad-leaves. Widespread in southern Britain, but absent from the far west.</t>
  </si>
  <si>
    <t xml:space="preserve">sappy bark</t>
  </si>
  <si>
    <t xml:space="preserve">Synchita humeralis</t>
  </si>
  <si>
    <t xml:space="preserve">Feed on fungus-colonised sappy bark or timber, of birch Betula, hawthorn Crataegus, hazel Corylus, alder Alnus, and especially beech Fagus; has been reared from Daldinia in long-established birchwoods. Central and eastern England, with single records from Scotland and Ireland.</t>
  </si>
  <si>
    <t xml:space="preserve">birch, hazel, hawthorn, alder, beech</t>
  </si>
  <si>
    <t xml:space="preserve">sappy bark with fungus</t>
  </si>
  <si>
    <t xml:space="preserve">Synchita variegata</t>
  </si>
  <si>
    <t xml:space="preserve">Normally associated with encrustations of the fungus Ustulina deusta on recently dead standing beech Fagus trunks; also on hornbeam Carpinus. South and southeast England, as far west as New Forest and Forest of Dean, and north to Huntingdon.</t>
  </si>
  <si>
    <t xml:space="preserve">beech, hornbeam</t>
  </si>
  <si>
    <t xml:space="preserve">Systenus tener</t>
  </si>
  <si>
    <t xml:space="preserve">Dolichopidae</t>
  </si>
  <si>
    <t xml:space="preserve">Six records from three sites since 2014, from Herefordshire (2014), East Sussex (2018) &amp; Hampshire (2019). The distribution mirrors that prior to 2014 and previously it was only recorded from four hectads. Habitat requirements have been outlined and association to rotholes and specific tree families. Drake (2018) suggests that there is a risk of this species being under-recorded and previous doubts on taxonomic status may have affected the accuracy of past assessments.</t>
  </si>
  <si>
    <t xml:space="preserve">wet rot hole, dendrotelm</t>
  </si>
  <si>
    <t xml:space="preserve">Tachinus bipustulatus</t>
  </si>
  <si>
    <t xml:space="preserve">A predatory species, most often found at sap-flows from broad-leaved trees, especially at goat moth Cossus sap runs. Formerly known from a number of southern English sites, but appears to have declined and was last recorded from Windsor Forest in 1930s.</t>
  </si>
  <si>
    <t xml:space="preserve">Tachydromia umbrarum </t>
  </si>
  <si>
    <t xml:space="preserve">Tachydromia annulimana authors, misident. &amp; Tachydromia cimicoides misident.</t>
  </si>
  <si>
    <t xml:space="preserve">Develops in decaying wood, eg ash.</t>
  </si>
  <si>
    <t xml:space="preserve">Tachypeza fuscipennis</t>
  </si>
  <si>
    <t xml:space="preserve">In wood detritus, rot holes, etc; willow, ash, beech, horse chestnut, etc.</t>
  </si>
  <si>
    <t xml:space="preserve">willow, ash, beech, horse chestnut</t>
  </si>
  <si>
    <t xml:space="preserve">Biatora vernalis</t>
  </si>
  <si>
    <t xml:space="preserve">Scotland; Wales; NW</t>
  </si>
  <si>
    <t xml:space="preserve">generally dependant on the maintenance of well lit old growth woodlands.</t>
  </si>
  <si>
    <t xml:space="preserve">mildly acidic</t>
  </si>
  <si>
    <t xml:space="preserve">Tanyptera nigricornis</t>
  </si>
  <si>
    <t xml:space="preserve">C; NE; NW</t>
  </si>
  <si>
    <t xml:space="preserve">Develops in dead wood of a range of broadleaves; recently a female found in open woodland at a live ash tree with one side of the trunk rotted away. Associated with ancient woodland and wood pasture; frequent in New Forest, and widespread though rare across the north Midlands/Lancs/Yorks district; also Scotland.</t>
  </si>
  <si>
    <t xml:space="preserve">ash, oak</t>
  </si>
  <si>
    <t xml:space="preserve">Teredus cylindricus</t>
  </si>
  <si>
    <t xml:space="preserve">Bothrideridae</t>
  </si>
  <si>
    <t xml:space="preserve">Probably a predator; under bark of dead old oaks Quercus, also sweet chestnut Castanea and other trees; in red-rot, often with brown tree ant Lasius brunneus or anobiid beetles. Mainly known from Sherwood and Windsor Forests.</t>
  </si>
  <si>
    <t xml:space="preserve">Tetratoma ancora</t>
  </si>
  <si>
    <t xml:space="preserve">lower branches</t>
  </si>
  <si>
    <t xml:space="preserve">Larvae under encrusting fruit-bodies of Phlebia merismoides and perhaps other fungi on dead branches of oak Quercus and other broadleaved trees. Ancient woodlands and wood pastures. Notably thin scatter of records throughout Britain, although none from East Anglia and adjacent Midlands; has declined throughout England.</t>
  </si>
  <si>
    <t xml:space="preserve">Hazel, oak</t>
  </si>
  <si>
    <t xml:space="preserve">Buellia hyperbolica</t>
  </si>
  <si>
    <t xml:space="preserve">Wales; C</t>
  </si>
  <si>
    <t xml:space="preserve">open canopy</t>
  </si>
  <si>
    <t xml:space="preserve">canopy disintigration</t>
  </si>
  <si>
    <t xml:space="preserve">Tetratoma fungorum</t>
  </si>
  <si>
    <t xml:space="preserve">Develop successfully, and most commonly, in fruiting bodies of Piptoporus betulinus on birch Betula; and has been found developing in Pleurotus cornucopiae, P. ostreatus, Flammulina velutipes, Fistulina hepatica and Paxillus panuoides; has also been taken on Inonotus cuticularis, Bjerkandera adusta and Polyporus squamosus. Adults nocturnal. Widespread throughout much of Britain, but scarcer in west, and only a single record from Ireland.</t>
  </si>
  <si>
    <t xml:space="preserve">Tetrops praeustus</t>
  </si>
  <si>
    <t xml:space="preserve">Plum Beetle</t>
  </si>
  <si>
    <t xml:space="preserve">Probably develops in dead branches; in old hedgerows, fruit trees, etc</t>
  </si>
  <si>
    <t xml:space="preserve">hawthorn, blackthorn, cherry</t>
  </si>
  <si>
    <t xml:space="preserve">Tetrops starkii</t>
  </si>
  <si>
    <t xml:space="preserve">From oak Quercus in Oxfordshire, 1991; also on ash Fraxinus in Europe. Develops in decaying or recently dead twigs, adults feeding on the leaves.</t>
  </si>
  <si>
    <t xml:space="preserve">xylophagous, foliovore</t>
  </si>
  <si>
    <t xml:space="preserve">Buellia violaceofusca</t>
  </si>
  <si>
    <t xml:space="preserve">W; Scotland</t>
  </si>
  <si>
    <t xml:space="preserve">dry bark fissures of trees in open woodland; shelter but light</t>
  </si>
  <si>
    <t xml:space="preserve">dry bark</t>
  </si>
  <si>
    <t xml:space="preserve">fissures</t>
  </si>
  <si>
    <t xml:space="preserve">Caloplaca lucifuga</t>
  </si>
  <si>
    <t xml:space="preserve">old oak in crevices of rough bark</t>
  </si>
  <si>
    <t xml:space="preserve">Thanasimus formicarius</t>
  </si>
  <si>
    <t xml:space="preserve">Ant Beetle</t>
  </si>
  <si>
    <t xml:space="preserve">Pink larvae and adults feed on bark beetles, and also other beetles, in hard dead timber; especially ash Fraxinus and elm Ulmus, but also pine Pinus and oak Quercus. Widespread in central and eastern England, more sparingly in north and west. Rare in Ireland and only reported from Counties Dublin and Wicklow</t>
  </si>
  <si>
    <t xml:space="preserve">ash, elm, oak, pine</t>
  </si>
  <si>
    <t xml:space="preserve">Thereva nobilitata</t>
  </si>
  <si>
    <t xml:space="preserve">Common Stiletto. </t>
  </si>
  <si>
    <t xml:space="preserve">Has been reared from decaying heartwood and wood mould in hollow ashes, where the larvae occur with Prionychus beetle larvae on which they probably prey. Also develops in a wide range of other situations. Widespread.</t>
  </si>
  <si>
    <t xml:space="preserve">Lecanographa amylacea</t>
  </si>
  <si>
    <t xml:space="preserve">S; Wales; Scotland</t>
  </si>
  <si>
    <t xml:space="preserve">dry bark on ancient oak; between root butrusses - not directly wetted by rain</t>
  </si>
  <si>
    <t xml:space="preserve">Thyreosthenius parasiticus</t>
  </si>
  <si>
    <t xml:space="preserve">Regular inhabitant of dark crevices in dead and dying wood in trees, especially oak and hawthorn; also in darker buildings and bird nests. Widespread across Britain, but apparently rare in the south-west, and very local in Ireland. </t>
  </si>
  <si>
    <t xml:space="preserve">dark crevices</t>
  </si>
  <si>
    <t xml:space="preserve">oak, hawthorn</t>
  </si>
  <si>
    <t xml:space="preserve">Ptenidium turgidum</t>
  </si>
  <si>
    <t xml:space="preserve">In moist crumbly decayed cavities inside trunks of old broad-leaved trees, particularly beech Fagus and elm Ulmus, often in company with ants.</t>
  </si>
  <si>
    <t xml:space="preserve">Tipula flavolineata</t>
  </si>
  <si>
    <t xml:space="preserve">larva in rotten wood</t>
  </si>
  <si>
    <t xml:space="preserve">birch, beech, lime, oak</t>
  </si>
  <si>
    <t xml:space="preserve">Tipula irrorata</t>
  </si>
  <si>
    <t xml:space="preserve">larva under bark of dead logs and branches</t>
  </si>
  <si>
    <t xml:space="preserve">Tipula peliostigma</t>
  </si>
  <si>
    <t xml:space="preserve">Occasionally develops under bark on decaying wood; more usually in bird nests.</t>
  </si>
  <si>
    <t xml:space="preserve">Tipula selene</t>
  </si>
  <si>
    <t xml:space="preserve">Larvae in dead wood, even in small branches, lying on wet soil; has been reared from a small ash branch on fen peat &amp; from a bird’s nest. A species of southern woodlands, best represented in south-west.</t>
  </si>
  <si>
    <t xml:space="preserve">Tomoxia bucephala</t>
  </si>
  <si>
    <t xml:space="preserve">Mordellidae </t>
  </si>
  <si>
    <t xml:space="preserve">Adults lay eggs in vacated anobiid borings in exposed heartwood on standing trunks; larvae develop in decayed timber; beech Fagus, horse chestnut Aesculus &amp; other broad-leaved trees; adults visit umbel flowers. Confined to relict old forest areas of the southern- and eastern-most counties of England.</t>
  </si>
  <si>
    <t xml:space="preserve">Tremella moriformis</t>
  </si>
  <si>
    <t xml:space="preserve">Mulberry Brain</t>
  </si>
  <si>
    <t xml:space="preserve">Tremellaceae</t>
  </si>
  <si>
    <t xml:space="preserve">on deciduous wood with pyrenomycetes</t>
  </si>
  <si>
    <t xml:space="preserve">pyrenomycetes</t>
  </si>
  <si>
    <t xml:space="preserve">bare ground; litter/moss/short cover</t>
  </si>
  <si>
    <t xml:space="preserve">Triaxomasia caprimulgella</t>
  </si>
  <si>
    <t xml:space="preserve">Larvae in dead wood of beech, oak or elm. Ecology unclear; possibly associated with tree cavities, perhaps feeding on dead insects in spider webs; but also believed to feed on wood, perhaps on scar tissue. Only reported from SE England, from Kent to Berkshire and Suffolk</t>
  </si>
  <si>
    <t xml:space="preserve">scavenger, xylophage</t>
  </si>
  <si>
    <t xml:space="preserve">beech, oak, elm</t>
  </si>
  <si>
    <t xml:space="preserve">S; SE; E; C</t>
  </si>
  <si>
    <t xml:space="preserve">L: On dead wood. Especially in hollow trees and rot holes.
I: Encountered in hollow trees. Attracted to pheromone lure LUN and occasionally HON.</t>
  </si>
  <si>
    <t xml:space="preserve">Triaxomera fulvimitrella
</t>
  </si>
  <si>
    <t xml:space="preserve">L: On various wood-rotting fungi, including Daldinia concentrica, Xanthoporia radiata or Fomitopsis betulina. Occasionally on callus-tissue around tree wounds and dead wood. Frass-covered patches on the surface of the fungus may indicate presence of this species or other fungus-feeding Tineidae.
I: Rests on tree trunks; comes to light.</t>
  </si>
  <si>
    <t xml:space="preserve">Triaxomera parasitella</t>
  </si>
  <si>
    <t xml:space="preserve">L: On various bracket fungi, especially Trametes versicolor. Frass-covered patches on the surface or frass and silk on the underside of the fungus may indicate presence of this species or other fungus-feeding Tineidae.
P: Within the feeding place.
I: Flies at sunrise and dusk, later comes to light.</t>
  </si>
  <si>
    <t xml:space="preserve">Quedius brevicornis</t>
  </si>
  <si>
    <t xml:space="preserve">In nests of birds and hornet Vespa crabro inside tree cavities, also in rot holes and fungi. Britain; Co. Waterford.</t>
  </si>
  <si>
    <t xml:space="preserve">Trichophya pilicornis</t>
  </si>
  <si>
    <t xml:space="preserve">A woodland species, associated with freshly cut timber; also from squirrel drey in rotten beech Fagus, pine Pinus needles, in moss and dead leaves. Larvae and adults fungivorous, feeding on mycelium and spores, but also partly feeding on other arthropods. Europe, Madeira, India, N. America.</t>
  </si>
  <si>
    <t xml:space="preserve">cut timber</t>
  </si>
  <si>
    <t xml:space="preserve">squirrel</t>
  </si>
  <si>
    <t xml:space="preserve">Trichrysis cyanea</t>
  </si>
  <si>
    <t xml:space="preserve">Associated with open habitats with aerial nesting sites of its hosts such as wooden fence and gate posts, dead trees, logs and tree stumps, and holes in mud and cob walls.</t>
  </si>
  <si>
    <t xml:space="preserve">parasitoid, nectivore</t>
  </si>
  <si>
    <t xml:space="preserve">Quedius fulgidus</t>
  </si>
  <si>
    <t xml:space="preserve">In rot-holes and compost. Britain; also Counties Down and Armagh.</t>
  </si>
  <si>
    <t xml:space="preserve">Triphyllus bicolor</t>
  </si>
  <si>
    <t xml:space="preserve">Adults mainly found at fresh fruiting bodies of Fistulina hepatica, but also Laetiporus sulphureu,s on oak Quercus trunks; also reported from fungi on beech Fagus. Ancient woodlands and wood pastures of lowland Britain; apparently absent from far west.</t>
  </si>
  <si>
    <t xml:space="preserve">Triplax aenea</t>
  </si>
  <si>
    <t xml:space="preserve">Erotilidae</t>
  </si>
  <si>
    <t xml:space="preserve">Usually associated with the fungus Pleurotus ostreatus growing on trunks of broad-leaved trees. Widespread in old wood pastures of Britain, although possibly absent from East Anglia.</t>
  </si>
  <si>
    <t xml:space="preserve">horse chestnut, beech, holly</t>
  </si>
  <si>
    <t xml:space="preserve">Triplax lacordairii</t>
  </si>
  <si>
    <t xml:space="preserve">In Pleurotus and from ash Fraxinus and elm Ulmus; centred on Thames and Hampshire Basins, but also reported from Worcestershire.</t>
  </si>
  <si>
    <t xml:space="preserve">Pleurotes</t>
  </si>
  <si>
    <t xml:space="preserve">horse chestnut, beech, holly, ash, elm</t>
  </si>
  <si>
    <t xml:space="preserve">Triplax russica</t>
  </si>
  <si>
    <t xml:space="preserve">Develops in fungal fruiting bodies on various broad-leaved trees, particularly Inonotus hispidus on ash Fraxinus in the west, while preferring Fomes fomentarius on birch Betula in the north. Also reported from other broad-leaved trees, without reference to the associated fungus. Adults may also be found feeding at the bracket fungi.</t>
  </si>
  <si>
    <t xml:space="preserve">Triplax scutellaris</t>
  </si>
  <si>
    <t xml:space="preserve">Recorded in Pleurotus, and in fungi on elm Ulmus and holly Ilex; larvae have been found hibernating in moss at foot of trees, adults emerging in spring. Known from a few localities in northern England</t>
  </si>
  <si>
    <t xml:space="preserve">elm, holly</t>
  </si>
  <si>
    <t xml:space="preserve">Tritoma bipustulata</t>
  </si>
  <si>
    <t xml:space="preserve">Larvae develop in wood-decay fungi, especially on beech Fagus. Widespread in lowland England; a single record from S. Wales</t>
  </si>
  <si>
    <t xml:space="preserve">Trypodendron domesticum</t>
  </si>
  <si>
    <t xml:space="preserve">Broad-leaved ambrosia beetle</t>
  </si>
  <si>
    <t xml:space="preserve">An ambrosia beetle, developing in the sapwood of a wide range of freshly dead broadleaved timber. Adults excavate deep galleries in the sappy timber and feed on the fruiting bodies of fungi cultivated therein. Widespread in British Isles, but largely confined to ancient woodlands and wood pastures</t>
  </si>
  <si>
    <t xml:space="preserve">Trypodendron lineatum</t>
  </si>
  <si>
    <t xml:space="preserve">Lineated Bark Beetle</t>
  </si>
  <si>
    <t xml:space="preserve">Conifer Ambrosia Beetle. Dead wood of pine Pinus, spruce Picea, larch Larix, and fir Abies in N and W Britain.</t>
  </si>
  <si>
    <t xml:space="preserve">pine, spruce, fir</t>
  </si>
  <si>
    <t xml:space="preserve">Tuberta maerens</t>
  </si>
  <si>
    <t xml:space="preserve">Cybaeidae</t>
  </si>
  <si>
    <t xml:space="preserve">It seems to favour fissured bark on tree trunks where it spins a small, fragile funnel web. An open broad-leaved woodland habitat, where tree trunks are relatively warm and dry, offers suitable microclimatic conditions for the spider.</t>
  </si>
  <si>
    <t xml:space="preserve">Tyto alba</t>
  </si>
  <si>
    <t xml:space="preserve">Barn Owl</t>
  </si>
  <si>
    <t xml:space="preserve">Tytonidae</t>
  </si>
  <si>
    <t xml:space="preserve">species of open country, favouring lowland habitats such as farmland and young plantation woodland.</t>
  </si>
  <si>
    <t xml:space="preserve">voles</t>
  </si>
  <si>
    <t xml:space="preserve">Uleiota planatus</t>
  </si>
  <si>
    <t xml:space="preserve">Silvanidae</t>
  </si>
  <si>
    <t xml:space="preserve">Larvae probably fungus-feeders under sappy bark, typically beech Fagus and sweet chestnut Castanea, but also from other broad-leaved trees; adults over-winter. Mainly in southern and eastern England, but with single reports from W. Glamorgan and Aberdeenshire.</t>
  </si>
  <si>
    <t xml:space="preserve">beech, sweet chestnut</t>
  </si>
  <si>
    <t xml:space="preserve">Xerotrema quercicola</t>
  </si>
  <si>
    <t xml:space="preserve">On lignum of standing or fallen and propped, decorticated Oak trunks in old woodlands and rarely parkland, from the New Forest (Hampshire) to N.Scotland (Skye &amp; E. Ross). </t>
  </si>
  <si>
    <t xml:space="preserve">Velleius dilatatus </t>
  </si>
  <si>
    <t xml:space="preserve">Hornet rove beetle</t>
  </si>
  <si>
    <t xml:space="preserve">historically been associated with ancient woodland in Hampshire, Berkshire and Gloucester but recent decades have seen an expansion in the range to Devon, Cambridgeshire, Norfolk and Nottingham (etc.) which seems to have followed a similar expansion by its host, Vespa crabro. The larvae develop among nest detritus, consuming other insects and possibly dead and dying hornets as well. </t>
  </si>
  <si>
    <t xml:space="preserve">Hornet nests. </t>
  </si>
  <si>
    <t xml:space="preserve">Vespa crabro</t>
  </si>
  <si>
    <t xml:space="preserve">The Hornet. </t>
  </si>
  <si>
    <t xml:space="preserve">Nests usually in hollow trees, less often in buildings; feed on nectar, fruit, honey, and various insects.</t>
  </si>
  <si>
    <t xml:space="preserve">Volucella inflata</t>
  </si>
  <si>
    <t xml:space="preserve">Larvae develop in sap-runs, probably feeding on other insect larvae. In or near woodland with large mature and older trees. Widespread and locally frequent across central southern and south-eastern England, extending more sparingly into the Midlands and East Anglia.</t>
  </si>
  <si>
    <t xml:space="preserve">goat moth larva</t>
  </si>
  <si>
    <t xml:space="preserve">Wanachia triguttata</t>
  </si>
  <si>
    <t xml:space="preserve">Formerly confined to Scottish Highlands, but now also in East Anglia. Has been found in association with oak Quercus in Suffolk, as well as pine Pinus</t>
  </si>
  <si>
    <t xml:space="preserve">Larca lata</t>
  </si>
  <si>
    <t xml:space="preserve">Oak-tree Chelifer</t>
  </si>
  <si>
    <t xml:space="preserve">Most records of L. lata are from tree holes in old, living trees, particularly oak.  In holes
inside the oldest mouldering oak-trees, among the
mould and dry leaves</t>
  </si>
  <si>
    <t xml:space="preserve">Xestobium rufovillosum</t>
  </si>
  <si>
    <t xml:space="preserve">Death-watch Beetle</t>
  </si>
  <si>
    <t xml:space="preserve">Bores in hard dead heartwood of several hardwood species where damp and fungal decay is present - in building timbers one fungus in particular Donkioporia expansa may be especially important; larval period anything between 1 and 13 years, usually 3-7; pupates beneath outer surface of timber in late summer (earliest 18 July), 3-4 weeks later adult, but remains in pupal chamber until next Spring, when become sexually mature; males emerge first; adult life short, at most 9-10 weeks after pairing; exit holes 2.1-3.1mm diameter; wings well-developed, but flight very rarely recorded, and unlikely to colonise buildings naturally. Flight occurs only when temperatures exceed 17_x0003_C and attracted to light. Reputedly common in lowland England, but very rare in native situations in the north (mainly introduced with timber in these areas?); throughout Europe; introduced elsewhere. Develops in a range of trees on the Continent, but mainly oak Quercus and willow Salix in southern Britain and confined to oak in the north Midlands.</t>
  </si>
  <si>
    <t xml:space="preserve">Quedius microps</t>
  </si>
  <si>
    <t xml:space="preserve">S; E; NE</t>
  </si>
  <si>
    <t xml:space="preserve">In moist crumbly, very rotten timber, often with dense, clay-like blackish mould, in tree holes and hollow trunks; wide variety of broad-leaved trees. Widespread in southern and eastern England; also in Co Durham</t>
  </si>
  <si>
    <t xml:space="preserve">Xylomya maculata</t>
  </si>
  <si>
    <t xml:space="preserve">Wasp Wood-soldierfly</t>
  </si>
  <si>
    <t xml:space="preserve">Xylomyidae</t>
  </si>
  <si>
    <t xml:space="preserve">Larvae in rot-holes, in damp wood-decay, in beech; probably feed on rotting organic matter; also described as living a semi-aquatic existence in water-filled rot-holes. May take up to two years to develop. Confined to ancient forest: New Forest, Windsor Forest and Epping Forest.</t>
  </si>
  <si>
    <t xml:space="preserve">Xylophagus ater</t>
  </si>
  <si>
    <t xml:space="preserve">Common Awl-fly</t>
  </si>
  <si>
    <t xml:space="preserve">Xylophagidae</t>
  </si>
  <si>
    <t xml:space="preserve">Larvae develop beneath bark on branchwood of a wide variety of dead broadleaves, in early stages of decay. Feed on larvae of larger beetles and possibly other insects, although probably injured larvae, and has been implicated as the cause of those injuries. Confined to ancient woodlands and wood pastures; mainly in the hill country of northern and western Britain, extending into the lowland fringes and across the south into the weald. Rare in Ireland.</t>
  </si>
  <si>
    <t xml:space="preserve">Xylota florum</t>
  </si>
  <si>
    <t xml:space="preserve">Larvae in decaying wood and sap; adults usually found in damp places within woodlands such as streamsides. Sparingly scattered across much of England and Wales; Ireland.</t>
  </si>
  <si>
    <t xml:space="preserve">Xylota jakutorum</t>
  </si>
  <si>
    <t xml:space="preserve">Spruce-stump Leaf-licker</t>
  </si>
  <si>
    <t xml:space="preserve">Develops in the sap-filled tunnels of the bark weevil Hylobius abietis; mainly known from conifer plantations. Originally regarded as a species of native pine forest but has responded to the widespread planting of conifers and now occurs throughout northern and western Britain. Ireland.</t>
  </si>
  <si>
    <t xml:space="preserve">Hylobius</t>
  </si>
  <si>
    <t xml:space="preserve">Xylota sylvarum</t>
  </si>
  <si>
    <t xml:space="preserve">Major larval development site is wet decaying roots of broad_x0002_leaved trees, larvae ascending, beneath bark, to pupate; also in rot-holes. Widespread in old woods and wood pastures across Britain &amp; Ireland..</t>
  </si>
  <si>
    <t xml:space="preserve">Xylota tarda</t>
  </si>
  <si>
    <t xml:space="preserve">Develops in sap-runs of aspen in Scotland; larval habitat in England not known. Usually in damp situations in woodland, nearly always where old trees are present. Thinly scattered across much of lowland England; Scottish populations very restricted and scattered. Ireland.</t>
  </si>
  <si>
    <t xml:space="preserve">aspen, poplar</t>
  </si>
  <si>
    <t xml:space="preserve">Xylota xanthocnema</t>
  </si>
  <si>
    <t xml:space="preserve">Larvae in rot-holes on various broad-leaves and yew; usually in or near ancient woodland or wood pasture. Thinly scattered across southern England, extending northwards as far as Yorkshire.</t>
  </si>
  <si>
    <t xml:space="preserve">yew, oak</t>
  </si>
  <si>
    <t xml:space="preserve">Xylotachina diluta</t>
  </si>
  <si>
    <t xml:space="preserve">Tachinidae</t>
  </si>
  <si>
    <t xml:space="preserve">Specific parasitoid on goat moth larvae in timber. Pupation occurs in host gallery. Rare; southern England.</t>
  </si>
  <si>
    <t xml:space="preserve">Ypsolopha parenthesella</t>
  </si>
  <si>
    <t xml:space="preserve">Ypsolophidae</t>
  </si>
  <si>
    <t xml:space="preserve">O: On Quercus spp., Carpinus, Betula spp., Corylus, Myrica or Alnus spp., overwintering as an egg.
L: On the leaves, in a slight web.
P: In a brown boat-shaped cocoon, on a leaf, under loose bark on a trunk, or amongst detritus on the ground.</t>
  </si>
  <si>
    <t xml:space="preserve">Oak, Hornbeam, Hawthorn, Alder, Birch</t>
  </si>
  <si>
    <t xml:space="preserve">Zabrachia tenella</t>
  </si>
  <si>
    <t xml:space="preserve">Pine Black</t>
  </si>
  <si>
    <t xml:space="preserve">Larvae in wood detritus in galleries of bark beetles under loose bark of dead pines, also fir, larch, birch; widespread.</t>
  </si>
  <si>
    <t xml:space="preserve">Quedius truncicola</t>
  </si>
  <si>
    <t xml:space="preserve">In wet, very rotten timber, often with dense, clay-like blackish mould, in tree holes and hollow trunks, generally beneath bird nests; also reported from rotten fungi and at sap. Widely across lowland England, but absent from far west; only Denbighshire in Wales and Co. Dublin in Ireland.</t>
  </si>
  <si>
    <t xml:space="preserve">Metriocnemus martinii</t>
  </si>
  <si>
    <t xml:space="preserve">Chironomidae</t>
  </si>
  <si>
    <t xml:space="preserve">breeds almost exclusively in water filled tree holes, Densities of larvae were generally higher in the holes in the canopy layer than in those in the field layer of the woodland, possibly because of differences in the quality of the detritus, as food, contained in them. (5) There were some indications that densities of larvae were higher in the smaller holes than in the larger ones.</t>
  </si>
  <si>
    <t xml:space="preserve">Anopheles plumbeus</t>
  </si>
  <si>
    <t xml:space="preserve">Culicidae</t>
  </si>
  <si>
    <t xml:space="preserve">Develops in water-filled holes on mature trees; eggs laid on side of tree holes just above waterline and hatch only when flooded.</t>
  </si>
  <si>
    <t xml:space="preserve">Dromius quadrimaculatus</t>
  </si>
  <si>
    <t xml:space="preserve">Adults feed on mites, Collembola, etc, on bark surface; shelter under loose bark on various standing trees; larval development beneath the bark, where also predatory, may also feed over exposed bark surface; common.</t>
  </si>
  <si>
    <t xml:space="preserve">Temnostethus gracilis</t>
  </si>
  <si>
    <t xml:space="preserve">Anthocoridae</t>
  </si>
  <si>
    <t xml:space="preserve">on bark of various trees</t>
  </si>
  <si>
    <t xml:space="preserve">Cylindroiulus britannicus</t>
  </si>
  <si>
    <t xml:space="preserve">millipede</t>
  </si>
  <si>
    <t xml:space="preserve">Julidae</t>
  </si>
  <si>
    <t xml:space="preserve">Most often found under bark of dead broadleaves and in wood-decay beneath. Widespread but very local.</t>
  </si>
  <si>
    <t xml:space="preserve">Lepthyphantes leprosus</t>
  </si>
  <si>
    <t xml:space="preserve">- In holes in trees, walls &amp; buildings generally. Widespread</t>
  </si>
  <si>
    <t xml:space="preserve">trunk, boughs</t>
  </si>
  <si>
    <t xml:space="preserve">Lepthyphantes minutus</t>
  </si>
  <si>
    <t xml:space="preserve">- In holes in trees, walls &amp; buildings generally. Widespread &amp; fairly common.</t>
  </si>
  <si>
    <t xml:space="preserve">Harpactea hombergi</t>
  </si>
  <si>
    <t xml:space="preserve">Dydderidae</t>
  </si>
  <si>
    <t xml:space="preserve">Occurs within decaying wood of trees, where feeds on woodlice.</t>
  </si>
  <si>
    <t xml:space="preserve">trunk, stump</t>
  </si>
  <si>
    <t xml:space="preserve">Aradus betulae</t>
  </si>
  <si>
    <t xml:space="preserve">Under bark on dead standing or fallen birch, and on Fomes fungi growing on birch; a northern species, known in GB only from the Highlands of Scotland.</t>
  </si>
  <si>
    <t xml:space="preserve">Diplodoma herminata</t>
  </si>
  <si>
    <t xml:space="preserve">The eggs are laid singly in cracks in bark; the larvae feed on decaying leaves, fungi, dead insects and moss or lichen growing at the base of trees or stumps, or under loose bark; larva in a hard triangular inner case enclosed in a shorter soft case covered with detritus, fragments of dead insects, etc. Usually living 2 years; pupates in case attached low down to a trunk or stump. Locally not uncommon in wooded areas throughout Britain.</t>
  </si>
  <si>
    <t xml:space="preserve">trunks, stump, base</t>
  </si>
  <si>
    <t xml:space="preserve">lichens, moss</t>
  </si>
  <si>
    <t xml:space="preserve">Sesia apiformis</t>
  </si>
  <si>
    <t xml:space="preserve">Hornet Moth</t>
  </si>
  <si>
    <t xml:space="preserve">S; SE; C; </t>
  </si>
  <si>
    <t xml:space="preserve">The eggs are laid low down in bark crevices or in old emergence holes on living poplars; larva tunnels between bark and wood in lower trunk and roots. Occurs over much of lowland England, absent only from south-west and much of north; extends into southern and northern coastal districts of Wales; present in Ireland.</t>
  </si>
  <si>
    <t xml:space="preserve">Synanthedon spheciformis</t>
  </si>
  <si>
    <t xml:space="preserve">White-barred Clearwing</t>
  </si>
  <si>
    <t xml:space="preserve">C; S; SE; SW; W; E</t>
  </si>
  <si>
    <t xml:space="preserve">Eggs laid in ground near bark crevices of alder and birch; larvae tunnelling in trunks; local but widespread over central and southern England and Wales.</t>
  </si>
  <si>
    <t xml:space="preserve">alder, birch</t>
  </si>
  <si>
    <t xml:space="preserve">Synanthedon scoliaeformis</t>
  </si>
  <si>
    <t xml:space="preserve">Welsh Clearwing</t>
  </si>
  <si>
    <t xml:space="preserve">N; NW; NE</t>
  </si>
  <si>
    <t xml:space="preserve">Eggs are laid in old emergence holes or in bark crevices in the lower part of old birch trunks; larvae tunnel below bark; a northern and western species.</t>
  </si>
  <si>
    <t xml:space="preserve">Telmatoscopus tristis</t>
  </si>
  <si>
    <t xml:space="preserve">Psychodidae</t>
  </si>
  <si>
    <t xml:space="preserve">Has been reared from tree rot-holes, oak, ash and birch.</t>
  </si>
  <si>
    <t xml:space="preserve">oak, ash, birch</t>
  </si>
  <si>
    <t xml:space="preserve">Telmatoscopus advenus </t>
  </si>
  <si>
    <t xml:space="preserve">Has been reared from tree rot-holes, various broad-leaves; fairly frequent in Britain; the commonest and most catholic of psychodids developing in Irish rot-holes.</t>
  </si>
  <si>
    <t xml:space="preserve">Telmatoscopus rothschildii</t>
  </si>
  <si>
    <t xml:space="preserve">Has been reared from sap-runs and rot-holes. Records scattered across southern Britain; Ireland. </t>
  </si>
  <si>
    <t xml:space="preserve">Trichomyia urbica</t>
  </si>
  <si>
    <t xml:space="preserve">SW; S; SE; C</t>
  </si>
  <si>
    <t xml:space="preserve">Larva in rotting wood of fallen trees where it makes a gallery running in the direction of the grain. Has been reared from an oak rot hole; also birch in Ireland. A frequent species in Britain.</t>
  </si>
  <si>
    <t xml:space="preserve">Ditomyia fasciata</t>
  </si>
  <si>
    <t xml:space="preserve">Ditomyiidae</t>
  </si>
  <si>
    <t xml:space="preserve">Reared from the fruiting bodies of a wide variety of hard polypore wood-decaying fungi, eg Bjerkandera adusta and Trametes versicolor, but also the non-wood-rotter Hydnellum spongiosipes.</t>
  </si>
  <si>
    <t xml:space="preserve">Leia bilineata</t>
  </si>
  <si>
    <t xml:space="preserve">Reared from red squirrel drey and under oak bark.</t>
  </si>
  <si>
    <t xml:space="preserve">Dynatosoma fuscicorne</t>
  </si>
  <si>
    <t xml:space="preserve">Develop in a wide range of polypores, large larvae at base of tube layer.</t>
  </si>
  <si>
    <t xml:space="preserve">Acnemia amoena</t>
  </si>
  <si>
    <t xml:space="preserve">Relict ancient woodland species; has been swept around a standing beech stump. Reared in Europe from Thelephora and Paxillus.</t>
  </si>
  <si>
    <t xml:space="preserve">stump, trunk</t>
  </si>
  <si>
    <t xml:space="preserve">Sciophila limbatella</t>
  </si>
  <si>
    <t xml:space="preserve">Develops in webs on Fomes fomentarius and Phellinus spp.</t>
  </si>
  <si>
    <t xml:space="preserve">Mycetobia gemella</t>
  </si>
  <si>
    <t xml:space="preserve">Mycetobiidae</t>
  </si>
  <si>
    <t xml:space="preserve">Pupae found in a rot hole on a live pine, Rothiemurchus, 1991. Larvae also found in material in a piny water run, mostly under loose bark on a dead standing Scots pine, Abernethy Forest, 1994, and under bark of dead pine in Glen Affric.</t>
  </si>
  <si>
    <t xml:space="preserve">Mycetobia obscura</t>
  </si>
  <si>
    <t xml:space="preserve">Scotland; SE</t>
  </si>
  <si>
    <t xml:space="preserve">Ireland: Charleville Woods &amp; Glen of the Downs, reared from wet rot-hole material in living oaks. Scotland: Kinnord, reared from larvae in a sap-run on aspen, 1995; Epping Forest.</t>
  </si>
  <si>
    <t xml:space="preserve">oak, aspen</t>
  </si>
  <si>
    <t xml:space="preserve">Ectaetia platyscelis</t>
  </si>
  <si>
    <t xml:space="preserve">Scatopsidae</t>
  </si>
  <si>
    <t xml:space="preserve">Reared from damp rot-hole material at ground level in living ash and elm; and from rotting beech, elm and lime. Southern Britain. Ireland: Charleville Woods &amp; Wicklow.</t>
  </si>
  <si>
    <t xml:space="preserve">beech, elm, lime</t>
  </si>
  <si>
    <t xml:space="preserve">Aedes geniculatus</t>
  </si>
  <si>
    <t xml:space="preserve">Develops in water-filled tree holes, especially in beech but also in a very wide range of broadleaves; most common in larger rot holes, but also small ones, often at base of trunks. Eggs are laid on the sides of cavities and hatch after rainfall. Widespread and often abundant in English woodlands. </t>
  </si>
  <si>
    <t xml:space="preserve">Orthopodomyia pulcripalpis</t>
  </si>
  <si>
    <t xml:space="preserve">Develops in water-filled tree holes, especially in beech, elm and horse chestnut; over-wintering larvae, develop to pupae by June-July and adults emerge soon after; females appear to feed on birds. Only known from old records across south-east England, from Purbeck to Lincolnshire.</t>
  </si>
  <si>
    <t xml:space="preserve">beech, elm, horse chestnut</t>
  </si>
  <si>
    <t xml:space="preserve">Achalcus melanotrichus</t>
  </si>
  <si>
    <t xml:space="preserve">Unusual in its genus because of its association with trees. Reared from tree hole rot debris in various living broadleaves; and seen on sapping oak with rot-hole.</t>
  </si>
  <si>
    <t xml:space="preserve">oak, birch, sycamore</t>
  </si>
  <si>
    <t xml:space="preserve">Systenus mallochi</t>
  </si>
  <si>
    <t xml:space="preserve">Reared from material in detritus-filled crevices in oak trunk in woodland, Morayshire, 1995, new to science. Other material reared from bark on dead aspen, Cossus elm, and birch rot-holes.</t>
  </si>
  <si>
    <t xml:space="preserve">oak, elm, aspen, birch</t>
  </si>
  <si>
    <t xml:space="preserve">Systenus scholtzii</t>
  </si>
  <si>
    <t xml:space="preserve">In wide range of broad_x0002_leaved trees; reared from damp black wood mould &amp; decaying leaves in rot-hole 10ft up in ancient beech trunk; also from rot-holes in birch, poplar, horse chestnut and elm; also reared from fungus in a beech rot-hole; adults probably largely arboreal.</t>
  </si>
  <si>
    <t xml:space="preserve">trunk, branches</t>
  </si>
  <si>
    <t xml:space="preserve">Periscelis (Microperiscelis) annulata</t>
  </si>
  <si>
    <t xml:space="preserve">C; E; W; Scotland</t>
  </si>
  <si>
    <t xml:space="preserve">Meoneura neottiophila</t>
  </si>
  <si>
    <t xml:space="preserve">Carnidae</t>
  </si>
  <si>
    <t xml:space="preserve">Has been reared from bird nests and from the terrestrial bolete Leccinum scabrum; adult males were found on caps of Pleurotus during survey of Ashridge, Hertfordshire. According to A. Godfrey (pers.comm.) it has been found on detritus below sap runs.</t>
  </si>
  <si>
    <t xml:space="preserve">Helina abdominalis</t>
  </si>
  <si>
    <t xml:space="preserve">Larvae in rot-holes in old or dead trees. Mainly southern Britain; also one Irish record, from Rostrevor Oakwood, Co. Down. 12</t>
  </si>
  <si>
    <t xml:space="preserve">Helina pertusa</t>
  </si>
  <si>
    <t xml:space="preserve">Larvae under the loose bark of decaying trees and in rot-holes, where they prey on other fly larvae; also reported from a bird nest in a dead willow branch. Midlands &amp; south England, uncommon; Cos. Clare and Antrim.</t>
  </si>
  <si>
    <t xml:space="preserve">Corvus monedula</t>
  </si>
  <si>
    <t xml:space="preserve">Jackdaw</t>
  </si>
  <si>
    <t xml:space="preserve">Corvidae</t>
  </si>
  <si>
    <t xml:space="preserve">Jackdaws are cavity nesters, seeking spacious hollows in trees or buildings, sheltered from intruders and often relatively near to several other jackdaw pairs. As a resident species, and one that mates for life, jackdaws may nest year after year in the same location. Usually nest high up</t>
  </si>
  <si>
    <t xml:space="preserve">Parascotia fuliginaria</t>
  </si>
  <si>
    <t xml:space="preserve">Waved Black</t>
  </si>
  <si>
    <t xml:space="preserve">S; SE; SW; C; W; E</t>
  </si>
  <si>
    <t xml:space="preserve">It occurs locally in the southern half of England and Wales, and occupies woodland, damp areas and suburban habitats. Suspected migrants have occasionally turned up well outside the normal range. The larvae feed mainly on a variety of fungi and rotten wood, and the nocturnal adult flies between June and August.</t>
  </si>
  <si>
    <t xml:space="preserve">Cybosia mesomella</t>
  </si>
  <si>
    <t xml:space="preserve">Four-dotted Footman</t>
  </si>
  <si>
    <t xml:space="preserve">Inhabiting heaths and open woodland, the adults fly from dusk onwards during the period from June to August. They can also be disturbed from low vegetation such as heather during the day.</t>
  </si>
  <si>
    <t xml:space="preserve">Pinalitus viscicola - heteroptera sucks sap from mistletoe buds, flowers and unripe fruit. Old Orchards</t>
  </si>
  <si>
    <t xml:space="preserve">holes or sheltered spots in the tree, dry or wet, with or without tree-hole mould, located on the trunk, in the crown or at the root collar.</t>
  </si>
  <si>
    <t xml:space="preserve">Insect Gallery All</t>
  </si>
  <si>
    <t xml:space="preserve">holes and galleries excavated by saproxylic insect larvae</t>
  </si>
  <si>
    <t xml:space="preserve">Woodpecker breeding cavity with a round entrance</t>
  </si>
  <si>
    <t xml:space="preserve">size</t>
  </si>
  <si>
    <t xml:space="preserve">suspended / ground based</t>
  </si>
  <si>
    <t xml:space="preserve">hole or hollow in the wood, either wet or dry, or a sheltered spot with no mould and which was not excavated by insect activity</t>
  </si>
  <si>
    <t xml:space="preserve">position</t>
  </si>
  <si>
    <t xml:space="preserve">cavity containing tree-hole mould (a mixture of decomposing wood, animal excretions and remains)</t>
  </si>
  <si>
    <t xml:space="preserve">sapwood or heartwood is exposed due to bark loss, splitting or breakage.</t>
  </si>
  <si>
    <t xml:space="preserve">Loose bark creates a shelter</t>
  </si>
  <si>
    <t xml:space="preserve">Fire scar</t>
  </si>
  <si>
    <t xml:space="preserve">bark loss has exposed the sapwood only</t>
  </si>
  <si>
    <t xml:space="preserve">breakage or splitting has exposed both sapwood and heartwood</t>
  </si>
  <si>
    <t xml:space="preserve">deadwood located in the crown of the tree.</t>
  </si>
  <si>
    <t xml:space="preserve">Excrescences caused by a reaction of the tree to light or a bacterial, fungal or viral attack</t>
  </si>
  <si>
    <t xml:space="preserve">All Epip</t>
  </si>
  <si>
    <t xml:space="preserve">structures or living organisms that use the tree mainly as a support.</t>
  </si>
  <si>
    <t xml:space="preserve">vertebrate or invertebrate nests (excluding woodpecker breeding cavities) placed in the tree or in a cavity</t>
  </si>
  <si>
    <t xml:space="preserve">Epiphytic and parasitic cryptogams and phanerogams: vascular plants, mosses and lichens that use the tree as a physical support</t>
  </si>
  <si>
    <t xml:space="preserve">the reproductive organs of saproxylic fungi or slime mould plasmodia, lasting at least several weeks</t>
  </si>
  <si>
    <t xml:space="preserve">the fruiting bodies of saproxylic fungi that develop over several years</t>
  </si>
  <si>
    <t xml:space="preserve">the fruiting bodies of saproxylic fungi that develop over several years slime mould plasmodia</t>
  </si>
  <si>
    <t xml:space="preserve">fresh sap runs or resinosis</t>
  </si>
  <si>
    <t xml:space="preserve">Microsoil</t>
  </si>
  <si>
    <t xml:space="preserve">a small amount of newly-created soil originating from the decomposition of organic matter from twigs, leaves, bark or mosses</t>
  </si>
  <si>
    <t xml:space="preserve">Dendrotelm</t>
  </si>
  <si>
    <t xml:space="preserve">Cup-shaped hollows where rainwater can accumulate</t>
  </si>
  <si>
    <t xml:space="preserve">Bark loss</t>
  </si>
  <si>
    <t xml:space="preserve">Bark is missing and the sapwood is exposed</t>
  </si>
  <si>
    <t xml:space="preserve">stem breakage</t>
  </si>
  <si>
    <t xml:space="preserve">The trunk has broken off and the heartwood has been exposed.</t>
  </si>
</sst>
</file>

<file path=xl/styles.xml><?xml version="1.0" encoding="utf-8"?>
<styleSheet xmlns="http://schemas.openxmlformats.org/spreadsheetml/2006/main">
  <numFmts count="2">
    <numFmt numFmtId="164" formatCode="General"/>
    <numFmt numFmtId="165" formatCode="@"/>
  </numFmts>
  <fonts count="38">
    <font>
      <sz val="11"/>
      <color theme="1"/>
      <name val="Aptos Narrow"/>
      <family val="2"/>
      <charset val="1"/>
    </font>
    <font>
      <sz val="10"/>
      <name val="Arial"/>
      <family val="0"/>
    </font>
    <font>
      <sz val="10"/>
      <name val="Arial"/>
      <family val="0"/>
    </font>
    <font>
      <sz val="10"/>
      <name val="Arial"/>
      <family val="0"/>
    </font>
    <font>
      <i val="true"/>
      <sz val="10"/>
      <name val="Aptos Narrow"/>
      <family val="2"/>
      <charset val="1"/>
    </font>
    <font>
      <sz val="10"/>
      <name val="Aptos Narrow"/>
      <family val="2"/>
      <charset val="1"/>
    </font>
    <font>
      <sz val="10"/>
      <color theme="1"/>
      <name val="Aptos Narrow"/>
      <family val="2"/>
      <charset val="1"/>
    </font>
    <font>
      <sz val="11"/>
      <name val="Aptos Narrow"/>
      <family val="2"/>
      <charset val="1"/>
    </font>
    <font>
      <sz val="10"/>
      <color rgb="FF666666"/>
      <name val="Aptos Narrow"/>
      <family val="2"/>
      <charset val="1"/>
    </font>
    <font>
      <sz val="10"/>
      <color rgb="FF71777D"/>
      <name val="Aptos Narrow"/>
      <family val="2"/>
      <charset val="1"/>
    </font>
    <font>
      <sz val="10"/>
      <color rgb="FF414141"/>
      <name val="Aptos Narrow"/>
      <family val="2"/>
      <charset val="1"/>
    </font>
    <font>
      <sz val="10"/>
      <color rgb="FF333333"/>
      <name val="Aptos Narrow"/>
      <family val="2"/>
      <charset val="1"/>
    </font>
    <font>
      <sz val="10"/>
      <color rgb="FF313131"/>
      <name val="Aptos Narrow"/>
      <family val="2"/>
      <charset val="1"/>
    </font>
    <font>
      <i val="true"/>
      <sz val="10"/>
      <color rgb="FF000000"/>
      <name val="Aptos Narrow"/>
      <family val="2"/>
      <charset val="1"/>
    </font>
    <font>
      <u val="single"/>
      <sz val="11"/>
      <color theme="10"/>
      <name val="Aptos Narrow"/>
      <family val="2"/>
      <charset val="1"/>
    </font>
    <font>
      <sz val="10"/>
      <color rgb="FF444444"/>
      <name val="Aptos Narrow"/>
      <family val="2"/>
      <charset val="1"/>
    </font>
    <font>
      <sz val="10"/>
      <color rgb="FF3E3E3E"/>
      <name val="Aptos Narrow"/>
      <family val="2"/>
      <charset val="1"/>
    </font>
    <font>
      <sz val="10"/>
      <color rgb="FF2A2A2A"/>
      <name val="Aptos Narrow"/>
      <family val="2"/>
      <charset val="1"/>
    </font>
    <font>
      <sz val="10"/>
      <color rgb="FF001522"/>
      <name val="Aptos Narrow"/>
      <family val="2"/>
      <charset val="1"/>
    </font>
    <font>
      <sz val="10"/>
      <color rgb="FF202122"/>
      <name val="Aptos Narrow"/>
      <family val="2"/>
      <charset val="1"/>
    </font>
    <font>
      <sz val="10"/>
      <color rgb="FFFF0000"/>
      <name val="Aptos Narrow"/>
      <family val="2"/>
      <charset val="1"/>
    </font>
    <font>
      <sz val="10"/>
      <color rgb="FF000000"/>
      <name val="Aptos Narrow"/>
      <family val="2"/>
      <charset val="1"/>
    </font>
    <font>
      <i val="true"/>
      <sz val="10"/>
      <color rgb="FFFF0000"/>
      <name val="Aptos Narrow"/>
      <family val="2"/>
      <charset val="1"/>
    </font>
    <font>
      <sz val="10"/>
      <color rgb="FF0000FF"/>
      <name val="Aptos Narrow"/>
      <family val="2"/>
      <charset val="1"/>
    </font>
    <font>
      <sz val="10"/>
      <color rgb="FF626262"/>
      <name val="Aptos Narrow"/>
      <family val="2"/>
      <charset val="1"/>
    </font>
    <font>
      <b val="true"/>
      <sz val="10"/>
      <color rgb="FF202122"/>
      <name val="Aptos Narrow"/>
      <family val="2"/>
      <charset val="1"/>
    </font>
    <font>
      <sz val="10"/>
      <color rgb="FF374151"/>
      <name val="Aptos Narrow"/>
      <family val="2"/>
      <charset val="1"/>
    </font>
    <font>
      <sz val="10"/>
      <color rgb="FF212124"/>
      <name val="Aptos Narrow"/>
      <family val="2"/>
      <charset val="1"/>
    </font>
    <font>
      <sz val="10"/>
      <color theme="10"/>
      <name val="Aptos Narrow"/>
      <family val="2"/>
      <charset val="1"/>
    </font>
    <font>
      <sz val="10"/>
      <color rgb="FF595473"/>
      <name val="Aptos Narrow"/>
      <family val="2"/>
      <charset val="1"/>
    </font>
    <font>
      <i val="true"/>
      <sz val="10"/>
      <color rgb="FF333333"/>
      <name val="Aptos Narrow"/>
      <family val="2"/>
      <charset val="1"/>
    </font>
    <font>
      <sz val="10"/>
      <color rgb="FF002419"/>
      <name val="Aptos Narrow"/>
      <family val="2"/>
      <charset val="1"/>
    </font>
    <font>
      <i val="true"/>
      <sz val="10"/>
      <color theme="1"/>
      <name val="Aptos Narrow"/>
      <family val="2"/>
      <charset val="1"/>
    </font>
    <font>
      <i val="true"/>
      <sz val="10"/>
      <color rgb="FF687683"/>
      <name val="Aptos Narrow"/>
      <family val="2"/>
      <charset val="1"/>
    </font>
    <font>
      <sz val="10"/>
      <color rgb="FF576674"/>
      <name val="Aptos Narrow"/>
      <family val="2"/>
      <charset val="1"/>
    </font>
    <font>
      <b val="true"/>
      <sz val="10"/>
      <color rgb="FF687683"/>
      <name val="Aptos Narrow"/>
      <family val="2"/>
      <charset val="1"/>
    </font>
    <font>
      <sz val="8"/>
      <name val="Aptos Narrow"/>
      <family val="2"/>
      <charset val="1"/>
    </font>
    <font>
      <sz val="11"/>
      <color rgb="FFFF0000"/>
      <name val="Aptos Narrow"/>
      <family val="2"/>
      <charset val="1"/>
    </font>
  </fonts>
  <fills count="22">
    <fill>
      <patternFill patternType="none"/>
    </fill>
    <fill>
      <patternFill patternType="gray125"/>
    </fill>
    <fill>
      <patternFill patternType="solid">
        <fgColor theme="5" tint="-0.5"/>
        <bgColor rgb="FF444444"/>
      </patternFill>
    </fill>
    <fill>
      <patternFill patternType="solid">
        <fgColor theme="5" tint="0.7999"/>
        <bgColor rgb="FFFFE5E5"/>
      </patternFill>
    </fill>
    <fill>
      <patternFill patternType="solid">
        <fgColor theme="0" tint="-0.25"/>
        <bgColor rgb="FFD1D1D1"/>
      </patternFill>
    </fill>
    <fill>
      <patternFill patternType="solid">
        <fgColor theme="5" tint="0.5999"/>
        <bgColor rgb="FFD1D1D1"/>
      </patternFill>
    </fill>
    <fill>
      <patternFill patternType="solid">
        <fgColor rgb="FFFEFECE"/>
        <bgColor rgb="FFFEF8CA"/>
      </patternFill>
    </fill>
    <fill>
      <patternFill patternType="solid">
        <fgColor rgb="FFE5E5FF"/>
        <bgColor rgb="FFE8E8E8"/>
      </patternFill>
    </fill>
    <fill>
      <patternFill patternType="solid">
        <fgColor theme="9" tint="-0.25"/>
        <bgColor rgb="FF467886"/>
      </patternFill>
    </fill>
    <fill>
      <patternFill patternType="solid">
        <fgColor theme="9" tint="0.5999"/>
        <bgColor rgb="FFD1D1D1"/>
      </patternFill>
    </fill>
    <fill>
      <patternFill patternType="solid">
        <fgColor theme="9" tint="0.7999"/>
        <bgColor rgb="FFE8E8E8"/>
      </patternFill>
    </fill>
    <fill>
      <patternFill patternType="solid">
        <fgColor rgb="FFFFE5E5"/>
        <bgColor rgb="FFFBE3D6"/>
      </patternFill>
    </fill>
    <fill>
      <patternFill patternType="solid">
        <fgColor theme="7" tint="0.3999"/>
        <bgColor rgb="FF46B1E1"/>
      </patternFill>
    </fill>
    <fill>
      <patternFill patternType="solid">
        <fgColor theme="4" tint="0.3999"/>
        <bgColor rgb="FF61CBF4"/>
      </patternFill>
    </fill>
    <fill>
      <patternFill patternType="solid">
        <fgColor theme="2"/>
        <bgColor rgb="FFE5E5FF"/>
      </patternFill>
    </fill>
    <fill>
      <patternFill patternType="solid">
        <fgColor theme="0" tint="-0.15"/>
        <bgColor rgb="FFD1D1D1"/>
      </patternFill>
    </fill>
    <fill>
      <patternFill patternType="solid">
        <fgColor theme="5" tint="0.3999"/>
        <bgColor rgb="FFF6C6AD"/>
      </patternFill>
    </fill>
    <fill>
      <patternFill patternType="solid">
        <fgColor theme="7"/>
        <bgColor rgb="FF46B1E1"/>
      </patternFill>
    </fill>
    <fill>
      <patternFill patternType="solid">
        <fgColor theme="7" tint="0.5999"/>
        <bgColor rgb="FF61CBF4"/>
      </patternFill>
    </fill>
    <fill>
      <patternFill patternType="solid">
        <fgColor rgb="FFFEF8CA"/>
        <bgColor rgb="FFFEFECE"/>
      </patternFill>
    </fill>
    <fill>
      <patternFill patternType="solid">
        <fgColor theme="2" tint="-0.1"/>
        <bgColor rgb="FFD9D9D9"/>
      </patternFill>
    </fill>
    <fill>
      <patternFill patternType="solid">
        <fgColor theme="8" tint="0.3999"/>
        <bgColor rgb="FF969696"/>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false">
      <alignment horizontal="general" vertical="bottom" textRotation="0" wrapText="false" indent="0" shrinkToFit="false"/>
    </xf>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right"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6" borderId="1" xfId="0" applyFont="true" applyBorder="true" applyAlignment="true" applyProtection="false">
      <alignment horizontal="left"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center" vertical="top" textRotation="0" wrapText="false" indent="0" shrinkToFit="false"/>
      <protection locked="true" hidden="false"/>
    </xf>
    <xf numFmtId="164" fontId="5" fillId="9"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10" borderId="1" xfId="0" applyFont="true" applyBorder="true" applyAlignment="true" applyProtection="false">
      <alignment horizontal="center" vertical="top" textRotation="0" wrapText="false" indent="0" shrinkToFit="false"/>
      <protection locked="true" hidden="false"/>
    </xf>
    <xf numFmtId="164" fontId="5" fillId="2" borderId="1" xfId="0" applyFont="true" applyBorder="true" applyAlignment="true" applyProtection="false">
      <alignment horizontal="center" vertical="top" textRotation="0" wrapText="false" indent="0" shrinkToFit="false"/>
      <protection locked="true" hidden="false"/>
    </xf>
    <xf numFmtId="164" fontId="5" fillId="3" borderId="1" xfId="0" applyFont="true" applyBorder="true" applyAlignment="true" applyProtection="false">
      <alignment horizontal="right" vertical="top" textRotation="0" wrapText="fals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5" fillId="5" borderId="1" xfId="0" applyFont="true" applyBorder="true" applyAlignment="true" applyProtection="false">
      <alignment horizontal="center" vertical="top" textRotation="0" wrapText="false" indent="0" shrinkToFit="false"/>
      <protection locked="true" hidden="false"/>
    </xf>
    <xf numFmtId="164" fontId="5" fillId="7" borderId="1" xfId="0" applyFont="true" applyBorder="true" applyAlignment="true" applyProtection="false">
      <alignment horizontal="center" vertical="top" textRotation="0" wrapText="false" indent="0" shrinkToFit="false"/>
      <protection locked="true" hidden="false"/>
    </xf>
    <xf numFmtId="164" fontId="5" fillId="11" borderId="1" xfId="0" applyFont="true" applyBorder="true" applyAlignment="true" applyProtection="false">
      <alignment horizontal="center" vertical="top" textRotation="0" wrapText="false" indent="0" shrinkToFit="false"/>
      <protection locked="true" hidden="false"/>
    </xf>
    <xf numFmtId="164" fontId="5" fillId="12" borderId="1" xfId="0" applyFont="true" applyBorder="true" applyAlignment="true" applyProtection="false">
      <alignment horizontal="center" vertical="top" textRotation="0" wrapText="false" indent="0" shrinkToFit="false"/>
      <protection locked="true" hidden="false"/>
    </xf>
    <xf numFmtId="164" fontId="5" fillId="13" borderId="1" xfId="0" applyFont="true" applyBorder="true" applyAlignment="true" applyProtection="false">
      <alignment horizontal="center" vertical="top" textRotation="0" wrapText="false" indent="0" shrinkToFit="false"/>
      <protection locked="true" hidden="false"/>
    </xf>
    <xf numFmtId="164" fontId="5" fillId="14" borderId="1" xfId="0" applyFont="true" applyBorder="true" applyAlignment="true" applyProtection="false">
      <alignment horizontal="center" vertical="top" textRotation="0" wrapText="false" indent="0" shrinkToFit="false"/>
      <protection locked="true" hidden="false"/>
    </xf>
    <xf numFmtId="164" fontId="5" fillId="15"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5" fillId="5" borderId="1" xfId="0" applyFont="true" applyBorder="true" applyAlignment="true" applyProtection="false">
      <alignment horizontal="right" vertical="bottom" textRotation="0" wrapText="false" indent="0" shrinkToFit="false"/>
      <protection locked="true" hidden="false"/>
    </xf>
    <xf numFmtId="164" fontId="5" fillId="1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5" fillId="3" borderId="1" xfId="0" applyFont="true" applyBorder="true" applyAlignment="true" applyProtection="false">
      <alignment horizontal="right" vertical="bottom" textRotation="0" wrapText="true" indent="0" shrinkToFit="false"/>
      <protection locked="true" hidden="false"/>
    </xf>
    <xf numFmtId="164" fontId="5" fillId="3" borderId="1" xfId="0" applyFont="true" applyBorder="true" applyAlignment="true" applyProtection="false">
      <alignment horizontal="general" vertical="bottom" textRotation="0" wrapText="true" indent="0" shrinkToFit="false"/>
      <protection locked="true" hidden="false"/>
    </xf>
    <xf numFmtId="164" fontId="5" fillId="4" borderId="1" xfId="0" applyFont="true" applyBorder="true" applyAlignment="true" applyProtection="false">
      <alignment horizontal="general" vertical="bottom" textRotation="0" wrapText="true" indent="0" shrinkToFit="false"/>
      <protection locked="true" hidden="false"/>
    </xf>
    <xf numFmtId="164" fontId="5" fillId="5"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5" fillId="6" borderId="1" xfId="0" applyFont="true" applyBorder="true" applyAlignment="true" applyProtection="false">
      <alignment horizontal="general" vertical="bottom" textRotation="0" wrapText="true" indent="0" shrinkToFit="false"/>
      <protection locked="true" hidden="false"/>
    </xf>
    <xf numFmtId="164" fontId="5" fillId="6" borderId="1" xfId="0" applyFont="true" applyBorder="true" applyAlignment="true" applyProtection="false">
      <alignment horizontal="left" vertical="bottom"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right" vertical="bottom" textRotation="0" wrapText="false" indent="0" shrinkToFit="false"/>
      <protection locked="true" hidden="false"/>
    </xf>
    <xf numFmtId="165" fontId="13" fillId="0" borderId="1" xfId="20" applyFont="true" applyBorder="true" applyAlignment="true" applyProtection="tru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5" fillId="7" borderId="1" xfId="0" applyFont="true" applyBorder="true" applyAlignment="true" applyProtection="false">
      <alignment horizontal="left" vertical="bottom" textRotation="0" wrapText="fals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5" fillId="14"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5" fillId="17"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13" fillId="0" borderId="1" xfId="20" applyFont="true" applyBorder="true" applyAlignment="true" applyProtection="true">
      <alignment horizontal="general" vertical="top" textRotation="0" wrapText="true" indent="0" shrinkToFit="false"/>
      <protection locked="true" hidden="false"/>
    </xf>
    <xf numFmtId="164" fontId="20" fillId="2" borderId="1" xfId="0" applyFont="true" applyBorder="true" applyAlignment="false" applyProtection="false">
      <alignment horizontal="general" vertical="bottom" textRotation="0" wrapText="false" indent="0" shrinkToFit="false"/>
      <protection locked="true" hidden="false"/>
    </xf>
    <xf numFmtId="164" fontId="20" fillId="3" borderId="1" xfId="0" applyFont="true" applyBorder="true" applyAlignment="true" applyProtection="false">
      <alignment horizontal="right" vertical="bottom" textRotation="0" wrapText="false" indent="0" shrinkToFit="false"/>
      <protection locked="true" hidden="false"/>
    </xf>
    <xf numFmtId="164" fontId="20" fillId="3" borderId="1" xfId="0" applyFont="true" applyBorder="true" applyAlignment="false" applyProtection="false">
      <alignment horizontal="general" vertical="bottom" textRotation="0" wrapText="false" indent="0" shrinkToFit="false"/>
      <protection locked="true" hidden="false"/>
    </xf>
    <xf numFmtId="164" fontId="20" fillId="4" borderId="1" xfId="0" applyFont="true" applyBorder="true" applyAlignment="false" applyProtection="false">
      <alignment horizontal="general" vertical="bottom" textRotation="0" wrapText="false" indent="0" shrinkToFit="false"/>
      <protection locked="true" hidden="false"/>
    </xf>
    <xf numFmtId="164" fontId="20" fillId="5" borderId="1" xfId="0" applyFont="true" applyBorder="true" applyAlignment="false" applyProtection="false">
      <alignment horizontal="general" vertical="bottom" textRotation="0" wrapText="false" indent="0" shrinkToFit="false"/>
      <protection locked="true" hidden="false"/>
    </xf>
    <xf numFmtId="164" fontId="20" fillId="6" borderId="1" xfId="0" applyFont="true" applyBorder="true" applyAlignment="false" applyProtection="false">
      <alignment horizontal="general" vertical="bottom" textRotation="0" wrapText="false" indent="0" shrinkToFit="false"/>
      <protection locked="true" hidden="false"/>
    </xf>
    <xf numFmtId="164" fontId="20" fillId="7" borderId="1" xfId="0" applyFont="true" applyBorder="true" applyAlignment="false" applyProtection="fals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general" vertical="center"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23" fillId="0" borderId="1" xfId="20"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5" fillId="16" borderId="1" xfId="0" applyFont="true" applyBorder="true" applyAlignment="true" applyProtection="false">
      <alignment horizontal="right"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5" fillId="16" borderId="1" xfId="0" applyFont="true" applyBorder="true" applyAlignment="true" applyProtection="false">
      <alignment horizontal="left" vertical="bottom" textRotation="0" wrapText="false" indent="0" shrinkToFit="false"/>
      <protection locked="true" hidden="false"/>
    </xf>
    <xf numFmtId="164" fontId="11" fillId="0" borderId="1" xfId="0" applyFont="true" applyBorder="true" applyAlignment="true" applyProtection="false">
      <alignment horizontal="right" vertical="center" textRotation="0" wrapText="false" indent="1" shrinkToFit="false"/>
      <protection locked="true" hidden="false"/>
    </xf>
    <xf numFmtId="164" fontId="26" fillId="0" borderId="1"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4" fontId="28" fillId="0" borderId="1" xfId="20" applyFont="true" applyBorder="true" applyAlignment="true" applyProtection="true">
      <alignment horizontal="general" vertical="bottom" textRotation="0" wrapText="false" indent="0" shrinkToFit="false"/>
      <protection locked="true" hidden="false"/>
    </xf>
    <xf numFmtId="164" fontId="29" fillId="0" borderId="1" xfId="0" applyFont="true" applyBorder="true" applyAlignment="false" applyProtection="false">
      <alignment horizontal="general"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4" fontId="31" fillId="0" borderId="1" xfId="0" applyFont="true" applyBorder="true" applyAlignment="false" applyProtection="false">
      <alignment horizontal="general" vertical="bottom" textRotation="0" wrapText="false" indent="0" shrinkToFit="false"/>
      <protection locked="true" hidden="false"/>
    </xf>
    <xf numFmtId="164" fontId="32" fillId="0" borderId="1" xfId="0" applyFont="true" applyBorder="true" applyAlignment="false" applyProtection="false">
      <alignment horizontal="general" vertical="bottom" textRotation="0" wrapText="false" indent="0" shrinkToFit="false"/>
      <protection locked="true" hidden="false"/>
    </xf>
    <xf numFmtId="164" fontId="33" fillId="0" borderId="1" xfId="0" applyFont="true" applyBorder="true" applyAlignment="true" applyProtection="false">
      <alignment horizontal="general" vertical="center" textRotation="0" wrapText="true" indent="0" shrinkToFit="false"/>
      <protection locked="true" hidden="false"/>
    </xf>
    <xf numFmtId="164" fontId="34"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true" applyProtection="false">
      <alignment horizontal="general" vertical="center" textRotation="0" wrapText="true" indent="0" shrinkToFit="false"/>
      <protection locked="true" hidden="false"/>
    </xf>
    <xf numFmtId="164" fontId="36" fillId="2" borderId="1" xfId="0" applyFont="true" applyBorder="true" applyAlignment="true" applyProtection="false">
      <alignment horizontal="center" vertical="top" textRotation="0" wrapText="false" indent="0" shrinkToFit="false"/>
      <protection locked="true" hidden="false"/>
    </xf>
    <xf numFmtId="164" fontId="36" fillId="16" borderId="1" xfId="0" applyFont="true" applyBorder="true" applyAlignment="true" applyProtection="false">
      <alignment horizontal="center" vertical="top" textRotation="0" wrapText="false" indent="0" shrinkToFit="false"/>
      <protection locked="true" hidden="false"/>
    </xf>
    <xf numFmtId="164" fontId="36" fillId="3" borderId="1" xfId="0" applyFont="true" applyBorder="true" applyAlignment="true" applyProtection="false">
      <alignment horizontal="right" vertical="top" textRotation="0" wrapText="false" indent="0" shrinkToFit="false"/>
      <protection locked="true" hidden="false"/>
    </xf>
    <xf numFmtId="164" fontId="36" fillId="3" borderId="1" xfId="0" applyFont="true" applyBorder="true" applyAlignment="true" applyProtection="false">
      <alignment horizontal="center" vertical="top"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6" fillId="4" borderId="1" xfId="0" applyFont="true" applyBorder="true" applyAlignment="true" applyProtection="false">
      <alignment horizontal="center" vertical="top" textRotation="0" wrapText="false" indent="0" shrinkToFit="false"/>
      <protection locked="true" hidden="false"/>
    </xf>
    <xf numFmtId="164" fontId="36" fillId="5" borderId="1" xfId="0" applyFont="true" applyBorder="true" applyAlignment="true" applyProtection="false">
      <alignment horizontal="center" vertical="top" textRotation="0" wrapText="false" indent="0" shrinkToFit="false"/>
      <protection locked="true" hidden="false"/>
    </xf>
    <xf numFmtId="164" fontId="36" fillId="11" borderId="1" xfId="0" applyFont="true" applyBorder="true" applyAlignment="true" applyProtection="false">
      <alignment horizontal="center" vertical="top" textRotation="0" wrapText="false" indent="0" shrinkToFit="false"/>
      <protection locked="true" hidden="false"/>
    </xf>
    <xf numFmtId="164" fontId="36" fillId="18" borderId="1" xfId="0" applyFont="true" applyBorder="true" applyAlignment="true" applyProtection="false">
      <alignment horizontal="center" vertical="top" textRotation="0" wrapText="false" indent="0" shrinkToFit="false"/>
      <protection locked="true" hidden="false"/>
    </xf>
    <xf numFmtId="164" fontId="36" fillId="19" borderId="1" xfId="0" applyFont="true" applyBorder="true" applyAlignment="true" applyProtection="false">
      <alignment horizontal="center" vertical="top" textRotation="0" wrapText="false" indent="0" shrinkToFit="false"/>
      <protection locked="true" hidden="false"/>
    </xf>
    <xf numFmtId="164" fontId="36" fillId="12" borderId="1" xfId="0" applyFont="true" applyBorder="true" applyAlignment="true" applyProtection="false">
      <alignment horizontal="center" vertical="top"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20" borderId="0" xfId="0" applyFont="true" applyBorder="false" applyAlignment="false" applyProtection="false">
      <alignment horizontal="general" vertical="bottom" textRotation="0" wrapText="false" indent="0" shrinkToFit="false"/>
      <protection locked="tru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21"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E5E5"/>
      <rgbColor rgb="FFFF0000"/>
      <rgbColor rgb="FF00FF00"/>
      <rgbColor rgb="FF0000FF"/>
      <rgbColor rgb="FFFFFF00"/>
      <rgbColor rgb="FFFF00FF"/>
      <rgbColor rgb="FF00FFFF"/>
      <rgbColor rgb="FF3E3E3E"/>
      <rgbColor rgb="FF3B7D23"/>
      <rgbColor rgb="FF001522"/>
      <rgbColor rgb="FF666666"/>
      <rgbColor rgb="FF414141"/>
      <rgbColor rgb="FF0F9ED5"/>
      <rgbColor rgb="FFBFBFBF"/>
      <rgbColor rgb="FF71777D"/>
      <rgbColor rgb="FF61CBF4"/>
      <rgbColor rgb="FF595473"/>
      <rgbColor rgb="FFFEFECE"/>
      <rgbColor rgb="FFE5E5FF"/>
      <rgbColor rgb="FF313131"/>
      <rgbColor rgb="FFD86ECC"/>
      <rgbColor rgb="FF0066CC"/>
      <rgbColor rgb="FFD1D1D1"/>
      <rgbColor rgb="FF202122"/>
      <rgbColor rgb="FFFF00FF"/>
      <rgbColor rgb="FFFFFF00"/>
      <rgbColor rgb="FF00FFFF"/>
      <rgbColor rgb="FF800080"/>
      <rgbColor rgb="FF800000"/>
      <rgbColor rgb="FF444444"/>
      <rgbColor rgb="FF0000FF"/>
      <rgbColor rgb="FF00CCFF"/>
      <rgbColor rgb="FFE8E8E8"/>
      <rgbColor rgb="FFD9F2D0"/>
      <rgbColor rgb="FFFEF8CA"/>
      <rgbColor rgb="FF96DCF8"/>
      <rgbColor rgb="FFF2AA84"/>
      <rgbColor rgb="FFD9D9D9"/>
      <rgbColor rgb="FFF6C6AD"/>
      <rgbColor rgb="FF576674"/>
      <rgbColor rgb="FF46B1E1"/>
      <rgbColor rgb="FFB4E5A2"/>
      <rgbColor rgb="FFFBE3D6"/>
      <rgbColor rgb="FFFF9900"/>
      <rgbColor rgb="FFFF6600"/>
      <rgbColor rgb="FF687683"/>
      <rgbColor rgb="FF969696"/>
      <rgbColor rgb="FF212124"/>
      <rgbColor rgb="FF467886"/>
      <rgbColor rgb="FF002419"/>
      <rgbColor rgb="FF2A2A2A"/>
      <rgbColor rgb="FF80350E"/>
      <rgbColor rgb="FF626262"/>
      <rgbColor rgb="FF37415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externalLink" Target="externalLinks/externalLink1.xml"/><Relationship Id="rId6"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https://forestresearch.sharepoint.com/sites/TW-TWF-11-ToWNaturalSciencesProject/Shared%20Documents/WP2%20-%20WA%202.2a%20-%20ToW%20as%20habitat%20for%20priority%20specie/TREMS_TOW%20species%20spreadsheet_for_DEFRA.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ReadMe"/>
      <sheetName val="Classification"/>
      <sheetName val="Old Data"/>
      <sheetName val="Data Table"/>
      <sheetName val="all data pivot"/>
      <sheetName val="ALL DATA"/>
      <sheetName val="oakecol"/>
      <sheetName val="NE red list"/>
      <sheetName val="micromoths"/>
      <sheetName val="Pantheon raw"/>
      <sheetName val="for paper"/>
      <sheetName val="Sheet7"/>
      <sheetName val="Sheet8"/>
      <sheetName val="Sheet9"/>
    </sheetNames>
    <sheetDataSet>
      <sheetData sheetId="0"/>
      <sheetData sheetId="1"/>
      <sheetData sheetId="2"/>
      <sheetData sheetId="3"/>
      <sheetData sheetId="4"/>
      <sheetData sheetId="5"/>
      <sheetData sheetId="6"/>
      <sheetData sheetId="7">
        <row r="1">
          <cell r="A1" t="str">
            <v>Scientific name in baseline Red List</v>
          </cell>
          <cell r="B1" t="str">
            <v>RLI Group</v>
          </cell>
          <cell r="C1" t="str">
            <v>Taxonomic Group</v>
          </cell>
          <cell r="D1" t="str">
            <v>Taxon scientific name</v>
          </cell>
          <cell r="E1" t="str">
            <v>Baseline RL Status</v>
          </cell>
          <cell r="F1" t="str">
            <v>Baseline Red List</v>
          </cell>
          <cell r="G1" t="str">
            <v>Recommmended NBN Taxon Version Key</v>
          </cell>
          <cell r="H1" t="str">
            <v>Scientific name in baseline Red List</v>
          </cell>
        </row>
        <row r="2">
          <cell r="A2" t="str">
            <v>Bufo bufo</v>
          </cell>
          <cell r="B2" t="str">
            <v>Amphibians and reptiles</v>
          </cell>
          <cell r="C2" t="str">
            <v>Amphibia </v>
          </cell>
          <cell r="D2" t="str">
            <v>Bufo bufo</v>
          </cell>
          <cell r="E2" t="str">
            <v>NT</v>
          </cell>
          <cell r="F2" t="str">
            <v>Foster et al., 2021</v>
          </cell>
          <cell r="G2" t="str">
            <v>NHMSYS0000080159</v>
          </cell>
          <cell r="H2" t="str">
            <v>Bufo bufo</v>
          </cell>
        </row>
        <row r="3">
          <cell r="A3" t="str">
            <v>Epidalea calamita</v>
          </cell>
          <cell r="B3" t="str">
            <v>Amphibians and reptiles</v>
          </cell>
          <cell r="C3" t="str">
            <v>Amphibia </v>
          </cell>
          <cell r="D3" t="str">
            <v>Epidalea calamita</v>
          </cell>
          <cell r="E3" t="str">
            <v>EN</v>
          </cell>
          <cell r="F3" t="str">
            <v>Foster et al., 2021</v>
          </cell>
          <cell r="G3" t="str">
            <v>NHMSYS0020194825</v>
          </cell>
          <cell r="H3" t="str">
            <v>Epidalea calamita</v>
          </cell>
        </row>
        <row r="4">
          <cell r="A4" t="str">
            <v>Lissotriton helveticus</v>
          </cell>
          <cell r="B4" t="str">
            <v>Amphibians and reptiles</v>
          </cell>
          <cell r="C4" t="str">
            <v>Amphibia </v>
          </cell>
          <cell r="D4" t="str">
            <v>Lissotriton helveticus</v>
          </cell>
          <cell r="E4" t="str">
            <v>LC</v>
          </cell>
          <cell r="F4" t="str">
            <v>Foster et al., 2021</v>
          </cell>
          <cell r="G4" t="str">
            <v>NHMSYS0020194828</v>
          </cell>
          <cell r="H4" t="str">
            <v>Lissotriton helveticus</v>
          </cell>
        </row>
        <row r="5">
          <cell r="A5" t="str">
            <v>Lissotriton vulgaris</v>
          </cell>
          <cell r="B5" t="str">
            <v>Amphibians and reptiles</v>
          </cell>
          <cell r="C5" t="str">
            <v>Amphibia </v>
          </cell>
          <cell r="D5" t="str">
            <v>Lissotriton vulgaris</v>
          </cell>
          <cell r="E5" t="str">
            <v>LC</v>
          </cell>
          <cell r="F5" t="str">
            <v>Foster et al., 2021</v>
          </cell>
          <cell r="G5" t="str">
            <v>NHMSYS0020194827</v>
          </cell>
          <cell r="H5" t="str">
            <v>Lissotriton vulgaris</v>
          </cell>
        </row>
        <row r="6">
          <cell r="A6" t="str">
            <v>Pelophylax lessonae</v>
          </cell>
          <cell r="B6" t="str">
            <v>Amphibians and reptiles</v>
          </cell>
          <cell r="C6" t="str">
            <v>Amphibia </v>
          </cell>
          <cell r="D6" t="str">
            <v>Pelophylax lessonae</v>
          </cell>
          <cell r="E6" t="str">
            <v>CR</v>
          </cell>
          <cell r="F6" t="str">
            <v>Foster et al., 2021</v>
          </cell>
          <cell r="G6" t="str">
            <v>NHMSYS0020194823</v>
          </cell>
          <cell r="H6" t="str">
            <v>Pelophylax lessonae</v>
          </cell>
        </row>
        <row r="7">
          <cell r="A7" t="str">
            <v>Rana temporaria</v>
          </cell>
          <cell r="B7" t="str">
            <v>Amphibians and reptiles</v>
          </cell>
          <cell r="C7" t="str">
            <v>Amphibia </v>
          </cell>
          <cell r="D7" t="str">
            <v>Rana temporaria</v>
          </cell>
          <cell r="E7" t="str">
            <v>LC</v>
          </cell>
          <cell r="F7" t="str">
            <v>Foster et al., 2021</v>
          </cell>
          <cell r="G7" t="str">
            <v>NBNSYS0000005060</v>
          </cell>
          <cell r="H7" t="str">
            <v>Rana temporaria</v>
          </cell>
        </row>
        <row r="8">
          <cell r="A8" t="str">
            <v>Triturus cristatus</v>
          </cell>
          <cell r="B8" t="str">
            <v>Amphibians and reptiles</v>
          </cell>
          <cell r="C8" t="str">
            <v>Amphibia </v>
          </cell>
          <cell r="D8" t="str">
            <v>Triturus cristatus</v>
          </cell>
          <cell r="E8" t="str">
            <v>LC</v>
          </cell>
          <cell r="F8" t="str">
            <v>Foster et al., 2021</v>
          </cell>
          <cell r="G8" t="str">
            <v>NHMSYS0000080156</v>
          </cell>
          <cell r="H8" t="str">
            <v>Triturus cristatus</v>
          </cell>
        </row>
        <row r="9">
          <cell r="A9" t="str">
            <v>Anguis fragilis</v>
          </cell>
          <cell r="B9" t="str">
            <v>Amphibians and reptiles</v>
          </cell>
          <cell r="C9" t="str">
            <v>Reptilia </v>
          </cell>
          <cell r="D9" t="str">
            <v>Anguis fragilis</v>
          </cell>
          <cell r="E9" t="str">
            <v>LC</v>
          </cell>
          <cell r="F9" t="str">
            <v>Foster et al., 2021</v>
          </cell>
          <cell r="G9" t="str">
            <v>NBNSYS0000005072</v>
          </cell>
          <cell r="H9" t="str">
            <v>Anguis fragilis</v>
          </cell>
        </row>
        <row r="10">
          <cell r="A10" t="str">
            <v>Coronella austriaca</v>
          </cell>
          <cell r="B10" t="str">
            <v>Amphibians and reptiles</v>
          </cell>
          <cell r="C10" t="str">
            <v>Reptilia </v>
          </cell>
          <cell r="D10" t="str">
            <v>Coronella austriaca</v>
          </cell>
          <cell r="E10" t="str">
            <v>EN</v>
          </cell>
          <cell r="F10" t="str">
            <v>Foster et al., 2021</v>
          </cell>
          <cell r="G10" t="str">
            <v>NHMSYS0000332360</v>
          </cell>
          <cell r="H10" t="str">
            <v>Coronella austriaca</v>
          </cell>
        </row>
        <row r="11">
          <cell r="A11" t="str">
            <v>Lacerta agilis</v>
          </cell>
          <cell r="B11" t="str">
            <v>Amphibians and reptiles</v>
          </cell>
          <cell r="C11" t="str">
            <v>Reptilia </v>
          </cell>
          <cell r="D11" t="str">
            <v>Lacerta agilis</v>
          </cell>
          <cell r="E11" t="str">
            <v>EN</v>
          </cell>
          <cell r="F11" t="str">
            <v>Foster et al., 2021</v>
          </cell>
          <cell r="G11" t="str">
            <v>NBNSYS0000005070</v>
          </cell>
          <cell r="H11" t="str">
            <v>Lacerta agilis</v>
          </cell>
        </row>
        <row r="12">
          <cell r="A12" t="str">
            <v>Natrix helvetica</v>
          </cell>
          <cell r="B12" t="str">
            <v>Amphibians and reptiles</v>
          </cell>
          <cell r="C12" t="str">
            <v>Reptilia </v>
          </cell>
          <cell r="D12" t="str">
            <v>Natrix helvetica</v>
          </cell>
          <cell r="E12" t="str">
            <v>LC</v>
          </cell>
          <cell r="F12" t="str">
            <v>Foster et al., 2021</v>
          </cell>
          <cell r="G12" t="str">
            <v>NHMSYS0021178937</v>
          </cell>
          <cell r="H12" t="str">
            <v>Natrix helvetica</v>
          </cell>
        </row>
        <row r="13">
          <cell r="A13" t="str">
            <v>Vipera berus</v>
          </cell>
          <cell r="B13" t="str">
            <v>Amphibians and reptiles</v>
          </cell>
          <cell r="C13" t="str">
            <v>Reptilia </v>
          </cell>
          <cell r="D13" t="str">
            <v>Vipera berus</v>
          </cell>
          <cell r="E13" t="str">
            <v>NT</v>
          </cell>
          <cell r="F13" t="str">
            <v>Foster et al., 2021</v>
          </cell>
          <cell r="G13" t="str">
            <v>NBNSYS0000005075</v>
          </cell>
          <cell r="H13" t="str">
            <v>Vipera berus</v>
          </cell>
        </row>
        <row r="14">
          <cell r="A14" t="str">
            <v>Zootoca vivipara</v>
          </cell>
          <cell r="B14" t="str">
            <v>Amphibians and reptiles</v>
          </cell>
          <cell r="C14" t="str">
            <v>Reptilia </v>
          </cell>
          <cell r="D14" t="str">
            <v>Zootoca vivipara</v>
          </cell>
          <cell r="E14" t="str">
            <v>LC</v>
          </cell>
          <cell r="F14" t="str">
            <v>Foster et al., 2021</v>
          </cell>
          <cell r="G14" t="str">
            <v>NHMSYS0001706186</v>
          </cell>
          <cell r="H14" t="str">
            <v>Zootoca vivipara</v>
          </cell>
        </row>
        <row r="15">
          <cell r="A15" t="str">
            <v>Acanthis flammea</v>
          </cell>
          <cell r="B15" t="str">
            <v>Birds</v>
          </cell>
          <cell r="C15" t="str">
            <v>Aves</v>
          </cell>
          <cell r="D15" t="str">
            <v>Acanthis flammea [br]</v>
          </cell>
          <cell r="E15" t="str">
            <v>LC</v>
          </cell>
          <cell r="F15" t="str">
            <v>Stanbury et al., 2021</v>
          </cell>
          <cell r="G15" t="str">
            <v>NHMSYS0021004317</v>
          </cell>
          <cell r="H15" t="str">
            <v>Acanthis flammea</v>
          </cell>
        </row>
        <row r="16">
          <cell r="A16" t="str">
            <v>Accipiter gentilis</v>
          </cell>
          <cell r="B16" t="str">
            <v>Birds</v>
          </cell>
          <cell r="C16" t="str">
            <v>Aves</v>
          </cell>
          <cell r="D16" t="str">
            <v>Accipiter gentilis [br]</v>
          </cell>
          <cell r="E16" t="str">
            <v>NT</v>
          </cell>
          <cell r="F16" t="str">
            <v>Stanbury et al., 2021</v>
          </cell>
          <cell r="G16" t="str">
            <v>NHMSYS0000530119</v>
          </cell>
          <cell r="H16" t="str">
            <v>Accipiter gentilis</v>
          </cell>
        </row>
        <row r="17">
          <cell r="A17" t="str">
            <v>Accipiter nisus</v>
          </cell>
          <cell r="B17" t="str">
            <v>Birds</v>
          </cell>
          <cell r="C17" t="str">
            <v>Aves</v>
          </cell>
          <cell r="D17" t="str">
            <v>Accipiter nisus [br]</v>
          </cell>
          <cell r="E17" t="str">
            <v>VU</v>
          </cell>
          <cell r="F17" t="str">
            <v>Stanbury et al., 2021</v>
          </cell>
          <cell r="G17" t="str">
            <v>NHMSYS0000530120</v>
          </cell>
          <cell r="H17" t="str">
            <v>Accipiter nisus</v>
          </cell>
        </row>
        <row r="18">
          <cell r="A18" t="str">
            <v>Acrocephalus palustris</v>
          </cell>
          <cell r="B18" t="str">
            <v>Birds</v>
          </cell>
          <cell r="C18" t="str">
            <v>Aves</v>
          </cell>
          <cell r="D18" t="str">
            <v>Acrocephalus palustris [br]</v>
          </cell>
          <cell r="E18" t="str">
            <v>CR</v>
          </cell>
          <cell r="F18" t="str">
            <v>Stanbury et al., 2021</v>
          </cell>
          <cell r="G18" t="str">
            <v>NHMSYS0000530128</v>
          </cell>
          <cell r="H18" t="str">
            <v>Acrocephalus palustris</v>
          </cell>
        </row>
        <row r="19">
          <cell r="A19" t="str">
            <v>Acrocephalus schoenobaenus</v>
          </cell>
          <cell r="B19" t="str">
            <v>Birds</v>
          </cell>
          <cell r="C19" t="str">
            <v>Aves</v>
          </cell>
          <cell r="D19" t="str">
            <v>Acrocephalus schoenobaenus [br]</v>
          </cell>
          <cell r="E19" t="str">
            <v>NT</v>
          </cell>
          <cell r="F19" t="str">
            <v>Stanbury et al., 2021</v>
          </cell>
          <cell r="G19" t="str">
            <v>NHMSYS0000530129</v>
          </cell>
          <cell r="H19" t="str">
            <v>Acrocephalus schoenobaenus</v>
          </cell>
        </row>
        <row r="20">
          <cell r="A20" t="str">
            <v>Acrocephalus scirpaceus</v>
          </cell>
          <cell r="B20" t="str">
            <v>Birds</v>
          </cell>
          <cell r="C20" t="str">
            <v>Aves</v>
          </cell>
          <cell r="D20" t="str">
            <v>Acrocephalus scirpaceus [br]</v>
          </cell>
          <cell r="E20" t="str">
            <v>LC</v>
          </cell>
          <cell r="F20" t="str">
            <v>Stanbury et al., 2021</v>
          </cell>
          <cell r="G20" t="str">
            <v>NHMSYS0000530130</v>
          </cell>
          <cell r="H20" t="str">
            <v>Acrocephalus scirpaceus</v>
          </cell>
        </row>
        <row r="21">
          <cell r="A21" t="str">
            <v>Actitis hypoleucos</v>
          </cell>
          <cell r="B21" t="str">
            <v>Birds</v>
          </cell>
          <cell r="C21" t="str">
            <v>Aves</v>
          </cell>
          <cell r="D21" t="str">
            <v>Actitis hypoleucos [br]</v>
          </cell>
          <cell r="E21" t="str">
            <v>NT</v>
          </cell>
          <cell r="F21" t="str">
            <v>Stanbury et al., 2021</v>
          </cell>
          <cell r="G21" t="str">
            <v>NHMSYS0021053542</v>
          </cell>
          <cell r="H21" t="str">
            <v>Actitis hypoleucos</v>
          </cell>
        </row>
        <row r="22">
          <cell r="A22" t="str">
            <v>Aegithalos caudatus</v>
          </cell>
          <cell r="B22" t="str">
            <v>Birds</v>
          </cell>
          <cell r="C22" t="str">
            <v>Aves</v>
          </cell>
          <cell r="D22" t="str">
            <v>Aegithalos caudatus [br]</v>
          </cell>
          <cell r="E22" t="str">
            <v>LC</v>
          </cell>
          <cell r="F22" t="str">
            <v>Stanbury et al., 2021</v>
          </cell>
          <cell r="G22" t="str">
            <v>NHMSYS0000530133</v>
          </cell>
          <cell r="H22" t="str">
            <v>Aegithalos caudatus</v>
          </cell>
        </row>
        <row r="23">
          <cell r="A23" t="str">
            <v>Alauda arvensis</v>
          </cell>
          <cell r="B23" t="str">
            <v>Birds</v>
          </cell>
          <cell r="C23" t="str">
            <v>Aves</v>
          </cell>
          <cell r="D23" t="str">
            <v>Alauda arvensis [br]</v>
          </cell>
          <cell r="E23" t="str">
            <v>LC</v>
          </cell>
          <cell r="F23" t="str">
            <v>Stanbury et al., 2021</v>
          </cell>
          <cell r="G23" t="str">
            <v>NHMSYS0000530139</v>
          </cell>
          <cell r="H23" t="str">
            <v>Alauda arvensis</v>
          </cell>
        </row>
        <row r="24">
          <cell r="A24" t="str">
            <v>Alauda arvensis</v>
          </cell>
          <cell r="B24" t="str">
            <v>Birds</v>
          </cell>
          <cell r="C24" t="str">
            <v>Aves</v>
          </cell>
          <cell r="D24" t="str">
            <v>Alauda arvensis [n-br]</v>
          </cell>
          <cell r="E24" t="str">
            <v>LC</v>
          </cell>
          <cell r="F24" t="str">
            <v>Stanbury et al., 2021</v>
          </cell>
          <cell r="G24" t="str">
            <v>NHMSYS0000530139</v>
          </cell>
          <cell r="H24" t="str">
            <v>Alauda arvensis</v>
          </cell>
        </row>
        <row r="25">
          <cell r="A25" t="str">
            <v>Alca torda</v>
          </cell>
          <cell r="B25" t="str">
            <v>Birds</v>
          </cell>
          <cell r="C25" t="str">
            <v>Aves</v>
          </cell>
          <cell r="D25" t="str">
            <v>Alca torda [br]</v>
          </cell>
          <cell r="E25" t="str">
            <v>LC</v>
          </cell>
          <cell r="F25" t="str">
            <v>Stanbury et al., 2021</v>
          </cell>
          <cell r="G25" t="str">
            <v>NBNSYS0000000040</v>
          </cell>
          <cell r="H25" t="str">
            <v>Alca torda</v>
          </cell>
        </row>
        <row r="26">
          <cell r="A26" t="str">
            <v>Alcedo atthis</v>
          </cell>
          <cell r="B26" t="str">
            <v>Birds</v>
          </cell>
          <cell r="C26" t="str">
            <v>Aves</v>
          </cell>
          <cell r="D26" t="str">
            <v>Alcedo atthis [br]</v>
          </cell>
          <cell r="E26" t="str">
            <v>VU</v>
          </cell>
          <cell r="F26" t="str">
            <v>Stanbury et al., 2021</v>
          </cell>
          <cell r="G26" t="str">
            <v>NHMSYS0000530141</v>
          </cell>
          <cell r="H26" t="str">
            <v>Alcedo atthis</v>
          </cell>
        </row>
        <row r="27">
          <cell r="A27" t="str">
            <v>Anas acuta</v>
          </cell>
          <cell r="B27" t="str">
            <v>Birds</v>
          </cell>
          <cell r="C27" t="str">
            <v>Aves</v>
          </cell>
          <cell r="D27" t="str">
            <v>Anas acuta [br]</v>
          </cell>
          <cell r="E27" t="str">
            <v>CR</v>
          </cell>
          <cell r="F27" t="str">
            <v>Stanbury et al., 2021</v>
          </cell>
          <cell r="G27" t="str">
            <v>NBNSYS0000000189</v>
          </cell>
          <cell r="H27" t="str">
            <v>Anas acuta</v>
          </cell>
        </row>
        <row r="28">
          <cell r="A28" t="str">
            <v>Anas acuta</v>
          </cell>
          <cell r="B28" t="str">
            <v>Birds</v>
          </cell>
          <cell r="C28" t="str">
            <v>Aves</v>
          </cell>
          <cell r="D28" t="str">
            <v>Anas acuta [n-br]</v>
          </cell>
          <cell r="E28" t="str">
            <v>VU</v>
          </cell>
          <cell r="F28" t="str">
            <v>Stanbury et al., 2021</v>
          </cell>
          <cell r="G28" t="str">
            <v>NBNSYS0000000189</v>
          </cell>
          <cell r="H28" t="str">
            <v>Anas acuta</v>
          </cell>
        </row>
        <row r="29">
          <cell r="A29" t="str">
            <v>Anas crecca</v>
          </cell>
          <cell r="B29" t="str">
            <v>Birds</v>
          </cell>
          <cell r="C29" t="str">
            <v>Aves</v>
          </cell>
          <cell r="D29" t="str">
            <v>Anas crecca [br]</v>
          </cell>
          <cell r="E29" t="str">
            <v>LC</v>
          </cell>
          <cell r="F29" t="str">
            <v>Stanbury et al., 2021</v>
          </cell>
          <cell r="G29" t="str">
            <v>NBNSYS0000000131</v>
          </cell>
          <cell r="H29" t="str">
            <v>Anas crecca</v>
          </cell>
        </row>
        <row r="30">
          <cell r="A30" t="str">
            <v>Anas crecca</v>
          </cell>
          <cell r="B30" t="str">
            <v>Birds</v>
          </cell>
          <cell r="C30" t="str">
            <v>Aves</v>
          </cell>
          <cell r="D30" t="str">
            <v>Anas crecca [n-br]</v>
          </cell>
          <cell r="E30" t="str">
            <v>LC</v>
          </cell>
          <cell r="F30" t="str">
            <v>Stanbury et al., 2021</v>
          </cell>
          <cell r="G30" t="str">
            <v>NBNSYS0000000131</v>
          </cell>
          <cell r="H30" t="str">
            <v>Anas crecca</v>
          </cell>
        </row>
        <row r="31">
          <cell r="A31" t="str">
            <v>Anas platyrhynchos</v>
          </cell>
          <cell r="B31" t="str">
            <v>Birds</v>
          </cell>
          <cell r="C31" t="str">
            <v>Aves</v>
          </cell>
          <cell r="D31" t="str">
            <v>Anas platyrhynchos [br]</v>
          </cell>
          <cell r="E31" t="str">
            <v>LC</v>
          </cell>
          <cell r="F31" t="str">
            <v>Stanbury et al., 2021</v>
          </cell>
          <cell r="G31" t="str">
            <v>NBNSYS0000000007</v>
          </cell>
          <cell r="H31" t="str">
            <v>Anas platyrhynchos</v>
          </cell>
        </row>
        <row r="32">
          <cell r="A32" t="str">
            <v>Anas platyrhynchos</v>
          </cell>
          <cell r="B32" t="str">
            <v>Birds</v>
          </cell>
          <cell r="C32" t="str">
            <v>Aves</v>
          </cell>
          <cell r="D32" t="str">
            <v>Anas platyrhynchos [n-br]</v>
          </cell>
          <cell r="E32" t="str">
            <v>VU</v>
          </cell>
          <cell r="F32" t="str">
            <v>Stanbury et al., 2021</v>
          </cell>
          <cell r="G32" t="str">
            <v>NBNSYS0000000007</v>
          </cell>
          <cell r="H32" t="str">
            <v>Anas platyrhynchos</v>
          </cell>
        </row>
        <row r="33">
          <cell r="A33" t="str">
            <v>Anser albifrons</v>
          </cell>
          <cell r="B33" t="str">
            <v>Birds</v>
          </cell>
          <cell r="C33" t="str">
            <v>Aves</v>
          </cell>
          <cell r="D33" t="str">
            <v>Anser albifrons [n-br]</v>
          </cell>
          <cell r="E33" t="str">
            <v>EN</v>
          </cell>
          <cell r="F33" t="str">
            <v>Stanbury et al., 2021</v>
          </cell>
          <cell r="G33" t="str">
            <v>NHMSYS0000530149</v>
          </cell>
          <cell r="H33" t="str">
            <v>Anser albifrons</v>
          </cell>
        </row>
        <row r="34">
          <cell r="A34" t="str">
            <v>Anser anser</v>
          </cell>
          <cell r="B34" t="str">
            <v>Birds</v>
          </cell>
          <cell r="C34" t="str">
            <v>Aves</v>
          </cell>
          <cell r="D34" t="str">
            <v>Anser anser [br]</v>
          </cell>
          <cell r="E34" t="str">
            <v>LC</v>
          </cell>
          <cell r="F34" t="str">
            <v>Stanbury et al., 2021</v>
          </cell>
          <cell r="G34" t="str">
            <v>NBNSYS0000000201</v>
          </cell>
          <cell r="H34" t="str">
            <v>Anser anser</v>
          </cell>
        </row>
        <row r="35">
          <cell r="A35" t="str">
            <v>Anser anser</v>
          </cell>
          <cell r="B35" t="str">
            <v>Birds</v>
          </cell>
          <cell r="C35" t="str">
            <v>Aves</v>
          </cell>
          <cell r="D35" t="str">
            <v>Anser anser [n-br]</v>
          </cell>
          <cell r="E35" t="str">
            <v>LC</v>
          </cell>
          <cell r="F35" t="str">
            <v>Stanbury et al., 2021</v>
          </cell>
          <cell r="G35" t="str">
            <v>NBNSYS0000000201</v>
          </cell>
          <cell r="H35" t="str">
            <v>Anser anser</v>
          </cell>
        </row>
        <row r="36">
          <cell r="A36" t="str">
            <v>Anser brachyrhynchus</v>
          </cell>
          <cell r="B36" t="str">
            <v>Birds</v>
          </cell>
          <cell r="C36" t="str">
            <v>Aves</v>
          </cell>
          <cell r="D36" t="str">
            <v>Anser brachyrhynchus [n-br]</v>
          </cell>
          <cell r="E36" t="str">
            <v>LC</v>
          </cell>
          <cell r="F36" t="str">
            <v>Stanbury et al., 2021</v>
          </cell>
          <cell r="G36" t="str">
            <v>NHMSYS0000530150</v>
          </cell>
          <cell r="H36" t="str">
            <v>Anser brachyrhynchus</v>
          </cell>
        </row>
        <row r="37">
          <cell r="A37" t="str">
            <v>Anser fabalis</v>
          </cell>
          <cell r="B37" t="str">
            <v>Birds</v>
          </cell>
          <cell r="C37" t="str">
            <v>Aves</v>
          </cell>
          <cell r="D37" t="str">
            <v>Anser fabalis [n-br]</v>
          </cell>
          <cell r="E37" t="str">
            <v>EN</v>
          </cell>
          <cell r="F37" t="str">
            <v>Stanbury et al., 2021</v>
          </cell>
          <cell r="G37" t="str">
            <v>NBNSYS0000000213</v>
          </cell>
          <cell r="H37" t="str">
            <v>Anser fabalis</v>
          </cell>
        </row>
        <row r="38">
          <cell r="A38" t="str">
            <v>Anthus petrosus</v>
          </cell>
          <cell r="B38" t="str">
            <v>Birds</v>
          </cell>
          <cell r="C38" t="str">
            <v>Aves</v>
          </cell>
          <cell r="D38" t="str">
            <v>Anthus petrosus [br]</v>
          </cell>
          <cell r="E38" t="str">
            <v>LC</v>
          </cell>
          <cell r="F38" t="str">
            <v>Stanbury et al., 2021</v>
          </cell>
          <cell r="G38" t="str">
            <v>NHMSYS0000530158</v>
          </cell>
          <cell r="H38" t="str">
            <v>Anthus petrosus</v>
          </cell>
        </row>
        <row r="39">
          <cell r="A39" t="str">
            <v>Anthus pratensis</v>
          </cell>
          <cell r="B39" t="str">
            <v>Birds</v>
          </cell>
          <cell r="C39" t="str">
            <v>Aves</v>
          </cell>
          <cell r="D39" t="str">
            <v>Anthus pratensis [br]</v>
          </cell>
          <cell r="E39" t="str">
            <v>LC</v>
          </cell>
          <cell r="F39" t="str">
            <v>Stanbury et al., 2021</v>
          </cell>
          <cell r="G39" t="str">
            <v>NHMSYS0000530159</v>
          </cell>
          <cell r="H39" t="str">
            <v>Anthus pratensis</v>
          </cell>
        </row>
        <row r="40">
          <cell r="A40" t="str">
            <v>Anthus spinoletta</v>
          </cell>
          <cell r="B40" t="str">
            <v>Birds</v>
          </cell>
          <cell r="C40" t="str">
            <v>Aves</v>
          </cell>
          <cell r="D40" t="str">
            <v>Anthus spinoletta [n-br]</v>
          </cell>
          <cell r="E40" t="str">
            <v>EN</v>
          </cell>
          <cell r="F40" t="str">
            <v>Stanbury et al., 2021</v>
          </cell>
          <cell r="G40" t="str">
            <v>NHMSYS0000530161</v>
          </cell>
          <cell r="H40" t="str">
            <v>Anthus spinoletta</v>
          </cell>
        </row>
        <row r="41">
          <cell r="A41" t="str">
            <v>Anthus trivialis</v>
          </cell>
          <cell r="B41" t="str">
            <v>Birds</v>
          </cell>
          <cell r="C41" t="str">
            <v>Aves</v>
          </cell>
          <cell r="D41" t="str">
            <v>Anthus trivialis [br]</v>
          </cell>
          <cell r="E41" t="str">
            <v>LC</v>
          </cell>
          <cell r="F41" t="str">
            <v>Stanbury et al., 2021</v>
          </cell>
          <cell r="G41" t="str">
            <v>NHMSYS0000530162</v>
          </cell>
          <cell r="H41" t="str">
            <v>Anthus trivialis</v>
          </cell>
        </row>
        <row r="42">
          <cell r="A42" t="str">
            <v>Apus apus</v>
          </cell>
          <cell r="B42" t="str">
            <v>Birds</v>
          </cell>
          <cell r="C42" t="str">
            <v>Aves</v>
          </cell>
          <cell r="D42" t="str">
            <v>Apus apus [br]</v>
          </cell>
          <cell r="E42" t="str">
            <v>EN</v>
          </cell>
          <cell r="F42" t="str">
            <v>Stanbury et al., 2021</v>
          </cell>
          <cell r="G42" t="str">
            <v>NHMSYS0000530165</v>
          </cell>
          <cell r="H42" t="str">
            <v>Apus apus</v>
          </cell>
        </row>
        <row r="43">
          <cell r="A43" t="str">
            <v>Aquila chrysaetos</v>
          </cell>
          <cell r="B43" t="str">
            <v>Birds</v>
          </cell>
          <cell r="C43" t="str">
            <v>Aves</v>
          </cell>
          <cell r="D43" t="str">
            <v>Aquila chrysaetos [br]</v>
          </cell>
          <cell r="E43" t="str">
            <v>NT</v>
          </cell>
          <cell r="F43" t="str">
            <v>Stanbury et al., 2021</v>
          </cell>
          <cell r="G43" t="str">
            <v>NHMSYS0000530170</v>
          </cell>
          <cell r="H43" t="str">
            <v>Aquila chrysaetos</v>
          </cell>
        </row>
        <row r="44">
          <cell r="A44" t="str">
            <v>Ardea alba</v>
          </cell>
          <cell r="B44" t="str">
            <v>Birds</v>
          </cell>
          <cell r="C44" t="str">
            <v>Aves</v>
          </cell>
          <cell r="D44" t="str">
            <v>Ardea alba [br]</v>
          </cell>
          <cell r="E44" t="str">
            <v>EN</v>
          </cell>
          <cell r="F44" t="str">
            <v>Stanbury et al., 2021</v>
          </cell>
          <cell r="G44" t="str">
            <v>NHMSYS0000530172</v>
          </cell>
          <cell r="H44" t="str">
            <v>Ardea alba</v>
          </cell>
        </row>
        <row r="45">
          <cell r="A45" t="str">
            <v>Ardea alba</v>
          </cell>
          <cell r="B45" t="str">
            <v>Birds</v>
          </cell>
          <cell r="C45" t="str">
            <v>Aves</v>
          </cell>
          <cell r="D45" t="str">
            <v>Ardea alba [n-br]</v>
          </cell>
          <cell r="E45" t="str">
            <v>VU</v>
          </cell>
          <cell r="F45" t="str">
            <v>Stanbury et al., 2021</v>
          </cell>
          <cell r="G45" t="str">
            <v>NHMSYS0000530172</v>
          </cell>
          <cell r="H45" t="str">
            <v>Ardea alba</v>
          </cell>
        </row>
        <row r="46">
          <cell r="A46" t="str">
            <v>Ardea cinerea</v>
          </cell>
          <cell r="B46" t="str">
            <v>Birds</v>
          </cell>
          <cell r="C46" t="str">
            <v>Aves</v>
          </cell>
          <cell r="D46" t="str">
            <v>Ardea cinerea [br]</v>
          </cell>
          <cell r="E46" t="str">
            <v>VU</v>
          </cell>
          <cell r="F46" t="str">
            <v>Stanbury et al., 2021</v>
          </cell>
          <cell r="G46" t="str">
            <v>NBNSYS0000000006</v>
          </cell>
          <cell r="H46" t="str">
            <v>Ardea cinerea</v>
          </cell>
        </row>
        <row r="47">
          <cell r="A47" t="str">
            <v>Ardea cinerea</v>
          </cell>
          <cell r="B47" t="str">
            <v>Birds</v>
          </cell>
          <cell r="C47" t="str">
            <v>Aves</v>
          </cell>
          <cell r="D47" t="str">
            <v>Ardea cinerea [n-br]</v>
          </cell>
          <cell r="E47" t="str">
            <v>LC</v>
          </cell>
          <cell r="F47" t="str">
            <v>Stanbury et al., 2021</v>
          </cell>
          <cell r="G47" t="str">
            <v>NBNSYS0000000006</v>
          </cell>
          <cell r="H47" t="str">
            <v>Ardea cinerea</v>
          </cell>
        </row>
        <row r="48">
          <cell r="A48" t="str">
            <v>Arenaria interpres</v>
          </cell>
          <cell r="B48" t="str">
            <v>Birds</v>
          </cell>
          <cell r="C48" t="str">
            <v>Aves</v>
          </cell>
          <cell r="D48" t="str">
            <v>Arenaria interpres [n-br]</v>
          </cell>
          <cell r="E48" t="str">
            <v>VU</v>
          </cell>
          <cell r="F48" t="str">
            <v>Stanbury et al., 2021</v>
          </cell>
          <cell r="G48" t="str">
            <v>NBNSYS0000000142</v>
          </cell>
          <cell r="H48" t="str">
            <v>Arenaria interpres</v>
          </cell>
        </row>
        <row r="49">
          <cell r="A49" t="str">
            <v>Asio flammeus</v>
          </cell>
          <cell r="B49" t="str">
            <v>Birds</v>
          </cell>
          <cell r="C49" t="str">
            <v>Aves</v>
          </cell>
          <cell r="D49" t="str">
            <v>Asio flammeus [br]</v>
          </cell>
          <cell r="E49" t="str">
            <v>EN</v>
          </cell>
          <cell r="F49" t="str">
            <v>Stanbury et al., 2021</v>
          </cell>
          <cell r="G49" t="str">
            <v>NHMSYS0000530180</v>
          </cell>
          <cell r="H49" t="str">
            <v>Asio flammeus</v>
          </cell>
        </row>
        <row r="50">
          <cell r="A50" t="str">
            <v>Asio otus</v>
          </cell>
          <cell r="B50" t="str">
            <v>Birds</v>
          </cell>
          <cell r="C50" t="str">
            <v>Aves</v>
          </cell>
          <cell r="D50" t="str">
            <v>Asio otus [br]</v>
          </cell>
          <cell r="E50" t="str">
            <v>LC</v>
          </cell>
          <cell r="F50" t="str">
            <v>Stanbury et al., 2021</v>
          </cell>
          <cell r="G50" t="str">
            <v>NHMSYS0000530181</v>
          </cell>
          <cell r="H50" t="str">
            <v>Asio otus</v>
          </cell>
        </row>
        <row r="51">
          <cell r="A51" t="str">
            <v>Aythya ferina</v>
          </cell>
          <cell r="B51" t="str">
            <v>Birds</v>
          </cell>
          <cell r="C51" t="str">
            <v>Aves</v>
          </cell>
          <cell r="D51" t="str">
            <v>Aythya ferina [br]</v>
          </cell>
          <cell r="E51" t="str">
            <v>VU</v>
          </cell>
          <cell r="F51" t="str">
            <v>Stanbury et al., 2021</v>
          </cell>
          <cell r="G51" t="str">
            <v>NBNSYS0000000137</v>
          </cell>
          <cell r="H51" t="str">
            <v>Aythya ferina</v>
          </cell>
        </row>
        <row r="52">
          <cell r="A52" t="str">
            <v>Aythya ferina</v>
          </cell>
          <cell r="B52" t="str">
            <v>Birds</v>
          </cell>
          <cell r="C52" t="str">
            <v>Aves</v>
          </cell>
          <cell r="D52" t="str">
            <v>Aythya ferina [n-br]</v>
          </cell>
          <cell r="E52" t="str">
            <v>EN</v>
          </cell>
          <cell r="F52" t="str">
            <v>Stanbury et al., 2021</v>
          </cell>
          <cell r="G52" t="str">
            <v>NBNSYS0000000137</v>
          </cell>
          <cell r="H52" t="str">
            <v>Aythya ferina</v>
          </cell>
        </row>
        <row r="53">
          <cell r="A53" t="str">
            <v>Aythya fuligula</v>
          </cell>
          <cell r="B53" t="str">
            <v>Birds</v>
          </cell>
          <cell r="C53" t="str">
            <v>Aves</v>
          </cell>
          <cell r="D53" t="str">
            <v>Aythya fuligula [br]</v>
          </cell>
          <cell r="E53" t="str">
            <v>VU</v>
          </cell>
          <cell r="F53" t="str">
            <v>Stanbury et al., 2021</v>
          </cell>
          <cell r="G53" t="str">
            <v>NBNSYS0000000139</v>
          </cell>
          <cell r="H53" t="str">
            <v>Aythya fuligula</v>
          </cell>
        </row>
        <row r="54">
          <cell r="A54" t="str">
            <v>Aythya fuligula</v>
          </cell>
          <cell r="B54" t="str">
            <v>Birds</v>
          </cell>
          <cell r="C54" t="str">
            <v>Aves</v>
          </cell>
          <cell r="D54" t="str">
            <v>Aythya fuligula [n-br]</v>
          </cell>
          <cell r="E54" t="str">
            <v>LC</v>
          </cell>
          <cell r="F54" t="str">
            <v>Stanbury et al., 2021</v>
          </cell>
          <cell r="G54" t="str">
            <v>NBNSYS0000000139</v>
          </cell>
          <cell r="H54" t="str">
            <v>Aythya fuligula</v>
          </cell>
        </row>
        <row r="55">
          <cell r="A55" t="str">
            <v>Aythya marila</v>
          </cell>
          <cell r="B55" t="str">
            <v>Birds</v>
          </cell>
          <cell r="C55" t="str">
            <v>Aves</v>
          </cell>
          <cell r="D55" t="str">
            <v>Aythya marila [n-br]</v>
          </cell>
          <cell r="E55" t="str">
            <v>EN</v>
          </cell>
          <cell r="F55" t="str">
            <v>Stanbury et al., 2021</v>
          </cell>
          <cell r="G55" t="str">
            <v>NBNSYS0000000193</v>
          </cell>
          <cell r="H55" t="str">
            <v>Aythya marila</v>
          </cell>
        </row>
        <row r="56">
          <cell r="A56" t="str">
            <v>Bombycilla garrulus</v>
          </cell>
          <cell r="B56" t="str">
            <v>Birds</v>
          </cell>
          <cell r="C56" t="str">
            <v>Aves</v>
          </cell>
          <cell r="D56" t="str">
            <v>Bombycilla garrulus [n-br]</v>
          </cell>
          <cell r="E56" t="str">
            <v>LC</v>
          </cell>
          <cell r="F56" t="str">
            <v>Stanbury et al., 2021</v>
          </cell>
          <cell r="G56" t="str">
            <v>NHMSYS0000530207</v>
          </cell>
          <cell r="H56" t="str">
            <v>Bombycilla garrulus</v>
          </cell>
        </row>
        <row r="57">
          <cell r="A57" t="str">
            <v>Botaurus stellaris</v>
          </cell>
          <cell r="B57" t="str">
            <v>Birds</v>
          </cell>
          <cell r="C57" t="str">
            <v>Aves</v>
          </cell>
          <cell r="D57" t="str">
            <v>Botaurus stellaris [br]</v>
          </cell>
          <cell r="E57" t="str">
            <v>VU</v>
          </cell>
          <cell r="F57" t="str">
            <v>Stanbury et al., 2021</v>
          </cell>
          <cell r="G57" t="str">
            <v>NHMSYS0000530210</v>
          </cell>
          <cell r="H57" t="str">
            <v>Botaurus stellaris</v>
          </cell>
        </row>
        <row r="58">
          <cell r="A58" t="str">
            <v>Botaurus stellaris</v>
          </cell>
          <cell r="B58" t="str">
            <v>Birds</v>
          </cell>
          <cell r="C58" t="str">
            <v>Aves</v>
          </cell>
          <cell r="D58" t="str">
            <v>Botaurus stellaris [n-br]</v>
          </cell>
          <cell r="E58" t="str">
            <v>NT</v>
          </cell>
          <cell r="F58" t="str">
            <v>Stanbury et al., 2021</v>
          </cell>
          <cell r="G58" t="str">
            <v>NHMSYS0000530210</v>
          </cell>
          <cell r="H58" t="str">
            <v>Botaurus stellaris</v>
          </cell>
        </row>
        <row r="59">
          <cell r="A59" t="str">
            <v>Branta bernicla</v>
          </cell>
          <cell r="B59" t="str">
            <v>Birds</v>
          </cell>
          <cell r="C59" t="str">
            <v>Aves</v>
          </cell>
          <cell r="D59" t="str">
            <v>Branta bernicla [n-br]</v>
          </cell>
          <cell r="E59" t="str">
            <v>LC</v>
          </cell>
          <cell r="F59" t="str">
            <v>Stanbury et al., 2021</v>
          </cell>
          <cell r="G59" t="str">
            <v>NBNSYS0000000260</v>
          </cell>
          <cell r="H59" t="str">
            <v>Branta bernicla</v>
          </cell>
        </row>
        <row r="60">
          <cell r="A60" t="str">
            <v>Branta leucopsis</v>
          </cell>
          <cell r="B60" t="str">
            <v>Birds</v>
          </cell>
          <cell r="C60" t="str">
            <v>Aves</v>
          </cell>
          <cell r="D60" t="str">
            <v>Branta leucopsis [n-br]</v>
          </cell>
          <cell r="E60" t="str">
            <v>LC</v>
          </cell>
          <cell r="F60" t="str">
            <v>Stanbury et al., 2021</v>
          </cell>
          <cell r="G60" t="str">
            <v>NBNSYS0000000214</v>
          </cell>
          <cell r="H60" t="str">
            <v>Branta leucopsis</v>
          </cell>
        </row>
        <row r="61">
          <cell r="A61" t="str">
            <v>Bubulcus ibis</v>
          </cell>
          <cell r="B61" t="str">
            <v>Birds</v>
          </cell>
          <cell r="C61" t="str">
            <v>Aves</v>
          </cell>
          <cell r="D61" t="str">
            <v>Bubulcus ibis [n-br]</v>
          </cell>
          <cell r="E61" t="str">
            <v>VU</v>
          </cell>
          <cell r="F61" t="str">
            <v>Stanbury et al., 2021</v>
          </cell>
          <cell r="G61" t="str">
            <v>NHMSYS0000530216</v>
          </cell>
          <cell r="H61" t="str">
            <v>Bubulcus ibis</v>
          </cell>
        </row>
        <row r="62">
          <cell r="A62" t="str">
            <v>Bucephala clangula</v>
          </cell>
          <cell r="B62" t="str">
            <v>Birds</v>
          </cell>
          <cell r="C62" t="str">
            <v>Aves</v>
          </cell>
          <cell r="D62" t="str">
            <v>Bucephala clangula [br]</v>
          </cell>
          <cell r="E62" t="str">
            <v>VU</v>
          </cell>
          <cell r="F62" t="str">
            <v>Stanbury et al., 2021</v>
          </cell>
          <cell r="G62" t="str">
            <v>NBNSYS0000000191</v>
          </cell>
          <cell r="H62" t="str">
            <v>Bucephala clangula</v>
          </cell>
        </row>
        <row r="63">
          <cell r="A63" t="str">
            <v>Bucephala clangula</v>
          </cell>
          <cell r="B63" t="str">
            <v>Birds</v>
          </cell>
          <cell r="C63" t="str">
            <v>Aves</v>
          </cell>
          <cell r="D63" t="str">
            <v>Bucephala clangula [n-br]</v>
          </cell>
          <cell r="E63" t="str">
            <v>VU</v>
          </cell>
          <cell r="F63" t="str">
            <v>Stanbury et al., 2021</v>
          </cell>
          <cell r="G63" t="str">
            <v>NBNSYS0000000191</v>
          </cell>
          <cell r="H63" t="str">
            <v>Bucephala clangula</v>
          </cell>
        </row>
        <row r="64">
          <cell r="A64" t="str">
            <v>Burhinus oedicnemus</v>
          </cell>
          <cell r="B64" t="str">
            <v>Birds</v>
          </cell>
          <cell r="C64" t="str">
            <v>Aves</v>
          </cell>
          <cell r="D64" t="str">
            <v>Burhinus oedicnemus [br]</v>
          </cell>
          <cell r="E64" t="str">
            <v>VU</v>
          </cell>
          <cell r="F64" t="str">
            <v>Stanbury et al., 2021</v>
          </cell>
          <cell r="G64" t="str">
            <v>NHMSYS0000530223</v>
          </cell>
          <cell r="H64" t="str">
            <v>Burhinus oedicnemus</v>
          </cell>
        </row>
        <row r="65">
          <cell r="A65" t="str">
            <v>Buteo buteo</v>
          </cell>
          <cell r="B65" t="str">
            <v>Birds</v>
          </cell>
          <cell r="C65" t="str">
            <v>Aves</v>
          </cell>
          <cell r="D65" t="str">
            <v>Buteo buteo [br]</v>
          </cell>
          <cell r="E65" t="str">
            <v>LC</v>
          </cell>
          <cell r="F65" t="str">
            <v>Stanbury et al., 2021</v>
          </cell>
          <cell r="G65" t="str">
            <v>NHMSYS0000530225</v>
          </cell>
          <cell r="H65" t="str">
            <v>Buteo buteo</v>
          </cell>
        </row>
        <row r="66">
          <cell r="A66" t="str">
            <v>Calcarius lapponicus</v>
          </cell>
          <cell r="B66" t="str">
            <v>Birds</v>
          </cell>
          <cell r="C66" t="str">
            <v>Aves</v>
          </cell>
          <cell r="D66" t="str">
            <v>Calcarius lapponicus [n-br]</v>
          </cell>
          <cell r="E66" t="str">
            <v>VU</v>
          </cell>
          <cell r="F66" t="str">
            <v>Stanbury et al., 2021</v>
          </cell>
          <cell r="G66" t="str">
            <v>NHMSYS0000530233</v>
          </cell>
          <cell r="H66" t="str">
            <v>Calcarius lapponicus</v>
          </cell>
        </row>
        <row r="67">
          <cell r="A67" t="str">
            <v>Calidris alba</v>
          </cell>
          <cell r="B67" t="str">
            <v>Birds</v>
          </cell>
          <cell r="C67" t="str">
            <v>Aves</v>
          </cell>
          <cell r="D67" t="str">
            <v>Calidris alba [n-br]</v>
          </cell>
          <cell r="E67" t="str">
            <v>LC</v>
          </cell>
          <cell r="F67" t="str">
            <v>Stanbury et al., 2021</v>
          </cell>
          <cell r="G67" t="str">
            <v>NBNSYS0000000152</v>
          </cell>
          <cell r="H67" t="str">
            <v>Calidris alba</v>
          </cell>
        </row>
        <row r="68">
          <cell r="A68" t="str">
            <v>Calidris alpina</v>
          </cell>
          <cell r="B68" t="str">
            <v>Birds</v>
          </cell>
          <cell r="C68" t="str">
            <v>Aves</v>
          </cell>
          <cell r="D68" t="str">
            <v>Calidris alpina [br]</v>
          </cell>
          <cell r="E68" t="str">
            <v>VU</v>
          </cell>
          <cell r="F68" t="str">
            <v>Stanbury et al., 2021</v>
          </cell>
          <cell r="G68" t="str">
            <v>NBNSYS0000000035</v>
          </cell>
          <cell r="H68" t="str">
            <v>Calidris alpina</v>
          </cell>
        </row>
        <row r="69">
          <cell r="A69" t="str">
            <v>Calidris alpina</v>
          </cell>
          <cell r="B69" t="str">
            <v>Birds</v>
          </cell>
          <cell r="C69" t="str">
            <v>Aves</v>
          </cell>
          <cell r="D69" t="str">
            <v>Calidris alpina [n-br]</v>
          </cell>
          <cell r="E69" t="str">
            <v>VU</v>
          </cell>
          <cell r="F69" t="str">
            <v>Stanbury et al., 2021</v>
          </cell>
          <cell r="G69" t="str">
            <v>NBNSYS0000000035</v>
          </cell>
          <cell r="H69" t="str">
            <v>Calidris alpina</v>
          </cell>
        </row>
        <row r="70">
          <cell r="A70" t="str">
            <v>Calidris canutus</v>
          </cell>
          <cell r="B70" t="str">
            <v>Birds</v>
          </cell>
          <cell r="C70" t="str">
            <v>Aves</v>
          </cell>
          <cell r="D70" t="str">
            <v>Calidris canutus [n-br]</v>
          </cell>
          <cell r="E70" t="str">
            <v>LC</v>
          </cell>
          <cell r="F70" t="str">
            <v>Stanbury et al., 2021</v>
          </cell>
          <cell r="G70" t="str">
            <v>NBNSYS0000000151</v>
          </cell>
          <cell r="H70" t="str">
            <v>Calidris canutus</v>
          </cell>
        </row>
        <row r="71">
          <cell r="A71" t="str">
            <v>Calidris maritima</v>
          </cell>
          <cell r="B71" t="str">
            <v>Birds</v>
          </cell>
          <cell r="C71" t="str">
            <v>Aves</v>
          </cell>
          <cell r="D71" t="str">
            <v>Calidris maritima [n-br]</v>
          </cell>
          <cell r="E71" t="str">
            <v>VU</v>
          </cell>
          <cell r="F71" t="str">
            <v>Stanbury et al., 2021</v>
          </cell>
          <cell r="G71" t="str">
            <v>NBNSYS0000000167</v>
          </cell>
          <cell r="H71" t="str">
            <v>Calidris maritima</v>
          </cell>
        </row>
        <row r="72">
          <cell r="A72" t="str">
            <v>Calidris pugnax</v>
          </cell>
          <cell r="B72" t="str">
            <v>Birds</v>
          </cell>
          <cell r="C72" t="str">
            <v>Aves</v>
          </cell>
          <cell r="D72" t="str">
            <v>Calidris pugnax [br]</v>
          </cell>
          <cell r="E72" t="str">
            <v>CR</v>
          </cell>
          <cell r="F72" t="str">
            <v>Stanbury et al., 2021</v>
          </cell>
          <cell r="G72" t="str">
            <v>NHMSYS0021003584</v>
          </cell>
          <cell r="H72" t="str">
            <v>Calidris pugnax</v>
          </cell>
        </row>
        <row r="73">
          <cell r="A73" t="str">
            <v>Calidris pugnax</v>
          </cell>
          <cell r="B73" t="str">
            <v>Birds</v>
          </cell>
          <cell r="C73" t="str">
            <v>Aves</v>
          </cell>
          <cell r="D73" t="str">
            <v>Calidris pugnax [n-br]</v>
          </cell>
          <cell r="E73" t="str">
            <v>EN</v>
          </cell>
          <cell r="F73" t="str">
            <v>Stanbury et al., 2021</v>
          </cell>
          <cell r="G73" t="str">
            <v>NHMSYS0021003584</v>
          </cell>
          <cell r="H73" t="str">
            <v>Calidris pugnax</v>
          </cell>
        </row>
        <row r="74">
          <cell r="A74" t="str">
            <v>Caprimulgus europaeus</v>
          </cell>
          <cell r="B74" t="str">
            <v>Birds</v>
          </cell>
          <cell r="C74" t="str">
            <v>Aves</v>
          </cell>
          <cell r="D74" t="str">
            <v>Caprimulgus europaeus [br]</v>
          </cell>
          <cell r="E74" t="str">
            <v>LC</v>
          </cell>
          <cell r="F74" t="str">
            <v>Stanbury et al., 2021</v>
          </cell>
          <cell r="G74" t="str">
            <v>NHMSYS0000530242</v>
          </cell>
          <cell r="H74" t="str">
            <v>Caprimulgus europaeus</v>
          </cell>
        </row>
        <row r="75">
          <cell r="A75" t="str">
            <v>Carduelis carduelis</v>
          </cell>
          <cell r="B75" t="str">
            <v>Birds</v>
          </cell>
          <cell r="C75" t="str">
            <v>Aves</v>
          </cell>
          <cell r="D75" t="str">
            <v>Carduelis carduelis [br]</v>
          </cell>
          <cell r="E75" t="str">
            <v>LC</v>
          </cell>
          <cell r="F75" t="str">
            <v>Stanbury et al., 2021</v>
          </cell>
          <cell r="G75" t="str">
            <v>NHMSYS0000530247</v>
          </cell>
          <cell r="H75" t="str">
            <v>Carduelis carduelis</v>
          </cell>
        </row>
        <row r="76">
          <cell r="A76" t="str">
            <v>Cepphus grylle</v>
          </cell>
          <cell r="B76" t="str">
            <v>Birds</v>
          </cell>
          <cell r="C76" t="str">
            <v>Aves</v>
          </cell>
          <cell r="D76" t="str">
            <v>Cepphus grylle [br]</v>
          </cell>
          <cell r="E76" t="str">
            <v>LC</v>
          </cell>
          <cell r="F76" t="str">
            <v>Stanbury et al., 2021</v>
          </cell>
          <cell r="G76" t="str">
            <v>NBNSYS0000000376</v>
          </cell>
          <cell r="H76" t="str">
            <v>Cepphus grylle</v>
          </cell>
        </row>
        <row r="77">
          <cell r="A77" t="str">
            <v>Certhia familiaris</v>
          </cell>
          <cell r="B77" t="str">
            <v>Birds</v>
          </cell>
          <cell r="C77" t="str">
            <v>Aves</v>
          </cell>
          <cell r="D77" t="str">
            <v>Certhia familiaris [br]</v>
          </cell>
          <cell r="E77" t="str">
            <v>LC</v>
          </cell>
          <cell r="F77" t="str">
            <v>Stanbury et al., 2021</v>
          </cell>
          <cell r="G77" t="str">
            <v>NHMSYS0000530266</v>
          </cell>
          <cell r="H77" t="str">
            <v>Certhia familiaris</v>
          </cell>
        </row>
        <row r="78">
          <cell r="A78" t="str">
            <v>Cettia cetti</v>
          </cell>
          <cell r="B78" t="str">
            <v>Birds</v>
          </cell>
          <cell r="C78" t="str">
            <v>Aves</v>
          </cell>
          <cell r="D78" t="str">
            <v>Cettia cetti [br]</v>
          </cell>
          <cell r="E78" t="str">
            <v>LC</v>
          </cell>
          <cell r="F78" t="str">
            <v>Stanbury et al., 2021</v>
          </cell>
          <cell r="G78" t="str">
            <v>NHMSYS0000530270</v>
          </cell>
          <cell r="H78" t="str">
            <v>Cettia cetti</v>
          </cell>
        </row>
        <row r="79">
          <cell r="A79" t="str">
            <v>Charadrius alexandrinus</v>
          </cell>
          <cell r="B79" t="str">
            <v>Birds</v>
          </cell>
          <cell r="C79" t="str">
            <v>Aves</v>
          </cell>
          <cell r="D79" t="str">
            <v>Charadrius alexandrinus [br]</v>
          </cell>
          <cell r="E79" t="str">
            <v>RE</v>
          </cell>
          <cell r="F79" t="str">
            <v>Stanbury et al., 2021</v>
          </cell>
          <cell r="G79" t="str">
            <v>NBNSYS0000000159</v>
          </cell>
          <cell r="H79" t="str">
            <v>Charadrius alexandrinus</v>
          </cell>
        </row>
        <row r="80">
          <cell r="A80" t="str">
            <v>Charadrius dubius</v>
          </cell>
          <cell r="B80" t="str">
            <v>Birds</v>
          </cell>
          <cell r="C80" t="str">
            <v>Aves</v>
          </cell>
          <cell r="D80" t="str">
            <v>Charadrius dubius [br]</v>
          </cell>
          <cell r="E80" t="str">
            <v>LC</v>
          </cell>
          <cell r="F80" t="str">
            <v>Stanbury et al., 2021</v>
          </cell>
          <cell r="G80" t="str">
            <v>NBNSYS0000000162</v>
          </cell>
          <cell r="H80" t="str">
            <v>Charadrius dubius</v>
          </cell>
        </row>
        <row r="81">
          <cell r="A81" t="str">
            <v>Charadrius hiaticula</v>
          </cell>
          <cell r="B81" t="str">
            <v>Birds</v>
          </cell>
          <cell r="C81" t="str">
            <v>Aves</v>
          </cell>
          <cell r="D81" t="str">
            <v>Charadrius hiaticula [br]</v>
          </cell>
          <cell r="E81" t="str">
            <v>NT</v>
          </cell>
          <cell r="F81" t="str">
            <v>Stanbury et al., 2021</v>
          </cell>
          <cell r="G81" t="str">
            <v>NBNSYS0000000028</v>
          </cell>
          <cell r="H81" t="str">
            <v>Charadrius hiaticula</v>
          </cell>
        </row>
        <row r="82">
          <cell r="A82" t="str">
            <v>Charadrius hiaticula</v>
          </cell>
          <cell r="B82" t="str">
            <v>Birds</v>
          </cell>
          <cell r="C82" t="str">
            <v>Aves</v>
          </cell>
          <cell r="D82" t="str">
            <v>Charadrius hiaticula [n-br]</v>
          </cell>
          <cell r="E82" t="str">
            <v>VU</v>
          </cell>
          <cell r="F82" t="str">
            <v>Stanbury et al., 2021</v>
          </cell>
          <cell r="G82" t="str">
            <v>NBNSYS0000000028</v>
          </cell>
          <cell r="H82" t="str">
            <v>Charadrius hiaticula</v>
          </cell>
        </row>
        <row r="83">
          <cell r="A83" t="str">
            <v>Charadrius morinellus</v>
          </cell>
          <cell r="B83" t="str">
            <v>Birds</v>
          </cell>
          <cell r="C83" t="str">
            <v>Aves</v>
          </cell>
          <cell r="D83" t="str">
            <v>Charadrius morinellus [br]</v>
          </cell>
          <cell r="E83" t="str">
            <v>VU</v>
          </cell>
          <cell r="F83" t="str">
            <v>Stanbury et al., 2021</v>
          </cell>
          <cell r="G83" t="str">
            <v>NBNSYS0000000176</v>
          </cell>
          <cell r="H83" t="str">
            <v>Charadrius morinellus</v>
          </cell>
        </row>
        <row r="84">
          <cell r="A84" t="str">
            <v>Chlidonias niger</v>
          </cell>
          <cell r="B84" t="str">
            <v>Birds</v>
          </cell>
          <cell r="C84" t="str">
            <v>Aves</v>
          </cell>
          <cell r="D84" t="str">
            <v>Chlidonias niger [br]</v>
          </cell>
          <cell r="E84" t="str">
            <v>RE</v>
          </cell>
          <cell r="F84" t="str">
            <v>Stanbury et al., 2021</v>
          </cell>
          <cell r="G84" t="str">
            <v>NBNSYS0000000372</v>
          </cell>
          <cell r="H84" t="str">
            <v>Chlidonias niger</v>
          </cell>
        </row>
        <row r="85">
          <cell r="A85" t="str">
            <v>Chloris chloris</v>
          </cell>
          <cell r="B85" t="str">
            <v>Birds</v>
          </cell>
          <cell r="C85" t="str">
            <v>Aves</v>
          </cell>
          <cell r="D85" t="str">
            <v>Chloris chloris [br]</v>
          </cell>
          <cell r="E85" t="str">
            <v>EN</v>
          </cell>
          <cell r="F85" t="str">
            <v>Stanbury et al., 2021</v>
          </cell>
          <cell r="G85" t="str">
            <v>NHMSYS0021002985</v>
          </cell>
          <cell r="H85" t="str">
            <v>Chloris chloris</v>
          </cell>
        </row>
        <row r="86">
          <cell r="A86" t="str">
            <v>Chroicocephalus ridibundus</v>
          </cell>
          <cell r="B86" t="str">
            <v>Birds</v>
          </cell>
          <cell r="C86" t="str">
            <v>Aves</v>
          </cell>
          <cell r="D86" t="str">
            <v>Chroicocephalus ridibundus [br]</v>
          </cell>
          <cell r="E86" t="str">
            <v>LC</v>
          </cell>
          <cell r="F86" t="str">
            <v>Stanbury et al., 2021</v>
          </cell>
          <cell r="G86" t="str">
            <v>NHMSYS0020962539</v>
          </cell>
          <cell r="H86" t="str">
            <v>Chroicocephalus ridibundus</v>
          </cell>
        </row>
        <row r="87">
          <cell r="A87" t="str">
            <v>Chroicocephalus ridibundus</v>
          </cell>
          <cell r="B87" t="str">
            <v>Birds</v>
          </cell>
          <cell r="C87" t="str">
            <v>Aves</v>
          </cell>
          <cell r="D87" t="str">
            <v>Chroicocephalus ridibundus [n-br]</v>
          </cell>
          <cell r="E87" t="str">
            <v>VU</v>
          </cell>
          <cell r="F87" t="str">
            <v>Stanbury et al., 2021</v>
          </cell>
          <cell r="G87" t="str">
            <v>NHMSYS0020962539</v>
          </cell>
          <cell r="H87" t="str">
            <v>Chroicocephalus ridibundus</v>
          </cell>
        </row>
        <row r="88">
          <cell r="A88" t="str">
            <v>Cinclus cinclus</v>
          </cell>
          <cell r="B88" t="str">
            <v>Birds</v>
          </cell>
          <cell r="C88" t="str">
            <v>Aves</v>
          </cell>
          <cell r="D88" t="str">
            <v>Cinclus cinclus [br]</v>
          </cell>
          <cell r="E88" t="str">
            <v>LC</v>
          </cell>
          <cell r="F88" t="str">
            <v>Stanbury et al., 2021</v>
          </cell>
          <cell r="G88" t="str">
            <v>NHMSYS0000530289</v>
          </cell>
          <cell r="H88" t="str">
            <v>Cinclus cinclus</v>
          </cell>
        </row>
        <row r="89">
          <cell r="A89" t="str">
            <v>Circus aeruginosus</v>
          </cell>
          <cell r="B89" t="str">
            <v>Birds</v>
          </cell>
          <cell r="C89" t="str">
            <v>Aves</v>
          </cell>
          <cell r="D89" t="str">
            <v>Circus aeruginosus [br]</v>
          </cell>
          <cell r="E89" t="str">
            <v>LC</v>
          </cell>
          <cell r="F89" t="str">
            <v>Stanbury et al., 2021</v>
          </cell>
          <cell r="G89" t="str">
            <v>NHMSYS0000530293</v>
          </cell>
          <cell r="H89" t="str">
            <v>Circus aeruginosus</v>
          </cell>
        </row>
        <row r="90">
          <cell r="A90" t="str">
            <v>Circus cyaneus</v>
          </cell>
          <cell r="B90" t="str">
            <v>Birds</v>
          </cell>
          <cell r="C90" t="str">
            <v>Aves</v>
          </cell>
          <cell r="D90" t="str">
            <v>Circus cyaneus [br]</v>
          </cell>
          <cell r="E90" t="str">
            <v>EN</v>
          </cell>
          <cell r="F90" t="str">
            <v>Stanbury et al., 2021</v>
          </cell>
          <cell r="G90" t="str">
            <v>NHMSYS0000530294</v>
          </cell>
          <cell r="H90" t="str">
            <v>Circus cyaneus</v>
          </cell>
        </row>
        <row r="91">
          <cell r="A91" t="str">
            <v>Circus pygargus</v>
          </cell>
          <cell r="B91" t="str">
            <v>Birds</v>
          </cell>
          <cell r="C91" t="str">
            <v>Aves</v>
          </cell>
          <cell r="D91" t="str">
            <v>Circus pygargus [br]</v>
          </cell>
          <cell r="E91" t="str">
            <v>CR</v>
          </cell>
          <cell r="F91" t="str">
            <v>Stanbury et al., 2021</v>
          </cell>
          <cell r="G91" t="str">
            <v>NHMSYS0000530296</v>
          </cell>
          <cell r="H91" t="str">
            <v>Circus pygargus</v>
          </cell>
        </row>
        <row r="92">
          <cell r="A92" t="str">
            <v>Clangula hyemalis</v>
          </cell>
          <cell r="B92" t="str">
            <v>Birds</v>
          </cell>
          <cell r="C92" t="str">
            <v>Aves</v>
          </cell>
          <cell r="D92" t="str">
            <v>Clangula hyemalis [n-br]</v>
          </cell>
          <cell r="E92" t="str">
            <v>NT</v>
          </cell>
          <cell r="F92" t="str">
            <v>Stanbury et al., 2021</v>
          </cell>
          <cell r="G92" t="str">
            <v>NBNSYS0000000194</v>
          </cell>
          <cell r="H92" t="str">
            <v>Clangula hyemalis</v>
          </cell>
        </row>
        <row r="93">
          <cell r="A93" t="str">
            <v>Coccothraustes coccothraustes</v>
          </cell>
          <cell r="B93" t="str">
            <v>Birds</v>
          </cell>
          <cell r="C93" t="str">
            <v>Aves</v>
          </cell>
          <cell r="D93" t="str">
            <v>Coccothraustes coccothraustes [br]</v>
          </cell>
          <cell r="E93" t="str">
            <v>EN</v>
          </cell>
          <cell r="F93" t="str">
            <v>Stanbury et al., 2021</v>
          </cell>
          <cell r="G93" t="str">
            <v>NHMSYS0000530302</v>
          </cell>
          <cell r="H93" t="str">
            <v>Coccothraustes coccothraustes</v>
          </cell>
        </row>
        <row r="94">
          <cell r="A94" t="str">
            <v>Coloeus monedula</v>
          </cell>
          <cell r="B94" t="str">
            <v>Birds</v>
          </cell>
          <cell r="C94" t="str">
            <v>Aves</v>
          </cell>
          <cell r="D94" t="str">
            <v>Coloeus monedula [br]</v>
          </cell>
          <cell r="E94" t="str">
            <v>LC</v>
          </cell>
          <cell r="F94" t="str">
            <v>Stanbury et al., 2021</v>
          </cell>
          <cell r="G94" t="str">
            <v>NHMSYS0021178877</v>
          </cell>
          <cell r="H94" t="str">
            <v>Coloeus monedula</v>
          </cell>
        </row>
        <row r="95">
          <cell r="A95" t="str">
            <v>Columba oenas</v>
          </cell>
          <cell r="B95" t="str">
            <v>Birds</v>
          </cell>
          <cell r="C95" t="str">
            <v>Aves</v>
          </cell>
          <cell r="D95" t="str">
            <v>Columba oenas [br]</v>
          </cell>
          <cell r="E95" t="str">
            <v>LC</v>
          </cell>
          <cell r="F95" t="str">
            <v>Stanbury et al., 2021</v>
          </cell>
          <cell r="G95" t="str">
            <v>NHMSYS0000530308</v>
          </cell>
          <cell r="H95" t="str">
            <v>Columba oenas</v>
          </cell>
        </row>
        <row r="96">
          <cell r="A96" t="str">
            <v>Columba palumbus</v>
          </cell>
          <cell r="B96" t="str">
            <v>Birds</v>
          </cell>
          <cell r="C96" t="str">
            <v>Aves</v>
          </cell>
          <cell r="D96" t="str">
            <v>Columba palumbus [br]</v>
          </cell>
          <cell r="E96" t="str">
            <v>LC</v>
          </cell>
          <cell r="F96" t="str">
            <v>Stanbury et al., 2021</v>
          </cell>
          <cell r="G96" t="str">
            <v>NHMSYS0000530309</v>
          </cell>
          <cell r="H96" t="str">
            <v>Columba palumbus</v>
          </cell>
        </row>
        <row r="97">
          <cell r="A97" t="str">
            <v>Corvus corax</v>
          </cell>
          <cell r="B97" t="str">
            <v>Birds</v>
          </cell>
          <cell r="C97" t="str">
            <v>Aves</v>
          </cell>
          <cell r="D97" t="str">
            <v>Corvus corax [br]</v>
          </cell>
          <cell r="E97" t="str">
            <v>LC</v>
          </cell>
          <cell r="F97" t="str">
            <v>Stanbury et al., 2021</v>
          </cell>
          <cell r="G97" t="str">
            <v>NHMSYS0000530313</v>
          </cell>
          <cell r="H97" t="str">
            <v>Corvus corax</v>
          </cell>
        </row>
        <row r="98">
          <cell r="A98" t="str">
            <v>Corvus corone</v>
          </cell>
          <cell r="B98" t="str">
            <v>Birds</v>
          </cell>
          <cell r="C98" t="str">
            <v>Aves</v>
          </cell>
          <cell r="D98" t="str">
            <v>Corvus corone [br]</v>
          </cell>
          <cell r="E98" t="str">
            <v>LC</v>
          </cell>
          <cell r="F98" t="str">
            <v>Stanbury et al., 2021</v>
          </cell>
          <cell r="G98" t="str">
            <v>NHMSYS0000530315</v>
          </cell>
          <cell r="H98" t="str">
            <v>Corvus corone</v>
          </cell>
        </row>
        <row r="99">
          <cell r="A99" t="str">
            <v>Corvus frugilegus</v>
          </cell>
          <cell r="B99" t="str">
            <v>Birds</v>
          </cell>
          <cell r="C99" t="str">
            <v>Aves</v>
          </cell>
          <cell r="D99" t="str">
            <v>Corvus frugilegus [br]</v>
          </cell>
          <cell r="E99" t="str">
            <v>NT</v>
          </cell>
          <cell r="F99" t="str">
            <v>Stanbury et al., 2021</v>
          </cell>
          <cell r="G99" t="str">
            <v>NHMSYS0000530316</v>
          </cell>
          <cell r="H99" t="str">
            <v>Corvus frugilegus</v>
          </cell>
        </row>
        <row r="100">
          <cell r="A100" t="str">
            <v>Coturnix coturnix</v>
          </cell>
          <cell r="B100" t="str">
            <v>Birds</v>
          </cell>
          <cell r="C100" t="str">
            <v>Aves</v>
          </cell>
          <cell r="D100" t="str">
            <v>Coturnix coturnix [br]</v>
          </cell>
          <cell r="E100" t="str">
            <v>EN</v>
          </cell>
          <cell r="F100" t="str">
            <v>Stanbury et al., 2021</v>
          </cell>
          <cell r="G100" t="str">
            <v>NHMSYS0000530319</v>
          </cell>
          <cell r="H100" t="str">
            <v>Coturnix coturnix</v>
          </cell>
        </row>
        <row r="101">
          <cell r="A101" t="str">
            <v>Crex crex</v>
          </cell>
          <cell r="B101" t="str">
            <v>Birds</v>
          </cell>
          <cell r="C101" t="str">
            <v>Aves</v>
          </cell>
          <cell r="D101" t="str">
            <v>Crex crex [br]</v>
          </cell>
          <cell r="E101" t="str">
            <v>LC</v>
          </cell>
          <cell r="F101" t="str">
            <v>Stanbury et al., 2021</v>
          </cell>
          <cell r="G101" t="str">
            <v>NHMSYS0000530322</v>
          </cell>
          <cell r="H101" t="str">
            <v>Crex crex</v>
          </cell>
        </row>
        <row r="102">
          <cell r="A102" t="str">
            <v>Cuculus canorus</v>
          </cell>
          <cell r="B102" t="str">
            <v>Birds</v>
          </cell>
          <cell r="C102" t="str">
            <v>Aves</v>
          </cell>
          <cell r="D102" t="str">
            <v>Cuculus canorus [br]</v>
          </cell>
          <cell r="E102" t="str">
            <v>LC</v>
          </cell>
          <cell r="F102" t="str">
            <v>Stanbury et al., 2021</v>
          </cell>
          <cell r="G102" t="str">
            <v>NHMSYS0000530324</v>
          </cell>
          <cell r="H102" t="str">
            <v>Cuculus canorus</v>
          </cell>
        </row>
        <row r="103">
          <cell r="A103" t="str">
            <v>Curruca communis</v>
          </cell>
          <cell r="B103" t="str">
            <v>Birds</v>
          </cell>
          <cell r="C103" t="str">
            <v>Aves</v>
          </cell>
          <cell r="D103" t="str">
            <v>Curruca communis [br]</v>
          </cell>
          <cell r="E103" t="str">
            <v>LC</v>
          </cell>
          <cell r="F103" t="str">
            <v>Stanbury et al., 2021</v>
          </cell>
          <cell r="G103" t="str">
            <v>NHMSYS0021311327</v>
          </cell>
          <cell r="H103" t="str">
            <v>Curruca communis</v>
          </cell>
        </row>
        <row r="104">
          <cell r="A104" t="str">
            <v>Curruca curruca</v>
          </cell>
          <cell r="B104" t="str">
            <v>Birds</v>
          </cell>
          <cell r="C104" t="str">
            <v>Aves</v>
          </cell>
          <cell r="D104" t="str">
            <v>Curruca curruca [br]</v>
          </cell>
          <cell r="E104" t="str">
            <v>LC</v>
          </cell>
          <cell r="F104" t="str">
            <v>Stanbury et al., 2021</v>
          </cell>
          <cell r="G104" t="str">
            <v>NHMSYS0021311347</v>
          </cell>
          <cell r="H104" t="str">
            <v>Curruca curruca</v>
          </cell>
        </row>
        <row r="105">
          <cell r="A105" t="str">
            <v>Curruca undata</v>
          </cell>
          <cell r="B105" t="str">
            <v>Birds</v>
          </cell>
          <cell r="C105" t="str">
            <v>Aves</v>
          </cell>
          <cell r="D105" t="str">
            <v>Curruca undata [br]</v>
          </cell>
          <cell r="E105" t="str">
            <v>LC</v>
          </cell>
          <cell r="F105" t="str">
            <v>Stanbury et al., 2021</v>
          </cell>
          <cell r="G105" t="str">
            <v>NHMSYS0021311432</v>
          </cell>
          <cell r="H105" t="str">
            <v>Curruca undata</v>
          </cell>
        </row>
        <row r="106">
          <cell r="A106" t="str">
            <v>Cyanistes caeruleus</v>
          </cell>
          <cell r="B106" t="str">
            <v>Birds</v>
          </cell>
          <cell r="C106" t="str">
            <v>Aves</v>
          </cell>
          <cell r="D106" t="str">
            <v>Cyanistes caeruleus [br]</v>
          </cell>
          <cell r="E106" t="str">
            <v>LC</v>
          </cell>
          <cell r="F106" t="str">
            <v>Stanbury et al., 2021</v>
          </cell>
          <cell r="G106" t="str">
            <v>NHMSYS0001688296</v>
          </cell>
          <cell r="H106" t="str">
            <v>Cyanistes caeruleus</v>
          </cell>
        </row>
        <row r="107">
          <cell r="A107" t="str">
            <v>Cygnus columbianus</v>
          </cell>
          <cell r="B107" t="str">
            <v>Birds</v>
          </cell>
          <cell r="C107" t="str">
            <v>Aves</v>
          </cell>
          <cell r="D107" t="str">
            <v>Cygnus columbianus [n-br]</v>
          </cell>
          <cell r="E107" t="str">
            <v>CR</v>
          </cell>
          <cell r="F107" t="str">
            <v>Stanbury et al., 2021</v>
          </cell>
          <cell r="G107" t="str">
            <v>NBNSYS0000000200</v>
          </cell>
          <cell r="H107" t="str">
            <v>Cygnus columbianus</v>
          </cell>
        </row>
        <row r="108">
          <cell r="A108" t="str">
            <v>Cygnus cygnus</v>
          </cell>
          <cell r="B108" t="str">
            <v>Birds</v>
          </cell>
          <cell r="C108" t="str">
            <v>Aves</v>
          </cell>
          <cell r="D108" t="str">
            <v>Cygnus cygnus [n-br]</v>
          </cell>
          <cell r="E108" t="str">
            <v>LC</v>
          </cell>
          <cell r="F108" t="str">
            <v>Stanbury et al., 2021</v>
          </cell>
          <cell r="G108" t="str">
            <v>NBNSYS0000000199</v>
          </cell>
          <cell r="H108" t="str">
            <v>Cygnus cygnus</v>
          </cell>
        </row>
        <row r="109">
          <cell r="A109" t="str">
            <v>Cygnus olor</v>
          </cell>
          <cell r="B109" t="str">
            <v>Birds</v>
          </cell>
          <cell r="C109" t="str">
            <v>Aves</v>
          </cell>
          <cell r="D109" t="str">
            <v>Cygnus olor [br]</v>
          </cell>
          <cell r="E109" t="str">
            <v>LC</v>
          </cell>
          <cell r="F109" t="str">
            <v>Stanbury et al., 2021</v>
          </cell>
          <cell r="G109" t="str">
            <v>NBNSYS0000000010</v>
          </cell>
          <cell r="H109" t="str">
            <v>Cygnus olor</v>
          </cell>
        </row>
        <row r="110">
          <cell r="A110" t="str">
            <v>Cygnus olor</v>
          </cell>
          <cell r="B110" t="str">
            <v>Birds</v>
          </cell>
          <cell r="C110" t="str">
            <v>Aves</v>
          </cell>
          <cell r="D110" t="str">
            <v>Cygnus olor [n-br]</v>
          </cell>
          <cell r="E110" t="str">
            <v>LC</v>
          </cell>
          <cell r="F110" t="str">
            <v>Stanbury et al., 2021</v>
          </cell>
          <cell r="G110" t="str">
            <v>NBNSYS0000000010</v>
          </cell>
          <cell r="H110" t="str">
            <v>Cygnus olor</v>
          </cell>
        </row>
        <row r="111">
          <cell r="A111" t="str">
            <v>Delichon urbicum</v>
          </cell>
          <cell r="B111" t="str">
            <v>Birds</v>
          </cell>
          <cell r="C111" t="str">
            <v>Aves</v>
          </cell>
          <cell r="D111" t="str">
            <v>Delichon urbicum [br]</v>
          </cell>
          <cell r="E111" t="str">
            <v>NT</v>
          </cell>
          <cell r="F111" t="str">
            <v>Stanbury et al., 2021</v>
          </cell>
          <cell r="G111" t="str">
            <v>NHMSYS0000530329</v>
          </cell>
          <cell r="H111" t="str">
            <v>Delichon urbicum</v>
          </cell>
        </row>
        <row r="112">
          <cell r="A112" t="str">
            <v>Dendrocopos major</v>
          </cell>
          <cell r="B112" t="str">
            <v>Birds</v>
          </cell>
          <cell r="C112" t="str">
            <v>Aves</v>
          </cell>
          <cell r="D112" t="str">
            <v>Dendrocopos major [br]</v>
          </cell>
          <cell r="E112" t="str">
            <v>LC</v>
          </cell>
          <cell r="F112" t="str">
            <v>Stanbury et al., 2021</v>
          </cell>
          <cell r="G112" t="str">
            <v>NHMSYS0000530331</v>
          </cell>
          <cell r="H112" t="str">
            <v>Dendrocopos major</v>
          </cell>
        </row>
        <row r="113">
          <cell r="A113" t="str">
            <v>Dryobates minor</v>
          </cell>
          <cell r="B113" t="str">
            <v>Birds</v>
          </cell>
          <cell r="C113" t="str">
            <v>Aves</v>
          </cell>
          <cell r="D113" t="str">
            <v>Dryobates minor [br]</v>
          </cell>
          <cell r="E113" t="str">
            <v>EN</v>
          </cell>
          <cell r="F113" t="str">
            <v>Stanbury et al., 2021</v>
          </cell>
          <cell r="G113" t="str">
            <v>NHMSYS0021271561</v>
          </cell>
          <cell r="H113" t="str">
            <v>Dryobates minor</v>
          </cell>
        </row>
        <row r="114">
          <cell r="A114" t="str">
            <v>Egretta garzetta</v>
          </cell>
          <cell r="B114" t="str">
            <v>Birds</v>
          </cell>
          <cell r="C114" t="str">
            <v>Aves</v>
          </cell>
          <cell r="D114" t="str">
            <v>Egretta garzetta [br]</v>
          </cell>
          <cell r="E114" t="str">
            <v>LC</v>
          </cell>
          <cell r="F114" t="str">
            <v>Stanbury et al., 2021</v>
          </cell>
          <cell r="G114" t="str">
            <v>NHMSYS0000530348</v>
          </cell>
          <cell r="H114" t="str">
            <v>Egretta garzetta</v>
          </cell>
        </row>
        <row r="115">
          <cell r="A115" t="str">
            <v>Egretta garzetta</v>
          </cell>
          <cell r="B115" t="str">
            <v>Birds</v>
          </cell>
          <cell r="C115" t="str">
            <v>Aves</v>
          </cell>
          <cell r="D115" t="str">
            <v>Egretta garzetta [n-br]</v>
          </cell>
          <cell r="E115" t="str">
            <v>LC</v>
          </cell>
          <cell r="F115" t="str">
            <v>Stanbury et al., 2021</v>
          </cell>
          <cell r="G115" t="str">
            <v>NHMSYS0000530348</v>
          </cell>
          <cell r="H115" t="str">
            <v>Egretta garzetta</v>
          </cell>
        </row>
        <row r="116">
          <cell r="A116" t="str">
            <v>Emberiza calandra</v>
          </cell>
          <cell r="B116" t="str">
            <v>Birds</v>
          </cell>
          <cell r="C116" t="str">
            <v>Aves</v>
          </cell>
          <cell r="D116" t="str">
            <v>Emberiza calandra [br]</v>
          </cell>
          <cell r="E116" t="str">
            <v>NT</v>
          </cell>
          <cell r="F116" t="str">
            <v>Stanbury et al., 2021</v>
          </cell>
          <cell r="G116" t="str">
            <v>NHMSYS0001688304</v>
          </cell>
          <cell r="H116" t="str">
            <v>Emberiza calandra</v>
          </cell>
        </row>
        <row r="117">
          <cell r="A117" t="str">
            <v>Emberiza cirlus</v>
          </cell>
          <cell r="B117" t="str">
            <v>Birds</v>
          </cell>
          <cell r="C117" t="str">
            <v>Aves</v>
          </cell>
          <cell r="D117" t="str">
            <v>Emberiza cirlus [br]</v>
          </cell>
          <cell r="E117" t="str">
            <v>LC</v>
          </cell>
          <cell r="F117" t="str">
            <v>Stanbury et al., 2021</v>
          </cell>
          <cell r="G117" t="str">
            <v>NHMSYS0000530726</v>
          </cell>
          <cell r="H117" t="str">
            <v>Emberiza cirlus</v>
          </cell>
        </row>
        <row r="118">
          <cell r="A118" t="str">
            <v>Emberiza citrinella</v>
          </cell>
          <cell r="B118" t="str">
            <v>Birds</v>
          </cell>
          <cell r="C118" t="str">
            <v>Aves</v>
          </cell>
          <cell r="D118" t="str">
            <v>Emberiza citrinella [br]</v>
          </cell>
          <cell r="E118" t="str">
            <v>LC</v>
          </cell>
          <cell r="F118" t="str">
            <v>Stanbury et al., 2021</v>
          </cell>
          <cell r="G118" t="str">
            <v>NHMSYS0000530727</v>
          </cell>
          <cell r="H118" t="str">
            <v>Emberiza citrinella</v>
          </cell>
        </row>
        <row r="119">
          <cell r="A119" t="str">
            <v>Emberiza schoeniclus</v>
          </cell>
          <cell r="B119" t="str">
            <v>Birds</v>
          </cell>
          <cell r="C119" t="str">
            <v>Aves</v>
          </cell>
          <cell r="D119" t="str">
            <v>Emberiza schoeniclus [br]</v>
          </cell>
          <cell r="E119" t="str">
            <v>LC</v>
          </cell>
          <cell r="F119" t="str">
            <v>Stanbury et al., 2021</v>
          </cell>
          <cell r="G119" t="str">
            <v>NHMSYS0000530734</v>
          </cell>
          <cell r="H119" t="str">
            <v>Emberiza schoeniclus</v>
          </cell>
        </row>
        <row r="120">
          <cell r="A120" t="str">
            <v>Eremophila alpestris</v>
          </cell>
          <cell r="B120" t="str">
            <v>Birds</v>
          </cell>
          <cell r="C120" t="str">
            <v>Aves</v>
          </cell>
          <cell r="D120" t="str">
            <v>Eremophila alpestris [n-br]</v>
          </cell>
          <cell r="E120" t="str">
            <v>EN</v>
          </cell>
          <cell r="F120" t="str">
            <v>Stanbury et al., 2021</v>
          </cell>
          <cell r="G120" t="str">
            <v>NHMSYS0000530737</v>
          </cell>
          <cell r="H120" t="str">
            <v>Eremophila alpestris</v>
          </cell>
        </row>
        <row r="121">
          <cell r="A121" t="str">
            <v>Erithacus rubecula</v>
          </cell>
          <cell r="B121" t="str">
            <v>Birds</v>
          </cell>
          <cell r="C121" t="str">
            <v>Aves</v>
          </cell>
          <cell r="D121" t="str">
            <v>Erithacus rubecula [br]</v>
          </cell>
          <cell r="E121" t="str">
            <v>LC</v>
          </cell>
          <cell r="F121" t="str">
            <v>Stanbury et al., 2021</v>
          </cell>
          <cell r="G121" t="str">
            <v>NHMSYS0000530739</v>
          </cell>
          <cell r="H121" t="str">
            <v>Erithacus rubecula</v>
          </cell>
        </row>
        <row r="122">
          <cell r="A122" t="str">
            <v>Falco columbarius</v>
          </cell>
          <cell r="B122" t="str">
            <v>Birds</v>
          </cell>
          <cell r="C122" t="str">
            <v>Aves</v>
          </cell>
          <cell r="D122" t="str">
            <v>Falco columbarius [br]</v>
          </cell>
          <cell r="E122" t="str">
            <v>EN</v>
          </cell>
          <cell r="F122" t="str">
            <v>Stanbury et al., 2021</v>
          </cell>
          <cell r="G122" t="str">
            <v>NHMSYS0000530743</v>
          </cell>
          <cell r="H122" t="str">
            <v>Falco columbarius</v>
          </cell>
        </row>
        <row r="123">
          <cell r="A123" t="str">
            <v>Falco peregrinus</v>
          </cell>
          <cell r="B123" t="str">
            <v>Birds</v>
          </cell>
          <cell r="C123" t="str">
            <v>Aves</v>
          </cell>
          <cell r="D123" t="str">
            <v>Falco peregrinus [br]</v>
          </cell>
          <cell r="E123" t="str">
            <v>LC</v>
          </cell>
          <cell r="F123" t="str">
            <v>Stanbury et al., 2021</v>
          </cell>
          <cell r="G123" t="str">
            <v>NHMSYS0000530354</v>
          </cell>
          <cell r="H123" t="str">
            <v>Falco peregrinus</v>
          </cell>
        </row>
        <row r="124">
          <cell r="A124" t="str">
            <v>Falco subbuteo</v>
          </cell>
          <cell r="B124" t="str">
            <v>Birds</v>
          </cell>
          <cell r="C124" t="str">
            <v>Aves</v>
          </cell>
          <cell r="D124" t="str">
            <v>Falco subbuteo [br]</v>
          </cell>
          <cell r="E124" t="str">
            <v>NT</v>
          </cell>
          <cell r="F124" t="str">
            <v>Stanbury et al., 2021</v>
          </cell>
          <cell r="G124" t="str">
            <v>NHMSYS0000530357</v>
          </cell>
          <cell r="H124" t="str">
            <v>Falco subbuteo</v>
          </cell>
        </row>
        <row r="125">
          <cell r="A125" t="str">
            <v>Falco tinnunculus</v>
          </cell>
          <cell r="B125" t="str">
            <v>Birds</v>
          </cell>
          <cell r="C125" t="str">
            <v>Aves</v>
          </cell>
          <cell r="D125" t="str">
            <v>Falco tinnunculus [br]</v>
          </cell>
          <cell r="E125" t="str">
            <v>VU</v>
          </cell>
          <cell r="F125" t="str">
            <v>Stanbury et al., 2021</v>
          </cell>
          <cell r="G125" t="str">
            <v>NHMSYS0000530358</v>
          </cell>
          <cell r="H125" t="str">
            <v>Falco tinnunculus</v>
          </cell>
        </row>
        <row r="126">
          <cell r="A126" t="str">
            <v>Ficedula hypoleuca</v>
          </cell>
          <cell r="B126" t="str">
            <v>Birds</v>
          </cell>
          <cell r="C126" t="str">
            <v>Aves</v>
          </cell>
          <cell r="D126" t="str">
            <v>Ficedula hypoleuca [br]</v>
          </cell>
          <cell r="E126" t="str">
            <v>NT</v>
          </cell>
          <cell r="F126" t="str">
            <v>Stanbury et al., 2021</v>
          </cell>
          <cell r="G126" t="str">
            <v>NHMSYS0000530362</v>
          </cell>
          <cell r="H126" t="str">
            <v>Ficedula hypoleuca</v>
          </cell>
        </row>
        <row r="127">
          <cell r="A127" t="str">
            <v>Fratercula arctica</v>
          </cell>
          <cell r="B127" t="str">
            <v>Birds</v>
          </cell>
          <cell r="C127" t="str">
            <v>Aves</v>
          </cell>
          <cell r="D127" t="str">
            <v>Fratercula arctica [br]</v>
          </cell>
          <cell r="E127" t="str">
            <v>LC</v>
          </cell>
          <cell r="F127" t="str">
            <v>Stanbury et al., 2021</v>
          </cell>
          <cell r="G127" t="str">
            <v>NBNSYS0000000013</v>
          </cell>
          <cell r="H127" t="str">
            <v>Fratercula arctica</v>
          </cell>
        </row>
        <row r="128">
          <cell r="A128" t="str">
            <v>Fringilla coelebs</v>
          </cell>
          <cell r="B128" t="str">
            <v>Birds</v>
          </cell>
          <cell r="C128" t="str">
            <v>Aves</v>
          </cell>
          <cell r="D128" t="str">
            <v>Fringilla coelebs [br]</v>
          </cell>
          <cell r="E128" t="str">
            <v>EN</v>
          </cell>
          <cell r="F128" t="str">
            <v>Stanbury et al., 2021</v>
          </cell>
          <cell r="G128" t="str">
            <v>NHMSYS0000530367</v>
          </cell>
          <cell r="H128" t="str">
            <v>Fringilla coelebs</v>
          </cell>
        </row>
        <row r="129">
          <cell r="A129" t="str">
            <v>Fringilla montifringilla</v>
          </cell>
          <cell r="B129" t="str">
            <v>Birds</v>
          </cell>
          <cell r="C129" t="str">
            <v>Aves</v>
          </cell>
          <cell r="D129" t="str">
            <v>Fringilla montifringilla [n-br]</v>
          </cell>
          <cell r="E129" t="str">
            <v>LC</v>
          </cell>
          <cell r="F129" t="str">
            <v>Stanbury et al., 2021</v>
          </cell>
          <cell r="G129" t="str">
            <v>NHMSYS0000530368</v>
          </cell>
          <cell r="H129" t="str">
            <v>Fringilla montifringilla</v>
          </cell>
        </row>
        <row r="130">
          <cell r="A130" t="str">
            <v>Fulica atra</v>
          </cell>
          <cell r="B130" t="str">
            <v>Birds</v>
          </cell>
          <cell r="C130" t="str">
            <v>Aves</v>
          </cell>
          <cell r="D130" t="str">
            <v>Fulica atra [br]</v>
          </cell>
          <cell r="E130" t="str">
            <v>VU</v>
          </cell>
          <cell r="F130" t="str">
            <v>Stanbury et al., 2021</v>
          </cell>
          <cell r="G130" t="str">
            <v>NBNSYS0000000025</v>
          </cell>
          <cell r="H130" t="str">
            <v>Fulica atra</v>
          </cell>
        </row>
        <row r="131">
          <cell r="A131" t="str">
            <v>Fulica atra</v>
          </cell>
          <cell r="B131" t="str">
            <v>Birds</v>
          </cell>
          <cell r="C131" t="str">
            <v>Aves</v>
          </cell>
          <cell r="D131" t="str">
            <v>Fulica atra [n-br]</v>
          </cell>
          <cell r="E131" t="str">
            <v>VU</v>
          </cell>
          <cell r="F131" t="str">
            <v>Stanbury et al., 2021</v>
          </cell>
          <cell r="G131" t="str">
            <v>NBNSYS0000000025</v>
          </cell>
          <cell r="H131" t="str">
            <v>Fulica atra</v>
          </cell>
        </row>
        <row r="132">
          <cell r="A132" t="str">
            <v>Fulmarus glacialis</v>
          </cell>
          <cell r="B132" t="str">
            <v>Birds</v>
          </cell>
          <cell r="C132" t="str">
            <v>Aves</v>
          </cell>
          <cell r="D132" t="str">
            <v>Fulmarus glacialis [br]</v>
          </cell>
          <cell r="E132" t="str">
            <v>LC</v>
          </cell>
          <cell r="F132" t="str">
            <v>Stanbury et al., 2021</v>
          </cell>
          <cell r="G132" t="str">
            <v>NBNSYS0000000003</v>
          </cell>
          <cell r="H132" t="str">
            <v>Fulmarus glacialis</v>
          </cell>
        </row>
        <row r="133">
          <cell r="A133" t="str">
            <v>Gallinago gallinago</v>
          </cell>
          <cell r="B133" t="str">
            <v>Birds</v>
          </cell>
          <cell r="C133" t="str">
            <v>Aves</v>
          </cell>
          <cell r="D133" t="str">
            <v>Gallinago gallinago [br]</v>
          </cell>
          <cell r="E133" t="str">
            <v>LC</v>
          </cell>
          <cell r="F133" t="str">
            <v>Stanbury et al., 2021</v>
          </cell>
          <cell r="G133" t="str">
            <v>NBNSYS0000000030</v>
          </cell>
          <cell r="H133" t="str">
            <v>Gallinago gallinago</v>
          </cell>
        </row>
        <row r="134">
          <cell r="A134" t="str">
            <v>Gallinago gallinago</v>
          </cell>
          <cell r="B134" t="str">
            <v>Birds</v>
          </cell>
          <cell r="C134" t="str">
            <v>Aves</v>
          </cell>
          <cell r="D134" t="str">
            <v>Gallinago gallinago [n-br]</v>
          </cell>
          <cell r="E134" t="str">
            <v>VU</v>
          </cell>
          <cell r="F134" t="str">
            <v>Stanbury et al., 2021</v>
          </cell>
          <cell r="G134" t="str">
            <v>NBNSYS0000000030</v>
          </cell>
          <cell r="H134" t="str">
            <v>Gallinago gallinago</v>
          </cell>
        </row>
        <row r="135">
          <cell r="A135" t="str">
            <v>Gallinula chloropus</v>
          </cell>
          <cell r="B135" t="str">
            <v>Birds</v>
          </cell>
          <cell r="C135" t="str">
            <v>Aves</v>
          </cell>
          <cell r="D135" t="str">
            <v>Gallinula chloropus [br]</v>
          </cell>
          <cell r="E135" t="str">
            <v>VU</v>
          </cell>
          <cell r="F135" t="str">
            <v>Stanbury et al., 2021</v>
          </cell>
          <cell r="G135" t="str">
            <v>NBNSYS0000000024</v>
          </cell>
          <cell r="H135" t="str">
            <v>Gallinula chloropus</v>
          </cell>
        </row>
        <row r="136">
          <cell r="A136" t="str">
            <v>Garrulus glandarius</v>
          </cell>
          <cell r="B136" t="str">
            <v>Birds</v>
          </cell>
          <cell r="C136" t="str">
            <v>Aves</v>
          </cell>
          <cell r="D136" t="str">
            <v>Garrulus glandarius [br]</v>
          </cell>
          <cell r="E136" t="str">
            <v>LC</v>
          </cell>
          <cell r="F136" t="str">
            <v>Stanbury et al., 2021</v>
          </cell>
          <cell r="G136" t="str">
            <v>NHMSYS0000530374</v>
          </cell>
          <cell r="H136" t="str">
            <v>Garrulus glandarius</v>
          </cell>
        </row>
        <row r="137">
          <cell r="A137" t="str">
            <v>Gavia immer</v>
          </cell>
          <cell r="B137" t="str">
            <v>Birds</v>
          </cell>
          <cell r="C137" t="str">
            <v>Aves</v>
          </cell>
          <cell r="D137" t="str">
            <v>Gavia immer [n-br]</v>
          </cell>
          <cell r="E137" t="str">
            <v>LC</v>
          </cell>
          <cell r="F137" t="str">
            <v>Stanbury et al., 2021</v>
          </cell>
          <cell r="G137" t="str">
            <v>NBNSYS0000000220</v>
          </cell>
          <cell r="H137" t="str">
            <v>Gavia immer</v>
          </cell>
        </row>
        <row r="138">
          <cell r="A138" t="str">
            <v>Gavia stellata</v>
          </cell>
          <cell r="B138" t="str">
            <v>Birds</v>
          </cell>
          <cell r="C138" t="str">
            <v>Aves</v>
          </cell>
          <cell r="D138" t="str">
            <v>Gavia stellata [n-br]</v>
          </cell>
          <cell r="E138" t="str">
            <v>LC</v>
          </cell>
          <cell r="F138" t="str">
            <v>Stanbury et al., 2021</v>
          </cell>
          <cell r="G138" t="str">
            <v>NBNSYS0000000218</v>
          </cell>
          <cell r="H138" t="str">
            <v>Gavia stellata</v>
          </cell>
        </row>
        <row r="139">
          <cell r="A139" t="str">
            <v>Grus grus</v>
          </cell>
          <cell r="B139" t="str">
            <v>Birds</v>
          </cell>
          <cell r="C139" t="str">
            <v>Aves</v>
          </cell>
          <cell r="D139" t="str">
            <v>Grus grus [br]</v>
          </cell>
          <cell r="E139" t="str">
            <v>VU</v>
          </cell>
          <cell r="F139" t="str">
            <v>Stanbury et al., 2021</v>
          </cell>
          <cell r="G139" t="str">
            <v>NHMSYS0000530386</v>
          </cell>
          <cell r="H139" t="str">
            <v>Grus grus</v>
          </cell>
        </row>
        <row r="140">
          <cell r="A140" t="str">
            <v>Haematopus ostralegus</v>
          </cell>
          <cell r="B140" t="str">
            <v>Birds</v>
          </cell>
          <cell r="C140" t="str">
            <v>Aves</v>
          </cell>
          <cell r="D140" t="str">
            <v>Haematopus ostralegus [br]</v>
          </cell>
          <cell r="E140" t="str">
            <v>VU</v>
          </cell>
          <cell r="F140" t="str">
            <v>Stanbury et al., 2021</v>
          </cell>
          <cell r="G140" t="str">
            <v>NBNSYS0000000026</v>
          </cell>
          <cell r="H140" t="str">
            <v>Haematopus ostralegus</v>
          </cell>
        </row>
        <row r="141">
          <cell r="A141" t="str">
            <v>Haliaeetus albicilla</v>
          </cell>
          <cell r="B141" t="str">
            <v>Birds</v>
          </cell>
          <cell r="C141" t="str">
            <v>Aves</v>
          </cell>
          <cell r="D141" t="str">
            <v>Haliaeetus albicilla [br]</v>
          </cell>
          <cell r="E141" t="str">
            <v>EN</v>
          </cell>
          <cell r="F141" t="str">
            <v>Stanbury et al., 2021</v>
          </cell>
          <cell r="G141" t="str">
            <v>NBNSYS0000000281</v>
          </cell>
          <cell r="H141" t="str">
            <v>Haliaeetus albicilla</v>
          </cell>
        </row>
        <row r="142">
          <cell r="A142" t="str">
            <v>Hirundo rustica</v>
          </cell>
          <cell r="B142" t="str">
            <v>Birds</v>
          </cell>
          <cell r="C142" t="str">
            <v>Aves</v>
          </cell>
          <cell r="D142" t="str">
            <v>Hirundo rustica [br]</v>
          </cell>
          <cell r="E142" t="str">
            <v>VU</v>
          </cell>
          <cell r="F142" t="str">
            <v>Stanbury et al., 2021</v>
          </cell>
          <cell r="G142" t="str">
            <v>NHMSYS0000530406</v>
          </cell>
          <cell r="H142" t="str">
            <v>Hirundo rustica</v>
          </cell>
        </row>
        <row r="143">
          <cell r="A143" t="str">
            <v>Hydrobates pelagicus</v>
          </cell>
          <cell r="B143" t="str">
            <v>Birds</v>
          </cell>
          <cell r="C143" t="str">
            <v>Aves</v>
          </cell>
          <cell r="D143" t="str">
            <v>Hydrobates pelagicus [br]</v>
          </cell>
          <cell r="E143" t="str">
            <v>LC</v>
          </cell>
          <cell r="F143" t="str">
            <v>Stanbury et al., 2021</v>
          </cell>
          <cell r="G143" t="str">
            <v>NBNSYS0000000236</v>
          </cell>
          <cell r="H143" t="str">
            <v>Hydrobates pelagicus</v>
          </cell>
        </row>
        <row r="144">
          <cell r="A144" t="str">
            <v>Ichthyaetus melanocephalus</v>
          </cell>
          <cell r="B144" t="str">
            <v>Birds</v>
          </cell>
          <cell r="C144" t="str">
            <v>Aves</v>
          </cell>
          <cell r="D144" t="str">
            <v>Ichthyaetus melanocephalus [br]</v>
          </cell>
          <cell r="E144" t="str">
            <v>LC</v>
          </cell>
          <cell r="F144" t="str">
            <v>Stanbury et al., 2021</v>
          </cell>
          <cell r="G144" t="str">
            <v>NHMSYS0021274101</v>
          </cell>
          <cell r="H144" t="str">
            <v>Ichthyaetus melanocephalus</v>
          </cell>
        </row>
        <row r="145">
          <cell r="A145" t="str">
            <v>Ixobrychus minutus</v>
          </cell>
          <cell r="B145" t="str">
            <v>Birds</v>
          </cell>
          <cell r="C145" t="str">
            <v>Aves</v>
          </cell>
          <cell r="D145" t="str">
            <v>Ixobrychus minutus [br]</v>
          </cell>
          <cell r="E145" t="str">
            <v>CR</v>
          </cell>
          <cell r="F145" t="str">
            <v>Stanbury et al., 2021</v>
          </cell>
          <cell r="G145" t="str">
            <v>NHMSYS0000530414</v>
          </cell>
          <cell r="H145" t="str">
            <v>Ixobrychus minutus</v>
          </cell>
        </row>
        <row r="146">
          <cell r="A146" t="str">
            <v>Jynx torquilla</v>
          </cell>
          <cell r="B146" t="str">
            <v>Birds</v>
          </cell>
          <cell r="C146" t="str">
            <v>Aves</v>
          </cell>
          <cell r="D146" t="str">
            <v>Jynx torquilla [br]</v>
          </cell>
          <cell r="E146" t="str">
            <v>RE</v>
          </cell>
          <cell r="F146" t="str">
            <v>Stanbury et al., 2021</v>
          </cell>
          <cell r="G146" t="str">
            <v>NHMSYS0000530418</v>
          </cell>
          <cell r="H146" t="str">
            <v>Jynx torquilla</v>
          </cell>
        </row>
        <row r="147">
          <cell r="A147" t="str">
            <v>Lagopus lagopus</v>
          </cell>
          <cell r="B147" t="str">
            <v>Birds</v>
          </cell>
          <cell r="C147" t="str">
            <v>Aves</v>
          </cell>
          <cell r="D147" t="str">
            <v>Lagopus lagopus [br]</v>
          </cell>
          <cell r="E147" t="str">
            <v>LC</v>
          </cell>
          <cell r="F147" t="str">
            <v>Stanbury et al., 2021</v>
          </cell>
          <cell r="G147" t="str">
            <v>NHMSYS0000530420</v>
          </cell>
          <cell r="H147" t="str">
            <v>Lagopus lagopus</v>
          </cell>
        </row>
        <row r="148">
          <cell r="A148" t="str">
            <v>Lagopus muta</v>
          </cell>
          <cell r="B148" t="str">
            <v>Birds</v>
          </cell>
          <cell r="C148" t="str">
            <v>Aves</v>
          </cell>
          <cell r="D148" t="str">
            <v>Lagopus muta [br]</v>
          </cell>
          <cell r="E148" t="str">
            <v>VU</v>
          </cell>
          <cell r="F148" t="str">
            <v>Stanbury et al., 2021</v>
          </cell>
          <cell r="G148" t="str">
            <v>NHMSYS0000530421</v>
          </cell>
          <cell r="H148" t="str">
            <v>Lagopus muta</v>
          </cell>
        </row>
        <row r="149">
          <cell r="A149" t="str">
            <v>Lanius collurio</v>
          </cell>
          <cell r="B149" t="str">
            <v>Birds</v>
          </cell>
          <cell r="C149" t="str">
            <v>Aves</v>
          </cell>
          <cell r="D149" t="str">
            <v>Lanius collurio [br]</v>
          </cell>
          <cell r="E149" t="str">
            <v>CR</v>
          </cell>
          <cell r="F149" t="str">
            <v>Stanbury et al., 2021</v>
          </cell>
          <cell r="G149" t="str">
            <v>NHMSYS0000530423</v>
          </cell>
          <cell r="H149" t="str">
            <v>Lanius collurio</v>
          </cell>
        </row>
        <row r="150">
          <cell r="A150" t="str">
            <v>Larus argentatus</v>
          </cell>
          <cell r="B150" t="str">
            <v>Birds</v>
          </cell>
          <cell r="C150" t="str">
            <v>Aves</v>
          </cell>
          <cell r="D150" t="str">
            <v>Larus argentatus [n-br]</v>
          </cell>
          <cell r="E150" t="str">
            <v>EN</v>
          </cell>
          <cell r="F150" t="str">
            <v>Stanbury et al., 2021</v>
          </cell>
          <cell r="G150" t="str">
            <v>NBNSYS0000000038</v>
          </cell>
          <cell r="H150" t="str">
            <v>Larus argentatus</v>
          </cell>
        </row>
        <row r="151">
          <cell r="A151" t="str">
            <v>Larus cachinnans </v>
          </cell>
          <cell r="B151" t="str">
            <v>Birds</v>
          </cell>
          <cell r="C151" t="str">
            <v>Aves</v>
          </cell>
          <cell r="D151" t="str">
            <v>Larus cachinnans [br]</v>
          </cell>
          <cell r="E151" t="str">
            <v>VU</v>
          </cell>
          <cell r="F151" t="str">
            <v>Stanbury et al., 2021</v>
          </cell>
          <cell r="G151" t="str">
            <v>NHMSYS0000533995</v>
          </cell>
          <cell r="H151" t="str">
            <v>Larus cachinnans </v>
          </cell>
        </row>
        <row r="152">
          <cell r="A152" t="str">
            <v>Larus canus</v>
          </cell>
          <cell r="B152" t="str">
            <v>Birds</v>
          </cell>
          <cell r="C152" t="str">
            <v>Aves</v>
          </cell>
          <cell r="D152" t="str">
            <v>Larus canus [br]</v>
          </cell>
          <cell r="E152" t="str">
            <v>LC</v>
          </cell>
          <cell r="F152" t="str">
            <v>Stanbury et al., 2021</v>
          </cell>
          <cell r="G152" t="str">
            <v>NBNSYS0000000354</v>
          </cell>
          <cell r="H152" t="str">
            <v>Larus canus</v>
          </cell>
        </row>
        <row r="153">
          <cell r="A153" t="str">
            <v>Larus canus</v>
          </cell>
          <cell r="B153" t="str">
            <v>Birds</v>
          </cell>
          <cell r="C153" t="str">
            <v>Aves</v>
          </cell>
          <cell r="D153" t="str">
            <v>Larus canus [n-br]</v>
          </cell>
          <cell r="E153" t="str">
            <v>LC</v>
          </cell>
          <cell r="F153" t="str">
            <v>Stanbury et al., 2021</v>
          </cell>
          <cell r="G153" t="str">
            <v>NBNSYS0000000354</v>
          </cell>
          <cell r="H153" t="str">
            <v>Larus canus</v>
          </cell>
        </row>
        <row r="154">
          <cell r="A154" t="str">
            <v>Larus glaucoides</v>
          </cell>
          <cell r="B154" t="str">
            <v>Birds</v>
          </cell>
          <cell r="C154" t="str">
            <v>Aves</v>
          </cell>
          <cell r="D154" t="str">
            <v>Larus glaucoides [n-br]</v>
          </cell>
          <cell r="E154" t="str">
            <v>NT</v>
          </cell>
          <cell r="F154" t="str">
            <v>Stanbury et al., 2021</v>
          </cell>
          <cell r="G154" t="str">
            <v>NBNSYS0000000355</v>
          </cell>
          <cell r="H154" t="str">
            <v>Larus glaucoides</v>
          </cell>
        </row>
        <row r="155">
          <cell r="A155" t="str">
            <v>Larus hyperboreus</v>
          </cell>
          <cell r="B155" t="str">
            <v>Birds</v>
          </cell>
          <cell r="C155" t="str">
            <v>Aves</v>
          </cell>
          <cell r="D155" t="str">
            <v>Larus hyperboreus [n-br]</v>
          </cell>
          <cell r="E155" t="str">
            <v>VU</v>
          </cell>
          <cell r="F155" t="str">
            <v>Stanbury et al., 2021</v>
          </cell>
          <cell r="G155" t="str">
            <v>NBNSYS0000000356</v>
          </cell>
          <cell r="H155" t="str">
            <v>Larus hyperboreus</v>
          </cell>
        </row>
        <row r="156">
          <cell r="A156" t="str">
            <v>Larus marinus</v>
          </cell>
          <cell r="B156" t="str">
            <v>Birds</v>
          </cell>
          <cell r="C156" t="str">
            <v>Aves</v>
          </cell>
          <cell r="D156" t="str">
            <v>Larus marinus [br]</v>
          </cell>
          <cell r="E156" t="str">
            <v>LC</v>
          </cell>
          <cell r="F156" t="str">
            <v>Stanbury et al., 2021</v>
          </cell>
          <cell r="G156" t="str">
            <v>NBNSYS0000000036</v>
          </cell>
          <cell r="H156" t="str">
            <v>Larus marinus</v>
          </cell>
        </row>
        <row r="157">
          <cell r="A157" t="str">
            <v>Larus marinus</v>
          </cell>
          <cell r="B157" t="str">
            <v>Birds</v>
          </cell>
          <cell r="C157" t="str">
            <v>Aves</v>
          </cell>
          <cell r="D157" t="str">
            <v>Larus marinus [n-br]</v>
          </cell>
          <cell r="E157" t="str">
            <v>EN</v>
          </cell>
          <cell r="F157" t="str">
            <v>Stanbury et al., 2021</v>
          </cell>
          <cell r="G157" t="str">
            <v>NBNSYS0000000036</v>
          </cell>
          <cell r="H157" t="str">
            <v>Larus marinus</v>
          </cell>
        </row>
        <row r="158">
          <cell r="A158" t="str">
            <v>Larus michahellis</v>
          </cell>
          <cell r="B158" t="str">
            <v>Birds</v>
          </cell>
          <cell r="C158" t="str">
            <v>Aves</v>
          </cell>
          <cell r="D158" t="str">
            <v>Larus michahellis [br]</v>
          </cell>
          <cell r="E158" t="str">
            <v>EN</v>
          </cell>
          <cell r="F158" t="str">
            <v>Stanbury et al., 2021</v>
          </cell>
          <cell r="G158" t="str">
            <v>NHMSYS0001688279</v>
          </cell>
          <cell r="H158" t="str">
            <v>Larus michahellis</v>
          </cell>
        </row>
        <row r="159">
          <cell r="A159" t="str">
            <v>Larus michahellis</v>
          </cell>
          <cell r="B159" t="str">
            <v>Birds</v>
          </cell>
          <cell r="C159" t="str">
            <v>Aves</v>
          </cell>
          <cell r="D159" t="str">
            <v>Larus michahellis [n-br]</v>
          </cell>
          <cell r="E159" t="str">
            <v>LC</v>
          </cell>
          <cell r="F159" t="str">
            <v>Stanbury et al., 2021</v>
          </cell>
          <cell r="G159" t="str">
            <v>NHMSYS0001688279</v>
          </cell>
          <cell r="H159" t="str">
            <v>Larus michahellis</v>
          </cell>
        </row>
        <row r="160">
          <cell r="A160" t="str">
            <v>Limosa lapponica</v>
          </cell>
          <cell r="B160" t="str">
            <v>Birds</v>
          </cell>
          <cell r="C160" t="str">
            <v>Aves</v>
          </cell>
          <cell r="D160" t="str">
            <v>Limosa lapponica [n-br]</v>
          </cell>
          <cell r="E160" t="str">
            <v>VU</v>
          </cell>
          <cell r="F160" t="str">
            <v>Stanbury et al., 2021</v>
          </cell>
          <cell r="G160" t="str">
            <v>NBNSYS0000000146</v>
          </cell>
          <cell r="H160" t="str">
            <v>Limosa lapponica</v>
          </cell>
        </row>
        <row r="161">
          <cell r="A161" t="str">
            <v>Limosa limosa</v>
          </cell>
          <cell r="B161" t="str">
            <v>Birds</v>
          </cell>
          <cell r="C161" t="str">
            <v>Aves</v>
          </cell>
          <cell r="D161" t="str">
            <v>Limosa limosa [br]</v>
          </cell>
          <cell r="E161" t="str">
            <v>EN</v>
          </cell>
          <cell r="F161" t="str">
            <v>Stanbury et al., 2021</v>
          </cell>
          <cell r="G161" t="str">
            <v>NBNSYS0000000145</v>
          </cell>
          <cell r="H161" t="str">
            <v>Limosa limosa</v>
          </cell>
        </row>
        <row r="162">
          <cell r="A162" t="str">
            <v>Limosa limosa</v>
          </cell>
          <cell r="B162" t="str">
            <v>Birds</v>
          </cell>
          <cell r="C162" t="str">
            <v>Aves</v>
          </cell>
          <cell r="D162" t="str">
            <v>Limosa limosa [n-br]</v>
          </cell>
          <cell r="E162" t="str">
            <v>LC</v>
          </cell>
          <cell r="F162" t="str">
            <v>Stanbury et al., 2021</v>
          </cell>
          <cell r="G162" t="str">
            <v>NBNSYS0000000145</v>
          </cell>
          <cell r="H162" t="str">
            <v>Limosa limosa</v>
          </cell>
        </row>
        <row r="163">
          <cell r="A163" t="str">
            <v>Linaria cannabina</v>
          </cell>
          <cell r="B163" t="str">
            <v>Birds</v>
          </cell>
          <cell r="C163" t="str">
            <v>Aves</v>
          </cell>
          <cell r="D163" t="str">
            <v>Linaria cannabina [br]</v>
          </cell>
          <cell r="E163" t="str">
            <v>LC</v>
          </cell>
          <cell r="F163" t="str">
            <v>Stanbury et al., 2021</v>
          </cell>
          <cell r="G163" t="str">
            <v>NHMSYS0021004282</v>
          </cell>
          <cell r="H163" t="str">
            <v>Linaria cannabina</v>
          </cell>
        </row>
        <row r="164">
          <cell r="A164" t="str">
            <v>Linaria flavirostris</v>
          </cell>
          <cell r="B164" t="str">
            <v>Birds</v>
          </cell>
          <cell r="C164" t="str">
            <v>Aves</v>
          </cell>
          <cell r="D164" t="str">
            <v>Linaria flavirostris [br]</v>
          </cell>
          <cell r="E164" t="str">
            <v>EN</v>
          </cell>
          <cell r="F164" t="str">
            <v>Stanbury et al., 2021</v>
          </cell>
          <cell r="G164" t="str">
            <v>NHMSYS0021004297</v>
          </cell>
          <cell r="H164" t="str">
            <v>Linaria flavirostris</v>
          </cell>
        </row>
        <row r="165">
          <cell r="A165" t="str">
            <v>Locustella luscinioides</v>
          </cell>
          <cell r="B165" t="str">
            <v>Birds</v>
          </cell>
          <cell r="C165" t="str">
            <v>Aves</v>
          </cell>
          <cell r="D165" t="str">
            <v>Locustella luscinioides [br]</v>
          </cell>
          <cell r="E165" t="str">
            <v>CR</v>
          </cell>
          <cell r="F165" t="str">
            <v>Stanbury et al., 2021</v>
          </cell>
          <cell r="G165" t="str">
            <v>NHMSYS0000530443</v>
          </cell>
          <cell r="H165" t="str">
            <v>Locustella luscinioides</v>
          </cell>
        </row>
        <row r="166">
          <cell r="A166" t="str">
            <v>Locustella naevia</v>
          </cell>
          <cell r="B166" t="str">
            <v>Birds</v>
          </cell>
          <cell r="C166" t="str">
            <v>Aves</v>
          </cell>
          <cell r="D166" t="str">
            <v>Locustella naevia [br]</v>
          </cell>
          <cell r="E166" t="str">
            <v>LC</v>
          </cell>
          <cell r="F166" t="str">
            <v>Stanbury et al., 2021</v>
          </cell>
          <cell r="G166" t="str">
            <v>NHMSYS0000530444</v>
          </cell>
          <cell r="H166" t="str">
            <v>Locustella naevia</v>
          </cell>
        </row>
        <row r="167">
          <cell r="A167" t="str">
            <v>Loxia curvirostra</v>
          </cell>
          <cell r="B167" t="str">
            <v>Birds</v>
          </cell>
          <cell r="C167" t="str">
            <v>Aves</v>
          </cell>
          <cell r="D167" t="str">
            <v>Loxia curvirostra [br]</v>
          </cell>
          <cell r="E167" t="str">
            <v>LC</v>
          </cell>
          <cell r="F167" t="str">
            <v>Stanbury et al., 2021</v>
          </cell>
          <cell r="G167" t="str">
            <v>NHMSYS0000530454</v>
          </cell>
          <cell r="H167" t="str">
            <v>Loxia curvirostra</v>
          </cell>
        </row>
        <row r="168">
          <cell r="A168" t="str">
            <v>Lullula arborea</v>
          </cell>
          <cell r="B168" t="str">
            <v>Birds</v>
          </cell>
          <cell r="C168" t="str">
            <v>Aves</v>
          </cell>
          <cell r="D168" t="str">
            <v>Lullula arborea [br]</v>
          </cell>
          <cell r="E168" t="str">
            <v>LC</v>
          </cell>
          <cell r="F168" t="str">
            <v>Stanbury et al., 2021</v>
          </cell>
          <cell r="G168" t="str">
            <v>NHMSYS0000530459</v>
          </cell>
          <cell r="H168" t="str">
            <v>Lullula arborea</v>
          </cell>
        </row>
        <row r="169">
          <cell r="A169" t="str">
            <v>Luscinia megarhynchos</v>
          </cell>
          <cell r="B169" t="str">
            <v>Birds</v>
          </cell>
          <cell r="C169" t="str">
            <v>Aves</v>
          </cell>
          <cell r="D169" t="str">
            <v>Luscinia megarhynchos [br]</v>
          </cell>
          <cell r="E169" t="str">
            <v>VU</v>
          </cell>
          <cell r="F169" t="str">
            <v>Stanbury et al., 2021</v>
          </cell>
          <cell r="G169" t="str">
            <v>NHMSYS0000530464</v>
          </cell>
          <cell r="H169" t="str">
            <v>Luscinia megarhynchos</v>
          </cell>
        </row>
        <row r="170">
          <cell r="A170" t="str">
            <v>Lymnocryptes minimus</v>
          </cell>
          <cell r="B170" t="str">
            <v>Birds</v>
          </cell>
          <cell r="C170" t="str">
            <v>Aves</v>
          </cell>
          <cell r="D170" t="str">
            <v>Lymnocryptes minimus [n-br]</v>
          </cell>
          <cell r="E170" t="str">
            <v>LC</v>
          </cell>
          <cell r="F170" t="str">
            <v>Stanbury et al., 2021</v>
          </cell>
          <cell r="G170" t="str">
            <v>NBNSYS0000000143</v>
          </cell>
          <cell r="H170" t="str">
            <v>Lymnocryptes minimus</v>
          </cell>
        </row>
        <row r="171">
          <cell r="A171" t="str">
            <v>Lyrurus tetrix</v>
          </cell>
          <cell r="B171" t="str">
            <v>Birds</v>
          </cell>
          <cell r="C171" t="str">
            <v>Aves</v>
          </cell>
          <cell r="D171" t="str">
            <v>Lyrurus tetrix [br]</v>
          </cell>
          <cell r="E171" t="str">
            <v>VU</v>
          </cell>
          <cell r="F171" t="str">
            <v>Stanbury et al., 2021</v>
          </cell>
          <cell r="G171" t="str">
            <v>NBNSYS0000172474</v>
          </cell>
          <cell r="H171" t="str">
            <v>Lyrurus tetrix</v>
          </cell>
        </row>
        <row r="172">
          <cell r="A172" t="str">
            <v>Mareca penelope</v>
          </cell>
          <cell r="B172" t="str">
            <v>Birds</v>
          </cell>
          <cell r="C172" t="str">
            <v>Aves</v>
          </cell>
          <cell r="D172" t="str">
            <v>Mareca penelope [br]</v>
          </cell>
          <cell r="E172" t="str">
            <v>VU</v>
          </cell>
          <cell r="F172" t="str">
            <v>Stanbury et al., 2021</v>
          </cell>
          <cell r="G172" t="str">
            <v>NHMSYS0021276071</v>
          </cell>
          <cell r="H172" t="str">
            <v>Mareca penelope</v>
          </cell>
        </row>
        <row r="173">
          <cell r="A173" t="str">
            <v>Mareca penelope</v>
          </cell>
          <cell r="B173" t="str">
            <v>Birds</v>
          </cell>
          <cell r="C173" t="str">
            <v>Aves</v>
          </cell>
          <cell r="D173" t="str">
            <v>Mareca penelope [n-br]</v>
          </cell>
          <cell r="E173" t="str">
            <v>NT</v>
          </cell>
          <cell r="F173" t="str">
            <v>Stanbury et al., 2021</v>
          </cell>
          <cell r="G173" t="str">
            <v>NHMSYS0021276071</v>
          </cell>
          <cell r="H173" t="str">
            <v>Mareca penelope</v>
          </cell>
        </row>
        <row r="174">
          <cell r="A174" t="str">
            <v>Mareca strepera</v>
          </cell>
          <cell r="B174" t="str">
            <v>Birds</v>
          </cell>
          <cell r="C174" t="str">
            <v>Aves</v>
          </cell>
          <cell r="D174" t="str">
            <v>Mareca strepera [br]</v>
          </cell>
          <cell r="E174" t="str">
            <v>LC</v>
          </cell>
          <cell r="F174" t="str">
            <v>Stanbury et al., 2021</v>
          </cell>
          <cell r="G174" t="str">
            <v>NHMSYS0021276116</v>
          </cell>
          <cell r="H174" t="str">
            <v>Mareca strepera</v>
          </cell>
        </row>
        <row r="175">
          <cell r="A175" t="str">
            <v>Mareca strepera</v>
          </cell>
          <cell r="B175" t="str">
            <v>Birds</v>
          </cell>
          <cell r="C175" t="str">
            <v>Aves</v>
          </cell>
          <cell r="D175" t="str">
            <v>Mareca strepera [n-br]</v>
          </cell>
          <cell r="E175" t="str">
            <v>LC</v>
          </cell>
          <cell r="F175" t="str">
            <v>Stanbury et al., 2021</v>
          </cell>
          <cell r="G175" t="str">
            <v>NHMSYS0021276116</v>
          </cell>
          <cell r="H175" t="str">
            <v>Mareca strepera</v>
          </cell>
        </row>
        <row r="176">
          <cell r="A176" t="str">
            <v>Melanitta fusca</v>
          </cell>
          <cell r="B176" t="str">
            <v>Birds</v>
          </cell>
          <cell r="C176" t="str">
            <v>Aves</v>
          </cell>
          <cell r="D176" t="str">
            <v>Melanitta fusca [n-nr]</v>
          </cell>
          <cell r="E176" t="str">
            <v>VU</v>
          </cell>
          <cell r="F176" t="str">
            <v>Stanbury et al., 2021</v>
          </cell>
          <cell r="G176" t="str">
            <v>NBNSYS0000000195</v>
          </cell>
          <cell r="H176" t="str">
            <v>Melanitta fusca</v>
          </cell>
        </row>
        <row r="177">
          <cell r="A177" t="str">
            <v>Melanitta nigra</v>
          </cell>
          <cell r="B177" t="str">
            <v>Birds</v>
          </cell>
          <cell r="C177" t="str">
            <v>Aves</v>
          </cell>
          <cell r="D177" t="str">
            <v>Melanitta nigra [n-br]</v>
          </cell>
          <cell r="E177" t="str">
            <v>LC</v>
          </cell>
          <cell r="F177" t="str">
            <v>Stanbury et al., 2021</v>
          </cell>
          <cell r="G177" t="str">
            <v>NBNSYS0000000196</v>
          </cell>
          <cell r="H177" t="str">
            <v>Melanitta nigra</v>
          </cell>
        </row>
        <row r="178">
          <cell r="A178" t="str">
            <v>Mergellus albellus</v>
          </cell>
          <cell r="B178" t="str">
            <v>Birds</v>
          </cell>
          <cell r="C178" t="str">
            <v>Aves</v>
          </cell>
          <cell r="D178" t="str">
            <v>Mergellus albellus [n-br]</v>
          </cell>
          <cell r="E178" t="str">
            <v>CR</v>
          </cell>
          <cell r="F178" t="str">
            <v>Stanbury et al., 2021</v>
          </cell>
          <cell r="G178" t="str">
            <v>NHMSYS0000530474</v>
          </cell>
          <cell r="H178" t="str">
            <v>Mergellus albellus</v>
          </cell>
        </row>
        <row r="179">
          <cell r="A179" t="str">
            <v>Mergus merganser</v>
          </cell>
          <cell r="B179" t="str">
            <v>Birds</v>
          </cell>
          <cell r="C179" t="str">
            <v>Aves</v>
          </cell>
          <cell r="D179" t="str">
            <v>Mergus merganser [n-br]</v>
          </cell>
          <cell r="E179" t="str">
            <v>LC</v>
          </cell>
          <cell r="F179" t="str">
            <v>Stanbury et al., 2021</v>
          </cell>
          <cell r="G179" t="str">
            <v>NBNSYS0000000128</v>
          </cell>
          <cell r="H179" t="str">
            <v>Mergus merganser</v>
          </cell>
        </row>
        <row r="180">
          <cell r="A180" t="str">
            <v>Mergus serrator</v>
          </cell>
          <cell r="B180" t="str">
            <v>Birds</v>
          </cell>
          <cell r="C180" t="str">
            <v>Aves</v>
          </cell>
          <cell r="D180" t="str">
            <v>Mergus serrator [br]</v>
          </cell>
          <cell r="E180" t="str">
            <v>NT</v>
          </cell>
          <cell r="F180" t="str">
            <v>Stanbury et al., 2021</v>
          </cell>
          <cell r="G180" t="str">
            <v>NBNSYS0000000198</v>
          </cell>
          <cell r="H180" t="str">
            <v>Mergus serrator</v>
          </cell>
        </row>
        <row r="181">
          <cell r="A181" t="str">
            <v>Mergus serrator</v>
          </cell>
          <cell r="B181" t="str">
            <v>Birds</v>
          </cell>
          <cell r="C181" t="str">
            <v>Aves</v>
          </cell>
          <cell r="D181" t="str">
            <v>Mergus serrator [n-br]</v>
          </cell>
          <cell r="E181" t="str">
            <v>VU</v>
          </cell>
          <cell r="F181" t="str">
            <v>Stanbury et al., 2021</v>
          </cell>
          <cell r="G181" t="str">
            <v>NBNSYS0000000198</v>
          </cell>
          <cell r="H181" t="str">
            <v>Mergus serrator</v>
          </cell>
        </row>
        <row r="182">
          <cell r="A182" t="str">
            <v>Milvus milvus</v>
          </cell>
          <cell r="B182" t="str">
            <v>Birds</v>
          </cell>
          <cell r="C182" t="str">
            <v>Aves</v>
          </cell>
          <cell r="D182" t="str">
            <v>Milvus milvus [br]</v>
          </cell>
          <cell r="E182" t="str">
            <v>LC</v>
          </cell>
          <cell r="F182" t="str">
            <v>Stanbury et al., 2021</v>
          </cell>
          <cell r="G182" t="str">
            <v>NHMSYS0000530482</v>
          </cell>
          <cell r="H182" t="str">
            <v>Milvus milvus</v>
          </cell>
        </row>
        <row r="183">
          <cell r="A183" t="str">
            <v>Morus bassanus</v>
          </cell>
          <cell r="B183" t="str">
            <v>Birds</v>
          </cell>
          <cell r="C183" t="str">
            <v>Aves</v>
          </cell>
          <cell r="D183" t="str">
            <v>Morus bassanus [br]</v>
          </cell>
          <cell r="E183" t="str">
            <v>LC</v>
          </cell>
          <cell r="F183" t="str">
            <v>Stanbury et al., 2021</v>
          </cell>
          <cell r="G183" t="str">
            <v>NBNSYS0000188659</v>
          </cell>
          <cell r="H183" t="str">
            <v>Morus bassanus</v>
          </cell>
        </row>
        <row r="184">
          <cell r="A184" t="str">
            <v>Motacilla alba</v>
          </cell>
          <cell r="B184" t="str">
            <v>Birds</v>
          </cell>
          <cell r="C184" t="str">
            <v>Aves</v>
          </cell>
          <cell r="D184" t="str">
            <v>Motacilla alba [br]</v>
          </cell>
          <cell r="E184" t="str">
            <v>LC</v>
          </cell>
          <cell r="F184" t="str">
            <v>Stanbury et al., 2021</v>
          </cell>
          <cell r="G184" t="str">
            <v>NHMSYS0000530493</v>
          </cell>
          <cell r="H184" t="str">
            <v>Motacilla alba</v>
          </cell>
        </row>
        <row r="185">
          <cell r="A185" t="str">
            <v>Motacilla cinerea</v>
          </cell>
          <cell r="B185" t="str">
            <v>Birds</v>
          </cell>
          <cell r="C185" t="str">
            <v>Aves</v>
          </cell>
          <cell r="D185" t="str">
            <v>Motacilla cinerea [br]</v>
          </cell>
          <cell r="E185" t="str">
            <v>NT</v>
          </cell>
          <cell r="F185" t="str">
            <v>Stanbury et al., 2021</v>
          </cell>
          <cell r="G185" t="str">
            <v>NHMSYS0000530494</v>
          </cell>
          <cell r="H185" t="str">
            <v>Motacilla cinerea</v>
          </cell>
        </row>
        <row r="186">
          <cell r="A186" t="str">
            <v>Motacilla flava</v>
          </cell>
          <cell r="B186" t="str">
            <v>Birds</v>
          </cell>
          <cell r="C186" t="str">
            <v>Aves</v>
          </cell>
          <cell r="D186" t="str">
            <v>Motacilla flava [br]</v>
          </cell>
          <cell r="E186" t="str">
            <v>NT</v>
          </cell>
          <cell r="F186" t="str">
            <v>Stanbury et al., 2021</v>
          </cell>
          <cell r="G186" t="str">
            <v>NHMSYS0000530496</v>
          </cell>
          <cell r="H186" t="str">
            <v>Motacilla flava</v>
          </cell>
        </row>
        <row r="187">
          <cell r="A187" t="str">
            <v>Muscicapa striata</v>
          </cell>
          <cell r="B187" t="str">
            <v>Birds</v>
          </cell>
          <cell r="C187" t="str">
            <v>Aves</v>
          </cell>
          <cell r="D187" t="str">
            <v>Muscicapa striata [br]</v>
          </cell>
          <cell r="E187" t="str">
            <v>NT</v>
          </cell>
          <cell r="F187" t="str">
            <v>Stanbury et al., 2021</v>
          </cell>
          <cell r="G187" t="str">
            <v>NHMSYS0000530498</v>
          </cell>
          <cell r="H187" t="str">
            <v>Muscicapa striata</v>
          </cell>
        </row>
        <row r="188">
          <cell r="A188" t="str">
            <v>Numenius arquata</v>
          </cell>
          <cell r="B188" t="str">
            <v>Birds</v>
          </cell>
          <cell r="C188" t="str">
            <v>Aves</v>
          </cell>
          <cell r="D188" t="str">
            <v>Numenius arquata [br]</v>
          </cell>
          <cell r="E188" t="str">
            <v>EN</v>
          </cell>
          <cell r="F188" t="str">
            <v>Stanbury et al., 2021</v>
          </cell>
          <cell r="G188" t="str">
            <v>NBNSYS0000000032</v>
          </cell>
          <cell r="H188" t="str">
            <v>Numenius arquata</v>
          </cell>
        </row>
        <row r="189">
          <cell r="A189" t="str">
            <v>Oenanthe oenanthe</v>
          </cell>
          <cell r="B189" t="str">
            <v>Birds</v>
          </cell>
          <cell r="C189" t="str">
            <v>Aves</v>
          </cell>
          <cell r="D189" t="str">
            <v>Oenanthe oenanthe [br]</v>
          </cell>
          <cell r="E189" t="str">
            <v>EN</v>
          </cell>
          <cell r="F189" t="str">
            <v>Stanbury et al., 2021</v>
          </cell>
          <cell r="G189" t="str">
            <v>NHMSYS0000530514</v>
          </cell>
          <cell r="H189" t="str">
            <v>Oenanthe oenanthe</v>
          </cell>
        </row>
        <row r="190">
          <cell r="A190" t="str">
            <v>Oriolus oriolus</v>
          </cell>
          <cell r="B190" t="str">
            <v>Birds</v>
          </cell>
          <cell r="C190" t="str">
            <v>Aves</v>
          </cell>
          <cell r="D190" t="str">
            <v>Oriolus oriolus [br]</v>
          </cell>
          <cell r="E190" t="str">
            <v>RE</v>
          </cell>
          <cell r="F190" t="str">
            <v>Stanbury et al., 2021</v>
          </cell>
          <cell r="G190" t="str">
            <v>NHMSYS0000530518</v>
          </cell>
          <cell r="H190" t="str">
            <v>Oriolus oriolus</v>
          </cell>
        </row>
        <row r="191">
          <cell r="A191" t="str">
            <v>Otis tarda</v>
          </cell>
          <cell r="B191" t="str">
            <v>Birds</v>
          </cell>
          <cell r="C191" t="str">
            <v>Aves</v>
          </cell>
          <cell r="D191" t="str">
            <v>Otis tarda [br]</v>
          </cell>
          <cell r="E191" t="str">
            <v>RE</v>
          </cell>
          <cell r="F191" t="str">
            <v>Stanbury et al., 2021</v>
          </cell>
          <cell r="G191" t="str">
            <v>NHMSYS0000530520</v>
          </cell>
          <cell r="H191" t="str">
            <v>Otis tarda</v>
          </cell>
        </row>
        <row r="192">
          <cell r="A192" t="str">
            <v>Pandion haliaetus</v>
          </cell>
          <cell r="B192" t="str">
            <v>Birds</v>
          </cell>
          <cell r="C192" t="str">
            <v>Aves</v>
          </cell>
          <cell r="D192" t="str">
            <v>Pandion haliaetus [br]</v>
          </cell>
          <cell r="E192" t="str">
            <v>NT</v>
          </cell>
          <cell r="F192" t="str">
            <v>Stanbury et al., 2021</v>
          </cell>
          <cell r="G192" t="str">
            <v>NBNSYS0000000292</v>
          </cell>
          <cell r="H192" t="str">
            <v>Pandion haliaetus</v>
          </cell>
        </row>
        <row r="193">
          <cell r="A193" t="str">
            <v>Panurus biarmicus</v>
          </cell>
          <cell r="B193" t="str">
            <v>Birds</v>
          </cell>
          <cell r="C193" t="str">
            <v>Aves</v>
          </cell>
          <cell r="D193" t="str">
            <v>Panurus biarmicus [br]</v>
          </cell>
          <cell r="E193" t="str">
            <v>LC</v>
          </cell>
          <cell r="F193" t="str">
            <v>Stanbury et al., 2021</v>
          </cell>
          <cell r="G193" t="str">
            <v>NHMSYS0000530526</v>
          </cell>
          <cell r="H193" t="str">
            <v>Panurus biarmicus</v>
          </cell>
        </row>
        <row r="194">
          <cell r="A194" t="str">
            <v>Parus major</v>
          </cell>
          <cell r="B194" t="str">
            <v>Birds</v>
          </cell>
          <cell r="C194" t="str">
            <v>Aves</v>
          </cell>
          <cell r="D194" t="str">
            <v>Parus major [br]</v>
          </cell>
          <cell r="E194" t="str">
            <v>LC</v>
          </cell>
          <cell r="F194" t="str">
            <v>Stanbury et al., 2021</v>
          </cell>
          <cell r="G194" t="str">
            <v>NHMSYS0000530533</v>
          </cell>
          <cell r="H194" t="str">
            <v>Parus major</v>
          </cell>
        </row>
        <row r="195">
          <cell r="A195" t="str">
            <v>Passer domesticus</v>
          </cell>
          <cell r="B195" t="str">
            <v>Birds</v>
          </cell>
          <cell r="C195" t="str">
            <v>Aves</v>
          </cell>
          <cell r="D195" t="str">
            <v>Passer domesticus [br]</v>
          </cell>
          <cell r="E195" t="str">
            <v>LC</v>
          </cell>
          <cell r="F195" t="str">
            <v>Stanbury et al., 2021</v>
          </cell>
          <cell r="G195" t="str">
            <v>NHMSYS0000530537</v>
          </cell>
          <cell r="H195" t="str">
            <v>Passer domesticus</v>
          </cell>
        </row>
        <row r="196">
          <cell r="A196" t="str">
            <v>Passer montanus</v>
          </cell>
          <cell r="B196" t="str">
            <v>Birds</v>
          </cell>
          <cell r="C196" t="str">
            <v>Aves</v>
          </cell>
          <cell r="D196" t="str">
            <v>Passer montanus [br]</v>
          </cell>
          <cell r="E196" t="str">
            <v>VU</v>
          </cell>
          <cell r="F196" t="str">
            <v>Stanbury et al., 2021</v>
          </cell>
          <cell r="G196" t="str">
            <v>NHMSYS0000530539</v>
          </cell>
          <cell r="H196" t="str">
            <v>Passer montanus</v>
          </cell>
        </row>
        <row r="197">
          <cell r="A197" t="str">
            <v>Perdix perdix</v>
          </cell>
          <cell r="B197" t="str">
            <v>Birds</v>
          </cell>
          <cell r="C197" t="str">
            <v>Aves</v>
          </cell>
          <cell r="D197" t="str">
            <v>Perdix perdix [br]</v>
          </cell>
          <cell r="E197" t="str">
            <v>VU</v>
          </cell>
          <cell r="F197" t="str">
            <v>Stanbury et al., 2021</v>
          </cell>
          <cell r="G197" t="str">
            <v>NHMSYS0000530548</v>
          </cell>
          <cell r="H197" t="str">
            <v>Perdix perdix</v>
          </cell>
        </row>
        <row r="198">
          <cell r="A198" t="str">
            <v>Periparus ater</v>
          </cell>
          <cell r="B198" t="str">
            <v>Birds</v>
          </cell>
          <cell r="C198" t="str">
            <v>Aves</v>
          </cell>
          <cell r="D198" t="str">
            <v>Periparus ater [br]</v>
          </cell>
          <cell r="E198" t="str">
            <v>LC</v>
          </cell>
          <cell r="F198" t="str">
            <v>Stanbury et al., 2021</v>
          </cell>
          <cell r="G198" t="str">
            <v>NHMSYS0001688300</v>
          </cell>
          <cell r="H198" t="str">
            <v>Periparus ater</v>
          </cell>
        </row>
        <row r="199">
          <cell r="A199" t="str">
            <v>Pernis apivorus</v>
          </cell>
          <cell r="B199" t="str">
            <v>Birds</v>
          </cell>
          <cell r="C199" t="str">
            <v>Aves</v>
          </cell>
          <cell r="D199" t="str">
            <v>Pernis apivorus [br]</v>
          </cell>
          <cell r="E199" t="str">
            <v>EN</v>
          </cell>
          <cell r="F199" t="str">
            <v>Stanbury et al., 2021</v>
          </cell>
          <cell r="G199" t="str">
            <v>NHMSYS0000530550</v>
          </cell>
          <cell r="H199" t="str">
            <v>Pernis apivorus</v>
          </cell>
        </row>
        <row r="200">
          <cell r="A200" t="str">
            <v>Phalacrocorax aristotelis</v>
          </cell>
          <cell r="B200" t="str">
            <v>Birds</v>
          </cell>
          <cell r="C200" t="str">
            <v>Aves</v>
          </cell>
          <cell r="D200" t="str">
            <v>Phalacrocorax aristotelis [br]</v>
          </cell>
          <cell r="E200" t="str">
            <v>EN</v>
          </cell>
          <cell r="F200" t="str">
            <v>Stanbury et al., 2021</v>
          </cell>
          <cell r="G200" t="str">
            <v>NHMSYS0021537828</v>
          </cell>
          <cell r="H200" t="str">
            <v>Phalacrocorax aristotelis</v>
          </cell>
        </row>
        <row r="201">
          <cell r="A201" t="str">
            <v>Phalacrocorax carbo</v>
          </cell>
          <cell r="B201" t="str">
            <v>Birds</v>
          </cell>
          <cell r="C201" t="str">
            <v>Aves</v>
          </cell>
          <cell r="D201" t="str">
            <v>Phalacrocorax carbo [br]</v>
          </cell>
          <cell r="E201" t="str">
            <v>NT</v>
          </cell>
          <cell r="F201" t="str">
            <v>Stanbury et al., 2021</v>
          </cell>
          <cell r="G201" t="str">
            <v>NBNSYS0000000004</v>
          </cell>
          <cell r="H201" t="str">
            <v>Phalacrocorax carbo</v>
          </cell>
        </row>
        <row r="202">
          <cell r="A202" t="str">
            <v>Phalacrocorax carbo</v>
          </cell>
          <cell r="B202" t="str">
            <v>Birds</v>
          </cell>
          <cell r="C202" t="str">
            <v>Aves</v>
          </cell>
          <cell r="D202" t="str">
            <v>Phalacrocorax carbo [n-br]</v>
          </cell>
          <cell r="E202" t="str">
            <v>LC</v>
          </cell>
          <cell r="F202" t="str">
            <v>Stanbury et al., 2021</v>
          </cell>
          <cell r="G202" t="str">
            <v>NBNSYS0000000004</v>
          </cell>
          <cell r="H202" t="str">
            <v>Phalacrocorax carbo</v>
          </cell>
        </row>
        <row r="203">
          <cell r="A203" t="str">
            <v>Phoenicurus ochruros</v>
          </cell>
          <cell r="B203" t="str">
            <v>Birds</v>
          </cell>
          <cell r="C203" t="str">
            <v>Aves</v>
          </cell>
          <cell r="D203" t="str">
            <v>Phoenicurus ochruros [br]</v>
          </cell>
          <cell r="E203" t="str">
            <v>VU</v>
          </cell>
          <cell r="F203" t="str">
            <v>Stanbury et al., 2021</v>
          </cell>
          <cell r="G203" t="str">
            <v>NHMSYS0000530744</v>
          </cell>
          <cell r="H203" t="str">
            <v>Phoenicurus ochruros</v>
          </cell>
        </row>
        <row r="204">
          <cell r="A204" t="str">
            <v>Phoenicurus ochruros</v>
          </cell>
          <cell r="B204" t="str">
            <v>Birds</v>
          </cell>
          <cell r="C204" t="str">
            <v>Aves</v>
          </cell>
          <cell r="D204" t="str">
            <v>Phoenicurus ochruros [n-br]</v>
          </cell>
          <cell r="E204" t="str">
            <v>NT</v>
          </cell>
          <cell r="F204" t="str">
            <v>Stanbury et al., 2021</v>
          </cell>
          <cell r="G204" t="str">
            <v>NHMSYS0000530744</v>
          </cell>
          <cell r="H204" t="str">
            <v>Phoenicurus ochruros</v>
          </cell>
        </row>
        <row r="205">
          <cell r="A205" t="str">
            <v>Phoenicurus phoenicurus</v>
          </cell>
          <cell r="B205" t="str">
            <v>Birds</v>
          </cell>
          <cell r="C205" t="str">
            <v>Aves</v>
          </cell>
          <cell r="D205" t="str">
            <v>Phoenicurus phoenicurus [br]</v>
          </cell>
          <cell r="E205" t="str">
            <v>LC</v>
          </cell>
          <cell r="F205" t="str">
            <v>Stanbury et al., 2021</v>
          </cell>
          <cell r="G205" t="str">
            <v>NHMSYS0000530745</v>
          </cell>
          <cell r="H205" t="str">
            <v>Phoenicurus phoenicurus</v>
          </cell>
        </row>
        <row r="206">
          <cell r="A206" t="str">
            <v>Phylloscopus collybita</v>
          </cell>
          <cell r="B206" t="str">
            <v>Birds</v>
          </cell>
          <cell r="C206" t="str">
            <v>Aves</v>
          </cell>
          <cell r="D206" t="str">
            <v>Phylloscopus collybita [br]</v>
          </cell>
          <cell r="E206" t="str">
            <v>LC</v>
          </cell>
          <cell r="F206" t="str">
            <v>Stanbury et al., 2021</v>
          </cell>
          <cell r="G206" t="str">
            <v>NHMSYS0000530749</v>
          </cell>
          <cell r="H206" t="str">
            <v>Phylloscopus collybita</v>
          </cell>
        </row>
        <row r="207">
          <cell r="A207" t="str">
            <v>Phylloscopus inornatus</v>
          </cell>
          <cell r="B207" t="str">
            <v>Birds</v>
          </cell>
          <cell r="C207" t="str">
            <v>Aves</v>
          </cell>
          <cell r="D207" t="str">
            <v>Phylloscopus inornatus [n-br]</v>
          </cell>
          <cell r="E207" t="str">
            <v>EN</v>
          </cell>
          <cell r="F207" t="str">
            <v>Stanbury et al., 2021</v>
          </cell>
          <cell r="G207" t="str">
            <v>NHMSYS0000530753</v>
          </cell>
          <cell r="H207" t="str">
            <v>Phylloscopus inornatus</v>
          </cell>
        </row>
        <row r="208">
          <cell r="A208" t="str">
            <v>Phylloscopus sibilatrix</v>
          </cell>
          <cell r="B208" t="str">
            <v>Birds</v>
          </cell>
          <cell r="C208" t="str">
            <v>Aves</v>
          </cell>
          <cell r="D208" t="str">
            <v>Phylloscopus sibilatrix [br]</v>
          </cell>
          <cell r="E208" t="str">
            <v>VU</v>
          </cell>
          <cell r="F208" t="str">
            <v>Stanbury et al., 2021</v>
          </cell>
          <cell r="G208" t="str">
            <v>NHMSYS0000530757</v>
          </cell>
          <cell r="H208" t="str">
            <v>Phylloscopus sibilatrix</v>
          </cell>
        </row>
        <row r="209">
          <cell r="A209" t="str">
            <v>Phylloscopus trochilus</v>
          </cell>
          <cell r="B209" t="str">
            <v>Birds</v>
          </cell>
          <cell r="C209" t="str">
            <v>Aves</v>
          </cell>
          <cell r="D209" t="str">
            <v>Phylloscopus trochilus [br]</v>
          </cell>
          <cell r="E209" t="str">
            <v>LC</v>
          </cell>
          <cell r="F209" t="str">
            <v>Stanbury et al., 2021</v>
          </cell>
          <cell r="G209" t="str">
            <v>NHMSYS0000530759</v>
          </cell>
          <cell r="H209" t="str">
            <v>Phylloscopus trochilus</v>
          </cell>
        </row>
        <row r="210">
          <cell r="A210" t="str">
            <v>Pica pica</v>
          </cell>
          <cell r="B210" t="str">
            <v>Birds</v>
          </cell>
          <cell r="C210" t="str">
            <v>Aves</v>
          </cell>
          <cell r="D210" t="str">
            <v>Pica pica [br]</v>
          </cell>
          <cell r="E210" t="str">
            <v>LC</v>
          </cell>
          <cell r="F210" t="str">
            <v>Stanbury et al., 2021</v>
          </cell>
          <cell r="G210" t="str">
            <v>NHMSYS0000530761</v>
          </cell>
          <cell r="H210" t="str">
            <v>Pica pica</v>
          </cell>
        </row>
        <row r="211">
          <cell r="A211" t="str">
            <v>Picus viridis</v>
          </cell>
          <cell r="B211" t="str">
            <v>Birds</v>
          </cell>
          <cell r="C211" t="str">
            <v>Aves</v>
          </cell>
          <cell r="D211" t="str">
            <v>Picus viridis [br]</v>
          </cell>
          <cell r="E211" t="str">
            <v>NT</v>
          </cell>
          <cell r="F211" t="str">
            <v>Stanbury et al., 2021</v>
          </cell>
          <cell r="G211" t="str">
            <v>NHMSYS0000530763</v>
          </cell>
          <cell r="H211" t="str">
            <v>Picus viridis</v>
          </cell>
        </row>
        <row r="212">
          <cell r="A212" t="str">
            <v>Platalea leucorodia</v>
          </cell>
          <cell r="B212" t="str">
            <v>Birds</v>
          </cell>
          <cell r="C212" t="str">
            <v>Aves</v>
          </cell>
          <cell r="D212" t="str">
            <v>Platalea leucorodia [br]</v>
          </cell>
          <cell r="E212" t="str">
            <v>VU</v>
          </cell>
          <cell r="F212" t="str">
            <v>Stanbury et al., 2021</v>
          </cell>
          <cell r="G212" t="str">
            <v>NBNSYS0000000255</v>
          </cell>
          <cell r="H212" t="str">
            <v>Platalea leucorodia</v>
          </cell>
        </row>
        <row r="213">
          <cell r="A213" t="str">
            <v>Platalea leucorodia</v>
          </cell>
          <cell r="B213" t="str">
            <v>Birds</v>
          </cell>
          <cell r="C213" t="str">
            <v>Aves</v>
          </cell>
          <cell r="D213" t="str">
            <v>Platalea leucorodia [n-br]</v>
          </cell>
          <cell r="E213" t="str">
            <v>VU</v>
          </cell>
          <cell r="F213" t="str">
            <v>Stanbury et al., 2021</v>
          </cell>
          <cell r="G213" t="str">
            <v>NBNSYS0000000255</v>
          </cell>
          <cell r="H213" t="str">
            <v>Platalea leucorodia</v>
          </cell>
        </row>
        <row r="214">
          <cell r="A214" t="str">
            <v>Plectrophenax nivalis</v>
          </cell>
          <cell r="B214" t="str">
            <v>Birds</v>
          </cell>
          <cell r="C214" t="str">
            <v>Aves</v>
          </cell>
          <cell r="D214" t="str">
            <v>Plectrophenax nivalis [n-br]</v>
          </cell>
          <cell r="E214" t="str">
            <v>LC</v>
          </cell>
          <cell r="F214" t="str">
            <v>Stanbury et al., 2021</v>
          </cell>
          <cell r="G214" t="str">
            <v>NHMSYS0000530776</v>
          </cell>
          <cell r="H214" t="str">
            <v>Plectrophenax nivalis</v>
          </cell>
        </row>
        <row r="215">
          <cell r="A215" t="str">
            <v>Pluvialis apricaria</v>
          </cell>
          <cell r="B215" t="str">
            <v>Birds</v>
          </cell>
          <cell r="C215" t="str">
            <v>Aves</v>
          </cell>
          <cell r="D215" t="str">
            <v>Pluvialis apricaria [br]</v>
          </cell>
          <cell r="E215" t="str">
            <v>LC</v>
          </cell>
          <cell r="F215" t="str">
            <v>Stanbury et al., 2021</v>
          </cell>
          <cell r="G215" t="str">
            <v>NBNSYS0000000029</v>
          </cell>
          <cell r="H215" t="str">
            <v>Pluvialis apricaria</v>
          </cell>
        </row>
        <row r="216">
          <cell r="A216" t="str">
            <v>Pluvialis apricaria</v>
          </cell>
          <cell r="B216" t="str">
            <v>Birds</v>
          </cell>
          <cell r="C216" t="str">
            <v>Aves</v>
          </cell>
          <cell r="D216" t="str">
            <v>Pluvialis apricaria [n-br]</v>
          </cell>
          <cell r="E216" t="str">
            <v>LC</v>
          </cell>
          <cell r="F216" t="str">
            <v>Stanbury et al., 2021</v>
          </cell>
          <cell r="G216" t="str">
            <v>NBNSYS0000000029</v>
          </cell>
          <cell r="H216" t="str">
            <v>Pluvialis apricaria</v>
          </cell>
        </row>
        <row r="217">
          <cell r="A217" t="str">
            <v>Pluvialis squatarola</v>
          </cell>
          <cell r="B217" t="str">
            <v>Birds</v>
          </cell>
          <cell r="C217" t="str">
            <v>Aves</v>
          </cell>
          <cell r="D217" t="str">
            <v>Pluvialis squatarola [n-br]</v>
          </cell>
          <cell r="E217" t="str">
            <v>VU</v>
          </cell>
          <cell r="F217" t="str">
            <v>Stanbury et al., 2021</v>
          </cell>
          <cell r="G217" t="str">
            <v>NBNSYS0000000141</v>
          </cell>
          <cell r="H217" t="str">
            <v>Pluvialis squatarola</v>
          </cell>
        </row>
        <row r="218">
          <cell r="A218" t="str">
            <v>Podiceps auritus</v>
          </cell>
          <cell r="B218" t="str">
            <v>Birds</v>
          </cell>
          <cell r="C218" t="str">
            <v>Aves</v>
          </cell>
          <cell r="D218" t="str">
            <v>Podiceps auritus [n-br]</v>
          </cell>
          <cell r="E218" t="str">
            <v>VU</v>
          </cell>
          <cell r="F218" t="str">
            <v>Stanbury et al., 2021</v>
          </cell>
          <cell r="G218" t="str">
            <v>NBNSYS0000000224</v>
          </cell>
          <cell r="H218" t="str">
            <v>Podiceps auritus</v>
          </cell>
        </row>
        <row r="219">
          <cell r="A219" t="str">
            <v>Podiceps cristatus</v>
          </cell>
          <cell r="B219" t="str">
            <v>Birds</v>
          </cell>
          <cell r="C219" t="str">
            <v>Aves</v>
          </cell>
          <cell r="D219" t="str">
            <v>Podiceps cristatus [br]</v>
          </cell>
          <cell r="E219" t="str">
            <v>LC</v>
          </cell>
          <cell r="F219" t="str">
            <v>Stanbury et al., 2021</v>
          </cell>
          <cell r="G219" t="str">
            <v>NBNSYS0000000001</v>
          </cell>
          <cell r="H219" t="str">
            <v>Podiceps cristatus</v>
          </cell>
        </row>
        <row r="220">
          <cell r="A220" t="str">
            <v>Podiceps cristatus</v>
          </cell>
          <cell r="B220" t="str">
            <v>Birds</v>
          </cell>
          <cell r="C220" t="str">
            <v>Aves</v>
          </cell>
          <cell r="D220" t="str">
            <v>Podiceps cristatus [n-br]</v>
          </cell>
          <cell r="E220" t="str">
            <v>LC</v>
          </cell>
          <cell r="F220" t="str">
            <v>Stanbury et al., 2021</v>
          </cell>
          <cell r="G220" t="str">
            <v>NBNSYS0000000001</v>
          </cell>
          <cell r="H220" t="str">
            <v>Podiceps cristatus</v>
          </cell>
        </row>
        <row r="221">
          <cell r="A221" t="str">
            <v>Podiceps grisegena</v>
          </cell>
          <cell r="B221" t="str">
            <v>Birds</v>
          </cell>
          <cell r="C221" t="str">
            <v>Aves</v>
          </cell>
          <cell r="D221" t="str">
            <v>Podiceps grisegena [n-br]</v>
          </cell>
          <cell r="E221" t="str">
            <v>CR</v>
          </cell>
          <cell r="F221" t="str">
            <v>Stanbury et al., 2021</v>
          </cell>
          <cell r="G221" t="str">
            <v>NBNSYS0000000223</v>
          </cell>
          <cell r="H221" t="str">
            <v>Podiceps grisegena</v>
          </cell>
        </row>
        <row r="222">
          <cell r="A222" t="str">
            <v>Podiceps nigricollis</v>
          </cell>
          <cell r="B222" t="str">
            <v>Birds</v>
          </cell>
          <cell r="C222" t="str">
            <v>Aves</v>
          </cell>
          <cell r="D222" t="str">
            <v>Podiceps nigricollis [br]</v>
          </cell>
          <cell r="E222" t="str">
            <v>EN</v>
          </cell>
          <cell r="F222" t="str">
            <v>Stanbury et al., 2021</v>
          </cell>
          <cell r="G222" t="str">
            <v>NBNSYS0000000225</v>
          </cell>
          <cell r="H222" t="str">
            <v>Podiceps nigricollis</v>
          </cell>
        </row>
        <row r="223">
          <cell r="A223" t="str">
            <v>Podiceps nigricollis</v>
          </cell>
          <cell r="B223" t="str">
            <v>Birds</v>
          </cell>
          <cell r="C223" t="str">
            <v>Aves</v>
          </cell>
          <cell r="D223" t="str">
            <v>Podiceps nigricollis [n-br]</v>
          </cell>
          <cell r="E223" t="str">
            <v>EN</v>
          </cell>
          <cell r="F223" t="str">
            <v>Stanbury et al., 2021</v>
          </cell>
          <cell r="G223" t="str">
            <v>NBNSYS0000000225</v>
          </cell>
          <cell r="H223" t="str">
            <v>Podiceps nigricollis</v>
          </cell>
        </row>
        <row r="224">
          <cell r="A224" t="str">
            <v>Poecile montanus</v>
          </cell>
          <cell r="B224" t="str">
            <v>Birds</v>
          </cell>
          <cell r="C224" t="str">
            <v>Aves</v>
          </cell>
          <cell r="D224" t="str">
            <v>Poecile montanus [br]</v>
          </cell>
          <cell r="E224" t="str">
            <v>EN</v>
          </cell>
          <cell r="F224" t="str">
            <v>Stanbury et al., 2021</v>
          </cell>
          <cell r="G224" t="str">
            <v>NHMSYS0001688302</v>
          </cell>
          <cell r="H224" t="str">
            <v>Poecile montanus</v>
          </cell>
        </row>
        <row r="225">
          <cell r="A225" t="str">
            <v>Poecile palustris</v>
          </cell>
          <cell r="B225" t="str">
            <v>Birds</v>
          </cell>
          <cell r="C225" t="str">
            <v>Aves</v>
          </cell>
          <cell r="D225" t="str">
            <v>Poecile palustris [br]</v>
          </cell>
          <cell r="E225" t="str">
            <v>NT</v>
          </cell>
          <cell r="F225" t="str">
            <v>Stanbury et al., 2021</v>
          </cell>
          <cell r="G225" t="str">
            <v>NHMSYS0001688303</v>
          </cell>
          <cell r="H225" t="str">
            <v>Poecile palustris</v>
          </cell>
        </row>
        <row r="226">
          <cell r="A226" t="str">
            <v>Porzana porzana</v>
          </cell>
          <cell r="B226" t="str">
            <v>Birds</v>
          </cell>
          <cell r="C226" t="str">
            <v>Aves</v>
          </cell>
          <cell r="D226" t="str">
            <v>Porzana porzana [br]</v>
          </cell>
          <cell r="E226" t="str">
            <v>CR</v>
          </cell>
          <cell r="F226" t="str">
            <v>Stanbury et al., 2021</v>
          </cell>
          <cell r="G226" t="str">
            <v>NHMSYS0000530787</v>
          </cell>
          <cell r="H226" t="str">
            <v>Porzana porzana</v>
          </cell>
        </row>
        <row r="227">
          <cell r="A227" t="str">
            <v>Prunella modularis</v>
          </cell>
          <cell r="B227" t="str">
            <v>Birds</v>
          </cell>
          <cell r="C227" t="str">
            <v>Aves</v>
          </cell>
          <cell r="D227" t="str">
            <v>Prunella modularis [br]</v>
          </cell>
          <cell r="E227" t="str">
            <v>LC</v>
          </cell>
          <cell r="F227" t="str">
            <v>Stanbury et al., 2021</v>
          </cell>
          <cell r="G227" t="str">
            <v>NHMSYS0000530790</v>
          </cell>
          <cell r="H227" t="str">
            <v>Prunella modularis</v>
          </cell>
        </row>
        <row r="228">
          <cell r="A228" t="str">
            <v>Puffinus mauretanicus</v>
          </cell>
          <cell r="B228" t="str">
            <v>Birds</v>
          </cell>
          <cell r="C228" t="str">
            <v>Aves</v>
          </cell>
          <cell r="D228" t="str">
            <v>Puffinus mauretanicus [n-br]</v>
          </cell>
          <cell r="E228" t="str">
            <v>VU</v>
          </cell>
          <cell r="F228" t="str">
            <v>Stanbury et al., 2021</v>
          </cell>
          <cell r="G228" t="str">
            <v>NHMSYS0000530798</v>
          </cell>
          <cell r="H228" t="str">
            <v>Puffinus mauretanicus</v>
          </cell>
        </row>
        <row r="229">
          <cell r="A229" t="str">
            <v>Puffinus puffinus</v>
          </cell>
          <cell r="B229" t="str">
            <v>Birds</v>
          </cell>
          <cell r="C229" t="str">
            <v>Aves</v>
          </cell>
          <cell r="D229" t="str">
            <v>Puffinus puffinus [br]</v>
          </cell>
          <cell r="E229" t="str">
            <v>LC</v>
          </cell>
          <cell r="F229" t="str">
            <v>Stanbury et al., 2021</v>
          </cell>
          <cell r="G229" t="str">
            <v>NBNSYS0000000014</v>
          </cell>
          <cell r="H229" t="str">
            <v>Puffinus puffinus</v>
          </cell>
        </row>
        <row r="230">
          <cell r="A230" t="str">
            <v>Pyrrhocorax pyrrhocorax</v>
          </cell>
          <cell r="B230" t="str">
            <v>Birds</v>
          </cell>
          <cell r="C230" t="str">
            <v>Aves</v>
          </cell>
          <cell r="D230" t="str">
            <v>Pyrrhocorax pyrrhocorax [br]</v>
          </cell>
          <cell r="E230" t="str">
            <v>VU</v>
          </cell>
          <cell r="F230" t="str">
            <v>Stanbury et al., 2021</v>
          </cell>
          <cell r="G230" t="str">
            <v>NHMSYS0000530800</v>
          </cell>
          <cell r="H230" t="str">
            <v>Pyrrhocorax pyrrhocorax</v>
          </cell>
        </row>
        <row r="231">
          <cell r="A231" t="str">
            <v>Pyrrhula pyrrhula</v>
          </cell>
          <cell r="B231" t="str">
            <v>Birds</v>
          </cell>
          <cell r="C231" t="str">
            <v>Aves</v>
          </cell>
          <cell r="D231" t="str">
            <v>Pyrrhula pyrrhula [br]</v>
          </cell>
          <cell r="E231" t="str">
            <v>LC</v>
          </cell>
          <cell r="F231" t="str">
            <v>Stanbury et al., 2021</v>
          </cell>
          <cell r="G231" t="str">
            <v>NHMSYS0000530802</v>
          </cell>
          <cell r="H231" t="str">
            <v>Pyrrhula pyrrhula</v>
          </cell>
        </row>
        <row r="232">
          <cell r="A232" t="str">
            <v>Rallus aquaticus</v>
          </cell>
          <cell r="B232" t="str">
            <v>Birds</v>
          </cell>
          <cell r="C232" t="str">
            <v>Aves</v>
          </cell>
          <cell r="D232" t="str">
            <v>Rallus aquaticus [br]</v>
          </cell>
          <cell r="E232" t="str">
            <v>LC</v>
          </cell>
          <cell r="F232" t="str">
            <v>Stanbury et al., 2021</v>
          </cell>
          <cell r="G232" t="str">
            <v>NHMSYS0000530803</v>
          </cell>
          <cell r="H232" t="str">
            <v>Rallus aquaticus</v>
          </cell>
        </row>
        <row r="233">
          <cell r="A233" t="str">
            <v>Recurvirostra avosetta</v>
          </cell>
          <cell r="B233" t="str">
            <v>Birds</v>
          </cell>
          <cell r="C233" t="str">
            <v>Aves</v>
          </cell>
          <cell r="D233" t="str">
            <v>Recurvirostra avosetta [br]</v>
          </cell>
          <cell r="E233" t="str">
            <v>LC</v>
          </cell>
          <cell r="F233" t="str">
            <v>Stanbury et al., 2021</v>
          </cell>
          <cell r="G233" t="str">
            <v>NBNSYS0000000154</v>
          </cell>
          <cell r="H233" t="str">
            <v>Recurvirostra avosetta</v>
          </cell>
        </row>
        <row r="234">
          <cell r="A234" t="str">
            <v>Recurvirostra avosetta</v>
          </cell>
          <cell r="B234" t="str">
            <v>Birds</v>
          </cell>
          <cell r="C234" t="str">
            <v>Aves</v>
          </cell>
          <cell r="D234" t="str">
            <v>Recurvirostra avosetta [n-br]</v>
          </cell>
          <cell r="E234" t="str">
            <v>LC</v>
          </cell>
          <cell r="F234" t="str">
            <v>Stanbury et al., 2021</v>
          </cell>
          <cell r="G234" t="str">
            <v>NBNSYS0000000154</v>
          </cell>
          <cell r="H234" t="str">
            <v>Recurvirostra avosetta</v>
          </cell>
        </row>
        <row r="235">
          <cell r="A235" t="str">
            <v>Regulus ignicapilla</v>
          </cell>
          <cell r="B235" t="str">
            <v>Birds</v>
          </cell>
          <cell r="C235" t="str">
            <v>Aves</v>
          </cell>
          <cell r="D235" t="str">
            <v>Regulus ignicapilla [br]</v>
          </cell>
          <cell r="E235" t="str">
            <v>LC</v>
          </cell>
          <cell r="F235" t="str">
            <v>Stanbury et al., 2021</v>
          </cell>
          <cell r="G235" t="str">
            <v>NHMSYS0000530578</v>
          </cell>
          <cell r="H235" t="str">
            <v>Regulus ignicapilla</v>
          </cell>
        </row>
        <row r="236">
          <cell r="A236" t="str">
            <v>Regulus regulus</v>
          </cell>
          <cell r="B236" t="str">
            <v>Birds</v>
          </cell>
          <cell r="C236" t="str">
            <v>Aves</v>
          </cell>
          <cell r="D236" t="str">
            <v>Regulus regulus [br]</v>
          </cell>
          <cell r="E236" t="str">
            <v>LC</v>
          </cell>
          <cell r="F236" t="str">
            <v>Stanbury et al., 2021</v>
          </cell>
          <cell r="G236" t="str">
            <v>NHMSYS0000530579</v>
          </cell>
          <cell r="H236" t="str">
            <v>Regulus regulus</v>
          </cell>
        </row>
        <row r="237">
          <cell r="A237" t="str">
            <v>Riparia riparia</v>
          </cell>
          <cell r="B237" t="str">
            <v>Birds</v>
          </cell>
          <cell r="C237" t="str">
            <v>Aves</v>
          </cell>
          <cell r="D237" t="str">
            <v>Riparia riparia [br]</v>
          </cell>
          <cell r="E237" t="str">
            <v>LC</v>
          </cell>
          <cell r="F237" t="str">
            <v>Stanbury et al., 2021</v>
          </cell>
          <cell r="G237" t="str">
            <v>NHMSYS0000530586</v>
          </cell>
          <cell r="H237" t="str">
            <v>Riparia riparia</v>
          </cell>
        </row>
        <row r="238">
          <cell r="A238" t="str">
            <v>Rissa tridactyla</v>
          </cell>
          <cell r="B238" t="str">
            <v>Birds</v>
          </cell>
          <cell r="C238" t="str">
            <v>Aves</v>
          </cell>
          <cell r="D238" t="str">
            <v>Rissa tridactyla [br]</v>
          </cell>
          <cell r="E238" t="str">
            <v>CR</v>
          </cell>
          <cell r="F238" t="str">
            <v>Stanbury et al., 2021</v>
          </cell>
          <cell r="G238" t="str">
            <v>NBNSYS0000000039</v>
          </cell>
          <cell r="H238" t="str">
            <v>Rissa tridactyla</v>
          </cell>
        </row>
        <row r="239">
          <cell r="A239" t="str">
            <v>Saxicola rubetra</v>
          </cell>
          <cell r="B239" t="str">
            <v>Birds</v>
          </cell>
          <cell r="C239" t="str">
            <v>Aves</v>
          </cell>
          <cell r="D239" t="str">
            <v>Saxicola rubetra [br]</v>
          </cell>
          <cell r="E239" t="str">
            <v>NT</v>
          </cell>
          <cell r="F239" t="str">
            <v>Stanbury et al., 2021</v>
          </cell>
          <cell r="G239" t="str">
            <v>NHMSYS0000530590</v>
          </cell>
          <cell r="H239" t="str">
            <v>Saxicola rubetra</v>
          </cell>
        </row>
        <row r="240">
          <cell r="A240" t="str">
            <v>Saxicola rubicola</v>
          </cell>
          <cell r="B240" t="str">
            <v>Birds</v>
          </cell>
          <cell r="C240" t="str">
            <v>Aves</v>
          </cell>
          <cell r="D240" t="str">
            <v>Saxicola rubicola [br]</v>
          </cell>
          <cell r="E240" t="str">
            <v>LC</v>
          </cell>
          <cell r="F240" t="str">
            <v>Stanbury et al., 2021</v>
          </cell>
          <cell r="G240" t="str">
            <v>NHMSYS0021002960</v>
          </cell>
          <cell r="H240" t="str">
            <v>Saxicola rubicola</v>
          </cell>
        </row>
        <row r="241">
          <cell r="A241" t="str">
            <v>Scolopax rusticola</v>
          </cell>
          <cell r="B241" t="str">
            <v>Birds</v>
          </cell>
          <cell r="C241" t="str">
            <v>Aves</v>
          </cell>
          <cell r="D241" t="str">
            <v>Scolopax rusticola [br]</v>
          </cell>
          <cell r="E241" t="str">
            <v>VU</v>
          </cell>
          <cell r="F241" t="str">
            <v>Stanbury et al., 2021</v>
          </cell>
          <cell r="G241" t="str">
            <v>NBNSYS0000000031</v>
          </cell>
          <cell r="H241" t="str">
            <v>Scolopax rusticola</v>
          </cell>
        </row>
        <row r="242">
          <cell r="A242" t="str">
            <v>Scolopax rusticola</v>
          </cell>
          <cell r="B242" t="str">
            <v>Birds</v>
          </cell>
          <cell r="C242" t="str">
            <v>Aves</v>
          </cell>
          <cell r="D242" t="str">
            <v>Scolopax rusticola [n-br]</v>
          </cell>
          <cell r="E242" t="str">
            <v>NT</v>
          </cell>
          <cell r="F242" t="str">
            <v>Stanbury et al., 2021</v>
          </cell>
          <cell r="G242" t="str">
            <v>NBNSYS0000000031</v>
          </cell>
          <cell r="H242" t="str">
            <v>Scolopax rusticola</v>
          </cell>
        </row>
        <row r="243">
          <cell r="A243" t="str">
            <v>Serinus serinus</v>
          </cell>
          <cell r="B243" t="str">
            <v>Birds</v>
          </cell>
          <cell r="C243" t="str">
            <v>Aves</v>
          </cell>
          <cell r="D243" t="str">
            <v>Serinus serinus [br]</v>
          </cell>
          <cell r="E243" t="str">
            <v>RE</v>
          </cell>
          <cell r="F243" t="str">
            <v>Stanbury et al., 2021</v>
          </cell>
          <cell r="G243" t="str">
            <v>NHMSYS0000530599</v>
          </cell>
          <cell r="H243" t="str">
            <v>Serinus serinus</v>
          </cell>
        </row>
        <row r="244">
          <cell r="A244" t="str">
            <v>Sitta europaea</v>
          </cell>
          <cell r="B244" t="str">
            <v>Birds</v>
          </cell>
          <cell r="C244" t="str">
            <v>Aves</v>
          </cell>
          <cell r="D244" t="str">
            <v>Sitta europaea [br]</v>
          </cell>
          <cell r="E244" t="str">
            <v>LC</v>
          </cell>
          <cell r="F244" t="str">
            <v>Stanbury et al., 2021</v>
          </cell>
          <cell r="G244" t="str">
            <v>NHMSYS0000530610</v>
          </cell>
          <cell r="H244" t="str">
            <v>Sitta europaea</v>
          </cell>
        </row>
        <row r="245">
          <cell r="A245" t="str">
            <v>Somateria mollissima</v>
          </cell>
          <cell r="B245" t="str">
            <v>Birds</v>
          </cell>
          <cell r="C245" t="str">
            <v>Aves</v>
          </cell>
          <cell r="D245" t="str">
            <v>Somateria mollissima [n-br]</v>
          </cell>
          <cell r="E245" t="str">
            <v>EN</v>
          </cell>
          <cell r="F245" t="str">
            <v>Stanbury et al., 2021</v>
          </cell>
          <cell r="G245" t="str">
            <v>NBNSYS0000000197</v>
          </cell>
          <cell r="H245" t="str">
            <v>Somateria mollissima</v>
          </cell>
        </row>
        <row r="246">
          <cell r="A246" t="str">
            <v>Spatula clypeata</v>
          </cell>
          <cell r="B246" t="str">
            <v>Birds</v>
          </cell>
          <cell r="C246" t="str">
            <v>Aves</v>
          </cell>
          <cell r="D246" t="str">
            <v>Spatula clypeata [br]</v>
          </cell>
          <cell r="E246" t="str">
            <v>LC</v>
          </cell>
          <cell r="F246" t="str">
            <v>Stanbury et al., 2021</v>
          </cell>
          <cell r="G246" t="str">
            <v>NHMSYS0021276051</v>
          </cell>
          <cell r="H246" t="str">
            <v>Spatula clypeata</v>
          </cell>
        </row>
        <row r="247">
          <cell r="A247" t="str">
            <v>Spatula clypeata</v>
          </cell>
          <cell r="B247" t="str">
            <v>Birds</v>
          </cell>
          <cell r="C247" t="str">
            <v>Aves</v>
          </cell>
          <cell r="D247" t="str">
            <v>Spatula clypeata [n-br]</v>
          </cell>
          <cell r="E247" t="str">
            <v>LC</v>
          </cell>
          <cell r="F247" t="str">
            <v>Stanbury et al., 2021</v>
          </cell>
          <cell r="G247" t="str">
            <v>NHMSYS0021276051</v>
          </cell>
          <cell r="H247" t="str">
            <v>Spatula clypeata</v>
          </cell>
        </row>
        <row r="248">
          <cell r="A248" t="str">
            <v>Spatula querquedula</v>
          </cell>
          <cell r="B248" t="str">
            <v>Birds</v>
          </cell>
          <cell r="C248" t="str">
            <v>Aves</v>
          </cell>
          <cell r="D248" t="str">
            <v>Spatula querquedula [br]</v>
          </cell>
          <cell r="E248" t="str">
            <v>EN</v>
          </cell>
          <cell r="F248" t="str">
            <v>Stanbury et al., 2021</v>
          </cell>
          <cell r="G248" t="str">
            <v>NHMSYS0021276106</v>
          </cell>
          <cell r="H248" t="str">
            <v>Spatula querquedula</v>
          </cell>
        </row>
        <row r="249">
          <cell r="A249" t="str">
            <v>Spinus spinus</v>
          </cell>
          <cell r="B249" t="str">
            <v>Birds</v>
          </cell>
          <cell r="C249" t="str">
            <v>Aves</v>
          </cell>
          <cell r="D249" t="str">
            <v>Spinus spinus [br]</v>
          </cell>
          <cell r="E249" t="str">
            <v>LC</v>
          </cell>
          <cell r="F249" t="str">
            <v>Stanbury et al., 2021</v>
          </cell>
          <cell r="G249" t="str">
            <v>NHMSYS0021004277</v>
          </cell>
          <cell r="H249" t="str">
            <v>Spinus spinus</v>
          </cell>
        </row>
        <row r="250">
          <cell r="A250" t="str">
            <v>Sterna dougallii</v>
          </cell>
          <cell r="B250" t="str">
            <v>Birds</v>
          </cell>
          <cell r="C250" t="str">
            <v>Aves</v>
          </cell>
          <cell r="D250" t="str">
            <v>Sterna dougallii [br]</v>
          </cell>
          <cell r="E250" t="str">
            <v>EN</v>
          </cell>
          <cell r="F250" t="str">
            <v>Stanbury et al., 2021</v>
          </cell>
          <cell r="G250" t="str">
            <v>NBNSYS0000000364</v>
          </cell>
          <cell r="H250" t="str">
            <v>Sterna dougallii</v>
          </cell>
        </row>
        <row r="251">
          <cell r="A251" t="str">
            <v>Sterna hirundo</v>
          </cell>
          <cell r="B251" t="str">
            <v>Birds</v>
          </cell>
          <cell r="C251" t="str">
            <v>Aves</v>
          </cell>
          <cell r="D251" t="str">
            <v>Sterna hirundo [br]</v>
          </cell>
          <cell r="E251" t="str">
            <v>NT</v>
          </cell>
          <cell r="F251" t="str">
            <v>Stanbury et al., 2021</v>
          </cell>
          <cell r="G251" t="str">
            <v>NBNSYS0000000138</v>
          </cell>
          <cell r="H251" t="str">
            <v>Sterna hirundo</v>
          </cell>
        </row>
        <row r="252">
          <cell r="A252" t="str">
            <v>Sterna paradisaea</v>
          </cell>
          <cell r="B252" t="str">
            <v>Birds</v>
          </cell>
          <cell r="C252" t="str">
            <v>Aves</v>
          </cell>
          <cell r="D252" t="str">
            <v>Sterna paradisaea [br]</v>
          </cell>
          <cell r="E252" t="str">
            <v>VU</v>
          </cell>
          <cell r="F252" t="str">
            <v>Stanbury et al., 2021</v>
          </cell>
          <cell r="G252" t="str">
            <v>NBNSYS0000000365</v>
          </cell>
          <cell r="H252" t="str">
            <v>Sterna paradisaea</v>
          </cell>
        </row>
        <row r="253">
          <cell r="A253" t="str">
            <v>Sternula albifrons</v>
          </cell>
          <cell r="B253" t="str">
            <v>Birds</v>
          </cell>
          <cell r="C253" t="str">
            <v>Aves</v>
          </cell>
          <cell r="D253" t="str">
            <v>Sternula albifrons [br]</v>
          </cell>
          <cell r="E253" t="str">
            <v>VU</v>
          </cell>
          <cell r="F253" t="str">
            <v>Stanbury et al., 2021</v>
          </cell>
          <cell r="G253" t="str">
            <v>NHMSYS0001688285</v>
          </cell>
          <cell r="H253" t="str">
            <v>Sternula albifrons</v>
          </cell>
        </row>
        <row r="254">
          <cell r="A254" t="str">
            <v>Streptopelia decaocto</v>
          </cell>
          <cell r="B254" t="str">
            <v>Birds</v>
          </cell>
          <cell r="C254" t="str">
            <v>Aves</v>
          </cell>
          <cell r="D254" t="str">
            <v>Streptopelia decaocto [br]</v>
          </cell>
          <cell r="E254" t="str">
            <v>NT</v>
          </cell>
          <cell r="F254" t="str">
            <v>Stanbury et al., 2021</v>
          </cell>
          <cell r="G254" t="str">
            <v>NHMSYS0000530621</v>
          </cell>
          <cell r="H254" t="str">
            <v>Streptopelia decaocto</v>
          </cell>
        </row>
        <row r="255">
          <cell r="A255" t="str">
            <v>Streptopelia turtur</v>
          </cell>
          <cell r="B255" t="str">
            <v>Birds</v>
          </cell>
          <cell r="C255" t="str">
            <v>Aves</v>
          </cell>
          <cell r="D255" t="str">
            <v>Streptopelia turtur [br]</v>
          </cell>
          <cell r="E255" t="str">
            <v>CR</v>
          </cell>
          <cell r="F255" t="str">
            <v>Stanbury et al., 2021</v>
          </cell>
          <cell r="G255" t="str">
            <v>NHMSYS0000530623</v>
          </cell>
          <cell r="H255" t="str">
            <v>Streptopelia turtur</v>
          </cell>
        </row>
        <row r="256">
          <cell r="A256" t="str">
            <v>Strix aluco</v>
          </cell>
          <cell r="B256" t="str">
            <v>Birds</v>
          </cell>
          <cell r="C256" t="str">
            <v>Aves</v>
          </cell>
          <cell r="D256" t="str">
            <v>Strix aluco [br]</v>
          </cell>
          <cell r="E256" t="str">
            <v>NT</v>
          </cell>
          <cell r="F256" t="str">
            <v>Stanbury et al., 2021</v>
          </cell>
          <cell r="G256" t="str">
            <v>NHMSYS0000530625</v>
          </cell>
          <cell r="H256" t="str">
            <v>Strix aluco</v>
          </cell>
        </row>
        <row r="257">
          <cell r="A257" t="str">
            <v>Sturnus vulgaris</v>
          </cell>
          <cell r="B257" t="str">
            <v>Birds</v>
          </cell>
          <cell r="C257" t="str">
            <v>Aves</v>
          </cell>
          <cell r="D257" t="str">
            <v>Sturnus vulgaris [br]</v>
          </cell>
          <cell r="E257" t="str">
            <v>VU</v>
          </cell>
          <cell r="F257" t="str">
            <v>Stanbury et al., 2021</v>
          </cell>
          <cell r="G257" t="str">
            <v>NHMSYS0000530628</v>
          </cell>
          <cell r="H257" t="str">
            <v>Sturnus vulgaris</v>
          </cell>
        </row>
        <row r="258">
          <cell r="A258" t="str">
            <v>Sturnus vulgaris</v>
          </cell>
          <cell r="B258" t="str">
            <v>Birds</v>
          </cell>
          <cell r="C258" t="str">
            <v>Aves</v>
          </cell>
          <cell r="D258" t="str">
            <v>Sturnus vulgaris [n-br]</v>
          </cell>
          <cell r="E258" t="str">
            <v>LC</v>
          </cell>
          <cell r="F258" t="str">
            <v>Stanbury et al., 2021</v>
          </cell>
          <cell r="G258" t="str">
            <v>NHMSYS0000530628</v>
          </cell>
          <cell r="H258" t="str">
            <v>Sturnus vulgaris</v>
          </cell>
        </row>
        <row r="259">
          <cell r="A259" t="str">
            <v>Sylvia atricapilla</v>
          </cell>
          <cell r="B259" t="str">
            <v>Birds</v>
          </cell>
          <cell r="C259" t="str">
            <v>Aves</v>
          </cell>
          <cell r="D259" t="str">
            <v>Sylvia atricapilla [br]</v>
          </cell>
          <cell r="E259" t="str">
            <v>LC</v>
          </cell>
          <cell r="F259" t="str">
            <v>Stanbury et al., 2021</v>
          </cell>
          <cell r="G259" t="str">
            <v>NHMSYS0000530633</v>
          </cell>
          <cell r="H259" t="str">
            <v>Sylvia atricapilla</v>
          </cell>
        </row>
        <row r="260">
          <cell r="A260" t="str">
            <v>Sylvia borin</v>
          </cell>
          <cell r="B260" t="str">
            <v>Birds</v>
          </cell>
          <cell r="C260" t="str">
            <v>Aves</v>
          </cell>
          <cell r="D260" t="str">
            <v>Sylvia borin [br]</v>
          </cell>
          <cell r="E260" t="str">
            <v>LC</v>
          </cell>
          <cell r="F260" t="str">
            <v>Stanbury et al., 2021</v>
          </cell>
          <cell r="G260" t="str">
            <v>NHMSYS0000530634</v>
          </cell>
          <cell r="H260" t="str">
            <v>Sylvia borin</v>
          </cell>
        </row>
        <row r="261">
          <cell r="A261" t="str">
            <v>Tachybaptus ruficollis</v>
          </cell>
          <cell r="B261" t="str">
            <v>Birds</v>
          </cell>
          <cell r="C261" t="str">
            <v>Aves</v>
          </cell>
          <cell r="D261" t="str">
            <v>Tachybaptus ruficollis [br]</v>
          </cell>
          <cell r="E261" t="str">
            <v>LC</v>
          </cell>
          <cell r="F261" t="str">
            <v>Stanbury et al., 2021</v>
          </cell>
          <cell r="G261" t="str">
            <v>NBNSYS0000000002</v>
          </cell>
          <cell r="H261" t="str">
            <v>Tachybaptus ruficollis</v>
          </cell>
        </row>
        <row r="262">
          <cell r="A262" t="str">
            <v>Tachybaptus ruficollis</v>
          </cell>
          <cell r="B262" t="str">
            <v>Birds</v>
          </cell>
          <cell r="C262" t="str">
            <v>Aves</v>
          </cell>
          <cell r="D262" t="str">
            <v>Tachybaptus ruficollis [n-br]</v>
          </cell>
          <cell r="E262" t="str">
            <v>LC</v>
          </cell>
          <cell r="F262" t="str">
            <v>Stanbury et al., 2021</v>
          </cell>
          <cell r="G262" t="str">
            <v>NBNSYS0000000002</v>
          </cell>
          <cell r="H262" t="str">
            <v>Tachybaptus ruficollis</v>
          </cell>
        </row>
        <row r="263">
          <cell r="A263" t="str">
            <v>Tadorna tadorna</v>
          </cell>
          <cell r="B263" t="str">
            <v>Birds</v>
          </cell>
          <cell r="C263" t="str">
            <v>Aves</v>
          </cell>
          <cell r="D263" t="str">
            <v>Tadorna tadorna [br]</v>
          </cell>
          <cell r="E263" t="str">
            <v>EN</v>
          </cell>
          <cell r="F263" t="str">
            <v>Stanbury et al., 2021</v>
          </cell>
          <cell r="G263" t="str">
            <v>NBNSYS0000000008</v>
          </cell>
          <cell r="H263" t="str">
            <v>Tadorna tadorna</v>
          </cell>
        </row>
        <row r="264">
          <cell r="A264" t="str">
            <v>Tadorna tadorna</v>
          </cell>
          <cell r="B264" t="str">
            <v>Birds</v>
          </cell>
          <cell r="C264" t="str">
            <v>Aves</v>
          </cell>
          <cell r="D264" t="str">
            <v>Tadorna tadorna [n-br]</v>
          </cell>
          <cell r="E264" t="str">
            <v>VU</v>
          </cell>
          <cell r="F264" t="str">
            <v>Stanbury et al., 2021</v>
          </cell>
          <cell r="G264" t="str">
            <v>NBNSYS0000000008</v>
          </cell>
          <cell r="H264" t="str">
            <v>Tadorna tadorna</v>
          </cell>
        </row>
        <row r="265">
          <cell r="A265" t="str">
            <v>Tetrao urogallus</v>
          </cell>
          <cell r="B265" t="str">
            <v>Birds</v>
          </cell>
          <cell r="C265" t="str">
            <v>Aves</v>
          </cell>
          <cell r="D265" t="str">
            <v>Tetrao urogallus [br]</v>
          </cell>
          <cell r="E265" t="str">
            <v>EN</v>
          </cell>
          <cell r="F265" t="str">
            <v>Stanbury et al., 2021</v>
          </cell>
          <cell r="G265" t="str">
            <v>NHMSYS0000530659</v>
          </cell>
          <cell r="H265" t="str">
            <v>Tetrao urogallus</v>
          </cell>
        </row>
        <row r="266">
          <cell r="A266" t="str">
            <v>Thalasseus sandvicensis</v>
          </cell>
          <cell r="B266" t="str">
            <v>Birds</v>
          </cell>
          <cell r="C266" t="str">
            <v>Aves</v>
          </cell>
          <cell r="D266" t="str">
            <v>Thalasseus sandvicensis [br]</v>
          </cell>
          <cell r="E266" t="str">
            <v>LC</v>
          </cell>
          <cell r="F266" t="str">
            <v>Stanbury et al., 2021</v>
          </cell>
          <cell r="G266" t="str">
            <v>NHMSYS0021274181</v>
          </cell>
          <cell r="H266" t="str">
            <v>Thalasseus sandvicensis</v>
          </cell>
        </row>
        <row r="267">
          <cell r="A267" t="str">
            <v>Tringa erythropus</v>
          </cell>
          <cell r="B267" t="str">
            <v>Birds</v>
          </cell>
          <cell r="C267" t="str">
            <v>Aves</v>
          </cell>
          <cell r="D267" t="str">
            <v>Tringa erythropus [n-br]</v>
          </cell>
          <cell r="E267" t="str">
            <v>EN</v>
          </cell>
          <cell r="F267" t="str">
            <v>Stanbury et al., 2021</v>
          </cell>
          <cell r="G267" t="str">
            <v>NBNSYS0000000149</v>
          </cell>
          <cell r="H267" t="str">
            <v>Tringa erythropus</v>
          </cell>
        </row>
        <row r="268">
          <cell r="A268" t="str">
            <v>Tringa ochropus</v>
          </cell>
          <cell r="B268" t="str">
            <v>Birds</v>
          </cell>
          <cell r="C268" t="str">
            <v>Aves</v>
          </cell>
          <cell r="D268" t="str">
            <v>Tringa ochropus [n-br]</v>
          </cell>
          <cell r="E268" t="str">
            <v>VU</v>
          </cell>
          <cell r="F268" t="str">
            <v>Stanbury et al., 2021</v>
          </cell>
          <cell r="G268" t="str">
            <v>NBNSYS0000000147</v>
          </cell>
          <cell r="H268" t="str">
            <v>Tringa ochropus</v>
          </cell>
        </row>
        <row r="269">
          <cell r="A269" t="str">
            <v>Tringa totanus</v>
          </cell>
          <cell r="B269" t="str">
            <v>Birds</v>
          </cell>
          <cell r="C269" t="str">
            <v>Aves</v>
          </cell>
          <cell r="D269" t="str">
            <v>Tringa totanus [br]</v>
          </cell>
          <cell r="E269" t="str">
            <v>VU</v>
          </cell>
          <cell r="F269" t="str">
            <v>Stanbury et al., 2021</v>
          </cell>
          <cell r="G269" t="str">
            <v>NBNSYS0000000034</v>
          </cell>
          <cell r="H269" t="str">
            <v>Tringa totanus</v>
          </cell>
        </row>
        <row r="270">
          <cell r="A270" t="str">
            <v>Tringa totanus</v>
          </cell>
          <cell r="B270" t="str">
            <v>Birds</v>
          </cell>
          <cell r="C270" t="str">
            <v>Aves</v>
          </cell>
          <cell r="D270" t="str">
            <v>Tringa totanus [n-br]</v>
          </cell>
          <cell r="E270" t="str">
            <v>NT</v>
          </cell>
          <cell r="F270" t="str">
            <v>Stanbury et al., 2021</v>
          </cell>
          <cell r="G270" t="str">
            <v>NBNSYS0000000034</v>
          </cell>
          <cell r="H270" t="str">
            <v>Tringa totanus</v>
          </cell>
        </row>
        <row r="271">
          <cell r="A271" t="str">
            <v>Troglodytes troglodytes</v>
          </cell>
          <cell r="B271" t="str">
            <v>Birds</v>
          </cell>
          <cell r="C271" t="str">
            <v>Aves</v>
          </cell>
          <cell r="D271" t="str">
            <v>Troglodytes troglodytes [br]</v>
          </cell>
          <cell r="E271" t="str">
            <v>LC</v>
          </cell>
          <cell r="F271" t="str">
            <v>Stanbury et al., 2021</v>
          </cell>
          <cell r="G271" t="str">
            <v>NHMSYS0000530671</v>
          </cell>
          <cell r="H271" t="str">
            <v>Troglodytes troglodytes</v>
          </cell>
        </row>
        <row r="272">
          <cell r="A272" t="str">
            <v>Turdus iliacus</v>
          </cell>
          <cell r="B272" t="str">
            <v>Birds</v>
          </cell>
          <cell r="C272" t="str">
            <v>Aves</v>
          </cell>
          <cell r="D272" t="str">
            <v>Turdus iliacus [n-br]</v>
          </cell>
          <cell r="E272" t="str">
            <v>LC</v>
          </cell>
          <cell r="F272" t="str">
            <v>Stanbury et al., 2021</v>
          </cell>
          <cell r="G272" t="str">
            <v>NHMSYS0000530673</v>
          </cell>
          <cell r="H272" t="str">
            <v>Turdus iliacus</v>
          </cell>
        </row>
        <row r="273">
          <cell r="A273" t="str">
            <v>Turdus merula</v>
          </cell>
          <cell r="B273" t="str">
            <v>Birds</v>
          </cell>
          <cell r="C273" t="str">
            <v>Aves</v>
          </cell>
          <cell r="D273" t="str">
            <v>Turdus merula [br]</v>
          </cell>
          <cell r="E273" t="str">
            <v>LC</v>
          </cell>
          <cell r="F273" t="str">
            <v>Stanbury et al., 2021</v>
          </cell>
          <cell r="G273" t="str">
            <v>NHMSYS0000530674</v>
          </cell>
          <cell r="H273" t="str">
            <v>Turdus merula</v>
          </cell>
        </row>
        <row r="274">
          <cell r="A274" t="str">
            <v>Turdus philomelos</v>
          </cell>
          <cell r="B274" t="str">
            <v>Birds</v>
          </cell>
          <cell r="C274" t="str">
            <v>Aves</v>
          </cell>
          <cell r="D274" t="str">
            <v>Turdus philomelos [br]</v>
          </cell>
          <cell r="E274" t="str">
            <v>LC</v>
          </cell>
          <cell r="F274" t="str">
            <v>Stanbury et al., 2021</v>
          </cell>
          <cell r="G274" t="str">
            <v>NHMSYS0000530678</v>
          </cell>
          <cell r="H274" t="str">
            <v>Turdus philomelos</v>
          </cell>
        </row>
        <row r="275">
          <cell r="A275" t="str">
            <v>Turdus pilaris</v>
          </cell>
          <cell r="B275" t="str">
            <v>Birds</v>
          </cell>
          <cell r="C275" t="str">
            <v>Aves</v>
          </cell>
          <cell r="D275" t="str">
            <v>Turdus pilaris [br]</v>
          </cell>
          <cell r="E275" t="str">
            <v>CR</v>
          </cell>
          <cell r="F275" t="str">
            <v>Stanbury et al., 2021</v>
          </cell>
          <cell r="G275" t="str">
            <v>NHMSYS0000530679</v>
          </cell>
          <cell r="H275" t="str">
            <v>Turdus pilaris</v>
          </cell>
        </row>
        <row r="276">
          <cell r="A276" t="str">
            <v>Turdus pilaris</v>
          </cell>
          <cell r="B276" t="str">
            <v>Birds</v>
          </cell>
          <cell r="C276" t="str">
            <v>Aves</v>
          </cell>
          <cell r="D276" t="str">
            <v>Turdus pilaris [n-br]</v>
          </cell>
          <cell r="E276" t="str">
            <v>LC</v>
          </cell>
          <cell r="F276" t="str">
            <v>Stanbury et al., 2021</v>
          </cell>
          <cell r="G276" t="str">
            <v>NHMSYS0000530679</v>
          </cell>
          <cell r="H276" t="str">
            <v>Turdus pilaris</v>
          </cell>
        </row>
        <row r="277">
          <cell r="A277" t="str">
            <v>Turdus torquatus</v>
          </cell>
          <cell r="B277" t="str">
            <v>Birds</v>
          </cell>
          <cell r="C277" t="str">
            <v>Aves</v>
          </cell>
          <cell r="D277" t="str">
            <v>Turdus torquatus [br]</v>
          </cell>
          <cell r="E277" t="str">
            <v>NT</v>
          </cell>
          <cell r="F277" t="str">
            <v>Stanbury et al., 2021</v>
          </cell>
          <cell r="G277" t="str">
            <v>NHMSYS0000530681</v>
          </cell>
          <cell r="H277" t="str">
            <v>Turdus torquatus</v>
          </cell>
        </row>
        <row r="278">
          <cell r="A278" t="str">
            <v>Turdus viscivorus</v>
          </cell>
          <cell r="B278" t="str">
            <v>Birds</v>
          </cell>
          <cell r="C278" t="str">
            <v>Aves</v>
          </cell>
          <cell r="D278" t="str">
            <v>Turdus viscivorus [br]</v>
          </cell>
          <cell r="E278" t="str">
            <v>NT</v>
          </cell>
          <cell r="F278" t="str">
            <v>Stanbury et al., 2021</v>
          </cell>
          <cell r="G278" t="str">
            <v>NHMSYS0000530682</v>
          </cell>
          <cell r="H278" t="str">
            <v>Turdus viscivorus</v>
          </cell>
        </row>
        <row r="279">
          <cell r="A279" t="str">
            <v>Tyto alba</v>
          </cell>
          <cell r="B279" t="str">
            <v>Birds</v>
          </cell>
          <cell r="C279" t="str">
            <v>Aves</v>
          </cell>
          <cell r="D279" t="str">
            <v>Tyto alba [br]</v>
          </cell>
          <cell r="E279" t="str">
            <v>LC</v>
          </cell>
          <cell r="F279" t="str">
            <v>Stanbury et al., 2021</v>
          </cell>
          <cell r="G279" t="str">
            <v>NHMSYS0000530685</v>
          </cell>
          <cell r="H279" t="str">
            <v>Tyto alba</v>
          </cell>
        </row>
        <row r="280">
          <cell r="A280" t="str">
            <v>Uria aalge</v>
          </cell>
          <cell r="B280" t="str">
            <v>Birds</v>
          </cell>
          <cell r="C280" t="str">
            <v>Aves</v>
          </cell>
          <cell r="D280" t="str">
            <v>Uria aalge [br]</v>
          </cell>
          <cell r="E280" t="str">
            <v>LC</v>
          </cell>
          <cell r="F280" t="str">
            <v>Stanbury et al., 2021</v>
          </cell>
          <cell r="G280" t="str">
            <v>NBNSYS0000000041</v>
          </cell>
          <cell r="H280" t="str">
            <v>Uria aalge</v>
          </cell>
        </row>
        <row r="281">
          <cell r="A281" t="str">
            <v>Vanellus vanellus</v>
          </cell>
          <cell r="B281" t="str">
            <v>Birds</v>
          </cell>
          <cell r="C281" t="str">
            <v>Aves</v>
          </cell>
          <cell r="D281" t="str">
            <v>Vanellus vanellus [br]</v>
          </cell>
          <cell r="E281" t="str">
            <v>VU</v>
          </cell>
          <cell r="F281" t="str">
            <v>Stanbury et al., 2021</v>
          </cell>
          <cell r="G281" t="str">
            <v>NBNSYS0000000027</v>
          </cell>
          <cell r="H281" t="str">
            <v>Vanellus vanellus</v>
          </cell>
        </row>
        <row r="282">
          <cell r="A282" t="str">
            <v>Vanellus vanellus</v>
          </cell>
          <cell r="B282" t="str">
            <v>Birds</v>
          </cell>
          <cell r="C282" t="str">
            <v>Aves</v>
          </cell>
          <cell r="D282" t="str">
            <v>Vanellus vanellus [n-br]</v>
          </cell>
          <cell r="E282" t="str">
            <v>VU</v>
          </cell>
          <cell r="F282" t="str">
            <v>Stanbury et al., 2021</v>
          </cell>
          <cell r="G282" t="str">
            <v>NBNSYS0000000027</v>
          </cell>
          <cell r="H282" t="str">
            <v>Vanellus vanellus</v>
          </cell>
        </row>
        <row r="283">
          <cell r="A283" t="str">
            <v>Aureoboletus gentilis</v>
          </cell>
          <cell r="B283" t="str">
            <v>Bolete fungi</v>
          </cell>
          <cell r="C283" t="str">
            <v>Basidiomycota</v>
          </cell>
          <cell r="D283" t="str">
            <v>Aureoboletus gentilis</v>
          </cell>
          <cell r="E283" t="str">
            <v>NT</v>
          </cell>
          <cell r="F283" t="str">
            <v>Ainsworth et al., 2013</v>
          </cell>
          <cell r="G283" t="str">
            <v>NHMSYS0001475384</v>
          </cell>
          <cell r="H283" t="str">
            <v>Aureoboletus gentilis</v>
          </cell>
        </row>
        <row r="284">
          <cell r="A284" t="str">
            <v>Boletus aereus</v>
          </cell>
          <cell r="B284" t="str">
            <v>Bolete fungi</v>
          </cell>
          <cell r="C284" t="str">
            <v>Basidiomycota</v>
          </cell>
          <cell r="D284" t="str">
            <v>Boletus aereus</v>
          </cell>
          <cell r="E284" t="str">
            <v>NT</v>
          </cell>
          <cell r="F284" t="str">
            <v>Ainsworth et al., 2013</v>
          </cell>
          <cell r="G284" t="str">
            <v>NHMSYS0001475879</v>
          </cell>
          <cell r="H284" t="str">
            <v>Boletus aereus</v>
          </cell>
        </row>
        <row r="285">
          <cell r="A285" t="str">
            <v>Boletus appendiculatus</v>
          </cell>
          <cell r="B285" t="str">
            <v>Bolete fungi</v>
          </cell>
          <cell r="C285" t="str">
            <v>Basidiomycota</v>
          </cell>
          <cell r="D285" t="str">
            <v>Boletus appendiculatus</v>
          </cell>
          <cell r="E285" t="str">
            <v>LC</v>
          </cell>
          <cell r="F285" t="str">
            <v>Ainsworth et al., 2013</v>
          </cell>
          <cell r="G285" t="str">
            <v>NHMSYS0001475888</v>
          </cell>
          <cell r="H285" t="str">
            <v>Boletus appendiculatus</v>
          </cell>
        </row>
        <row r="286">
          <cell r="A286" t="str">
            <v>Boletus badius</v>
          </cell>
          <cell r="B286" t="str">
            <v>Bolete fungi</v>
          </cell>
          <cell r="C286" t="str">
            <v>Basidiomycota</v>
          </cell>
          <cell r="D286" t="str">
            <v>Boletus badius</v>
          </cell>
          <cell r="E286" t="str">
            <v>LC</v>
          </cell>
          <cell r="F286" t="str">
            <v>Ainsworth et al., 2013</v>
          </cell>
          <cell r="G286" t="str">
            <v>NHMSYS0001475893</v>
          </cell>
          <cell r="H286" t="str">
            <v>Boletus badius</v>
          </cell>
        </row>
        <row r="287">
          <cell r="A287" t="str">
            <v>Boletus calopus</v>
          </cell>
          <cell r="B287" t="str">
            <v>Bolete fungi</v>
          </cell>
          <cell r="C287" t="str">
            <v>Basidiomycota</v>
          </cell>
          <cell r="D287" t="str">
            <v>Boletus calopus</v>
          </cell>
          <cell r="E287" t="str">
            <v>LC</v>
          </cell>
          <cell r="F287" t="str">
            <v>Ainsworth et al., 2013</v>
          </cell>
          <cell r="G287" t="str">
            <v>NHMSYS0001475903</v>
          </cell>
          <cell r="H287" t="str">
            <v>Boletus calopus</v>
          </cell>
        </row>
        <row r="288">
          <cell r="A288" t="str">
            <v>Boletus chrysenteron</v>
          </cell>
          <cell r="B288" t="str">
            <v>Bolete fungi</v>
          </cell>
          <cell r="C288" t="str">
            <v>Basidiomycota</v>
          </cell>
          <cell r="D288" t="str">
            <v>Boletus chrysenteron</v>
          </cell>
          <cell r="E288" t="str">
            <v>LC</v>
          </cell>
          <cell r="F288" t="str">
            <v>Ainsworth et al., 2013</v>
          </cell>
          <cell r="G288" t="str">
            <v>NHMSYS0001475918</v>
          </cell>
          <cell r="H288" t="str">
            <v>Boletus chrysenteron</v>
          </cell>
        </row>
        <row r="289">
          <cell r="A289" t="str">
            <v>Boletus cisalpinus</v>
          </cell>
          <cell r="B289" t="str">
            <v>Bolete fungi</v>
          </cell>
          <cell r="C289" t="str">
            <v>Basidiomycota</v>
          </cell>
          <cell r="D289" t="str">
            <v>Boletus cisalpinus</v>
          </cell>
          <cell r="E289" t="str">
            <v>LC</v>
          </cell>
          <cell r="F289" t="str">
            <v>Ainsworth et al., 2013</v>
          </cell>
          <cell r="G289" t="str">
            <v>NHMSYS0001475920</v>
          </cell>
          <cell r="H289" t="str">
            <v>Boletus cisalpinus</v>
          </cell>
        </row>
        <row r="290">
          <cell r="A290" t="str">
            <v>Boletus edulis</v>
          </cell>
          <cell r="B290" t="str">
            <v>Bolete fungi</v>
          </cell>
          <cell r="C290" t="str">
            <v>Basidiomycota</v>
          </cell>
          <cell r="D290" t="str">
            <v>Boletus edulis</v>
          </cell>
          <cell r="E290" t="str">
            <v>LC</v>
          </cell>
          <cell r="F290" t="str">
            <v>Ainsworth et al., 2013</v>
          </cell>
          <cell r="G290" t="str">
            <v>NHMSYS0001475937</v>
          </cell>
          <cell r="H290" t="str">
            <v>Boletus edulis</v>
          </cell>
        </row>
        <row r="291">
          <cell r="A291" t="str">
            <v>Boletus fechtneri</v>
          </cell>
          <cell r="B291" t="str">
            <v>Bolete fungi</v>
          </cell>
          <cell r="C291" t="str">
            <v>Basidiomycota</v>
          </cell>
          <cell r="D291" t="str">
            <v>Boletus fechtneri</v>
          </cell>
          <cell r="E291" t="str">
            <v>EN</v>
          </cell>
          <cell r="F291" t="str">
            <v>Ainsworth et al., 2013</v>
          </cell>
          <cell r="G291" t="str">
            <v>NHMSYS0001475959</v>
          </cell>
          <cell r="H291" t="str">
            <v>Boletus fechtneri</v>
          </cell>
        </row>
        <row r="292">
          <cell r="A292" t="str">
            <v>Boletus ferrugineus</v>
          </cell>
          <cell r="B292" t="str">
            <v>Bolete fungi</v>
          </cell>
          <cell r="C292" t="str">
            <v>Basidiomycota</v>
          </cell>
          <cell r="D292" t="str">
            <v>Boletus ferrugineus</v>
          </cell>
          <cell r="E292" t="str">
            <v>LC</v>
          </cell>
          <cell r="F292" t="str">
            <v>Ainsworth et al., 2013</v>
          </cell>
          <cell r="G292" t="str">
            <v>BMSSYS0000039648</v>
          </cell>
          <cell r="H292" t="str">
            <v>Boletus ferrugineus</v>
          </cell>
        </row>
        <row r="293">
          <cell r="A293" t="str">
            <v>Boletus fragrans</v>
          </cell>
          <cell r="B293" t="str">
            <v>Bolete fungi</v>
          </cell>
          <cell r="C293" t="str">
            <v>Basidiomycota</v>
          </cell>
          <cell r="D293" t="str">
            <v>Boletus fragrans</v>
          </cell>
          <cell r="E293" t="str">
            <v>EN</v>
          </cell>
          <cell r="F293" t="str">
            <v>Ainsworth et al., 2013</v>
          </cell>
          <cell r="G293" t="str">
            <v>NBNSYS0000038210</v>
          </cell>
          <cell r="H293" t="str">
            <v>Boletus fragrans</v>
          </cell>
        </row>
        <row r="294">
          <cell r="A294" t="str">
            <v>Boletus impolitus</v>
          </cell>
          <cell r="B294" t="str">
            <v>Bolete fungi</v>
          </cell>
          <cell r="C294" t="str">
            <v>Basidiomycota</v>
          </cell>
          <cell r="D294" t="str">
            <v>Boletus impolitus</v>
          </cell>
          <cell r="E294" t="str">
            <v>LC</v>
          </cell>
          <cell r="F294" t="str">
            <v>Ainsworth et al., 2013</v>
          </cell>
          <cell r="G294" t="str">
            <v>NBNSYS0000037356</v>
          </cell>
          <cell r="H294" t="str">
            <v>Boletus impolitus</v>
          </cell>
        </row>
        <row r="295">
          <cell r="A295" t="str">
            <v>Boletus legaliae</v>
          </cell>
          <cell r="B295" t="str">
            <v>Bolete fungi</v>
          </cell>
          <cell r="C295" t="str">
            <v>Basidiomycota</v>
          </cell>
          <cell r="D295" t="str">
            <v>Boletus legaliae</v>
          </cell>
          <cell r="E295" t="str">
            <v>VU</v>
          </cell>
          <cell r="F295" t="str">
            <v>Ainsworth et al., 2013</v>
          </cell>
          <cell r="G295" t="str">
            <v>BMSSYS0000043105</v>
          </cell>
          <cell r="H295" t="str">
            <v>Boletus legaliae</v>
          </cell>
        </row>
        <row r="296">
          <cell r="A296" t="str">
            <v>Boletus luridiformis</v>
          </cell>
          <cell r="B296" t="str">
            <v>Bolete fungi</v>
          </cell>
          <cell r="C296" t="str">
            <v>Basidiomycota</v>
          </cell>
          <cell r="D296" t="str">
            <v>Boletus luridiformis</v>
          </cell>
          <cell r="E296" t="str">
            <v>LC</v>
          </cell>
          <cell r="F296" t="str">
            <v>Ainsworth et al., 2013</v>
          </cell>
          <cell r="G296" t="str">
            <v>BMSSYS0000002712</v>
          </cell>
          <cell r="H296" t="str">
            <v>Boletus luridiformis</v>
          </cell>
        </row>
        <row r="297">
          <cell r="A297" t="str">
            <v>Boletus luridus</v>
          </cell>
          <cell r="B297" t="str">
            <v>Bolete fungi</v>
          </cell>
          <cell r="C297" t="str">
            <v>Basidiomycota</v>
          </cell>
          <cell r="D297" t="str">
            <v>Boletus luridus</v>
          </cell>
          <cell r="E297" t="str">
            <v>LC</v>
          </cell>
          <cell r="F297" t="str">
            <v>Ainsworth et al., 2013</v>
          </cell>
          <cell r="G297" t="str">
            <v>NHMSYS0001476004</v>
          </cell>
          <cell r="H297" t="str">
            <v>Boletus luridus</v>
          </cell>
        </row>
        <row r="298">
          <cell r="A298" t="str">
            <v>Boletus moravicus</v>
          </cell>
          <cell r="B298" t="str">
            <v>Bolete fungi</v>
          </cell>
          <cell r="C298" t="str">
            <v>Basidiomycota</v>
          </cell>
          <cell r="D298" t="str">
            <v>Boletus moravicus</v>
          </cell>
          <cell r="E298" t="str">
            <v>VU</v>
          </cell>
          <cell r="F298" t="str">
            <v>Ainsworth et al., 2013</v>
          </cell>
          <cell r="G298" t="str">
            <v>NBNSYS0000038784</v>
          </cell>
          <cell r="H298" t="str">
            <v>Boletus moravicus</v>
          </cell>
        </row>
        <row r="299">
          <cell r="A299" t="str">
            <v>Boletus pinophilus</v>
          </cell>
          <cell r="B299" t="str">
            <v>Bolete fungi</v>
          </cell>
          <cell r="C299" t="str">
            <v>Basidiomycota</v>
          </cell>
          <cell r="D299" t="str">
            <v>Boletus pinophilus</v>
          </cell>
          <cell r="E299" t="str">
            <v>NT</v>
          </cell>
          <cell r="F299" t="str">
            <v>Ainsworth et al., 2013</v>
          </cell>
          <cell r="G299" t="str">
            <v>BMSSYS0000002736</v>
          </cell>
          <cell r="H299" t="str">
            <v>Boletus pinophilus</v>
          </cell>
        </row>
        <row r="300">
          <cell r="A300" t="str">
            <v>Boletus porosporus</v>
          </cell>
          <cell r="B300" t="str">
            <v>Bolete fungi</v>
          </cell>
          <cell r="C300" t="str">
            <v>Basidiomycota</v>
          </cell>
          <cell r="D300" t="str">
            <v>Boletus porosporus</v>
          </cell>
          <cell r="E300" t="str">
            <v>LC</v>
          </cell>
          <cell r="F300" t="str">
            <v>Ainsworth et al., 2013</v>
          </cell>
          <cell r="G300" t="str">
            <v>BMSSYS0000043112</v>
          </cell>
          <cell r="H300" t="str">
            <v>Boletus porosporus</v>
          </cell>
        </row>
        <row r="301">
          <cell r="A301" t="str">
            <v>Boletus pruinatus</v>
          </cell>
          <cell r="B301" t="str">
            <v>Bolete fungi</v>
          </cell>
          <cell r="C301" t="str">
            <v>Basidiomycota</v>
          </cell>
          <cell r="D301" t="str">
            <v>Boletus pruinatus</v>
          </cell>
          <cell r="E301" t="str">
            <v>LC</v>
          </cell>
          <cell r="F301" t="str">
            <v>Ainsworth et al., 2013</v>
          </cell>
          <cell r="G301" t="str">
            <v>NHMSYS0001476036</v>
          </cell>
          <cell r="H301" t="str">
            <v>Boletus pruinatus</v>
          </cell>
        </row>
        <row r="302">
          <cell r="A302" t="str">
            <v>Boletus pseudoregius</v>
          </cell>
          <cell r="B302" t="str">
            <v>Bolete fungi</v>
          </cell>
          <cell r="C302" t="str">
            <v>Basidiomycota</v>
          </cell>
          <cell r="D302" t="str">
            <v>Boletus pseudoregius</v>
          </cell>
          <cell r="E302" t="str">
            <v>EN</v>
          </cell>
          <cell r="F302" t="str">
            <v>Ainsworth et al., 2013</v>
          </cell>
          <cell r="G302" t="str">
            <v>BMSSYS0000043114</v>
          </cell>
          <cell r="H302" t="str">
            <v>Boletus pseudoregius</v>
          </cell>
        </row>
        <row r="303">
          <cell r="A303" t="str">
            <v>Boletus pseudosulphureus</v>
          </cell>
          <cell r="B303" t="str">
            <v>Bolete fungi</v>
          </cell>
          <cell r="C303" t="str">
            <v>Basidiomycota</v>
          </cell>
          <cell r="D303" t="str">
            <v>Boletus pseudosulphureus</v>
          </cell>
          <cell r="E303" t="str">
            <v>EN</v>
          </cell>
          <cell r="F303" t="str">
            <v>Ainsworth et al., 2013</v>
          </cell>
          <cell r="G303" t="str">
            <v>NBNSYS0000039200</v>
          </cell>
          <cell r="H303" t="str">
            <v>Boletus pseudosulphureus</v>
          </cell>
        </row>
        <row r="304">
          <cell r="A304" t="str">
            <v>Boletus pulverulentus</v>
          </cell>
          <cell r="B304" t="str">
            <v>Bolete fungi</v>
          </cell>
          <cell r="C304" t="str">
            <v>Basidiomycota</v>
          </cell>
          <cell r="D304" t="str">
            <v>Boletus pulverulentus</v>
          </cell>
          <cell r="E304" t="str">
            <v>LC</v>
          </cell>
          <cell r="F304" t="str">
            <v>Ainsworth et al., 2013</v>
          </cell>
          <cell r="G304" t="str">
            <v>NBNSYS0000039411</v>
          </cell>
          <cell r="H304" t="str">
            <v>Boletus pulverulentus</v>
          </cell>
        </row>
        <row r="305">
          <cell r="A305" t="str">
            <v>Boletus queletii</v>
          </cell>
          <cell r="B305" t="str">
            <v>Bolete fungi</v>
          </cell>
          <cell r="C305" t="str">
            <v>Basidiomycota</v>
          </cell>
          <cell r="D305" t="str">
            <v>Boletus queletii</v>
          </cell>
          <cell r="E305" t="str">
            <v>LC</v>
          </cell>
          <cell r="F305" t="str">
            <v>Ainsworth et al., 2013</v>
          </cell>
          <cell r="G305" t="str">
            <v>NHMSYS0001476045</v>
          </cell>
          <cell r="H305" t="str">
            <v>Boletus queletii</v>
          </cell>
        </row>
        <row r="306">
          <cell r="A306" t="str">
            <v>Boletus radicans</v>
          </cell>
          <cell r="B306" t="str">
            <v>Bolete fungi</v>
          </cell>
          <cell r="C306" t="str">
            <v>Basidiomycota</v>
          </cell>
          <cell r="D306" t="str">
            <v>Boletus radicans</v>
          </cell>
          <cell r="E306" t="str">
            <v>LC</v>
          </cell>
          <cell r="F306" t="str">
            <v>Ainsworth et al., 2013</v>
          </cell>
          <cell r="G306" t="str">
            <v>NBNSYS0000143053</v>
          </cell>
          <cell r="H306" t="str">
            <v>Boletus radicans</v>
          </cell>
        </row>
        <row r="307">
          <cell r="A307" t="str">
            <v>Boletus reticulatus</v>
          </cell>
          <cell r="B307" t="str">
            <v>Bolete fungi</v>
          </cell>
          <cell r="C307" t="str">
            <v>Basidiomycota</v>
          </cell>
          <cell r="D307" t="str">
            <v>Boletus reticulatus</v>
          </cell>
          <cell r="E307" t="str">
            <v>LC</v>
          </cell>
          <cell r="F307" t="str">
            <v>Ainsworth et al., 2013</v>
          </cell>
          <cell r="G307" t="str">
            <v>NHMSYS0001476055</v>
          </cell>
          <cell r="H307" t="str">
            <v>Boletus reticulatus</v>
          </cell>
        </row>
        <row r="308">
          <cell r="A308" t="str">
            <v>Boletus rhodopurpureus</v>
          </cell>
          <cell r="B308" t="str">
            <v>Bolete fungi</v>
          </cell>
          <cell r="C308" t="str">
            <v>Basidiomycota</v>
          </cell>
          <cell r="D308" t="str">
            <v>Boletus rhodopurpureus</v>
          </cell>
          <cell r="E308" t="str">
            <v>VU</v>
          </cell>
          <cell r="F308" t="str">
            <v>Ainsworth et al., 2013</v>
          </cell>
          <cell r="G308" t="str">
            <v>NBNSYS0000039347</v>
          </cell>
          <cell r="H308" t="str">
            <v>Boletus rhodopurpureus</v>
          </cell>
        </row>
        <row r="309">
          <cell r="A309" t="str">
            <v>Boletus rubellus</v>
          </cell>
          <cell r="B309" t="str">
            <v>Bolete fungi</v>
          </cell>
          <cell r="C309" t="str">
            <v>Basidiomycota</v>
          </cell>
          <cell r="D309" t="str">
            <v>Boletus rubellus</v>
          </cell>
          <cell r="E309" t="str">
            <v>LC</v>
          </cell>
          <cell r="F309" t="str">
            <v>Ainsworth et al., 2013</v>
          </cell>
          <cell r="G309" t="str">
            <v>NBNSYS0000143057</v>
          </cell>
          <cell r="H309" t="str">
            <v>Boletus rubellus</v>
          </cell>
        </row>
        <row r="310">
          <cell r="A310" t="str">
            <v>Boletus satanas</v>
          </cell>
          <cell r="B310" t="str">
            <v>Bolete fungi</v>
          </cell>
          <cell r="C310" t="str">
            <v>Basidiomycota</v>
          </cell>
          <cell r="D310" t="str">
            <v>Boletus satanas</v>
          </cell>
          <cell r="E310" t="str">
            <v>VU</v>
          </cell>
          <cell r="F310" t="str">
            <v>Ainsworth et al., 2013</v>
          </cell>
          <cell r="G310" t="str">
            <v>NHMSYS0001476066</v>
          </cell>
          <cell r="H310" t="str">
            <v>Boletus satanas</v>
          </cell>
        </row>
        <row r="311">
          <cell r="A311" t="str">
            <v>Boletus subtomentosus</v>
          </cell>
          <cell r="B311" t="str">
            <v>Bolete fungi</v>
          </cell>
          <cell r="C311" t="str">
            <v>Basidiomycota</v>
          </cell>
          <cell r="D311" t="str">
            <v>Boletus subtomentosus</v>
          </cell>
          <cell r="E311" t="str">
            <v>LC</v>
          </cell>
          <cell r="F311" t="str">
            <v>Ainsworth et al., 2013</v>
          </cell>
          <cell r="G311" t="str">
            <v>NHMSYS0001476081</v>
          </cell>
          <cell r="H311" t="str">
            <v>Boletus subtomentosus</v>
          </cell>
        </row>
        <row r="312">
          <cell r="A312" t="str">
            <v>Buchwaldoboletus lignicola</v>
          </cell>
          <cell r="B312" t="str">
            <v>Bolete fungi</v>
          </cell>
          <cell r="C312" t="str">
            <v>Basidiomycota</v>
          </cell>
          <cell r="D312" t="str">
            <v>Buchwaldoboletus lignicola</v>
          </cell>
          <cell r="E312" t="str">
            <v>VU</v>
          </cell>
          <cell r="F312" t="str">
            <v>Ainsworth et al., 2013</v>
          </cell>
          <cell r="G312" t="str">
            <v>BMSSYS0000002926</v>
          </cell>
          <cell r="H312" t="str">
            <v>Buchwaldoboletus lignicola</v>
          </cell>
        </row>
        <row r="313">
          <cell r="A313" t="str">
            <v>Buchwaldoboletus sphaerocephalus</v>
          </cell>
          <cell r="B313" t="str">
            <v>Bolete fungi</v>
          </cell>
          <cell r="C313" t="str">
            <v>Basidiomycota</v>
          </cell>
          <cell r="D313" t="str">
            <v>Buchwaldoboletus sphaerocephalus</v>
          </cell>
          <cell r="E313" t="str">
            <v>EN</v>
          </cell>
          <cell r="F313" t="str">
            <v>Ainsworth et al., 2013</v>
          </cell>
          <cell r="G313" t="str">
            <v>NHMSYS0001476300</v>
          </cell>
          <cell r="H313" t="str">
            <v>Buchwaldoboletus sphaerocephalus</v>
          </cell>
        </row>
        <row r="314">
          <cell r="A314" t="str">
            <v>Chalciporus piperatus</v>
          </cell>
          <cell r="B314" t="str">
            <v>Bolete fungi</v>
          </cell>
          <cell r="C314" t="str">
            <v>Basidiomycota</v>
          </cell>
          <cell r="D314" t="str">
            <v>Chalciporus piperatus</v>
          </cell>
          <cell r="E314" t="str">
            <v>LC</v>
          </cell>
          <cell r="F314" t="str">
            <v>Ainsworth et al., 2013</v>
          </cell>
          <cell r="G314" t="str">
            <v>BMSSYS0000003704</v>
          </cell>
          <cell r="H314" t="str">
            <v>Chalciporus piperatus</v>
          </cell>
        </row>
        <row r="315">
          <cell r="A315" t="str">
            <v>Leccinum aurantiacum</v>
          </cell>
          <cell r="B315" t="str">
            <v>Bolete fungi</v>
          </cell>
          <cell r="C315" t="str">
            <v>Basidiomycota</v>
          </cell>
          <cell r="D315" t="str">
            <v>Leccinum aurantiacum</v>
          </cell>
          <cell r="E315" t="str">
            <v>LC</v>
          </cell>
          <cell r="F315" t="str">
            <v>Ainsworth et al., 2013</v>
          </cell>
          <cell r="G315" t="str">
            <v>NHMSYS0001486513</v>
          </cell>
          <cell r="H315" t="str">
            <v>Leccinum aurantiacum</v>
          </cell>
        </row>
        <row r="316">
          <cell r="A316" t="str">
            <v>Leccinum crocipodium</v>
          </cell>
          <cell r="B316" t="str">
            <v>Bolete fungi</v>
          </cell>
          <cell r="C316" t="str">
            <v>Basidiomycota</v>
          </cell>
          <cell r="D316" t="str">
            <v>Leccinum crocipodium</v>
          </cell>
          <cell r="E316" t="str">
            <v>LC</v>
          </cell>
          <cell r="F316" t="str">
            <v>Ainsworth et al., 2013</v>
          </cell>
          <cell r="G316" t="str">
            <v>NBNSYS0000037977</v>
          </cell>
          <cell r="H316" t="str">
            <v>Leccinum crocipodium</v>
          </cell>
        </row>
        <row r="317">
          <cell r="A317" t="str">
            <v>Leccinum duriusculum</v>
          </cell>
          <cell r="B317" t="str">
            <v>Bolete fungi</v>
          </cell>
          <cell r="C317" t="str">
            <v>Basidiomycota</v>
          </cell>
          <cell r="D317" t="str">
            <v>Leccinum duriusculum</v>
          </cell>
          <cell r="E317" t="str">
            <v>NT</v>
          </cell>
          <cell r="F317" t="str">
            <v>Ainsworth et al., 2013</v>
          </cell>
          <cell r="G317" t="str">
            <v>BMSSYS0000047078</v>
          </cell>
          <cell r="H317" t="str">
            <v>Leccinum duriusculum</v>
          </cell>
        </row>
        <row r="318">
          <cell r="A318" t="str">
            <v>Leccinum holopus</v>
          </cell>
          <cell r="B318" t="str">
            <v>Bolete fungi</v>
          </cell>
          <cell r="C318" t="str">
            <v>Basidiomycota</v>
          </cell>
          <cell r="D318" t="str">
            <v>Leccinum holopus</v>
          </cell>
          <cell r="E318" t="str">
            <v>LC</v>
          </cell>
          <cell r="F318" t="str">
            <v>Ainsworth et al., 2013</v>
          </cell>
          <cell r="G318" t="str">
            <v>NBNSYS0000037921</v>
          </cell>
          <cell r="H318" t="str">
            <v>Leccinum holopus</v>
          </cell>
        </row>
        <row r="319">
          <cell r="A319" t="str">
            <v>Leccinum pseudoscabrum</v>
          </cell>
          <cell r="B319" t="str">
            <v>Bolete fungi</v>
          </cell>
          <cell r="C319" t="str">
            <v>Basidiomycota</v>
          </cell>
          <cell r="D319" t="str">
            <v>Leccinum pseudoscabrum</v>
          </cell>
          <cell r="E319" t="str">
            <v>LC</v>
          </cell>
          <cell r="F319" t="str">
            <v>Ainsworth et al., 2013</v>
          </cell>
          <cell r="G319" t="str">
            <v>NHMSYS0001486536</v>
          </cell>
          <cell r="H319" t="str">
            <v>Leccinum pseudoscabrum</v>
          </cell>
        </row>
        <row r="320">
          <cell r="A320" t="str">
            <v>Leccinum scabrum</v>
          </cell>
          <cell r="B320" t="str">
            <v>Bolete fungi</v>
          </cell>
          <cell r="C320" t="str">
            <v>Basidiomycota</v>
          </cell>
          <cell r="D320" t="str">
            <v>Leccinum scabrum</v>
          </cell>
          <cell r="E320" t="str">
            <v>LC</v>
          </cell>
          <cell r="F320" t="str">
            <v>Ainsworth et al., 2013</v>
          </cell>
          <cell r="G320" t="str">
            <v>NHMSYS0001486545</v>
          </cell>
          <cell r="H320" t="str">
            <v>Leccinum scabrum</v>
          </cell>
        </row>
        <row r="321">
          <cell r="A321" t="str">
            <v>Leccinum variicolor</v>
          </cell>
          <cell r="B321" t="str">
            <v>Bolete fungi</v>
          </cell>
          <cell r="C321" t="str">
            <v>Basidiomycota</v>
          </cell>
          <cell r="D321" t="str">
            <v>Leccinum variicolor</v>
          </cell>
          <cell r="E321" t="str">
            <v>LC</v>
          </cell>
          <cell r="F321" t="str">
            <v>Ainsworth et al., 2013</v>
          </cell>
          <cell r="G321" t="str">
            <v>NBNSYS0000021708</v>
          </cell>
          <cell r="H321" t="str">
            <v>Leccinum variicolor</v>
          </cell>
        </row>
        <row r="322">
          <cell r="A322" t="str">
            <v>Leccinum versipelle</v>
          </cell>
          <cell r="B322" t="str">
            <v>Bolete fungi</v>
          </cell>
          <cell r="C322" t="str">
            <v>Basidiomycota</v>
          </cell>
          <cell r="D322" t="str">
            <v>Leccinum versipelle</v>
          </cell>
          <cell r="E322" t="str">
            <v>LC</v>
          </cell>
          <cell r="F322" t="str">
            <v>Ainsworth et al., 2013</v>
          </cell>
          <cell r="G322" t="str">
            <v>NHMSYS0001486554</v>
          </cell>
          <cell r="H322" t="str">
            <v>Leccinum versipelle</v>
          </cell>
        </row>
        <row r="323">
          <cell r="A323" t="str">
            <v>Leccinum vulpinum</v>
          </cell>
          <cell r="B323" t="str">
            <v>Bolete fungi</v>
          </cell>
          <cell r="C323" t="str">
            <v>Basidiomycota</v>
          </cell>
          <cell r="D323" t="str">
            <v>Leccinum vulpinum</v>
          </cell>
          <cell r="E323" t="str">
            <v>VU</v>
          </cell>
          <cell r="F323" t="str">
            <v>Ainsworth et al., 2013</v>
          </cell>
          <cell r="G323" t="str">
            <v>NBNSYS0000038755</v>
          </cell>
          <cell r="H323" t="str">
            <v>Leccinum vulpinum</v>
          </cell>
        </row>
        <row r="324">
          <cell r="A324" t="str">
            <v>Phylloporus pelletieri</v>
          </cell>
          <cell r="B324" t="str">
            <v>Bolete fungi</v>
          </cell>
          <cell r="C324" t="str">
            <v>Basidiomycota</v>
          </cell>
          <cell r="D324" t="str">
            <v>Phylloporus pelletieri</v>
          </cell>
          <cell r="E324" t="str">
            <v>VU</v>
          </cell>
          <cell r="F324" t="str">
            <v>Ainsworth et al., 2013</v>
          </cell>
          <cell r="G324" t="str">
            <v>BMSSYS0000014230</v>
          </cell>
          <cell r="H324" t="str">
            <v>Phylloporus pelletieri</v>
          </cell>
        </row>
        <row r="325">
          <cell r="A325" t="str">
            <v>Porphyrellus porphyrosporus</v>
          </cell>
          <cell r="B325" t="str">
            <v>Bolete fungi</v>
          </cell>
          <cell r="C325" t="str">
            <v>Basidiomycota</v>
          </cell>
          <cell r="D325" t="str">
            <v>Porphyrellus porphyrosporus</v>
          </cell>
          <cell r="E325" t="str">
            <v>NT</v>
          </cell>
          <cell r="F325" t="str">
            <v>Ainsworth et al., 2013</v>
          </cell>
          <cell r="G325" t="str">
            <v>NHMSYS0001494678</v>
          </cell>
          <cell r="H325" t="str">
            <v>Porphyrellus porphyrosporus</v>
          </cell>
        </row>
        <row r="326">
          <cell r="A326" t="str">
            <v>Pseudoboletus parasiticus</v>
          </cell>
          <cell r="B326" t="str">
            <v>Bolete fungi</v>
          </cell>
          <cell r="C326" t="str">
            <v>Basidiomycota</v>
          </cell>
          <cell r="D326" t="str">
            <v>Pseudoboletus parasiticus</v>
          </cell>
          <cell r="E326" t="str">
            <v>LC</v>
          </cell>
          <cell r="F326" t="str">
            <v>Ainsworth et al., 2013</v>
          </cell>
          <cell r="G326" t="str">
            <v>NHMSYS0001495177</v>
          </cell>
          <cell r="H326" t="str">
            <v>Pseudoboletus parasiticus</v>
          </cell>
        </row>
        <row r="327">
          <cell r="A327" t="str">
            <v>Rubinoboletus rubinus</v>
          </cell>
          <cell r="B327" t="str">
            <v>Bolete fungi</v>
          </cell>
          <cell r="C327" t="str">
            <v>Basidiomycota</v>
          </cell>
          <cell r="D327" t="str">
            <v>Rubinoboletus rubinus</v>
          </cell>
          <cell r="E327" t="str">
            <v>VU</v>
          </cell>
          <cell r="F327" t="str">
            <v>Ainsworth et al., 2013</v>
          </cell>
          <cell r="G327" t="str">
            <v>NHMSYS0001496606</v>
          </cell>
          <cell r="H327" t="str">
            <v>Rubinoboletus rubinus</v>
          </cell>
        </row>
        <row r="328">
          <cell r="A328" t="str">
            <v>Strobilomyces strobilaceus</v>
          </cell>
          <cell r="B328" t="str">
            <v>Bolete fungi</v>
          </cell>
          <cell r="C328" t="str">
            <v>Basidiomycota</v>
          </cell>
          <cell r="D328" t="str">
            <v>Strobilomyces strobilaceus</v>
          </cell>
          <cell r="E328" t="str">
            <v>NT</v>
          </cell>
          <cell r="F328" t="str">
            <v>Ainsworth et al., 2013</v>
          </cell>
          <cell r="G328" t="str">
            <v>NHMSYS0001499170</v>
          </cell>
          <cell r="H328" t="str">
            <v>Strobilomyces strobilaceus</v>
          </cell>
        </row>
        <row r="329">
          <cell r="A329" t="str">
            <v>Tylopilus felleus</v>
          </cell>
          <cell r="B329" t="str">
            <v>Bolete fungi</v>
          </cell>
          <cell r="C329" t="str">
            <v>Basidiomycota</v>
          </cell>
          <cell r="D329" t="str">
            <v>Tylopilus felleus</v>
          </cell>
          <cell r="E329" t="str">
            <v>LC</v>
          </cell>
          <cell r="F329" t="str">
            <v>Ainsworth et al., 2013</v>
          </cell>
          <cell r="G329" t="str">
            <v>NHMSYS0001500673</v>
          </cell>
          <cell r="H329" t="str">
            <v>Tylopilus felleus</v>
          </cell>
        </row>
        <row r="330">
          <cell r="A330" t="str">
            <v>Aglais io</v>
          </cell>
          <cell r="B330" t="str">
            <v>Butterflies</v>
          </cell>
          <cell r="C330" t="str">
            <v>Lepidoptera</v>
          </cell>
          <cell r="D330" t="str">
            <v>Aglais io</v>
          </cell>
          <cell r="E330" t="str">
            <v>LC</v>
          </cell>
          <cell r="F330" t="str">
            <v>Fox &amp; Dennis, 2021</v>
          </cell>
          <cell r="G330" t="str">
            <v>NHMSYS0021143568</v>
          </cell>
          <cell r="H330" t="str">
            <v>Aglais io</v>
          </cell>
        </row>
        <row r="331">
          <cell r="A331" t="str">
            <v>Aglais urticae</v>
          </cell>
          <cell r="B331" t="str">
            <v>Butterflies</v>
          </cell>
          <cell r="C331" t="str">
            <v>Lepidoptera</v>
          </cell>
          <cell r="D331" t="str">
            <v>Aglais urticae</v>
          </cell>
          <cell r="E331" t="str">
            <v>LC</v>
          </cell>
          <cell r="F331" t="str">
            <v>Fox &amp; Dennis, 2021</v>
          </cell>
          <cell r="G331" t="str">
            <v>NHMSYS0000501034</v>
          </cell>
          <cell r="H331" t="str">
            <v>Aglais urticae</v>
          </cell>
        </row>
        <row r="332">
          <cell r="A332" t="str">
            <v>Anthocharis cardamines</v>
          </cell>
          <cell r="B332" t="str">
            <v>Butterflies</v>
          </cell>
          <cell r="C332" t="str">
            <v>Lepidoptera</v>
          </cell>
          <cell r="D332" t="str">
            <v>Anthocharis cardamines</v>
          </cell>
          <cell r="E332" t="str">
            <v>LC</v>
          </cell>
          <cell r="F332" t="str">
            <v>Fox &amp; Dennis, 2021</v>
          </cell>
          <cell r="G332" t="str">
            <v>NHMSYS0000516186</v>
          </cell>
          <cell r="H332" t="str">
            <v>Anthocharis cardamines</v>
          </cell>
        </row>
        <row r="333">
          <cell r="A333" t="str">
            <v>Apatura iris</v>
          </cell>
          <cell r="B333" t="str">
            <v>Butterflies</v>
          </cell>
          <cell r="C333" t="str">
            <v>Lepidoptera</v>
          </cell>
          <cell r="D333" t="str">
            <v>Apatura iris</v>
          </cell>
          <cell r="E333" t="str">
            <v>LC</v>
          </cell>
          <cell r="F333" t="str">
            <v>Fox &amp; Dennis, 2021</v>
          </cell>
          <cell r="G333" t="str">
            <v>NHMSYS0000501116</v>
          </cell>
          <cell r="H333" t="str">
            <v>Apatura iris</v>
          </cell>
        </row>
        <row r="334">
          <cell r="A334" t="str">
            <v>Aphantopus hyperantus</v>
          </cell>
          <cell r="B334" t="str">
            <v>Butterflies</v>
          </cell>
          <cell r="C334" t="str">
            <v>Lepidoptera</v>
          </cell>
          <cell r="D334" t="str">
            <v>Aphantopus hyperantus</v>
          </cell>
          <cell r="E334" t="str">
            <v>LC</v>
          </cell>
          <cell r="F334" t="str">
            <v>Fox &amp; Dennis, 2021</v>
          </cell>
          <cell r="G334" t="str">
            <v>NHMSYS0000501120</v>
          </cell>
          <cell r="H334" t="str">
            <v>Aphantopus hyperantus</v>
          </cell>
        </row>
        <row r="335">
          <cell r="A335" t="str">
            <v>Aporia crataegi</v>
          </cell>
          <cell r="B335" t="str">
            <v>Butterflies</v>
          </cell>
          <cell r="C335" t="str">
            <v>Lepidoptera</v>
          </cell>
          <cell r="D335" t="str">
            <v>Aporia crataegi</v>
          </cell>
          <cell r="E335" t="str">
            <v>RE</v>
          </cell>
          <cell r="F335" t="str">
            <v>Fox &amp; Dennis, 2021</v>
          </cell>
          <cell r="G335" t="str">
            <v>NHMSYS0000501147</v>
          </cell>
          <cell r="H335" t="str">
            <v>Aporia crataegi</v>
          </cell>
        </row>
        <row r="336">
          <cell r="A336" t="str">
            <v>Argynnis paphia</v>
          </cell>
          <cell r="B336" t="str">
            <v>Butterflies</v>
          </cell>
          <cell r="C336" t="str">
            <v>Lepidoptera</v>
          </cell>
          <cell r="D336" t="str">
            <v>Argynnis paphia</v>
          </cell>
          <cell r="E336" t="str">
            <v>LC</v>
          </cell>
          <cell r="F336" t="str">
            <v>Fox &amp; Dennis, 2021</v>
          </cell>
          <cell r="G336" t="str">
            <v>NHMSYS0000501356</v>
          </cell>
          <cell r="H336" t="str">
            <v>Argynnis paphia</v>
          </cell>
        </row>
        <row r="337">
          <cell r="A337" t="str">
            <v>Aricia agestis</v>
          </cell>
          <cell r="B337" t="str">
            <v>Butterflies</v>
          </cell>
          <cell r="C337" t="str">
            <v>Lepidoptera</v>
          </cell>
          <cell r="D337" t="str">
            <v>Aricia agestis</v>
          </cell>
          <cell r="E337" t="str">
            <v>LC</v>
          </cell>
          <cell r="F337" t="str">
            <v>Fox &amp; Dennis, 2021</v>
          </cell>
          <cell r="G337" t="str">
            <v>NHMSYS0021143605</v>
          </cell>
          <cell r="H337" t="str">
            <v>Aricia agestis</v>
          </cell>
        </row>
        <row r="338">
          <cell r="A338" t="str">
            <v>Aricia artaxerxes</v>
          </cell>
          <cell r="B338" t="str">
            <v>Butterflies</v>
          </cell>
          <cell r="C338" t="str">
            <v>Lepidoptera</v>
          </cell>
          <cell r="D338" t="str">
            <v>Aricia artaxerxes</v>
          </cell>
          <cell r="E338" t="str">
            <v>VU</v>
          </cell>
          <cell r="F338" t="str">
            <v>Fox &amp; Dennis, 2021</v>
          </cell>
          <cell r="G338" t="str">
            <v>NHMSYS0000516231</v>
          </cell>
          <cell r="H338" t="str">
            <v>Aricia artaxerxes</v>
          </cell>
        </row>
        <row r="339">
          <cell r="A339" t="str">
            <v>Boloria euphrosyne</v>
          </cell>
          <cell r="B339" t="str">
            <v>Butterflies</v>
          </cell>
          <cell r="C339" t="str">
            <v>Lepidoptera</v>
          </cell>
          <cell r="D339" t="str">
            <v>Boloria euphrosyne</v>
          </cell>
          <cell r="E339" t="str">
            <v>VU</v>
          </cell>
          <cell r="F339" t="str">
            <v>Fox &amp; Dennis, 2021</v>
          </cell>
          <cell r="G339" t="str">
            <v>NHMSYS0000501513</v>
          </cell>
          <cell r="H339" t="str">
            <v>Boloria euphrosyne</v>
          </cell>
        </row>
        <row r="340">
          <cell r="A340" t="str">
            <v>Boloria selene</v>
          </cell>
          <cell r="B340" t="str">
            <v>Butterflies</v>
          </cell>
          <cell r="C340" t="str">
            <v>Lepidoptera</v>
          </cell>
          <cell r="D340" t="str">
            <v>Boloria selene</v>
          </cell>
          <cell r="E340" t="str">
            <v>VU</v>
          </cell>
          <cell r="F340" t="str">
            <v>Fox &amp; Dennis, 2021</v>
          </cell>
          <cell r="G340" t="str">
            <v>NHMSYS0021143547</v>
          </cell>
          <cell r="H340" t="str">
            <v>Boloria selene</v>
          </cell>
        </row>
        <row r="341">
          <cell r="A341" t="str">
            <v>Callophrys rubi</v>
          </cell>
          <cell r="B341" t="str">
            <v>Butterflies</v>
          </cell>
          <cell r="C341" t="str">
            <v>Lepidoptera</v>
          </cell>
          <cell r="D341" t="str">
            <v>Callophrys rubi</v>
          </cell>
          <cell r="E341" t="str">
            <v>LC</v>
          </cell>
          <cell r="F341" t="str">
            <v>Fox &amp; Dennis, 2021</v>
          </cell>
          <cell r="G341" t="str">
            <v>NHMSYS0000501598</v>
          </cell>
          <cell r="H341" t="str">
            <v>Callophrys rubi</v>
          </cell>
        </row>
        <row r="342">
          <cell r="A342" t="str">
            <v>Carterocephalus palaemon</v>
          </cell>
          <cell r="B342" t="str">
            <v>Butterflies</v>
          </cell>
          <cell r="C342" t="str">
            <v>Lepidoptera</v>
          </cell>
          <cell r="D342" t="str">
            <v>Carterocephalus palaemon</v>
          </cell>
          <cell r="E342" t="str">
            <v>LC</v>
          </cell>
          <cell r="F342" t="str">
            <v>Fox &amp; Dennis, 2021</v>
          </cell>
          <cell r="G342" t="str">
            <v>NHMSYS0000501644</v>
          </cell>
          <cell r="H342" t="str">
            <v>Carterocephalus palaemon</v>
          </cell>
        </row>
        <row r="343">
          <cell r="A343" t="str">
            <v>Celastrina argiolus</v>
          </cell>
          <cell r="B343" t="str">
            <v>Butterflies</v>
          </cell>
          <cell r="C343" t="str">
            <v>Lepidoptera</v>
          </cell>
          <cell r="D343" t="str">
            <v>Celastrina argiolus</v>
          </cell>
          <cell r="E343" t="str">
            <v>LC</v>
          </cell>
          <cell r="F343" t="str">
            <v>Fox &amp; Dennis, 2021</v>
          </cell>
          <cell r="G343" t="str">
            <v>NHMSYS0000516260</v>
          </cell>
          <cell r="H343" t="str">
            <v>Celastrina argiolus</v>
          </cell>
        </row>
        <row r="344">
          <cell r="A344" t="str">
            <v>Coenonympha pamphilus</v>
          </cell>
          <cell r="B344" t="str">
            <v>Butterflies</v>
          </cell>
          <cell r="C344" t="str">
            <v>Lepidoptera</v>
          </cell>
          <cell r="D344" t="str">
            <v>Coenonympha pamphilus</v>
          </cell>
          <cell r="E344" t="str">
            <v>VU</v>
          </cell>
          <cell r="F344" t="str">
            <v>Fox &amp; Dennis, 2021</v>
          </cell>
          <cell r="G344" t="str">
            <v>NHMSYS0000519083</v>
          </cell>
          <cell r="H344" t="str">
            <v>Coenonympha pamphilus</v>
          </cell>
        </row>
        <row r="345">
          <cell r="A345" t="str">
            <v>Coenonympha tullia</v>
          </cell>
          <cell r="B345" t="str">
            <v>Butterflies</v>
          </cell>
          <cell r="C345" t="str">
            <v>Lepidoptera</v>
          </cell>
          <cell r="D345" t="str">
            <v>Coenonympha tullia</v>
          </cell>
          <cell r="E345" t="str">
            <v>EN</v>
          </cell>
          <cell r="F345" t="str">
            <v>Fox &amp; Dennis, 2021</v>
          </cell>
          <cell r="G345" t="str">
            <v>NHMSYS0000519078</v>
          </cell>
          <cell r="H345" t="str">
            <v>Coenonympha tullia</v>
          </cell>
        </row>
        <row r="346">
          <cell r="A346" t="str">
            <v>Colias croceus</v>
          </cell>
          <cell r="B346" t="str">
            <v>Butterflies</v>
          </cell>
          <cell r="C346" t="str">
            <v>Lepidoptera</v>
          </cell>
          <cell r="D346" t="str">
            <v>Colias croceus</v>
          </cell>
          <cell r="E346" t="str">
            <v>LC</v>
          </cell>
          <cell r="F346" t="str">
            <v>Fox &amp; Dennis, 2021</v>
          </cell>
          <cell r="G346" t="str">
            <v>NHMSYS0000501953</v>
          </cell>
          <cell r="H346" t="str">
            <v>Colias croceus</v>
          </cell>
        </row>
        <row r="347">
          <cell r="A347" t="str">
            <v>Cupido minimus</v>
          </cell>
          <cell r="B347" t="str">
            <v>Butterflies</v>
          </cell>
          <cell r="C347" t="str">
            <v>Lepidoptera</v>
          </cell>
          <cell r="D347" t="str">
            <v>Cupido minimus</v>
          </cell>
          <cell r="E347" t="str">
            <v>NT</v>
          </cell>
          <cell r="F347" t="str">
            <v>Fox &amp; Dennis, 2021</v>
          </cell>
          <cell r="G347" t="str">
            <v>NHMSYS0000502045</v>
          </cell>
          <cell r="H347" t="str">
            <v>Cupido minimus</v>
          </cell>
        </row>
        <row r="348">
          <cell r="A348" t="str">
            <v>Cyaniris semiargus</v>
          </cell>
          <cell r="B348" t="str">
            <v>Butterflies</v>
          </cell>
          <cell r="C348" t="str">
            <v>Lepidoptera</v>
          </cell>
          <cell r="D348" t="str">
            <v>Cyaniris semiargus</v>
          </cell>
          <cell r="E348" t="str">
            <v>RE</v>
          </cell>
          <cell r="F348" t="str">
            <v>Fox &amp; Dennis, 2021</v>
          </cell>
          <cell r="G348" t="str">
            <v>NHMSYS0000502047</v>
          </cell>
          <cell r="H348" t="str">
            <v>Cyaniris semiargus</v>
          </cell>
        </row>
        <row r="349">
          <cell r="A349" t="str">
            <v>Erebia aethiops</v>
          </cell>
          <cell r="B349" t="str">
            <v>Butterflies</v>
          </cell>
          <cell r="C349" t="str">
            <v>Lepidoptera</v>
          </cell>
          <cell r="D349" t="str">
            <v>Erebia aethiops</v>
          </cell>
          <cell r="E349" t="str">
            <v>VU</v>
          </cell>
          <cell r="F349" t="str">
            <v>Fox &amp; Dennis, 2021</v>
          </cell>
          <cell r="G349" t="str">
            <v>NHMSYS0000519783</v>
          </cell>
          <cell r="H349" t="str">
            <v>Erebia aethiops</v>
          </cell>
        </row>
        <row r="350">
          <cell r="A350" t="str">
            <v>Erebia epiphron</v>
          </cell>
          <cell r="B350" t="str">
            <v>Butterflies</v>
          </cell>
          <cell r="C350" t="str">
            <v>Lepidoptera</v>
          </cell>
          <cell r="D350" t="str">
            <v>Erebia epiphron</v>
          </cell>
          <cell r="E350" t="str">
            <v>NT</v>
          </cell>
          <cell r="F350" t="str">
            <v>Fox &amp; Dennis, 2021</v>
          </cell>
          <cell r="G350" t="str">
            <v>NHMSYS0000519788</v>
          </cell>
          <cell r="H350" t="str">
            <v>Erebia epiphron</v>
          </cell>
        </row>
        <row r="351">
          <cell r="A351" t="str">
            <v>Erynnis tages</v>
          </cell>
          <cell r="B351" t="str">
            <v>Butterflies</v>
          </cell>
          <cell r="C351" t="str">
            <v>Lepidoptera</v>
          </cell>
          <cell r="D351" t="str">
            <v>Erynnis tages</v>
          </cell>
          <cell r="E351" t="str">
            <v>LC</v>
          </cell>
          <cell r="F351" t="str">
            <v>Fox &amp; Dennis, 2021</v>
          </cell>
          <cell r="G351" t="str">
            <v>NHMSYS0000550499</v>
          </cell>
          <cell r="H351" t="str">
            <v>Erynnis tages</v>
          </cell>
        </row>
        <row r="352">
          <cell r="A352" t="str">
            <v>Euphydryas aurinia</v>
          </cell>
          <cell r="B352" t="str">
            <v>Butterflies</v>
          </cell>
          <cell r="C352" t="str">
            <v>Lepidoptera</v>
          </cell>
          <cell r="D352" t="str">
            <v>Euphydryas aurinia</v>
          </cell>
          <cell r="E352" t="str">
            <v>VU</v>
          </cell>
          <cell r="F352" t="str">
            <v>Fox &amp; Dennis, 2021</v>
          </cell>
          <cell r="G352" t="str">
            <v>NHMSYS0000516340</v>
          </cell>
          <cell r="H352" t="str">
            <v>Euphydryas aurinia</v>
          </cell>
        </row>
        <row r="353">
          <cell r="A353" t="str">
            <v>Fabriciana adippe</v>
          </cell>
          <cell r="B353" t="str">
            <v>Butterflies</v>
          </cell>
          <cell r="C353" t="str">
            <v>Lepidoptera</v>
          </cell>
          <cell r="D353" t="str">
            <v>Fabriciana adippe</v>
          </cell>
          <cell r="E353" t="str">
            <v>EN</v>
          </cell>
          <cell r="F353" t="str">
            <v>Fox &amp; Dennis, 2021</v>
          </cell>
          <cell r="G353" t="str">
            <v>NHMSYS0021459983</v>
          </cell>
          <cell r="H353" t="str">
            <v>Fabriciana adippe</v>
          </cell>
        </row>
        <row r="354">
          <cell r="A354" t="str">
            <v>Favonius quercus</v>
          </cell>
          <cell r="B354" t="str">
            <v>Butterflies</v>
          </cell>
          <cell r="C354" t="str">
            <v>Lepidoptera</v>
          </cell>
          <cell r="D354" t="str">
            <v>Favonius quercus</v>
          </cell>
          <cell r="E354" t="str">
            <v>LC</v>
          </cell>
          <cell r="F354" t="str">
            <v>Fox &amp; Dennis, 2021</v>
          </cell>
          <cell r="G354" t="str">
            <v>NHMSYS0021002801</v>
          </cell>
          <cell r="H354" t="str">
            <v>Favonius quercus</v>
          </cell>
        </row>
        <row r="355">
          <cell r="A355" t="str">
            <v>Gonepteryx rhamni</v>
          </cell>
          <cell r="B355" t="str">
            <v>Butterflies</v>
          </cell>
          <cell r="C355" t="str">
            <v>Lepidoptera</v>
          </cell>
          <cell r="D355" t="str">
            <v>Gonepteryx rhamni</v>
          </cell>
          <cell r="E355" t="str">
            <v>LC</v>
          </cell>
          <cell r="F355" t="str">
            <v>Fox &amp; Dennis, 2021</v>
          </cell>
          <cell r="G355" t="str">
            <v>NHMSYS0000516380</v>
          </cell>
          <cell r="H355" t="str">
            <v>Gonepteryx rhamni</v>
          </cell>
        </row>
        <row r="356">
          <cell r="A356" t="str">
            <v>Hamearis lucina</v>
          </cell>
          <cell r="B356" t="str">
            <v>Butterflies</v>
          </cell>
          <cell r="C356" t="str">
            <v>Lepidoptera</v>
          </cell>
          <cell r="D356" t="str">
            <v>Hamearis lucina</v>
          </cell>
          <cell r="E356" t="str">
            <v>VU</v>
          </cell>
          <cell r="F356" t="str">
            <v>Fox &amp; Dennis, 2021</v>
          </cell>
          <cell r="G356" t="str">
            <v>NHMSYS0000502800</v>
          </cell>
          <cell r="H356" t="str">
            <v>Hamearis lucina</v>
          </cell>
        </row>
        <row r="357">
          <cell r="A357" t="str">
            <v>Hesperia comma</v>
          </cell>
          <cell r="B357" t="str">
            <v>Butterflies</v>
          </cell>
          <cell r="C357" t="str">
            <v>Lepidoptera</v>
          </cell>
          <cell r="D357" t="str">
            <v>Hesperia comma</v>
          </cell>
          <cell r="E357" t="str">
            <v>VU</v>
          </cell>
          <cell r="F357" t="str">
            <v>Fox &amp; Dennis, 2021</v>
          </cell>
          <cell r="G357" t="str">
            <v>NHMSYS0000502853</v>
          </cell>
          <cell r="H357" t="str">
            <v>Hesperia comma</v>
          </cell>
        </row>
        <row r="358">
          <cell r="A358" t="str">
            <v>Hipparchia semele</v>
          </cell>
          <cell r="B358" t="str">
            <v>Butterflies</v>
          </cell>
          <cell r="C358" t="str">
            <v>Lepidoptera</v>
          </cell>
          <cell r="D358" t="str">
            <v>Hipparchia semele</v>
          </cell>
          <cell r="E358" t="str">
            <v>EN</v>
          </cell>
          <cell r="F358" t="str">
            <v>Fox &amp; Dennis, 2021</v>
          </cell>
          <cell r="G358" t="str">
            <v>NHMSYS0000520428</v>
          </cell>
          <cell r="H358" t="str">
            <v>Hipparchia semele</v>
          </cell>
        </row>
        <row r="359">
          <cell r="A359" t="str">
            <v>Lasiommata megera</v>
          </cell>
          <cell r="B359" t="str">
            <v>Butterflies</v>
          </cell>
          <cell r="C359" t="str">
            <v>Lepidoptera</v>
          </cell>
          <cell r="D359" t="str">
            <v>Lasiommata megera</v>
          </cell>
          <cell r="E359" t="str">
            <v>EN</v>
          </cell>
          <cell r="F359" t="str">
            <v>Fox &amp; Dennis, 2021</v>
          </cell>
          <cell r="G359" t="str">
            <v>NHMSYS0000503020</v>
          </cell>
          <cell r="H359" t="str">
            <v>Lasiommata megera</v>
          </cell>
        </row>
        <row r="360">
          <cell r="A360" t="str">
            <v>Leptidea sinapis</v>
          </cell>
          <cell r="B360" t="str">
            <v>Butterflies</v>
          </cell>
          <cell r="C360" t="str">
            <v>Lepidoptera</v>
          </cell>
          <cell r="D360" t="str">
            <v>Leptidea sinapis</v>
          </cell>
          <cell r="E360" t="str">
            <v>EN</v>
          </cell>
          <cell r="F360" t="str">
            <v>Fox &amp; Dennis, 2021</v>
          </cell>
          <cell r="G360" t="str">
            <v>NHMSYS0000516430</v>
          </cell>
          <cell r="H360" t="str">
            <v>Leptidea sinapis</v>
          </cell>
        </row>
        <row r="361">
          <cell r="A361" t="str">
            <v>Limenitis camilla</v>
          </cell>
          <cell r="B361" t="str">
            <v>Butterflies</v>
          </cell>
          <cell r="C361" t="str">
            <v>Lepidoptera</v>
          </cell>
          <cell r="D361" t="str">
            <v>Limenitis camilla</v>
          </cell>
          <cell r="E361" t="str">
            <v>VU</v>
          </cell>
          <cell r="F361" t="str">
            <v>Fox &amp; Dennis, 2021</v>
          </cell>
          <cell r="G361" t="str">
            <v>NBNSYS0100003750</v>
          </cell>
          <cell r="H361" t="str">
            <v>Limenitis camilla</v>
          </cell>
        </row>
        <row r="362">
          <cell r="A362" t="str">
            <v>Lycaena dispar</v>
          </cell>
          <cell r="B362" t="str">
            <v>Butterflies</v>
          </cell>
          <cell r="C362" t="str">
            <v>Lepidoptera</v>
          </cell>
          <cell r="D362" t="str">
            <v>Lycaena dispar</v>
          </cell>
          <cell r="E362" t="str">
            <v>RE</v>
          </cell>
          <cell r="F362" t="str">
            <v>Fox &amp; Dennis, 2021</v>
          </cell>
          <cell r="G362" t="str">
            <v>NHMSYS0000516450</v>
          </cell>
          <cell r="H362" t="str">
            <v>Lycaena dispar</v>
          </cell>
        </row>
        <row r="363">
          <cell r="A363" t="str">
            <v>Lycaena phlaeas</v>
          </cell>
          <cell r="B363" t="str">
            <v>Butterflies</v>
          </cell>
          <cell r="C363" t="str">
            <v>Lepidoptera</v>
          </cell>
          <cell r="D363" t="str">
            <v>Lycaena phlaeas</v>
          </cell>
          <cell r="E363" t="str">
            <v>LC</v>
          </cell>
          <cell r="F363" t="str">
            <v>Fox &amp; Dennis, 2021</v>
          </cell>
          <cell r="G363" t="str">
            <v>NHMSYS0000516465</v>
          </cell>
          <cell r="H363" t="str">
            <v>Lycaena phlaeas</v>
          </cell>
        </row>
        <row r="364">
          <cell r="A364" t="str">
            <v>Maniola jurtina</v>
          </cell>
          <cell r="B364" t="str">
            <v>Butterflies</v>
          </cell>
          <cell r="C364" t="str">
            <v>Lepidoptera</v>
          </cell>
          <cell r="D364" t="str">
            <v>Maniola jurtina</v>
          </cell>
          <cell r="E364" t="str">
            <v>LC</v>
          </cell>
          <cell r="F364" t="str">
            <v>Fox &amp; Dennis, 2021</v>
          </cell>
          <cell r="G364" t="str">
            <v>NHMSYS0000521977</v>
          </cell>
          <cell r="H364" t="str">
            <v>Maniola jurtina</v>
          </cell>
        </row>
        <row r="365">
          <cell r="A365" t="str">
            <v>Melanargia galathea</v>
          </cell>
          <cell r="B365" t="str">
            <v>Butterflies</v>
          </cell>
          <cell r="C365" t="str">
            <v>Lepidoptera</v>
          </cell>
          <cell r="D365" t="str">
            <v>Melanargia galathea</v>
          </cell>
          <cell r="E365" t="str">
            <v>LC</v>
          </cell>
          <cell r="F365" t="str">
            <v>Fox &amp; Dennis, 2021</v>
          </cell>
          <cell r="G365" t="str">
            <v>NHMSYS0000522017</v>
          </cell>
          <cell r="H365" t="str">
            <v>Melanargia galathea</v>
          </cell>
        </row>
        <row r="366">
          <cell r="A366" t="str">
            <v>Melitaea athalia</v>
          </cell>
          <cell r="B366" t="str">
            <v>Butterflies</v>
          </cell>
          <cell r="C366" t="str">
            <v>Lepidoptera</v>
          </cell>
          <cell r="D366" t="str">
            <v>Melitaea athalia</v>
          </cell>
          <cell r="E366" t="str">
            <v>EN</v>
          </cell>
          <cell r="F366" t="str">
            <v>Fox &amp; Dennis, 2021</v>
          </cell>
          <cell r="G366" t="str">
            <v>NHMSYS0000503190</v>
          </cell>
          <cell r="H366" t="str">
            <v>Melitaea athalia</v>
          </cell>
        </row>
        <row r="367">
          <cell r="A367" t="str">
            <v>Melitaea cinxia</v>
          </cell>
          <cell r="B367" t="str">
            <v>Butterflies</v>
          </cell>
          <cell r="C367" t="str">
            <v>Lepidoptera</v>
          </cell>
          <cell r="D367" t="str">
            <v>Melitaea cinxia</v>
          </cell>
          <cell r="E367" t="str">
            <v>EN</v>
          </cell>
          <cell r="F367" t="str">
            <v>Fox &amp; Dennis, 2021</v>
          </cell>
          <cell r="G367" t="str">
            <v>NHMSYS0000503191</v>
          </cell>
          <cell r="H367" t="str">
            <v>Melitaea cinxia</v>
          </cell>
        </row>
        <row r="368">
          <cell r="A368" t="str">
            <v>Nymphalis polychloros</v>
          </cell>
          <cell r="B368" t="str">
            <v>Butterflies</v>
          </cell>
          <cell r="C368" t="str">
            <v>Lepidoptera</v>
          </cell>
          <cell r="D368" t="str">
            <v>Nymphalis polychloros</v>
          </cell>
          <cell r="E368" t="str">
            <v>RE</v>
          </cell>
          <cell r="F368" t="str">
            <v>Fox &amp; Dennis, 2021</v>
          </cell>
          <cell r="G368" t="str">
            <v>NHMSYS0000516575</v>
          </cell>
          <cell r="H368" t="str">
            <v>Nymphalis polychloros</v>
          </cell>
        </row>
        <row r="369">
          <cell r="A369" t="str">
            <v>Ochlodes sylvanus</v>
          </cell>
          <cell r="B369" t="str">
            <v>Butterflies</v>
          </cell>
          <cell r="C369" t="str">
            <v>Lepidoptera</v>
          </cell>
          <cell r="D369" t="str">
            <v>Ochlodes sylvanus</v>
          </cell>
          <cell r="E369" t="str">
            <v>LC</v>
          </cell>
          <cell r="F369" t="str">
            <v>Fox &amp; Dennis, 2021</v>
          </cell>
          <cell r="G369" t="str">
            <v>NHMSYS0020755521</v>
          </cell>
          <cell r="H369" t="str">
            <v>Ochlodes sylvanus</v>
          </cell>
        </row>
        <row r="370">
          <cell r="A370" t="str">
            <v>Papilio machaon</v>
          </cell>
          <cell r="B370" t="str">
            <v>Butterflies</v>
          </cell>
          <cell r="C370" t="str">
            <v>Lepidoptera</v>
          </cell>
          <cell r="D370" t="str">
            <v>Papilio machaon</v>
          </cell>
          <cell r="E370" t="str">
            <v>VU</v>
          </cell>
          <cell r="F370" t="str">
            <v>Fox &amp; Dennis, 2021</v>
          </cell>
          <cell r="G370" t="str">
            <v>NBNSYS0000005514</v>
          </cell>
          <cell r="H370" t="str">
            <v>Papilio machaon</v>
          </cell>
        </row>
        <row r="371">
          <cell r="A371" t="str">
            <v>Pararge aegeria</v>
          </cell>
          <cell r="B371" t="str">
            <v>Butterflies</v>
          </cell>
          <cell r="C371" t="str">
            <v>Lepidoptera</v>
          </cell>
          <cell r="D371" t="str">
            <v>Pararge aegeria</v>
          </cell>
          <cell r="E371" t="str">
            <v>LC</v>
          </cell>
          <cell r="F371" t="str">
            <v>Fox &amp; Dennis, 2021</v>
          </cell>
          <cell r="G371" t="str">
            <v>NHMSYS0000523344</v>
          </cell>
          <cell r="H371" t="str">
            <v>Pararge aegeria</v>
          </cell>
        </row>
        <row r="372">
          <cell r="A372" t="str">
            <v>Phengaris arion</v>
          </cell>
          <cell r="B372" t="str">
            <v>Butterflies</v>
          </cell>
          <cell r="C372" t="str">
            <v>Lepidoptera</v>
          </cell>
          <cell r="D372" t="str">
            <v>Phengaris arion</v>
          </cell>
          <cell r="E372" t="str">
            <v>NT</v>
          </cell>
          <cell r="F372" t="str">
            <v>Fox &amp; Dennis, 2021</v>
          </cell>
          <cell r="G372" t="str">
            <v>NHMSYS0020757917</v>
          </cell>
          <cell r="H372" t="str">
            <v>Phengaris arion</v>
          </cell>
        </row>
        <row r="373">
          <cell r="A373" t="str">
            <v>Pieris brassicae</v>
          </cell>
          <cell r="B373" t="str">
            <v>Butterflies</v>
          </cell>
          <cell r="C373" t="str">
            <v>Lepidoptera</v>
          </cell>
          <cell r="D373" t="str">
            <v>Pieris brassicae</v>
          </cell>
          <cell r="E373" t="str">
            <v>LC</v>
          </cell>
          <cell r="F373" t="str">
            <v>Fox &amp; Dennis, 2021</v>
          </cell>
          <cell r="G373" t="str">
            <v>NHMSYS0000503827</v>
          </cell>
          <cell r="H373" t="str">
            <v>Pieris brassicae</v>
          </cell>
        </row>
        <row r="374">
          <cell r="A374" t="str">
            <v>Pieris napi</v>
          </cell>
          <cell r="B374" t="str">
            <v>Butterflies</v>
          </cell>
          <cell r="C374" t="str">
            <v>Lepidoptera</v>
          </cell>
          <cell r="D374" t="str">
            <v>Pieris napi</v>
          </cell>
          <cell r="E374" t="str">
            <v>LC</v>
          </cell>
          <cell r="F374" t="str">
            <v>Fox &amp; Dennis, 2021</v>
          </cell>
          <cell r="G374" t="str">
            <v>NHMSYS0000516630</v>
          </cell>
          <cell r="H374" t="str">
            <v>Pieris napi</v>
          </cell>
        </row>
        <row r="375">
          <cell r="A375" t="str">
            <v>Pieris rapae</v>
          </cell>
          <cell r="B375" t="str">
            <v>Butterflies</v>
          </cell>
          <cell r="C375" t="str">
            <v>Lepidoptera</v>
          </cell>
          <cell r="D375" t="str">
            <v>Pieris rapae</v>
          </cell>
          <cell r="E375" t="str">
            <v>LC</v>
          </cell>
          <cell r="F375" t="str">
            <v>Fox &amp; Dennis, 2021</v>
          </cell>
          <cell r="G375" t="str">
            <v>NHMSYS0000503832</v>
          </cell>
          <cell r="H375" t="str">
            <v>Pieris rapae</v>
          </cell>
        </row>
        <row r="376">
          <cell r="A376" t="str">
            <v>Plebejus argus</v>
          </cell>
          <cell r="B376" t="str">
            <v>Butterflies</v>
          </cell>
          <cell r="C376" t="str">
            <v>Lepidoptera</v>
          </cell>
          <cell r="D376" t="str">
            <v>Plebejus argus</v>
          </cell>
          <cell r="E376" t="str">
            <v>VU</v>
          </cell>
          <cell r="F376" t="str">
            <v>Fox &amp; Dennis, 2021</v>
          </cell>
          <cell r="G376" t="str">
            <v>NBNSYS0000005539</v>
          </cell>
          <cell r="H376" t="str">
            <v>Plebejus argus</v>
          </cell>
        </row>
        <row r="377">
          <cell r="A377" t="str">
            <v>Polygonia c-album</v>
          </cell>
          <cell r="B377" t="str">
            <v>Butterflies</v>
          </cell>
          <cell r="C377" t="str">
            <v>Lepidoptera</v>
          </cell>
          <cell r="D377" t="str">
            <v>Polygonia c-album</v>
          </cell>
          <cell r="E377" t="str">
            <v>LC</v>
          </cell>
          <cell r="F377" t="str">
            <v>Fox &amp; Dennis, 2021</v>
          </cell>
          <cell r="G377" t="str">
            <v>NHMSYS0000503893</v>
          </cell>
          <cell r="H377" t="str">
            <v>Polygonia c-album</v>
          </cell>
        </row>
        <row r="378">
          <cell r="A378" t="str">
            <v>Polyommatus bellargus</v>
          </cell>
          <cell r="B378" t="str">
            <v>Butterflies</v>
          </cell>
          <cell r="C378" t="str">
            <v>Lepidoptera</v>
          </cell>
          <cell r="D378" t="str">
            <v>Polyommatus bellargus</v>
          </cell>
          <cell r="E378" t="str">
            <v>VU</v>
          </cell>
          <cell r="F378" t="str">
            <v>Fox &amp; Dennis, 2021</v>
          </cell>
          <cell r="G378" t="str">
            <v>NHMSYS0021143616</v>
          </cell>
          <cell r="H378" t="str">
            <v>Polyommatus bellargus</v>
          </cell>
        </row>
        <row r="379">
          <cell r="A379" t="str">
            <v>Polyommatus coridon</v>
          </cell>
          <cell r="B379" t="str">
            <v>Butterflies</v>
          </cell>
          <cell r="C379" t="str">
            <v>Lepidoptera</v>
          </cell>
          <cell r="D379" t="str">
            <v>Polyommatus coridon</v>
          </cell>
          <cell r="E379" t="str">
            <v>VU</v>
          </cell>
          <cell r="F379" t="str">
            <v>Fox &amp; Dennis, 2021</v>
          </cell>
          <cell r="G379" t="str">
            <v>NHMSYS0020825965</v>
          </cell>
          <cell r="H379" t="str">
            <v>Polyommatus coridon</v>
          </cell>
        </row>
        <row r="380">
          <cell r="A380" t="str">
            <v>Polyommatus icarus</v>
          </cell>
          <cell r="B380" t="str">
            <v>Butterflies</v>
          </cell>
          <cell r="C380" t="str">
            <v>Lepidoptera</v>
          </cell>
          <cell r="D380" t="str">
            <v>Polyommatus icarus</v>
          </cell>
          <cell r="E380" t="str">
            <v>LC</v>
          </cell>
          <cell r="F380" t="str">
            <v>Fox &amp; Dennis, 2021</v>
          </cell>
          <cell r="G380" t="str">
            <v>NHMSYS0000516660</v>
          </cell>
          <cell r="H380" t="str">
            <v>Polyommatus icarus</v>
          </cell>
        </row>
        <row r="381">
          <cell r="A381" t="str">
            <v>Pyrgus malvae</v>
          </cell>
          <cell r="B381" t="str">
            <v>Butterflies</v>
          </cell>
          <cell r="C381" t="str">
            <v>Lepidoptera</v>
          </cell>
          <cell r="D381" t="str">
            <v>Pyrgus malvae</v>
          </cell>
          <cell r="E381" t="str">
            <v>VU</v>
          </cell>
          <cell r="F381" t="str">
            <v>Fox &amp; Dennis, 2021</v>
          </cell>
          <cell r="G381" t="str">
            <v>NHMSYS0000504013</v>
          </cell>
          <cell r="H381" t="str">
            <v>Pyrgus malvae</v>
          </cell>
        </row>
        <row r="382">
          <cell r="A382" t="str">
            <v>Pyronia tithonus</v>
          </cell>
          <cell r="B382" t="str">
            <v>Butterflies</v>
          </cell>
          <cell r="C382" t="str">
            <v>Lepidoptera</v>
          </cell>
          <cell r="D382" t="str">
            <v>Pyronia tithonus</v>
          </cell>
          <cell r="E382" t="str">
            <v>LC</v>
          </cell>
          <cell r="F382" t="str">
            <v>Fox &amp; Dennis, 2021</v>
          </cell>
          <cell r="G382" t="str">
            <v>NHMSYS0000522857</v>
          </cell>
          <cell r="H382" t="str">
            <v>Pyronia tithonus</v>
          </cell>
        </row>
        <row r="383">
          <cell r="A383" t="str">
            <v>Satyrium pruni</v>
          </cell>
          <cell r="B383" t="str">
            <v>Butterflies</v>
          </cell>
          <cell r="C383" t="str">
            <v>Lepidoptera</v>
          </cell>
          <cell r="D383" t="str">
            <v>Satyrium pruni</v>
          </cell>
          <cell r="E383" t="str">
            <v>EN</v>
          </cell>
          <cell r="F383" t="str">
            <v>Fox &amp; Dennis, 2021</v>
          </cell>
          <cell r="G383" t="str">
            <v>NHMSYS0000504084</v>
          </cell>
          <cell r="H383" t="str">
            <v>Satyrium pruni</v>
          </cell>
        </row>
        <row r="384">
          <cell r="A384" t="str">
            <v>Satyrium w-album</v>
          </cell>
          <cell r="B384" t="str">
            <v>Butterflies</v>
          </cell>
          <cell r="C384" t="str">
            <v>Lepidoptera</v>
          </cell>
          <cell r="D384" t="str">
            <v>Satyrium w-album</v>
          </cell>
          <cell r="E384" t="str">
            <v>VU</v>
          </cell>
          <cell r="F384" t="str">
            <v>Fox &amp; Dennis, 2021</v>
          </cell>
          <cell r="G384" t="str">
            <v>NHMSYS0000504085</v>
          </cell>
          <cell r="H384" t="str">
            <v>Satyrium w-album</v>
          </cell>
        </row>
        <row r="385">
          <cell r="A385" t="str">
            <v>Speyeria aglaja</v>
          </cell>
          <cell r="B385" t="str">
            <v>Butterflies</v>
          </cell>
          <cell r="C385" t="str">
            <v>Lepidoptera</v>
          </cell>
          <cell r="D385" t="str">
            <v>Speyeria aglaja</v>
          </cell>
          <cell r="E385" t="str">
            <v>NT</v>
          </cell>
          <cell r="F385" t="str">
            <v>Fox &amp; Dennis, 2021</v>
          </cell>
          <cell r="G385" t="str">
            <v>NHMSYS0021297309</v>
          </cell>
          <cell r="H385" t="str">
            <v>Speyeria aglaja</v>
          </cell>
        </row>
        <row r="386">
          <cell r="A386" t="str">
            <v>Thecla betulae</v>
          </cell>
          <cell r="B386" t="str">
            <v>Butterflies</v>
          </cell>
          <cell r="C386" t="str">
            <v>Lepidoptera</v>
          </cell>
          <cell r="D386" t="str">
            <v>Thecla betulae</v>
          </cell>
          <cell r="E386" t="str">
            <v>VU</v>
          </cell>
          <cell r="F386" t="str">
            <v>Fox &amp; Dennis, 2021</v>
          </cell>
          <cell r="G386" t="str">
            <v>NHMSYS0000504486</v>
          </cell>
          <cell r="H386" t="str">
            <v>Thecla betulae</v>
          </cell>
        </row>
        <row r="387">
          <cell r="A387" t="str">
            <v>Thymelicus acteon</v>
          </cell>
          <cell r="B387" t="str">
            <v>Butterflies</v>
          </cell>
          <cell r="C387" t="str">
            <v>Lepidoptera</v>
          </cell>
          <cell r="D387" t="str">
            <v>Thymelicus acteon</v>
          </cell>
          <cell r="E387" t="str">
            <v>NT</v>
          </cell>
          <cell r="F387" t="str">
            <v>Fox &amp; Dennis, 2021</v>
          </cell>
          <cell r="G387" t="str">
            <v>NHMSYS0000504513</v>
          </cell>
          <cell r="H387" t="str">
            <v>Thymelicus acteon</v>
          </cell>
        </row>
        <row r="388">
          <cell r="A388" t="str">
            <v>Thymelicus lineola</v>
          </cell>
          <cell r="B388" t="str">
            <v>Butterflies</v>
          </cell>
          <cell r="C388" t="str">
            <v>Lepidoptera</v>
          </cell>
          <cell r="D388" t="str">
            <v>Thymelicus lineola</v>
          </cell>
          <cell r="E388" t="str">
            <v>LC</v>
          </cell>
          <cell r="F388" t="str">
            <v>Fox &amp; Dennis, 2021</v>
          </cell>
          <cell r="G388" t="str">
            <v>NHMSYS0000504514</v>
          </cell>
          <cell r="H388" t="str">
            <v>Thymelicus lineola</v>
          </cell>
        </row>
        <row r="389">
          <cell r="A389" t="str">
            <v>Thymelicus sylvestris</v>
          </cell>
          <cell r="B389" t="str">
            <v>Butterflies</v>
          </cell>
          <cell r="C389" t="str">
            <v>Lepidoptera</v>
          </cell>
          <cell r="D389" t="str">
            <v>Thymelicus sylvestris</v>
          </cell>
          <cell r="E389" t="str">
            <v>LC</v>
          </cell>
          <cell r="F389" t="str">
            <v>Fox &amp; Dennis, 2021</v>
          </cell>
          <cell r="G389" t="str">
            <v>NHMSYS0000504515</v>
          </cell>
          <cell r="H389" t="str">
            <v>Thymelicus sylvestris</v>
          </cell>
        </row>
        <row r="390">
          <cell r="A390" t="str">
            <v>Vanessa atalanta</v>
          </cell>
          <cell r="B390" t="str">
            <v>Butterflies</v>
          </cell>
          <cell r="C390" t="str">
            <v>Lepidoptera</v>
          </cell>
          <cell r="D390" t="str">
            <v>Vanessa atalanta</v>
          </cell>
          <cell r="E390" t="str">
            <v>LC</v>
          </cell>
          <cell r="F390" t="str">
            <v>Fox &amp; Dennis, 2021</v>
          </cell>
          <cell r="G390" t="str">
            <v>NHMSYS0000504624</v>
          </cell>
          <cell r="H390" t="str">
            <v>Vanessa atalanta</v>
          </cell>
        </row>
        <row r="391">
          <cell r="A391" t="str">
            <v>Vanessa cardui</v>
          </cell>
          <cell r="B391" t="str">
            <v>Butterflies</v>
          </cell>
          <cell r="C391" t="str">
            <v>Lepidoptera</v>
          </cell>
          <cell r="D391" t="str">
            <v>Vanessa cardui</v>
          </cell>
          <cell r="E391" t="str">
            <v>LC</v>
          </cell>
          <cell r="F391" t="str">
            <v>Fox &amp; Dennis, 2021</v>
          </cell>
          <cell r="G391" t="str">
            <v>NBNSYS0100005950</v>
          </cell>
          <cell r="H391" t="str">
            <v>Vanessa cardui</v>
          </cell>
        </row>
        <row r="392">
          <cell r="A392" t="str">
            <v>Adicella filicornis (Pictet)</v>
          </cell>
          <cell r="B392" t="str">
            <v>Caddisflies</v>
          </cell>
          <cell r="C392" t="str">
            <v>Trichoptera</v>
          </cell>
          <cell r="D392" t="str">
            <v>Adicella filicornis</v>
          </cell>
          <cell r="E392" t="str">
            <v>EN</v>
          </cell>
          <cell r="F392" t="str">
            <v>Wallace, 2016</v>
          </cell>
          <cell r="G392" t="str">
            <v>NBNSYS0000008528</v>
          </cell>
          <cell r="H392" t="str">
            <v>Adicella filicornis (Pictet)</v>
          </cell>
        </row>
        <row r="393">
          <cell r="A393" t="str">
            <v>Adicella reducta (McLachlan)</v>
          </cell>
          <cell r="B393" t="str">
            <v>Caddisflies</v>
          </cell>
          <cell r="C393" t="str">
            <v>Trichoptera</v>
          </cell>
          <cell r="D393" t="str">
            <v>Adicella reducta</v>
          </cell>
          <cell r="E393" t="str">
            <v>LC</v>
          </cell>
          <cell r="F393" t="str">
            <v>Wallace, 2016</v>
          </cell>
          <cell r="G393" t="str">
            <v>NBNSYS0000008529</v>
          </cell>
          <cell r="H393" t="str">
            <v>Adicella reducta (McLachlan)</v>
          </cell>
        </row>
        <row r="394">
          <cell r="A394" t="str">
            <v>Agapetus delicatulus McLachlan</v>
          </cell>
          <cell r="B394" t="str">
            <v>Caddisflies</v>
          </cell>
          <cell r="C394" t="str">
            <v>Trichoptera</v>
          </cell>
          <cell r="D394" t="str">
            <v>Agapetus delicatulus</v>
          </cell>
          <cell r="E394" t="str">
            <v>LC</v>
          </cell>
          <cell r="F394" t="str">
            <v>Wallace, 2016</v>
          </cell>
          <cell r="G394" t="str">
            <v>NBNSYS0000008346</v>
          </cell>
          <cell r="H394" t="str">
            <v>Agapetus delicatulus McLachlan</v>
          </cell>
        </row>
        <row r="395">
          <cell r="A395" t="str">
            <v>Agapetus fuscipes Curtis</v>
          </cell>
          <cell r="B395" t="str">
            <v>Caddisflies</v>
          </cell>
          <cell r="C395" t="str">
            <v>Trichoptera</v>
          </cell>
          <cell r="D395" t="str">
            <v>Agapetus fuscipes</v>
          </cell>
          <cell r="E395" t="str">
            <v>LC</v>
          </cell>
          <cell r="F395" t="str">
            <v>Wallace, 2016</v>
          </cell>
          <cell r="G395" t="str">
            <v>NBNSYS0000008347</v>
          </cell>
          <cell r="H395" t="str">
            <v>Agapetus fuscipes Curtis</v>
          </cell>
        </row>
        <row r="396">
          <cell r="A396" t="str">
            <v>Agapetus ochripes Curtis</v>
          </cell>
          <cell r="B396" t="str">
            <v>Caddisflies</v>
          </cell>
          <cell r="C396" t="str">
            <v>Trichoptera</v>
          </cell>
          <cell r="D396" t="str">
            <v>Agapetus ochripes</v>
          </cell>
          <cell r="E396" t="str">
            <v>LC</v>
          </cell>
          <cell r="F396" t="str">
            <v>Wallace, 2016</v>
          </cell>
          <cell r="G396" t="str">
            <v>NBNSYS0000008348</v>
          </cell>
          <cell r="H396" t="str">
            <v>Agapetus ochripes Curtis</v>
          </cell>
        </row>
        <row r="397">
          <cell r="A397" t="str">
            <v>Agraylea multipunctata Curtis</v>
          </cell>
          <cell r="B397" t="str">
            <v>Caddisflies</v>
          </cell>
          <cell r="C397" t="str">
            <v>Trichoptera</v>
          </cell>
          <cell r="D397" t="str">
            <v>Agraylea multipunctata</v>
          </cell>
          <cell r="E397" t="str">
            <v>LC</v>
          </cell>
          <cell r="F397" t="str">
            <v>Wallace, 2016</v>
          </cell>
          <cell r="G397" t="str">
            <v>NBNSYS0000008349</v>
          </cell>
          <cell r="H397" t="str">
            <v>Agraylea multipunctata Curtis</v>
          </cell>
        </row>
        <row r="398">
          <cell r="A398" t="str">
            <v>Agraylea sexmaculata Curtis</v>
          </cell>
          <cell r="B398" t="str">
            <v>Caddisflies</v>
          </cell>
          <cell r="C398" t="str">
            <v>Trichoptera</v>
          </cell>
          <cell r="D398" t="str">
            <v>Agraylea sexmaculata</v>
          </cell>
          <cell r="E398" t="str">
            <v>LC</v>
          </cell>
          <cell r="F398" t="str">
            <v>Wallace, 2016</v>
          </cell>
          <cell r="G398" t="str">
            <v>NBNSYS0000008350</v>
          </cell>
          <cell r="H398" t="str">
            <v>Agraylea sexmaculata Curtis</v>
          </cell>
        </row>
        <row r="399">
          <cell r="A399" t="str">
            <v>Agrypnetes crassicornis McLachlan</v>
          </cell>
          <cell r="B399" t="str">
            <v>Caddisflies</v>
          </cell>
          <cell r="C399" t="str">
            <v>Trichoptera</v>
          </cell>
          <cell r="D399" t="str">
            <v>Agrypnetes crassicornis</v>
          </cell>
          <cell r="E399" t="str">
            <v>CR</v>
          </cell>
          <cell r="F399" t="str">
            <v>Wallace, 2016</v>
          </cell>
          <cell r="G399" t="str">
            <v>NHMSYS0021008788</v>
          </cell>
          <cell r="H399" t="str">
            <v>Agrypnetes crassicornis McLachlan</v>
          </cell>
        </row>
        <row r="400">
          <cell r="A400" t="str">
            <v>Agrypnia obsoleta (Hagen)</v>
          </cell>
          <cell r="B400" t="str">
            <v>Caddisflies</v>
          </cell>
          <cell r="C400" t="str">
            <v>Trichoptera</v>
          </cell>
          <cell r="D400" t="str">
            <v>Agrypnia obsoleta</v>
          </cell>
          <cell r="E400" t="str">
            <v>LC</v>
          </cell>
          <cell r="F400" t="str">
            <v>Wallace, 2016</v>
          </cell>
          <cell r="G400" t="str">
            <v>NBNSYS0000008424</v>
          </cell>
          <cell r="H400" t="str">
            <v>Agrypnia obsoleta (Hagen)</v>
          </cell>
        </row>
        <row r="401">
          <cell r="A401" t="str">
            <v>Agrypnia pagetana Curtis</v>
          </cell>
          <cell r="B401" t="str">
            <v>Caddisflies</v>
          </cell>
          <cell r="C401" t="str">
            <v>Trichoptera</v>
          </cell>
          <cell r="D401" t="str">
            <v>Agrypnia pagetana</v>
          </cell>
          <cell r="E401" t="str">
            <v>LC</v>
          </cell>
          <cell r="F401" t="str">
            <v>Wallace, 2016</v>
          </cell>
          <cell r="G401" t="str">
            <v>NBNSYS0000008425</v>
          </cell>
          <cell r="H401" t="str">
            <v>Agrypnia pagetana Curtis</v>
          </cell>
        </row>
        <row r="402">
          <cell r="A402" t="str">
            <v>Agrypnia varia (Fabricius)</v>
          </cell>
          <cell r="B402" t="str">
            <v>Caddisflies</v>
          </cell>
          <cell r="C402" t="str">
            <v>Trichoptera</v>
          </cell>
          <cell r="D402" t="str">
            <v>Agrypnia varia</v>
          </cell>
          <cell r="E402" t="str">
            <v>LC</v>
          </cell>
          <cell r="F402" t="str">
            <v>Wallace, 2016</v>
          </cell>
          <cell r="G402" t="str">
            <v>NHMSYS0020704765</v>
          </cell>
          <cell r="H402" t="str">
            <v>Agrypnia varia (Fabricius)</v>
          </cell>
        </row>
        <row r="403">
          <cell r="A403" t="str">
            <v>Allogamus auricollis (Pictet)</v>
          </cell>
          <cell r="B403" t="str">
            <v>Caddisflies</v>
          </cell>
          <cell r="C403" t="str">
            <v>Trichoptera</v>
          </cell>
          <cell r="D403" t="str">
            <v>Allogamus auricollis</v>
          </cell>
          <cell r="E403" t="str">
            <v>LC</v>
          </cell>
          <cell r="F403" t="str">
            <v>Wallace, 2016</v>
          </cell>
          <cell r="G403" t="str">
            <v>NBNSYS0000008444</v>
          </cell>
          <cell r="H403" t="str">
            <v>Allogamus auricollis (Pictet)</v>
          </cell>
        </row>
        <row r="404">
          <cell r="A404" t="str">
            <v>Allotrichia pallicornis (Eaton)</v>
          </cell>
          <cell r="B404" t="str">
            <v>Caddisflies</v>
          </cell>
          <cell r="C404" t="str">
            <v>Trichoptera</v>
          </cell>
          <cell r="D404" t="str">
            <v>Allotrichia pallicornis</v>
          </cell>
          <cell r="E404" t="str">
            <v>LC</v>
          </cell>
          <cell r="F404" t="str">
            <v>Wallace, 2016</v>
          </cell>
          <cell r="G404" t="str">
            <v>NBNSYS0000008351</v>
          </cell>
          <cell r="H404" t="str">
            <v>Allotrichia pallicornis (Eaton)</v>
          </cell>
        </row>
        <row r="405">
          <cell r="A405" t="str">
            <v>Anabolia brevipennis (Curtis)</v>
          </cell>
          <cell r="B405" t="str">
            <v>Caddisflies</v>
          </cell>
          <cell r="C405" t="str">
            <v>Trichoptera</v>
          </cell>
          <cell r="D405" t="str">
            <v>Anabolia brevipennis</v>
          </cell>
          <cell r="E405" t="str">
            <v>VU</v>
          </cell>
          <cell r="F405" t="str">
            <v>Wallace, 2016</v>
          </cell>
          <cell r="G405" t="str">
            <v>NHMSYS0020785001</v>
          </cell>
          <cell r="H405" t="str">
            <v>Anabolia brevipennis (Curtis)</v>
          </cell>
        </row>
        <row r="406">
          <cell r="A406" t="str">
            <v>Anabolia nervosa (Curtis)</v>
          </cell>
          <cell r="B406" t="str">
            <v>Caddisflies</v>
          </cell>
          <cell r="C406" t="str">
            <v>Trichoptera</v>
          </cell>
          <cell r="D406" t="str">
            <v>Anabolia nervosa</v>
          </cell>
          <cell r="E406" t="str">
            <v>LC</v>
          </cell>
          <cell r="F406" t="str">
            <v>Wallace, 2016</v>
          </cell>
          <cell r="G406" t="str">
            <v>NBNSYS0000008462</v>
          </cell>
          <cell r="H406" t="str">
            <v>Anabolia nervosa (Curtis)</v>
          </cell>
        </row>
        <row r="407">
          <cell r="A407" t="str">
            <v>Apatania muliebris McLachlan</v>
          </cell>
          <cell r="B407" t="str">
            <v>Caddisflies</v>
          </cell>
          <cell r="C407" t="str">
            <v>Trichoptera</v>
          </cell>
          <cell r="D407" t="str">
            <v>Apatania muliebris</v>
          </cell>
          <cell r="E407" t="str">
            <v>LC</v>
          </cell>
          <cell r="F407" t="str">
            <v>Wallace, 2016</v>
          </cell>
          <cell r="G407" t="str">
            <v>NBNSYS0000008439</v>
          </cell>
          <cell r="H407" t="str">
            <v>Apatania muliebris McLachlan</v>
          </cell>
        </row>
        <row r="408">
          <cell r="A408" t="str">
            <v>Apatania wallengreni McLachlan</v>
          </cell>
          <cell r="B408" t="str">
            <v>Caddisflies</v>
          </cell>
          <cell r="C408" t="str">
            <v>Trichoptera</v>
          </cell>
          <cell r="D408" t="str">
            <v>Apatania wallengreni</v>
          </cell>
          <cell r="E408" t="str">
            <v>LC</v>
          </cell>
          <cell r="F408" t="str">
            <v>Wallace, 2016</v>
          </cell>
          <cell r="G408" t="str">
            <v>NBNSYS0000008441</v>
          </cell>
          <cell r="H408" t="str">
            <v>Apatania wallengreni McLachlan</v>
          </cell>
        </row>
        <row r="409">
          <cell r="A409" t="str">
            <v>Athripsodes albifrons (L.)</v>
          </cell>
          <cell r="B409" t="str">
            <v>Caddisflies</v>
          </cell>
          <cell r="C409" t="str">
            <v>Trichoptera</v>
          </cell>
          <cell r="D409" t="str">
            <v>Athripsodes albifrons</v>
          </cell>
          <cell r="E409" t="str">
            <v>LC</v>
          </cell>
          <cell r="F409" t="str">
            <v>Wallace, 2016</v>
          </cell>
          <cell r="G409" t="str">
            <v>NBNSYS0000008510</v>
          </cell>
          <cell r="H409" t="str">
            <v>Athripsodes albifrons (L.)</v>
          </cell>
        </row>
        <row r="410">
          <cell r="A410" t="str">
            <v>Athripsodes aterrimus (Stephens)</v>
          </cell>
          <cell r="B410" t="str">
            <v>Caddisflies</v>
          </cell>
          <cell r="C410" t="str">
            <v>Trichoptera</v>
          </cell>
          <cell r="D410" t="str">
            <v>Athripsodes aterrimus</v>
          </cell>
          <cell r="E410" t="str">
            <v>LC</v>
          </cell>
          <cell r="F410" t="str">
            <v>Wallace, 2016</v>
          </cell>
          <cell r="G410" t="str">
            <v>NBNSYS0000008512</v>
          </cell>
          <cell r="H410" t="str">
            <v>Athripsodes aterrimus (Stephens)</v>
          </cell>
        </row>
        <row r="411">
          <cell r="A411" t="str">
            <v>Athripsodes bilineatus (L.)</v>
          </cell>
          <cell r="B411" t="str">
            <v>Caddisflies</v>
          </cell>
          <cell r="C411" t="str">
            <v>Trichoptera</v>
          </cell>
          <cell r="D411" t="str">
            <v>Athripsodes bilineatus</v>
          </cell>
          <cell r="E411" t="str">
            <v>LC</v>
          </cell>
          <cell r="F411" t="str">
            <v>Wallace, 2016</v>
          </cell>
          <cell r="G411" t="str">
            <v>NBNSYS0000008513</v>
          </cell>
          <cell r="H411" t="str">
            <v>Athripsodes bilineatus (L.)</v>
          </cell>
        </row>
        <row r="412">
          <cell r="A412" t="str">
            <v>Athripsodes cinereus (Curtis)</v>
          </cell>
          <cell r="B412" t="str">
            <v>Caddisflies</v>
          </cell>
          <cell r="C412" t="str">
            <v>Trichoptera</v>
          </cell>
          <cell r="D412" t="str">
            <v>Athripsodes cinereus</v>
          </cell>
          <cell r="E412" t="str">
            <v>LC</v>
          </cell>
          <cell r="F412" t="str">
            <v>Wallace, 2016</v>
          </cell>
          <cell r="G412" t="str">
            <v>NBNSYS0000008514</v>
          </cell>
          <cell r="H412" t="str">
            <v>Athripsodes cinereus (Curtis)</v>
          </cell>
        </row>
        <row r="413">
          <cell r="A413" t="str">
            <v>Athripsodes commutatus (Rostock)</v>
          </cell>
          <cell r="B413" t="str">
            <v>Caddisflies</v>
          </cell>
          <cell r="C413" t="str">
            <v>Trichoptera</v>
          </cell>
          <cell r="D413" t="str">
            <v>Athripsodes commutatus</v>
          </cell>
          <cell r="E413" t="str">
            <v>LC</v>
          </cell>
          <cell r="F413" t="str">
            <v>Wallace, 2016</v>
          </cell>
          <cell r="G413" t="str">
            <v>NBNSYS0000008515</v>
          </cell>
          <cell r="H413" t="str">
            <v>Athripsodes commutatus (Rostock)</v>
          </cell>
        </row>
        <row r="414">
          <cell r="A414" t="str">
            <v>Beraea pullata (Curtis)</v>
          </cell>
          <cell r="B414" t="str">
            <v>Caddisflies</v>
          </cell>
          <cell r="C414" t="str">
            <v>Trichoptera</v>
          </cell>
          <cell r="D414" t="str">
            <v>Beraea pullata</v>
          </cell>
          <cell r="E414" t="str">
            <v>LC</v>
          </cell>
          <cell r="F414" t="str">
            <v>Wallace, 2016</v>
          </cell>
          <cell r="G414" t="str">
            <v>NBNSYS0000008502</v>
          </cell>
          <cell r="H414" t="str">
            <v>Beraea pullata (Curtis)</v>
          </cell>
        </row>
        <row r="415">
          <cell r="A415" t="str">
            <v>Beraeodes minutus (L.)</v>
          </cell>
          <cell r="B415" t="str">
            <v>Caddisflies</v>
          </cell>
          <cell r="C415" t="str">
            <v>Trichoptera</v>
          </cell>
          <cell r="D415" t="str">
            <v>Beraeodes minutus</v>
          </cell>
          <cell r="E415" t="str">
            <v>LC</v>
          </cell>
          <cell r="F415" t="str">
            <v>Wallace, 2016</v>
          </cell>
          <cell r="G415" t="str">
            <v>NBNSYS0000008503</v>
          </cell>
          <cell r="H415" t="str">
            <v>Beraeodes minutus (L.)</v>
          </cell>
        </row>
        <row r="416">
          <cell r="A416" t="str">
            <v>Brachycentrus subnubilus Curtis</v>
          </cell>
          <cell r="B416" t="str">
            <v>Caddisflies</v>
          </cell>
          <cell r="C416" t="str">
            <v>Trichoptera</v>
          </cell>
          <cell r="D416" t="str">
            <v>Brachycentrus subnubilus</v>
          </cell>
          <cell r="E416" t="str">
            <v>LC</v>
          </cell>
          <cell r="F416" t="str">
            <v>Wallace, 2016</v>
          </cell>
          <cell r="G416" t="str">
            <v>NBNSYS0000008433</v>
          </cell>
          <cell r="H416" t="str">
            <v>Brachycentrus subnubilus Curtis</v>
          </cell>
        </row>
        <row r="417">
          <cell r="A417" t="str">
            <v>Ceraclea albimacula (Rambur)</v>
          </cell>
          <cell r="B417" t="str">
            <v>Caddisflies</v>
          </cell>
          <cell r="C417" t="str">
            <v>Trichoptera</v>
          </cell>
          <cell r="D417" t="str">
            <v>Ceraclea albimacula</v>
          </cell>
          <cell r="E417" t="str">
            <v>LC</v>
          </cell>
          <cell r="F417" t="str">
            <v>Wallace, 2016</v>
          </cell>
          <cell r="G417" t="str">
            <v>NBNSYS0000008516</v>
          </cell>
          <cell r="H417" t="str">
            <v>Ceraclea albimacula (Rambur)</v>
          </cell>
        </row>
        <row r="418">
          <cell r="A418" t="str">
            <v>Ceraclea annulicornis (Stephens)</v>
          </cell>
          <cell r="B418" t="str">
            <v>Caddisflies</v>
          </cell>
          <cell r="C418" t="str">
            <v>Trichoptera</v>
          </cell>
          <cell r="D418" t="str">
            <v>Ceraclea annulicornis</v>
          </cell>
          <cell r="E418" t="str">
            <v>LC</v>
          </cell>
          <cell r="F418" t="str">
            <v>Wallace, 2016</v>
          </cell>
          <cell r="G418" t="str">
            <v>NBNSYS0000008517</v>
          </cell>
          <cell r="H418" t="str">
            <v>Ceraclea annulicornis (Stephens)</v>
          </cell>
        </row>
        <row r="419">
          <cell r="A419" t="str">
            <v>Ceraclea dissimilis (Stephens)</v>
          </cell>
          <cell r="B419" t="str">
            <v>Caddisflies</v>
          </cell>
          <cell r="C419" t="str">
            <v>Trichoptera</v>
          </cell>
          <cell r="D419" t="str">
            <v>Ceraclea dissimilis</v>
          </cell>
          <cell r="E419" t="str">
            <v>LC</v>
          </cell>
          <cell r="F419" t="str">
            <v>Wallace, 2016</v>
          </cell>
          <cell r="G419" t="str">
            <v>NBNSYS0000008518</v>
          </cell>
          <cell r="H419" t="str">
            <v>Ceraclea dissimilis (Stephens)</v>
          </cell>
        </row>
        <row r="420">
          <cell r="A420" t="str">
            <v>Ceraclea fulva (Rambur)</v>
          </cell>
          <cell r="B420" t="str">
            <v>Caddisflies</v>
          </cell>
          <cell r="C420" t="str">
            <v>Trichoptera</v>
          </cell>
          <cell r="D420" t="str">
            <v>Ceraclea fulva</v>
          </cell>
          <cell r="E420" t="str">
            <v>LC</v>
          </cell>
          <cell r="F420" t="str">
            <v>Wallace, 2016</v>
          </cell>
          <cell r="G420" t="str">
            <v>NBNSYS0000008519</v>
          </cell>
          <cell r="H420" t="str">
            <v>Ceraclea fulva (Rambur)</v>
          </cell>
        </row>
        <row r="421">
          <cell r="A421" t="str">
            <v>Ceraclea nigronervosa (Retzius)</v>
          </cell>
          <cell r="B421" t="str">
            <v>Caddisflies</v>
          </cell>
          <cell r="C421" t="str">
            <v>Trichoptera</v>
          </cell>
          <cell r="D421" t="str">
            <v>Ceraclea nigronervosa</v>
          </cell>
          <cell r="E421" t="str">
            <v>LC</v>
          </cell>
          <cell r="F421" t="str">
            <v>Wallace, 2016</v>
          </cell>
          <cell r="G421" t="str">
            <v>NBNSYS0000008520</v>
          </cell>
          <cell r="H421" t="str">
            <v>Ceraclea nigronervosa (Retzius)</v>
          </cell>
        </row>
        <row r="422">
          <cell r="A422" t="str">
            <v>Ceraclea senilis (Burmeister)</v>
          </cell>
          <cell r="B422" t="str">
            <v>Caddisflies</v>
          </cell>
          <cell r="C422" t="str">
            <v>Trichoptera</v>
          </cell>
          <cell r="D422" t="str">
            <v>Ceraclea senilis</v>
          </cell>
          <cell r="E422" t="str">
            <v>LC</v>
          </cell>
          <cell r="F422" t="str">
            <v>Wallace, 2016</v>
          </cell>
          <cell r="G422" t="str">
            <v>NBNSYS0000008521</v>
          </cell>
          <cell r="H422" t="str">
            <v>Ceraclea senilis (Burmeister)</v>
          </cell>
        </row>
        <row r="423">
          <cell r="A423" t="str">
            <v>Chaetopteryx villosa (Fabricius)</v>
          </cell>
          <cell r="B423" t="str">
            <v>Caddisflies</v>
          </cell>
          <cell r="C423" t="str">
            <v>Trichoptera</v>
          </cell>
          <cell r="D423" t="str">
            <v>Chaetopteryx villosa</v>
          </cell>
          <cell r="E423" t="str">
            <v>LC</v>
          </cell>
          <cell r="F423" t="str">
            <v>Wallace, 2016</v>
          </cell>
          <cell r="G423" t="str">
            <v>NHMSYS0020704776</v>
          </cell>
          <cell r="H423" t="str">
            <v>Chaetopteryx villosa (Fabricius)</v>
          </cell>
        </row>
        <row r="424">
          <cell r="A424" t="str">
            <v>Cheumatopsyche lepida (Pictet)</v>
          </cell>
          <cell r="B424" t="str">
            <v>Caddisflies</v>
          </cell>
          <cell r="C424" t="str">
            <v>Trichoptera</v>
          </cell>
          <cell r="D424" t="str">
            <v>Cheumatopsyche lepida</v>
          </cell>
          <cell r="E424" t="str">
            <v>LC</v>
          </cell>
          <cell r="F424" t="str">
            <v>Wallace, 2016</v>
          </cell>
          <cell r="G424" t="str">
            <v>NBNSYS0000008412</v>
          </cell>
          <cell r="H424" t="str">
            <v>Cheumatopsyche lepida (Pictet)</v>
          </cell>
        </row>
        <row r="425">
          <cell r="A425" t="str">
            <v>Chimarra marginata (L.)</v>
          </cell>
          <cell r="B425" t="str">
            <v>Caddisflies</v>
          </cell>
          <cell r="C425" t="str">
            <v>Trichoptera</v>
          </cell>
          <cell r="D425" t="str">
            <v>Chimarra marginata</v>
          </cell>
          <cell r="E425" t="str">
            <v>LC</v>
          </cell>
          <cell r="F425" t="str">
            <v>Wallace, 2016</v>
          </cell>
          <cell r="G425" t="str">
            <v>NBNSYS0000008384</v>
          </cell>
          <cell r="H425" t="str">
            <v>Chimarra marginata (L.)</v>
          </cell>
        </row>
        <row r="426">
          <cell r="A426" t="str">
            <v>Crunoecia irrorata (Curtis)</v>
          </cell>
          <cell r="B426" t="str">
            <v>Caddisflies</v>
          </cell>
          <cell r="C426" t="str">
            <v>Trichoptera</v>
          </cell>
          <cell r="D426" t="str">
            <v>Crunoecia irrorata</v>
          </cell>
          <cell r="E426" t="str">
            <v>LC</v>
          </cell>
          <cell r="F426" t="str">
            <v>Wallace, 2016</v>
          </cell>
          <cell r="G426" t="str">
            <v>NBNSYS0000008434</v>
          </cell>
          <cell r="H426" t="str">
            <v>Crunoecia irrorata (Curtis)</v>
          </cell>
        </row>
        <row r="427">
          <cell r="A427" t="str">
            <v>Cyrnus flavidus McLachlan</v>
          </cell>
          <cell r="B427" t="str">
            <v>Caddisflies</v>
          </cell>
          <cell r="C427" t="str">
            <v>Trichoptera</v>
          </cell>
          <cell r="D427" t="str">
            <v>Cyrnus flavidus</v>
          </cell>
          <cell r="E427" t="str">
            <v>LC</v>
          </cell>
          <cell r="F427" t="str">
            <v>Wallace, 2016</v>
          </cell>
          <cell r="G427" t="str">
            <v>NBNSYS0000008399</v>
          </cell>
          <cell r="H427" t="str">
            <v>Cyrnus flavidus McLachlan</v>
          </cell>
        </row>
        <row r="428">
          <cell r="A428" t="str">
            <v>Cyrnus insolutus McLachlan</v>
          </cell>
          <cell r="B428" t="str">
            <v>Caddisflies</v>
          </cell>
          <cell r="C428" t="str">
            <v>Trichoptera</v>
          </cell>
          <cell r="D428" t="str">
            <v>Cyrnus insolutus</v>
          </cell>
          <cell r="E428" t="str">
            <v>EN</v>
          </cell>
          <cell r="F428" t="str">
            <v>Wallace, 2016</v>
          </cell>
          <cell r="G428" t="str">
            <v>NBNSYS0000008400</v>
          </cell>
          <cell r="H428" t="str">
            <v>Cyrnus insolutus McLachlan</v>
          </cell>
        </row>
        <row r="429">
          <cell r="A429" t="str">
            <v>Cyrnus trimaculatus (Curtis)</v>
          </cell>
          <cell r="B429" t="str">
            <v>Caddisflies</v>
          </cell>
          <cell r="C429" t="str">
            <v>Trichoptera</v>
          </cell>
          <cell r="D429" t="str">
            <v>Cyrnus trimaculatus</v>
          </cell>
          <cell r="E429" t="str">
            <v>LC</v>
          </cell>
          <cell r="F429" t="str">
            <v>Wallace, 2016</v>
          </cell>
          <cell r="G429" t="str">
            <v>NBNSYS0000008401</v>
          </cell>
          <cell r="H429" t="str">
            <v>Cyrnus trimaculatus (Curtis)</v>
          </cell>
        </row>
        <row r="430">
          <cell r="A430" t="str">
            <v>Diplectrona felix McLachlan</v>
          </cell>
          <cell r="B430" t="str">
            <v>Caddisflies</v>
          </cell>
          <cell r="C430" t="str">
            <v>Trichoptera</v>
          </cell>
          <cell r="D430" t="str">
            <v>Diplectrona felix</v>
          </cell>
          <cell r="E430" t="str">
            <v>LC</v>
          </cell>
          <cell r="F430" t="str">
            <v>Wallace, 2016</v>
          </cell>
          <cell r="G430" t="str">
            <v>NBNSYS0000008422</v>
          </cell>
          <cell r="H430" t="str">
            <v>Diplectrona felix McLachlan</v>
          </cell>
        </row>
        <row r="431">
          <cell r="A431" t="str">
            <v>Drusus annulatus (Stephens)</v>
          </cell>
          <cell r="B431" t="str">
            <v>Caddisflies</v>
          </cell>
          <cell r="C431" t="str">
            <v>Trichoptera</v>
          </cell>
          <cell r="D431" t="str">
            <v>Drusus annulatus</v>
          </cell>
          <cell r="E431" t="str">
            <v>LC</v>
          </cell>
          <cell r="F431" t="str">
            <v>Wallace, 2016</v>
          </cell>
          <cell r="G431" t="str">
            <v>NBNSYS0000008442</v>
          </cell>
          <cell r="H431" t="str">
            <v>Drusus annulatus (Stephens)</v>
          </cell>
        </row>
        <row r="432">
          <cell r="A432" t="str">
            <v>Eccliopteryx dalecarlica Kolenati</v>
          </cell>
          <cell r="B432" t="str">
            <v>Caddisflies</v>
          </cell>
          <cell r="C432" t="str">
            <v>Trichoptera</v>
          </cell>
          <cell r="D432" t="str">
            <v>Eccliopteryx dalecarlica</v>
          </cell>
          <cell r="E432" t="str">
            <v>LC</v>
          </cell>
          <cell r="F432" t="str">
            <v>Wallace, 2016</v>
          </cell>
          <cell r="G432" t="str">
            <v>NHMSYS0021008755</v>
          </cell>
          <cell r="H432" t="str">
            <v>Eccliopteryx dalecarlica Kolenati</v>
          </cell>
        </row>
        <row r="433">
          <cell r="A433" t="str">
            <v>Ecnomus tenellus (Rambur)</v>
          </cell>
          <cell r="B433" t="str">
            <v>Caddisflies</v>
          </cell>
          <cell r="C433" t="str">
            <v>Trichoptera</v>
          </cell>
          <cell r="D433" t="str">
            <v>Ecnomus tenellus</v>
          </cell>
          <cell r="E433" t="str">
            <v>LC</v>
          </cell>
          <cell r="F433" t="str">
            <v>Wallace, 2016</v>
          </cell>
          <cell r="G433" t="str">
            <v>NBNSYS0000008397</v>
          </cell>
          <cell r="H433" t="str">
            <v>Ecnomus tenellus (Rambur)</v>
          </cell>
        </row>
        <row r="434">
          <cell r="A434" t="str">
            <v>Enoicyla pusilla (Burmeister)</v>
          </cell>
          <cell r="B434" t="str">
            <v>Caddisflies</v>
          </cell>
          <cell r="C434" t="str">
            <v>Trichoptera</v>
          </cell>
          <cell r="D434" t="str">
            <v>Enoicyla pusilla</v>
          </cell>
          <cell r="E434" t="str">
            <v>LC</v>
          </cell>
          <cell r="F434" t="str">
            <v>Wallace, 2016</v>
          </cell>
          <cell r="G434" t="str">
            <v>NBNSYS0000008445</v>
          </cell>
          <cell r="H434" t="str">
            <v>Enoicyla pusilla (Burmeister)</v>
          </cell>
        </row>
        <row r="435">
          <cell r="A435" t="str">
            <v>Ernodes articularis (Pictet)</v>
          </cell>
          <cell r="B435" t="str">
            <v>Caddisflies</v>
          </cell>
          <cell r="C435" t="str">
            <v>Trichoptera</v>
          </cell>
          <cell r="D435" t="str">
            <v>Ernodes articularis</v>
          </cell>
          <cell r="E435" t="str">
            <v>LC</v>
          </cell>
          <cell r="F435" t="str">
            <v>Wallace, 2016</v>
          </cell>
          <cell r="G435" t="str">
            <v>NBNSYS0000008504</v>
          </cell>
          <cell r="H435" t="str">
            <v>Ernodes articularis (Pictet)</v>
          </cell>
        </row>
        <row r="436">
          <cell r="A436" t="str">
            <v>Erotesis baltica McLachlan</v>
          </cell>
          <cell r="B436" t="str">
            <v>Caddisflies</v>
          </cell>
          <cell r="C436" t="str">
            <v>Trichoptera</v>
          </cell>
          <cell r="D436" t="str">
            <v>Erotesis baltica</v>
          </cell>
          <cell r="E436" t="str">
            <v>VU</v>
          </cell>
          <cell r="F436" t="str">
            <v>Wallace, 2016</v>
          </cell>
          <cell r="G436" t="str">
            <v>NBNSYS0000008530</v>
          </cell>
          <cell r="H436" t="str">
            <v>Erotesis baltica McLachlan</v>
          </cell>
        </row>
        <row r="437">
          <cell r="A437" t="str">
            <v>Glossosoma boltoni Curtis</v>
          </cell>
          <cell r="B437" t="str">
            <v>Caddisflies</v>
          </cell>
          <cell r="C437" t="str">
            <v>Trichoptera</v>
          </cell>
          <cell r="D437" t="str">
            <v>Glossosoma boltoni</v>
          </cell>
          <cell r="E437" t="str">
            <v>LC</v>
          </cell>
          <cell r="F437" t="str">
            <v>Wallace, 2016</v>
          </cell>
          <cell r="G437" t="str">
            <v>NBNSYS0000008343</v>
          </cell>
          <cell r="H437" t="str">
            <v>Glossosoma boltoni Curtis</v>
          </cell>
        </row>
        <row r="438">
          <cell r="A438" t="str">
            <v>Glossosoma conformis Neboiss</v>
          </cell>
          <cell r="B438" t="str">
            <v>Caddisflies</v>
          </cell>
          <cell r="C438" t="str">
            <v>Trichoptera</v>
          </cell>
          <cell r="D438" t="str">
            <v>Glossosoma conformis</v>
          </cell>
          <cell r="E438" t="str">
            <v>LC</v>
          </cell>
          <cell r="F438" t="str">
            <v>Wallace, 2016</v>
          </cell>
          <cell r="G438" t="str">
            <v>NBNSYS0000008344</v>
          </cell>
          <cell r="H438" t="str">
            <v>Glossosoma conformis Neboiss</v>
          </cell>
        </row>
        <row r="439">
          <cell r="A439" t="str">
            <v>Glossosoma intermedium (Klapalek)</v>
          </cell>
          <cell r="B439" t="str">
            <v>Caddisflies</v>
          </cell>
          <cell r="C439" t="str">
            <v>Trichoptera</v>
          </cell>
          <cell r="D439" t="str">
            <v>Glossosoma intermedium</v>
          </cell>
          <cell r="E439" t="str">
            <v>CR</v>
          </cell>
          <cell r="F439" t="str">
            <v>Wallace, 2016</v>
          </cell>
          <cell r="G439" t="str">
            <v>NBNSYS0000008345</v>
          </cell>
          <cell r="H439" t="str">
            <v>Glossosoma intermedium (Klapalek)</v>
          </cell>
        </row>
        <row r="440">
          <cell r="A440" t="str">
            <v>Glyphotaelius pellucidus (Retzius)</v>
          </cell>
          <cell r="B440" t="str">
            <v>Caddisflies</v>
          </cell>
          <cell r="C440" t="str">
            <v>Trichoptera</v>
          </cell>
          <cell r="D440" t="str">
            <v>Glyphotaelius pellucidus</v>
          </cell>
          <cell r="E440" t="str">
            <v>LC</v>
          </cell>
          <cell r="F440" t="str">
            <v>Wallace, 2016</v>
          </cell>
          <cell r="G440" t="str">
            <v>NBNSYS0000008463</v>
          </cell>
          <cell r="H440" t="str">
            <v>Glyphotaelius pellucidus (Retzius)</v>
          </cell>
        </row>
        <row r="441">
          <cell r="A441" t="str">
            <v>Goera pilosa (Fabricius)</v>
          </cell>
          <cell r="B441" t="str">
            <v>Caddisflies</v>
          </cell>
          <cell r="C441" t="str">
            <v>Trichoptera</v>
          </cell>
          <cell r="D441" t="str">
            <v>Goera pilosa</v>
          </cell>
          <cell r="E441" t="str">
            <v>LC</v>
          </cell>
          <cell r="F441" t="str">
            <v>Wallace, 2016</v>
          </cell>
          <cell r="G441" t="str">
            <v>NHMSYS0020704791</v>
          </cell>
          <cell r="H441" t="str">
            <v>Goera pilosa (Fabricius)</v>
          </cell>
        </row>
        <row r="442">
          <cell r="A442" t="str">
            <v>Grammotaulius nigropunctatus (Retzius)</v>
          </cell>
          <cell r="B442" t="str">
            <v>Caddisflies</v>
          </cell>
          <cell r="C442" t="str">
            <v>Trichoptera</v>
          </cell>
          <cell r="D442" t="str">
            <v>Grammotaulius nigropunctatus</v>
          </cell>
          <cell r="E442" t="str">
            <v>LC</v>
          </cell>
          <cell r="F442" t="str">
            <v>Wallace, 2016</v>
          </cell>
          <cell r="G442" t="str">
            <v>NBNSYS0000008464</v>
          </cell>
          <cell r="H442" t="str">
            <v>Grammotaulius nigropunctatus (Retzius)</v>
          </cell>
        </row>
        <row r="443">
          <cell r="A443" t="str">
            <v>Grammotaulius nitidus (Muller)</v>
          </cell>
          <cell r="B443" t="str">
            <v>Caddisflies</v>
          </cell>
          <cell r="C443" t="str">
            <v>Trichoptera</v>
          </cell>
          <cell r="D443" t="str">
            <v>Grammotaulius nitidus</v>
          </cell>
          <cell r="E443" t="str">
            <v>NT</v>
          </cell>
          <cell r="F443" t="str">
            <v>Wallace, 2016</v>
          </cell>
          <cell r="G443" t="str">
            <v>NHMSYS0020704793</v>
          </cell>
          <cell r="H443" t="str">
            <v>Grammotaulius nitidus (Muller)</v>
          </cell>
        </row>
        <row r="444">
          <cell r="A444" t="str">
            <v>Hagenella clathrata (Kolenati)</v>
          </cell>
          <cell r="B444" t="str">
            <v>Caddisflies</v>
          </cell>
          <cell r="C444" t="str">
            <v>Trichoptera</v>
          </cell>
          <cell r="D444" t="str">
            <v>Hagenella clathrata</v>
          </cell>
          <cell r="E444" t="str">
            <v>EN</v>
          </cell>
          <cell r="F444" t="str">
            <v>Wallace, 2016</v>
          </cell>
          <cell r="G444" t="str">
            <v>NBNSYS0000008428</v>
          </cell>
          <cell r="H444" t="str">
            <v>Hagenella clathrata (Kolenati)</v>
          </cell>
        </row>
        <row r="445">
          <cell r="A445" t="str">
            <v>Halesus digitatus (Schrank)</v>
          </cell>
          <cell r="B445" t="str">
            <v>Caddisflies</v>
          </cell>
          <cell r="C445" t="str">
            <v>Trichoptera</v>
          </cell>
          <cell r="D445" t="str">
            <v>Halesus digitatus</v>
          </cell>
          <cell r="E445" t="str">
            <v>LC</v>
          </cell>
          <cell r="F445" t="str">
            <v>Wallace, 2016</v>
          </cell>
          <cell r="G445" t="str">
            <v>NBNSYS0000008446</v>
          </cell>
          <cell r="H445" t="str">
            <v>Halesus digitatus (Schrank)</v>
          </cell>
        </row>
        <row r="446">
          <cell r="A446" t="str">
            <v>Halesus radiatus (Curtis)</v>
          </cell>
          <cell r="B446" t="str">
            <v>Caddisflies</v>
          </cell>
          <cell r="C446" t="str">
            <v>Trichoptera</v>
          </cell>
          <cell r="D446" t="str">
            <v>Halesus radiatus</v>
          </cell>
          <cell r="E446" t="str">
            <v>LC</v>
          </cell>
          <cell r="F446" t="str">
            <v>Wallace, 2016</v>
          </cell>
          <cell r="G446" t="str">
            <v>NBNSYS0000008447</v>
          </cell>
          <cell r="H446" t="str">
            <v>Halesus radiatus (Curtis)</v>
          </cell>
        </row>
        <row r="447">
          <cell r="A447" t="str">
            <v>Holocentropus dubius (Rambur)</v>
          </cell>
          <cell r="B447" t="str">
            <v>Caddisflies</v>
          </cell>
          <cell r="C447" t="str">
            <v>Trichoptera</v>
          </cell>
          <cell r="D447" t="str">
            <v>Holocentropus dubius</v>
          </cell>
          <cell r="E447" t="str">
            <v>LC</v>
          </cell>
          <cell r="F447" t="str">
            <v>Wallace, 2016</v>
          </cell>
          <cell r="G447" t="str">
            <v>NBNSYS0000008402</v>
          </cell>
          <cell r="H447" t="str">
            <v>Holocentropus dubius (Rambur)</v>
          </cell>
        </row>
        <row r="448">
          <cell r="A448" t="str">
            <v>Holocentropus picicornis (Stephens)</v>
          </cell>
          <cell r="B448" t="str">
            <v>Caddisflies</v>
          </cell>
          <cell r="C448" t="str">
            <v>Trichoptera</v>
          </cell>
          <cell r="D448" t="str">
            <v>Holocentropus picicornis</v>
          </cell>
          <cell r="E448" t="str">
            <v>LC</v>
          </cell>
          <cell r="F448" t="str">
            <v>Wallace, 2016</v>
          </cell>
          <cell r="G448" t="str">
            <v>NBNSYS0000008403</v>
          </cell>
          <cell r="H448" t="str">
            <v>Holocentropus picicornis (Stephens)</v>
          </cell>
        </row>
        <row r="449">
          <cell r="A449" t="str">
            <v>Holocentropus stagnalis (Albarda)</v>
          </cell>
          <cell r="B449" t="str">
            <v>Caddisflies</v>
          </cell>
          <cell r="C449" t="str">
            <v>Trichoptera</v>
          </cell>
          <cell r="D449" t="str">
            <v>Holocentropus stagnalis</v>
          </cell>
          <cell r="E449" t="str">
            <v>LC</v>
          </cell>
          <cell r="F449" t="str">
            <v>Wallace, 2016</v>
          </cell>
          <cell r="G449" t="str">
            <v>NBNSYS0000008404</v>
          </cell>
          <cell r="H449" t="str">
            <v>Holocentropus stagnalis (Albarda)</v>
          </cell>
        </row>
        <row r="450">
          <cell r="A450" t="str">
            <v>Hydatophylax infumatus (McLachlan)</v>
          </cell>
          <cell r="B450" t="str">
            <v>Caddisflies</v>
          </cell>
          <cell r="C450" t="str">
            <v>Trichoptera</v>
          </cell>
          <cell r="D450" t="str">
            <v>Hydatophylax infumatus</v>
          </cell>
          <cell r="E450" t="str">
            <v>LC</v>
          </cell>
          <cell r="F450" t="str">
            <v>Wallace, 2016</v>
          </cell>
          <cell r="G450" t="str">
            <v>NBNSYS0000008448</v>
          </cell>
          <cell r="H450" t="str">
            <v>Hydatophylax infumatus (McLachlan)</v>
          </cell>
        </row>
        <row r="451">
          <cell r="A451" t="str">
            <v>Hydropsyche angustipennis (Curtis)</v>
          </cell>
          <cell r="B451" t="str">
            <v>Caddisflies</v>
          </cell>
          <cell r="C451" t="str">
            <v>Trichoptera</v>
          </cell>
          <cell r="D451" t="str">
            <v>Hydropsyche angustipennis</v>
          </cell>
          <cell r="E451" t="str">
            <v>LC</v>
          </cell>
          <cell r="F451" t="str">
            <v>Wallace, 2016</v>
          </cell>
          <cell r="G451" t="str">
            <v>NBNSYS0000008413</v>
          </cell>
          <cell r="H451" t="str">
            <v>Hydropsyche angustipennis (Curtis)</v>
          </cell>
        </row>
        <row r="452">
          <cell r="A452" t="str">
            <v>Hydropsyche bulgaromanorum Malicky</v>
          </cell>
          <cell r="B452" t="str">
            <v>Caddisflies</v>
          </cell>
          <cell r="C452" t="str">
            <v>Trichoptera</v>
          </cell>
          <cell r="D452" t="str">
            <v>Hydropsyche bulgaromanorum</v>
          </cell>
          <cell r="E452" t="str">
            <v>CR</v>
          </cell>
          <cell r="F452" t="str">
            <v>Wallace, 2016</v>
          </cell>
          <cell r="G452" t="str">
            <v>NBNSYS0000008414</v>
          </cell>
          <cell r="H452" t="str">
            <v>Hydropsyche bulgaromanorum Malicky</v>
          </cell>
        </row>
        <row r="453">
          <cell r="A453" t="str">
            <v>Hydropsyche contubernalis McLachlan</v>
          </cell>
          <cell r="B453" t="str">
            <v>Caddisflies</v>
          </cell>
          <cell r="C453" t="str">
            <v>Trichoptera</v>
          </cell>
          <cell r="D453" t="str">
            <v>Hydropsyche contubernalis</v>
          </cell>
          <cell r="E453" t="str">
            <v>LC</v>
          </cell>
          <cell r="F453" t="str">
            <v>Wallace, 2016</v>
          </cell>
          <cell r="G453" t="str">
            <v>NBNSYS0000008415</v>
          </cell>
          <cell r="H453" t="str">
            <v>Hydropsyche contubernalis McLachlan</v>
          </cell>
        </row>
        <row r="454">
          <cell r="A454" t="str">
            <v>Hydropsyche exocellata Dufour</v>
          </cell>
          <cell r="B454" t="str">
            <v>Caddisflies</v>
          </cell>
          <cell r="C454" t="str">
            <v>Trichoptera</v>
          </cell>
          <cell r="D454" t="str">
            <v>Hydropsyche exocellata</v>
          </cell>
          <cell r="E454" t="str">
            <v>CR(PE)</v>
          </cell>
          <cell r="F454" t="str">
            <v>Wallace, 2016</v>
          </cell>
          <cell r="G454" t="str">
            <v>NBNSYS0000008416</v>
          </cell>
          <cell r="H454" t="str">
            <v>Hydropsyche exocellata Dufour</v>
          </cell>
        </row>
        <row r="455">
          <cell r="A455" t="str">
            <v>Hydropsyche fulvipes (Curtis)</v>
          </cell>
          <cell r="B455" t="str">
            <v>Caddisflies</v>
          </cell>
          <cell r="C455" t="str">
            <v>Trichoptera</v>
          </cell>
          <cell r="D455" t="str">
            <v>Hydropsyche fulvipes</v>
          </cell>
          <cell r="E455" t="str">
            <v>LC</v>
          </cell>
          <cell r="F455" t="str">
            <v>Wallace, 2016</v>
          </cell>
          <cell r="G455" t="str">
            <v>NBNSYS0000008417</v>
          </cell>
          <cell r="H455" t="str">
            <v>Hydropsyche fulvipes (Curtis)</v>
          </cell>
        </row>
        <row r="456">
          <cell r="A456" t="str">
            <v>Hydropsyche instabilis (Curtis)</v>
          </cell>
          <cell r="B456" t="str">
            <v>Caddisflies</v>
          </cell>
          <cell r="C456" t="str">
            <v>Trichoptera</v>
          </cell>
          <cell r="D456" t="str">
            <v>Hydropsyche instabilis</v>
          </cell>
          <cell r="E456" t="str">
            <v>LC</v>
          </cell>
          <cell r="F456" t="str">
            <v>Wallace, 2016</v>
          </cell>
          <cell r="G456" t="str">
            <v>NBNSYS0000008418</v>
          </cell>
          <cell r="H456" t="str">
            <v>Hydropsyche instabilis (Curtis)</v>
          </cell>
        </row>
        <row r="457">
          <cell r="A457" t="str">
            <v>Hydropsyche pellucidula (Curtis)</v>
          </cell>
          <cell r="B457" t="str">
            <v>Caddisflies</v>
          </cell>
          <cell r="C457" t="str">
            <v>Trichoptera</v>
          </cell>
          <cell r="D457" t="str">
            <v>Hydropsyche pellucidula</v>
          </cell>
          <cell r="E457" t="str">
            <v>LC</v>
          </cell>
          <cell r="F457" t="str">
            <v>Wallace, 2016</v>
          </cell>
          <cell r="G457" t="str">
            <v>NBNSYS0000008419</v>
          </cell>
          <cell r="H457" t="str">
            <v>Hydropsyche pellucidula (Curtis)</v>
          </cell>
        </row>
        <row r="458">
          <cell r="A458" t="str">
            <v>Hydropsyche saxonica McLachlan</v>
          </cell>
          <cell r="B458" t="str">
            <v>Caddisflies</v>
          </cell>
          <cell r="C458" t="str">
            <v>Trichoptera</v>
          </cell>
          <cell r="D458" t="str">
            <v>Hydropsyche saxonica</v>
          </cell>
          <cell r="E458" t="str">
            <v>LC</v>
          </cell>
          <cell r="F458" t="str">
            <v>Wallace, 2016</v>
          </cell>
          <cell r="G458" t="str">
            <v>NBNSYS0000008420</v>
          </cell>
          <cell r="H458" t="str">
            <v>Hydropsyche saxonica McLachlan</v>
          </cell>
        </row>
        <row r="459">
          <cell r="A459" t="str">
            <v>Hydropsyche siltalai Dohler</v>
          </cell>
          <cell r="B459" t="str">
            <v>Caddisflies</v>
          </cell>
          <cell r="C459" t="str">
            <v>Trichoptera</v>
          </cell>
          <cell r="D459" t="str">
            <v>Hydropsyche siltalai</v>
          </cell>
          <cell r="E459" t="str">
            <v>LC</v>
          </cell>
          <cell r="F459" t="str">
            <v>Wallace, 2016</v>
          </cell>
          <cell r="G459" t="str">
            <v>NBNSYS0000008421</v>
          </cell>
          <cell r="H459" t="str">
            <v>Hydropsyche siltalai Dohler</v>
          </cell>
        </row>
        <row r="460">
          <cell r="A460" t="str">
            <v>Hydroptila angulata Mosely</v>
          </cell>
          <cell r="B460" t="str">
            <v>Caddisflies</v>
          </cell>
          <cell r="C460" t="str">
            <v>Trichoptera</v>
          </cell>
          <cell r="D460" t="str">
            <v>Hydroptila angulata</v>
          </cell>
          <cell r="E460" t="str">
            <v>LC</v>
          </cell>
          <cell r="F460" t="str">
            <v>Wallace, 2016</v>
          </cell>
          <cell r="G460" t="str">
            <v>NBNSYS0000008352</v>
          </cell>
          <cell r="H460" t="str">
            <v>Hydroptila angulata Mosely</v>
          </cell>
        </row>
        <row r="461">
          <cell r="A461" t="str">
            <v>Hydroptila cornuta Mosely</v>
          </cell>
          <cell r="B461" t="str">
            <v>Caddisflies</v>
          </cell>
          <cell r="C461" t="str">
            <v>Trichoptera</v>
          </cell>
          <cell r="D461" t="str">
            <v>Hydroptila cornuta</v>
          </cell>
          <cell r="E461" t="str">
            <v>VU</v>
          </cell>
          <cell r="F461" t="str">
            <v>Wallace, 2016</v>
          </cell>
          <cell r="G461" t="str">
            <v>NBNSYS0000008353</v>
          </cell>
          <cell r="H461" t="str">
            <v>Hydroptila cornuta Mosely</v>
          </cell>
        </row>
        <row r="462">
          <cell r="A462" t="str">
            <v>Hydroptila forcipata (Eaton)</v>
          </cell>
          <cell r="B462" t="str">
            <v>Caddisflies</v>
          </cell>
          <cell r="C462" t="str">
            <v>Trichoptera</v>
          </cell>
          <cell r="D462" t="str">
            <v>Hydroptila forcipata</v>
          </cell>
          <cell r="E462" t="str">
            <v>LC</v>
          </cell>
          <cell r="F462" t="str">
            <v>Wallace, 2016</v>
          </cell>
          <cell r="G462" t="str">
            <v>NBNSYS0000008354</v>
          </cell>
          <cell r="H462" t="str">
            <v>Hydroptila forcipata (Eaton)</v>
          </cell>
        </row>
        <row r="463">
          <cell r="A463" t="str">
            <v>Hydroptila lotensis Mosely</v>
          </cell>
          <cell r="B463" t="str">
            <v>Caddisflies</v>
          </cell>
          <cell r="C463" t="str">
            <v>Trichoptera</v>
          </cell>
          <cell r="D463" t="str">
            <v>Hydroptila lotensis</v>
          </cell>
          <cell r="E463" t="str">
            <v>NT</v>
          </cell>
          <cell r="F463" t="str">
            <v>Wallace, 2016</v>
          </cell>
          <cell r="G463" t="str">
            <v>NBNSYS0000008355</v>
          </cell>
          <cell r="H463" t="str">
            <v>Hydroptila lotensis Mosely</v>
          </cell>
        </row>
        <row r="464">
          <cell r="A464" t="str">
            <v>Hydroptila sparsa Curtis</v>
          </cell>
          <cell r="B464" t="str">
            <v>Caddisflies</v>
          </cell>
          <cell r="C464" t="str">
            <v>Trichoptera</v>
          </cell>
          <cell r="D464" t="str">
            <v>Hydroptila sparsa</v>
          </cell>
          <cell r="E464" t="str">
            <v>LC</v>
          </cell>
          <cell r="F464" t="str">
            <v>Wallace, 2016</v>
          </cell>
          <cell r="G464" t="str">
            <v>NBNSYS0000008360</v>
          </cell>
          <cell r="H464" t="str">
            <v>Hydroptila sparsa Curtis</v>
          </cell>
        </row>
        <row r="465">
          <cell r="A465" t="str">
            <v>Hydroptila tineoides Dalman</v>
          </cell>
          <cell r="B465" t="str">
            <v>Caddisflies</v>
          </cell>
          <cell r="C465" t="str">
            <v>Trichoptera</v>
          </cell>
          <cell r="D465" t="str">
            <v>Hydroptila tineoides</v>
          </cell>
          <cell r="E465" t="str">
            <v>LC</v>
          </cell>
          <cell r="F465" t="str">
            <v>Wallace, 2016</v>
          </cell>
          <cell r="G465" t="str">
            <v>NBNSYS0000008363</v>
          </cell>
          <cell r="H465" t="str">
            <v>Hydroptila tineoides Dalman</v>
          </cell>
        </row>
        <row r="466">
          <cell r="A466" t="str">
            <v>Hydroptila vectis Curtis</v>
          </cell>
          <cell r="B466" t="str">
            <v>Caddisflies</v>
          </cell>
          <cell r="C466" t="str">
            <v>Trichoptera</v>
          </cell>
          <cell r="D466" t="str">
            <v>Hydroptila vectis</v>
          </cell>
          <cell r="E466" t="str">
            <v>LC</v>
          </cell>
          <cell r="F466" t="str">
            <v>Wallace, 2016</v>
          </cell>
          <cell r="G466" t="str">
            <v>NBNSYS0000008365</v>
          </cell>
          <cell r="H466" t="str">
            <v>Hydroptila vectis Curtis</v>
          </cell>
        </row>
        <row r="467">
          <cell r="A467" t="str">
            <v>Ironoquia dubia (Stephens)</v>
          </cell>
          <cell r="B467" t="str">
            <v>Caddisflies</v>
          </cell>
          <cell r="C467" t="str">
            <v>Trichoptera</v>
          </cell>
          <cell r="D467" t="str">
            <v>Ironoquia dubia</v>
          </cell>
          <cell r="E467" t="str">
            <v>CR</v>
          </cell>
          <cell r="F467" t="str">
            <v>Wallace, 2016</v>
          </cell>
          <cell r="G467" t="str">
            <v>NBNSYS0000008437</v>
          </cell>
          <cell r="H467" t="str">
            <v>Ironoquia dubia (Stephens)</v>
          </cell>
        </row>
        <row r="468">
          <cell r="A468" t="str">
            <v>Ithytrichia lamellaris Eaton</v>
          </cell>
          <cell r="B468" t="str">
            <v>Caddisflies</v>
          </cell>
          <cell r="C468" t="str">
            <v>Trichoptera</v>
          </cell>
          <cell r="D468" t="str">
            <v>Ithytrichia lamellaris</v>
          </cell>
          <cell r="E468" t="str">
            <v>LC</v>
          </cell>
          <cell r="F468" t="str">
            <v>Wallace, 2016</v>
          </cell>
          <cell r="G468" t="str">
            <v>NBNSYS0000008376</v>
          </cell>
          <cell r="H468" t="str">
            <v>Ithytrichia lamellaris Eaton</v>
          </cell>
        </row>
        <row r="469">
          <cell r="A469" t="str">
            <v>Lepidostoma basale (Kolenati)</v>
          </cell>
          <cell r="B469" t="str">
            <v>Caddisflies</v>
          </cell>
          <cell r="C469" t="str">
            <v>Trichoptera</v>
          </cell>
          <cell r="D469" t="str">
            <v>Lepidostoma basale</v>
          </cell>
          <cell r="E469" t="str">
            <v>LC</v>
          </cell>
          <cell r="F469" t="str">
            <v>Wallace, 2016</v>
          </cell>
          <cell r="G469" t="str">
            <v>NHMSYS0021008795</v>
          </cell>
          <cell r="H469" t="str">
            <v>Lepidostoma basale (Kolenati)</v>
          </cell>
        </row>
        <row r="470">
          <cell r="A470" t="str">
            <v>Lepidostoma hirtum (Fabricius)</v>
          </cell>
          <cell r="B470" t="str">
            <v>Caddisflies</v>
          </cell>
          <cell r="C470" t="str">
            <v>Trichoptera</v>
          </cell>
          <cell r="D470" t="str">
            <v>Lepidostoma hirtum</v>
          </cell>
          <cell r="E470" t="str">
            <v>LC</v>
          </cell>
          <cell r="F470" t="str">
            <v>Wallace, 2016</v>
          </cell>
          <cell r="G470" t="str">
            <v>NHMSYS0020704804</v>
          </cell>
          <cell r="H470" t="str">
            <v>Lepidostoma hirtum (Fabricius)</v>
          </cell>
        </row>
        <row r="471">
          <cell r="A471" t="str">
            <v>Leptocerus interruptus (Fabricius)</v>
          </cell>
          <cell r="B471" t="str">
            <v>Caddisflies</v>
          </cell>
          <cell r="C471" t="str">
            <v>Trichoptera</v>
          </cell>
          <cell r="D471" t="str">
            <v>Leptocerus interruptus</v>
          </cell>
          <cell r="E471" t="str">
            <v>VU</v>
          </cell>
          <cell r="F471" t="str">
            <v>Wallace, 2016</v>
          </cell>
          <cell r="G471" t="str">
            <v>NHMSYS0020442420</v>
          </cell>
          <cell r="H471" t="str">
            <v>Leptocerus interruptus (Fabricius)</v>
          </cell>
        </row>
        <row r="472">
          <cell r="A472" t="str">
            <v>Leptocerus lusitanicus (McLachlan)</v>
          </cell>
          <cell r="B472" t="str">
            <v>Caddisflies</v>
          </cell>
          <cell r="C472" t="str">
            <v>Trichoptera</v>
          </cell>
          <cell r="D472" t="str">
            <v>Leptocerus lusitanicus</v>
          </cell>
          <cell r="E472" t="str">
            <v>LC</v>
          </cell>
          <cell r="F472" t="str">
            <v>Wallace, 2016</v>
          </cell>
          <cell r="G472" t="str">
            <v>NBNSYS0000008523</v>
          </cell>
          <cell r="H472" t="str">
            <v>Leptocerus lusitanicus (McLachlan)</v>
          </cell>
        </row>
        <row r="473">
          <cell r="A473" t="str">
            <v>Leptocerus tineiformis Curtis</v>
          </cell>
          <cell r="B473" t="str">
            <v>Caddisflies</v>
          </cell>
          <cell r="C473" t="str">
            <v>Trichoptera</v>
          </cell>
          <cell r="D473" t="str">
            <v>Leptocerus tineiformis</v>
          </cell>
          <cell r="E473" t="str">
            <v>LC</v>
          </cell>
          <cell r="F473" t="str">
            <v>Wallace, 2016</v>
          </cell>
          <cell r="G473" t="str">
            <v>NBNSYS0000008524</v>
          </cell>
          <cell r="H473" t="str">
            <v>Leptocerus tineiformis Curtis</v>
          </cell>
        </row>
        <row r="474">
          <cell r="A474" t="str">
            <v>Limnephilus affinis Curtis</v>
          </cell>
          <cell r="B474" t="str">
            <v>Caddisflies</v>
          </cell>
          <cell r="C474" t="str">
            <v>Trichoptera</v>
          </cell>
          <cell r="D474" t="str">
            <v>Limnephilus affinis</v>
          </cell>
          <cell r="E474" t="str">
            <v>LC</v>
          </cell>
          <cell r="F474" t="str">
            <v>Wallace, 2016</v>
          </cell>
          <cell r="G474" t="str">
            <v>NBNSYS0000008466</v>
          </cell>
          <cell r="H474" t="str">
            <v>Limnephilus affinis Curtis</v>
          </cell>
        </row>
        <row r="475">
          <cell r="A475" t="str">
            <v>Limnephilus auricula Curtis</v>
          </cell>
          <cell r="B475" t="str">
            <v>Caddisflies</v>
          </cell>
          <cell r="C475" t="str">
            <v>Trichoptera</v>
          </cell>
          <cell r="D475" t="str">
            <v>Limnephilus auricula</v>
          </cell>
          <cell r="E475" t="str">
            <v>LC</v>
          </cell>
          <cell r="F475" t="str">
            <v>Wallace, 2016</v>
          </cell>
          <cell r="G475" t="str">
            <v>NBNSYS0000008467</v>
          </cell>
          <cell r="H475" t="str">
            <v>Limnephilus auricula Curtis</v>
          </cell>
        </row>
        <row r="476">
          <cell r="A476" t="str">
            <v>Limnephilus binotatus Curtis</v>
          </cell>
          <cell r="B476" t="str">
            <v>Caddisflies</v>
          </cell>
          <cell r="C476" t="str">
            <v>Trichoptera</v>
          </cell>
          <cell r="D476" t="str">
            <v>Limnephilus binotatus</v>
          </cell>
          <cell r="E476" t="str">
            <v>LC</v>
          </cell>
          <cell r="F476" t="str">
            <v>Wallace, 2016</v>
          </cell>
          <cell r="G476" t="str">
            <v>NBNSYS0000008468</v>
          </cell>
          <cell r="H476" t="str">
            <v>Limnephilus binotatus Curtis</v>
          </cell>
        </row>
        <row r="477">
          <cell r="A477" t="str">
            <v>Limnephilus bipunctatus Curtis</v>
          </cell>
          <cell r="B477" t="str">
            <v>Caddisflies</v>
          </cell>
          <cell r="C477" t="str">
            <v>Trichoptera</v>
          </cell>
          <cell r="D477" t="str">
            <v>Limnephilus bipunctatus</v>
          </cell>
          <cell r="E477" t="str">
            <v>LC</v>
          </cell>
          <cell r="F477" t="str">
            <v>Wallace, 2016</v>
          </cell>
          <cell r="G477" t="str">
            <v>NBNSYS0000008469</v>
          </cell>
          <cell r="H477" t="str">
            <v>Limnephilus bipunctatus Curtis</v>
          </cell>
        </row>
        <row r="478">
          <cell r="A478" t="str">
            <v>Limnephilus centralis Curtis</v>
          </cell>
          <cell r="B478" t="str">
            <v>Caddisflies</v>
          </cell>
          <cell r="C478" t="str">
            <v>Trichoptera</v>
          </cell>
          <cell r="D478" t="str">
            <v>Limnephilus centralis</v>
          </cell>
          <cell r="E478" t="str">
            <v>LC</v>
          </cell>
          <cell r="F478" t="str">
            <v>Wallace, 2016</v>
          </cell>
          <cell r="G478" t="str">
            <v>NBNSYS0000008471</v>
          </cell>
          <cell r="H478" t="str">
            <v>Limnephilus centralis Curtis</v>
          </cell>
        </row>
        <row r="479">
          <cell r="A479" t="str">
            <v>Limnephilus coenosus Curtis</v>
          </cell>
          <cell r="B479" t="str">
            <v>Caddisflies</v>
          </cell>
          <cell r="C479" t="str">
            <v>Trichoptera</v>
          </cell>
          <cell r="D479" t="str">
            <v>Limnephilus coenosus</v>
          </cell>
          <cell r="E479" t="str">
            <v>LC</v>
          </cell>
          <cell r="F479" t="str">
            <v>Wallace, 2016</v>
          </cell>
          <cell r="G479" t="str">
            <v>NBNSYS0000008472</v>
          </cell>
          <cell r="H479" t="str">
            <v>Limnephilus coenosus Curtis</v>
          </cell>
        </row>
        <row r="480">
          <cell r="A480" t="str">
            <v>Limnephilus decipiens (Kolenati)</v>
          </cell>
          <cell r="B480" t="str">
            <v>Caddisflies</v>
          </cell>
          <cell r="C480" t="str">
            <v>Trichoptera</v>
          </cell>
          <cell r="D480" t="str">
            <v>Limnephilus decipiens</v>
          </cell>
          <cell r="E480" t="str">
            <v>LC</v>
          </cell>
          <cell r="F480" t="str">
            <v>Wallace, 2016</v>
          </cell>
          <cell r="G480" t="str">
            <v>NBNSYS0000008473</v>
          </cell>
          <cell r="H480" t="str">
            <v>Limnephilus decipiens (Kolenati)</v>
          </cell>
        </row>
        <row r="481">
          <cell r="A481" t="str">
            <v>Limnephilus elegans Curtis</v>
          </cell>
          <cell r="B481" t="str">
            <v>Caddisflies</v>
          </cell>
          <cell r="C481" t="str">
            <v>Trichoptera</v>
          </cell>
          <cell r="D481" t="str">
            <v>Limnephilus elegans</v>
          </cell>
          <cell r="E481" t="str">
            <v>LC</v>
          </cell>
          <cell r="F481" t="str">
            <v>Wallace, 2016</v>
          </cell>
          <cell r="G481" t="str">
            <v>NBNSYS0000008474</v>
          </cell>
          <cell r="H481" t="str">
            <v>Limnephilus elegans Curtis</v>
          </cell>
        </row>
        <row r="482">
          <cell r="A482" t="str">
            <v>Limnephilus extricatus McLachlan</v>
          </cell>
          <cell r="B482" t="str">
            <v>Caddisflies</v>
          </cell>
          <cell r="C482" t="str">
            <v>Trichoptera</v>
          </cell>
          <cell r="D482" t="str">
            <v>Limnephilus extricatus</v>
          </cell>
          <cell r="E482" t="str">
            <v>LC</v>
          </cell>
          <cell r="F482" t="str">
            <v>Wallace, 2016</v>
          </cell>
          <cell r="G482" t="str">
            <v>NBNSYS0000008475</v>
          </cell>
          <cell r="H482" t="str">
            <v>Limnephilus extricatus McLachlan</v>
          </cell>
        </row>
        <row r="483">
          <cell r="A483" t="str">
            <v>Limnephilus flavicornis (Fabricius)</v>
          </cell>
          <cell r="B483" t="str">
            <v>Caddisflies</v>
          </cell>
          <cell r="C483" t="str">
            <v>Trichoptera</v>
          </cell>
          <cell r="D483" t="str">
            <v>Limnephilus flavicornis</v>
          </cell>
          <cell r="E483" t="str">
            <v>LC</v>
          </cell>
          <cell r="F483" t="str">
            <v>Wallace, 2016</v>
          </cell>
          <cell r="G483" t="str">
            <v>NHMSYS0020704807</v>
          </cell>
          <cell r="H483" t="str">
            <v>Limnephilus flavicornis (Fabricius)</v>
          </cell>
        </row>
        <row r="484">
          <cell r="A484" t="str">
            <v>Limnephilus fuscicornis (Rambur)</v>
          </cell>
          <cell r="B484" t="str">
            <v>Caddisflies</v>
          </cell>
          <cell r="C484" t="str">
            <v>Trichoptera</v>
          </cell>
          <cell r="D484" t="str">
            <v>Limnephilus fuscicornis</v>
          </cell>
          <cell r="E484" t="str">
            <v>LC</v>
          </cell>
          <cell r="F484" t="str">
            <v>Wallace, 2016</v>
          </cell>
          <cell r="G484" t="str">
            <v>NBNSYS0000008477</v>
          </cell>
          <cell r="H484" t="str">
            <v>Limnephilus fuscicornis (Rambur)</v>
          </cell>
        </row>
        <row r="485">
          <cell r="A485" t="str">
            <v>Limnephilus griseus (L.)</v>
          </cell>
          <cell r="B485" t="str">
            <v>Caddisflies</v>
          </cell>
          <cell r="C485" t="str">
            <v>Trichoptera</v>
          </cell>
          <cell r="D485" t="str">
            <v>Limnephilus griseus</v>
          </cell>
          <cell r="E485" t="str">
            <v>LC</v>
          </cell>
          <cell r="F485" t="str">
            <v>Wallace, 2016</v>
          </cell>
          <cell r="G485" t="str">
            <v>NBNSYS0000008479</v>
          </cell>
          <cell r="H485" t="str">
            <v>Limnephilus griseus (L.)</v>
          </cell>
        </row>
        <row r="486">
          <cell r="A486" t="str">
            <v>Limnephilus hirsutus (Pictet)</v>
          </cell>
          <cell r="B486" t="str">
            <v>Caddisflies</v>
          </cell>
          <cell r="C486" t="str">
            <v>Trichoptera</v>
          </cell>
          <cell r="D486" t="str">
            <v>Limnephilus hirsutus</v>
          </cell>
          <cell r="E486" t="str">
            <v>LC</v>
          </cell>
          <cell r="F486" t="str">
            <v>Wallace, 2016</v>
          </cell>
          <cell r="G486" t="str">
            <v>NBNSYS0000008480</v>
          </cell>
          <cell r="H486" t="str">
            <v>Limnephilus hirsutus (Pictet)</v>
          </cell>
        </row>
        <row r="487">
          <cell r="A487" t="str">
            <v>Limnephilus ignavus McLachlan</v>
          </cell>
          <cell r="B487" t="str">
            <v>Caddisflies</v>
          </cell>
          <cell r="C487" t="str">
            <v>Trichoptera</v>
          </cell>
          <cell r="D487" t="str">
            <v>Limnephilus ignavus</v>
          </cell>
          <cell r="E487" t="str">
            <v>LC</v>
          </cell>
          <cell r="F487" t="str">
            <v>Wallace, 2016</v>
          </cell>
          <cell r="G487" t="str">
            <v>NBNSYS0000008481</v>
          </cell>
          <cell r="H487" t="str">
            <v>Limnephilus ignavus McLachlan</v>
          </cell>
        </row>
        <row r="488">
          <cell r="A488" t="str">
            <v>Limnephilus incisus Curtis</v>
          </cell>
          <cell r="B488" t="str">
            <v>Caddisflies</v>
          </cell>
          <cell r="C488" t="str">
            <v>Trichoptera</v>
          </cell>
          <cell r="D488" t="str">
            <v>Limnephilus incisus</v>
          </cell>
          <cell r="E488" t="str">
            <v>LC</v>
          </cell>
          <cell r="F488" t="str">
            <v>Wallace, 2016</v>
          </cell>
          <cell r="G488" t="str">
            <v>NBNSYS0000008482</v>
          </cell>
          <cell r="H488" t="str">
            <v>Limnephilus incisus Curtis</v>
          </cell>
        </row>
        <row r="489">
          <cell r="A489" t="str">
            <v>Limnephilus lunatus Curtis</v>
          </cell>
          <cell r="B489" t="str">
            <v>Caddisflies</v>
          </cell>
          <cell r="C489" t="str">
            <v>Trichoptera</v>
          </cell>
          <cell r="D489" t="str">
            <v>Limnephilus lunatus</v>
          </cell>
          <cell r="E489" t="str">
            <v>LC</v>
          </cell>
          <cell r="F489" t="str">
            <v>Wallace, 2016</v>
          </cell>
          <cell r="G489" t="str">
            <v>NBNSYS0000008483</v>
          </cell>
          <cell r="H489" t="str">
            <v>Limnephilus lunatus Curtis</v>
          </cell>
        </row>
        <row r="490">
          <cell r="A490" t="str">
            <v>Limnephilus luridus Curtis</v>
          </cell>
          <cell r="B490" t="str">
            <v>Caddisflies</v>
          </cell>
          <cell r="C490" t="str">
            <v>Trichoptera</v>
          </cell>
          <cell r="D490" t="str">
            <v>Limnephilus luridus</v>
          </cell>
          <cell r="E490" t="str">
            <v>LC</v>
          </cell>
          <cell r="F490" t="str">
            <v>Wallace, 2016</v>
          </cell>
          <cell r="G490" t="str">
            <v>NBNSYS0000008484</v>
          </cell>
          <cell r="H490" t="str">
            <v>Limnephilus luridus Curtis</v>
          </cell>
        </row>
        <row r="491">
          <cell r="A491" t="str">
            <v>Limnephilus marmoratus Curtis</v>
          </cell>
          <cell r="B491" t="str">
            <v>Caddisflies</v>
          </cell>
          <cell r="C491" t="str">
            <v>Trichoptera</v>
          </cell>
          <cell r="D491" t="str">
            <v>Limnephilus marmoratus</v>
          </cell>
          <cell r="E491" t="str">
            <v>LC</v>
          </cell>
          <cell r="F491" t="str">
            <v>Wallace, 2016</v>
          </cell>
          <cell r="G491" t="str">
            <v>NBNSYS0000008485</v>
          </cell>
          <cell r="H491" t="str">
            <v>Limnephilus marmoratus Curtis</v>
          </cell>
        </row>
        <row r="492">
          <cell r="A492" t="str">
            <v>Limnephilus nigriceps (Zetterstedt)</v>
          </cell>
          <cell r="B492" t="str">
            <v>Caddisflies</v>
          </cell>
          <cell r="C492" t="str">
            <v>Trichoptera</v>
          </cell>
          <cell r="D492" t="str">
            <v>Limnephilus nigriceps</v>
          </cell>
          <cell r="E492" t="str">
            <v>LC</v>
          </cell>
          <cell r="F492" t="str">
            <v>Wallace, 2016</v>
          </cell>
          <cell r="G492" t="str">
            <v>NBNSYS0000008486</v>
          </cell>
          <cell r="H492" t="str">
            <v>Limnephilus nigriceps (Zetterstedt)</v>
          </cell>
        </row>
        <row r="493">
          <cell r="A493" t="str">
            <v>Limnephilus pati O'Connor</v>
          </cell>
          <cell r="B493" t="str">
            <v>Caddisflies</v>
          </cell>
          <cell r="C493" t="str">
            <v>Trichoptera</v>
          </cell>
          <cell r="D493" t="str">
            <v>Limnephilus pati</v>
          </cell>
          <cell r="E493" t="str">
            <v>CR(PE)</v>
          </cell>
          <cell r="F493" t="str">
            <v>Wallace, 2016</v>
          </cell>
          <cell r="G493" t="str">
            <v>NBNSYS0000008487</v>
          </cell>
          <cell r="H493" t="str">
            <v>Limnephilus pati O'Connor</v>
          </cell>
        </row>
        <row r="494">
          <cell r="A494" t="str">
            <v>Limnephilus politus McLachlan</v>
          </cell>
          <cell r="B494" t="str">
            <v>Caddisflies</v>
          </cell>
          <cell r="C494" t="str">
            <v>Trichoptera</v>
          </cell>
          <cell r="D494" t="str">
            <v>Limnephilus politus</v>
          </cell>
          <cell r="E494" t="str">
            <v>LC</v>
          </cell>
          <cell r="F494" t="str">
            <v>Wallace, 2016</v>
          </cell>
          <cell r="G494" t="str">
            <v>NBNSYS0000008488</v>
          </cell>
          <cell r="H494" t="str">
            <v>Limnephilus politus McLachlan</v>
          </cell>
        </row>
        <row r="495">
          <cell r="A495" t="str">
            <v>Limnephilus rhombicus (L.)</v>
          </cell>
          <cell r="B495" t="str">
            <v>Caddisflies</v>
          </cell>
          <cell r="C495" t="str">
            <v>Trichoptera</v>
          </cell>
          <cell r="D495" t="str">
            <v>Limnephilus rhombicus</v>
          </cell>
          <cell r="E495" t="str">
            <v>LC</v>
          </cell>
          <cell r="F495" t="str">
            <v>Wallace, 2016</v>
          </cell>
          <cell r="G495" t="str">
            <v>NBNSYS0000008489</v>
          </cell>
          <cell r="H495" t="str">
            <v>Limnephilus rhombicus (L.)</v>
          </cell>
        </row>
        <row r="496">
          <cell r="A496" t="str">
            <v>Limnephilus sparsus Curtis</v>
          </cell>
          <cell r="B496" t="str">
            <v>Caddisflies</v>
          </cell>
          <cell r="C496" t="str">
            <v>Trichoptera</v>
          </cell>
          <cell r="D496" t="str">
            <v>Limnephilus sparsus</v>
          </cell>
          <cell r="E496" t="str">
            <v>LC</v>
          </cell>
          <cell r="F496" t="str">
            <v>Wallace, 2016</v>
          </cell>
          <cell r="G496" t="str">
            <v>NBNSYS0000008490</v>
          </cell>
          <cell r="H496" t="str">
            <v>Limnephilus sparsus Curtis</v>
          </cell>
        </row>
        <row r="497">
          <cell r="A497" t="str">
            <v>Limnephilus stigma Curtis</v>
          </cell>
          <cell r="B497" t="str">
            <v>Caddisflies</v>
          </cell>
          <cell r="C497" t="str">
            <v>Trichoptera</v>
          </cell>
          <cell r="D497" t="str">
            <v>Limnephilus stigma</v>
          </cell>
          <cell r="E497" t="str">
            <v>LC</v>
          </cell>
          <cell r="F497" t="str">
            <v>Wallace, 2016</v>
          </cell>
          <cell r="G497" t="str">
            <v>NBNSYS0000008491</v>
          </cell>
          <cell r="H497" t="str">
            <v>Limnephilus stigma Curtis</v>
          </cell>
        </row>
        <row r="498">
          <cell r="A498" t="str">
            <v>Limnephilus tauricus Schmid</v>
          </cell>
          <cell r="B498" t="str">
            <v>Caddisflies</v>
          </cell>
          <cell r="C498" t="str">
            <v>Trichoptera</v>
          </cell>
          <cell r="D498" t="str">
            <v>Limnephilus tauricus</v>
          </cell>
          <cell r="E498" t="str">
            <v>VU</v>
          </cell>
          <cell r="F498" t="str">
            <v>Wallace, 2016</v>
          </cell>
          <cell r="G498" t="str">
            <v>NBNSYS0000008493</v>
          </cell>
          <cell r="H498" t="str">
            <v>Limnephilus tauricus Schmid</v>
          </cell>
        </row>
        <row r="499">
          <cell r="A499" t="str">
            <v>Limnephilus vittatus (Fabricius)</v>
          </cell>
          <cell r="B499" t="str">
            <v>Caddisflies</v>
          </cell>
          <cell r="C499" t="str">
            <v>Trichoptera</v>
          </cell>
          <cell r="D499" t="str">
            <v>Limnephilus vittatus</v>
          </cell>
          <cell r="E499" t="str">
            <v>LC</v>
          </cell>
          <cell r="F499" t="str">
            <v>Wallace, 2016</v>
          </cell>
          <cell r="G499" t="str">
            <v>NHMSYS0020704808</v>
          </cell>
          <cell r="H499" t="str">
            <v>Limnephilus vittatus (Fabricius)</v>
          </cell>
        </row>
        <row r="500">
          <cell r="A500" t="str">
            <v>Lype phaeopa (Stephens)</v>
          </cell>
          <cell r="B500" t="str">
            <v>Caddisflies</v>
          </cell>
          <cell r="C500" t="str">
            <v>Trichoptera</v>
          </cell>
          <cell r="D500" t="str">
            <v>Lype phaeopa</v>
          </cell>
          <cell r="E500" t="str">
            <v>LC</v>
          </cell>
          <cell r="F500" t="str">
            <v>Wallace, 2016</v>
          </cell>
          <cell r="G500" t="str">
            <v>NBNSYS0000008385</v>
          </cell>
          <cell r="H500" t="str">
            <v>Lype phaeopa (Stephens)</v>
          </cell>
        </row>
        <row r="501">
          <cell r="A501" t="str">
            <v>Lype reducta (Hagen)</v>
          </cell>
          <cell r="B501" t="str">
            <v>Caddisflies</v>
          </cell>
          <cell r="C501" t="str">
            <v>Trichoptera</v>
          </cell>
          <cell r="D501" t="str">
            <v>Lype reducta</v>
          </cell>
          <cell r="E501" t="str">
            <v>LC</v>
          </cell>
          <cell r="F501" t="str">
            <v>Wallace, 2016</v>
          </cell>
          <cell r="G501" t="str">
            <v>NBNSYS0000008386</v>
          </cell>
          <cell r="H501" t="str">
            <v>Lype reducta (Hagen)</v>
          </cell>
        </row>
        <row r="502">
          <cell r="A502" t="str">
            <v>Melampophylax mucoreus (Hagen)</v>
          </cell>
          <cell r="B502" t="str">
            <v>Caddisflies</v>
          </cell>
          <cell r="C502" t="str">
            <v>Trichoptera</v>
          </cell>
          <cell r="D502" t="str">
            <v>Melampophylax mucoreus</v>
          </cell>
          <cell r="E502" t="str">
            <v>LC</v>
          </cell>
          <cell r="F502" t="str">
            <v>Wallace, 2016</v>
          </cell>
          <cell r="G502" t="str">
            <v>NBNSYS0000008449</v>
          </cell>
          <cell r="H502" t="str">
            <v>Melampophylax mucoreus (Hagen)</v>
          </cell>
        </row>
        <row r="503">
          <cell r="A503" t="str">
            <v>Mesophylax impunctatus zetlandicus McLachlan</v>
          </cell>
          <cell r="B503" t="str">
            <v>Caddisflies</v>
          </cell>
          <cell r="C503" t="str">
            <v>Trichoptera</v>
          </cell>
          <cell r="D503" t="str">
            <v>Mesophylax impunctatus (subsp.) zetlandicus</v>
          </cell>
          <cell r="E503" t="str">
            <v>NT</v>
          </cell>
          <cell r="F503" t="str">
            <v>Wallace, 2016</v>
          </cell>
          <cell r="G503" t="str">
            <v>NBNSYS0000008453</v>
          </cell>
          <cell r="H503" t="str">
            <v>Mesophylax impunctatus zetlandicus McLachlan</v>
          </cell>
        </row>
        <row r="504">
          <cell r="A504" t="str">
            <v>Micropterna lateralis (Stephens)</v>
          </cell>
          <cell r="B504" t="str">
            <v>Caddisflies</v>
          </cell>
          <cell r="C504" t="str">
            <v>Trichoptera</v>
          </cell>
          <cell r="D504" t="str">
            <v>Micropterna lateralis</v>
          </cell>
          <cell r="E504" t="str">
            <v>LC</v>
          </cell>
          <cell r="F504" t="str">
            <v>Wallace, 2016</v>
          </cell>
          <cell r="G504" t="str">
            <v>NBNSYS0000008454</v>
          </cell>
          <cell r="H504" t="str">
            <v>Micropterna lateralis (Stephens)</v>
          </cell>
        </row>
        <row r="505">
          <cell r="A505" t="str">
            <v>Micropterna sequax McLachlan</v>
          </cell>
          <cell r="B505" t="str">
            <v>Caddisflies</v>
          </cell>
          <cell r="C505" t="str">
            <v>Trichoptera</v>
          </cell>
          <cell r="D505" t="str">
            <v>Micropterna sequax</v>
          </cell>
          <cell r="E505" t="str">
            <v>LC</v>
          </cell>
          <cell r="F505" t="str">
            <v>Wallace, 2016</v>
          </cell>
          <cell r="G505" t="str">
            <v>NBNSYS0000008455</v>
          </cell>
          <cell r="H505" t="str">
            <v>Micropterna sequax McLachlan</v>
          </cell>
        </row>
        <row r="506">
          <cell r="A506" t="str">
            <v>Molanna albicans (Zetterstedt)</v>
          </cell>
          <cell r="B506" t="str">
            <v>Caddisflies</v>
          </cell>
          <cell r="C506" t="str">
            <v>Trichoptera</v>
          </cell>
          <cell r="D506" t="str">
            <v>Molanna albicans</v>
          </cell>
          <cell r="E506" t="str">
            <v>LC</v>
          </cell>
          <cell r="F506" t="str">
            <v>Wallace, 2016</v>
          </cell>
          <cell r="G506" t="str">
            <v>NBNSYS0000008508</v>
          </cell>
          <cell r="H506" t="str">
            <v>Molanna albicans (Zetterstedt)</v>
          </cell>
        </row>
        <row r="507">
          <cell r="A507" t="str">
            <v>Molanna angustata Curtis</v>
          </cell>
          <cell r="B507" t="str">
            <v>Caddisflies</v>
          </cell>
          <cell r="C507" t="str">
            <v>Trichoptera</v>
          </cell>
          <cell r="D507" t="str">
            <v>Molanna angustata</v>
          </cell>
          <cell r="E507" t="str">
            <v>LC</v>
          </cell>
          <cell r="F507" t="str">
            <v>Wallace, 2016</v>
          </cell>
          <cell r="G507" t="str">
            <v>NBNSYS0000008509</v>
          </cell>
          <cell r="H507" t="str">
            <v>Molanna angustata Curtis</v>
          </cell>
        </row>
        <row r="508">
          <cell r="A508" t="str">
            <v>Mystacides azurea (L.)</v>
          </cell>
          <cell r="B508" t="str">
            <v>Caddisflies</v>
          </cell>
          <cell r="C508" t="str">
            <v>Trichoptera</v>
          </cell>
          <cell r="D508" t="str">
            <v>Mystacides azurea</v>
          </cell>
          <cell r="E508" t="str">
            <v>LC</v>
          </cell>
          <cell r="F508" t="str">
            <v>Wallace, 2016</v>
          </cell>
          <cell r="G508" t="str">
            <v>NBNSYS0000008525</v>
          </cell>
          <cell r="H508" t="str">
            <v>Mystacides azurea (L.)</v>
          </cell>
        </row>
        <row r="509">
          <cell r="A509" t="str">
            <v>Mystacides longicornis (L.)</v>
          </cell>
          <cell r="B509" t="str">
            <v>Caddisflies</v>
          </cell>
          <cell r="C509" t="str">
            <v>Trichoptera</v>
          </cell>
          <cell r="D509" t="str">
            <v>Mystacides longicornis</v>
          </cell>
          <cell r="E509" t="str">
            <v>LC</v>
          </cell>
          <cell r="F509" t="str">
            <v>Wallace, 2016</v>
          </cell>
          <cell r="G509" t="str">
            <v>NBNSYS0000008526</v>
          </cell>
          <cell r="H509" t="str">
            <v>Mystacides longicornis (L.)</v>
          </cell>
        </row>
        <row r="510">
          <cell r="A510" t="str">
            <v>Mystacides nigra (L.)</v>
          </cell>
          <cell r="B510" t="str">
            <v>Caddisflies</v>
          </cell>
          <cell r="C510" t="str">
            <v>Trichoptera</v>
          </cell>
          <cell r="D510" t="str">
            <v>Mystacides nigra</v>
          </cell>
          <cell r="E510" t="str">
            <v>LC</v>
          </cell>
          <cell r="F510" t="str">
            <v>Wallace, 2016</v>
          </cell>
          <cell r="G510" t="str">
            <v>NBNSYS0000008527</v>
          </cell>
          <cell r="H510" t="str">
            <v>Mystacides nigra (L.)</v>
          </cell>
        </row>
        <row r="511">
          <cell r="A511" t="str">
            <v>Neureclipsis bimaculata (L.)</v>
          </cell>
          <cell r="B511" t="str">
            <v>Caddisflies</v>
          </cell>
          <cell r="C511" t="str">
            <v>Trichoptera</v>
          </cell>
          <cell r="D511" t="str">
            <v>Neureclipsis bimaculata</v>
          </cell>
          <cell r="E511" t="str">
            <v>LC</v>
          </cell>
          <cell r="F511" t="str">
            <v>Wallace, 2016</v>
          </cell>
          <cell r="G511" t="str">
            <v>NBNSYS0000008405</v>
          </cell>
          <cell r="H511" t="str">
            <v>Neureclipsis bimaculata (L.)</v>
          </cell>
        </row>
        <row r="512">
          <cell r="A512" t="str">
            <v>Notidobia ciliaris (L.) </v>
          </cell>
          <cell r="B512" t="str">
            <v>Caddisflies</v>
          </cell>
          <cell r="C512" t="str">
            <v>Trichoptera</v>
          </cell>
          <cell r="D512" t="str">
            <v>Notidobia ciliaris</v>
          </cell>
          <cell r="E512" t="str">
            <v>LC</v>
          </cell>
          <cell r="F512" t="str">
            <v>Wallace, 2016</v>
          </cell>
          <cell r="G512" t="str">
            <v>NBNSYS0000008505</v>
          </cell>
          <cell r="H512" t="str">
            <v>Notidobia ciliaris (L.) </v>
          </cell>
        </row>
        <row r="513">
          <cell r="A513" t="str">
            <v>Odontocerum albicorne (Scopoli)</v>
          </cell>
          <cell r="B513" t="str">
            <v>Caddisflies</v>
          </cell>
          <cell r="C513" t="str">
            <v>Trichoptera</v>
          </cell>
          <cell r="D513" t="str">
            <v>Odontocerum albicorne</v>
          </cell>
          <cell r="E513" t="str">
            <v>LC</v>
          </cell>
          <cell r="F513" t="str">
            <v>Wallace, 2016</v>
          </cell>
          <cell r="G513" t="str">
            <v>NBNSYS0000008507</v>
          </cell>
          <cell r="H513" t="str">
            <v>Odontocerum albicorne (Scopoli)</v>
          </cell>
        </row>
        <row r="514">
          <cell r="A514" t="str">
            <v>Oecetis furva (Rambur)</v>
          </cell>
          <cell r="B514" t="str">
            <v>Caddisflies</v>
          </cell>
          <cell r="C514" t="str">
            <v>Trichoptera</v>
          </cell>
          <cell r="D514" t="str">
            <v>Oecetis furva</v>
          </cell>
          <cell r="E514" t="str">
            <v>LC</v>
          </cell>
          <cell r="F514" t="str">
            <v>Wallace, 2016</v>
          </cell>
          <cell r="G514" t="str">
            <v>NBNSYS0000008535</v>
          </cell>
          <cell r="H514" t="str">
            <v>Oecetis furva (Rambur)</v>
          </cell>
        </row>
        <row r="515">
          <cell r="A515" t="str">
            <v>Oecetis lacustris (Pictet)</v>
          </cell>
          <cell r="B515" t="str">
            <v>Caddisflies</v>
          </cell>
          <cell r="C515" t="str">
            <v>Trichoptera</v>
          </cell>
          <cell r="D515" t="str">
            <v>Oecetis lacustris</v>
          </cell>
          <cell r="E515" t="str">
            <v>LC</v>
          </cell>
          <cell r="F515" t="str">
            <v>Wallace, 2016</v>
          </cell>
          <cell r="G515" t="str">
            <v>NBNSYS0000008536</v>
          </cell>
          <cell r="H515" t="str">
            <v>Oecetis lacustris (Pictet)</v>
          </cell>
        </row>
        <row r="516">
          <cell r="A516" t="str">
            <v>Oecetis notata (Rambur)</v>
          </cell>
          <cell r="B516" t="str">
            <v>Caddisflies</v>
          </cell>
          <cell r="C516" t="str">
            <v>Trichoptera</v>
          </cell>
          <cell r="D516" t="str">
            <v>Oecetis notata</v>
          </cell>
          <cell r="E516" t="str">
            <v>LC</v>
          </cell>
          <cell r="F516" t="str">
            <v>Wallace, 2016</v>
          </cell>
          <cell r="G516" t="str">
            <v>NBNSYS0000008537</v>
          </cell>
          <cell r="H516" t="str">
            <v>Oecetis notata (Rambur)</v>
          </cell>
        </row>
        <row r="517">
          <cell r="A517" t="str">
            <v>Oecetis ochracea (Curtis)</v>
          </cell>
          <cell r="B517" t="str">
            <v>Caddisflies</v>
          </cell>
          <cell r="C517" t="str">
            <v>Trichoptera</v>
          </cell>
          <cell r="D517" t="str">
            <v>Oecetis ochracea</v>
          </cell>
          <cell r="E517" t="str">
            <v>LC</v>
          </cell>
          <cell r="F517" t="str">
            <v>Wallace, 2016</v>
          </cell>
          <cell r="G517" t="str">
            <v>NBNSYS0000008538</v>
          </cell>
          <cell r="H517" t="str">
            <v>Oecetis ochracea (Curtis)</v>
          </cell>
        </row>
        <row r="518">
          <cell r="A518" t="str">
            <v>Oecetis testacea (Curtis)</v>
          </cell>
          <cell r="B518" t="str">
            <v>Caddisflies</v>
          </cell>
          <cell r="C518" t="str">
            <v>Trichoptera</v>
          </cell>
          <cell r="D518" t="str">
            <v>Oecetis testacea</v>
          </cell>
          <cell r="E518" t="str">
            <v>LC</v>
          </cell>
          <cell r="F518" t="str">
            <v>Wallace, 2016</v>
          </cell>
          <cell r="G518" t="str">
            <v>NBNSYS0000008539</v>
          </cell>
          <cell r="H518" t="str">
            <v>Oecetis testacea (Curtis)</v>
          </cell>
        </row>
        <row r="519">
          <cell r="A519" t="str">
            <v>Oligotricha striata (L.)</v>
          </cell>
          <cell r="B519" t="str">
            <v>Caddisflies</v>
          </cell>
          <cell r="C519" t="str">
            <v>Trichoptera</v>
          </cell>
          <cell r="D519" t="str">
            <v>Oligotricha striata</v>
          </cell>
          <cell r="E519" t="str">
            <v>LC</v>
          </cell>
          <cell r="F519" t="str">
            <v>Wallace, 2016</v>
          </cell>
          <cell r="G519" t="str">
            <v>NBNSYS0000008429</v>
          </cell>
          <cell r="H519" t="str">
            <v>Oligotricha striata (L.)</v>
          </cell>
        </row>
        <row r="520">
          <cell r="A520" t="str">
            <v>Orthotrichia costalis (Curtis)</v>
          </cell>
          <cell r="B520" t="str">
            <v>Caddisflies</v>
          </cell>
          <cell r="C520" t="str">
            <v>Trichoptera</v>
          </cell>
          <cell r="D520" t="str">
            <v>Orthotrichia costalis</v>
          </cell>
          <cell r="E520" t="str">
            <v>LC</v>
          </cell>
          <cell r="F520" t="str">
            <v>Wallace, 2016</v>
          </cell>
          <cell r="G520" t="str">
            <v>NBNSYS0000008378</v>
          </cell>
          <cell r="H520" t="str">
            <v>Orthotrichia costalis (Curtis)</v>
          </cell>
        </row>
        <row r="521">
          <cell r="A521" t="str">
            <v>Oxyethira falcata Morton</v>
          </cell>
          <cell r="B521" t="str">
            <v>Caddisflies</v>
          </cell>
          <cell r="C521" t="str">
            <v>Trichoptera</v>
          </cell>
          <cell r="D521" t="str">
            <v>Oxyethira falcata</v>
          </cell>
          <cell r="E521" t="str">
            <v>LC</v>
          </cell>
          <cell r="F521" t="str">
            <v>Wallace, 2016</v>
          </cell>
          <cell r="G521" t="str">
            <v>NBNSYS0000008367</v>
          </cell>
          <cell r="H521" t="str">
            <v>Oxyethira falcata Morton</v>
          </cell>
        </row>
        <row r="522">
          <cell r="A522" t="str">
            <v>Oxyethira flavicornis (Pictet)</v>
          </cell>
          <cell r="B522" t="str">
            <v>Caddisflies</v>
          </cell>
          <cell r="C522" t="str">
            <v>Trichoptera</v>
          </cell>
          <cell r="D522" t="str">
            <v>Oxyethira flavicornis</v>
          </cell>
          <cell r="E522" t="str">
            <v>LC</v>
          </cell>
          <cell r="F522" t="str">
            <v>Wallace, 2016</v>
          </cell>
          <cell r="G522" t="str">
            <v>NBNSYS0000008368</v>
          </cell>
          <cell r="H522" t="str">
            <v>Oxyethira flavicornis (Pictet)</v>
          </cell>
        </row>
        <row r="523">
          <cell r="A523" t="str">
            <v>Oxyethira frici Klapalek</v>
          </cell>
          <cell r="B523" t="str">
            <v>Caddisflies</v>
          </cell>
          <cell r="C523" t="str">
            <v>Trichoptera</v>
          </cell>
          <cell r="D523" t="str">
            <v>Oxyethira frici</v>
          </cell>
          <cell r="E523" t="str">
            <v>LC</v>
          </cell>
          <cell r="F523" t="str">
            <v>Wallace, 2016</v>
          </cell>
          <cell r="G523" t="str">
            <v>NBNSYS0000008369</v>
          </cell>
          <cell r="H523" t="str">
            <v>Oxyethira frici Klapalek</v>
          </cell>
        </row>
        <row r="524">
          <cell r="A524" t="str">
            <v>Oxyethira mirabilis Morton</v>
          </cell>
          <cell r="B524" t="str">
            <v>Caddisflies</v>
          </cell>
          <cell r="C524" t="str">
            <v>Trichoptera</v>
          </cell>
          <cell r="D524" t="str">
            <v>Oxyethira mirabilis</v>
          </cell>
          <cell r="E524" t="str">
            <v>LC</v>
          </cell>
          <cell r="F524" t="str">
            <v>Wallace, 2016</v>
          </cell>
          <cell r="G524" t="str">
            <v>NBNSYS0000008370</v>
          </cell>
          <cell r="H524" t="str">
            <v>Oxyethira mirabilis Morton</v>
          </cell>
        </row>
        <row r="525">
          <cell r="A525" t="str">
            <v>Oxyethira simplex Ris</v>
          </cell>
          <cell r="B525" t="str">
            <v>Caddisflies</v>
          </cell>
          <cell r="C525" t="str">
            <v>Trichoptera</v>
          </cell>
          <cell r="D525" t="str">
            <v>Oxyethira simplex</v>
          </cell>
          <cell r="E525" t="str">
            <v>LC</v>
          </cell>
          <cell r="F525" t="str">
            <v>Wallace, 2016</v>
          </cell>
          <cell r="G525" t="str">
            <v>NBNSYS0000008372</v>
          </cell>
          <cell r="H525" t="str">
            <v>Oxyethira simplex Ris</v>
          </cell>
        </row>
        <row r="526">
          <cell r="A526" t="str">
            <v>Philopotamus montanus (Donovan)</v>
          </cell>
          <cell r="B526" t="str">
            <v>Caddisflies</v>
          </cell>
          <cell r="C526" t="str">
            <v>Trichoptera</v>
          </cell>
          <cell r="D526" t="str">
            <v>Philopotamus montanus</v>
          </cell>
          <cell r="E526" t="str">
            <v>LC</v>
          </cell>
          <cell r="F526" t="str">
            <v>Wallace, 2016</v>
          </cell>
          <cell r="G526" t="str">
            <v>NBNSYS0000008380</v>
          </cell>
          <cell r="H526" t="str">
            <v>Philopotamus montanus (Donovan)</v>
          </cell>
        </row>
        <row r="527">
          <cell r="A527" t="str">
            <v>Phryganea bipunctata Retzius</v>
          </cell>
          <cell r="B527" t="str">
            <v>Caddisflies</v>
          </cell>
          <cell r="C527" t="str">
            <v>Trichoptera</v>
          </cell>
          <cell r="D527" t="str">
            <v>Phryganea bipunctata</v>
          </cell>
          <cell r="E527" t="str">
            <v>LC</v>
          </cell>
          <cell r="F527" t="str">
            <v>Wallace, 2016</v>
          </cell>
          <cell r="G527" t="str">
            <v>NBNSYS0000008430</v>
          </cell>
          <cell r="H527" t="str">
            <v>Phryganea bipunctata Retzius</v>
          </cell>
        </row>
        <row r="528">
          <cell r="A528" t="str">
            <v>Phryganea grandis L.</v>
          </cell>
          <cell r="B528" t="str">
            <v>Caddisflies</v>
          </cell>
          <cell r="C528" t="str">
            <v>Trichoptera</v>
          </cell>
          <cell r="D528" t="str">
            <v>Phryganea grandis</v>
          </cell>
          <cell r="E528" t="str">
            <v>LC</v>
          </cell>
          <cell r="F528" t="str">
            <v>Wallace, 2016</v>
          </cell>
          <cell r="G528" t="str">
            <v>NBNSYS0000008431</v>
          </cell>
          <cell r="H528" t="str">
            <v>Phryganea grandis L.</v>
          </cell>
        </row>
        <row r="529">
          <cell r="A529" t="str">
            <v>Plectrocnemia brevis McLachlan</v>
          </cell>
          <cell r="B529" t="str">
            <v>Caddisflies</v>
          </cell>
          <cell r="C529" t="str">
            <v>Trichoptera</v>
          </cell>
          <cell r="D529" t="str">
            <v>Plectrocnemia brevis</v>
          </cell>
          <cell r="E529" t="str">
            <v>LC</v>
          </cell>
          <cell r="F529" t="str">
            <v>Wallace, 2016</v>
          </cell>
          <cell r="G529" t="str">
            <v>NBNSYS0000008406</v>
          </cell>
          <cell r="H529" t="str">
            <v>Plectrocnemia brevis McLachlan</v>
          </cell>
        </row>
        <row r="530">
          <cell r="A530" t="str">
            <v>Plectrocnemia conspersa (Curtis)</v>
          </cell>
          <cell r="B530" t="str">
            <v>Caddisflies</v>
          </cell>
          <cell r="C530" t="str">
            <v>Trichoptera</v>
          </cell>
          <cell r="D530" t="str">
            <v>Plectrocnemia conspersa</v>
          </cell>
          <cell r="E530" t="str">
            <v>LC</v>
          </cell>
          <cell r="F530" t="str">
            <v>Wallace, 2016</v>
          </cell>
          <cell r="G530" t="str">
            <v>NBNSYS0000008407</v>
          </cell>
          <cell r="H530" t="str">
            <v>Plectrocnemia conspersa (Curtis)</v>
          </cell>
        </row>
        <row r="531">
          <cell r="A531" t="str">
            <v>Plectrocnemia geniculata McLachlan</v>
          </cell>
          <cell r="B531" t="str">
            <v>Caddisflies</v>
          </cell>
          <cell r="C531" t="str">
            <v>Trichoptera</v>
          </cell>
          <cell r="D531" t="str">
            <v>Plectrocnemia geniculata</v>
          </cell>
          <cell r="E531" t="str">
            <v>LC</v>
          </cell>
          <cell r="F531" t="str">
            <v>Wallace, 2016</v>
          </cell>
          <cell r="G531" t="str">
            <v>NBNSYS0000008408</v>
          </cell>
          <cell r="H531" t="str">
            <v>Plectrocnemia geniculata McLachlan</v>
          </cell>
        </row>
        <row r="532">
          <cell r="A532" t="str">
            <v>Polycentropus flavomaculatus (Pictet)</v>
          </cell>
          <cell r="B532" t="str">
            <v>Caddisflies</v>
          </cell>
          <cell r="C532" t="str">
            <v>Trichoptera</v>
          </cell>
          <cell r="D532" t="str">
            <v>Polycentropus flavomaculatus</v>
          </cell>
          <cell r="E532" t="str">
            <v>LC</v>
          </cell>
          <cell r="F532" t="str">
            <v>Wallace, 2016</v>
          </cell>
          <cell r="G532" t="str">
            <v>NBNSYS0000008409</v>
          </cell>
          <cell r="H532" t="str">
            <v>Polycentropus flavomaculatus (Pictet)</v>
          </cell>
        </row>
        <row r="533">
          <cell r="A533" t="str">
            <v>Polycentropus irroratus (Curtis)</v>
          </cell>
          <cell r="B533" t="str">
            <v>Caddisflies</v>
          </cell>
          <cell r="C533" t="str">
            <v>Trichoptera</v>
          </cell>
          <cell r="D533" t="str">
            <v>Polycentropus irroratus</v>
          </cell>
          <cell r="E533" t="str">
            <v>LC</v>
          </cell>
          <cell r="F533" t="str">
            <v>Wallace, 2016</v>
          </cell>
          <cell r="G533" t="str">
            <v>NBNSYS0000008410</v>
          </cell>
          <cell r="H533" t="str">
            <v>Polycentropus irroratus (Curtis)</v>
          </cell>
        </row>
        <row r="534">
          <cell r="A534" t="str">
            <v>Polycentropus kingi McLachlan</v>
          </cell>
          <cell r="B534" t="str">
            <v>Caddisflies</v>
          </cell>
          <cell r="C534" t="str">
            <v>Trichoptera</v>
          </cell>
          <cell r="D534" t="str">
            <v>Polycentropus kingi</v>
          </cell>
          <cell r="E534" t="str">
            <v>LC</v>
          </cell>
          <cell r="F534" t="str">
            <v>Wallace, 2016</v>
          </cell>
          <cell r="G534" t="str">
            <v>NBNSYS0000008411</v>
          </cell>
          <cell r="H534" t="str">
            <v>Polycentropus kingi McLachlan</v>
          </cell>
        </row>
        <row r="535">
          <cell r="A535" t="str">
            <v>Potamophylax cingulatus (Stephens)</v>
          </cell>
          <cell r="B535" t="str">
            <v>Caddisflies</v>
          </cell>
          <cell r="C535" t="str">
            <v>Trichoptera</v>
          </cell>
          <cell r="D535" t="str">
            <v>Potamophylax cingulatus</v>
          </cell>
          <cell r="E535" t="str">
            <v>LC</v>
          </cell>
          <cell r="F535" t="str">
            <v>Wallace, 2016</v>
          </cell>
          <cell r="G535" t="str">
            <v>NBNSYS0000008456</v>
          </cell>
          <cell r="H535" t="str">
            <v>Potamophylax cingulatus (Stephens)</v>
          </cell>
        </row>
        <row r="536">
          <cell r="A536" t="str">
            <v>Potamophylax latipennis (Curtis)</v>
          </cell>
          <cell r="B536" t="str">
            <v>Caddisflies</v>
          </cell>
          <cell r="C536" t="str">
            <v>Trichoptera</v>
          </cell>
          <cell r="D536" t="str">
            <v>Potamophylax latipennis</v>
          </cell>
          <cell r="E536" t="str">
            <v>LC</v>
          </cell>
          <cell r="F536" t="str">
            <v>Wallace, 2016</v>
          </cell>
          <cell r="G536" t="str">
            <v>NBNSYS0000008457</v>
          </cell>
          <cell r="H536" t="str">
            <v>Potamophylax latipennis (Curtis)</v>
          </cell>
        </row>
        <row r="537">
          <cell r="A537" t="str">
            <v>Psychomyia pusilla (Fabricius)</v>
          </cell>
          <cell r="B537" t="str">
            <v>Caddisflies</v>
          </cell>
          <cell r="C537" t="str">
            <v>Trichoptera</v>
          </cell>
          <cell r="D537" t="str">
            <v>Psychomyia pusilla</v>
          </cell>
          <cell r="E537" t="str">
            <v>LC</v>
          </cell>
          <cell r="F537" t="str">
            <v>Wallace, 2016</v>
          </cell>
          <cell r="G537" t="str">
            <v>NHMSYS0020704831</v>
          </cell>
          <cell r="H537" t="str">
            <v>Psychomyia pusilla (Fabricius)</v>
          </cell>
        </row>
        <row r="538">
          <cell r="A538" t="str">
            <v>Rhadicoleptus alpestris (Kolenati)</v>
          </cell>
          <cell r="B538" t="str">
            <v>Caddisflies</v>
          </cell>
          <cell r="C538" t="str">
            <v>Trichoptera</v>
          </cell>
          <cell r="D538" t="str">
            <v>Rhadicoleptus alpestris</v>
          </cell>
          <cell r="E538" t="str">
            <v>LC</v>
          </cell>
          <cell r="F538" t="str">
            <v>Wallace, 2016</v>
          </cell>
          <cell r="G538" t="str">
            <v>NBNSYS0000008497</v>
          </cell>
          <cell r="H538" t="str">
            <v>Rhadicoleptus alpestris (Kolenati)</v>
          </cell>
        </row>
        <row r="539">
          <cell r="A539" t="str">
            <v>Rhyacophila dorsalis (Curtis)</v>
          </cell>
          <cell r="B539" t="str">
            <v>Caddisflies</v>
          </cell>
          <cell r="C539" t="str">
            <v>Trichoptera</v>
          </cell>
          <cell r="D539" t="str">
            <v>Rhyacophila dorsalis</v>
          </cell>
          <cell r="E539" t="str">
            <v>LC</v>
          </cell>
          <cell r="F539" t="str">
            <v>Wallace, 2016</v>
          </cell>
          <cell r="G539" t="str">
            <v>NBNSYS0000008339</v>
          </cell>
          <cell r="H539" t="str">
            <v>Rhyacophila dorsalis (Curtis)</v>
          </cell>
        </row>
        <row r="540">
          <cell r="A540" t="str">
            <v>Rhyacophila fasciata Hagen</v>
          </cell>
          <cell r="B540" t="str">
            <v>Caddisflies</v>
          </cell>
          <cell r="C540" t="str">
            <v>Trichoptera</v>
          </cell>
          <cell r="D540" t="str">
            <v>Rhyacophila fasciata</v>
          </cell>
          <cell r="E540" t="str">
            <v>LC</v>
          </cell>
          <cell r="F540" t="str">
            <v>Wallace, 2016</v>
          </cell>
          <cell r="G540" t="str">
            <v>NBNSYS0000155925</v>
          </cell>
          <cell r="H540" t="str">
            <v>Rhyacophila fasciata Hagen</v>
          </cell>
        </row>
        <row r="541">
          <cell r="A541" t="str">
            <v>Rhyacophila munda McLachlan</v>
          </cell>
          <cell r="B541" t="str">
            <v>Caddisflies</v>
          </cell>
          <cell r="C541" t="str">
            <v>Trichoptera</v>
          </cell>
          <cell r="D541" t="str">
            <v>Rhyacophila munda</v>
          </cell>
          <cell r="E541" t="str">
            <v>LC</v>
          </cell>
          <cell r="F541" t="str">
            <v>Wallace, 2016</v>
          </cell>
          <cell r="G541" t="str">
            <v>NBNSYS0000008340</v>
          </cell>
          <cell r="H541" t="str">
            <v>Rhyacophila munda McLachlan</v>
          </cell>
        </row>
        <row r="542">
          <cell r="A542" t="str">
            <v>Rhyacophila obliterata McLachlan</v>
          </cell>
          <cell r="B542" t="str">
            <v>Caddisflies</v>
          </cell>
          <cell r="C542" t="str">
            <v>Trichoptera</v>
          </cell>
          <cell r="D542" t="str">
            <v>Rhyacophila obliterata</v>
          </cell>
          <cell r="E542" t="str">
            <v>LC</v>
          </cell>
          <cell r="F542" t="str">
            <v>Wallace, 2016</v>
          </cell>
          <cell r="G542" t="str">
            <v>NBNSYS0000008341</v>
          </cell>
          <cell r="H542" t="str">
            <v>Rhyacophila obliterata McLachlan</v>
          </cell>
        </row>
        <row r="543">
          <cell r="A543" t="str">
            <v>Sericostoma personatum (Spence)</v>
          </cell>
          <cell r="B543" t="str">
            <v>Caddisflies</v>
          </cell>
          <cell r="C543" t="str">
            <v>Trichoptera</v>
          </cell>
          <cell r="D543" t="str">
            <v>Sericostoma personatum</v>
          </cell>
          <cell r="E543" t="str">
            <v>LC</v>
          </cell>
          <cell r="F543" t="str">
            <v>Wallace, 2016</v>
          </cell>
          <cell r="G543" t="str">
            <v>NBNSYS0000008506</v>
          </cell>
          <cell r="H543" t="str">
            <v>Sericostoma personatum (Spence)</v>
          </cell>
        </row>
        <row r="544">
          <cell r="A544" t="str">
            <v>Setodes argentipunctellus McLachlan</v>
          </cell>
          <cell r="B544" t="str">
            <v>Caddisflies</v>
          </cell>
          <cell r="C544" t="str">
            <v>Trichoptera</v>
          </cell>
          <cell r="D544" t="str">
            <v>Setodes argentipunctellus</v>
          </cell>
          <cell r="E544" t="str">
            <v>NT</v>
          </cell>
          <cell r="F544" t="str">
            <v>Wallace, 2016</v>
          </cell>
          <cell r="G544" t="str">
            <v>NBNSYS0000008540</v>
          </cell>
          <cell r="H544" t="str">
            <v>Setodes argentipunctellus McLachlan</v>
          </cell>
        </row>
        <row r="545">
          <cell r="A545" t="str">
            <v>Setodes punctatus (Fabricius)</v>
          </cell>
          <cell r="B545" t="str">
            <v>Caddisflies</v>
          </cell>
          <cell r="C545" t="str">
            <v>Trichoptera</v>
          </cell>
          <cell r="D545" t="str">
            <v>Setodes punctatus</v>
          </cell>
          <cell r="E545" t="str">
            <v>VU</v>
          </cell>
          <cell r="F545" t="str">
            <v>Wallace, 2016</v>
          </cell>
          <cell r="G545" t="str">
            <v>NBNSYS0000008541</v>
          </cell>
          <cell r="H545" t="str">
            <v>Setodes punctatus (Fabricius)</v>
          </cell>
        </row>
        <row r="546">
          <cell r="A546" t="str">
            <v>Silo nigricornis (Pictet)</v>
          </cell>
          <cell r="B546" t="str">
            <v>Caddisflies</v>
          </cell>
          <cell r="C546" t="str">
            <v>Trichoptera</v>
          </cell>
          <cell r="D546" t="str">
            <v>Silo nigricornis</v>
          </cell>
          <cell r="E546" t="str">
            <v>LC</v>
          </cell>
          <cell r="F546" t="str">
            <v>Wallace, 2016</v>
          </cell>
          <cell r="G546" t="str">
            <v>NBNSYS0000008499</v>
          </cell>
          <cell r="H546" t="str">
            <v>Silo nigricornis (Pictet)</v>
          </cell>
        </row>
        <row r="547">
          <cell r="A547" t="str">
            <v>Silo pallipes (Fabricius)</v>
          </cell>
          <cell r="B547" t="str">
            <v>Caddisflies</v>
          </cell>
          <cell r="C547" t="str">
            <v>Trichoptera</v>
          </cell>
          <cell r="D547" t="str">
            <v>Silo pallipes</v>
          </cell>
          <cell r="E547" t="str">
            <v>LC</v>
          </cell>
          <cell r="F547" t="str">
            <v>Wallace, 2016</v>
          </cell>
          <cell r="G547" t="str">
            <v>NHMSYS0020704837</v>
          </cell>
          <cell r="H547" t="str">
            <v>Silo pallipes (Fabricius)</v>
          </cell>
        </row>
        <row r="548">
          <cell r="A548" t="str">
            <v>Stenophylax permistus McLachlan</v>
          </cell>
          <cell r="B548" t="str">
            <v>Caddisflies</v>
          </cell>
          <cell r="C548" t="str">
            <v>Trichoptera</v>
          </cell>
          <cell r="D548" t="str">
            <v>Stenophylax permistus</v>
          </cell>
          <cell r="E548" t="str">
            <v>LC</v>
          </cell>
          <cell r="F548" t="str">
            <v>Wallace, 2016</v>
          </cell>
          <cell r="G548" t="str">
            <v>NBNSYS0000008459</v>
          </cell>
          <cell r="H548" t="str">
            <v>Stenophylax permistus McLachlan</v>
          </cell>
        </row>
        <row r="549">
          <cell r="A549" t="str">
            <v>Stenophylax vibex (Curtis)</v>
          </cell>
          <cell r="B549" t="str">
            <v>Caddisflies</v>
          </cell>
          <cell r="C549" t="str">
            <v>Trichoptera</v>
          </cell>
          <cell r="D549" t="str">
            <v>Stenophylax vibex</v>
          </cell>
          <cell r="E549" t="str">
            <v>LC</v>
          </cell>
          <cell r="F549" t="str">
            <v>Wallace, 2016</v>
          </cell>
          <cell r="G549" t="str">
            <v>NBNSYS0000008460</v>
          </cell>
          <cell r="H549" t="str">
            <v>Stenophylax vibex (Curtis)</v>
          </cell>
        </row>
        <row r="550">
          <cell r="A550" t="str">
            <v>Tinodes assimilis McLachlan</v>
          </cell>
          <cell r="B550" t="str">
            <v>Caddisflies</v>
          </cell>
          <cell r="C550" t="str">
            <v>Trichoptera</v>
          </cell>
          <cell r="D550" t="str">
            <v>Tinodes assimilis</v>
          </cell>
          <cell r="E550" t="str">
            <v>LC</v>
          </cell>
          <cell r="F550" t="str">
            <v>Wallace, 2016</v>
          </cell>
          <cell r="G550" t="str">
            <v>NBNSYS0000008389</v>
          </cell>
          <cell r="H550" t="str">
            <v>Tinodes assimilis McLachlan</v>
          </cell>
        </row>
        <row r="551">
          <cell r="A551" t="str">
            <v>Tinodes dives (Pictet)</v>
          </cell>
          <cell r="B551" t="str">
            <v>Caddisflies</v>
          </cell>
          <cell r="C551" t="str">
            <v>Trichoptera</v>
          </cell>
          <cell r="D551" t="str">
            <v>Tinodes dives</v>
          </cell>
          <cell r="E551" t="str">
            <v>LC</v>
          </cell>
          <cell r="F551" t="str">
            <v>Wallace, 2016</v>
          </cell>
          <cell r="G551" t="str">
            <v>NBNSYS0000008390</v>
          </cell>
          <cell r="H551" t="str">
            <v>Tinodes dives (Pictet)</v>
          </cell>
        </row>
        <row r="552">
          <cell r="A552" t="str">
            <v>Tinodes maclachlani Kimmins</v>
          </cell>
          <cell r="B552" t="str">
            <v>Caddisflies</v>
          </cell>
          <cell r="C552" t="str">
            <v>Trichoptera</v>
          </cell>
          <cell r="D552" t="str">
            <v>Tinodes maclachlani</v>
          </cell>
          <cell r="E552" t="str">
            <v>LC</v>
          </cell>
          <cell r="F552" t="str">
            <v>Wallace, 2016</v>
          </cell>
          <cell r="G552" t="str">
            <v>NBNSYS0000008391</v>
          </cell>
          <cell r="H552" t="str">
            <v>Tinodes maclachlani Kimmins</v>
          </cell>
        </row>
        <row r="553">
          <cell r="A553" t="str">
            <v>Tinodes pallidulus McLachlan</v>
          </cell>
          <cell r="B553" t="str">
            <v>Caddisflies</v>
          </cell>
          <cell r="C553" t="str">
            <v>Trichoptera</v>
          </cell>
          <cell r="D553" t="str">
            <v>Tinodes pallidulus</v>
          </cell>
          <cell r="E553" t="str">
            <v>VU</v>
          </cell>
          <cell r="F553" t="str">
            <v>Wallace, 2016</v>
          </cell>
          <cell r="G553" t="str">
            <v>NBNSYS0000008393</v>
          </cell>
          <cell r="H553" t="str">
            <v>Tinodes pallidulus McLachlan</v>
          </cell>
        </row>
        <row r="554">
          <cell r="A554" t="str">
            <v>Tinodes rostocki McLachlan</v>
          </cell>
          <cell r="B554" t="str">
            <v>Caddisflies</v>
          </cell>
          <cell r="C554" t="str">
            <v>Trichoptera</v>
          </cell>
          <cell r="D554" t="str">
            <v>Tinodes rostocki</v>
          </cell>
          <cell r="E554" t="str">
            <v>LC</v>
          </cell>
          <cell r="F554" t="str">
            <v>Wallace, 2016</v>
          </cell>
          <cell r="G554" t="str">
            <v>NBNSYS0000008394</v>
          </cell>
          <cell r="H554" t="str">
            <v>Tinodes rostocki McLachlan</v>
          </cell>
        </row>
        <row r="555">
          <cell r="A555" t="str">
            <v>Tinodes unicolor (Pictet)</v>
          </cell>
          <cell r="B555" t="str">
            <v>Caddisflies</v>
          </cell>
          <cell r="C555" t="str">
            <v>Trichoptera</v>
          </cell>
          <cell r="D555" t="str">
            <v>Tinodes unicolor</v>
          </cell>
          <cell r="E555" t="str">
            <v>LC</v>
          </cell>
          <cell r="F555" t="str">
            <v>Wallace, 2016</v>
          </cell>
          <cell r="G555" t="str">
            <v>NBNSYS0000008395</v>
          </cell>
          <cell r="H555" t="str">
            <v>Tinodes unicolor (Pictet)</v>
          </cell>
        </row>
        <row r="556">
          <cell r="A556" t="str">
            <v>Tinodes waeneri (L.)</v>
          </cell>
          <cell r="B556" t="str">
            <v>Caddisflies</v>
          </cell>
          <cell r="C556" t="str">
            <v>Trichoptera</v>
          </cell>
          <cell r="D556" t="str">
            <v>Tinodes waeneri</v>
          </cell>
          <cell r="E556" t="str">
            <v>LC</v>
          </cell>
          <cell r="F556" t="str">
            <v>Wallace, 2016</v>
          </cell>
          <cell r="G556" t="str">
            <v>NBNSYS0000008396</v>
          </cell>
          <cell r="H556" t="str">
            <v>Tinodes waeneri (L.)</v>
          </cell>
        </row>
        <row r="557">
          <cell r="A557" t="str">
            <v>Triaenodes bicolor (Curtis)</v>
          </cell>
          <cell r="B557" t="str">
            <v>Caddisflies</v>
          </cell>
          <cell r="C557" t="str">
            <v>Trichoptera</v>
          </cell>
          <cell r="D557" t="str">
            <v>Triaenodes bicolor</v>
          </cell>
          <cell r="E557" t="str">
            <v>LC</v>
          </cell>
          <cell r="F557" t="str">
            <v>Wallace, 2016</v>
          </cell>
          <cell r="G557" t="str">
            <v>NBNSYS0000008531</v>
          </cell>
          <cell r="H557" t="str">
            <v>Triaenodes bicolor (Curtis)</v>
          </cell>
        </row>
        <row r="558">
          <cell r="A558" t="str">
            <v>Tricholeiochiton fagesii (Guinard)</v>
          </cell>
          <cell r="B558" t="str">
            <v>Caddisflies</v>
          </cell>
          <cell r="C558" t="str">
            <v>Trichoptera</v>
          </cell>
          <cell r="D558" t="str">
            <v>Tricholeiochiton fagesii</v>
          </cell>
          <cell r="E558" t="str">
            <v>LC</v>
          </cell>
          <cell r="F558" t="str">
            <v>Wallace, 2016</v>
          </cell>
          <cell r="G558" t="str">
            <v>NBNSYS0000008374</v>
          </cell>
          <cell r="H558" t="str">
            <v>Tricholeiochiton fagesii (Guinard)</v>
          </cell>
        </row>
        <row r="559">
          <cell r="A559" t="str">
            <v>Trichostegia minor (Curtis)</v>
          </cell>
          <cell r="B559" t="str">
            <v>Caddisflies</v>
          </cell>
          <cell r="C559" t="str">
            <v>Trichoptera</v>
          </cell>
          <cell r="D559" t="str">
            <v>Trichostegia minor</v>
          </cell>
          <cell r="E559" t="str">
            <v>LC</v>
          </cell>
          <cell r="F559" t="str">
            <v>Wallace, 2016</v>
          </cell>
          <cell r="G559" t="str">
            <v>NBNSYS0000008432</v>
          </cell>
          <cell r="H559" t="str">
            <v>Trichostegia minor (Curtis)</v>
          </cell>
        </row>
        <row r="560">
          <cell r="A560" t="str">
            <v>Wormaldia occipitalis (Pictet)</v>
          </cell>
          <cell r="B560" t="str">
            <v>Caddisflies</v>
          </cell>
          <cell r="C560" t="str">
            <v>Trichoptera</v>
          </cell>
          <cell r="D560" t="str">
            <v>Wormaldia occipitalis</v>
          </cell>
          <cell r="E560" t="str">
            <v>LC</v>
          </cell>
          <cell r="F560" t="str">
            <v>Wallace, 2016</v>
          </cell>
          <cell r="G560" t="str">
            <v>NBNSYS0000008382</v>
          </cell>
          <cell r="H560" t="str">
            <v>Wormaldia occipitalis (Pictet)</v>
          </cell>
        </row>
        <row r="561">
          <cell r="A561" t="str">
            <v>Wormaldia subnigra McLachlan</v>
          </cell>
          <cell r="B561" t="str">
            <v>Caddisflies</v>
          </cell>
          <cell r="C561" t="str">
            <v>Trichoptera</v>
          </cell>
          <cell r="D561" t="str">
            <v>Wormaldia subnigra</v>
          </cell>
          <cell r="E561" t="str">
            <v>LC</v>
          </cell>
          <cell r="F561" t="str">
            <v>Wallace, 2016</v>
          </cell>
          <cell r="G561" t="str">
            <v>NBNSYS0000008383</v>
          </cell>
          <cell r="H561" t="str">
            <v>Wormaldia subnigra McLachlan</v>
          </cell>
        </row>
        <row r="562">
          <cell r="A562" t="str">
            <v>Ylodes conspersus (rambur)</v>
          </cell>
          <cell r="B562" t="str">
            <v>Caddisflies</v>
          </cell>
          <cell r="C562" t="str">
            <v>Trichoptera</v>
          </cell>
          <cell r="D562" t="str">
            <v>Ylodes conspersus</v>
          </cell>
          <cell r="E562" t="str">
            <v>LC</v>
          </cell>
          <cell r="F562" t="str">
            <v>Wallace, 2016</v>
          </cell>
          <cell r="G562" t="str">
            <v>NBNSYS0000008532</v>
          </cell>
          <cell r="H562" t="str">
            <v>Ylodes conspersus (rambur)</v>
          </cell>
        </row>
        <row r="563">
          <cell r="A563" t="str">
            <v>Ylodes reuteri (McLachan)</v>
          </cell>
          <cell r="B563" t="str">
            <v>Caddisflies</v>
          </cell>
          <cell r="C563" t="str">
            <v>Trichoptera</v>
          </cell>
          <cell r="D563" t="str">
            <v>Ylodes reuteri</v>
          </cell>
          <cell r="E563" t="str">
            <v>VU</v>
          </cell>
          <cell r="F563" t="str">
            <v>Wallace, 2016</v>
          </cell>
          <cell r="G563" t="str">
            <v>NBNSYS0000008533</v>
          </cell>
          <cell r="H563" t="str">
            <v>Ylodes reuteri (McLachan)</v>
          </cell>
        </row>
        <row r="564">
          <cell r="A564" t="str">
            <v>Ylodes simulans (Tjeder)</v>
          </cell>
          <cell r="B564" t="str">
            <v>Caddisflies</v>
          </cell>
          <cell r="C564" t="str">
            <v>Trichoptera</v>
          </cell>
          <cell r="D564" t="str">
            <v>Ylodes simulans</v>
          </cell>
          <cell r="E564" t="str">
            <v>NT</v>
          </cell>
          <cell r="F564" t="str">
            <v>Wallace, 2016</v>
          </cell>
          <cell r="G564" t="str">
            <v>NBNSYS0000008534</v>
          </cell>
          <cell r="H564" t="str">
            <v>Ylodes simulans (Tjeder)</v>
          </cell>
        </row>
        <row r="565">
          <cell r="A565" t="str">
            <v>Ablattaria laevigata</v>
          </cell>
          <cell r="B565" t="str">
            <v>Carrion beetles</v>
          </cell>
          <cell r="C565" t="str">
            <v>Coleoptera</v>
          </cell>
          <cell r="D565" t="str">
            <v>Ablattaria laevigata</v>
          </cell>
          <cell r="E565" t="str">
            <v>LC</v>
          </cell>
          <cell r="F565" t="str">
            <v>Lane, 2020</v>
          </cell>
          <cell r="G565" t="str">
            <v>NHMSYS0021366624</v>
          </cell>
          <cell r="H565" t="str">
            <v>Ablattaria laevigata</v>
          </cell>
        </row>
        <row r="566">
          <cell r="A566" t="str">
            <v>Aclypea opaca</v>
          </cell>
          <cell r="B566" t="str">
            <v>Carrion beetles</v>
          </cell>
          <cell r="C566" t="str">
            <v>Coleoptera</v>
          </cell>
          <cell r="D566" t="str">
            <v>Aclypea opaca</v>
          </cell>
          <cell r="E566" t="str">
            <v>LC</v>
          </cell>
          <cell r="F566" t="str">
            <v>Lane, 2020</v>
          </cell>
          <cell r="G566" t="str">
            <v>NBNSYS0000023047</v>
          </cell>
          <cell r="H566" t="str">
            <v>Aclypea opaca</v>
          </cell>
        </row>
        <row r="567">
          <cell r="A567" t="str">
            <v>Dendroxena quadrimaculata</v>
          </cell>
          <cell r="B567" t="str">
            <v>Carrion beetles</v>
          </cell>
          <cell r="C567" t="str">
            <v>Coleoptera</v>
          </cell>
          <cell r="D567" t="str">
            <v>Dendroxena quadrimaculata</v>
          </cell>
          <cell r="E567" t="str">
            <v>LC</v>
          </cell>
          <cell r="F567" t="str">
            <v>Lane, 2020</v>
          </cell>
          <cell r="G567" t="str">
            <v>NBNSYS0000023049</v>
          </cell>
          <cell r="H567" t="str">
            <v>Dendroxena quadrimaculata</v>
          </cell>
        </row>
        <row r="568">
          <cell r="A568" t="str">
            <v>Necrodes littoralis</v>
          </cell>
          <cell r="B568" t="str">
            <v>Carrion beetles</v>
          </cell>
          <cell r="C568" t="str">
            <v>Coleoptera</v>
          </cell>
          <cell r="D568" t="str">
            <v>Necrodes littoralis</v>
          </cell>
          <cell r="E568" t="str">
            <v>LC</v>
          </cell>
          <cell r="F568" t="str">
            <v>Lane, 2020</v>
          </cell>
          <cell r="G568" t="str">
            <v>NBNSYS0000023042</v>
          </cell>
          <cell r="H568" t="str">
            <v>Necrodes littoralis</v>
          </cell>
        </row>
        <row r="569">
          <cell r="A569" t="str">
            <v>Nicrophorus humator</v>
          </cell>
          <cell r="B569" t="str">
            <v>Carrion beetles</v>
          </cell>
          <cell r="C569" t="str">
            <v>Coleoptera</v>
          </cell>
          <cell r="D569" t="str">
            <v>Nicrophorus humator</v>
          </cell>
          <cell r="E569" t="str">
            <v>LC</v>
          </cell>
          <cell r="F569" t="str">
            <v>Lane, 2020</v>
          </cell>
          <cell r="G569" t="str">
            <v>NBNSYS0000023036</v>
          </cell>
          <cell r="H569" t="str">
            <v>Nicrophorus humator</v>
          </cell>
        </row>
        <row r="570">
          <cell r="A570" t="str">
            <v>Nicrophorus interruptus</v>
          </cell>
          <cell r="B570" t="str">
            <v>Carrion beetles</v>
          </cell>
          <cell r="C570" t="str">
            <v>Coleoptera</v>
          </cell>
          <cell r="D570" t="str">
            <v>Nicrophorus interruptus</v>
          </cell>
          <cell r="E570" t="str">
            <v>LC</v>
          </cell>
          <cell r="F570" t="str">
            <v>Lane, 2020</v>
          </cell>
          <cell r="G570" t="str">
            <v>NBNSYS0000023037</v>
          </cell>
          <cell r="H570" t="str">
            <v>Nicrophorus interruptus</v>
          </cell>
        </row>
        <row r="571">
          <cell r="A571" t="str">
            <v>Nicrophorus investigator</v>
          </cell>
          <cell r="B571" t="str">
            <v>Carrion beetles</v>
          </cell>
          <cell r="C571" t="str">
            <v>Coleoptera</v>
          </cell>
          <cell r="D571" t="str">
            <v>Nicrophorus investigator</v>
          </cell>
          <cell r="E571" t="str">
            <v>LC</v>
          </cell>
          <cell r="F571" t="str">
            <v>Lane, 2020</v>
          </cell>
          <cell r="G571" t="str">
            <v>NBNSYS0000023038</v>
          </cell>
          <cell r="H571" t="str">
            <v>Nicrophorus investigator</v>
          </cell>
        </row>
        <row r="572">
          <cell r="A572" t="str">
            <v>Nicrophorus vespillo</v>
          </cell>
          <cell r="B572" t="str">
            <v>Carrion beetles</v>
          </cell>
          <cell r="C572" t="str">
            <v>Coleoptera</v>
          </cell>
          <cell r="D572" t="str">
            <v>Nicrophorus vespillo</v>
          </cell>
          <cell r="E572" t="str">
            <v>LC</v>
          </cell>
          <cell r="F572" t="str">
            <v>Lane, 2020</v>
          </cell>
          <cell r="G572" t="str">
            <v>NBNSYS0000023039</v>
          </cell>
          <cell r="H572" t="str">
            <v>Nicrophorus vespillo</v>
          </cell>
        </row>
        <row r="573">
          <cell r="A573" t="str">
            <v>Nicrophorus vespilloides</v>
          </cell>
          <cell r="B573" t="str">
            <v>Carrion beetles</v>
          </cell>
          <cell r="C573" t="str">
            <v>Coleoptera</v>
          </cell>
          <cell r="D573" t="str">
            <v>Nicrophorus vespilloides</v>
          </cell>
          <cell r="E573" t="str">
            <v>LC</v>
          </cell>
          <cell r="F573" t="str">
            <v>Lane, 2020</v>
          </cell>
          <cell r="G573" t="str">
            <v>NBNSYS0000023040</v>
          </cell>
          <cell r="H573" t="str">
            <v>Nicrophorus vespilloides</v>
          </cell>
        </row>
        <row r="574">
          <cell r="A574" t="str">
            <v>Nicrophorus vestigator</v>
          </cell>
          <cell r="B574" t="str">
            <v>Carrion beetles</v>
          </cell>
          <cell r="C574" t="str">
            <v>Coleoptera</v>
          </cell>
          <cell r="D574" t="str">
            <v>Nicrophorus vestigator</v>
          </cell>
          <cell r="E574" t="str">
            <v>VU</v>
          </cell>
          <cell r="F574" t="str">
            <v>Lane, 2020</v>
          </cell>
          <cell r="G574" t="str">
            <v>NBNSYS0000023041</v>
          </cell>
          <cell r="H574" t="str">
            <v>Nicrophorus vestigator</v>
          </cell>
        </row>
        <row r="575">
          <cell r="A575" t="str">
            <v>Oiceoptoma thoracicum</v>
          </cell>
          <cell r="B575" t="str">
            <v>Carrion beetles</v>
          </cell>
          <cell r="C575" t="str">
            <v>Coleoptera</v>
          </cell>
          <cell r="D575" t="str">
            <v>Oiceoptoma thoracicum</v>
          </cell>
          <cell r="E575" t="str">
            <v>LC</v>
          </cell>
          <cell r="F575" t="str">
            <v>Lane, 2020</v>
          </cell>
          <cell r="G575" t="str">
            <v>NBNSYS0000023046</v>
          </cell>
          <cell r="H575" t="str">
            <v>Oiceoptoma thoracicum</v>
          </cell>
        </row>
        <row r="576">
          <cell r="A576" t="str">
            <v>Phosphuga atrata</v>
          </cell>
          <cell r="B576" t="str">
            <v>Carrion beetles</v>
          </cell>
          <cell r="C576" t="str">
            <v>Coleoptera</v>
          </cell>
          <cell r="D576" t="str">
            <v>Phosphuga atrata</v>
          </cell>
          <cell r="E576" t="str">
            <v>LC</v>
          </cell>
          <cell r="F576" t="str">
            <v>Lane, 2020</v>
          </cell>
          <cell r="G576" t="str">
            <v>NHMSYS0021366829</v>
          </cell>
          <cell r="H576" t="str">
            <v>Phosphuga atrata</v>
          </cell>
        </row>
        <row r="577">
          <cell r="A577" t="str">
            <v>Silpha carinata</v>
          </cell>
          <cell r="B577" t="str">
            <v>Carrion beetles</v>
          </cell>
          <cell r="C577" t="str">
            <v>Coleoptera</v>
          </cell>
          <cell r="D577" t="str">
            <v>Silpha carinata</v>
          </cell>
          <cell r="E577" t="str">
            <v>CR(PE)</v>
          </cell>
          <cell r="F577" t="str">
            <v>Lane, 2020</v>
          </cell>
          <cell r="G577" t="str">
            <v>NBNSYS0000023051</v>
          </cell>
          <cell r="H577" t="str">
            <v>Silpha carinata</v>
          </cell>
        </row>
        <row r="578">
          <cell r="A578" t="str">
            <v>Silpha obscura</v>
          </cell>
          <cell r="B578" t="str">
            <v>Carrion beetles</v>
          </cell>
          <cell r="C578" t="str">
            <v>Coleoptera</v>
          </cell>
          <cell r="D578" t="str">
            <v>Silpha obscura</v>
          </cell>
          <cell r="E578" t="str">
            <v>NT</v>
          </cell>
          <cell r="F578" t="str">
            <v>Lane, 2020</v>
          </cell>
          <cell r="G578" t="str">
            <v>NBNSYS0000023053</v>
          </cell>
          <cell r="H578" t="str">
            <v>Silpha obscura</v>
          </cell>
        </row>
        <row r="579">
          <cell r="A579" t="str">
            <v>Silpha tristis</v>
          </cell>
          <cell r="B579" t="str">
            <v>Carrion beetles</v>
          </cell>
          <cell r="C579" t="str">
            <v>Coleoptera</v>
          </cell>
          <cell r="D579" t="str">
            <v>Silpha tristis</v>
          </cell>
          <cell r="E579" t="str">
            <v>LC</v>
          </cell>
          <cell r="F579" t="str">
            <v>Lane, 2020</v>
          </cell>
          <cell r="G579" t="str">
            <v>NBNSYS0000023054</v>
          </cell>
          <cell r="H579" t="str">
            <v>Silpha tristis</v>
          </cell>
        </row>
        <row r="580">
          <cell r="A580" t="str">
            <v>Silpha tyrolensis</v>
          </cell>
          <cell r="B580" t="str">
            <v>Carrion beetles</v>
          </cell>
          <cell r="C580" t="str">
            <v>Coleoptera</v>
          </cell>
          <cell r="D580" t="str">
            <v>Silpha tyrolensis</v>
          </cell>
          <cell r="E580" t="str">
            <v>NT</v>
          </cell>
          <cell r="F580" t="str">
            <v>Lane, 2020</v>
          </cell>
          <cell r="G580" t="str">
            <v>NBNSYS0000023055</v>
          </cell>
          <cell r="H580" t="str">
            <v>Silpha tyrolensis</v>
          </cell>
        </row>
        <row r="581">
          <cell r="A581" t="str">
            <v>Thanatophilus dispar</v>
          </cell>
          <cell r="B581" t="str">
            <v>Carrion beetles</v>
          </cell>
          <cell r="C581" t="str">
            <v>Coleoptera</v>
          </cell>
          <cell r="D581" t="str">
            <v>Thanatophilus dispar</v>
          </cell>
          <cell r="E581" t="str">
            <v>VU</v>
          </cell>
          <cell r="F581" t="str">
            <v>Lane, 2020</v>
          </cell>
          <cell r="G581" t="str">
            <v>NBNSYS0000023043</v>
          </cell>
          <cell r="H581" t="str">
            <v>Thanatophilus dispar</v>
          </cell>
        </row>
        <row r="582">
          <cell r="A582" t="str">
            <v>Thanatophilus rugosus</v>
          </cell>
          <cell r="B582" t="str">
            <v>Carrion beetles</v>
          </cell>
          <cell r="C582" t="str">
            <v>Coleoptera</v>
          </cell>
          <cell r="D582" t="str">
            <v>Thanatophilus rugosus</v>
          </cell>
          <cell r="E582" t="str">
            <v>LC</v>
          </cell>
          <cell r="F582" t="str">
            <v>Lane, 2020</v>
          </cell>
          <cell r="G582" t="str">
            <v>NBNSYS0000023044</v>
          </cell>
          <cell r="H582" t="str">
            <v>Thanatophilus rugosus</v>
          </cell>
        </row>
        <row r="583">
          <cell r="A583" t="str">
            <v>Thanatophilus sinuatus</v>
          </cell>
          <cell r="B583" t="str">
            <v>Carrion beetles</v>
          </cell>
          <cell r="C583" t="str">
            <v>Coleoptera</v>
          </cell>
          <cell r="D583" t="str">
            <v>Thanatophilus sinuatus</v>
          </cell>
          <cell r="E583" t="str">
            <v>LC</v>
          </cell>
          <cell r="F583" t="str">
            <v>Lane, 2020</v>
          </cell>
          <cell r="G583" t="str">
            <v>NHMSYS0001720351</v>
          </cell>
          <cell r="H583" t="str">
            <v>Thanatophilus sinuatus</v>
          </cell>
        </row>
        <row r="584">
          <cell r="A584" t="str">
            <v>Abraeus granulum Erichson</v>
          </cell>
          <cell r="B584" t="str">
            <v>Clown and False-clown beetles</v>
          </cell>
          <cell r="C584" t="str">
            <v>Coleoptera</v>
          </cell>
          <cell r="D584" t="str">
            <v>Abraeus granulum</v>
          </cell>
          <cell r="E584" t="str">
            <v>LC</v>
          </cell>
          <cell r="F584" t="str">
            <v>Lane, 2017</v>
          </cell>
          <cell r="G584" t="str">
            <v>NBNSYS0000022820</v>
          </cell>
          <cell r="H584" t="str">
            <v>Abraeus granulum Erichson</v>
          </cell>
        </row>
        <row r="585">
          <cell r="A585" t="str">
            <v>Abraeus perpusillus (Marsham)</v>
          </cell>
          <cell r="B585" t="str">
            <v>Clown and False-clown beetles</v>
          </cell>
          <cell r="C585" t="str">
            <v>Coleoptera</v>
          </cell>
          <cell r="D585" t="str">
            <v>Abraeus perpusillus</v>
          </cell>
          <cell r="E585" t="str">
            <v>LC</v>
          </cell>
          <cell r="F585" t="str">
            <v>Lane, 2017</v>
          </cell>
          <cell r="G585" t="str">
            <v>NHMSYS0001716357</v>
          </cell>
          <cell r="H585" t="str">
            <v>Abraeus perpusillus (Marsham)</v>
          </cell>
        </row>
        <row r="586">
          <cell r="A586" t="str">
            <v>Acritus homoeopathicus Wollaston</v>
          </cell>
          <cell r="B586" t="str">
            <v>Clown and False-clown beetles</v>
          </cell>
          <cell r="C586" t="str">
            <v>Coleoptera</v>
          </cell>
          <cell r="D586" t="str">
            <v>Acritus homoeopathicus</v>
          </cell>
          <cell r="E586" t="str">
            <v>VU</v>
          </cell>
          <cell r="F586" t="str">
            <v>Lane, 2017</v>
          </cell>
          <cell r="G586" t="str">
            <v>NBNSYS0000022822</v>
          </cell>
          <cell r="H586" t="str">
            <v>Acritus homoeopathicus Wollaston</v>
          </cell>
        </row>
        <row r="587">
          <cell r="A587" t="str">
            <v>Acritus nigricornis (Hoffman, J.)</v>
          </cell>
          <cell r="B587" t="str">
            <v>Clown and False-clown beetles</v>
          </cell>
          <cell r="C587" t="str">
            <v>Coleoptera</v>
          </cell>
          <cell r="D587" t="str">
            <v>Acritus nigricornis</v>
          </cell>
          <cell r="E587" t="str">
            <v>LC</v>
          </cell>
          <cell r="F587" t="str">
            <v>Lane, 2017</v>
          </cell>
          <cell r="G587" t="str">
            <v>NHMSYS0001716372</v>
          </cell>
          <cell r="H587" t="str">
            <v>Acritus nigricornis (Hoffman, J.)</v>
          </cell>
        </row>
        <row r="588">
          <cell r="A588" t="str">
            <v>Aeletes atomarius (Aubé)</v>
          </cell>
          <cell r="B588" t="str">
            <v>Clown and False-clown beetles</v>
          </cell>
          <cell r="C588" t="str">
            <v>Coleoptera</v>
          </cell>
          <cell r="D588" t="str">
            <v>Aeletes atomarius</v>
          </cell>
          <cell r="E588" t="str">
            <v>LC</v>
          </cell>
          <cell r="F588" t="str">
            <v>Lane, 2017</v>
          </cell>
          <cell r="G588" t="str">
            <v>NHMSYS0001716519</v>
          </cell>
          <cell r="H588" t="str">
            <v>Aeletes atomarius (Aubé)</v>
          </cell>
        </row>
        <row r="589">
          <cell r="A589" t="str">
            <v>Atholus bimaculatus (Linnaeus)</v>
          </cell>
          <cell r="B589" t="str">
            <v>Clown and False-clown beetles</v>
          </cell>
          <cell r="C589" t="str">
            <v>Coleoptera</v>
          </cell>
          <cell r="D589" t="str">
            <v>Atholus bimaculatus</v>
          </cell>
          <cell r="E589" t="str">
            <v>LC</v>
          </cell>
          <cell r="F589" t="str">
            <v>Lane, 2017</v>
          </cell>
          <cell r="G589" t="str">
            <v>NHMSYS0001717077</v>
          </cell>
          <cell r="H589" t="str">
            <v>Atholus bimaculatus (Linnaeus)</v>
          </cell>
        </row>
        <row r="590">
          <cell r="A590" t="str">
            <v>Atholus duodecimstriatus (Schrank)</v>
          </cell>
          <cell r="B590" t="str">
            <v>Clown and False-clown beetles</v>
          </cell>
          <cell r="C590" t="str">
            <v>Coleoptera</v>
          </cell>
          <cell r="D590" t="str">
            <v>Atholus duodecimstriatus</v>
          </cell>
          <cell r="E590" t="str">
            <v>LC</v>
          </cell>
          <cell r="F590" t="str">
            <v>Lane, 2017</v>
          </cell>
          <cell r="G590" t="str">
            <v>NBNSYS0000022861</v>
          </cell>
          <cell r="H590" t="str">
            <v>Atholus duodecimstriatus (Schrank)</v>
          </cell>
        </row>
        <row r="591">
          <cell r="A591" t="str">
            <v>Carcinops pumilio (Erichson)</v>
          </cell>
          <cell r="B591" t="str">
            <v>Clown and False-clown beetles</v>
          </cell>
          <cell r="C591" t="str">
            <v>Coleoptera</v>
          </cell>
          <cell r="D591" t="str">
            <v>Carcinops pumilio</v>
          </cell>
          <cell r="E591" t="str">
            <v>LC</v>
          </cell>
          <cell r="F591" t="str">
            <v>Lane, 2017</v>
          </cell>
          <cell r="G591" t="str">
            <v>NBNSYS0000022844</v>
          </cell>
          <cell r="H591" t="str">
            <v>Carcinops pumilio (Erichson)</v>
          </cell>
        </row>
        <row r="592">
          <cell r="A592" t="str">
            <v>Dendrophilus punctatus (Herbst)</v>
          </cell>
          <cell r="B592" t="str">
            <v>Clown and False-clown beetles</v>
          </cell>
          <cell r="C592" t="str">
            <v>Coleoptera</v>
          </cell>
          <cell r="D592" t="str">
            <v>Dendrophilus punctatus</v>
          </cell>
          <cell r="E592" t="str">
            <v>LC</v>
          </cell>
          <cell r="F592" t="str">
            <v>Lane, 2017</v>
          </cell>
          <cell r="G592" t="str">
            <v>NBNSYS0000022840</v>
          </cell>
          <cell r="H592" t="str">
            <v>Dendrophilus punctatus (Herbst)</v>
          </cell>
        </row>
        <row r="593">
          <cell r="A593" t="str">
            <v>Dendrophilus pygmaeus (Linnaeus)</v>
          </cell>
          <cell r="B593" t="str">
            <v>Clown and False-clown beetles</v>
          </cell>
          <cell r="C593" t="str">
            <v>Coleoptera</v>
          </cell>
          <cell r="D593" t="str">
            <v>Dendrophilus pygmaeus</v>
          </cell>
          <cell r="E593" t="str">
            <v>LC</v>
          </cell>
          <cell r="F593" t="str">
            <v>Lane, 2017</v>
          </cell>
          <cell r="G593" t="str">
            <v>NBNSYS0000022841</v>
          </cell>
          <cell r="H593" t="str">
            <v>Dendrophilus pygmaeus (Linnaeus)</v>
          </cell>
        </row>
        <row r="594">
          <cell r="A594" t="str">
            <v>Epierus comptus Erichson</v>
          </cell>
          <cell r="B594" t="str">
            <v>Clown and False-clown beetles</v>
          </cell>
          <cell r="C594" t="str">
            <v>Coleoptera</v>
          </cell>
          <cell r="D594" t="str">
            <v>Epierus comptus</v>
          </cell>
          <cell r="E594" t="str">
            <v>NT</v>
          </cell>
          <cell r="F594" t="str">
            <v>Lane, 2017</v>
          </cell>
          <cell r="G594" t="str">
            <v>NBNSYS0000022864</v>
          </cell>
          <cell r="H594" t="str">
            <v>Epierus comptus Erichson</v>
          </cell>
        </row>
        <row r="595">
          <cell r="A595" t="str">
            <v>Gnathoncus buyssoni Auzat</v>
          </cell>
          <cell r="B595" t="str">
            <v>Clown and False-clown beetles</v>
          </cell>
          <cell r="C595" t="str">
            <v>Coleoptera</v>
          </cell>
          <cell r="D595" t="str">
            <v>Gnathoncus buyssoni</v>
          </cell>
          <cell r="E595" t="str">
            <v>LC</v>
          </cell>
          <cell r="F595" t="str">
            <v>Lane, 2017</v>
          </cell>
          <cell r="G595" t="str">
            <v>NBNSYS0000022825</v>
          </cell>
          <cell r="H595" t="str">
            <v>Gnathoncus buyssoni Auzat</v>
          </cell>
        </row>
        <row r="596">
          <cell r="A596" t="str">
            <v>Gnathoncus communis (Marseul)</v>
          </cell>
          <cell r="B596" t="str">
            <v>Clown and False-clown beetles</v>
          </cell>
          <cell r="C596" t="str">
            <v>Coleoptera</v>
          </cell>
          <cell r="D596" t="str">
            <v>Gnathoncus communis</v>
          </cell>
          <cell r="E596" t="str">
            <v>LC</v>
          </cell>
          <cell r="F596" t="str">
            <v>Lane, 2017</v>
          </cell>
          <cell r="G596" t="str">
            <v>NHMSYS0001718236</v>
          </cell>
          <cell r="H596" t="str">
            <v>Gnathoncus communis (Marseul)</v>
          </cell>
        </row>
        <row r="597">
          <cell r="A597" t="str">
            <v>Gnathoncus nannetensis (Marseul)</v>
          </cell>
          <cell r="B597" t="str">
            <v>Clown and False-clown beetles</v>
          </cell>
          <cell r="C597" t="str">
            <v>Coleoptera</v>
          </cell>
          <cell r="D597" t="str">
            <v>Gnathoncus nannetensis</v>
          </cell>
          <cell r="E597" t="str">
            <v>LC</v>
          </cell>
          <cell r="F597" t="str">
            <v>Lane, 2017</v>
          </cell>
          <cell r="G597" t="str">
            <v>NBNSYS0000022826</v>
          </cell>
          <cell r="H597" t="str">
            <v>Gnathoncus nannetensis (Marseul)</v>
          </cell>
        </row>
        <row r="598">
          <cell r="A598" t="str">
            <v>Gnathoncus rotundatus (Kugelann)</v>
          </cell>
          <cell r="B598" t="str">
            <v>Clown and False-clown beetles</v>
          </cell>
          <cell r="C598" t="str">
            <v>Coleoptera</v>
          </cell>
          <cell r="D598" t="str">
            <v>Gnathoncus rotundatus</v>
          </cell>
          <cell r="E598" t="str">
            <v>LC</v>
          </cell>
          <cell r="F598" t="str">
            <v>Lane, 2017</v>
          </cell>
          <cell r="G598" t="str">
            <v>NHMSYS0001718238</v>
          </cell>
          <cell r="H598" t="str">
            <v>Gnathoncus rotundatus (Kugelann)</v>
          </cell>
        </row>
        <row r="599">
          <cell r="A599" t="str">
            <v>Haeterius ferrugineus (Olivier)</v>
          </cell>
          <cell r="B599" t="str">
            <v>Clown and False-clown beetles</v>
          </cell>
          <cell r="C599" t="str">
            <v>Coleoptera</v>
          </cell>
          <cell r="D599" t="str">
            <v>Haeterius ferrugineus</v>
          </cell>
          <cell r="E599" t="str">
            <v>VU</v>
          </cell>
          <cell r="F599" t="str">
            <v>Lane, 2017</v>
          </cell>
          <cell r="G599" t="str">
            <v>NHMSYS0020935655</v>
          </cell>
          <cell r="H599" t="str">
            <v>Haeterius ferrugineus (Olivier)</v>
          </cell>
        </row>
        <row r="600">
          <cell r="A600" t="str">
            <v>Halacritus punctum (Aubé)</v>
          </cell>
          <cell r="B600" t="str">
            <v>Clown and False-clown beetles</v>
          </cell>
          <cell r="C600" t="str">
            <v>Coleoptera</v>
          </cell>
          <cell r="D600" t="str">
            <v>Halacritus punctum</v>
          </cell>
          <cell r="E600" t="str">
            <v>NT</v>
          </cell>
          <cell r="F600" t="str">
            <v>Lane, 2017</v>
          </cell>
          <cell r="G600" t="str">
            <v>NHMSYS0001718301</v>
          </cell>
          <cell r="H600" t="str">
            <v>Halacritus punctum (Aubé)</v>
          </cell>
        </row>
        <row r="601">
          <cell r="A601" t="str">
            <v>Hister bissexstriatus</v>
          </cell>
          <cell r="B601" t="str">
            <v>Clown and False-clown beetles</v>
          </cell>
          <cell r="C601" t="str">
            <v>Coleoptera</v>
          </cell>
          <cell r="D601" t="str">
            <v>Hister bissexstriatus</v>
          </cell>
          <cell r="E601" t="str">
            <v>NT</v>
          </cell>
          <cell r="F601" t="str">
            <v>Lane, 2017</v>
          </cell>
          <cell r="G601" t="str">
            <v>NHMSYS0001718456</v>
          </cell>
          <cell r="H601" t="str">
            <v>Hister bissexstriatus</v>
          </cell>
        </row>
        <row r="602">
          <cell r="A602" t="str">
            <v>Hister illigeri</v>
          </cell>
          <cell r="B602" t="str">
            <v>Clown and False-clown beetles</v>
          </cell>
          <cell r="C602" t="str">
            <v>Coleoptera</v>
          </cell>
          <cell r="D602" t="str">
            <v>Hister illigeri</v>
          </cell>
          <cell r="E602" t="str">
            <v>RE</v>
          </cell>
          <cell r="F602" t="str">
            <v>Lane, 2017</v>
          </cell>
          <cell r="G602" t="str">
            <v>NBNSYS0000022854</v>
          </cell>
          <cell r="H602" t="str">
            <v>Hister illigeri</v>
          </cell>
        </row>
        <row r="603">
          <cell r="A603" t="str">
            <v>Hister quadrimaculatus</v>
          </cell>
          <cell r="B603" t="str">
            <v>Clown and False-clown beetles</v>
          </cell>
          <cell r="C603" t="str">
            <v>Coleoptera</v>
          </cell>
          <cell r="D603" t="str">
            <v>Hister quadrimaculatus</v>
          </cell>
          <cell r="E603" t="str">
            <v>VU</v>
          </cell>
          <cell r="F603" t="str">
            <v>Lane, 2017</v>
          </cell>
          <cell r="G603" t="str">
            <v>NBNSYS0000022852</v>
          </cell>
          <cell r="H603" t="str">
            <v>Hister quadrimaculatus</v>
          </cell>
        </row>
        <row r="604">
          <cell r="A604" t="str">
            <v>Hister quadrinotatus</v>
          </cell>
          <cell r="B604" t="str">
            <v>Clown and False-clown beetles</v>
          </cell>
          <cell r="C604" t="str">
            <v>Coleoptera</v>
          </cell>
          <cell r="D604" t="str">
            <v>Hister quadrinotatus</v>
          </cell>
          <cell r="E604" t="str">
            <v>RE</v>
          </cell>
          <cell r="F604" t="str">
            <v>Lane, 2017</v>
          </cell>
          <cell r="G604" t="str">
            <v>NBNSYS0000022853</v>
          </cell>
          <cell r="H604" t="str">
            <v>Hister quadrinotatus</v>
          </cell>
        </row>
        <row r="605">
          <cell r="A605" t="str">
            <v>Hister unicolor</v>
          </cell>
          <cell r="B605" t="str">
            <v>Clown and False-clown beetles</v>
          </cell>
          <cell r="C605" t="str">
            <v>Coleoptera</v>
          </cell>
          <cell r="D605" t="str">
            <v>Hister unicolor</v>
          </cell>
          <cell r="E605" t="str">
            <v>LC</v>
          </cell>
          <cell r="F605" t="str">
            <v>Lane, 2017</v>
          </cell>
          <cell r="G605" t="str">
            <v>NBNSYS0000022856</v>
          </cell>
          <cell r="H605" t="str">
            <v>Hister unicolor</v>
          </cell>
        </row>
        <row r="606">
          <cell r="A606" t="str">
            <v>Hypocaccus dimidiatus (Illiger)</v>
          </cell>
          <cell r="B606" t="str">
            <v>Clown and False-clown beetles</v>
          </cell>
          <cell r="C606" t="str">
            <v>Coleoptera</v>
          </cell>
          <cell r="D606" t="str">
            <v>Hypocaccus dimidiatus</v>
          </cell>
          <cell r="E606" t="str">
            <v>LC</v>
          </cell>
          <cell r="F606" t="str">
            <v>Lane, 2017</v>
          </cell>
          <cell r="G606" t="str">
            <v>NHMSYS0020919984</v>
          </cell>
          <cell r="H606" t="str">
            <v>Hypocaccus dimidiatus (Illiger)</v>
          </cell>
        </row>
        <row r="607">
          <cell r="A607" t="str">
            <v>Hypocaccus metallicus (Herbst)</v>
          </cell>
          <cell r="B607" t="str">
            <v>Clown and False-clown beetles</v>
          </cell>
          <cell r="C607" t="str">
            <v>Coleoptera</v>
          </cell>
          <cell r="D607" t="str">
            <v>Hypocaccus metallicus</v>
          </cell>
          <cell r="E607" t="str">
            <v>NT</v>
          </cell>
          <cell r="F607" t="str">
            <v>Lane, 2017</v>
          </cell>
          <cell r="G607" t="str">
            <v>NBNSYS0000022835</v>
          </cell>
          <cell r="H607" t="str">
            <v>Hypocaccus metallicus (Herbst)</v>
          </cell>
        </row>
        <row r="608">
          <cell r="A608" t="str">
            <v>Hypocaccus rugiceps (Duftscmid)</v>
          </cell>
          <cell r="B608" t="str">
            <v>Clown and False-clown beetles</v>
          </cell>
          <cell r="C608" t="str">
            <v>Coleoptera</v>
          </cell>
          <cell r="D608" t="str">
            <v>Hypocaccus rugiceps</v>
          </cell>
          <cell r="E608" t="str">
            <v>LC</v>
          </cell>
          <cell r="F608" t="str">
            <v>Lane, 2017</v>
          </cell>
          <cell r="G608" t="str">
            <v>NBNSYS0000022836</v>
          </cell>
          <cell r="H608" t="str">
            <v>Hypocaccus rugiceps (Duftscmid)</v>
          </cell>
        </row>
        <row r="609">
          <cell r="A609" t="str">
            <v>Hypocaccus rugifrons (Paykull)</v>
          </cell>
          <cell r="B609" t="str">
            <v>Clown and False-clown beetles</v>
          </cell>
          <cell r="C609" t="str">
            <v>Coleoptera</v>
          </cell>
          <cell r="D609" t="str">
            <v>Hypocaccus rugifrons</v>
          </cell>
          <cell r="E609" t="str">
            <v>NT</v>
          </cell>
          <cell r="F609" t="str">
            <v>Lane, 2017</v>
          </cell>
          <cell r="G609" t="str">
            <v>NBNSYS0000022837</v>
          </cell>
          <cell r="H609" t="str">
            <v>Hypocaccus rugifrons (Paykull)</v>
          </cell>
        </row>
        <row r="610">
          <cell r="A610" t="str">
            <v>Kissister minimus (Laporte)</v>
          </cell>
          <cell r="B610" t="str">
            <v>Clown and False-clown beetles</v>
          </cell>
          <cell r="C610" t="str">
            <v>Coleoptera</v>
          </cell>
          <cell r="D610" t="str">
            <v>Kissister minimus</v>
          </cell>
          <cell r="E610" t="str">
            <v>LC</v>
          </cell>
          <cell r="F610" t="str">
            <v>Lane, 2017</v>
          </cell>
          <cell r="G610" t="str">
            <v>NHMSYS0021447287</v>
          </cell>
          <cell r="H610" t="str">
            <v>Kissister minimus (Laporte)</v>
          </cell>
        </row>
        <row r="611">
          <cell r="A611" t="str">
            <v>Margarinotus brunneus (Fabricius)</v>
          </cell>
          <cell r="B611" t="str">
            <v>Clown and False-clown beetles</v>
          </cell>
          <cell r="C611" t="str">
            <v>Coleoptera</v>
          </cell>
          <cell r="D611" t="str">
            <v>Margarinotus brunneus</v>
          </cell>
          <cell r="E611" t="str">
            <v>LC</v>
          </cell>
          <cell r="F611" t="str">
            <v>Lane, 2017</v>
          </cell>
          <cell r="G611" t="str">
            <v>NHMSYS0020919993</v>
          </cell>
          <cell r="H611" t="str">
            <v>Margarinotus brunneus (Fabricius)</v>
          </cell>
        </row>
        <row r="612">
          <cell r="A612" t="str">
            <v>Margarinotus marginatus (Erichson)</v>
          </cell>
          <cell r="B612" t="str">
            <v>Clown and False-clown beetles</v>
          </cell>
          <cell r="C612" t="str">
            <v>Coleoptera</v>
          </cell>
          <cell r="D612" t="str">
            <v>Margarinotus marginatus</v>
          </cell>
          <cell r="E612" t="str">
            <v>LC</v>
          </cell>
          <cell r="F612" t="str">
            <v>Lane, 2017</v>
          </cell>
          <cell r="G612" t="str">
            <v>NBNSYS0000151103</v>
          </cell>
          <cell r="H612" t="str">
            <v>Margarinotus marginatus (Erichson)</v>
          </cell>
        </row>
        <row r="613">
          <cell r="A613" t="str">
            <v>Margarinotus merdarius (Hoffmann, J.)</v>
          </cell>
          <cell r="B613" t="str">
            <v>Clown and False-clown beetles</v>
          </cell>
          <cell r="C613" t="str">
            <v>Coleoptera</v>
          </cell>
          <cell r="D613" t="str">
            <v>Margarinotus merdarius</v>
          </cell>
          <cell r="E613" t="str">
            <v>LC</v>
          </cell>
          <cell r="F613" t="str">
            <v>Lane, 2017</v>
          </cell>
          <cell r="G613" t="str">
            <v>NBNSYS0000151104</v>
          </cell>
          <cell r="H613" t="str">
            <v>Margarinotus merdarius (Hoffmann, J.)</v>
          </cell>
        </row>
        <row r="614">
          <cell r="A614" t="str">
            <v>Margarinotus neglectus (Germar)</v>
          </cell>
          <cell r="B614" t="str">
            <v>Clown and False-clown beetles</v>
          </cell>
          <cell r="C614" t="str">
            <v>Coleoptera</v>
          </cell>
          <cell r="D614" t="str">
            <v>Margarinotus neglectus</v>
          </cell>
          <cell r="E614" t="str">
            <v>LC</v>
          </cell>
          <cell r="F614" t="str">
            <v>Lane, 2017</v>
          </cell>
          <cell r="G614" t="str">
            <v>NBNSYS0000151105</v>
          </cell>
          <cell r="H614" t="str">
            <v>Margarinotus neglectus (Germar)</v>
          </cell>
        </row>
        <row r="615">
          <cell r="A615" t="str">
            <v>Margarinotus obscurus (Kugelann)</v>
          </cell>
          <cell r="B615" t="str">
            <v>Clown and False-clown beetles</v>
          </cell>
          <cell r="C615" t="str">
            <v>Coleoptera</v>
          </cell>
          <cell r="D615" t="str">
            <v>Margarinotus obscurus</v>
          </cell>
          <cell r="E615" t="str">
            <v>VU</v>
          </cell>
          <cell r="F615" t="str">
            <v>Lane, 2017</v>
          </cell>
          <cell r="G615" t="str">
            <v>NHMSYS0020919995</v>
          </cell>
          <cell r="H615" t="str">
            <v>Margarinotus obscurus (Kugelann)</v>
          </cell>
        </row>
        <row r="616">
          <cell r="A616" t="str">
            <v>Margarinotus purpurascens (Herbst)</v>
          </cell>
          <cell r="B616" t="str">
            <v>Clown and False-clown beetles</v>
          </cell>
          <cell r="C616" t="str">
            <v>Coleoptera</v>
          </cell>
          <cell r="D616" t="str">
            <v>Margarinotus purpurascens</v>
          </cell>
          <cell r="E616" t="str">
            <v>LC</v>
          </cell>
          <cell r="F616" t="str">
            <v>Lane, 2017</v>
          </cell>
          <cell r="G616" t="str">
            <v>NBNSYS0000151106</v>
          </cell>
          <cell r="H616" t="str">
            <v>Margarinotus purpurascens (Herbst)</v>
          </cell>
        </row>
        <row r="617">
          <cell r="A617" t="str">
            <v>Margarinotus striola (Sahlberg)</v>
          </cell>
          <cell r="B617" t="str">
            <v>Clown and False-clown beetles</v>
          </cell>
          <cell r="C617" t="str">
            <v>Coleoptera</v>
          </cell>
          <cell r="D617" t="str">
            <v>Margarinotus striola</v>
          </cell>
          <cell r="E617" t="str">
            <v>LC</v>
          </cell>
          <cell r="F617" t="str">
            <v>Lane, 2017</v>
          </cell>
          <cell r="G617" t="str">
            <v>NBNSYS0000151108</v>
          </cell>
          <cell r="H617" t="str">
            <v>Margarinotus striola (Sahlberg)</v>
          </cell>
        </row>
        <row r="618">
          <cell r="A618" t="str">
            <v>Margarinotus ventralis (Marseul)</v>
          </cell>
          <cell r="B618" t="str">
            <v>Clown and False-clown beetles</v>
          </cell>
          <cell r="C618" t="str">
            <v>Coleoptera</v>
          </cell>
          <cell r="D618" t="str">
            <v>Margarinotus ventralis</v>
          </cell>
          <cell r="E618" t="str">
            <v>LC</v>
          </cell>
          <cell r="F618" t="str">
            <v>Lane, 2017</v>
          </cell>
          <cell r="G618" t="str">
            <v>NHMSYS0020919992</v>
          </cell>
          <cell r="H618" t="str">
            <v>Margarinotus ventralis (Marseul)</v>
          </cell>
        </row>
        <row r="619">
          <cell r="A619" t="str">
            <v>Myrmetes paykulli Kanaar</v>
          </cell>
          <cell r="B619" t="str">
            <v>Clown and False-clown beetles</v>
          </cell>
          <cell r="C619" t="str">
            <v>Coleoptera</v>
          </cell>
          <cell r="D619" t="str">
            <v>Myrmetes paykulli</v>
          </cell>
          <cell r="E619" t="str">
            <v>LC</v>
          </cell>
          <cell r="F619" t="str">
            <v>Lane, 2017</v>
          </cell>
          <cell r="G619" t="str">
            <v>NHMSYS0001719088</v>
          </cell>
          <cell r="H619" t="str">
            <v>Myrmetes paykulli Kanaar</v>
          </cell>
        </row>
        <row r="620">
          <cell r="A620" t="str">
            <v>Onthophilus punctatus (Müller, O.F.)</v>
          </cell>
          <cell r="B620" t="str">
            <v>Clown and False-clown beetles</v>
          </cell>
          <cell r="C620" t="str">
            <v>Coleoptera</v>
          </cell>
          <cell r="D620" t="str">
            <v>Onthophilus punctatus</v>
          </cell>
          <cell r="E620" t="str">
            <v>LC</v>
          </cell>
          <cell r="F620" t="str">
            <v>Lane, 2017</v>
          </cell>
          <cell r="G620" t="str">
            <v>NHMSYS0001719318</v>
          </cell>
          <cell r="H620" t="str">
            <v>Onthophilus punctatus (Müller, O.F.)</v>
          </cell>
        </row>
        <row r="621">
          <cell r="A621" t="str">
            <v>Onthophilus striatus (Forster)</v>
          </cell>
          <cell r="B621" t="str">
            <v>Clown and False-clown beetles</v>
          </cell>
          <cell r="C621" t="str">
            <v>Coleoptera</v>
          </cell>
          <cell r="D621" t="str">
            <v>Onthophilus striatus</v>
          </cell>
          <cell r="E621" t="str">
            <v>LC</v>
          </cell>
          <cell r="F621" t="str">
            <v>Lane, 2017</v>
          </cell>
          <cell r="G621" t="str">
            <v>NBNSYS0000022848</v>
          </cell>
          <cell r="H621" t="str">
            <v>Onthophilus striatus (Forster)</v>
          </cell>
        </row>
        <row r="622">
          <cell r="A622" t="str">
            <v>Paromalus flavicornis (Herbst)</v>
          </cell>
          <cell r="B622" t="str">
            <v>Clown and False-clown beetles</v>
          </cell>
          <cell r="C622" t="str">
            <v>Coleoptera</v>
          </cell>
          <cell r="D622" t="str">
            <v>Paromalus flavicornis</v>
          </cell>
          <cell r="E622" t="str">
            <v>LC</v>
          </cell>
          <cell r="F622" t="str">
            <v>Lane, 2017</v>
          </cell>
          <cell r="G622" t="str">
            <v>NBNSYS0000022845</v>
          </cell>
          <cell r="H622" t="str">
            <v>Paromalus flavicornis (Herbst)</v>
          </cell>
        </row>
        <row r="623">
          <cell r="A623" t="str">
            <v>Paromalus parallelepipedus (Herbst)</v>
          </cell>
          <cell r="B623" t="str">
            <v>Clown and False-clown beetles</v>
          </cell>
          <cell r="C623" t="str">
            <v>Coleoptera</v>
          </cell>
          <cell r="D623" t="str">
            <v>Paromalus parallelepipedus</v>
          </cell>
          <cell r="E623" t="str">
            <v>VU</v>
          </cell>
          <cell r="F623" t="str">
            <v>Lane, 2017</v>
          </cell>
          <cell r="G623" t="str">
            <v>NBNSYS0000022846</v>
          </cell>
          <cell r="H623" t="str">
            <v>Paromalus parallelepipedus (Herbst)</v>
          </cell>
        </row>
        <row r="624">
          <cell r="A624" t="str">
            <v>Plegaderus dissectus Erichson</v>
          </cell>
          <cell r="B624" t="str">
            <v>Clown and False-clown beetles</v>
          </cell>
          <cell r="C624" t="str">
            <v>Coleoptera</v>
          </cell>
          <cell r="D624" t="str">
            <v>Plegaderus dissectus</v>
          </cell>
          <cell r="E624" t="str">
            <v>LC</v>
          </cell>
          <cell r="F624" t="str">
            <v>Lane, 2017</v>
          </cell>
          <cell r="G624" t="str">
            <v>NBNSYS0000022817</v>
          </cell>
          <cell r="H624" t="str">
            <v>Plegaderus dissectus Erichson</v>
          </cell>
        </row>
        <row r="625">
          <cell r="A625" t="str">
            <v>Plegaderus vulneratus (Panzer)</v>
          </cell>
          <cell r="B625" t="str">
            <v>Clown and False-clown beetles</v>
          </cell>
          <cell r="C625" t="str">
            <v>Coleoptera</v>
          </cell>
          <cell r="D625" t="str">
            <v>Plegaderus vulneratus</v>
          </cell>
          <cell r="E625" t="str">
            <v>LC</v>
          </cell>
          <cell r="F625" t="str">
            <v>Lane, 2017</v>
          </cell>
          <cell r="G625" t="str">
            <v>NHMSYS0001719643</v>
          </cell>
          <cell r="H625" t="str">
            <v>Plegaderus vulneratus (Panzer)</v>
          </cell>
        </row>
        <row r="626">
          <cell r="A626" t="str">
            <v>Saprinus aeneus (Fabricius)</v>
          </cell>
          <cell r="B626" t="str">
            <v>Clown and False-clown beetles</v>
          </cell>
          <cell r="C626" t="str">
            <v>Coleoptera</v>
          </cell>
          <cell r="D626" t="str">
            <v>Saprinus aeneus</v>
          </cell>
          <cell r="E626" t="str">
            <v>LC</v>
          </cell>
          <cell r="F626" t="str">
            <v>Lane, 2017</v>
          </cell>
          <cell r="G626" t="str">
            <v>NHMSYS0001720022</v>
          </cell>
          <cell r="H626" t="str">
            <v>Saprinus aeneus (Fabricius)</v>
          </cell>
        </row>
        <row r="627">
          <cell r="A627" t="str">
            <v>Saprinus immundus (Gyllenhal)</v>
          </cell>
          <cell r="B627" t="str">
            <v>Clown and False-clown beetles</v>
          </cell>
          <cell r="C627" t="str">
            <v>Coleoptera</v>
          </cell>
          <cell r="D627" t="str">
            <v>Saprinus immundus</v>
          </cell>
          <cell r="E627" t="str">
            <v>VU</v>
          </cell>
          <cell r="F627" t="str">
            <v>Lane, 2017</v>
          </cell>
          <cell r="G627" t="str">
            <v>NBNSYS0000022831</v>
          </cell>
          <cell r="H627" t="str">
            <v>Saprinus immundus (Gyllenhal)</v>
          </cell>
        </row>
        <row r="628">
          <cell r="A628" t="str">
            <v>Saprinus planiusculus Motschulsky</v>
          </cell>
          <cell r="B628" t="str">
            <v>Clown and False-clown beetles</v>
          </cell>
          <cell r="C628" t="str">
            <v>Coleoptera</v>
          </cell>
          <cell r="D628" t="str">
            <v>Saprinus planiusculus</v>
          </cell>
          <cell r="E628" t="str">
            <v>LC</v>
          </cell>
          <cell r="F628" t="str">
            <v>Lane, 2017</v>
          </cell>
          <cell r="G628" t="str">
            <v>NHMSYS0001720024</v>
          </cell>
          <cell r="H628" t="str">
            <v>Saprinus planiusculus Motschulsky</v>
          </cell>
        </row>
        <row r="629">
          <cell r="A629" t="str">
            <v>Saprinus semistriatus (Scriba)</v>
          </cell>
          <cell r="B629" t="str">
            <v>Clown and False-clown beetles</v>
          </cell>
          <cell r="C629" t="str">
            <v>Coleoptera</v>
          </cell>
          <cell r="D629" t="str">
            <v>Saprinus semistriatus</v>
          </cell>
          <cell r="E629" t="str">
            <v>LC</v>
          </cell>
          <cell r="F629" t="str">
            <v>Lane, 2017</v>
          </cell>
          <cell r="G629" t="str">
            <v>NBNSYS0000022832</v>
          </cell>
          <cell r="H629" t="str">
            <v>Saprinus semistriatus (Scriba)</v>
          </cell>
        </row>
        <row r="630">
          <cell r="A630" t="str">
            <v>Saprinus subnitescens</v>
          </cell>
          <cell r="B630" t="str">
            <v>Clown and False-clown beetles</v>
          </cell>
          <cell r="C630" t="str">
            <v>Coleoptera</v>
          </cell>
          <cell r="D630" t="str">
            <v>Saprinus subnitescens</v>
          </cell>
          <cell r="E630" t="str">
            <v>RE</v>
          </cell>
          <cell r="F630" t="str">
            <v>Lane, 2017</v>
          </cell>
          <cell r="G630" t="str">
            <v>NBNSYS0000022833</v>
          </cell>
          <cell r="H630" t="str">
            <v>Saprinus subnitescens</v>
          </cell>
        </row>
        <row r="631">
          <cell r="A631" t="str">
            <v>Saprinus virescens (Paykull)</v>
          </cell>
          <cell r="B631" t="str">
            <v>Clown and False-clown beetles</v>
          </cell>
          <cell r="C631" t="str">
            <v>Coleoptera</v>
          </cell>
          <cell r="D631" t="str">
            <v>Saprinus virescens</v>
          </cell>
          <cell r="E631" t="str">
            <v>NT</v>
          </cell>
          <cell r="F631" t="str">
            <v>Lane, 2017</v>
          </cell>
          <cell r="G631" t="str">
            <v>NBNSYS0000022834</v>
          </cell>
          <cell r="H631" t="str">
            <v>Saprinus virescens (Paykull)</v>
          </cell>
        </row>
        <row r="632">
          <cell r="A632" t="str">
            <v>Sphaerites glabratus (Fabricius)</v>
          </cell>
          <cell r="B632" t="str">
            <v>Clown and False-clown beetles</v>
          </cell>
          <cell r="C632" t="str">
            <v>Coleoptera</v>
          </cell>
          <cell r="D632" t="str">
            <v>Sphaerites glabratus</v>
          </cell>
          <cell r="E632" t="str">
            <v>LC</v>
          </cell>
          <cell r="F632" t="str">
            <v>Lane, 2017</v>
          </cell>
          <cell r="G632" t="str">
            <v>NHMSYS0001720125</v>
          </cell>
          <cell r="H632" t="str">
            <v>Sphaerites glabratus (Fabricius)</v>
          </cell>
        </row>
        <row r="633">
          <cell r="A633" t="str">
            <v>Teretrius fabricii</v>
          </cell>
          <cell r="B633" t="str">
            <v>Clown and False-clown beetles</v>
          </cell>
          <cell r="C633" t="str">
            <v>Coleoptera</v>
          </cell>
          <cell r="D633" t="str">
            <v>Teretrius fabricii</v>
          </cell>
          <cell r="E633" t="str">
            <v>RE</v>
          </cell>
          <cell r="F633" t="str">
            <v>Lane, 2017</v>
          </cell>
          <cell r="G633" t="str">
            <v>NBNSYS0000022816</v>
          </cell>
          <cell r="H633" t="str">
            <v>Teretrius fabricii</v>
          </cell>
        </row>
        <row r="634">
          <cell r="A634" t="str">
            <v>Abdera biflexuosa</v>
          </cell>
          <cell r="B634" t="str">
            <v>Darkling beetles and allies</v>
          </cell>
          <cell r="C634" t="str">
            <v>Coleoptera</v>
          </cell>
          <cell r="D634" t="str">
            <v>Abdera biflexuosa</v>
          </cell>
          <cell r="E634" t="str">
            <v>LC</v>
          </cell>
          <cell r="F634" t="str">
            <v>Alexander et al., 2014</v>
          </cell>
          <cell r="G634" t="str">
            <v>NBNSYS0000024889</v>
          </cell>
          <cell r="H634" t="str">
            <v>Abdera biflexuosa</v>
          </cell>
        </row>
        <row r="635">
          <cell r="A635" t="str">
            <v>Abdera flexuosa</v>
          </cell>
          <cell r="B635" t="str">
            <v>Darkling beetles and allies</v>
          </cell>
          <cell r="C635" t="str">
            <v>Coleoptera</v>
          </cell>
          <cell r="D635" t="str">
            <v>Abdera flexuosa</v>
          </cell>
          <cell r="E635" t="str">
            <v>LC</v>
          </cell>
          <cell r="F635" t="str">
            <v>Alexander et al., 2014</v>
          </cell>
          <cell r="G635" t="str">
            <v>NBNSYS0000024890</v>
          </cell>
          <cell r="H635" t="str">
            <v>Abdera flexuosa</v>
          </cell>
        </row>
        <row r="636">
          <cell r="A636" t="str">
            <v>Abdera quadrifasciata</v>
          </cell>
          <cell r="B636" t="str">
            <v>Darkling beetles and allies</v>
          </cell>
          <cell r="C636" t="str">
            <v>Coleoptera</v>
          </cell>
          <cell r="D636" t="str">
            <v>Abdera quadrifasciata</v>
          </cell>
          <cell r="E636" t="str">
            <v>LC</v>
          </cell>
          <cell r="F636" t="str">
            <v>Alexander et al., 2014</v>
          </cell>
          <cell r="G636" t="str">
            <v>NBNSYS0000024891</v>
          </cell>
          <cell r="H636" t="str">
            <v>Abdera quadrifasciata</v>
          </cell>
        </row>
        <row r="637">
          <cell r="A637" t="str">
            <v>Abdera triguttata</v>
          </cell>
          <cell r="B637" t="str">
            <v>Darkling beetles and allies</v>
          </cell>
          <cell r="C637" t="str">
            <v>Coleoptera</v>
          </cell>
          <cell r="D637" t="str">
            <v>Abdera triguttata</v>
          </cell>
          <cell r="E637" t="str">
            <v>LC</v>
          </cell>
          <cell r="F637" t="str">
            <v>Alexander et al., 2014</v>
          </cell>
          <cell r="G637" t="str">
            <v>NHMSYS0021366959</v>
          </cell>
          <cell r="H637" t="str">
            <v>Abdera triguttata</v>
          </cell>
        </row>
        <row r="638">
          <cell r="A638" t="str">
            <v>Aderus populneus</v>
          </cell>
          <cell r="B638" t="str">
            <v>Darkling beetles and allies</v>
          </cell>
          <cell r="C638" t="str">
            <v>Coleoptera</v>
          </cell>
          <cell r="D638" t="str">
            <v>Aderus populneus</v>
          </cell>
          <cell r="E638" t="str">
            <v>LC</v>
          </cell>
          <cell r="F638" t="str">
            <v>Alexander et al., 2014</v>
          </cell>
          <cell r="G638" t="str">
            <v>NBNSYS0000024970</v>
          </cell>
          <cell r="H638" t="str">
            <v>Aderus populneus</v>
          </cell>
        </row>
        <row r="639">
          <cell r="A639" t="str">
            <v>Aglenus brunneus</v>
          </cell>
          <cell r="B639" t="str">
            <v>Darkling beetles and allies</v>
          </cell>
          <cell r="C639" t="str">
            <v>Coleoptera</v>
          </cell>
          <cell r="D639" t="str">
            <v>Aglenus brunneus</v>
          </cell>
          <cell r="E639" t="str">
            <v>LC</v>
          </cell>
          <cell r="F639" t="str">
            <v>Alexander et al., 2014</v>
          </cell>
          <cell r="G639" t="str">
            <v>NBNSYS0000024805</v>
          </cell>
          <cell r="H639" t="str">
            <v>Aglenus brunneus</v>
          </cell>
        </row>
        <row r="640">
          <cell r="A640" t="str">
            <v>Anaspis costai</v>
          </cell>
          <cell r="B640" t="str">
            <v>Darkling beetles and allies</v>
          </cell>
          <cell r="C640" t="str">
            <v>Coleoptera</v>
          </cell>
          <cell r="D640" t="str">
            <v>Anaspis costai</v>
          </cell>
          <cell r="E640" t="str">
            <v>LC</v>
          </cell>
          <cell r="F640" t="str">
            <v>Alexander et al., 2014</v>
          </cell>
          <cell r="G640" t="str">
            <v>NBNSYS0000024905</v>
          </cell>
          <cell r="H640" t="str">
            <v>Anaspis costai</v>
          </cell>
        </row>
        <row r="641">
          <cell r="A641" t="str">
            <v>Anaspis fasciata</v>
          </cell>
          <cell r="B641" t="str">
            <v>Darkling beetles and allies</v>
          </cell>
          <cell r="C641" t="str">
            <v>Coleoptera</v>
          </cell>
          <cell r="D641" t="str">
            <v>Anaspis fasciata</v>
          </cell>
          <cell r="E641" t="str">
            <v>LC</v>
          </cell>
          <cell r="F641" t="str">
            <v>Alexander et al., 2014</v>
          </cell>
          <cell r="G641" t="str">
            <v>NHMSYS0020151225</v>
          </cell>
          <cell r="H641" t="str">
            <v>Anaspis fasciata</v>
          </cell>
        </row>
        <row r="642">
          <cell r="A642" t="str">
            <v>Anaspis frontalis</v>
          </cell>
          <cell r="B642" t="str">
            <v>Darkling beetles and allies</v>
          </cell>
          <cell r="C642" t="str">
            <v>Coleoptera</v>
          </cell>
          <cell r="D642" t="str">
            <v>Anaspis frontalis</v>
          </cell>
          <cell r="E642" t="str">
            <v>LC</v>
          </cell>
          <cell r="F642" t="str">
            <v>Alexander et al., 2014</v>
          </cell>
          <cell r="G642" t="str">
            <v>NBNSYS0000024907</v>
          </cell>
          <cell r="H642" t="str">
            <v>Anaspis frontalis</v>
          </cell>
        </row>
        <row r="643">
          <cell r="A643" t="str">
            <v>Anaspis garneysi</v>
          </cell>
          <cell r="B643" t="str">
            <v>Darkling beetles and allies</v>
          </cell>
          <cell r="C643" t="str">
            <v>Coleoptera</v>
          </cell>
          <cell r="D643" t="str">
            <v>Anaspis garneysi</v>
          </cell>
          <cell r="E643" t="str">
            <v>LC</v>
          </cell>
          <cell r="F643" t="str">
            <v>Alexander et al., 2014</v>
          </cell>
          <cell r="G643" t="str">
            <v>NBNSYS0000024908</v>
          </cell>
          <cell r="H643" t="str">
            <v>Anaspis garneysi</v>
          </cell>
        </row>
        <row r="644">
          <cell r="A644" t="str">
            <v>Anaspis lurida</v>
          </cell>
          <cell r="B644" t="str">
            <v>Darkling beetles and allies</v>
          </cell>
          <cell r="C644" t="str">
            <v>Coleoptera</v>
          </cell>
          <cell r="D644" t="str">
            <v>Anaspis lurida</v>
          </cell>
          <cell r="E644" t="str">
            <v>LC</v>
          </cell>
          <cell r="F644" t="str">
            <v>Alexander et al., 2014</v>
          </cell>
          <cell r="G644" t="str">
            <v>NBNSYS0000024910</v>
          </cell>
          <cell r="H644" t="str">
            <v>Anaspis lurida</v>
          </cell>
        </row>
        <row r="645">
          <cell r="A645" t="str">
            <v>Anaspis maculata</v>
          </cell>
          <cell r="B645" t="str">
            <v>Darkling beetles and allies</v>
          </cell>
          <cell r="C645" t="str">
            <v>Coleoptera</v>
          </cell>
          <cell r="D645" t="str">
            <v>Anaspis maculata</v>
          </cell>
          <cell r="E645" t="str">
            <v>LC</v>
          </cell>
          <cell r="F645" t="str">
            <v>Alexander et al., 2014</v>
          </cell>
          <cell r="G645" t="str">
            <v>NBNSYS0000024911</v>
          </cell>
          <cell r="H645" t="str">
            <v>Anaspis maculata</v>
          </cell>
        </row>
        <row r="646">
          <cell r="A646" t="str">
            <v>Anaspis pulicaria</v>
          </cell>
          <cell r="B646" t="str">
            <v>Darkling beetles and allies</v>
          </cell>
          <cell r="C646" t="str">
            <v>Coleoptera</v>
          </cell>
          <cell r="D646" t="str">
            <v>Anaspis pulicaria</v>
          </cell>
          <cell r="E646" t="str">
            <v>LC</v>
          </cell>
          <cell r="F646" t="str">
            <v>Alexander et al., 2014</v>
          </cell>
          <cell r="G646" t="str">
            <v>NBNSYS0000024913</v>
          </cell>
          <cell r="H646" t="str">
            <v>Anaspis pulicaria</v>
          </cell>
        </row>
        <row r="647">
          <cell r="A647" t="str">
            <v>Anaspis regimbarti</v>
          </cell>
          <cell r="B647" t="str">
            <v>Darkling beetles and allies</v>
          </cell>
          <cell r="C647" t="str">
            <v>Coleoptera</v>
          </cell>
          <cell r="D647" t="str">
            <v>Anaspis regimbarti</v>
          </cell>
          <cell r="E647" t="str">
            <v>LC</v>
          </cell>
          <cell r="F647" t="str">
            <v>Alexander et al., 2014</v>
          </cell>
          <cell r="G647" t="str">
            <v>NBNSYS0000024914</v>
          </cell>
          <cell r="H647" t="str">
            <v>Anaspis regimbarti</v>
          </cell>
        </row>
        <row r="648">
          <cell r="A648" t="str">
            <v>Anaspis rufilabris</v>
          </cell>
          <cell r="B648" t="str">
            <v>Darkling beetles and allies</v>
          </cell>
          <cell r="C648" t="str">
            <v>Coleoptera</v>
          </cell>
          <cell r="D648" t="str">
            <v>Anaspis rufilabris</v>
          </cell>
          <cell r="E648" t="str">
            <v>LC</v>
          </cell>
          <cell r="F648" t="str">
            <v>Alexander et al., 2014</v>
          </cell>
          <cell r="G648" t="str">
            <v>NBNSYS0000024915</v>
          </cell>
          <cell r="H648" t="str">
            <v>Anaspis rufilabris</v>
          </cell>
        </row>
        <row r="649">
          <cell r="A649" t="str">
            <v>Anaspis thoracica</v>
          </cell>
          <cell r="B649" t="str">
            <v>Darkling beetles and allies</v>
          </cell>
          <cell r="C649" t="str">
            <v>Coleoptera</v>
          </cell>
          <cell r="D649" t="str">
            <v>Anaspis thoracica</v>
          </cell>
          <cell r="E649" t="str">
            <v>LC</v>
          </cell>
          <cell r="F649" t="str">
            <v>Alexander et al., 2014</v>
          </cell>
          <cell r="G649" t="str">
            <v>NBNSYS0000024918</v>
          </cell>
          <cell r="H649" t="str">
            <v>Anaspis thoracica</v>
          </cell>
        </row>
        <row r="650">
          <cell r="A650" t="str">
            <v>Anisoxya fuscula</v>
          </cell>
          <cell r="B650" t="str">
            <v>Darkling beetles and allies</v>
          </cell>
          <cell r="C650" t="str">
            <v>Coleoptera</v>
          </cell>
          <cell r="D650" t="str">
            <v>Anisoxya fuscula</v>
          </cell>
          <cell r="E650" t="str">
            <v>LC</v>
          </cell>
          <cell r="F650" t="str">
            <v>Alexander et al., 2014</v>
          </cell>
          <cell r="G650" t="str">
            <v>NBNSYS0000024887</v>
          </cell>
          <cell r="H650" t="str">
            <v>Anisoxya fuscula</v>
          </cell>
        </row>
        <row r="651">
          <cell r="A651" t="str">
            <v>Anthicus angustatus</v>
          </cell>
          <cell r="B651" t="str">
            <v>Darkling beetles and allies</v>
          </cell>
          <cell r="C651" t="str">
            <v>Coleoptera</v>
          </cell>
          <cell r="D651" t="str">
            <v>Anthicus angustatus</v>
          </cell>
          <cell r="E651" t="str">
            <v>VU</v>
          </cell>
          <cell r="F651" t="str">
            <v>Alexander et al., 2014</v>
          </cell>
          <cell r="G651" t="str">
            <v>NBNSYS0000024955</v>
          </cell>
          <cell r="H651" t="str">
            <v>Anthicus angustatus</v>
          </cell>
        </row>
        <row r="652">
          <cell r="A652" t="str">
            <v>Anthicus antherinus</v>
          </cell>
          <cell r="B652" t="str">
            <v>Darkling beetles and allies</v>
          </cell>
          <cell r="C652" t="str">
            <v>Coleoptera</v>
          </cell>
          <cell r="D652" t="str">
            <v>Anthicus antherinus</v>
          </cell>
          <cell r="E652" t="str">
            <v>LC</v>
          </cell>
          <cell r="F652" t="str">
            <v>Alexander et al., 2014</v>
          </cell>
          <cell r="G652" t="str">
            <v>NBNSYS0000024956</v>
          </cell>
          <cell r="H652" t="str">
            <v>Anthicus antherinus</v>
          </cell>
        </row>
        <row r="653">
          <cell r="A653" t="str">
            <v>Anthicus bimaculatus</v>
          </cell>
          <cell r="B653" t="str">
            <v>Darkling beetles and allies</v>
          </cell>
          <cell r="C653" t="str">
            <v>Coleoptera</v>
          </cell>
          <cell r="D653" t="str">
            <v>Anthicus bimaculatus</v>
          </cell>
          <cell r="E653" t="str">
            <v>VU</v>
          </cell>
          <cell r="F653" t="str">
            <v>Alexander et al., 2014</v>
          </cell>
          <cell r="G653" t="str">
            <v>NBNSYS0000024958</v>
          </cell>
          <cell r="H653" t="str">
            <v>Anthicus bimaculatus</v>
          </cell>
        </row>
        <row r="654">
          <cell r="A654" t="str">
            <v>Anthicus flavipes</v>
          </cell>
          <cell r="B654" t="str">
            <v>Darkling beetles and allies</v>
          </cell>
          <cell r="C654" t="str">
            <v>Coleoptera</v>
          </cell>
          <cell r="D654" t="str">
            <v>Anthicus flavipes</v>
          </cell>
          <cell r="E654" t="str">
            <v>LC</v>
          </cell>
          <cell r="F654" t="str">
            <v>Alexander et al., 2014</v>
          </cell>
          <cell r="G654" t="str">
            <v>NHMSYS0020151270</v>
          </cell>
          <cell r="H654" t="str">
            <v>Anthicus flavipes</v>
          </cell>
        </row>
        <row r="655">
          <cell r="A655" t="str">
            <v>Anthicus tristis</v>
          </cell>
          <cell r="B655" t="str">
            <v>Darkling beetles and allies</v>
          </cell>
          <cell r="C655" t="str">
            <v>Coleoptera</v>
          </cell>
          <cell r="D655" t="str">
            <v>Anthicus tristis</v>
          </cell>
          <cell r="E655" t="str">
            <v>VU</v>
          </cell>
          <cell r="F655" t="str">
            <v>Alexander et al., 2014</v>
          </cell>
          <cell r="G655" t="str">
            <v>NBNSYS0000024967</v>
          </cell>
          <cell r="H655" t="str">
            <v>Anthicus tristis</v>
          </cell>
        </row>
        <row r="656">
          <cell r="A656" t="str">
            <v>Bitoma crenata</v>
          </cell>
          <cell r="B656" t="str">
            <v>Darkling beetles and allies</v>
          </cell>
          <cell r="C656" t="str">
            <v>Coleoptera</v>
          </cell>
          <cell r="D656" t="str">
            <v>Bitoma crenata</v>
          </cell>
          <cell r="E656" t="str">
            <v>LC</v>
          </cell>
          <cell r="F656" t="str">
            <v>Alexander et al., 2014</v>
          </cell>
          <cell r="G656" t="str">
            <v>NHMSYS0020151501</v>
          </cell>
          <cell r="H656" t="str">
            <v>Bitoma crenata</v>
          </cell>
        </row>
        <row r="657">
          <cell r="A657" t="str">
            <v>Cicones undatus</v>
          </cell>
          <cell r="B657" t="str">
            <v>Darkling beetles and allies</v>
          </cell>
          <cell r="C657" t="str">
            <v>Coleoptera</v>
          </cell>
          <cell r="D657" t="str">
            <v>Cicones undatus</v>
          </cell>
          <cell r="E657" t="str">
            <v>LC</v>
          </cell>
          <cell r="F657" t="str">
            <v>Alexander et al., 2014</v>
          </cell>
          <cell r="G657" t="str">
            <v>NHMSYS0021366654</v>
          </cell>
          <cell r="H657" t="str">
            <v>Cicones undatus</v>
          </cell>
        </row>
        <row r="658">
          <cell r="A658" t="str">
            <v>Cicones variegatus</v>
          </cell>
          <cell r="B658" t="str">
            <v>Darkling beetles and allies</v>
          </cell>
          <cell r="C658" t="str">
            <v>Coleoptera</v>
          </cell>
          <cell r="D658" t="str">
            <v>Cicones variegatus</v>
          </cell>
          <cell r="E658" t="str">
            <v>LC</v>
          </cell>
          <cell r="F658" t="str">
            <v>Alexander et al., 2014</v>
          </cell>
          <cell r="G658" t="str">
            <v>NHMSYS0021366659</v>
          </cell>
          <cell r="H658" t="str">
            <v>Cicones variegatus</v>
          </cell>
        </row>
        <row r="659">
          <cell r="A659" t="str">
            <v>Colydium elongatum</v>
          </cell>
          <cell r="B659" t="str">
            <v>Darkling beetles and allies</v>
          </cell>
          <cell r="C659" t="str">
            <v>Coleoptera</v>
          </cell>
          <cell r="D659" t="str">
            <v>Colydium elongatum</v>
          </cell>
          <cell r="E659" t="str">
            <v>LC</v>
          </cell>
          <cell r="F659" t="str">
            <v>Alexander et al., 2014</v>
          </cell>
          <cell r="G659" t="str">
            <v>NHMSYS0020151787</v>
          </cell>
          <cell r="H659" t="str">
            <v>Colydium elongatum</v>
          </cell>
        </row>
        <row r="660">
          <cell r="A660" t="str">
            <v>Conopalpus testaceus</v>
          </cell>
          <cell r="B660" t="str">
            <v>Darkling beetles and allies</v>
          </cell>
          <cell r="C660" t="str">
            <v>Coleoptera</v>
          </cell>
          <cell r="D660" t="str">
            <v>Conopalpus testaceus</v>
          </cell>
          <cell r="E660" t="str">
            <v>LC</v>
          </cell>
          <cell r="F660" t="str">
            <v>Alexander et al., 2014</v>
          </cell>
          <cell r="G660" t="str">
            <v>NBNSYS0000024899</v>
          </cell>
          <cell r="H660" t="str">
            <v>Conopalpus testaceus</v>
          </cell>
        </row>
        <row r="661">
          <cell r="A661" t="str">
            <v>Cordicollis instabilis</v>
          </cell>
          <cell r="B661" t="str">
            <v>Darkling beetles and allies</v>
          </cell>
          <cell r="C661" t="str">
            <v>Coleoptera</v>
          </cell>
          <cell r="D661" t="str">
            <v>Cordicollis instabilis</v>
          </cell>
          <cell r="E661" t="str">
            <v>LC</v>
          </cell>
          <cell r="F661" t="str">
            <v>Alexander et al., 2014</v>
          </cell>
          <cell r="G661" t="str">
            <v>NHMSYS0021125752</v>
          </cell>
          <cell r="H661" t="str">
            <v>Cordicollis instabilis</v>
          </cell>
        </row>
        <row r="662">
          <cell r="A662" t="str">
            <v>Corticeus bicolor</v>
          </cell>
          <cell r="B662" t="str">
            <v>Darkling beetles and allies</v>
          </cell>
          <cell r="C662" t="str">
            <v>Coleoptera</v>
          </cell>
          <cell r="D662" t="str">
            <v>Corticeus bicolor</v>
          </cell>
          <cell r="E662" t="str">
            <v>LC</v>
          </cell>
          <cell r="F662" t="str">
            <v>Alexander et al., 2014</v>
          </cell>
          <cell r="G662" t="str">
            <v>NBNSYS0000024846</v>
          </cell>
          <cell r="H662" t="str">
            <v>Corticeus bicolor</v>
          </cell>
        </row>
        <row r="663">
          <cell r="A663" t="str">
            <v>Corticeus unicolor</v>
          </cell>
          <cell r="B663" t="str">
            <v>Darkling beetles and allies</v>
          </cell>
          <cell r="C663" t="str">
            <v>Coleoptera</v>
          </cell>
          <cell r="D663" t="str">
            <v>Corticeus unicolor</v>
          </cell>
          <cell r="E663" t="str">
            <v>LC</v>
          </cell>
          <cell r="F663" t="str">
            <v>Alexander et al., 2014</v>
          </cell>
          <cell r="G663" t="str">
            <v>NBNSYS0000024849</v>
          </cell>
          <cell r="H663" t="str">
            <v>Corticeus unicolor</v>
          </cell>
        </row>
        <row r="664">
          <cell r="A664" t="str">
            <v>Crypticus quisquilius</v>
          </cell>
          <cell r="B664" t="str">
            <v>Darkling beetles and allies</v>
          </cell>
          <cell r="C664" t="str">
            <v>Coleoptera</v>
          </cell>
          <cell r="D664" t="str">
            <v>Crypticus quisquilius</v>
          </cell>
          <cell r="E664" t="str">
            <v>LC</v>
          </cell>
          <cell r="F664" t="str">
            <v>Alexander et al., 2014</v>
          </cell>
          <cell r="G664" t="str">
            <v>NBNSYS0000024828</v>
          </cell>
          <cell r="H664" t="str">
            <v>Crypticus quisquilius</v>
          </cell>
        </row>
        <row r="665">
          <cell r="A665" t="str">
            <v>Cteniopus sulphureus</v>
          </cell>
          <cell r="B665" t="str">
            <v>Darkling beetles and allies</v>
          </cell>
          <cell r="C665" t="str">
            <v>Coleoptera</v>
          </cell>
          <cell r="D665" t="str">
            <v>Cteniopus sulphureus</v>
          </cell>
          <cell r="E665" t="str">
            <v>LC</v>
          </cell>
          <cell r="F665" t="str">
            <v>Alexander et al., 2014</v>
          </cell>
          <cell r="G665" t="str">
            <v>NBNSYS0000024863</v>
          </cell>
          <cell r="H665" t="str">
            <v>Cteniopus sulphureus</v>
          </cell>
        </row>
        <row r="666">
          <cell r="A666" t="str">
            <v>Cyclodinus constrictus</v>
          </cell>
          <cell r="B666" t="str">
            <v>Darkling beetles and allies</v>
          </cell>
          <cell r="C666" t="str">
            <v>Coleoptera</v>
          </cell>
          <cell r="D666" t="str">
            <v>Cyclodinus constrictus</v>
          </cell>
          <cell r="E666" t="str">
            <v>LC</v>
          </cell>
          <cell r="F666" t="str">
            <v>Alexander et al., 2014</v>
          </cell>
          <cell r="G666" t="str">
            <v>NHMSYS0020151970</v>
          </cell>
          <cell r="H666" t="str">
            <v>Cyclodinus constrictus</v>
          </cell>
        </row>
        <row r="667">
          <cell r="A667" t="str">
            <v>Cyclodinus salinus</v>
          </cell>
          <cell r="B667" t="str">
            <v>Darkling beetles and allies</v>
          </cell>
          <cell r="C667" t="str">
            <v>Coleoptera</v>
          </cell>
          <cell r="D667" t="str">
            <v>Cyclodinus salinus</v>
          </cell>
          <cell r="E667" t="str">
            <v>LC</v>
          </cell>
          <cell r="F667" t="str">
            <v>Alexander et al., 2014</v>
          </cell>
          <cell r="G667" t="str">
            <v>NHMSYS0020151974</v>
          </cell>
          <cell r="H667" t="str">
            <v>Cyclodinus salinus</v>
          </cell>
        </row>
        <row r="668">
          <cell r="A668" t="str">
            <v>Diaperis boleti</v>
          </cell>
          <cell r="B668" t="str">
            <v>Darkling beetles and allies</v>
          </cell>
          <cell r="C668" t="str">
            <v>Coleoptera</v>
          </cell>
          <cell r="D668" t="str">
            <v>Diaperis boleti</v>
          </cell>
          <cell r="E668" t="str">
            <v>LC</v>
          </cell>
          <cell r="F668" t="str">
            <v>Alexander et al., 2014</v>
          </cell>
          <cell r="G668" t="str">
            <v>NBNSYS0000024831</v>
          </cell>
          <cell r="H668" t="str">
            <v>Diaperis boleti</v>
          </cell>
        </row>
        <row r="669">
          <cell r="A669" t="str">
            <v>Eledona agricola</v>
          </cell>
          <cell r="B669" t="str">
            <v>Darkling beetles and allies</v>
          </cell>
          <cell r="C669" t="str">
            <v>Coleoptera</v>
          </cell>
          <cell r="D669" t="str">
            <v>Eledona agricola</v>
          </cell>
          <cell r="E669" t="str">
            <v>LC</v>
          </cell>
          <cell r="F669" t="str">
            <v>Alexander et al., 2014</v>
          </cell>
          <cell r="G669" t="str">
            <v>NBNSYS0000024830</v>
          </cell>
          <cell r="H669" t="str">
            <v>Eledona agricola</v>
          </cell>
        </row>
        <row r="670">
          <cell r="A670" t="str">
            <v>Endophloeus markovichianus</v>
          </cell>
          <cell r="B670" t="str">
            <v>Darkling beetles and allies</v>
          </cell>
          <cell r="C670" t="str">
            <v>Coleoptera</v>
          </cell>
          <cell r="D670" t="str">
            <v>Endophloeus markovichianus</v>
          </cell>
          <cell r="E670" t="str">
            <v>RE</v>
          </cell>
          <cell r="F670" t="str">
            <v>Alexander et al., 2014</v>
          </cell>
          <cell r="G670" t="str">
            <v>NBNSYS0000024812</v>
          </cell>
          <cell r="H670" t="str">
            <v>Endophloeus markovichianus</v>
          </cell>
        </row>
        <row r="671">
          <cell r="A671" t="str">
            <v>Euglenes oculatus</v>
          </cell>
          <cell r="B671" t="str">
            <v>Darkling beetles and allies</v>
          </cell>
          <cell r="C671" t="str">
            <v>Coleoptera</v>
          </cell>
          <cell r="D671" t="str">
            <v>Euglenes oculatus</v>
          </cell>
          <cell r="E671" t="str">
            <v>LC</v>
          </cell>
          <cell r="F671" t="str">
            <v>Alexander et al., 2014</v>
          </cell>
          <cell r="G671" t="str">
            <v>NHMSYS0020152143</v>
          </cell>
          <cell r="H671" t="str">
            <v>Euglenes oculatus</v>
          </cell>
        </row>
        <row r="672">
          <cell r="A672" t="str">
            <v>Gonodera luperus</v>
          </cell>
          <cell r="B672" t="str">
            <v>Darkling beetles and allies</v>
          </cell>
          <cell r="C672" t="str">
            <v>Coleoptera</v>
          </cell>
          <cell r="D672" t="str">
            <v>Gonodera luperus</v>
          </cell>
          <cell r="E672" t="str">
            <v>LC</v>
          </cell>
          <cell r="F672" t="str">
            <v>Alexander et al., 2014</v>
          </cell>
          <cell r="G672" t="str">
            <v>NBNSYS0000024859</v>
          </cell>
          <cell r="H672" t="str">
            <v>Gonodera luperus</v>
          </cell>
        </row>
        <row r="673">
          <cell r="A673" t="str">
            <v>Hallomenus notatus</v>
          </cell>
          <cell r="B673" t="str">
            <v>Darkling beetles and allies</v>
          </cell>
          <cell r="C673" t="str">
            <v>Coleoptera</v>
          </cell>
          <cell r="D673" t="str">
            <v>Hallomenus notatus</v>
          </cell>
          <cell r="E673" t="str">
            <v>LC</v>
          </cell>
          <cell r="F673" t="str">
            <v>Alexander et al., 2014</v>
          </cell>
          <cell r="G673" t="str">
            <v>NBNSYS0000024883</v>
          </cell>
          <cell r="H673" t="str">
            <v>Hallomenus notatus</v>
          </cell>
        </row>
        <row r="674">
          <cell r="A674" t="str">
            <v>Helops caeruleus</v>
          </cell>
          <cell r="B674" t="str">
            <v>Darkling beetles and allies</v>
          </cell>
          <cell r="C674" t="str">
            <v>Coleoptera</v>
          </cell>
          <cell r="D674" t="str">
            <v>Helops caeruleus</v>
          </cell>
          <cell r="E674" t="str">
            <v>LC</v>
          </cell>
          <cell r="F674" t="str">
            <v>Alexander et al., 2014</v>
          </cell>
          <cell r="G674" t="str">
            <v>NBNSYS0000024852</v>
          </cell>
          <cell r="H674" t="str">
            <v>Helops caeruleus</v>
          </cell>
        </row>
        <row r="675">
          <cell r="A675" t="str">
            <v>Hypulus quercinus</v>
          </cell>
          <cell r="B675" t="str">
            <v>Darkling beetles and allies</v>
          </cell>
          <cell r="C675" t="str">
            <v>Coleoptera</v>
          </cell>
          <cell r="D675" t="str">
            <v>Hypulus quercinus</v>
          </cell>
          <cell r="E675" t="str">
            <v>LC</v>
          </cell>
          <cell r="F675" t="str">
            <v>Alexander et al., 2014</v>
          </cell>
          <cell r="G675" t="str">
            <v>NBNSYS0000024895</v>
          </cell>
          <cell r="H675" t="str">
            <v>Hypulus quercinus</v>
          </cell>
        </row>
        <row r="676">
          <cell r="A676" t="str">
            <v>Ischnomera caerulea</v>
          </cell>
          <cell r="B676" t="str">
            <v>Darkling beetles and allies</v>
          </cell>
          <cell r="C676" t="str">
            <v>Coleoptera</v>
          </cell>
          <cell r="D676" t="str">
            <v>Ischnomera caerulea</v>
          </cell>
          <cell r="E676" t="str">
            <v>LC</v>
          </cell>
          <cell r="F676" t="str">
            <v>Alexander et al., 2014</v>
          </cell>
          <cell r="G676" t="str">
            <v>NBNSYS0000024939</v>
          </cell>
          <cell r="H676" t="str">
            <v>Ischnomera caerulea</v>
          </cell>
        </row>
        <row r="677">
          <cell r="A677" t="str">
            <v>Ischnomera cinerascens</v>
          </cell>
          <cell r="B677" t="str">
            <v>Darkling beetles and allies</v>
          </cell>
          <cell r="C677" t="str">
            <v>Coleoptera</v>
          </cell>
          <cell r="D677" t="str">
            <v>Ischnomera cinerascens</v>
          </cell>
          <cell r="E677" t="str">
            <v>LC</v>
          </cell>
          <cell r="F677" t="str">
            <v>Alexander et al., 2014</v>
          </cell>
          <cell r="G677" t="str">
            <v>NHMSYS0020152587</v>
          </cell>
          <cell r="H677" t="str">
            <v>Ischnomera cinerascens</v>
          </cell>
        </row>
        <row r="678">
          <cell r="A678" t="str">
            <v>Ischnomera cyanea</v>
          </cell>
          <cell r="B678" t="str">
            <v>Darkling beetles and allies</v>
          </cell>
          <cell r="C678" t="str">
            <v>Coleoptera</v>
          </cell>
          <cell r="D678" t="str">
            <v>Ischnomera cyanea</v>
          </cell>
          <cell r="E678" t="str">
            <v>LC</v>
          </cell>
          <cell r="F678" t="str">
            <v>Alexander et al., 2014</v>
          </cell>
          <cell r="G678" t="str">
            <v>NHMSYS0020152589</v>
          </cell>
          <cell r="H678" t="str">
            <v>Ischnomera cyanea</v>
          </cell>
        </row>
        <row r="679">
          <cell r="A679" t="str">
            <v>Ischnomera sanguinicollis</v>
          </cell>
          <cell r="B679" t="str">
            <v>Darkling beetles and allies</v>
          </cell>
          <cell r="C679" t="str">
            <v>Coleoptera</v>
          </cell>
          <cell r="D679" t="str">
            <v>Ischnomera sanguinicollis</v>
          </cell>
          <cell r="E679" t="str">
            <v>LC</v>
          </cell>
          <cell r="F679" t="str">
            <v>Alexander et al., 2014</v>
          </cell>
          <cell r="G679" t="str">
            <v>NHMSYS0020152591</v>
          </cell>
          <cell r="H679" t="str">
            <v>Ischnomera sanguinicollis</v>
          </cell>
        </row>
        <row r="680">
          <cell r="A680" t="str">
            <v>Isomira murina</v>
          </cell>
          <cell r="B680" t="str">
            <v>Darkling beetles and allies</v>
          </cell>
          <cell r="C680" t="str">
            <v>Coleoptera</v>
          </cell>
          <cell r="D680" t="str">
            <v>Isomira murina</v>
          </cell>
          <cell r="E680" t="str">
            <v>LC</v>
          </cell>
          <cell r="F680" t="str">
            <v>Alexander et al., 2014</v>
          </cell>
          <cell r="G680" t="str">
            <v>NBNSYS0000024861</v>
          </cell>
          <cell r="H680" t="str">
            <v>Isomira murina</v>
          </cell>
        </row>
        <row r="681">
          <cell r="A681" t="str">
            <v>Lagria atripes</v>
          </cell>
          <cell r="B681" t="str">
            <v>Darkling beetles and allies</v>
          </cell>
          <cell r="C681" t="str">
            <v>Coleoptera</v>
          </cell>
          <cell r="D681" t="str">
            <v>Lagria atripes</v>
          </cell>
          <cell r="E681" t="str">
            <v>RE</v>
          </cell>
          <cell r="F681" t="str">
            <v>Alexander et al., 2014</v>
          </cell>
          <cell r="G681" t="str">
            <v>NBNSYS0000024855</v>
          </cell>
          <cell r="H681" t="str">
            <v>Lagria atripes</v>
          </cell>
        </row>
        <row r="682">
          <cell r="A682" t="str">
            <v>Lagria hirta</v>
          </cell>
          <cell r="B682" t="str">
            <v>Darkling beetles and allies</v>
          </cell>
          <cell r="C682" t="str">
            <v>Coleoptera</v>
          </cell>
          <cell r="D682" t="str">
            <v>Lagria hirta</v>
          </cell>
          <cell r="E682" t="str">
            <v>LC</v>
          </cell>
          <cell r="F682" t="str">
            <v>Alexander et al., 2014</v>
          </cell>
          <cell r="G682" t="str">
            <v>NBNSYS0000024856</v>
          </cell>
          <cell r="H682" t="str">
            <v>Lagria hirta</v>
          </cell>
        </row>
        <row r="683">
          <cell r="A683" t="str">
            <v>Lissodema cursor</v>
          </cell>
          <cell r="B683" t="str">
            <v>Darkling beetles and allies</v>
          </cell>
          <cell r="C683" t="str">
            <v>Coleoptera</v>
          </cell>
          <cell r="D683" t="str">
            <v>Lissodema cursor</v>
          </cell>
          <cell r="E683" t="str">
            <v>LC</v>
          </cell>
          <cell r="F683" t="str">
            <v>Alexander et al., 2014</v>
          </cell>
          <cell r="G683" t="str">
            <v>NBNSYS0000024868</v>
          </cell>
          <cell r="H683" t="str">
            <v>Lissodema cursor</v>
          </cell>
        </row>
        <row r="684">
          <cell r="A684" t="str">
            <v>Lissodema denticolle</v>
          </cell>
          <cell r="B684" t="str">
            <v>Darkling beetles and allies</v>
          </cell>
          <cell r="C684" t="str">
            <v>Coleoptera</v>
          </cell>
          <cell r="D684" t="str">
            <v>Lissodema denticolle</v>
          </cell>
          <cell r="E684" t="str">
            <v>LC</v>
          </cell>
          <cell r="F684" t="str">
            <v>Alexander et al., 2014</v>
          </cell>
          <cell r="G684" t="str">
            <v>NHMSYS0021422229</v>
          </cell>
          <cell r="H684" t="str">
            <v>Lissodema denticolle</v>
          </cell>
        </row>
        <row r="685">
          <cell r="A685" t="str">
            <v>Litargus connexus</v>
          </cell>
          <cell r="B685" t="str">
            <v>Darkling beetles and allies</v>
          </cell>
          <cell r="C685" t="str">
            <v>Coleoptera</v>
          </cell>
          <cell r="D685" t="str">
            <v>Litargus connexus</v>
          </cell>
          <cell r="E685" t="str">
            <v>LC</v>
          </cell>
          <cell r="F685" t="str">
            <v>Alexander et al., 2014</v>
          </cell>
          <cell r="G685" t="str">
            <v>NHMSYS0020152434</v>
          </cell>
          <cell r="H685" t="str">
            <v>Litargus connexus</v>
          </cell>
        </row>
        <row r="686">
          <cell r="A686" t="str">
            <v>Lytta vesicatoria</v>
          </cell>
          <cell r="B686" t="str">
            <v>Darkling beetles and allies</v>
          </cell>
          <cell r="C686" t="str">
            <v>Coleoptera</v>
          </cell>
          <cell r="D686" t="str">
            <v>Lytta vesicatoria</v>
          </cell>
          <cell r="E686" t="str">
            <v>LC</v>
          </cell>
          <cell r="F686" t="str">
            <v>Alexander et al., 2014</v>
          </cell>
          <cell r="G686" t="str">
            <v>NBNSYS0000024945</v>
          </cell>
          <cell r="H686" t="str">
            <v>Lytta vesicatoria</v>
          </cell>
        </row>
        <row r="687">
          <cell r="A687" t="str">
            <v>Melandrya barbata</v>
          </cell>
          <cell r="B687" t="str">
            <v>Darkling beetles and allies</v>
          </cell>
          <cell r="C687" t="str">
            <v>Coleoptera</v>
          </cell>
          <cell r="D687" t="str">
            <v>Melandrya barbata</v>
          </cell>
          <cell r="E687" t="str">
            <v>VU</v>
          </cell>
          <cell r="F687" t="str">
            <v>Alexander et al., 2014</v>
          </cell>
          <cell r="G687" t="str">
            <v>NHMSYS0020152543</v>
          </cell>
          <cell r="H687" t="str">
            <v>Melandrya barbata</v>
          </cell>
        </row>
        <row r="688">
          <cell r="A688" t="str">
            <v>Melandrya caraboides</v>
          </cell>
          <cell r="B688" t="str">
            <v>Darkling beetles and allies</v>
          </cell>
          <cell r="C688" t="str">
            <v>Coleoptera</v>
          </cell>
          <cell r="D688" t="str">
            <v>Melandrya caraboides</v>
          </cell>
          <cell r="E688" t="str">
            <v>LC</v>
          </cell>
          <cell r="F688" t="str">
            <v>Alexander et al., 2014</v>
          </cell>
          <cell r="G688" t="str">
            <v>NBNSYS0000024898</v>
          </cell>
          <cell r="H688" t="str">
            <v>Melandrya caraboides</v>
          </cell>
        </row>
        <row r="689">
          <cell r="A689" t="str">
            <v>Melanimon tibialis</v>
          </cell>
          <cell r="B689" t="str">
            <v>Darkling beetles and allies</v>
          </cell>
          <cell r="C689" t="str">
            <v>Coleoptera</v>
          </cell>
          <cell r="D689" t="str">
            <v>Melanimon tibialis</v>
          </cell>
          <cell r="E689" t="str">
            <v>LC</v>
          </cell>
          <cell r="F689" t="str">
            <v>Alexander et al., 2014</v>
          </cell>
          <cell r="G689" t="str">
            <v>NHMSYS0020152548</v>
          </cell>
          <cell r="H689" t="str">
            <v>Melanimon tibialis</v>
          </cell>
        </row>
        <row r="690">
          <cell r="A690" t="str">
            <v>Meloe autumnalis</v>
          </cell>
          <cell r="B690" t="str">
            <v>Darkling beetles and allies</v>
          </cell>
          <cell r="C690" t="str">
            <v>Coleoptera</v>
          </cell>
          <cell r="D690" t="str">
            <v>Meloe autumnalis</v>
          </cell>
          <cell r="E690" t="str">
            <v>RE</v>
          </cell>
          <cell r="F690" t="str">
            <v>Alexander et al., 2014</v>
          </cell>
          <cell r="G690" t="str">
            <v>NBNSYS0000024946</v>
          </cell>
          <cell r="H690" t="str">
            <v>Meloe autumnalis</v>
          </cell>
        </row>
        <row r="691">
          <cell r="A691" t="str">
            <v>Meloe brevicollis</v>
          </cell>
          <cell r="B691" t="str">
            <v>Darkling beetles and allies</v>
          </cell>
          <cell r="C691" t="str">
            <v>Coleoptera</v>
          </cell>
          <cell r="D691" t="str">
            <v>Meloe brevicollis</v>
          </cell>
          <cell r="E691" t="str">
            <v>VU</v>
          </cell>
          <cell r="F691" t="str">
            <v>Alexander et al., 2014</v>
          </cell>
          <cell r="G691" t="str">
            <v>NBNSYS0000024947</v>
          </cell>
          <cell r="H691" t="str">
            <v>Meloe brevicollis</v>
          </cell>
        </row>
        <row r="692">
          <cell r="A692" t="str">
            <v>Meloe cicatricosus</v>
          </cell>
          <cell r="B692" t="str">
            <v>Darkling beetles and allies</v>
          </cell>
          <cell r="C692" t="str">
            <v>Coleoptera</v>
          </cell>
          <cell r="D692" t="str">
            <v>Meloe cicatricosis</v>
          </cell>
          <cell r="E692" t="str">
            <v>RE</v>
          </cell>
          <cell r="F692" t="str">
            <v>Alexander et al., 2014</v>
          </cell>
          <cell r="G692" t="str">
            <v>NHMSYS0020152624</v>
          </cell>
          <cell r="H692" t="str">
            <v>Meloe cicatricosus</v>
          </cell>
        </row>
        <row r="693">
          <cell r="A693" t="str">
            <v>Meloe mediterraneus</v>
          </cell>
          <cell r="B693" t="str">
            <v>Darkling beetles and allies</v>
          </cell>
          <cell r="C693" t="str">
            <v>Coleoptera</v>
          </cell>
          <cell r="D693" t="str">
            <v>Meloe mediterraneus</v>
          </cell>
          <cell r="E693" t="str">
            <v>VU</v>
          </cell>
          <cell r="F693" t="str">
            <v>Alexander et al., 2014</v>
          </cell>
          <cell r="G693" t="str">
            <v>NHMSYS0020152625</v>
          </cell>
          <cell r="H693" t="str">
            <v>Meloe mediterraneus</v>
          </cell>
        </row>
        <row r="694">
          <cell r="A694" t="str">
            <v>Meloe proscarabaeus</v>
          </cell>
          <cell r="B694" t="str">
            <v>Darkling beetles and allies</v>
          </cell>
          <cell r="C694" t="str">
            <v>Coleoptera</v>
          </cell>
          <cell r="D694" t="str">
            <v>Meloe proscarabaeus</v>
          </cell>
          <cell r="E694" t="str">
            <v>LC</v>
          </cell>
          <cell r="F694" t="str">
            <v>Alexander et al., 2014</v>
          </cell>
          <cell r="G694" t="str">
            <v>NBNSYS0000024949</v>
          </cell>
          <cell r="H694" t="str">
            <v>Meloe proscarabaeus</v>
          </cell>
        </row>
        <row r="695">
          <cell r="A695" t="str">
            <v>Meloe rugosus</v>
          </cell>
          <cell r="B695" t="str">
            <v>Darkling beetles and allies</v>
          </cell>
          <cell r="C695" t="str">
            <v>Coleoptera</v>
          </cell>
          <cell r="D695" t="str">
            <v>Meloe rugosus</v>
          </cell>
          <cell r="E695" t="str">
            <v>LC</v>
          </cell>
          <cell r="F695" t="str">
            <v>Alexander et al., 2014</v>
          </cell>
          <cell r="G695" t="str">
            <v>NBNSYS0000024950</v>
          </cell>
          <cell r="H695" t="str">
            <v>Meloe rugosus</v>
          </cell>
        </row>
        <row r="696">
          <cell r="A696" t="str">
            <v>Meloe variegatus</v>
          </cell>
          <cell r="B696" t="str">
            <v>Darkling beetles and allies</v>
          </cell>
          <cell r="C696" t="str">
            <v>Coleoptera</v>
          </cell>
          <cell r="D696" t="str">
            <v>Meloe variegatus</v>
          </cell>
          <cell r="E696" t="str">
            <v>RE</v>
          </cell>
          <cell r="F696" t="str">
            <v>Alexander et al., 2014</v>
          </cell>
          <cell r="G696" t="str">
            <v>NBNSYS0000024951</v>
          </cell>
          <cell r="H696" t="str">
            <v>Meloe variegatus</v>
          </cell>
        </row>
        <row r="697">
          <cell r="A697" t="str">
            <v>Meloe violaceus</v>
          </cell>
          <cell r="B697" t="str">
            <v>Darkling beetles and allies</v>
          </cell>
          <cell r="C697" t="str">
            <v>Coleoptera</v>
          </cell>
          <cell r="D697" t="str">
            <v>Meloe violaceus</v>
          </cell>
          <cell r="E697" t="str">
            <v>LC</v>
          </cell>
          <cell r="F697" t="str">
            <v>Alexander et al., 2014</v>
          </cell>
          <cell r="G697" t="str">
            <v>NBNSYS0000024952</v>
          </cell>
          <cell r="H697" t="str">
            <v>Meloe violaceus</v>
          </cell>
        </row>
        <row r="698">
          <cell r="A698" t="str">
            <v>Metoecus paradoxus</v>
          </cell>
          <cell r="B698" t="str">
            <v>Darkling beetles and allies</v>
          </cell>
          <cell r="C698" t="str">
            <v>Coleoptera</v>
          </cell>
          <cell r="D698" t="str">
            <v>Metoecus paradoxus</v>
          </cell>
          <cell r="E698" t="str">
            <v>LC</v>
          </cell>
          <cell r="F698" t="str">
            <v>Alexander et al., 2014</v>
          </cell>
          <cell r="G698" t="str">
            <v>NBNSYS0000024934</v>
          </cell>
          <cell r="H698" t="str">
            <v>Metoecus paradoxus</v>
          </cell>
        </row>
        <row r="699">
          <cell r="A699" t="str">
            <v>Mordella holomelaena</v>
          </cell>
          <cell r="B699" t="str">
            <v>Darkling beetles and allies</v>
          </cell>
          <cell r="C699" t="str">
            <v>Coleoptera</v>
          </cell>
          <cell r="D699" t="str">
            <v>Mordella holomelaena</v>
          </cell>
          <cell r="E699" t="str">
            <v>VU</v>
          </cell>
          <cell r="F699" t="str">
            <v>Alexander et al., 2014</v>
          </cell>
          <cell r="G699" t="str">
            <v>NBNSYS0000024921</v>
          </cell>
          <cell r="H699" t="str">
            <v>Mordella holomelaena</v>
          </cell>
        </row>
        <row r="700">
          <cell r="A700" t="str">
            <v>Mordella leucaspis</v>
          </cell>
          <cell r="B700" t="str">
            <v>Darkling beetles and allies</v>
          </cell>
          <cell r="C700" t="str">
            <v>Coleoptera</v>
          </cell>
          <cell r="D700" t="str">
            <v>Mordella leucaspis</v>
          </cell>
          <cell r="E700" t="str">
            <v>VU</v>
          </cell>
          <cell r="F700" t="str">
            <v>Alexander et al., 2014</v>
          </cell>
          <cell r="G700" t="str">
            <v>NHMSYS0020152692</v>
          </cell>
          <cell r="H700" t="str">
            <v>Mordella leucaspis</v>
          </cell>
        </row>
        <row r="701">
          <cell r="A701" t="str">
            <v>Mordellistena humeralis</v>
          </cell>
          <cell r="B701" t="str">
            <v>Darkling beetles and allies</v>
          </cell>
          <cell r="C701" t="str">
            <v>Coleoptera</v>
          </cell>
          <cell r="D701" t="str">
            <v>Mordellistena humeralis</v>
          </cell>
          <cell r="E701" t="str">
            <v>LC</v>
          </cell>
          <cell r="F701" t="str">
            <v>Alexander et al., 2014</v>
          </cell>
          <cell r="G701" t="str">
            <v>NBNSYS0000024924</v>
          </cell>
          <cell r="H701" t="str">
            <v>Mordellistena humeralis</v>
          </cell>
        </row>
        <row r="702">
          <cell r="A702" t="str">
            <v>Mordellistena nanuloides</v>
          </cell>
          <cell r="B702" t="str">
            <v>Darkling beetles and allies</v>
          </cell>
          <cell r="C702" t="str">
            <v>Coleoptera</v>
          </cell>
          <cell r="D702" t="str">
            <v>Mordellistena nanuloides</v>
          </cell>
          <cell r="E702" t="str">
            <v>VU</v>
          </cell>
          <cell r="F702" t="str">
            <v>Alexander et al., 2014</v>
          </cell>
          <cell r="G702" t="str">
            <v>NBNSYS0000024930</v>
          </cell>
          <cell r="H702" t="str">
            <v>Mordellistena nanuloides</v>
          </cell>
        </row>
        <row r="703">
          <cell r="A703" t="str">
            <v>Mordellistena neuwaldeggiana</v>
          </cell>
          <cell r="B703" t="str">
            <v>Darkling beetles and allies</v>
          </cell>
          <cell r="C703" t="str">
            <v>Coleoptera</v>
          </cell>
          <cell r="D703" t="str">
            <v>Mordellistena neuwaldeggiana</v>
          </cell>
          <cell r="E703" t="str">
            <v>LC</v>
          </cell>
          <cell r="F703" t="str">
            <v>Alexander et al., 2014</v>
          </cell>
          <cell r="G703" t="str">
            <v>NBNSYS0000024925</v>
          </cell>
          <cell r="H703" t="str">
            <v>Mordellistena neuwaldeggiana</v>
          </cell>
        </row>
        <row r="704">
          <cell r="A704" t="str">
            <v>Mordellistena parvula</v>
          </cell>
          <cell r="B704" t="str">
            <v>Darkling beetles and allies</v>
          </cell>
          <cell r="C704" t="str">
            <v>Coleoptera</v>
          </cell>
          <cell r="D704" t="str">
            <v>Mordellistena parvula</v>
          </cell>
          <cell r="E704" t="str">
            <v>LC</v>
          </cell>
          <cell r="F704" t="str">
            <v>Alexander et al., 2014</v>
          </cell>
          <cell r="G704" t="str">
            <v>NBNSYS0000024926</v>
          </cell>
          <cell r="H704" t="str">
            <v>Mordellistena parvula</v>
          </cell>
        </row>
        <row r="705">
          <cell r="A705" t="str">
            <v>Mordellistena pseudoparvula</v>
          </cell>
          <cell r="B705" t="str">
            <v>Darkling beetles and allies</v>
          </cell>
          <cell r="C705" t="str">
            <v>Coleoptera</v>
          </cell>
          <cell r="D705" t="str">
            <v>Mordellistena pseudoparvula</v>
          </cell>
          <cell r="E705" t="str">
            <v>LC</v>
          </cell>
          <cell r="F705" t="str">
            <v>Alexander et al., 2014</v>
          </cell>
          <cell r="G705" t="str">
            <v>NHMSYS0020919996</v>
          </cell>
          <cell r="H705" t="str">
            <v>Mordellistena pseudoparvula</v>
          </cell>
        </row>
        <row r="706">
          <cell r="A706" t="str">
            <v>Mordellistena pseudopumila</v>
          </cell>
          <cell r="B706" t="str">
            <v>Darkling beetles and allies</v>
          </cell>
          <cell r="C706" t="str">
            <v>Coleoptera</v>
          </cell>
          <cell r="D706" t="str">
            <v>Mordellistena pseudopumila</v>
          </cell>
          <cell r="E706" t="str">
            <v>LC</v>
          </cell>
          <cell r="F706" t="str">
            <v>Alexander et al., 2014</v>
          </cell>
          <cell r="G706" t="str">
            <v>NBNSYS0000024931</v>
          </cell>
          <cell r="H706" t="str">
            <v>Mordellistena pseudopumila</v>
          </cell>
        </row>
        <row r="707">
          <cell r="A707" t="str">
            <v>Mordellistena pumila</v>
          </cell>
          <cell r="B707" t="str">
            <v>Darkling beetles and allies</v>
          </cell>
          <cell r="C707" t="str">
            <v>Coleoptera</v>
          </cell>
          <cell r="D707" t="str">
            <v>Mordellistena pumila</v>
          </cell>
          <cell r="E707" t="str">
            <v>LC</v>
          </cell>
          <cell r="F707" t="str">
            <v>Alexander et al., 2014</v>
          </cell>
          <cell r="G707" t="str">
            <v>NBNSYS0000024927</v>
          </cell>
          <cell r="H707" t="str">
            <v>Mordellistena pumila</v>
          </cell>
        </row>
        <row r="708">
          <cell r="A708" t="str">
            <v>Mordellistena variegata</v>
          </cell>
          <cell r="B708" t="str">
            <v>Darkling beetles and allies</v>
          </cell>
          <cell r="C708" t="str">
            <v>Coleoptera</v>
          </cell>
          <cell r="D708" t="str">
            <v>Mordellistena variegata</v>
          </cell>
          <cell r="E708" t="str">
            <v>LC</v>
          </cell>
          <cell r="F708" t="str">
            <v>Alexander et al., 2014</v>
          </cell>
          <cell r="G708" t="str">
            <v>NBNSYS0000024928</v>
          </cell>
          <cell r="H708" t="str">
            <v>Mordellistena variegata</v>
          </cell>
        </row>
        <row r="709">
          <cell r="A709" t="str">
            <v>Mordellochroa abdominalis</v>
          </cell>
          <cell r="B709" t="str">
            <v>Darkling beetles and allies</v>
          </cell>
          <cell r="C709" t="str">
            <v>Coleoptera</v>
          </cell>
          <cell r="D709" t="str">
            <v>Mordellochroa abdominalis</v>
          </cell>
          <cell r="E709" t="str">
            <v>LC</v>
          </cell>
          <cell r="F709" t="str">
            <v>Alexander et al., 2014</v>
          </cell>
          <cell r="G709" t="str">
            <v>NHMSYS0020152722</v>
          </cell>
          <cell r="H709" t="str">
            <v>Mordellochroa abdominalis</v>
          </cell>
        </row>
        <row r="710">
          <cell r="A710" t="str">
            <v>Mycetochara humeralis</v>
          </cell>
          <cell r="B710" t="str">
            <v>Darkling beetles and allies</v>
          </cell>
          <cell r="C710" t="str">
            <v>Coleoptera</v>
          </cell>
          <cell r="D710" t="str">
            <v>Mycetochara humeralis</v>
          </cell>
          <cell r="E710" t="str">
            <v>LC</v>
          </cell>
          <cell r="F710" t="str">
            <v>Alexander et al., 2014</v>
          </cell>
          <cell r="G710" t="str">
            <v>NHMSYS0020152734</v>
          </cell>
          <cell r="H710" t="str">
            <v>Mycetochara humeralis</v>
          </cell>
        </row>
        <row r="711">
          <cell r="A711" t="str">
            <v>Mycetophagus atomarius</v>
          </cell>
          <cell r="B711" t="str">
            <v>Darkling beetles and allies</v>
          </cell>
          <cell r="C711" t="str">
            <v>Coleoptera</v>
          </cell>
          <cell r="D711" t="str">
            <v>Mycetophagus atomarius</v>
          </cell>
          <cell r="E711" t="str">
            <v>LC</v>
          </cell>
          <cell r="F711" t="str">
            <v>Alexander et al., 2014</v>
          </cell>
          <cell r="G711" t="str">
            <v>NHMSYS0020152738</v>
          </cell>
          <cell r="H711" t="str">
            <v>Mycetophagus atomarius</v>
          </cell>
        </row>
        <row r="712">
          <cell r="A712" t="str">
            <v>Mycetophagus fulvicollis</v>
          </cell>
          <cell r="B712" t="str">
            <v>Darkling beetles and allies</v>
          </cell>
          <cell r="C712" t="str">
            <v>Coleoptera</v>
          </cell>
          <cell r="D712" t="str">
            <v>Mycetophagus fulvicollis</v>
          </cell>
          <cell r="E712" t="str">
            <v>RE</v>
          </cell>
          <cell r="F712" t="str">
            <v>Alexander et al., 2014</v>
          </cell>
          <cell r="G712" t="str">
            <v>NHMSYS0020152739</v>
          </cell>
          <cell r="H712" t="str">
            <v>Mycetophagus fulvicollis</v>
          </cell>
        </row>
        <row r="713">
          <cell r="A713" t="str">
            <v>Mycetophagus multipunctatus</v>
          </cell>
          <cell r="B713" t="str">
            <v>Darkling beetles and allies</v>
          </cell>
          <cell r="C713" t="str">
            <v>Coleoptera</v>
          </cell>
          <cell r="D713" t="str">
            <v>Mycetophagus multipunctatus</v>
          </cell>
          <cell r="E713" t="str">
            <v>LC</v>
          </cell>
          <cell r="F713" t="str">
            <v>Alexander et al., 2014</v>
          </cell>
          <cell r="G713" t="str">
            <v>NHMSYS0020152740</v>
          </cell>
          <cell r="H713" t="str">
            <v>Mycetophagus multipunctatus</v>
          </cell>
        </row>
        <row r="714">
          <cell r="A714" t="str">
            <v>Mycetophagus piceus</v>
          </cell>
          <cell r="B714" t="str">
            <v>Darkling beetles and allies</v>
          </cell>
          <cell r="C714" t="str">
            <v>Coleoptera</v>
          </cell>
          <cell r="D714" t="str">
            <v>Mycetophagus piceus</v>
          </cell>
          <cell r="E714" t="str">
            <v>LC</v>
          </cell>
          <cell r="F714" t="str">
            <v>Alexander et al., 2014</v>
          </cell>
          <cell r="G714" t="str">
            <v>NHMSYS0020152741</v>
          </cell>
          <cell r="H714" t="str">
            <v>Mycetophagus piceus</v>
          </cell>
        </row>
        <row r="715">
          <cell r="A715" t="str">
            <v>Mycetophagus populi</v>
          </cell>
          <cell r="B715" t="str">
            <v>Darkling beetles and allies</v>
          </cell>
          <cell r="C715" t="str">
            <v>Coleoptera</v>
          </cell>
          <cell r="D715" t="str">
            <v>Mycetophagus populi</v>
          </cell>
          <cell r="E715" t="str">
            <v>VU</v>
          </cell>
          <cell r="F715" t="str">
            <v>Alexander et al., 2014</v>
          </cell>
          <cell r="G715" t="str">
            <v>NHMSYS0020152742</v>
          </cell>
          <cell r="H715" t="str">
            <v>Mycetophagus populi</v>
          </cell>
        </row>
        <row r="716">
          <cell r="A716" t="str">
            <v>Mycetophagus quadriguttatus</v>
          </cell>
          <cell r="B716" t="str">
            <v>Darkling beetles and allies</v>
          </cell>
          <cell r="C716" t="str">
            <v>Coleoptera</v>
          </cell>
          <cell r="D716" t="str">
            <v>Mycetophagus quadriguttatus</v>
          </cell>
          <cell r="E716" t="str">
            <v>LC</v>
          </cell>
          <cell r="F716" t="str">
            <v>Alexander et al., 2014</v>
          </cell>
          <cell r="G716" t="str">
            <v>NHMSYS0020152743</v>
          </cell>
          <cell r="H716" t="str">
            <v>Mycetophagus quadriguttatus</v>
          </cell>
        </row>
        <row r="717">
          <cell r="A717" t="str">
            <v>Mycetophagus quadripustulatus</v>
          </cell>
          <cell r="B717" t="str">
            <v>Darkling beetles and allies</v>
          </cell>
          <cell r="C717" t="str">
            <v>Coleoptera</v>
          </cell>
          <cell r="D717" t="str">
            <v>Mycetophagus quadripustulatus</v>
          </cell>
          <cell r="E717" t="str">
            <v>LC</v>
          </cell>
          <cell r="F717" t="str">
            <v>Alexander et al., 2014</v>
          </cell>
          <cell r="G717" t="str">
            <v>NBNSYS0000024801</v>
          </cell>
          <cell r="H717" t="str">
            <v>Mycetophagus quadripustulatus</v>
          </cell>
        </row>
        <row r="718">
          <cell r="A718" t="str">
            <v>Myrmechixenus subterraneus</v>
          </cell>
          <cell r="B718" t="str">
            <v>Darkling beetles and allies</v>
          </cell>
          <cell r="C718" t="str">
            <v>Coleoptera</v>
          </cell>
          <cell r="D718" t="str">
            <v>Myrmechixenus subterraneus</v>
          </cell>
          <cell r="E718" t="str">
            <v>RE</v>
          </cell>
          <cell r="F718" t="str">
            <v>Alexander et al., 2014</v>
          </cell>
          <cell r="G718" t="str">
            <v>NBNSYS0000024803</v>
          </cell>
          <cell r="H718" t="str">
            <v>Myrmechixenus subterraneus</v>
          </cell>
        </row>
        <row r="719">
          <cell r="A719" t="str">
            <v>Nacerdes melanura</v>
          </cell>
          <cell r="B719" t="str">
            <v>Darkling beetles and allies</v>
          </cell>
          <cell r="C719" t="str">
            <v>Coleoptera</v>
          </cell>
          <cell r="D719" t="str">
            <v>Nacerdes melanura</v>
          </cell>
          <cell r="E719" t="str">
            <v>LC</v>
          </cell>
          <cell r="F719" t="str">
            <v>Alexander et al., 2014</v>
          </cell>
          <cell r="G719" t="str">
            <v>NBNSYS0000024935</v>
          </cell>
          <cell r="H719" t="str">
            <v>Nacerdes melanura</v>
          </cell>
        </row>
        <row r="720">
          <cell r="A720" t="str">
            <v>Nalassus laevioctostriatus</v>
          </cell>
          <cell r="B720" t="str">
            <v>Darkling beetles and allies</v>
          </cell>
          <cell r="C720" t="str">
            <v>Coleoptera</v>
          </cell>
          <cell r="D720" t="str">
            <v>Nalassus laevioctostriatus</v>
          </cell>
          <cell r="E720" t="str">
            <v>LC</v>
          </cell>
          <cell r="F720" t="str">
            <v>Alexander et al., 2014</v>
          </cell>
          <cell r="G720" t="str">
            <v>NHMSYS0020152761</v>
          </cell>
          <cell r="H720" t="str">
            <v>Nalassus laevioctostriatus</v>
          </cell>
        </row>
        <row r="721">
          <cell r="A721" t="str">
            <v>Notoxus monoceros</v>
          </cell>
          <cell r="B721" t="str">
            <v>Darkling beetles and allies</v>
          </cell>
          <cell r="C721" t="str">
            <v>Coleoptera</v>
          </cell>
          <cell r="D721" t="str">
            <v>Notoxus monoceros</v>
          </cell>
          <cell r="E721" t="str">
            <v>LC</v>
          </cell>
          <cell r="F721" t="str">
            <v>Alexander et al., 2014</v>
          </cell>
          <cell r="G721" t="str">
            <v>NBNSYS0000024954</v>
          </cell>
          <cell r="H721" t="str">
            <v>Notoxus monoceros</v>
          </cell>
        </row>
        <row r="722">
          <cell r="A722" t="str">
            <v>Oedemera femoralis</v>
          </cell>
          <cell r="B722" t="str">
            <v>Darkling beetles and allies</v>
          </cell>
          <cell r="C722" t="str">
            <v>Coleoptera</v>
          </cell>
          <cell r="D722" t="str">
            <v>Oedemera femoralis</v>
          </cell>
          <cell r="E722" t="str">
            <v>LC</v>
          </cell>
          <cell r="F722" t="str">
            <v>Alexander et al., 2014</v>
          </cell>
          <cell r="G722" t="str">
            <v>NHMSYS0020920000</v>
          </cell>
          <cell r="H722" t="str">
            <v>Oedemera femoralis</v>
          </cell>
        </row>
        <row r="723">
          <cell r="A723" t="str">
            <v>Oedemera lurida</v>
          </cell>
          <cell r="B723" t="str">
            <v>Darkling beetles and allies</v>
          </cell>
          <cell r="C723" t="str">
            <v>Coleoptera</v>
          </cell>
          <cell r="D723" t="str">
            <v>Oedemera lurida</v>
          </cell>
          <cell r="E723" t="str">
            <v>LC</v>
          </cell>
          <cell r="F723" t="str">
            <v>Alexander et al., 2014</v>
          </cell>
          <cell r="G723" t="str">
            <v>NBNSYS0000024942</v>
          </cell>
          <cell r="H723" t="str">
            <v>Oedemera lurida</v>
          </cell>
        </row>
        <row r="724">
          <cell r="A724" t="str">
            <v>Oedemera nobilis</v>
          </cell>
          <cell r="B724" t="str">
            <v>Darkling beetles and allies</v>
          </cell>
          <cell r="C724" t="str">
            <v>Coleoptera</v>
          </cell>
          <cell r="D724" t="str">
            <v>Oedemera nobilis</v>
          </cell>
          <cell r="E724" t="str">
            <v>LC</v>
          </cell>
          <cell r="F724" t="str">
            <v>Alexander et al., 2014</v>
          </cell>
          <cell r="G724" t="str">
            <v>NBNSYS0000024943</v>
          </cell>
          <cell r="H724" t="str">
            <v>Oedemera nobilis</v>
          </cell>
        </row>
        <row r="725">
          <cell r="A725" t="str">
            <v>Oedemera virescens</v>
          </cell>
          <cell r="B725" t="str">
            <v>Darkling beetles and allies</v>
          </cell>
          <cell r="C725" t="str">
            <v>Coleoptera</v>
          </cell>
          <cell r="D725" t="str">
            <v>Oedemera virescens</v>
          </cell>
          <cell r="E725" t="str">
            <v>LC</v>
          </cell>
          <cell r="F725" t="str">
            <v>Alexander et al., 2014</v>
          </cell>
          <cell r="G725" t="str">
            <v>NBNSYS0000024944</v>
          </cell>
          <cell r="H725" t="str">
            <v>Oedemera virescens</v>
          </cell>
        </row>
        <row r="726">
          <cell r="A726" t="str">
            <v>Omonadus floralis</v>
          </cell>
          <cell r="B726" t="str">
            <v>Darkling beetles and allies</v>
          </cell>
          <cell r="C726" t="str">
            <v>Coleoptera</v>
          </cell>
          <cell r="D726" t="str">
            <v>Omonadus floralis</v>
          </cell>
          <cell r="E726" t="str">
            <v>LC</v>
          </cell>
          <cell r="F726" t="str">
            <v>Alexander et al., 2014</v>
          </cell>
          <cell r="G726" t="str">
            <v>NHMSYS0020152845</v>
          </cell>
          <cell r="H726" t="str">
            <v>Omonadus floralis</v>
          </cell>
        </row>
        <row r="727">
          <cell r="A727" t="str">
            <v>Omonadus formicarius</v>
          </cell>
          <cell r="B727" t="str">
            <v>Darkling beetles and allies</v>
          </cell>
          <cell r="C727" t="str">
            <v>Coleoptera</v>
          </cell>
          <cell r="D727" t="str">
            <v>Omonadus formicarius</v>
          </cell>
          <cell r="E727" t="str">
            <v>LC</v>
          </cell>
          <cell r="F727" t="str">
            <v>Alexander et al., 2014</v>
          </cell>
          <cell r="G727" t="str">
            <v>NHMSYS0020152846</v>
          </cell>
          <cell r="H727" t="str">
            <v>Omonadus formicarius</v>
          </cell>
        </row>
        <row r="728">
          <cell r="A728" t="str">
            <v>Omophlus pubescens</v>
          </cell>
          <cell r="B728" t="str">
            <v>Darkling beetles and allies</v>
          </cell>
          <cell r="C728" t="str">
            <v>Coleoptera</v>
          </cell>
          <cell r="D728" t="str">
            <v>Omophlus pubescens</v>
          </cell>
          <cell r="E728" t="str">
            <v>VU</v>
          </cell>
          <cell r="F728" t="str">
            <v>Alexander et al., 2014</v>
          </cell>
          <cell r="G728" t="str">
            <v>NHMSYS0021125467</v>
          </cell>
          <cell r="H728" t="str">
            <v>Omophlus pubescens</v>
          </cell>
        </row>
        <row r="729">
          <cell r="A729" t="str">
            <v>Opatrum sabulosum</v>
          </cell>
          <cell r="B729" t="str">
            <v>Darkling beetles and allies</v>
          </cell>
          <cell r="C729" t="str">
            <v>Coleoptera</v>
          </cell>
          <cell r="D729" t="str">
            <v>Opatrum sabulosum</v>
          </cell>
          <cell r="E729" t="str">
            <v>LC</v>
          </cell>
          <cell r="F729" t="str">
            <v>Alexander et al., 2014</v>
          </cell>
          <cell r="G729" t="str">
            <v>NBNSYS0000024826</v>
          </cell>
          <cell r="H729" t="str">
            <v>Opatrum sabulosum</v>
          </cell>
        </row>
        <row r="730">
          <cell r="A730" t="str">
            <v>Orchesia micans</v>
          </cell>
          <cell r="B730" t="str">
            <v>Darkling beetles and allies</v>
          </cell>
          <cell r="C730" t="str">
            <v>Coleoptera</v>
          </cell>
          <cell r="D730" t="str">
            <v>Orchesia micans</v>
          </cell>
          <cell r="E730" t="str">
            <v>LC</v>
          </cell>
          <cell r="F730" t="str">
            <v>Alexander et al., 2014</v>
          </cell>
          <cell r="G730" t="str">
            <v>NBNSYS0000024884</v>
          </cell>
          <cell r="H730" t="str">
            <v>Orchesia micans</v>
          </cell>
        </row>
        <row r="731">
          <cell r="A731" t="str">
            <v>Orchesia minor</v>
          </cell>
          <cell r="B731" t="str">
            <v>Darkling beetles and allies</v>
          </cell>
          <cell r="C731" t="str">
            <v>Coleoptera</v>
          </cell>
          <cell r="D731" t="str">
            <v>Orchesia minor</v>
          </cell>
          <cell r="E731" t="str">
            <v>LC</v>
          </cell>
          <cell r="F731" t="str">
            <v>Alexander et al., 2014</v>
          </cell>
          <cell r="G731" t="str">
            <v>NBNSYS0000024885</v>
          </cell>
          <cell r="H731" t="str">
            <v>Orchesia minor</v>
          </cell>
        </row>
        <row r="732">
          <cell r="A732" t="str">
            <v>Orchesia undulata</v>
          </cell>
          <cell r="B732" t="str">
            <v>Darkling beetles and allies</v>
          </cell>
          <cell r="C732" t="str">
            <v>Coleoptera</v>
          </cell>
          <cell r="D732" t="str">
            <v>Orchesia undulata</v>
          </cell>
          <cell r="E732" t="str">
            <v>LC</v>
          </cell>
          <cell r="F732" t="str">
            <v>Alexander et al., 2014</v>
          </cell>
          <cell r="G732" t="str">
            <v>NBNSYS0000024886</v>
          </cell>
          <cell r="H732" t="str">
            <v>Orchesia undulata</v>
          </cell>
        </row>
        <row r="733">
          <cell r="A733" t="str">
            <v>Orthocerus clavicornis</v>
          </cell>
          <cell r="B733" t="str">
            <v>Darkling beetles and allies</v>
          </cell>
          <cell r="C733" t="str">
            <v>Coleoptera</v>
          </cell>
          <cell r="D733" t="str">
            <v>Orthocerus clavicornis</v>
          </cell>
          <cell r="E733" t="str">
            <v>LC</v>
          </cell>
          <cell r="F733" t="str">
            <v>Alexander et al., 2014</v>
          </cell>
          <cell r="G733" t="str">
            <v>NBNSYS0000024806</v>
          </cell>
          <cell r="H733" t="str">
            <v>Orthocerus clavicornis</v>
          </cell>
        </row>
        <row r="734">
          <cell r="A734" t="str">
            <v>Osphya bipunctata</v>
          </cell>
          <cell r="B734" t="str">
            <v>Darkling beetles and allies</v>
          </cell>
          <cell r="C734" t="str">
            <v>Coleoptera</v>
          </cell>
          <cell r="D734" t="str">
            <v>Osphya bipunctata</v>
          </cell>
          <cell r="E734" t="str">
            <v>LC</v>
          </cell>
          <cell r="F734" t="str">
            <v>Alexander et al., 2014</v>
          </cell>
          <cell r="G734" t="str">
            <v>NHMSYS0020152917</v>
          </cell>
          <cell r="H734" t="str">
            <v>Osphya bipunctata</v>
          </cell>
        </row>
        <row r="735">
          <cell r="A735" t="str">
            <v>Pentaphyllus testaceus</v>
          </cell>
          <cell r="B735" t="str">
            <v>Darkling beetles and allies</v>
          </cell>
          <cell r="C735" t="str">
            <v>Coleoptera</v>
          </cell>
          <cell r="D735" t="str">
            <v>Pentaphyllus testaceus</v>
          </cell>
          <cell r="E735" t="str">
            <v>VU</v>
          </cell>
          <cell r="F735" t="str">
            <v>Alexander et al., 2014</v>
          </cell>
          <cell r="G735" t="str">
            <v>NBNSYS0000024835</v>
          </cell>
          <cell r="H735" t="str">
            <v>Pentaphyllus testaceus</v>
          </cell>
        </row>
        <row r="736">
          <cell r="A736" t="str">
            <v>Phaleria cadaverina</v>
          </cell>
          <cell r="B736" t="str">
            <v>Darkling beetles and allies</v>
          </cell>
          <cell r="C736" t="str">
            <v>Coleoptera</v>
          </cell>
          <cell r="D736" t="str">
            <v>Phaleria cadaverina</v>
          </cell>
          <cell r="E736" t="str">
            <v>LC</v>
          </cell>
          <cell r="F736" t="str">
            <v>Alexander et al., 2014</v>
          </cell>
          <cell r="G736" t="str">
            <v>NHMSYS0020153033</v>
          </cell>
          <cell r="H736" t="str">
            <v>Phaleria cadaverina</v>
          </cell>
        </row>
        <row r="737">
          <cell r="A737" t="str">
            <v>Phloiotrya vaudoueri</v>
          </cell>
          <cell r="B737" t="str">
            <v>Darkling beetles and allies</v>
          </cell>
          <cell r="C737" t="str">
            <v>Coleoptera</v>
          </cell>
          <cell r="D737" t="str">
            <v>Phloiotrya vaudoueri</v>
          </cell>
          <cell r="E737" t="str">
            <v>LC</v>
          </cell>
          <cell r="F737" t="str">
            <v>Alexander et al., 2014</v>
          </cell>
          <cell r="G737" t="str">
            <v>NBNSYS0000024893</v>
          </cell>
          <cell r="H737" t="str">
            <v>Phloiotrya vaudoueri</v>
          </cell>
        </row>
        <row r="738">
          <cell r="A738" t="str">
            <v>Phylan gibbus</v>
          </cell>
          <cell r="B738" t="str">
            <v>Darkling beetles and allies</v>
          </cell>
          <cell r="C738" t="str">
            <v>Coleoptera</v>
          </cell>
          <cell r="D738" t="str">
            <v>Phylan gibbus</v>
          </cell>
          <cell r="E738" t="str">
            <v>LC</v>
          </cell>
          <cell r="F738" t="str">
            <v>Alexander et al., 2014</v>
          </cell>
          <cell r="G738" t="str">
            <v>NHMSYS0020153059</v>
          </cell>
          <cell r="H738" t="str">
            <v>Phylan gibbus</v>
          </cell>
        </row>
        <row r="739">
          <cell r="A739" t="str">
            <v>Platydema violaceum</v>
          </cell>
          <cell r="B739" t="str">
            <v>Darkling beetles and allies</v>
          </cell>
          <cell r="C739" t="str">
            <v>Coleoptera</v>
          </cell>
          <cell r="D739" t="str">
            <v>Platydema violaceum</v>
          </cell>
          <cell r="E739" t="str">
            <v>LC</v>
          </cell>
          <cell r="F739" t="str">
            <v>Alexander et al., 2014</v>
          </cell>
          <cell r="G739" t="str">
            <v>NHMSYS0021422219</v>
          </cell>
          <cell r="H739" t="str">
            <v>Platydema violaceum</v>
          </cell>
        </row>
        <row r="740">
          <cell r="A740" t="str">
            <v>Prionychus ater</v>
          </cell>
          <cell r="B740" t="str">
            <v>Darkling beetles and allies</v>
          </cell>
          <cell r="C740" t="str">
            <v>Coleoptera</v>
          </cell>
          <cell r="D740" t="str">
            <v>Prionychus ater</v>
          </cell>
          <cell r="E740" t="str">
            <v>LC</v>
          </cell>
          <cell r="F740" t="str">
            <v>Alexander et al., 2014</v>
          </cell>
          <cell r="G740" t="str">
            <v>NHMSYS0020153191</v>
          </cell>
          <cell r="H740" t="str">
            <v>Prionychus ater</v>
          </cell>
        </row>
        <row r="741">
          <cell r="A741" t="str">
            <v>Prionychus melanarius</v>
          </cell>
          <cell r="B741" t="str">
            <v>Darkling beetles and allies</v>
          </cell>
          <cell r="C741" t="str">
            <v>Coleoptera</v>
          </cell>
          <cell r="D741" t="str">
            <v>Prionychus melanarius</v>
          </cell>
          <cell r="E741" t="str">
            <v>LC</v>
          </cell>
          <cell r="F741" t="str">
            <v>Alexander et al., 2014</v>
          </cell>
          <cell r="G741" t="str">
            <v>NBNSYS0000024858</v>
          </cell>
          <cell r="H741" t="str">
            <v>Prionychus melanarius</v>
          </cell>
        </row>
        <row r="742">
          <cell r="A742" t="str">
            <v>Pseudocistela ceramboides</v>
          </cell>
          <cell r="B742" t="str">
            <v>Darkling beetles and allies</v>
          </cell>
          <cell r="C742" t="str">
            <v>Coleoptera</v>
          </cell>
          <cell r="D742" t="str">
            <v>Pseudocistela ceramboides</v>
          </cell>
          <cell r="E742" t="str">
            <v>LC</v>
          </cell>
          <cell r="F742" t="str">
            <v>Alexander et al., 2014</v>
          </cell>
          <cell r="G742" t="str">
            <v>NBNSYS0000024860</v>
          </cell>
          <cell r="H742" t="str">
            <v>Pseudocistela ceramboides</v>
          </cell>
        </row>
        <row r="743">
          <cell r="A743" t="str">
            <v>Pseudotriphyllus suturalis</v>
          </cell>
          <cell r="B743" t="str">
            <v>Darkling beetles and allies</v>
          </cell>
          <cell r="C743" t="str">
            <v>Coleoptera</v>
          </cell>
          <cell r="D743" t="str">
            <v>Pseudotriphyllus suturalis</v>
          </cell>
          <cell r="E743" t="str">
            <v>LC</v>
          </cell>
          <cell r="F743" t="str">
            <v>Alexander et al., 2014</v>
          </cell>
          <cell r="G743" t="str">
            <v>NHMSYS0020153228</v>
          </cell>
          <cell r="H743" t="str">
            <v>Pseudotriphyllus suturalis</v>
          </cell>
        </row>
        <row r="744">
          <cell r="A744" t="str">
            <v>Pyrochroa coccinea</v>
          </cell>
          <cell r="B744" t="str">
            <v>Darkling beetles and allies</v>
          </cell>
          <cell r="C744" t="str">
            <v>Coleoptera</v>
          </cell>
          <cell r="D744" t="str">
            <v>Pyrochroa coccinea</v>
          </cell>
          <cell r="E744" t="str">
            <v>LC</v>
          </cell>
          <cell r="F744" t="str">
            <v>Alexander et al., 2014</v>
          </cell>
          <cell r="G744" t="str">
            <v>NBNSYS0000024880</v>
          </cell>
          <cell r="H744" t="str">
            <v>Pyrochroa coccinea</v>
          </cell>
        </row>
        <row r="745">
          <cell r="A745" t="str">
            <v>Pyrochroa serraticornis</v>
          </cell>
          <cell r="B745" t="str">
            <v>Darkling beetles and allies</v>
          </cell>
          <cell r="C745" t="str">
            <v>Coleoptera</v>
          </cell>
          <cell r="D745" t="str">
            <v>Pyrochroa serraticornis</v>
          </cell>
          <cell r="E745" t="str">
            <v>LC</v>
          </cell>
          <cell r="F745" t="str">
            <v>Alexander et al., 2014</v>
          </cell>
          <cell r="G745" t="str">
            <v>NBNSYS0000024881</v>
          </cell>
          <cell r="H745" t="str">
            <v>Pyrochroa serraticornis</v>
          </cell>
        </row>
        <row r="746">
          <cell r="A746" t="str">
            <v>Rabocerus gabrieli</v>
          </cell>
          <cell r="B746" t="str">
            <v>Darkling beetles and allies</v>
          </cell>
          <cell r="C746" t="str">
            <v>Coleoptera</v>
          </cell>
          <cell r="D746" t="str">
            <v>Rabocerus gabrieli</v>
          </cell>
          <cell r="E746" t="str">
            <v>LC</v>
          </cell>
          <cell r="F746" t="str">
            <v>Alexander et al., 2014</v>
          </cell>
          <cell r="G746" t="str">
            <v>NBNSYS0000024871</v>
          </cell>
          <cell r="H746" t="str">
            <v>Rabocerus gabrieli</v>
          </cell>
        </row>
        <row r="747">
          <cell r="A747" t="str">
            <v>Salpingus planirostris</v>
          </cell>
          <cell r="B747" t="str">
            <v>Darkling beetles and allies</v>
          </cell>
          <cell r="C747" t="str">
            <v>Coleoptera</v>
          </cell>
          <cell r="D747" t="str">
            <v>Salpingus planirostris</v>
          </cell>
          <cell r="E747" t="str">
            <v>LC</v>
          </cell>
          <cell r="F747" t="str">
            <v>Alexander et al., 2014</v>
          </cell>
          <cell r="G747" t="str">
            <v>NHMSYS0020153361</v>
          </cell>
          <cell r="H747" t="str">
            <v>Salpingus planirostris</v>
          </cell>
        </row>
        <row r="748">
          <cell r="A748" t="str">
            <v>Salpingus ruficollis</v>
          </cell>
          <cell r="B748" t="str">
            <v>Darkling beetles and allies</v>
          </cell>
          <cell r="C748" t="str">
            <v>Coleoptera</v>
          </cell>
          <cell r="D748" t="str">
            <v>Salpingus ruficollis</v>
          </cell>
          <cell r="E748" t="str">
            <v>LC</v>
          </cell>
          <cell r="F748" t="str">
            <v>Alexander et al., 2014</v>
          </cell>
          <cell r="G748" t="str">
            <v>NHMSYS0020153362</v>
          </cell>
          <cell r="H748" t="str">
            <v>Salpingus ruficollis</v>
          </cell>
        </row>
        <row r="749">
          <cell r="A749" t="str">
            <v>Scaphidema metallicum</v>
          </cell>
          <cell r="B749" t="str">
            <v>Darkling beetles and allies</v>
          </cell>
          <cell r="C749" t="str">
            <v>Coleoptera</v>
          </cell>
          <cell r="D749" t="str">
            <v>Scaphidema metallicum</v>
          </cell>
          <cell r="E749" t="str">
            <v>LC</v>
          </cell>
          <cell r="F749" t="str">
            <v>Alexander et al., 2014</v>
          </cell>
          <cell r="G749" t="str">
            <v>NHMSYS0021422224</v>
          </cell>
          <cell r="H749" t="str">
            <v>Scaphidema metallicum</v>
          </cell>
        </row>
        <row r="750">
          <cell r="A750" t="str">
            <v>Schizotus pectinicornis</v>
          </cell>
          <cell r="B750" t="str">
            <v>Darkling beetles and allies</v>
          </cell>
          <cell r="C750" t="str">
            <v>Coleoptera</v>
          </cell>
          <cell r="D750" t="str">
            <v>Schizotus pectinicornis</v>
          </cell>
          <cell r="E750" t="str">
            <v>LC</v>
          </cell>
          <cell r="F750" t="str">
            <v>Alexander et al., 2014</v>
          </cell>
          <cell r="G750" t="str">
            <v>NBNSYS0000024882</v>
          </cell>
          <cell r="H750" t="str">
            <v>Schizotus pectinicornis</v>
          </cell>
        </row>
        <row r="751">
          <cell r="A751" t="str">
            <v>Scraptia dubia</v>
          </cell>
          <cell r="B751" t="str">
            <v>Darkling beetles and allies</v>
          </cell>
          <cell r="C751" t="str">
            <v>Coleoptera</v>
          </cell>
          <cell r="D751" t="str">
            <v>Scraptia dubia</v>
          </cell>
          <cell r="E751" t="str">
            <v>RE</v>
          </cell>
          <cell r="F751" t="str">
            <v>Alexander et al., 2014</v>
          </cell>
          <cell r="G751" t="str">
            <v>NBNSYS0000024901</v>
          </cell>
          <cell r="H751" t="str">
            <v>Scraptia dubia</v>
          </cell>
        </row>
        <row r="752">
          <cell r="A752" t="str">
            <v>Scraptia fuscula</v>
          </cell>
          <cell r="B752" t="str">
            <v>Darkling beetles and allies</v>
          </cell>
          <cell r="C752" t="str">
            <v>Coleoptera</v>
          </cell>
          <cell r="D752" t="str">
            <v>Scraptia fuscula</v>
          </cell>
          <cell r="E752" t="str">
            <v>VU</v>
          </cell>
          <cell r="F752" t="str">
            <v>Alexander et al., 2014</v>
          </cell>
          <cell r="G752" t="str">
            <v>NHMSYS0020153386</v>
          </cell>
          <cell r="H752" t="str">
            <v>Scraptia fuscula</v>
          </cell>
        </row>
        <row r="753">
          <cell r="A753" t="str">
            <v>Scraptia testacea</v>
          </cell>
          <cell r="B753" t="str">
            <v>Darkling beetles and allies</v>
          </cell>
          <cell r="C753" t="str">
            <v>Coleoptera</v>
          </cell>
          <cell r="D753" t="str">
            <v>Scraptia testacea</v>
          </cell>
          <cell r="E753" t="str">
            <v>LC</v>
          </cell>
          <cell r="F753" t="str">
            <v>Alexander et al., 2014</v>
          </cell>
          <cell r="G753" t="str">
            <v>NBNSYS0000024903</v>
          </cell>
          <cell r="H753" t="str">
            <v>Scraptia testacea</v>
          </cell>
        </row>
        <row r="754">
          <cell r="A754" t="str">
            <v>Sitaris muralis</v>
          </cell>
          <cell r="B754" t="str">
            <v>Darkling beetles and allies</v>
          </cell>
          <cell r="C754" t="str">
            <v>Coleoptera</v>
          </cell>
          <cell r="D754" t="str">
            <v>Sitaris muralis</v>
          </cell>
          <cell r="E754" t="str">
            <v>VU</v>
          </cell>
          <cell r="F754" t="str">
            <v>Alexander et al., 2014</v>
          </cell>
          <cell r="G754" t="str">
            <v>NHMSYS0020153434</v>
          </cell>
          <cell r="H754" t="str">
            <v>Sitaris muralis</v>
          </cell>
        </row>
        <row r="755">
          <cell r="A755" t="str">
            <v>Sphaeriestes castaneus</v>
          </cell>
          <cell r="B755" t="str">
            <v>Darkling beetles and allies</v>
          </cell>
          <cell r="C755" t="str">
            <v>Coleoptera</v>
          </cell>
          <cell r="D755" t="str">
            <v>Sphaeriestes castaneus</v>
          </cell>
          <cell r="E755" t="str">
            <v>LC</v>
          </cell>
          <cell r="F755" t="str">
            <v>Alexander et al., 2014</v>
          </cell>
          <cell r="G755" t="str">
            <v>NHMSYS0020153479</v>
          </cell>
          <cell r="H755" t="str">
            <v>Sphaeriestes castaneus</v>
          </cell>
        </row>
        <row r="756">
          <cell r="A756" t="str">
            <v>Synchita humeralis</v>
          </cell>
          <cell r="B756" t="str">
            <v>Darkling beetles and allies</v>
          </cell>
          <cell r="C756" t="str">
            <v>Coleoptera</v>
          </cell>
          <cell r="D756" t="str">
            <v>Synchita humeralis</v>
          </cell>
          <cell r="E756" t="str">
            <v>LC</v>
          </cell>
          <cell r="F756" t="str">
            <v>Alexander et al., 2014</v>
          </cell>
          <cell r="G756" t="str">
            <v>NHMSYS0020153564</v>
          </cell>
          <cell r="H756" t="str">
            <v>Synchita humeralis</v>
          </cell>
        </row>
        <row r="757">
          <cell r="A757" t="str">
            <v>Synchita separanda</v>
          </cell>
          <cell r="B757" t="str">
            <v>Darkling beetles and allies</v>
          </cell>
          <cell r="C757" t="str">
            <v>Coleoptera</v>
          </cell>
          <cell r="D757" t="str">
            <v>Synchita separanda</v>
          </cell>
          <cell r="E757" t="str">
            <v>LC</v>
          </cell>
          <cell r="F757" t="str">
            <v>Alexander et al., 2014</v>
          </cell>
          <cell r="G757" t="str">
            <v>NBNSYS0000024808</v>
          </cell>
          <cell r="H757" t="str">
            <v>Synchita separanda</v>
          </cell>
        </row>
        <row r="758">
          <cell r="A758" t="str">
            <v>Tetratoma ancora</v>
          </cell>
          <cell r="B758" t="str">
            <v>Darkling beetles and allies</v>
          </cell>
          <cell r="C758" t="str">
            <v>Coleoptera</v>
          </cell>
          <cell r="D758" t="str">
            <v>Tetratoma ancora</v>
          </cell>
          <cell r="E758" t="str">
            <v>LC</v>
          </cell>
          <cell r="F758" t="str">
            <v>Alexander et al., 2014</v>
          </cell>
          <cell r="G758" t="str">
            <v>NHMSYS0020153604</v>
          </cell>
          <cell r="H758" t="str">
            <v>Tetratoma ancora</v>
          </cell>
        </row>
        <row r="759">
          <cell r="A759" t="str">
            <v>Tetratoma desmarestii</v>
          </cell>
          <cell r="B759" t="str">
            <v>Darkling beetles and allies</v>
          </cell>
          <cell r="C759" t="str">
            <v>Coleoptera</v>
          </cell>
          <cell r="D759" t="str">
            <v>Tetratoma desmarestii</v>
          </cell>
          <cell r="E759" t="str">
            <v>LC</v>
          </cell>
          <cell r="F759" t="str">
            <v>Alexander et al., 2014</v>
          </cell>
          <cell r="G759" t="str">
            <v>NBNSYS0000157831</v>
          </cell>
          <cell r="H759" t="str">
            <v>Tetratoma desmarestii</v>
          </cell>
        </row>
        <row r="760">
          <cell r="A760" t="str">
            <v>Tetratoma fungorum</v>
          </cell>
          <cell r="B760" t="str">
            <v>Darkling beetles and allies</v>
          </cell>
          <cell r="C760" t="str">
            <v>Coleoptera</v>
          </cell>
          <cell r="D760" t="str">
            <v>Tetratoma fungorum</v>
          </cell>
          <cell r="E760" t="str">
            <v>LC</v>
          </cell>
          <cell r="F760" t="str">
            <v>Alexander et al., 2014</v>
          </cell>
          <cell r="G760" t="str">
            <v>NHMSYS0020153606</v>
          </cell>
          <cell r="H760" t="str">
            <v>Tetratoma fungorum</v>
          </cell>
        </row>
        <row r="761">
          <cell r="A761" t="str">
            <v>Tomoxia bucephala</v>
          </cell>
          <cell r="B761" t="str">
            <v>Darkling beetles and allies</v>
          </cell>
          <cell r="C761" t="str">
            <v>Coleoptera</v>
          </cell>
          <cell r="D761" t="str">
            <v>Tomoxia bucephala</v>
          </cell>
          <cell r="E761" t="str">
            <v>LC</v>
          </cell>
          <cell r="F761" t="str">
            <v>Alexander et al., 2014</v>
          </cell>
          <cell r="G761" t="str">
            <v>NHMSYS0020153631</v>
          </cell>
          <cell r="H761" t="str">
            <v>Tomoxia bucephala</v>
          </cell>
        </row>
        <row r="762">
          <cell r="A762" t="str">
            <v>Triphyllus bicolor</v>
          </cell>
          <cell r="B762" t="str">
            <v>Darkling beetles and allies</v>
          </cell>
          <cell r="C762" t="str">
            <v>Coleoptera</v>
          </cell>
          <cell r="D762" t="str">
            <v>Triphyllus bicolor</v>
          </cell>
          <cell r="E762" t="str">
            <v>LC</v>
          </cell>
          <cell r="F762" t="str">
            <v>Alexander et al., 2014</v>
          </cell>
          <cell r="G762" t="str">
            <v>NHMSYS0020153662</v>
          </cell>
          <cell r="H762" t="str">
            <v>Triphyllus bicolor</v>
          </cell>
        </row>
        <row r="763">
          <cell r="A763" t="str">
            <v>Vanonus brevicornis</v>
          </cell>
          <cell r="B763" t="str">
            <v>Darkling beetles and allies</v>
          </cell>
          <cell r="C763" t="str">
            <v>Coleoptera</v>
          </cell>
          <cell r="D763" t="str">
            <v>Vanonus brevicornis</v>
          </cell>
          <cell r="E763" t="str">
            <v>VU</v>
          </cell>
          <cell r="F763" t="str">
            <v>Alexander et al., 2014</v>
          </cell>
          <cell r="G763" t="str">
            <v>NHMSYS0020153710</v>
          </cell>
          <cell r="H763" t="str">
            <v>Vanonus brevicornis</v>
          </cell>
        </row>
        <row r="764">
          <cell r="A764" t="str">
            <v>Variimorda villosa</v>
          </cell>
          <cell r="B764" t="str">
            <v>Darkling beetles and allies</v>
          </cell>
          <cell r="C764" t="str">
            <v>Coleoptera</v>
          </cell>
          <cell r="D764" t="str">
            <v>Variimorda villosa</v>
          </cell>
          <cell r="E764" t="str">
            <v>LC</v>
          </cell>
          <cell r="F764" t="str">
            <v>Alexander et al., 2014</v>
          </cell>
          <cell r="G764" t="str">
            <v>NBNSYS0000024920</v>
          </cell>
          <cell r="H764" t="str">
            <v>Variimorda villosa</v>
          </cell>
        </row>
        <row r="765">
          <cell r="A765" t="str">
            <v>Vincenzellus ruficollis</v>
          </cell>
          <cell r="B765" t="str">
            <v>Darkling beetles and allies</v>
          </cell>
          <cell r="C765" t="str">
            <v>Coleoptera</v>
          </cell>
          <cell r="D765" t="str">
            <v>Vincenzellus ruficollis</v>
          </cell>
          <cell r="E765" t="str">
            <v>LC</v>
          </cell>
          <cell r="F765" t="str">
            <v>Alexander et al., 2014</v>
          </cell>
          <cell r="G765" t="str">
            <v>NBNSYS0000024875</v>
          </cell>
          <cell r="H765" t="str">
            <v>Vincenzellus ruficollis</v>
          </cell>
        </row>
        <row r="766">
          <cell r="A766" t="str">
            <v>Xanthomus pallidus</v>
          </cell>
          <cell r="B766" t="str">
            <v>Darkling beetles and allies</v>
          </cell>
          <cell r="C766" t="str">
            <v>Coleoptera</v>
          </cell>
          <cell r="D766" t="str">
            <v>Xanthomus pallidus</v>
          </cell>
          <cell r="E766" t="str">
            <v>LC</v>
          </cell>
          <cell r="F766" t="str">
            <v>Alexander et al., 2014</v>
          </cell>
          <cell r="G766" t="str">
            <v>NHMSYS0020153725</v>
          </cell>
          <cell r="H766" t="str">
            <v>Xanthomus pallidus</v>
          </cell>
        </row>
        <row r="767">
          <cell r="A767" t="str">
            <v>Aeshna caerulea</v>
          </cell>
          <cell r="B767" t="str">
            <v>Dragonflies and damselflies</v>
          </cell>
          <cell r="C767" t="str">
            <v>Odonata</v>
          </cell>
          <cell r="D767" t="str">
            <v>Aeshna caerulea</v>
          </cell>
          <cell r="E767" t="str">
            <v>VU</v>
          </cell>
          <cell r="F767" t="str">
            <v>Daguet et al., 2008</v>
          </cell>
          <cell r="G767" t="str">
            <v>NBNSYS0000005623</v>
          </cell>
          <cell r="H767" t="str">
            <v>Aeshna caerulea</v>
          </cell>
        </row>
        <row r="768">
          <cell r="A768" t="str">
            <v>Aeshna cyanea</v>
          </cell>
          <cell r="B768" t="str">
            <v>Dragonflies and damselflies</v>
          </cell>
          <cell r="C768" t="str">
            <v>Odonata</v>
          </cell>
          <cell r="D768" t="str">
            <v>Aeshna cyanea</v>
          </cell>
          <cell r="E768" t="str">
            <v>LC</v>
          </cell>
          <cell r="F768" t="str">
            <v>Daguet et al., 2008</v>
          </cell>
          <cell r="G768" t="str">
            <v>NBNSYS0000005626</v>
          </cell>
          <cell r="H768" t="str">
            <v>Aeshna cyanea</v>
          </cell>
        </row>
        <row r="769">
          <cell r="A769" t="str">
            <v>Aeshna grandis</v>
          </cell>
          <cell r="B769" t="str">
            <v>Dragonflies and damselflies</v>
          </cell>
          <cell r="C769" t="str">
            <v>Odonata</v>
          </cell>
          <cell r="D769" t="str">
            <v>Aeshna grandis</v>
          </cell>
          <cell r="E769" t="str">
            <v>LC</v>
          </cell>
          <cell r="F769" t="str">
            <v>Daguet et al., 2008</v>
          </cell>
          <cell r="G769" t="str">
            <v>NBNSYS0000005625</v>
          </cell>
          <cell r="H769" t="str">
            <v>Aeshna grandis</v>
          </cell>
        </row>
        <row r="770">
          <cell r="A770" t="str">
            <v>Aeshna isosceles</v>
          </cell>
          <cell r="B770" t="str">
            <v>Dragonflies and damselflies</v>
          </cell>
          <cell r="C770" t="str">
            <v>Odonata</v>
          </cell>
          <cell r="D770" t="str">
            <v>Aeshna isosceles</v>
          </cell>
          <cell r="E770" t="str">
            <v>EN</v>
          </cell>
          <cell r="F770" t="str">
            <v>Daguet et al., 2008</v>
          </cell>
          <cell r="G770" t="str">
            <v>NHMSYS0021009091</v>
          </cell>
          <cell r="H770" t="str">
            <v>Aeshna isosceles</v>
          </cell>
        </row>
        <row r="771">
          <cell r="A771" t="str">
            <v>Aeshna juncea</v>
          </cell>
          <cell r="B771" t="str">
            <v>Dragonflies and damselflies</v>
          </cell>
          <cell r="C771" t="str">
            <v>Odonata</v>
          </cell>
          <cell r="D771" t="str">
            <v>Aeshna juncea</v>
          </cell>
          <cell r="E771" t="str">
            <v>LC</v>
          </cell>
          <cell r="F771" t="str">
            <v>Daguet et al., 2008</v>
          </cell>
          <cell r="G771" t="str">
            <v>NBNSYS0000005624</v>
          </cell>
          <cell r="H771" t="str">
            <v>Aeshna juncea</v>
          </cell>
        </row>
        <row r="772">
          <cell r="A772" t="str">
            <v>Aeshna mixta</v>
          </cell>
          <cell r="B772" t="str">
            <v>Dragonflies and damselflies</v>
          </cell>
          <cell r="C772" t="str">
            <v>Odonata</v>
          </cell>
          <cell r="D772" t="str">
            <v>Aeshna mixta</v>
          </cell>
          <cell r="E772" t="str">
            <v>LC</v>
          </cell>
          <cell r="F772" t="str">
            <v>Daguet et al., 2008</v>
          </cell>
          <cell r="G772" t="str">
            <v>NBNSYS0000005627</v>
          </cell>
          <cell r="H772" t="str">
            <v>Aeshna mixta</v>
          </cell>
        </row>
        <row r="773">
          <cell r="A773" t="str">
            <v>Anax imperator</v>
          </cell>
          <cell r="B773" t="str">
            <v>Dragonflies and damselflies</v>
          </cell>
          <cell r="C773" t="str">
            <v>Odonata</v>
          </cell>
          <cell r="D773" t="str">
            <v>Anax imperator</v>
          </cell>
          <cell r="E773" t="str">
            <v>LC</v>
          </cell>
          <cell r="F773" t="str">
            <v>Daguet et al., 2008</v>
          </cell>
          <cell r="G773" t="str">
            <v>NBNSYS0000005630</v>
          </cell>
          <cell r="H773" t="str">
            <v>Anax imperator</v>
          </cell>
        </row>
        <row r="774">
          <cell r="A774" t="str">
            <v>Brachytron pratense</v>
          </cell>
          <cell r="B774" t="str">
            <v>Dragonflies and damselflies</v>
          </cell>
          <cell r="C774" t="str">
            <v>Odonata</v>
          </cell>
          <cell r="D774" t="str">
            <v>Brachytron pratense</v>
          </cell>
          <cell r="E774" t="str">
            <v>LC</v>
          </cell>
          <cell r="F774" t="str">
            <v>Daguet et al., 2008</v>
          </cell>
          <cell r="G774" t="str">
            <v>NBNSYS0000005622</v>
          </cell>
          <cell r="H774" t="str">
            <v>Brachytron pratense</v>
          </cell>
        </row>
        <row r="775">
          <cell r="A775" t="str">
            <v>Calopteryx splendens</v>
          </cell>
          <cell r="B775" t="str">
            <v>Dragonflies and damselflies</v>
          </cell>
          <cell r="C775" t="str">
            <v>Odonata</v>
          </cell>
          <cell r="D775" t="str">
            <v>Calopteryx splendens</v>
          </cell>
          <cell r="E775" t="str">
            <v>LC</v>
          </cell>
          <cell r="F775" t="str">
            <v>Daguet et al., 2008</v>
          </cell>
          <cell r="G775" t="str">
            <v>NBNSYS0000005617</v>
          </cell>
          <cell r="H775" t="str">
            <v>Calopteryx splendens</v>
          </cell>
        </row>
        <row r="776">
          <cell r="A776" t="str">
            <v>Calopteryx virgo</v>
          </cell>
          <cell r="B776" t="str">
            <v>Dragonflies and damselflies</v>
          </cell>
          <cell r="C776" t="str">
            <v>Odonata</v>
          </cell>
          <cell r="D776" t="str">
            <v>Calopteryx virgo</v>
          </cell>
          <cell r="E776" t="str">
            <v>LC</v>
          </cell>
          <cell r="F776" t="str">
            <v>Daguet et al., 2008</v>
          </cell>
          <cell r="G776" t="str">
            <v>NBNSYS0000005616</v>
          </cell>
          <cell r="H776" t="str">
            <v>Calopteryx virgo</v>
          </cell>
        </row>
        <row r="777">
          <cell r="A777" t="str">
            <v>Ceriagrion tenellum</v>
          </cell>
          <cell r="B777" t="str">
            <v>Dragonflies and damselflies</v>
          </cell>
          <cell r="C777" t="str">
            <v>Odonata</v>
          </cell>
          <cell r="D777" t="str">
            <v>Ceriagrion tenellum</v>
          </cell>
          <cell r="E777" t="str">
            <v>LC</v>
          </cell>
          <cell r="F777" t="str">
            <v>Daguet et al., 2008</v>
          </cell>
          <cell r="G777" t="str">
            <v>NBNSYS0000005611</v>
          </cell>
          <cell r="H777" t="str">
            <v>Ceriagrion tenellum</v>
          </cell>
        </row>
        <row r="778">
          <cell r="A778" t="str">
            <v>Coenagrion armatum</v>
          </cell>
          <cell r="B778" t="str">
            <v>Dragonflies and damselflies</v>
          </cell>
          <cell r="C778" t="str">
            <v>Odonata</v>
          </cell>
          <cell r="D778" t="str">
            <v>Coenagrion armatum</v>
          </cell>
          <cell r="E778" t="str">
            <v>RE</v>
          </cell>
          <cell r="F778" t="str">
            <v>Daguet et al., 2008</v>
          </cell>
          <cell r="G778" t="str">
            <v>NBNSYS0000005608</v>
          </cell>
          <cell r="H778" t="str">
            <v>Coenagrion armatum</v>
          </cell>
        </row>
        <row r="779">
          <cell r="A779" t="str">
            <v>Coenagrion mercuriale</v>
          </cell>
          <cell r="B779" t="str">
            <v>Dragonflies and damselflies</v>
          </cell>
          <cell r="C779" t="str">
            <v>Odonata</v>
          </cell>
          <cell r="D779" t="str">
            <v>Coenagrion mercuriale</v>
          </cell>
          <cell r="E779" t="str">
            <v>EN</v>
          </cell>
          <cell r="F779" t="str">
            <v>Daguet et al., 2008</v>
          </cell>
          <cell r="G779" t="str">
            <v>NBNSYS0000005603</v>
          </cell>
          <cell r="H779" t="str">
            <v>Coenagrion mercuriale</v>
          </cell>
        </row>
        <row r="780">
          <cell r="A780" t="str">
            <v>Coenagrion puella</v>
          </cell>
          <cell r="B780" t="str">
            <v>Dragonflies and damselflies</v>
          </cell>
          <cell r="C780" t="str">
            <v>Odonata</v>
          </cell>
          <cell r="D780" t="str">
            <v>Coenagrion puella</v>
          </cell>
          <cell r="E780" t="str">
            <v>LC</v>
          </cell>
          <cell r="F780" t="str">
            <v>Daguet et al., 2008</v>
          </cell>
          <cell r="G780" t="str">
            <v>NBNSYS0000005606</v>
          </cell>
          <cell r="H780" t="str">
            <v>Coenagrion puella</v>
          </cell>
        </row>
        <row r="781">
          <cell r="A781" t="str">
            <v>Coenagrion pulchellum</v>
          </cell>
          <cell r="B781" t="str">
            <v>Dragonflies and damselflies</v>
          </cell>
          <cell r="C781" t="str">
            <v>Odonata</v>
          </cell>
          <cell r="D781" t="str">
            <v>Coenagrion pulchellum</v>
          </cell>
          <cell r="E781" t="str">
            <v>NT</v>
          </cell>
          <cell r="F781" t="str">
            <v>Daguet et al., 2008</v>
          </cell>
          <cell r="G781" t="str">
            <v>NBNSYS0000005605</v>
          </cell>
          <cell r="H781" t="str">
            <v>Coenagrion pulchellum</v>
          </cell>
        </row>
        <row r="782">
          <cell r="A782" t="str">
            <v>Coenagrion scitulum</v>
          </cell>
          <cell r="B782" t="str">
            <v>Dragonflies and damselflies</v>
          </cell>
          <cell r="C782" t="str">
            <v>Odonata</v>
          </cell>
          <cell r="D782" t="str">
            <v>Coenagrion scitulum</v>
          </cell>
          <cell r="E782" t="str">
            <v>RE</v>
          </cell>
          <cell r="F782" t="str">
            <v>Daguet et al., 2008</v>
          </cell>
          <cell r="G782" t="str">
            <v>NBNSYS0000005604</v>
          </cell>
          <cell r="H782" t="str">
            <v>Coenagrion scitulum</v>
          </cell>
        </row>
        <row r="783">
          <cell r="A783" t="str">
            <v>Cordulegaster boltonii</v>
          </cell>
          <cell r="B783" t="str">
            <v>Dragonflies and damselflies</v>
          </cell>
          <cell r="C783" t="str">
            <v>Odonata</v>
          </cell>
          <cell r="D783" t="str">
            <v>Cordulegaster boltonii</v>
          </cell>
          <cell r="E783" t="str">
            <v>LC</v>
          </cell>
          <cell r="F783" t="str">
            <v>Daguet et al., 2008</v>
          </cell>
          <cell r="G783" t="str">
            <v>NBNSYS0000005621</v>
          </cell>
          <cell r="H783" t="str">
            <v>Cordulegaster boltonii</v>
          </cell>
        </row>
        <row r="784">
          <cell r="A784" t="str">
            <v>Cordulia aenea</v>
          </cell>
          <cell r="B784" t="str">
            <v>Dragonflies and damselflies</v>
          </cell>
          <cell r="C784" t="str">
            <v>Odonata</v>
          </cell>
          <cell r="D784" t="str">
            <v>Cordulia aenea</v>
          </cell>
          <cell r="E784" t="str">
            <v>LC</v>
          </cell>
          <cell r="F784" t="str">
            <v>Daguet et al., 2008</v>
          </cell>
          <cell r="G784" t="str">
            <v>NBNSYS0000005632</v>
          </cell>
          <cell r="H784" t="str">
            <v>Cordulia aenea</v>
          </cell>
        </row>
        <row r="785">
          <cell r="A785" t="str">
            <v>Enallagma cyathigerum</v>
          </cell>
          <cell r="B785" t="str">
            <v>Dragonflies and damselflies</v>
          </cell>
          <cell r="C785" t="str">
            <v>Odonata</v>
          </cell>
          <cell r="D785" t="str">
            <v>Enallagma cyathigerum</v>
          </cell>
          <cell r="E785" t="str">
            <v>LC</v>
          </cell>
          <cell r="F785" t="str">
            <v>Daguet et al., 2008</v>
          </cell>
          <cell r="G785" t="str">
            <v>NBNSYS0000005602</v>
          </cell>
          <cell r="H785" t="str">
            <v>Enallagma cyathigerum</v>
          </cell>
        </row>
        <row r="786">
          <cell r="A786" t="str">
            <v>Erythromma najas</v>
          </cell>
          <cell r="B786" t="str">
            <v>Dragonflies and damselflies</v>
          </cell>
          <cell r="C786" t="str">
            <v>Odonata</v>
          </cell>
          <cell r="D786" t="str">
            <v>Erythromma najas</v>
          </cell>
          <cell r="E786" t="str">
            <v>LC</v>
          </cell>
          <cell r="F786" t="str">
            <v>Daguet et al., 2008</v>
          </cell>
          <cell r="G786" t="str">
            <v>NBNSYS0000005610</v>
          </cell>
          <cell r="H786" t="str">
            <v>Erythromma najas</v>
          </cell>
        </row>
        <row r="787">
          <cell r="A787" t="str">
            <v>Gomphus vulgatissimus</v>
          </cell>
          <cell r="B787" t="str">
            <v>Dragonflies and damselflies</v>
          </cell>
          <cell r="C787" t="str">
            <v>Odonata</v>
          </cell>
          <cell r="D787" t="str">
            <v>Gomphus vulgatissimus</v>
          </cell>
          <cell r="E787" t="str">
            <v>NT</v>
          </cell>
          <cell r="F787" t="str">
            <v>Daguet et al., 2008</v>
          </cell>
          <cell r="G787" t="str">
            <v>NBNSYS0000005620</v>
          </cell>
          <cell r="H787" t="str">
            <v>Gomphus vulgatissimus</v>
          </cell>
        </row>
        <row r="788">
          <cell r="A788" t="str">
            <v>Ischnura elegans</v>
          </cell>
          <cell r="B788" t="str">
            <v>Dragonflies and damselflies</v>
          </cell>
          <cell r="C788" t="str">
            <v>Odonata</v>
          </cell>
          <cell r="D788" t="str">
            <v>Ischnura elegans</v>
          </cell>
          <cell r="E788" t="str">
            <v>LC</v>
          </cell>
          <cell r="F788" t="str">
            <v>Daguet et al., 2008</v>
          </cell>
          <cell r="G788" t="str">
            <v>NHMSYS0000344179</v>
          </cell>
          <cell r="H788" t="str">
            <v>Ischnura elegans</v>
          </cell>
        </row>
        <row r="789">
          <cell r="A789" t="str">
            <v>Ischnura pumilio</v>
          </cell>
          <cell r="B789" t="str">
            <v>Dragonflies and damselflies</v>
          </cell>
          <cell r="C789" t="str">
            <v>Odonata</v>
          </cell>
          <cell r="D789" t="str">
            <v>Ischnura pumilio</v>
          </cell>
          <cell r="E789" t="str">
            <v>NT</v>
          </cell>
          <cell r="F789" t="str">
            <v>Daguet et al., 2008</v>
          </cell>
          <cell r="G789" t="str">
            <v>NBNSYS0000005601</v>
          </cell>
          <cell r="H789" t="str">
            <v>Ischnura pumilio</v>
          </cell>
        </row>
        <row r="790">
          <cell r="A790" t="str">
            <v>Lestes dryas</v>
          </cell>
          <cell r="B790" t="str">
            <v>Dragonflies and damselflies</v>
          </cell>
          <cell r="C790" t="str">
            <v>Odonata</v>
          </cell>
          <cell r="D790" t="str">
            <v>Lestes dryas</v>
          </cell>
          <cell r="E790" t="str">
            <v>NT</v>
          </cell>
          <cell r="F790" t="str">
            <v>Daguet et al., 2008</v>
          </cell>
          <cell r="G790" t="str">
            <v>NBNSYS0000005614</v>
          </cell>
          <cell r="H790" t="str">
            <v>Lestes dryas</v>
          </cell>
        </row>
        <row r="791">
          <cell r="A791" t="str">
            <v>Lestes sponsa</v>
          </cell>
          <cell r="B791" t="str">
            <v>Dragonflies and damselflies</v>
          </cell>
          <cell r="C791" t="str">
            <v>Odonata</v>
          </cell>
          <cell r="D791" t="str">
            <v>Lestes sponsa</v>
          </cell>
          <cell r="E791" t="str">
            <v>LC</v>
          </cell>
          <cell r="F791" t="str">
            <v>Daguet et al., 2008</v>
          </cell>
          <cell r="G791" t="str">
            <v>NBNSYS0000005613</v>
          </cell>
          <cell r="H791" t="str">
            <v>Lestes sponsa</v>
          </cell>
        </row>
        <row r="792">
          <cell r="A792" t="str">
            <v>Leucorrhinia dubia</v>
          </cell>
          <cell r="B792" t="str">
            <v>Dragonflies and damselflies</v>
          </cell>
          <cell r="C792" t="str">
            <v>Odonata</v>
          </cell>
          <cell r="D792" t="str">
            <v>Leucorrhinia dubia</v>
          </cell>
          <cell r="E792" t="str">
            <v>EN</v>
          </cell>
          <cell r="F792" t="str">
            <v>Daguet et al., 2008</v>
          </cell>
          <cell r="G792" t="str">
            <v>NHMSYS0020546892</v>
          </cell>
          <cell r="H792" t="str">
            <v>Leucorrhinia dubia</v>
          </cell>
        </row>
        <row r="793">
          <cell r="A793" t="str">
            <v>Libellula depressa</v>
          </cell>
          <cell r="B793" t="str">
            <v>Dragonflies and damselflies</v>
          </cell>
          <cell r="C793" t="str">
            <v>Odonata</v>
          </cell>
          <cell r="D793" t="str">
            <v>Libellula depressa</v>
          </cell>
          <cell r="E793" t="str">
            <v>LC</v>
          </cell>
          <cell r="F793" t="str">
            <v>Daguet et al., 2008</v>
          </cell>
          <cell r="G793" t="str">
            <v>NBNSYS0000005637</v>
          </cell>
          <cell r="H793" t="str">
            <v>Libellula depressa</v>
          </cell>
        </row>
        <row r="794">
          <cell r="A794" t="str">
            <v>Libellula fulva</v>
          </cell>
          <cell r="B794" t="str">
            <v>Dragonflies and damselflies</v>
          </cell>
          <cell r="C794" t="str">
            <v>Odonata</v>
          </cell>
          <cell r="D794" t="str">
            <v>Libellula fulva</v>
          </cell>
          <cell r="E794" t="str">
            <v>NT</v>
          </cell>
          <cell r="F794" t="str">
            <v>Daguet et al., 2008</v>
          </cell>
          <cell r="G794" t="str">
            <v>NBNSYS0000005638</v>
          </cell>
          <cell r="H794" t="str">
            <v>Libellula fulva</v>
          </cell>
        </row>
        <row r="795">
          <cell r="A795" t="str">
            <v>Libellula quadrimaculata</v>
          </cell>
          <cell r="B795" t="str">
            <v>Dragonflies and damselflies</v>
          </cell>
          <cell r="C795" t="str">
            <v>Odonata</v>
          </cell>
          <cell r="D795" t="str">
            <v>Libellula quadrimaculata</v>
          </cell>
          <cell r="E795" t="str">
            <v>LC</v>
          </cell>
          <cell r="F795" t="str">
            <v>Daguet et al., 2008</v>
          </cell>
          <cell r="G795" t="str">
            <v>NBNSYS0000005639</v>
          </cell>
          <cell r="H795" t="str">
            <v>Libellula quadrimaculata</v>
          </cell>
        </row>
        <row r="796">
          <cell r="A796" t="str">
            <v>Orthetrum cancellatum</v>
          </cell>
          <cell r="B796" t="str">
            <v>Dragonflies and damselflies</v>
          </cell>
          <cell r="C796" t="str">
            <v>Odonata</v>
          </cell>
          <cell r="D796" t="str">
            <v>Orthetrum cancellatum</v>
          </cell>
          <cell r="E796" t="str">
            <v>LC</v>
          </cell>
          <cell r="F796" t="str">
            <v>Daguet et al., 2008</v>
          </cell>
          <cell r="G796" t="str">
            <v>NBNSYS0000005641</v>
          </cell>
          <cell r="H796" t="str">
            <v>Orthetrum cancellatum</v>
          </cell>
        </row>
        <row r="797">
          <cell r="A797" t="str">
            <v>Orthetrum coerulescens</v>
          </cell>
          <cell r="B797" t="str">
            <v>Dragonflies and damselflies</v>
          </cell>
          <cell r="C797" t="str">
            <v>Odonata</v>
          </cell>
          <cell r="D797" t="str">
            <v>Orthetrum coerulescens</v>
          </cell>
          <cell r="E797" t="str">
            <v>LC</v>
          </cell>
          <cell r="F797" t="str">
            <v>Daguet et al., 2008</v>
          </cell>
          <cell r="G797" t="str">
            <v>NBNSYS0000005640</v>
          </cell>
          <cell r="H797" t="str">
            <v>Orthetrum coerulescens</v>
          </cell>
        </row>
        <row r="798">
          <cell r="A798" t="str">
            <v>Oxygastra curtisii</v>
          </cell>
          <cell r="B798" t="str">
            <v>Dragonflies and damselflies</v>
          </cell>
          <cell r="C798" t="str">
            <v>Odonata</v>
          </cell>
          <cell r="D798" t="str">
            <v>Oxygastra curtisii</v>
          </cell>
          <cell r="E798" t="str">
            <v>RE</v>
          </cell>
          <cell r="F798" t="str">
            <v>Daguet et al., 2008</v>
          </cell>
          <cell r="G798" t="str">
            <v>NBNSYS0000005636</v>
          </cell>
          <cell r="H798" t="str">
            <v>Oxygastra curtisii</v>
          </cell>
        </row>
        <row r="799">
          <cell r="A799" t="str">
            <v>Platycnemis pennipes</v>
          </cell>
          <cell r="B799" t="str">
            <v>Dragonflies and damselflies</v>
          </cell>
          <cell r="C799" t="str">
            <v>Odonata</v>
          </cell>
          <cell r="D799" t="str">
            <v>Platycnemis pennipes</v>
          </cell>
          <cell r="E799" t="str">
            <v>LC</v>
          </cell>
          <cell r="F799" t="str">
            <v>Daguet et al., 2008</v>
          </cell>
          <cell r="G799" t="str">
            <v>NBNSYS0000005598</v>
          </cell>
          <cell r="H799" t="str">
            <v>Platycnemis pennipes</v>
          </cell>
        </row>
        <row r="800">
          <cell r="A800" t="str">
            <v>Pyrrhosoma nymphula</v>
          </cell>
          <cell r="B800" t="str">
            <v>Dragonflies and damselflies</v>
          </cell>
          <cell r="C800" t="str">
            <v>Odonata</v>
          </cell>
          <cell r="D800" t="str">
            <v>Pyrrhosoma nymphula</v>
          </cell>
          <cell r="E800" t="str">
            <v>LC</v>
          </cell>
          <cell r="F800" t="str">
            <v>Daguet et al., 2008</v>
          </cell>
          <cell r="G800" t="str">
            <v>NBNSYS0000005599</v>
          </cell>
          <cell r="H800" t="str">
            <v>Pyrrhosoma nymphula</v>
          </cell>
        </row>
        <row r="801">
          <cell r="A801" t="str">
            <v>Somatochlora metallica</v>
          </cell>
          <cell r="B801" t="str">
            <v>Dragonflies and damselflies</v>
          </cell>
          <cell r="C801" t="str">
            <v>Odonata</v>
          </cell>
          <cell r="D801" t="str">
            <v>Somatochlora metallica</v>
          </cell>
          <cell r="E801" t="str">
            <v>VU</v>
          </cell>
          <cell r="F801" t="str">
            <v>Daguet et al., 2008</v>
          </cell>
          <cell r="G801" t="str">
            <v>NHMSYS0020546972</v>
          </cell>
          <cell r="H801" t="str">
            <v>Somatochlora metallica</v>
          </cell>
        </row>
        <row r="802">
          <cell r="A802" t="str">
            <v>Sympetrum danae</v>
          </cell>
          <cell r="B802" t="str">
            <v>Dragonflies and damselflies</v>
          </cell>
          <cell r="C802" t="str">
            <v>Odonata</v>
          </cell>
          <cell r="D802" t="str">
            <v>Sympetrum danae</v>
          </cell>
          <cell r="E802" t="str">
            <v>LC</v>
          </cell>
          <cell r="F802" t="str">
            <v>Daguet et al., 2008</v>
          </cell>
          <cell r="G802" t="str">
            <v>NBNSYS0000005651</v>
          </cell>
          <cell r="H802" t="str">
            <v>Sympetrum danae</v>
          </cell>
        </row>
        <row r="803">
          <cell r="A803" t="str">
            <v>Sympetrum flaveolum</v>
          </cell>
          <cell r="B803" t="str">
            <v>Dragonflies and damselflies</v>
          </cell>
          <cell r="C803" t="str">
            <v>Odonata</v>
          </cell>
          <cell r="D803" t="str">
            <v>Sympetrum flaveolum</v>
          </cell>
          <cell r="E803" t="str">
            <v>LC</v>
          </cell>
          <cell r="F803" t="str">
            <v>Daguet et al., 2008</v>
          </cell>
          <cell r="G803" t="str">
            <v>NBNSYS0000005649</v>
          </cell>
          <cell r="H803" t="str">
            <v>Sympetrum flaveolum</v>
          </cell>
        </row>
        <row r="804">
          <cell r="A804" t="str">
            <v>Sympetrum fonscolombii</v>
          </cell>
          <cell r="B804" t="str">
            <v>Dragonflies and damselflies</v>
          </cell>
          <cell r="C804" t="str">
            <v>Odonata</v>
          </cell>
          <cell r="D804" t="str">
            <v>Sympetrum fonscolombii</v>
          </cell>
          <cell r="E804" t="str">
            <v>LC</v>
          </cell>
          <cell r="F804" t="str">
            <v>Daguet et al., 2008</v>
          </cell>
          <cell r="G804" t="str">
            <v>NHMSYS0000344188</v>
          </cell>
          <cell r="H804" t="str">
            <v>Sympetrum fonscolombii</v>
          </cell>
        </row>
        <row r="805">
          <cell r="A805" t="str">
            <v>Sympetrum sanguineum</v>
          </cell>
          <cell r="B805" t="str">
            <v>Dragonflies and damselflies</v>
          </cell>
          <cell r="C805" t="str">
            <v>Odonata</v>
          </cell>
          <cell r="D805" t="str">
            <v>Sympetrum sanguineum</v>
          </cell>
          <cell r="E805" t="str">
            <v>LC</v>
          </cell>
          <cell r="F805" t="str">
            <v>Daguet et al., 2008</v>
          </cell>
          <cell r="G805" t="str">
            <v>NBNSYS0000005650</v>
          </cell>
          <cell r="H805" t="str">
            <v>Sympetrum sanguineum</v>
          </cell>
        </row>
        <row r="806">
          <cell r="A806" t="str">
            <v>Sympetrum striolatum</v>
          </cell>
          <cell r="B806" t="str">
            <v>Dragonflies and damselflies</v>
          </cell>
          <cell r="C806" t="str">
            <v>Odonata</v>
          </cell>
          <cell r="D806" t="str">
            <v>Sympetrum striolatum</v>
          </cell>
          <cell r="E806" t="str">
            <v>LC</v>
          </cell>
          <cell r="F806" t="str">
            <v>Daguet et al., 2008</v>
          </cell>
          <cell r="G806" t="str">
            <v>NBNSYS0000005645</v>
          </cell>
          <cell r="H806" t="str">
            <v>Sympetrum striolatum</v>
          </cell>
        </row>
        <row r="807">
          <cell r="A807" t="str">
            <v>Abramis brama</v>
          </cell>
          <cell r="B807" t="str">
            <v>Freshwater Fish</v>
          </cell>
          <cell r="C807" t="str">
            <v>Fish</v>
          </cell>
          <cell r="D807" t="str">
            <v>Abramis brama</v>
          </cell>
          <cell r="E807" t="str">
            <v>LC</v>
          </cell>
          <cell r="F807" t="str">
            <v>Noble et al., 2022</v>
          </cell>
          <cell r="G807" t="str">
            <v>NHMSYS0000544594</v>
          </cell>
          <cell r="H807" t="str">
            <v>Abramis brama</v>
          </cell>
        </row>
        <row r="808">
          <cell r="A808" t="str">
            <v>Alburnus alburnus</v>
          </cell>
          <cell r="B808" t="str">
            <v>Freshwater Fish</v>
          </cell>
          <cell r="C808" t="str">
            <v>Fish</v>
          </cell>
          <cell r="D808" t="str">
            <v>Alburnus alburnus</v>
          </cell>
          <cell r="E808" t="str">
            <v>LC</v>
          </cell>
          <cell r="F808" t="str">
            <v>Noble et al., 2022</v>
          </cell>
          <cell r="G808" t="str">
            <v>NHMSYS0000544605</v>
          </cell>
          <cell r="H808" t="str">
            <v>Alburnus alburnus</v>
          </cell>
        </row>
        <row r="809">
          <cell r="A809" t="str">
            <v>Alosa alosa</v>
          </cell>
          <cell r="B809" t="str">
            <v>Freshwater Fish</v>
          </cell>
          <cell r="C809" t="str">
            <v>Fish</v>
          </cell>
          <cell r="D809" t="str">
            <v>Alosa alosa</v>
          </cell>
          <cell r="E809" t="str">
            <v>CR</v>
          </cell>
          <cell r="F809" t="str">
            <v>Noble et al., 2022</v>
          </cell>
          <cell r="G809" t="str">
            <v>NBNSYS0000188601</v>
          </cell>
          <cell r="H809" t="str">
            <v>Alosa alosa</v>
          </cell>
        </row>
        <row r="810">
          <cell r="A810" t="str">
            <v>Alosa fallax</v>
          </cell>
          <cell r="B810" t="str">
            <v>Freshwater Fish</v>
          </cell>
          <cell r="C810" t="str">
            <v>Fish</v>
          </cell>
          <cell r="D810" t="str">
            <v>Alosa fallax</v>
          </cell>
          <cell r="E810" t="str">
            <v>VU</v>
          </cell>
          <cell r="F810" t="str">
            <v>Noble et al., 2022</v>
          </cell>
          <cell r="G810" t="str">
            <v>NHMSYS0000544611</v>
          </cell>
          <cell r="H810" t="str">
            <v>Alosa fallax</v>
          </cell>
        </row>
        <row r="811">
          <cell r="A811" t="str">
            <v>Anguilla anguilla</v>
          </cell>
          <cell r="B811" t="str">
            <v>Freshwater Fish</v>
          </cell>
          <cell r="C811" t="str">
            <v>Fish</v>
          </cell>
          <cell r="D811" t="str">
            <v>Anguilla anguilla</v>
          </cell>
          <cell r="E811" t="str">
            <v>CR</v>
          </cell>
          <cell r="F811" t="str">
            <v>Noble et al., 2022</v>
          </cell>
          <cell r="G811" t="str">
            <v>NBNSYS0000188599</v>
          </cell>
          <cell r="H811" t="str">
            <v>Anguilla anguilla</v>
          </cell>
        </row>
        <row r="812">
          <cell r="A812" t="str">
            <v>Barbatula barbatula</v>
          </cell>
          <cell r="B812" t="str">
            <v>Freshwater Fish</v>
          </cell>
          <cell r="C812" t="str">
            <v>Fish</v>
          </cell>
          <cell r="D812" t="str">
            <v>Barbatula barbatula</v>
          </cell>
          <cell r="E812" t="str">
            <v>LC</v>
          </cell>
          <cell r="F812" t="str">
            <v>Noble et al., 2022</v>
          </cell>
          <cell r="G812" t="str">
            <v>NHMSYS0000544619</v>
          </cell>
          <cell r="H812" t="str">
            <v>Barbatula barbatula</v>
          </cell>
        </row>
        <row r="813">
          <cell r="A813" t="str">
            <v>Barbus barbus</v>
          </cell>
          <cell r="B813" t="str">
            <v>Freshwater Fish</v>
          </cell>
          <cell r="C813" t="str">
            <v>Fish</v>
          </cell>
          <cell r="D813" t="str">
            <v>Barbus barbus</v>
          </cell>
          <cell r="E813" t="str">
            <v>LC</v>
          </cell>
          <cell r="F813" t="str">
            <v>Noble et al., 2022</v>
          </cell>
          <cell r="G813" t="str">
            <v>NHMSYS0000544621</v>
          </cell>
          <cell r="H813" t="str">
            <v>Barbus barbus</v>
          </cell>
        </row>
        <row r="814">
          <cell r="A814" t="str">
            <v>Blicca bjoerkna</v>
          </cell>
          <cell r="B814" t="str">
            <v>Freshwater Fish</v>
          </cell>
          <cell r="C814" t="str">
            <v>Fish</v>
          </cell>
          <cell r="D814" t="str">
            <v>Blicca bjoerkna</v>
          </cell>
          <cell r="E814" t="str">
            <v>LC</v>
          </cell>
          <cell r="F814" t="str">
            <v>Noble et al., 2022</v>
          </cell>
          <cell r="G814" t="str">
            <v>NHMSYS0000544627</v>
          </cell>
          <cell r="H814" t="str">
            <v>Blicca bjoerkna</v>
          </cell>
        </row>
        <row r="815">
          <cell r="A815" t="str">
            <v>Cobitis taenia</v>
          </cell>
          <cell r="B815" t="str">
            <v>Freshwater Fish</v>
          </cell>
          <cell r="C815" t="str">
            <v>Fish</v>
          </cell>
          <cell r="D815" t="str">
            <v>Cobitis taenia</v>
          </cell>
          <cell r="E815" t="str">
            <v>LC</v>
          </cell>
          <cell r="F815" t="str">
            <v>Noble et al., 2022</v>
          </cell>
          <cell r="G815" t="str">
            <v>NHMSYS0000544646</v>
          </cell>
          <cell r="H815" t="str">
            <v>Cobitis taenia</v>
          </cell>
        </row>
        <row r="816">
          <cell r="A816" t="str">
            <v>Coregonus albula</v>
          </cell>
          <cell r="B816" t="str">
            <v>Freshwater Fish</v>
          </cell>
          <cell r="C816" t="str">
            <v>Fish</v>
          </cell>
          <cell r="D816" t="str">
            <v>Coregonus albula</v>
          </cell>
          <cell r="E816" t="str">
            <v>EN</v>
          </cell>
          <cell r="F816" t="str">
            <v>Noble et al., 2022</v>
          </cell>
          <cell r="G816" t="str">
            <v>NHMSYS0000544655</v>
          </cell>
          <cell r="H816" t="str">
            <v>Coregonus albula</v>
          </cell>
        </row>
        <row r="817">
          <cell r="A817" t="str">
            <v>Coregonus lavaretus</v>
          </cell>
          <cell r="B817" t="str">
            <v>Freshwater Fish</v>
          </cell>
          <cell r="C817" t="str">
            <v>Fish</v>
          </cell>
          <cell r="D817" t="str">
            <v>Coregonus lavaretus</v>
          </cell>
          <cell r="E817" t="str">
            <v>EN</v>
          </cell>
          <cell r="F817" t="str">
            <v>Noble et al., 2022</v>
          </cell>
          <cell r="G817" t="str">
            <v>NBNSYS0000188604</v>
          </cell>
          <cell r="H817" t="str">
            <v>Coregonus lavaretus</v>
          </cell>
        </row>
        <row r="818">
          <cell r="A818" t="str">
            <v>Cottus gobio</v>
          </cell>
          <cell r="B818" t="str">
            <v>Freshwater Fish</v>
          </cell>
          <cell r="C818" t="str">
            <v>Fish</v>
          </cell>
          <cell r="D818" t="str">
            <v>Cottus gobio</v>
          </cell>
          <cell r="E818" t="str">
            <v>LC</v>
          </cell>
          <cell r="F818" t="str">
            <v>Noble et al., 2022</v>
          </cell>
          <cell r="G818" t="str">
            <v>NHMSYS0000544660</v>
          </cell>
          <cell r="H818" t="str">
            <v>Cottus gobio</v>
          </cell>
        </row>
        <row r="819">
          <cell r="A819" t="str">
            <v>Esox lucius</v>
          </cell>
          <cell r="B819" t="str">
            <v>Freshwater Fish</v>
          </cell>
          <cell r="C819" t="str">
            <v>Fish</v>
          </cell>
          <cell r="D819" t="str">
            <v>Esox lucius</v>
          </cell>
          <cell r="E819" t="str">
            <v>LC</v>
          </cell>
          <cell r="F819" t="str">
            <v>Noble et al., 2022</v>
          </cell>
          <cell r="G819" t="str">
            <v>NHMSYS0000544671</v>
          </cell>
          <cell r="H819" t="str">
            <v>Esox lucius</v>
          </cell>
        </row>
        <row r="820">
          <cell r="A820" t="str">
            <v>Gasterosteus aculeatus</v>
          </cell>
          <cell r="B820" t="str">
            <v>Freshwater Fish</v>
          </cell>
          <cell r="C820" t="str">
            <v>Fish</v>
          </cell>
          <cell r="D820" t="str">
            <v>Gasterosteus aculeatus</v>
          </cell>
          <cell r="E820" t="str">
            <v>LC</v>
          </cell>
          <cell r="F820" t="str">
            <v>Noble et al., 2022</v>
          </cell>
          <cell r="G820" t="str">
            <v>NBNSYS0000188612</v>
          </cell>
          <cell r="H820" t="str">
            <v>Gasterosteus aculeatus</v>
          </cell>
        </row>
        <row r="821">
          <cell r="A821" t="str">
            <v>Gobio gobio</v>
          </cell>
          <cell r="B821" t="str">
            <v>Freshwater Fish</v>
          </cell>
          <cell r="C821" t="str">
            <v>Fish</v>
          </cell>
          <cell r="D821" t="str">
            <v>Gobio gobio</v>
          </cell>
          <cell r="E821" t="str">
            <v>LC</v>
          </cell>
          <cell r="F821" t="str">
            <v>Noble et al., 2022</v>
          </cell>
          <cell r="G821" t="str">
            <v>NHMSYS0000544675</v>
          </cell>
          <cell r="H821" t="str">
            <v>Gobio gobio</v>
          </cell>
        </row>
        <row r="822">
          <cell r="A822" t="str">
            <v>Gymnocephalus cernuus</v>
          </cell>
          <cell r="B822" t="str">
            <v>Freshwater Fish</v>
          </cell>
          <cell r="C822" t="str">
            <v>Fish</v>
          </cell>
          <cell r="D822" t="str">
            <v>Gymnocephalus cernuus</v>
          </cell>
          <cell r="E822" t="str">
            <v>LC</v>
          </cell>
          <cell r="F822" t="str">
            <v>Noble et al., 2022</v>
          </cell>
          <cell r="G822" t="str">
            <v>NHMSYS0000544680</v>
          </cell>
          <cell r="H822" t="str">
            <v>Gymnocephalus cernuus</v>
          </cell>
        </row>
        <row r="823">
          <cell r="A823" t="str">
            <v>Lampetra fluviatilis</v>
          </cell>
          <cell r="B823" t="str">
            <v>Freshwater Fish</v>
          </cell>
          <cell r="C823" t="str">
            <v>Fish</v>
          </cell>
          <cell r="D823" t="str">
            <v>Lampetra fluviatilis</v>
          </cell>
          <cell r="E823" t="str">
            <v>LC</v>
          </cell>
          <cell r="F823" t="str">
            <v>Noble et al., 2022</v>
          </cell>
          <cell r="G823" t="str">
            <v>NBNSYS0000188584</v>
          </cell>
          <cell r="H823" t="str">
            <v>Lampetra fluviatilis</v>
          </cell>
        </row>
        <row r="824">
          <cell r="A824" t="str">
            <v>Lampetra planeri</v>
          </cell>
          <cell r="B824" t="str">
            <v>Freshwater Fish</v>
          </cell>
          <cell r="C824" t="str">
            <v>Fish</v>
          </cell>
          <cell r="D824" t="str">
            <v>Lampetra planeri</v>
          </cell>
          <cell r="E824" t="str">
            <v>LC</v>
          </cell>
          <cell r="F824" t="str">
            <v>Noble et al., 2022</v>
          </cell>
          <cell r="G824" t="str">
            <v>NHMSYS0000544685</v>
          </cell>
          <cell r="H824" t="str">
            <v>Lampetra planeri</v>
          </cell>
        </row>
        <row r="825">
          <cell r="A825" t="str">
            <v>Leuciscus leuciscus</v>
          </cell>
          <cell r="B825" t="str">
            <v>Freshwater Fish</v>
          </cell>
          <cell r="C825" t="str">
            <v>Fish</v>
          </cell>
          <cell r="D825" t="str">
            <v>Leuciscus leuciscus</v>
          </cell>
          <cell r="E825" t="str">
            <v>LC</v>
          </cell>
          <cell r="F825" t="str">
            <v>Noble et al., 2022</v>
          </cell>
          <cell r="G825" t="str">
            <v>NHMSYS0000544695</v>
          </cell>
          <cell r="H825" t="str">
            <v>Leuciscus leuciscus</v>
          </cell>
        </row>
        <row r="826">
          <cell r="A826" t="str">
            <v>Lota lota</v>
          </cell>
          <cell r="B826" t="str">
            <v>Freshwater Fish</v>
          </cell>
          <cell r="C826" t="str">
            <v>Fish</v>
          </cell>
          <cell r="D826" t="str">
            <v>Lota lota</v>
          </cell>
          <cell r="E826" t="str">
            <v>RE</v>
          </cell>
          <cell r="F826" t="str">
            <v>Noble et al., 2022</v>
          </cell>
          <cell r="G826" t="str">
            <v>NHMSYS0000544703</v>
          </cell>
          <cell r="H826" t="str">
            <v>Lota lota</v>
          </cell>
        </row>
        <row r="827">
          <cell r="A827" t="str">
            <v>Osmerus eperlanus</v>
          </cell>
          <cell r="B827" t="str">
            <v>Freshwater Fish</v>
          </cell>
          <cell r="C827" t="str">
            <v>Fish</v>
          </cell>
          <cell r="D827" t="str">
            <v>Osmerus eperlanus</v>
          </cell>
          <cell r="E827" t="str">
            <v>LC</v>
          </cell>
          <cell r="F827" t="str">
            <v>Noble et al., 2022</v>
          </cell>
          <cell r="G827" t="str">
            <v>NBNSYS0000188609</v>
          </cell>
          <cell r="H827" t="str">
            <v>Osmerus eperlanus</v>
          </cell>
        </row>
        <row r="828">
          <cell r="A828" t="str">
            <v>Perca fluviatilis</v>
          </cell>
          <cell r="B828" t="str">
            <v>Freshwater Fish</v>
          </cell>
          <cell r="C828" t="str">
            <v>Fish</v>
          </cell>
          <cell r="D828" t="str">
            <v>Perca fluviatilis</v>
          </cell>
          <cell r="E828" t="str">
            <v>LC</v>
          </cell>
          <cell r="F828" t="str">
            <v>Noble et al., 2022</v>
          </cell>
          <cell r="G828" t="str">
            <v>NHMSYS0000544718</v>
          </cell>
          <cell r="H828" t="str">
            <v>Perca fluviatilis</v>
          </cell>
        </row>
        <row r="829">
          <cell r="A829" t="str">
            <v>Petromyzon marinus</v>
          </cell>
          <cell r="B829" t="str">
            <v>Freshwater Fish</v>
          </cell>
          <cell r="C829" t="str">
            <v>Fish</v>
          </cell>
          <cell r="D829" t="str">
            <v>Petromyzon marinus</v>
          </cell>
          <cell r="E829" t="str">
            <v>LC</v>
          </cell>
          <cell r="F829" t="str">
            <v>Noble et al., 2022</v>
          </cell>
          <cell r="G829" t="str">
            <v>NBNSYS0000188586</v>
          </cell>
          <cell r="H829" t="str">
            <v>Petromyzon marinus</v>
          </cell>
        </row>
        <row r="830">
          <cell r="A830" t="str">
            <v>Phoxinus phoxinus</v>
          </cell>
          <cell r="B830" t="str">
            <v>Freshwater Fish</v>
          </cell>
          <cell r="C830" t="str">
            <v>Fish</v>
          </cell>
          <cell r="D830" t="str">
            <v>Phoxinus phoxinus</v>
          </cell>
          <cell r="E830" t="str">
            <v>LC</v>
          </cell>
          <cell r="F830" t="str">
            <v>Noble et al., 2022</v>
          </cell>
          <cell r="G830" t="str">
            <v>NHMSYS0000544721</v>
          </cell>
          <cell r="H830" t="str">
            <v>Phoxinus phoxinus</v>
          </cell>
        </row>
        <row r="831">
          <cell r="A831" t="str">
            <v>Pungitius pungitius</v>
          </cell>
          <cell r="B831" t="str">
            <v>Freshwater Fish</v>
          </cell>
          <cell r="C831" t="str">
            <v>Fish</v>
          </cell>
          <cell r="D831" t="str">
            <v>Pungitius pungitius</v>
          </cell>
          <cell r="E831" t="str">
            <v>LC</v>
          </cell>
          <cell r="F831" t="str">
            <v>Noble et al., 2022</v>
          </cell>
          <cell r="G831" t="str">
            <v>NBNSYS0000188614</v>
          </cell>
          <cell r="H831" t="str">
            <v>Pungitius pungitius</v>
          </cell>
        </row>
        <row r="832">
          <cell r="A832" t="str">
            <v>Rutilus rutilus</v>
          </cell>
          <cell r="B832" t="str">
            <v>Freshwater Fish</v>
          </cell>
          <cell r="C832" t="str">
            <v>Fish</v>
          </cell>
          <cell r="D832" t="str">
            <v>Rutilus rutilus</v>
          </cell>
          <cell r="E832" t="str">
            <v>LC</v>
          </cell>
          <cell r="F832" t="str">
            <v>Noble et al., 2022</v>
          </cell>
          <cell r="G832" t="str">
            <v>NHMSYS0000544738</v>
          </cell>
          <cell r="H832" t="str">
            <v>Rutilus rutilus</v>
          </cell>
        </row>
        <row r="833">
          <cell r="A833" t="str">
            <v>Salmo salar</v>
          </cell>
          <cell r="B833" t="str">
            <v>Freshwater Fish</v>
          </cell>
          <cell r="C833" t="str">
            <v>Fish</v>
          </cell>
          <cell r="D833" t="str">
            <v>Salmo salar</v>
          </cell>
          <cell r="E833" t="str">
            <v>EN</v>
          </cell>
          <cell r="F833" t="str">
            <v>Noble et al., 2022</v>
          </cell>
          <cell r="G833" t="str">
            <v>NBNSYS0000188606</v>
          </cell>
          <cell r="H833" t="str">
            <v>Salmo salar</v>
          </cell>
        </row>
        <row r="834">
          <cell r="A834" t="str">
            <v>Salmo trutta fario</v>
          </cell>
          <cell r="B834" t="str">
            <v>Freshwater Fish</v>
          </cell>
          <cell r="C834" t="str">
            <v>Fish</v>
          </cell>
          <cell r="D834" t="str">
            <v>Salmo trutta (subsp.) fario</v>
          </cell>
          <cell r="E834" t="str">
            <v>LC</v>
          </cell>
          <cell r="F834" t="str">
            <v>Noble et al., 2022</v>
          </cell>
          <cell r="G834" t="str">
            <v>NHMSYS0000544744</v>
          </cell>
          <cell r="H834" t="str">
            <v>Salmo trutta fario</v>
          </cell>
        </row>
        <row r="835">
          <cell r="A835" t="str">
            <v>Salmo trutta trutta</v>
          </cell>
          <cell r="B835" t="str">
            <v>Freshwater Fish</v>
          </cell>
          <cell r="C835" t="str">
            <v>Fish</v>
          </cell>
          <cell r="D835" t="str">
            <v>Salmo trutta (subsp.) trutta</v>
          </cell>
          <cell r="E835" t="str">
            <v>VU</v>
          </cell>
          <cell r="F835" t="str">
            <v>Noble et al., 2022</v>
          </cell>
          <cell r="G835" t="str">
            <v>NHMSYS0000544745</v>
          </cell>
          <cell r="H835" t="str">
            <v>Salmo trutta trutta</v>
          </cell>
        </row>
        <row r="836">
          <cell r="A836" t="str">
            <v>Salvelinus alpinus</v>
          </cell>
          <cell r="B836" t="str">
            <v>Freshwater Fish</v>
          </cell>
          <cell r="C836" t="str">
            <v>Fish</v>
          </cell>
          <cell r="D836" t="str">
            <v>Salvelinus alpinus</v>
          </cell>
          <cell r="E836" t="str">
            <v>VU</v>
          </cell>
          <cell r="F836" t="str">
            <v>Noble et al., 2022</v>
          </cell>
          <cell r="G836" t="str">
            <v>NHMSYS0000544751</v>
          </cell>
          <cell r="H836" t="str">
            <v>Salvelinus alpinus</v>
          </cell>
        </row>
        <row r="837">
          <cell r="A837" t="str">
            <v>Scardinius erythrophthalmus</v>
          </cell>
          <cell r="B837" t="str">
            <v>Freshwater Fish</v>
          </cell>
          <cell r="C837" t="str">
            <v>Fish</v>
          </cell>
          <cell r="D837" t="str">
            <v>Scardinius erythrophthalmus</v>
          </cell>
          <cell r="E837" t="str">
            <v>LC</v>
          </cell>
          <cell r="F837" t="str">
            <v>Noble et al., 2022</v>
          </cell>
          <cell r="G837" t="str">
            <v>NHMSYS0000544756</v>
          </cell>
          <cell r="H837" t="str">
            <v>Scardinius erythrophthalmus</v>
          </cell>
        </row>
        <row r="838">
          <cell r="A838" t="str">
            <v>Squalius cephalus</v>
          </cell>
          <cell r="B838" t="str">
            <v>Freshwater Fish</v>
          </cell>
          <cell r="C838" t="str">
            <v>Fish</v>
          </cell>
          <cell r="D838" t="str">
            <v>Squalius cephalus</v>
          </cell>
          <cell r="E838" t="str">
            <v>LC</v>
          </cell>
          <cell r="F838" t="str">
            <v>Noble et al., 2022</v>
          </cell>
          <cell r="G838" t="str">
            <v>NHMSYS0020755094</v>
          </cell>
          <cell r="H838" t="str">
            <v>Squalius cephalus</v>
          </cell>
        </row>
        <row r="839">
          <cell r="A839" t="str">
            <v>Thymallus thymallus</v>
          </cell>
          <cell r="B839" t="str">
            <v>Freshwater Fish</v>
          </cell>
          <cell r="C839" t="str">
            <v>Fish</v>
          </cell>
          <cell r="D839" t="str">
            <v>Thymallus thymallus</v>
          </cell>
          <cell r="E839" t="str">
            <v>LC</v>
          </cell>
          <cell r="F839" t="str">
            <v>Noble et al., 2022</v>
          </cell>
          <cell r="G839" t="str">
            <v>NHMSYS0000544768</v>
          </cell>
          <cell r="H839" t="str">
            <v>Thymallus thymallus</v>
          </cell>
        </row>
        <row r="840">
          <cell r="A840" t="str">
            <v>Tinca tinca</v>
          </cell>
          <cell r="B840" t="str">
            <v>Freshwater Fish</v>
          </cell>
          <cell r="C840" t="str">
            <v>Fish</v>
          </cell>
          <cell r="D840" t="str">
            <v>Tinca tinca</v>
          </cell>
          <cell r="E840" t="str">
            <v>LC</v>
          </cell>
          <cell r="F840" t="str">
            <v>Noble et al., 2022</v>
          </cell>
          <cell r="G840" t="str">
            <v>NHMSYS0000544773</v>
          </cell>
          <cell r="H840" t="str">
            <v>Tinca tinca</v>
          </cell>
        </row>
        <row r="841">
          <cell r="A841" t="str">
            <v>Chorthippus albomarginatus</v>
          </cell>
          <cell r="B841" t="str">
            <v>Grasshoppers, crickets and allies</v>
          </cell>
          <cell r="C841" t="str">
            <v>Orthoptera</v>
          </cell>
          <cell r="D841" t="str">
            <v>Chorthippus albomarginatus</v>
          </cell>
          <cell r="E841" t="str">
            <v>LC</v>
          </cell>
          <cell r="F841" t="str">
            <v>Sutton, 2015</v>
          </cell>
          <cell r="G841" t="str">
            <v>NHMSYS0001387286</v>
          </cell>
          <cell r="H841" t="str">
            <v>Chorthippus albomarginatus</v>
          </cell>
        </row>
        <row r="842">
          <cell r="A842" t="str">
            <v>Chorthippus brunneus</v>
          </cell>
          <cell r="B842" t="str">
            <v>Grasshoppers, crickets and allies</v>
          </cell>
          <cell r="C842" t="str">
            <v>Orthoptera</v>
          </cell>
          <cell r="D842" t="str">
            <v>Chorthippus brunneus</v>
          </cell>
          <cell r="E842" t="str">
            <v>LC</v>
          </cell>
          <cell r="F842" t="str">
            <v>Sutton, 2015</v>
          </cell>
          <cell r="G842" t="str">
            <v>NBNSYS0000006842</v>
          </cell>
          <cell r="H842" t="str">
            <v>Chorthippus brunneus</v>
          </cell>
        </row>
        <row r="843">
          <cell r="A843" t="str">
            <v>Chorthippus parallelus</v>
          </cell>
          <cell r="B843" t="str">
            <v>Grasshoppers, crickets and allies</v>
          </cell>
          <cell r="C843" t="str">
            <v>Orthoptera</v>
          </cell>
          <cell r="D843" t="str">
            <v>Chorthippus parallelus</v>
          </cell>
          <cell r="E843" t="str">
            <v>LC</v>
          </cell>
          <cell r="F843" t="str">
            <v>Sutton, 2015</v>
          </cell>
          <cell r="G843" t="str">
            <v>NBNSYS0000006843</v>
          </cell>
          <cell r="H843" t="str">
            <v>Chorthippus parallelus</v>
          </cell>
        </row>
        <row r="844">
          <cell r="A844" t="str">
            <v>Chorthippus vagans</v>
          </cell>
          <cell r="B844" t="str">
            <v>Grasshoppers, crickets and allies</v>
          </cell>
          <cell r="C844" t="str">
            <v>Orthoptera</v>
          </cell>
          <cell r="D844" t="str">
            <v>Chorthippus vagans</v>
          </cell>
          <cell r="E844" t="str">
            <v>NT</v>
          </cell>
          <cell r="F844" t="str">
            <v>Sutton, 2015</v>
          </cell>
          <cell r="G844" t="str">
            <v>NHMSYS0001387288</v>
          </cell>
          <cell r="H844" t="str">
            <v>Chorthippus vagans</v>
          </cell>
        </row>
        <row r="845">
          <cell r="A845" t="str">
            <v>Conocephalus discolor</v>
          </cell>
          <cell r="B845" t="str">
            <v>Grasshoppers, crickets and allies</v>
          </cell>
          <cell r="C845" t="str">
            <v>Orthoptera</v>
          </cell>
          <cell r="D845" t="str">
            <v>Conocephalus discolor</v>
          </cell>
          <cell r="E845" t="str">
            <v>LC</v>
          </cell>
          <cell r="F845" t="str">
            <v>Sutton, 2015</v>
          </cell>
          <cell r="G845" t="str">
            <v>NHMSYS0020752279</v>
          </cell>
          <cell r="H845" t="str">
            <v>Conocephalus discolor</v>
          </cell>
        </row>
        <row r="846">
          <cell r="A846" t="str">
            <v>Conocephalus dorsalis</v>
          </cell>
          <cell r="B846" t="str">
            <v>Grasshoppers, crickets and allies</v>
          </cell>
          <cell r="C846" t="str">
            <v>Orthoptera</v>
          </cell>
          <cell r="D846" t="str">
            <v>Conocephalus dorsalis</v>
          </cell>
          <cell r="E846" t="str">
            <v>LC</v>
          </cell>
          <cell r="F846" t="str">
            <v>Sutton, 2015</v>
          </cell>
          <cell r="G846" t="str">
            <v>NBNSYS0000006824</v>
          </cell>
          <cell r="H846" t="str">
            <v>Conocephalus dorsalis</v>
          </cell>
        </row>
        <row r="847">
          <cell r="A847" t="str">
            <v>Decticus verrucivorus</v>
          </cell>
          <cell r="B847" t="str">
            <v>Grasshoppers, crickets and allies</v>
          </cell>
          <cell r="C847" t="str">
            <v>Orthoptera</v>
          </cell>
          <cell r="D847" t="str">
            <v>Decticus verrucivorus</v>
          </cell>
          <cell r="E847" t="str">
            <v>EN</v>
          </cell>
          <cell r="F847" t="str">
            <v>Sutton, 2015</v>
          </cell>
          <cell r="G847" t="str">
            <v>NBNSYS0000006818</v>
          </cell>
          <cell r="H847" t="str">
            <v>Decticus verrucivorus</v>
          </cell>
        </row>
        <row r="848">
          <cell r="A848" t="str">
            <v>Ectobius lapponicus</v>
          </cell>
          <cell r="B848" t="str">
            <v>Grasshoppers, crickets and allies</v>
          </cell>
          <cell r="C848" t="str">
            <v>Orthoptera</v>
          </cell>
          <cell r="D848" t="str">
            <v>Ectobius lapponicus</v>
          </cell>
          <cell r="E848" t="str">
            <v>LC</v>
          </cell>
          <cell r="F848" t="str">
            <v>Sutton, 2015</v>
          </cell>
          <cell r="G848" t="str">
            <v>NHMSYS0001387299</v>
          </cell>
          <cell r="H848" t="str">
            <v>Ectobius lapponicus</v>
          </cell>
        </row>
        <row r="849">
          <cell r="A849" t="str">
            <v>Ectobius pallidus</v>
          </cell>
          <cell r="B849" t="str">
            <v>Grasshoppers, crickets and allies</v>
          </cell>
          <cell r="C849" t="str">
            <v>Orthoptera</v>
          </cell>
          <cell r="D849" t="str">
            <v>Ectobius pallidus</v>
          </cell>
          <cell r="E849" t="str">
            <v>LC</v>
          </cell>
          <cell r="F849" t="str">
            <v>Sutton, 2015</v>
          </cell>
          <cell r="G849" t="str">
            <v>NHMSYS0001387300</v>
          </cell>
          <cell r="H849" t="str">
            <v>Ectobius pallidus</v>
          </cell>
        </row>
        <row r="850">
          <cell r="A850" t="str">
            <v>Ectobius panzeri</v>
          </cell>
          <cell r="B850" t="str">
            <v>Grasshoppers, crickets and allies</v>
          </cell>
          <cell r="C850" t="str">
            <v>Orthoptera</v>
          </cell>
          <cell r="D850" t="str">
            <v>Ectobius panzeri</v>
          </cell>
          <cell r="E850" t="str">
            <v>LC</v>
          </cell>
          <cell r="F850" t="str">
            <v>Sutton, 2015</v>
          </cell>
          <cell r="G850" t="str">
            <v>NHMSYS0001387301</v>
          </cell>
          <cell r="H850" t="str">
            <v>Ectobius panzeri</v>
          </cell>
        </row>
        <row r="851">
          <cell r="A851" t="str">
            <v>Forficula auricularia</v>
          </cell>
          <cell r="B851" t="str">
            <v>Grasshoppers, crickets and allies</v>
          </cell>
          <cell r="C851" t="str">
            <v>Orthoptera</v>
          </cell>
          <cell r="D851" t="str">
            <v>Forficula auricularia</v>
          </cell>
          <cell r="E851" t="str">
            <v>LC</v>
          </cell>
          <cell r="F851" t="str">
            <v>Sutton, 2015</v>
          </cell>
          <cell r="G851" t="str">
            <v>NHMSYS0001387317</v>
          </cell>
          <cell r="H851" t="str">
            <v>Forficula auricularia</v>
          </cell>
        </row>
        <row r="852">
          <cell r="A852" t="str">
            <v>Forficula lesnei</v>
          </cell>
          <cell r="B852" t="str">
            <v>Grasshoppers, crickets and allies</v>
          </cell>
          <cell r="C852" t="str">
            <v>Orthoptera</v>
          </cell>
          <cell r="D852" t="str">
            <v>Forficula lesnei</v>
          </cell>
          <cell r="E852" t="str">
            <v>LC</v>
          </cell>
          <cell r="F852" t="str">
            <v>Sutton, 2015</v>
          </cell>
          <cell r="G852" t="str">
            <v>NHMSYS0001387336</v>
          </cell>
          <cell r="H852" t="str">
            <v>Forficula lesnei</v>
          </cell>
        </row>
        <row r="853">
          <cell r="A853" t="str">
            <v>Gomphocerippus rufus</v>
          </cell>
          <cell r="B853" t="str">
            <v>Grasshoppers, crickets and allies</v>
          </cell>
          <cell r="C853" t="str">
            <v>Orthoptera</v>
          </cell>
          <cell r="D853" t="str">
            <v>Gomphocerippus rufus</v>
          </cell>
          <cell r="E853" t="str">
            <v>LC</v>
          </cell>
          <cell r="F853" t="str">
            <v>Sutton, 2015</v>
          </cell>
          <cell r="G853" t="str">
            <v>NBNSYS0000006840</v>
          </cell>
          <cell r="H853" t="str">
            <v>Gomphocerippus rufus</v>
          </cell>
        </row>
        <row r="854">
          <cell r="A854" t="str">
            <v>Gryllotalpa gryllotalpa</v>
          </cell>
          <cell r="B854" t="str">
            <v>Grasshoppers, crickets and allies</v>
          </cell>
          <cell r="C854" t="str">
            <v>Orthoptera</v>
          </cell>
          <cell r="D854" t="str">
            <v>Gryllotalpa gryllotalpa</v>
          </cell>
          <cell r="E854" t="str">
            <v>CR</v>
          </cell>
          <cell r="F854" t="str">
            <v>Sutton, 2015</v>
          </cell>
          <cell r="G854" t="str">
            <v>NBNSYS0000006830</v>
          </cell>
          <cell r="H854" t="str">
            <v>Gryllotalpa gryllotalpa</v>
          </cell>
        </row>
        <row r="855">
          <cell r="A855" t="str">
            <v>Gryllus campestris</v>
          </cell>
          <cell r="B855" t="str">
            <v>Grasshoppers, crickets and allies</v>
          </cell>
          <cell r="C855" t="str">
            <v>Orthoptera</v>
          </cell>
          <cell r="D855" t="str">
            <v>Gryllus campestris</v>
          </cell>
          <cell r="E855" t="str">
            <v>VU</v>
          </cell>
          <cell r="F855" t="str">
            <v>Sutton, 2015</v>
          </cell>
          <cell r="G855" t="str">
            <v>NHMSYS0001387363</v>
          </cell>
          <cell r="H855" t="str">
            <v>Gryllus campestris</v>
          </cell>
        </row>
        <row r="856">
          <cell r="A856" t="str">
            <v>Labia minor</v>
          </cell>
          <cell r="B856" t="str">
            <v>Grasshoppers, crickets and allies</v>
          </cell>
          <cell r="C856" t="str">
            <v>Orthoptera</v>
          </cell>
          <cell r="D856" t="str">
            <v>Labia minor</v>
          </cell>
          <cell r="E856" t="str">
            <v>LC</v>
          </cell>
          <cell r="F856" t="str">
            <v>Sutton, 2015</v>
          </cell>
          <cell r="G856" t="str">
            <v>NHMSYS0001387382</v>
          </cell>
          <cell r="H856" t="str">
            <v>Labia minor</v>
          </cell>
        </row>
        <row r="857">
          <cell r="A857" t="str">
            <v>Labidura riparia</v>
          </cell>
          <cell r="B857" t="str">
            <v>Grasshoppers, crickets and allies</v>
          </cell>
          <cell r="C857" t="str">
            <v>Orthoptera</v>
          </cell>
          <cell r="D857" t="str">
            <v>Labidura riparia</v>
          </cell>
          <cell r="E857" t="str">
            <v>RE</v>
          </cell>
          <cell r="F857" t="str">
            <v>Sutton, 2015</v>
          </cell>
          <cell r="G857" t="str">
            <v>NHMSYS0001387398</v>
          </cell>
          <cell r="H857" t="str">
            <v>Labidura riparia</v>
          </cell>
        </row>
        <row r="858">
          <cell r="A858" t="str">
            <v>Leptophyes punctatissima</v>
          </cell>
          <cell r="B858" t="str">
            <v>Grasshoppers, crickets and allies</v>
          </cell>
          <cell r="C858" t="str">
            <v>Orthoptera</v>
          </cell>
          <cell r="D858" t="str">
            <v>Leptophyes punctatissima</v>
          </cell>
          <cell r="E858" t="str">
            <v>LC</v>
          </cell>
          <cell r="F858" t="str">
            <v>Sutton, 2015</v>
          </cell>
          <cell r="G858" t="str">
            <v>NBNSYS0000006825</v>
          </cell>
          <cell r="H858" t="str">
            <v>Leptophyes punctatissima</v>
          </cell>
        </row>
        <row r="859">
          <cell r="A859" t="str">
            <v>Meconema thalassinum</v>
          </cell>
          <cell r="B859" t="str">
            <v>Grasshoppers, crickets and allies</v>
          </cell>
          <cell r="C859" t="str">
            <v>Orthoptera</v>
          </cell>
          <cell r="D859" t="str">
            <v>Meconema thalassinum</v>
          </cell>
          <cell r="E859" t="str">
            <v>LC</v>
          </cell>
          <cell r="F859" t="str">
            <v>Sutton, 2015</v>
          </cell>
          <cell r="G859" t="str">
            <v>NHMSYS0001387418</v>
          </cell>
          <cell r="H859" t="str">
            <v>Meconema thalassinum</v>
          </cell>
        </row>
        <row r="860">
          <cell r="A860" t="str">
            <v>Metrioptera brachyptera</v>
          </cell>
          <cell r="B860" t="str">
            <v>Grasshoppers, crickets and allies</v>
          </cell>
          <cell r="C860" t="str">
            <v>Orthoptera</v>
          </cell>
          <cell r="D860" t="str">
            <v>Metrioptera brachyptera</v>
          </cell>
          <cell r="E860" t="str">
            <v>LC</v>
          </cell>
          <cell r="F860" t="str">
            <v>Sutton, 2015</v>
          </cell>
          <cell r="G860" t="str">
            <v>NBNSYS0000006821</v>
          </cell>
          <cell r="H860" t="str">
            <v>Metrioptera brachyptera</v>
          </cell>
        </row>
        <row r="861">
          <cell r="A861" t="str">
            <v>Metrioptera roeselii</v>
          </cell>
          <cell r="B861" t="str">
            <v>Grasshoppers, crickets and allies</v>
          </cell>
          <cell r="C861" t="str">
            <v>Orthoptera</v>
          </cell>
          <cell r="D861" t="str">
            <v>Metrioptera roeselii</v>
          </cell>
          <cell r="E861" t="str">
            <v>LC</v>
          </cell>
          <cell r="F861" t="str">
            <v>Sutton, 2015</v>
          </cell>
          <cell r="G861" t="str">
            <v>NHMSYS0021351693</v>
          </cell>
          <cell r="H861" t="str">
            <v>Metrioptera roeselii</v>
          </cell>
        </row>
        <row r="862">
          <cell r="A862" t="str">
            <v>Myrmeleotettix maculatus</v>
          </cell>
          <cell r="B862" t="str">
            <v>Grasshoppers, crickets and allies</v>
          </cell>
          <cell r="C862" t="str">
            <v>Orthoptera</v>
          </cell>
          <cell r="D862" t="str">
            <v>Myrmeleotettix maculatus</v>
          </cell>
          <cell r="E862" t="str">
            <v>LC</v>
          </cell>
          <cell r="F862" t="str">
            <v>Sutton, 2015</v>
          </cell>
          <cell r="G862" t="str">
            <v>NBNSYS0000006839</v>
          </cell>
          <cell r="H862" t="str">
            <v>Myrmeleotettix maculatus</v>
          </cell>
        </row>
        <row r="863">
          <cell r="A863" t="str">
            <v>Nemobius sylvestris</v>
          </cell>
          <cell r="B863" t="str">
            <v>Grasshoppers, crickets and allies</v>
          </cell>
          <cell r="C863" t="str">
            <v>Orthoptera</v>
          </cell>
          <cell r="D863" t="str">
            <v>Nemobius sylvestris</v>
          </cell>
          <cell r="E863" t="str">
            <v>LC</v>
          </cell>
          <cell r="F863" t="str">
            <v>Sutton, 2015</v>
          </cell>
          <cell r="G863" t="str">
            <v>NBNSYS0000006828</v>
          </cell>
          <cell r="H863" t="str">
            <v>Nemobius sylvestris</v>
          </cell>
        </row>
        <row r="864">
          <cell r="A864" t="str">
            <v>Omocestus rufipes</v>
          </cell>
          <cell r="B864" t="str">
            <v>Grasshoppers, crickets and allies</v>
          </cell>
          <cell r="C864" t="str">
            <v>Orthoptera</v>
          </cell>
          <cell r="D864" t="str">
            <v>Omocestus rufipes</v>
          </cell>
          <cell r="E864" t="str">
            <v>LC</v>
          </cell>
          <cell r="F864" t="str">
            <v>Sutton, 2015</v>
          </cell>
          <cell r="G864" t="str">
            <v>NHMSYS0001387431</v>
          </cell>
          <cell r="H864" t="str">
            <v>Omocestus rufipes</v>
          </cell>
        </row>
        <row r="865">
          <cell r="A865" t="str">
            <v>Omocestus viridulus</v>
          </cell>
          <cell r="B865" t="str">
            <v>Grasshoppers, crickets and allies</v>
          </cell>
          <cell r="C865" t="str">
            <v>Orthoptera</v>
          </cell>
          <cell r="D865" t="str">
            <v>Omocestus viridulus</v>
          </cell>
          <cell r="E865" t="str">
            <v>LC</v>
          </cell>
          <cell r="F865" t="str">
            <v>Sutton, 2015</v>
          </cell>
          <cell r="G865" t="str">
            <v>NBNSYS0000006838</v>
          </cell>
          <cell r="H865" t="str">
            <v>Omocestus viridulus</v>
          </cell>
        </row>
        <row r="866">
          <cell r="A866" t="str">
            <v>Pholidoptera griseoaptera</v>
          </cell>
          <cell r="B866" t="str">
            <v>Grasshoppers, crickets and allies</v>
          </cell>
          <cell r="C866" t="str">
            <v>Orthoptera</v>
          </cell>
          <cell r="D866" t="str">
            <v>Pholidoptera griseoaptera</v>
          </cell>
          <cell r="E866" t="str">
            <v>LC</v>
          </cell>
          <cell r="F866" t="str">
            <v>Sutton, 2015</v>
          </cell>
          <cell r="G866" t="str">
            <v>NHMSYS0001387435</v>
          </cell>
          <cell r="H866" t="str">
            <v>Pholidoptera griseoaptera</v>
          </cell>
        </row>
        <row r="867">
          <cell r="A867" t="str">
            <v>Platycleis albopunctata</v>
          </cell>
          <cell r="B867" t="str">
            <v>Grasshoppers, crickets and allies</v>
          </cell>
          <cell r="C867" t="str">
            <v>Orthoptera</v>
          </cell>
          <cell r="D867" t="str">
            <v>Platycleis albopunctata</v>
          </cell>
          <cell r="E867" t="str">
            <v>LC</v>
          </cell>
          <cell r="F867" t="str">
            <v>Sutton, 2015</v>
          </cell>
          <cell r="G867" t="str">
            <v>NHMSYS0001387438</v>
          </cell>
          <cell r="H867" t="str">
            <v>Platycleis albopunctata</v>
          </cell>
        </row>
        <row r="868">
          <cell r="A868" t="str">
            <v>Pseudomogoplistes vicentae</v>
          </cell>
          <cell r="B868" t="str">
            <v>Grasshoppers, crickets and allies</v>
          </cell>
          <cell r="C868" t="str">
            <v>Orthoptera</v>
          </cell>
          <cell r="D868" t="str">
            <v>Pseudomogoplistes vicentae</v>
          </cell>
          <cell r="E868" t="str">
            <v>VU</v>
          </cell>
          <cell r="F868" t="str">
            <v>Sutton, 2015</v>
          </cell>
          <cell r="G868" t="str">
            <v>NHMSYS0020973988</v>
          </cell>
          <cell r="H868" t="str">
            <v>Pseudomogoplistes vicentae</v>
          </cell>
        </row>
        <row r="869">
          <cell r="A869" t="str">
            <v>Stenobothrus lineatus</v>
          </cell>
          <cell r="B869" t="str">
            <v>Grasshoppers, crickets and allies</v>
          </cell>
          <cell r="C869" t="str">
            <v>Orthoptera</v>
          </cell>
          <cell r="D869" t="str">
            <v>Stenobothrus lineatus</v>
          </cell>
          <cell r="E869" t="str">
            <v>LC</v>
          </cell>
          <cell r="F869" t="str">
            <v>Sutton, 2015</v>
          </cell>
          <cell r="G869" t="str">
            <v>NBNSYS0000006835</v>
          </cell>
          <cell r="H869" t="str">
            <v>Stenobothrus lineatus</v>
          </cell>
        </row>
        <row r="870">
          <cell r="A870" t="str">
            <v>Stethophyma grossum</v>
          </cell>
          <cell r="B870" t="str">
            <v>Grasshoppers, crickets and allies</v>
          </cell>
          <cell r="C870" t="str">
            <v>Orthoptera</v>
          </cell>
          <cell r="D870" t="str">
            <v>Stethophyma grossum</v>
          </cell>
          <cell r="E870" t="str">
            <v>NT</v>
          </cell>
          <cell r="F870" t="str">
            <v>Sutton, 2015</v>
          </cell>
          <cell r="G870" t="str">
            <v>NBNSYS0000006834</v>
          </cell>
          <cell r="H870" t="str">
            <v>Stethophyma grossum</v>
          </cell>
        </row>
        <row r="871">
          <cell r="A871" t="str">
            <v>Tetrix ceperoi</v>
          </cell>
          <cell r="B871" t="str">
            <v>Grasshoppers, crickets and allies</v>
          </cell>
          <cell r="C871" t="str">
            <v>Orthoptera</v>
          </cell>
          <cell r="D871" t="str">
            <v>Tetrix ceperoi</v>
          </cell>
          <cell r="E871" t="str">
            <v>LC</v>
          </cell>
          <cell r="F871" t="str">
            <v>Sutton, 2015</v>
          </cell>
          <cell r="G871" t="str">
            <v>NBNSYS0000006831</v>
          </cell>
          <cell r="H871" t="str">
            <v>Tetrix ceperoi</v>
          </cell>
        </row>
        <row r="872">
          <cell r="A872" t="str">
            <v>Tetrix subulata</v>
          </cell>
          <cell r="B872" t="str">
            <v>Grasshoppers, crickets and allies</v>
          </cell>
          <cell r="C872" t="str">
            <v>Orthoptera</v>
          </cell>
          <cell r="D872" t="str">
            <v>Tetrix subulata</v>
          </cell>
          <cell r="E872" t="str">
            <v>LC</v>
          </cell>
          <cell r="F872" t="str">
            <v>Sutton, 2015</v>
          </cell>
          <cell r="G872" t="str">
            <v>NBNSYS0000006832</v>
          </cell>
          <cell r="H872" t="str">
            <v>Tetrix subulata</v>
          </cell>
        </row>
        <row r="873">
          <cell r="A873" t="str">
            <v>Tetrix undulata</v>
          </cell>
          <cell r="B873" t="str">
            <v>Grasshoppers, crickets and allies</v>
          </cell>
          <cell r="C873" t="str">
            <v>Orthoptera</v>
          </cell>
          <cell r="D873" t="str">
            <v>Tetrix undulata</v>
          </cell>
          <cell r="E873" t="str">
            <v>LC</v>
          </cell>
          <cell r="F873" t="str">
            <v>Sutton, 2015</v>
          </cell>
          <cell r="G873" t="str">
            <v>NBNSYS0000006833</v>
          </cell>
          <cell r="H873" t="str">
            <v>Tetrix undulata</v>
          </cell>
        </row>
        <row r="874">
          <cell r="A874" t="str">
            <v>Tettigonia viridissima</v>
          </cell>
          <cell r="B874" t="str">
            <v>Grasshoppers, crickets and allies</v>
          </cell>
          <cell r="C874" t="str">
            <v>Orthoptera</v>
          </cell>
          <cell r="D874" t="str">
            <v>Tettigonia viridissima</v>
          </cell>
          <cell r="E874" t="str">
            <v>LC</v>
          </cell>
          <cell r="F874" t="str">
            <v>Sutton, 2015</v>
          </cell>
          <cell r="G874" t="str">
            <v>NHMSYS0001387471</v>
          </cell>
          <cell r="H874" t="str">
            <v>Tettigonia viridissima</v>
          </cell>
        </row>
        <row r="875">
          <cell r="A875" t="str">
            <v>Abax parallelepipedus</v>
          </cell>
          <cell r="B875" t="str">
            <v>Ground beetles</v>
          </cell>
          <cell r="C875" t="str">
            <v>Coleoptera</v>
          </cell>
          <cell r="D875" t="str">
            <v>Abax parallelepipedus</v>
          </cell>
          <cell r="E875" t="str">
            <v>LC</v>
          </cell>
          <cell r="F875" t="str">
            <v>Telfer, 2016</v>
          </cell>
          <cell r="G875" t="str">
            <v>NBNSYS0000007302</v>
          </cell>
          <cell r="H875" t="str">
            <v>Abax parallelepipedus</v>
          </cell>
        </row>
        <row r="876">
          <cell r="A876" t="str">
            <v>Acupalpus brunnipes</v>
          </cell>
          <cell r="B876" t="str">
            <v>Ground beetles</v>
          </cell>
          <cell r="C876" t="str">
            <v>Coleoptera</v>
          </cell>
          <cell r="D876" t="str">
            <v>Acupalpus brunnipes</v>
          </cell>
          <cell r="E876" t="str">
            <v>NT</v>
          </cell>
          <cell r="F876" t="str">
            <v>Telfer, 2016</v>
          </cell>
          <cell r="G876" t="str">
            <v>NBNSYS0000007432</v>
          </cell>
          <cell r="H876" t="str">
            <v>Acupalpus brunnipes</v>
          </cell>
        </row>
        <row r="877">
          <cell r="A877" t="str">
            <v>Acupalpus dubius</v>
          </cell>
          <cell r="B877" t="str">
            <v>Ground beetles</v>
          </cell>
          <cell r="C877" t="str">
            <v>Coleoptera</v>
          </cell>
          <cell r="D877" t="str">
            <v>Acupalpus dubius</v>
          </cell>
          <cell r="E877" t="str">
            <v>LC</v>
          </cell>
          <cell r="F877" t="str">
            <v>Telfer, 2016</v>
          </cell>
          <cell r="G877" t="str">
            <v>NBNSYS0000007435</v>
          </cell>
          <cell r="H877" t="str">
            <v>Acupalpus dubius</v>
          </cell>
        </row>
        <row r="878">
          <cell r="A878" t="str">
            <v>Acupalpus elegans</v>
          </cell>
          <cell r="B878" t="str">
            <v>Ground beetles</v>
          </cell>
          <cell r="C878" t="str">
            <v>Coleoptera</v>
          </cell>
          <cell r="D878" t="str">
            <v>Acupalpus elegans</v>
          </cell>
          <cell r="E878" t="str">
            <v>CR(PE)</v>
          </cell>
          <cell r="F878" t="str">
            <v>Telfer, 2016</v>
          </cell>
          <cell r="G878" t="str">
            <v>NBNSYS0000007436</v>
          </cell>
          <cell r="H878" t="str">
            <v>Acupalpus elegans</v>
          </cell>
        </row>
        <row r="879">
          <cell r="A879" t="str">
            <v>Acupalpus exiguus</v>
          </cell>
          <cell r="B879" t="str">
            <v>Ground beetles</v>
          </cell>
          <cell r="C879" t="str">
            <v>Coleoptera</v>
          </cell>
          <cell r="D879" t="str">
            <v>Acupalpus exiguus</v>
          </cell>
          <cell r="E879" t="str">
            <v>LC</v>
          </cell>
          <cell r="F879" t="str">
            <v>Telfer, 2016</v>
          </cell>
          <cell r="G879" t="str">
            <v>NBNSYS0000007437</v>
          </cell>
          <cell r="H879" t="str">
            <v>Acupalpus exiguus</v>
          </cell>
        </row>
        <row r="880">
          <cell r="A880" t="str">
            <v>Acupalpus flavicollis</v>
          </cell>
          <cell r="B880" t="str">
            <v>Ground beetles</v>
          </cell>
          <cell r="C880" t="str">
            <v>Coleoptera</v>
          </cell>
          <cell r="D880" t="str">
            <v>Acupalpus flavicollis</v>
          </cell>
          <cell r="E880" t="str">
            <v>NT</v>
          </cell>
          <cell r="F880" t="str">
            <v>Telfer, 2016</v>
          </cell>
          <cell r="G880" t="str">
            <v>NBNSYS0000007438</v>
          </cell>
          <cell r="H880" t="str">
            <v>Acupalpus flavicollis</v>
          </cell>
        </row>
        <row r="881">
          <cell r="A881" t="str">
            <v>Acupalpus maculatus</v>
          </cell>
          <cell r="B881" t="str">
            <v>Ground beetles</v>
          </cell>
          <cell r="C881" t="str">
            <v>Coleoptera</v>
          </cell>
          <cell r="D881" t="str">
            <v>Acupalpus maculatus</v>
          </cell>
          <cell r="E881" t="str">
            <v>NT</v>
          </cell>
          <cell r="F881" t="str">
            <v>Telfer, 2016</v>
          </cell>
          <cell r="G881" t="str">
            <v>NHMSYS0001716498</v>
          </cell>
          <cell r="H881" t="str">
            <v>Acupalpus maculatus</v>
          </cell>
        </row>
        <row r="882">
          <cell r="A882" t="str">
            <v>Acupalpus meridianus</v>
          </cell>
          <cell r="B882" t="str">
            <v>Ground beetles</v>
          </cell>
          <cell r="C882" t="str">
            <v>Coleoptera</v>
          </cell>
          <cell r="D882" t="str">
            <v>Acupalpus meridianus</v>
          </cell>
          <cell r="E882" t="str">
            <v>LC</v>
          </cell>
          <cell r="F882" t="str">
            <v>Telfer, 2016</v>
          </cell>
          <cell r="G882" t="str">
            <v>NBNSYS0000007439</v>
          </cell>
          <cell r="H882" t="str">
            <v>Acupalpus meridianus</v>
          </cell>
        </row>
        <row r="883">
          <cell r="A883" t="str">
            <v>Acupalpus parvulus</v>
          </cell>
          <cell r="B883" t="str">
            <v>Ground beetles</v>
          </cell>
          <cell r="C883" t="str">
            <v>Coleoptera</v>
          </cell>
          <cell r="D883" t="str">
            <v>Acupalpus parvulus</v>
          </cell>
          <cell r="E883" t="str">
            <v>LC</v>
          </cell>
          <cell r="F883" t="str">
            <v>Telfer, 2016</v>
          </cell>
          <cell r="G883" t="str">
            <v>NHMSYS0001716499</v>
          </cell>
          <cell r="H883" t="str">
            <v>Acupalpus parvulus</v>
          </cell>
        </row>
        <row r="884">
          <cell r="A884" t="str">
            <v>Aepus marinus</v>
          </cell>
          <cell r="B884" t="str">
            <v>Ground beetles</v>
          </cell>
          <cell r="C884" t="str">
            <v>Coleoptera</v>
          </cell>
          <cell r="D884" t="str">
            <v>Aepus marinus</v>
          </cell>
          <cell r="E884" t="str">
            <v>LC</v>
          </cell>
          <cell r="F884" t="str">
            <v>Telfer, 2016</v>
          </cell>
          <cell r="G884" t="str">
            <v>NHMSYS0001716523</v>
          </cell>
          <cell r="H884" t="str">
            <v>Aepus marinus</v>
          </cell>
        </row>
        <row r="885">
          <cell r="A885" t="str">
            <v>Aepus robinii</v>
          </cell>
          <cell r="B885" t="str">
            <v>Ground beetles</v>
          </cell>
          <cell r="C885" t="str">
            <v>Coleoptera</v>
          </cell>
          <cell r="D885" t="str">
            <v>Aepus robinii</v>
          </cell>
          <cell r="E885" t="str">
            <v>LC</v>
          </cell>
          <cell r="F885" t="str">
            <v>Telfer, 2016</v>
          </cell>
          <cell r="G885" t="str">
            <v>NBNSYS0000141032</v>
          </cell>
          <cell r="H885" t="str">
            <v>Aepus robinii</v>
          </cell>
        </row>
        <row r="886">
          <cell r="A886" t="str">
            <v>Agonum emarginatum</v>
          </cell>
          <cell r="B886" t="str">
            <v>Ground beetles</v>
          </cell>
          <cell r="C886" t="str">
            <v>Coleoptera</v>
          </cell>
          <cell r="D886" t="str">
            <v>Agonum emarginatum</v>
          </cell>
          <cell r="E886" t="str">
            <v>LC</v>
          </cell>
          <cell r="F886" t="str">
            <v>Telfer, 2016</v>
          </cell>
          <cell r="G886" t="str">
            <v>NHMSYS0020919935</v>
          </cell>
          <cell r="H886" t="str">
            <v>Agonum emarginatum</v>
          </cell>
        </row>
        <row r="887">
          <cell r="A887" t="str">
            <v>Agonum ericeti</v>
          </cell>
          <cell r="B887" t="str">
            <v>Ground beetles</v>
          </cell>
          <cell r="C887" t="str">
            <v>Coleoptera</v>
          </cell>
          <cell r="D887" t="str">
            <v>Agonum ericeti</v>
          </cell>
          <cell r="E887" t="str">
            <v>LC</v>
          </cell>
          <cell r="F887" t="str">
            <v>Telfer, 2016</v>
          </cell>
          <cell r="G887" t="str">
            <v>NBNSYS0000007322</v>
          </cell>
          <cell r="H887" t="str">
            <v>Agonum ericeti</v>
          </cell>
        </row>
        <row r="888">
          <cell r="A888" t="str">
            <v>Agonum fuliginosum</v>
          </cell>
          <cell r="B888" t="str">
            <v>Ground beetles</v>
          </cell>
          <cell r="C888" t="str">
            <v>Coleoptera</v>
          </cell>
          <cell r="D888" t="str">
            <v>Agonum fuliginosum</v>
          </cell>
          <cell r="E888" t="str">
            <v>LC</v>
          </cell>
          <cell r="F888" t="str">
            <v>Telfer, 2016</v>
          </cell>
          <cell r="G888" t="str">
            <v>NBNSYS0000007323</v>
          </cell>
          <cell r="H888" t="str">
            <v>Agonum fuliginosum</v>
          </cell>
        </row>
        <row r="889">
          <cell r="A889" t="str">
            <v>Agonum gracile</v>
          </cell>
          <cell r="B889" t="str">
            <v>Ground beetles</v>
          </cell>
          <cell r="C889" t="str">
            <v>Coleoptera</v>
          </cell>
          <cell r="D889" t="str">
            <v>Agonum gracile</v>
          </cell>
          <cell r="E889" t="str">
            <v>LC</v>
          </cell>
          <cell r="F889" t="str">
            <v>Telfer, 2016</v>
          </cell>
          <cell r="G889" t="str">
            <v>NBNSYS0000007324</v>
          </cell>
          <cell r="H889" t="str">
            <v>Agonum gracile</v>
          </cell>
        </row>
        <row r="890">
          <cell r="A890" t="str">
            <v>Agonum marginatum</v>
          </cell>
          <cell r="B890" t="str">
            <v>Ground beetles</v>
          </cell>
          <cell r="C890" t="str">
            <v>Coleoptera</v>
          </cell>
          <cell r="D890" t="str">
            <v>Agonum marginatum</v>
          </cell>
          <cell r="E890" t="str">
            <v>LC</v>
          </cell>
          <cell r="F890" t="str">
            <v>Telfer, 2016</v>
          </cell>
          <cell r="G890" t="str">
            <v>NBNSYS0000007328</v>
          </cell>
          <cell r="H890" t="str">
            <v>Agonum marginatum</v>
          </cell>
        </row>
        <row r="891">
          <cell r="A891" t="str">
            <v>Agonum micans</v>
          </cell>
          <cell r="B891" t="str">
            <v>Ground beetles</v>
          </cell>
          <cell r="C891" t="str">
            <v>Coleoptera</v>
          </cell>
          <cell r="D891" t="str">
            <v>Agonum micans</v>
          </cell>
          <cell r="E891" t="str">
            <v>LC</v>
          </cell>
          <cell r="F891" t="str">
            <v>Telfer, 2016</v>
          </cell>
          <cell r="G891" t="str">
            <v>NBNSYS0000007329</v>
          </cell>
          <cell r="H891" t="str">
            <v>Agonum micans</v>
          </cell>
        </row>
        <row r="892">
          <cell r="A892" t="str">
            <v>Agonum muelleri</v>
          </cell>
          <cell r="B892" t="str">
            <v>Ground beetles</v>
          </cell>
          <cell r="C892" t="str">
            <v>Coleoptera</v>
          </cell>
          <cell r="D892" t="str">
            <v>Agonum muelleri</v>
          </cell>
          <cell r="E892" t="str">
            <v>LC</v>
          </cell>
          <cell r="F892" t="str">
            <v>Telfer, 2016</v>
          </cell>
          <cell r="G892" t="str">
            <v>NBNSYS0000007331</v>
          </cell>
          <cell r="H892" t="str">
            <v>Agonum muelleri</v>
          </cell>
        </row>
        <row r="893">
          <cell r="A893" t="str">
            <v>Agonum nigrum</v>
          </cell>
          <cell r="B893" t="str">
            <v>Ground beetles</v>
          </cell>
          <cell r="C893" t="str">
            <v>Coleoptera</v>
          </cell>
          <cell r="D893" t="str">
            <v>Agonum nigrum</v>
          </cell>
          <cell r="E893" t="str">
            <v>LC</v>
          </cell>
          <cell r="F893" t="str">
            <v>Telfer, 2016</v>
          </cell>
          <cell r="G893" t="str">
            <v>NBNSYS0000007332</v>
          </cell>
          <cell r="H893" t="str">
            <v>Agonum nigrum</v>
          </cell>
        </row>
        <row r="894">
          <cell r="A894" t="str">
            <v>Agonum piceum</v>
          </cell>
          <cell r="B894" t="str">
            <v>Ground beetles</v>
          </cell>
          <cell r="C894" t="str">
            <v>Coleoptera</v>
          </cell>
          <cell r="D894" t="str">
            <v>Agonum piceum</v>
          </cell>
          <cell r="E894" t="str">
            <v>LC</v>
          </cell>
          <cell r="F894" t="str">
            <v>Telfer, 2016</v>
          </cell>
          <cell r="G894" t="str">
            <v>NBNSYS0000007334</v>
          </cell>
          <cell r="H894" t="str">
            <v>Agonum piceum</v>
          </cell>
        </row>
        <row r="895">
          <cell r="A895" t="str">
            <v>Agonum scitulum</v>
          </cell>
          <cell r="B895" t="str">
            <v>Ground beetles</v>
          </cell>
          <cell r="C895" t="str">
            <v>Coleoptera</v>
          </cell>
          <cell r="D895" t="str">
            <v>Agonum scitulum</v>
          </cell>
          <cell r="E895" t="str">
            <v>CR</v>
          </cell>
          <cell r="F895" t="str">
            <v>Telfer, 2016</v>
          </cell>
          <cell r="G895" t="str">
            <v>NBNSYS0000007337</v>
          </cell>
          <cell r="H895" t="str">
            <v>Agonum scitulum</v>
          </cell>
        </row>
        <row r="896">
          <cell r="A896" t="str">
            <v>Agonum sexpunctatum</v>
          </cell>
          <cell r="B896" t="str">
            <v>Ground beetles</v>
          </cell>
          <cell r="C896" t="str">
            <v>Coleoptera</v>
          </cell>
          <cell r="D896" t="str">
            <v>Agonum sexpunctatum</v>
          </cell>
          <cell r="E896" t="str">
            <v>LC</v>
          </cell>
          <cell r="F896" t="str">
            <v>Telfer, 2016</v>
          </cell>
          <cell r="G896" t="str">
            <v>NBNSYS0000007338</v>
          </cell>
          <cell r="H896" t="str">
            <v>Agonum sexpunctatum</v>
          </cell>
        </row>
        <row r="897">
          <cell r="A897" t="str">
            <v>Agonum thoreyi</v>
          </cell>
          <cell r="B897" t="str">
            <v>Ground beetles</v>
          </cell>
          <cell r="C897" t="str">
            <v>Coleoptera</v>
          </cell>
          <cell r="D897" t="str">
            <v>Agonum thoreyi</v>
          </cell>
          <cell r="E897" t="str">
            <v>LC</v>
          </cell>
          <cell r="F897" t="str">
            <v>Telfer, 2016</v>
          </cell>
          <cell r="G897" t="str">
            <v>NBNSYS0000007339</v>
          </cell>
          <cell r="H897" t="str">
            <v>Agonum thoreyi</v>
          </cell>
        </row>
        <row r="898">
          <cell r="A898" t="str">
            <v>Agonum versutum</v>
          </cell>
          <cell r="B898" t="str">
            <v>Ground beetles</v>
          </cell>
          <cell r="C898" t="str">
            <v>Coleoptera</v>
          </cell>
          <cell r="D898" t="str">
            <v>Agonum versutum</v>
          </cell>
          <cell r="E898" t="str">
            <v>NT</v>
          </cell>
          <cell r="F898" t="str">
            <v>Telfer, 2016</v>
          </cell>
          <cell r="G898" t="str">
            <v>NBNSYS0000007340</v>
          </cell>
          <cell r="H898" t="str">
            <v>Agonum versutum</v>
          </cell>
        </row>
        <row r="899">
          <cell r="A899" t="str">
            <v>Agonum viduum</v>
          </cell>
          <cell r="B899" t="str">
            <v>Ground beetles</v>
          </cell>
          <cell r="C899" t="str">
            <v>Coleoptera</v>
          </cell>
          <cell r="D899" t="str">
            <v>Agonum viduum</v>
          </cell>
          <cell r="E899" t="str">
            <v>LC</v>
          </cell>
          <cell r="F899" t="str">
            <v>Telfer, 2016</v>
          </cell>
          <cell r="G899" t="str">
            <v>NBNSYS0000007341</v>
          </cell>
          <cell r="H899" t="str">
            <v>Agonum viduum</v>
          </cell>
        </row>
        <row r="900">
          <cell r="A900" t="str">
            <v>Amara aenea</v>
          </cell>
          <cell r="B900" t="str">
            <v>Ground beetles</v>
          </cell>
          <cell r="C900" t="str">
            <v>Coleoptera</v>
          </cell>
          <cell r="D900" t="str">
            <v>Amara aenea</v>
          </cell>
          <cell r="E900" t="str">
            <v>LC</v>
          </cell>
          <cell r="F900" t="str">
            <v>Telfer, 2016</v>
          </cell>
          <cell r="G900" t="str">
            <v>NBNSYS0000007343</v>
          </cell>
          <cell r="H900" t="str">
            <v>Amara aenea</v>
          </cell>
        </row>
        <row r="901">
          <cell r="A901" t="str">
            <v>Amara apricaria</v>
          </cell>
          <cell r="B901" t="str">
            <v>Ground beetles</v>
          </cell>
          <cell r="C901" t="str">
            <v>Coleoptera</v>
          </cell>
          <cell r="D901" t="str">
            <v>Amara apricaria</v>
          </cell>
          <cell r="E901" t="str">
            <v>LC</v>
          </cell>
          <cell r="F901" t="str">
            <v>Telfer, 2016</v>
          </cell>
          <cell r="G901" t="str">
            <v>NBNSYS0000007346</v>
          </cell>
          <cell r="H901" t="str">
            <v>Amara apricaria</v>
          </cell>
        </row>
        <row r="902">
          <cell r="A902" t="str">
            <v>Amara bifrons</v>
          </cell>
          <cell r="B902" t="str">
            <v>Ground beetles</v>
          </cell>
          <cell r="C902" t="str">
            <v>Coleoptera</v>
          </cell>
          <cell r="D902" t="str">
            <v>Amara bifrons</v>
          </cell>
          <cell r="E902" t="str">
            <v>LC</v>
          </cell>
          <cell r="F902" t="str">
            <v>Telfer, 2016</v>
          </cell>
          <cell r="G902" t="str">
            <v>NBNSYS0000007348</v>
          </cell>
          <cell r="H902" t="str">
            <v>Amara bifrons</v>
          </cell>
        </row>
        <row r="903">
          <cell r="A903" t="str">
            <v>Amara communis</v>
          </cell>
          <cell r="B903" t="str">
            <v>Ground beetles</v>
          </cell>
          <cell r="C903" t="str">
            <v>Coleoptera</v>
          </cell>
          <cell r="D903" t="str">
            <v>Amara communis</v>
          </cell>
          <cell r="E903" t="str">
            <v>LC</v>
          </cell>
          <cell r="F903" t="str">
            <v>Telfer, 2016</v>
          </cell>
          <cell r="G903" t="str">
            <v>NBNSYS0000007349</v>
          </cell>
          <cell r="H903" t="str">
            <v>Amara communis</v>
          </cell>
        </row>
        <row r="904">
          <cell r="A904" t="str">
            <v>Amara consularis</v>
          </cell>
          <cell r="B904" t="str">
            <v>Ground beetles</v>
          </cell>
          <cell r="C904" t="str">
            <v>Coleoptera</v>
          </cell>
          <cell r="D904" t="str">
            <v>Amara consularis</v>
          </cell>
          <cell r="E904" t="str">
            <v>LC</v>
          </cell>
          <cell r="F904" t="str">
            <v>Telfer, 2016</v>
          </cell>
          <cell r="G904" t="str">
            <v>NBNSYS0000007350</v>
          </cell>
          <cell r="H904" t="str">
            <v>Amara consularis</v>
          </cell>
        </row>
        <row r="905">
          <cell r="A905" t="str">
            <v>Amara convexior</v>
          </cell>
          <cell r="B905" t="str">
            <v>Ground beetles</v>
          </cell>
          <cell r="C905" t="str">
            <v>Coleoptera</v>
          </cell>
          <cell r="D905" t="str">
            <v>Amara convexior</v>
          </cell>
          <cell r="E905" t="str">
            <v>LC</v>
          </cell>
          <cell r="F905" t="str">
            <v>Telfer, 2016</v>
          </cell>
          <cell r="G905" t="str">
            <v>NBNSYS0000007351</v>
          </cell>
          <cell r="H905" t="str">
            <v>Amara convexior</v>
          </cell>
        </row>
        <row r="906">
          <cell r="A906" t="str">
            <v>Amara curta</v>
          </cell>
          <cell r="B906" t="str">
            <v>Ground beetles</v>
          </cell>
          <cell r="C906" t="str">
            <v>Coleoptera</v>
          </cell>
          <cell r="D906" t="str">
            <v>Amara curta</v>
          </cell>
          <cell r="E906" t="str">
            <v>LC</v>
          </cell>
          <cell r="F906" t="str">
            <v>Telfer, 2016</v>
          </cell>
          <cell r="G906" t="str">
            <v>NBNSYS0000007354</v>
          </cell>
          <cell r="H906" t="str">
            <v>Amara curta</v>
          </cell>
        </row>
        <row r="907">
          <cell r="A907" t="str">
            <v>Amara equestris</v>
          </cell>
          <cell r="B907" t="str">
            <v>Ground beetles</v>
          </cell>
          <cell r="C907" t="str">
            <v>Coleoptera</v>
          </cell>
          <cell r="D907" t="str">
            <v>Amara equestris</v>
          </cell>
          <cell r="E907" t="str">
            <v>LC</v>
          </cell>
          <cell r="F907" t="str">
            <v>Telfer, 2016</v>
          </cell>
          <cell r="G907" t="str">
            <v>NBNSYS0000007355</v>
          </cell>
          <cell r="H907" t="str">
            <v>Amara equestris</v>
          </cell>
        </row>
        <row r="908">
          <cell r="A908" t="str">
            <v>Amara eurynota</v>
          </cell>
          <cell r="B908" t="str">
            <v>Ground beetles</v>
          </cell>
          <cell r="C908" t="str">
            <v>Coleoptera</v>
          </cell>
          <cell r="D908" t="str">
            <v>Amara eurynota</v>
          </cell>
          <cell r="E908" t="str">
            <v>LC</v>
          </cell>
          <cell r="F908" t="str">
            <v>Telfer, 2016</v>
          </cell>
          <cell r="G908" t="str">
            <v>NBNSYS0000007356</v>
          </cell>
          <cell r="H908" t="str">
            <v>Amara eurynota</v>
          </cell>
        </row>
        <row r="909">
          <cell r="A909" t="str">
            <v>Amara famelica</v>
          </cell>
          <cell r="B909" t="str">
            <v>Ground beetles</v>
          </cell>
          <cell r="C909" t="str">
            <v>Coleoptera</v>
          </cell>
          <cell r="D909" t="str">
            <v>Amara famelica</v>
          </cell>
          <cell r="E909" t="str">
            <v>EN</v>
          </cell>
          <cell r="F909" t="str">
            <v>Telfer, 2016</v>
          </cell>
          <cell r="G909" t="str">
            <v>NBNSYS0000007357</v>
          </cell>
          <cell r="H909" t="str">
            <v>Amara famelica</v>
          </cell>
        </row>
        <row r="910">
          <cell r="A910" t="str">
            <v>Amara familiaris</v>
          </cell>
          <cell r="B910" t="str">
            <v>Ground beetles</v>
          </cell>
          <cell r="C910" t="str">
            <v>Coleoptera</v>
          </cell>
          <cell r="D910" t="str">
            <v>Amara familiaris</v>
          </cell>
          <cell r="E910" t="str">
            <v>LC</v>
          </cell>
          <cell r="F910" t="str">
            <v>Telfer, 2016</v>
          </cell>
          <cell r="G910" t="str">
            <v>NBNSYS0000007358</v>
          </cell>
          <cell r="H910" t="str">
            <v>Amara familiaris</v>
          </cell>
        </row>
        <row r="911">
          <cell r="A911" t="str">
            <v>Amara fulva</v>
          </cell>
          <cell r="B911" t="str">
            <v>Ground beetles</v>
          </cell>
          <cell r="C911" t="str">
            <v>Coleoptera</v>
          </cell>
          <cell r="D911" t="str">
            <v>Amara fulva</v>
          </cell>
          <cell r="E911" t="str">
            <v>LC</v>
          </cell>
          <cell r="F911" t="str">
            <v>Telfer, 2016</v>
          </cell>
          <cell r="G911" t="str">
            <v>NBNSYS0000007359</v>
          </cell>
          <cell r="H911" t="str">
            <v>Amara fulva</v>
          </cell>
        </row>
        <row r="912">
          <cell r="A912" t="str">
            <v>Amara fusca</v>
          </cell>
          <cell r="B912" t="str">
            <v>Ground beetles</v>
          </cell>
          <cell r="C912" t="str">
            <v>Coleoptera</v>
          </cell>
          <cell r="D912" t="str">
            <v>Amara fusca</v>
          </cell>
          <cell r="E912" t="str">
            <v>EN</v>
          </cell>
          <cell r="F912" t="str">
            <v>Telfer, 2016</v>
          </cell>
          <cell r="G912" t="str">
            <v>NBNSYS0000007360</v>
          </cell>
          <cell r="H912" t="str">
            <v>Amara fusca</v>
          </cell>
        </row>
        <row r="913">
          <cell r="A913" t="str">
            <v>Amara infima</v>
          </cell>
          <cell r="B913" t="str">
            <v>Ground beetles</v>
          </cell>
          <cell r="C913" t="str">
            <v>Coleoptera</v>
          </cell>
          <cell r="D913" t="str">
            <v>Amara infima</v>
          </cell>
          <cell r="E913" t="str">
            <v>NT</v>
          </cell>
          <cell r="F913" t="str">
            <v>Telfer, 2016</v>
          </cell>
          <cell r="G913" t="str">
            <v>NBNSYS0000007361</v>
          </cell>
          <cell r="H913" t="str">
            <v>Amara infima</v>
          </cell>
        </row>
        <row r="914">
          <cell r="A914" t="str">
            <v>Amara lucida</v>
          </cell>
          <cell r="B914" t="str">
            <v>Ground beetles</v>
          </cell>
          <cell r="C914" t="str">
            <v>Coleoptera</v>
          </cell>
          <cell r="D914" t="str">
            <v>Amara lucida</v>
          </cell>
          <cell r="E914" t="str">
            <v>LC</v>
          </cell>
          <cell r="F914" t="str">
            <v>Telfer, 2016</v>
          </cell>
          <cell r="G914" t="str">
            <v>NBNSYS0000007362</v>
          </cell>
          <cell r="H914" t="str">
            <v>Amara lucida</v>
          </cell>
        </row>
        <row r="915">
          <cell r="A915" t="str">
            <v>Amara lunicollis</v>
          </cell>
          <cell r="B915" t="str">
            <v>Ground beetles</v>
          </cell>
          <cell r="C915" t="str">
            <v>Coleoptera</v>
          </cell>
          <cell r="D915" t="str">
            <v>Amara lunicollis</v>
          </cell>
          <cell r="E915" t="str">
            <v>LC</v>
          </cell>
          <cell r="F915" t="str">
            <v>Telfer, 2016</v>
          </cell>
          <cell r="G915" t="str">
            <v>NBNSYS0000007363</v>
          </cell>
          <cell r="H915" t="str">
            <v>Amara lunicollis</v>
          </cell>
        </row>
        <row r="916">
          <cell r="A916" t="str">
            <v>Amara montivaga</v>
          </cell>
          <cell r="B916" t="str">
            <v>Ground beetles</v>
          </cell>
          <cell r="C916" t="str">
            <v>Coleoptera</v>
          </cell>
          <cell r="D916" t="str">
            <v>Amara montivaga</v>
          </cell>
          <cell r="E916" t="str">
            <v>LC</v>
          </cell>
          <cell r="F916" t="str">
            <v>Telfer, 2016</v>
          </cell>
          <cell r="G916" t="str">
            <v>NBNSYS0000007364</v>
          </cell>
          <cell r="H916" t="str">
            <v>Amara montivaga</v>
          </cell>
        </row>
        <row r="917">
          <cell r="A917" t="str">
            <v>Amara nitida</v>
          </cell>
          <cell r="B917" t="str">
            <v>Ground beetles</v>
          </cell>
          <cell r="C917" t="str">
            <v>Coleoptera</v>
          </cell>
          <cell r="D917" t="str">
            <v>Amara nitida</v>
          </cell>
          <cell r="E917" t="str">
            <v>EN</v>
          </cell>
          <cell r="F917" t="str">
            <v>Telfer, 2016</v>
          </cell>
          <cell r="G917" t="str">
            <v>NBNSYS0000007365</v>
          </cell>
          <cell r="H917" t="str">
            <v>Amara nitida</v>
          </cell>
        </row>
        <row r="918">
          <cell r="A918" t="str">
            <v>Amara ovata</v>
          </cell>
          <cell r="B918" t="str">
            <v>Ground beetles</v>
          </cell>
          <cell r="C918" t="str">
            <v>Coleoptera</v>
          </cell>
          <cell r="D918" t="str">
            <v>Amara ovata</v>
          </cell>
          <cell r="E918" t="str">
            <v>LC</v>
          </cell>
          <cell r="F918" t="str">
            <v>Telfer, 2016</v>
          </cell>
          <cell r="G918" t="str">
            <v>NHMSYS0020109252</v>
          </cell>
          <cell r="H918" t="str">
            <v>Amara ovata</v>
          </cell>
        </row>
        <row r="919">
          <cell r="A919" t="str">
            <v>Amara plebeja</v>
          </cell>
          <cell r="B919" t="str">
            <v>Ground beetles</v>
          </cell>
          <cell r="C919" t="str">
            <v>Coleoptera</v>
          </cell>
          <cell r="D919" t="str">
            <v>Amara plebeja</v>
          </cell>
          <cell r="E919" t="str">
            <v>LC</v>
          </cell>
          <cell r="F919" t="str">
            <v>Telfer, 2016</v>
          </cell>
          <cell r="G919" t="str">
            <v>NBNSYS0000007367</v>
          </cell>
          <cell r="H919" t="str">
            <v>Amara plebeja</v>
          </cell>
        </row>
        <row r="920">
          <cell r="A920" t="str">
            <v>Amara praetermissa</v>
          </cell>
          <cell r="B920" t="str">
            <v>Ground beetles</v>
          </cell>
          <cell r="C920" t="str">
            <v>Coleoptera</v>
          </cell>
          <cell r="D920" t="str">
            <v>Amara praetermissa</v>
          </cell>
          <cell r="E920" t="str">
            <v>LC</v>
          </cell>
          <cell r="F920" t="str">
            <v>Telfer, 2016</v>
          </cell>
          <cell r="G920" t="str">
            <v>NBNSYS0000007368</v>
          </cell>
          <cell r="H920" t="str">
            <v>Amara praetermissa</v>
          </cell>
        </row>
        <row r="921">
          <cell r="A921" t="str">
            <v>Amara similata</v>
          </cell>
          <cell r="B921" t="str">
            <v>Ground beetles</v>
          </cell>
          <cell r="C921" t="str">
            <v>Coleoptera</v>
          </cell>
          <cell r="D921" t="str">
            <v>Amara similata</v>
          </cell>
          <cell r="E921" t="str">
            <v>LC</v>
          </cell>
          <cell r="F921" t="str">
            <v>Telfer, 2016</v>
          </cell>
          <cell r="G921" t="str">
            <v>NBNSYS0000007370</v>
          </cell>
          <cell r="H921" t="str">
            <v>Amara similata</v>
          </cell>
        </row>
        <row r="922">
          <cell r="A922" t="str">
            <v>Amara spreta</v>
          </cell>
          <cell r="B922" t="str">
            <v>Ground beetles</v>
          </cell>
          <cell r="C922" t="str">
            <v>Coleoptera</v>
          </cell>
          <cell r="D922" t="str">
            <v>Amara spreta</v>
          </cell>
          <cell r="E922" t="str">
            <v>NT</v>
          </cell>
          <cell r="F922" t="str">
            <v>Telfer, 2016</v>
          </cell>
          <cell r="G922" t="str">
            <v>NBNSYS0000007371</v>
          </cell>
          <cell r="H922" t="str">
            <v>Amara spreta</v>
          </cell>
        </row>
        <row r="923">
          <cell r="A923" t="str">
            <v>Amara strenua</v>
          </cell>
          <cell r="B923" t="str">
            <v>Ground beetles</v>
          </cell>
          <cell r="C923" t="str">
            <v>Coleoptera</v>
          </cell>
          <cell r="D923" t="str">
            <v>Amara strenua</v>
          </cell>
          <cell r="E923" t="str">
            <v>NT</v>
          </cell>
          <cell r="F923" t="str">
            <v>Telfer, 2016</v>
          </cell>
          <cell r="G923" t="str">
            <v>NBNSYS0000007372</v>
          </cell>
          <cell r="H923" t="str">
            <v>Amara strenua</v>
          </cell>
        </row>
        <row r="924">
          <cell r="A924" t="str">
            <v>Amara tibialis</v>
          </cell>
          <cell r="B924" t="str">
            <v>Ground beetles</v>
          </cell>
          <cell r="C924" t="str">
            <v>Coleoptera</v>
          </cell>
          <cell r="D924" t="str">
            <v>Amara tibialis</v>
          </cell>
          <cell r="E924" t="str">
            <v>LC</v>
          </cell>
          <cell r="F924" t="str">
            <v>Telfer, 2016</v>
          </cell>
          <cell r="G924" t="str">
            <v>NBNSYS0000007373</v>
          </cell>
          <cell r="H924" t="str">
            <v>Amara tibialis</v>
          </cell>
        </row>
        <row r="925">
          <cell r="A925" t="str">
            <v>Anchomenus dorsalis</v>
          </cell>
          <cell r="B925" t="str">
            <v>Ground beetles</v>
          </cell>
          <cell r="C925" t="str">
            <v>Coleoptera</v>
          </cell>
          <cell r="D925" t="str">
            <v>Anchomenus dorsalis</v>
          </cell>
          <cell r="E925" t="str">
            <v>LC</v>
          </cell>
          <cell r="F925" t="str">
            <v>Telfer, 2016</v>
          </cell>
          <cell r="G925" t="str">
            <v>NHMSYS0001716795</v>
          </cell>
          <cell r="H925" t="str">
            <v>Anchomenus dorsalis</v>
          </cell>
        </row>
        <row r="926">
          <cell r="A926" t="str">
            <v>Anisodactylus binotatus</v>
          </cell>
          <cell r="B926" t="str">
            <v>Ground beetles</v>
          </cell>
          <cell r="C926" t="str">
            <v>Coleoptera</v>
          </cell>
          <cell r="D926" t="str">
            <v>Anisodactylus binotatus</v>
          </cell>
          <cell r="E926" t="str">
            <v>LC</v>
          </cell>
          <cell r="F926" t="str">
            <v>Telfer, 2016</v>
          </cell>
          <cell r="G926" t="str">
            <v>NHMSYS0001716807</v>
          </cell>
          <cell r="H926" t="str">
            <v>Anisodactylus binotatus</v>
          </cell>
        </row>
        <row r="927">
          <cell r="A927" t="str">
            <v>Anisodactylus nemorivagus</v>
          </cell>
          <cell r="B927" t="str">
            <v>Ground beetles</v>
          </cell>
          <cell r="C927" t="str">
            <v>Coleoptera</v>
          </cell>
          <cell r="D927" t="str">
            <v>Anisodactylus nemorivagus</v>
          </cell>
          <cell r="E927" t="str">
            <v>NT</v>
          </cell>
          <cell r="F927" t="str">
            <v>Telfer, 2016</v>
          </cell>
          <cell r="G927" t="str">
            <v>NBNSYS0000007411</v>
          </cell>
          <cell r="H927" t="str">
            <v>Anisodactylus nemorivagus</v>
          </cell>
        </row>
        <row r="928">
          <cell r="A928" t="str">
            <v>Anisodactylus poeciloides</v>
          </cell>
          <cell r="B928" t="str">
            <v>Ground beetles</v>
          </cell>
          <cell r="C928" t="str">
            <v>Coleoptera</v>
          </cell>
          <cell r="D928" t="str">
            <v>Anisodactylus poeciloides</v>
          </cell>
          <cell r="E928" t="str">
            <v>LC</v>
          </cell>
          <cell r="F928" t="str">
            <v>Telfer, 2016</v>
          </cell>
          <cell r="G928" t="str">
            <v>NBNSYS0000007412</v>
          </cell>
          <cell r="H928" t="str">
            <v>Anisodactylus poeciloides</v>
          </cell>
        </row>
        <row r="929">
          <cell r="A929" t="str">
            <v>Anthracus consputus</v>
          </cell>
          <cell r="B929" t="str">
            <v>Ground beetles</v>
          </cell>
          <cell r="C929" t="str">
            <v>Coleoptera</v>
          </cell>
          <cell r="D929" t="str">
            <v>Anthracus consputus</v>
          </cell>
          <cell r="E929" t="str">
            <v>LC</v>
          </cell>
          <cell r="F929" t="str">
            <v>Telfer, 2016</v>
          </cell>
          <cell r="G929" t="str">
            <v>NHMSYS0001716871</v>
          </cell>
          <cell r="H929" t="str">
            <v>Anthracus consputus</v>
          </cell>
        </row>
        <row r="930">
          <cell r="A930" t="str">
            <v>Asaphidion curtum</v>
          </cell>
          <cell r="B930" t="str">
            <v>Ground beetles</v>
          </cell>
          <cell r="C930" t="str">
            <v>Coleoptera</v>
          </cell>
          <cell r="D930" t="str">
            <v>Asaphidion curtum</v>
          </cell>
          <cell r="E930" t="str">
            <v>LC</v>
          </cell>
          <cell r="F930" t="str">
            <v>Telfer, 2016</v>
          </cell>
          <cell r="G930" t="str">
            <v>NBNSYS0000007203</v>
          </cell>
          <cell r="H930" t="str">
            <v>Asaphidion curtum</v>
          </cell>
        </row>
        <row r="931">
          <cell r="A931" t="str">
            <v>Asaphidion flavipes</v>
          </cell>
          <cell r="B931" t="str">
            <v>Ground beetles</v>
          </cell>
          <cell r="C931" t="str">
            <v>Coleoptera</v>
          </cell>
          <cell r="D931" t="str">
            <v>Asaphidion flavipes</v>
          </cell>
          <cell r="E931" t="str">
            <v>LC</v>
          </cell>
          <cell r="F931" t="str">
            <v>Telfer, 2016</v>
          </cell>
          <cell r="G931" t="str">
            <v>NHMSYS0001717032</v>
          </cell>
          <cell r="H931" t="str">
            <v>Asaphidion flavipes</v>
          </cell>
        </row>
        <row r="932">
          <cell r="A932" t="str">
            <v>Asaphidion pallipes</v>
          </cell>
          <cell r="B932" t="str">
            <v>Ground beetles</v>
          </cell>
          <cell r="C932" t="str">
            <v>Coleoptera</v>
          </cell>
          <cell r="D932" t="str">
            <v>Asaphidion pallipes</v>
          </cell>
          <cell r="E932" t="str">
            <v>LC</v>
          </cell>
          <cell r="F932" t="str">
            <v>Telfer, 2016</v>
          </cell>
          <cell r="G932" t="str">
            <v>NBNSYS0000007206</v>
          </cell>
          <cell r="H932" t="str">
            <v>Asaphidion pallipes</v>
          </cell>
        </row>
        <row r="933">
          <cell r="A933" t="str">
            <v>Asaphidion stierlini</v>
          </cell>
          <cell r="B933" t="str">
            <v>Ground beetles</v>
          </cell>
          <cell r="C933" t="str">
            <v>Coleoptera</v>
          </cell>
          <cell r="D933" t="str">
            <v>Asaphidion stierlini</v>
          </cell>
          <cell r="E933" t="str">
            <v>LC</v>
          </cell>
          <cell r="F933" t="str">
            <v>Telfer, 2016</v>
          </cell>
          <cell r="G933" t="str">
            <v>NBNSYS0000007207</v>
          </cell>
          <cell r="H933" t="str">
            <v>Asaphidion stierlini</v>
          </cell>
        </row>
        <row r="934">
          <cell r="A934" t="str">
            <v>Badister bullatus</v>
          </cell>
          <cell r="B934" t="str">
            <v>Ground beetles</v>
          </cell>
          <cell r="C934" t="str">
            <v>Coleoptera</v>
          </cell>
          <cell r="D934" t="str">
            <v>Badister bullatus</v>
          </cell>
          <cell r="E934" t="str">
            <v>LC</v>
          </cell>
          <cell r="F934" t="str">
            <v>Telfer, 2016</v>
          </cell>
          <cell r="G934" t="str">
            <v>NHMSYS0020109253</v>
          </cell>
          <cell r="H934" t="str">
            <v>Badister bullatus</v>
          </cell>
        </row>
        <row r="935">
          <cell r="A935" t="str">
            <v>Badister collaris</v>
          </cell>
          <cell r="B935" t="str">
            <v>Ground beetles</v>
          </cell>
          <cell r="C935" t="str">
            <v>Coleoptera</v>
          </cell>
          <cell r="D935" t="str">
            <v>Badister collaris</v>
          </cell>
          <cell r="E935" t="str">
            <v>LC</v>
          </cell>
          <cell r="F935" t="str">
            <v>Telfer, 2016</v>
          </cell>
          <cell r="G935" t="str">
            <v>NBNSYS0000189304</v>
          </cell>
          <cell r="H935" t="str">
            <v>Badister collaris</v>
          </cell>
        </row>
        <row r="936">
          <cell r="A936" t="str">
            <v>Badister dilatatus</v>
          </cell>
          <cell r="B936" t="str">
            <v>Ground beetles</v>
          </cell>
          <cell r="C936" t="str">
            <v>Coleoptera</v>
          </cell>
          <cell r="D936" t="str">
            <v>Badister dilatatus</v>
          </cell>
          <cell r="E936" t="str">
            <v>LC</v>
          </cell>
          <cell r="F936" t="str">
            <v>Telfer, 2016</v>
          </cell>
          <cell r="G936" t="str">
            <v>NBNSYS0000007444</v>
          </cell>
          <cell r="H936" t="str">
            <v>Badister dilatatus</v>
          </cell>
        </row>
        <row r="937">
          <cell r="A937" t="str">
            <v>Badister meridionalis</v>
          </cell>
          <cell r="B937" t="str">
            <v>Ground beetles</v>
          </cell>
          <cell r="C937" t="str">
            <v>Coleoptera</v>
          </cell>
          <cell r="D937" t="str">
            <v>Badister meridionalis</v>
          </cell>
          <cell r="E937" t="str">
            <v>NT</v>
          </cell>
          <cell r="F937" t="str">
            <v>Telfer, 2016</v>
          </cell>
          <cell r="G937" t="str">
            <v>NBNSYS0000007445</v>
          </cell>
          <cell r="H937" t="str">
            <v>Badister meridionalis</v>
          </cell>
        </row>
        <row r="938">
          <cell r="A938" t="str">
            <v>Badister peltatus</v>
          </cell>
          <cell r="B938" t="str">
            <v>Ground beetles</v>
          </cell>
          <cell r="C938" t="str">
            <v>Coleoptera</v>
          </cell>
          <cell r="D938" t="str">
            <v>Badister peltatus</v>
          </cell>
          <cell r="E938" t="str">
            <v>LC</v>
          </cell>
          <cell r="F938" t="str">
            <v>Telfer, 2016</v>
          </cell>
          <cell r="G938" t="str">
            <v>NBNSYS0000007446</v>
          </cell>
          <cell r="H938" t="str">
            <v>Badister peltatus</v>
          </cell>
        </row>
        <row r="939">
          <cell r="A939" t="str">
            <v>Badister sodalis</v>
          </cell>
          <cell r="B939" t="str">
            <v>Ground beetles</v>
          </cell>
          <cell r="C939" t="str">
            <v>Coleoptera</v>
          </cell>
          <cell r="D939" t="str">
            <v>Badister sodalis</v>
          </cell>
          <cell r="E939" t="str">
            <v>LC</v>
          </cell>
          <cell r="F939" t="str">
            <v>Telfer, 2016</v>
          </cell>
          <cell r="G939" t="str">
            <v>NBNSYS0000007447</v>
          </cell>
          <cell r="H939" t="str">
            <v>Badister sodalis</v>
          </cell>
        </row>
        <row r="940">
          <cell r="A940" t="str">
            <v>Badister unipustulatus</v>
          </cell>
          <cell r="B940" t="str">
            <v>Ground beetles</v>
          </cell>
          <cell r="C940" t="str">
            <v>Coleoptera</v>
          </cell>
          <cell r="D940" t="str">
            <v>Badister unipustulatus</v>
          </cell>
          <cell r="E940" t="str">
            <v>LC</v>
          </cell>
          <cell r="F940" t="str">
            <v>Telfer, 2016</v>
          </cell>
          <cell r="G940" t="str">
            <v>NBNSYS0000007448</v>
          </cell>
          <cell r="H940" t="str">
            <v>Badister unipustulatus</v>
          </cell>
        </row>
        <row r="941">
          <cell r="A941" t="str">
            <v>Batenus livens</v>
          </cell>
          <cell r="B941" t="str">
            <v>Ground beetles</v>
          </cell>
          <cell r="C941" t="str">
            <v>Coleoptera</v>
          </cell>
          <cell r="D941" t="str">
            <v>Batenus livens</v>
          </cell>
          <cell r="E941" t="str">
            <v>LC</v>
          </cell>
          <cell r="F941" t="str">
            <v>Telfer, 2016</v>
          </cell>
          <cell r="G941" t="str">
            <v>NHMSYS0021366629</v>
          </cell>
          <cell r="H941" t="str">
            <v>Batenus livens</v>
          </cell>
        </row>
        <row r="942">
          <cell r="A942" t="str">
            <v>Bembidion aeneum</v>
          </cell>
          <cell r="B942" t="str">
            <v>Ground beetles</v>
          </cell>
          <cell r="C942" t="str">
            <v>Coleoptera</v>
          </cell>
          <cell r="D942" t="str">
            <v>Bembidion aeneum</v>
          </cell>
          <cell r="E942" t="str">
            <v>LC</v>
          </cell>
          <cell r="F942" t="str">
            <v>Telfer, 2016</v>
          </cell>
          <cell r="G942" t="str">
            <v>NBNSYS0000007260</v>
          </cell>
          <cell r="H942" t="str">
            <v>Bembidion aeneum</v>
          </cell>
        </row>
        <row r="943">
          <cell r="A943" t="str">
            <v>Bembidion articulatum</v>
          </cell>
          <cell r="B943" t="str">
            <v>Ground beetles</v>
          </cell>
          <cell r="C943" t="str">
            <v>Coleoptera</v>
          </cell>
          <cell r="D943" t="str">
            <v>Bembidion articulatum</v>
          </cell>
          <cell r="E943" t="str">
            <v>LC</v>
          </cell>
          <cell r="F943" t="str">
            <v>Telfer, 2016</v>
          </cell>
          <cell r="G943" t="str">
            <v>NBNSYS0000007255</v>
          </cell>
          <cell r="H943" t="str">
            <v>Bembidion articulatum</v>
          </cell>
        </row>
        <row r="944">
          <cell r="A944" t="str">
            <v>Bembidion assimile</v>
          </cell>
          <cell r="B944" t="str">
            <v>Ground beetles</v>
          </cell>
          <cell r="C944" t="str">
            <v>Coleoptera</v>
          </cell>
          <cell r="D944" t="str">
            <v>Bembidion assimile</v>
          </cell>
          <cell r="E944" t="str">
            <v>LC</v>
          </cell>
          <cell r="F944" t="str">
            <v>Telfer, 2016</v>
          </cell>
          <cell r="G944" t="str">
            <v>NBNSYS0000007247</v>
          </cell>
          <cell r="H944" t="str">
            <v>Bembidion assimile</v>
          </cell>
        </row>
        <row r="945">
          <cell r="A945" t="str">
            <v>Bembidion atrocaeruleum</v>
          </cell>
          <cell r="B945" t="str">
            <v>Ground beetles</v>
          </cell>
          <cell r="C945" t="str">
            <v>Coleoptera</v>
          </cell>
          <cell r="D945" t="str">
            <v>Bembidion atrocaeruleum</v>
          </cell>
          <cell r="E945" t="str">
            <v>LC</v>
          </cell>
          <cell r="F945" t="str">
            <v>Telfer, 2016</v>
          </cell>
          <cell r="G945" t="str">
            <v>NHMSYS0020919945</v>
          </cell>
          <cell r="H945" t="str">
            <v>Bembidion atrocaeruleum</v>
          </cell>
        </row>
        <row r="946">
          <cell r="A946" t="str">
            <v>Bembidion biguttatum</v>
          </cell>
          <cell r="B946" t="str">
            <v>Ground beetles</v>
          </cell>
          <cell r="C946" t="str">
            <v>Coleoptera</v>
          </cell>
          <cell r="D946" t="str">
            <v>Bembidion biguttatum</v>
          </cell>
          <cell r="E946" t="str">
            <v>LC</v>
          </cell>
          <cell r="F946" t="str">
            <v>Telfer, 2016</v>
          </cell>
          <cell r="G946" t="str">
            <v>NBNSYS0000007261</v>
          </cell>
          <cell r="H946" t="str">
            <v>Bembidion biguttatum</v>
          </cell>
        </row>
        <row r="947">
          <cell r="A947" t="str">
            <v>Bembidion bipunctatum</v>
          </cell>
          <cell r="B947" t="str">
            <v>Ground beetles</v>
          </cell>
          <cell r="C947" t="str">
            <v>Coleoptera</v>
          </cell>
          <cell r="D947" t="str">
            <v>Bembidion bipunctatum</v>
          </cell>
          <cell r="E947" t="str">
            <v>LC</v>
          </cell>
          <cell r="F947" t="str">
            <v>Telfer, 2016</v>
          </cell>
          <cell r="G947" t="str">
            <v>NBNSYS0000007215</v>
          </cell>
          <cell r="H947" t="str">
            <v>Bembidion bipunctatum</v>
          </cell>
        </row>
        <row r="948">
          <cell r="A948" t="str">
            <v>Bembidion bruxellense</v>
          </cell>
          <cell r="B948" t="str">
            <v>Ground beetles</v>
          </cell>
          <cell r="C948" t="str">
            <v>Coleoptera</v>
          </cell>
          <cell r="D948" t="str">
            <v>Bembidion bruxellense</v>
          </cell>
          <cell r="E948" t="str">
            <v>LC</v>
          </cell>
          <cell r="F948" t="str">
            <v>Telfer, 2016</v>
          </cell>
          <cell r="G948" t="str">
            <v>NBNSYS0000007229</v>
          </cell>
          <cell r="H948" t="str">
            <v>Bembidion bruxellense</v>
          </cell>
        </row>
        <row r="949">
          <cell r="A949" t="str">
            <v>Bembidion bualei</v>
          </cell>
          <cell r="B949" t="str">
            <v>Ground beetles</v>
          </cell>
          <cell r="C949" t="str">
            <v>Coleoptera</v>
          </cell>
          <cell r="D949" t="str">
            <v>Bembidion bualei</v>
          </cell>
          <cell r="E949" t="str">
            <v>LC</v>
          </cell>
          <cell r="F949" t="str">
            <v>Telfer, 2016</v>
          </cell>
          <cell r="G949" t="str">
            <v>NHMSYS0021419109</v>
          </cell>
          <cell r="H949" t="str">
            <v>Bembidion bualei</v>
          </cell>
        </row>
        <row r="950">
          <cell r="A950" t="str">
            <v>Bembidion clarkii</v>
          </cell>
          <cell r="B950" t="str">
            <v>Ground beetles</v>
          </cell>
          <cell r="C950" t="str">
            <v>Coleoptera</v>
          </cell>
          <cell r="D950" t="str">
            <v>Bembidion clarkii</v>
          </cell>
          <cell r="E950" t="str">
            <v>LC</v>
          </cell>
          <cell r="F950" t="str">
            <v>Telfer, 2016</v>
          </cell>
          <cell r="G950" t="str">
            <v>NHMSYS0020919947</v>
          </cell>
          <cell r="H950" t="str">
            <v>Bembidion clarkii</v>
          </cell>
        </row>
        <row r="951">
          <cell r="A951" t="str">
            <v>Bembidion coeruleum</v>
          </cell>
          <cell r="B951" t="str">
            <v>Ground beetles</v>
          </cell>
          <cell r="C951" t="str">
            <v>Coleoptera</v>
          </cell>
          <cell r="D951" t="str">
            <v>Bembidion coeruleum</v>
          </cell>
          <cell r="E951" t="str">
            <v>VU</v>
          </cell>
          <cell r="F951" t="str">
            <v>Telfer, 2016</v>
          </cell>
          <cell r="G951" t="str">
            <v>NHMSYS0021419104</v>
          </cell>
          <cell r="H951" t="str">
            <v>Bembidion coeruleum</v>
          </cell>
        </row>
        <row r="952">
          <cell r="A952" t="str">
            <v>Bembidion decorum</v>
          </cell>
          <cell r="B952" t="str">
            <v>Ground beetles</v>
          </cell>
          <cell r="C952" t="str">
            <v>Coleoptera</v>
          </cell>
          <cell r="D952" t="str">
            <v>Bembidion decorum</v>
          </cell>
          <cell r="E952" t="str">
            <v>LC</v>
          </cell>
          <cell r="F952" t="str">
            <v>Telfer, 2016</v>
          </cell>
          <cell r="G952" t="str">
            <v>NBNSYS0000007230</v>
          </cell>
          <cell r="H952" t="str">
            <v>Bembidion decorum</v>
          </cell>
        </row>
        <row r="953">
          <cell r="A953" t="str">
            <v>Bembidion deletum</v>
          </cell>
          <cell r="B953" t="str">
            <v>Ground beetles</v>
          </cell>
          <cell r="C953" t="str">
            <v>Coleoptera</v>
          </cell>
          <cell r="D953" t="str">
            <v>Bembidion deletum</v>
          </cell>
          <cell r="E953" t="str">
            <v>LC</v>
          </cell>
          <cell r="F953" t="str">
            <v>Telfer, 2016</v>
          </cell>
          <cell r="G953" t="str">
            <v>NHMSYS0020919951</v>
          </cell>
          <cell r="H953" t="str">
            <v>Bembidion deletum</v>
          </cell>
        </row>
        <row r="954">
          <cell r="A954" t="str">
            <v>Bembidion dentellum</v>
          </cell>
          <cell r="B954" t="str">
            <v>Ground beetles</v>
          </cell>
          <cell r="C954" t="str">
            <v>Coleoptera</v>
          </cell>
          <cell r="D954" t="str">
            <v>Bembidion dentellum</v>
          </cell>
          <cell r="E954" t="str">
            <v>LC</v>
          </cell>
          <cell r="F954" t="str">
            <v>Telfer, 2016</v>
          </cell>
          <cell r="G954" t="str">
            <v>NBNSYS0000007218</v>
          </cell>
          <cell r="H954" t="str">
            <v>Bembidion dentellum</v>
          </cell>
        </row>
        <row r="955">
          <cell r="A955" t="str">
            <v>Bembidion doris</v>
          </cell>
          <cell r="B955" t="str">
            <v>Ground beetles</v>
          </cell>
          <cell r="C955" t="str">
            <v>Coleoptera</v>
          </cell>
          <cell r="D955" t="str">
            <v>Bembidion doris</v>
          </cell>
          <cell r="E955" t="str">
            <v>LC</v>
          </cell>
          <cell r="F955" t="str">
            <v>Telfer, 2016</v>
          </cell>
          <cell r="G955" t="str">
            <v>NBNSYS0000007254</v>
          </cell>
          <cell r="H955" t="str">
            <v>Bembidion doris</v>
          </cell>
        </row>
        <row r="956">
          <cell r="A956" t="str">
            <v>Bembidion ephippium</v>
          </cell>
          <cell r="B956" t="str">
            <v>Ground beetles</v>
          </cell>
          <cell r="C956" t="str">
            <v>Coleoptera</v>
          </cell>
          <cell r="D956" t="str">
            <v>Bembidion ephippium</v>
          </cell>
          <cell r="E956" t="str">
            <v>LC</v>
          </cell>
          <cell r="F956" t="str">
            <v>Telfer, 2016</v>
          </cell>
          <cell r="G956" t="str">
            <v>NBNSYS0000007222</v>
          </cell>
          <cell r="H956" t="str">
            <v>Bembidion ephippium</v>
          </cell>
        </row>
        <row r="957">
          <cell r="A957" t="str">
            <v>Bembidion femoratum</v>
          </cell>
          <cell r="B957" t="str">
            <v>Ground beetles</v>
          </cell>
          <cell r="C957" t="str">
            <v>Coleoptera</v>
          </cell>
          <cell r="D957" t="str">
            <v>Bembidion femoratum</v>
          </cell>
          <cell r="E957" t="str">
            <v>LC</v>
          </cell>
          <cell r="F957" t="str">
            <v>Telfer, 2016</v>
          </cell>
          <cell r="G957" t="str">
            <v>NBNSYS0000007231</v>
          </cell>
          <cell r="H957" t="str">
            <v>Bembidion femoratum</v>
          </cell>
        </row>
        <row r="958">
          <cell r="A958" t="str">
            <v>Bembidion fluviatile</v>
          </cell>
          <cell r="B958" t="str">
            <v>Ground beetles</v>
          </cell>
          <cell r="C958" t="str">
            <v>Coleoptera</v>
          </cell>
          <cell r="D958" t="str">
            <v>Bembidion fluviatile</v>
          </cell>
          <cell r="E958" t="str">
            <v>NT</v>
          </cell>
          <cell r="F958" t="str">
            <v>Telfer, 2016</v>
          </cell>
          <cell r="G958" t="str">
            <v>NBNSYS0000007232</v>
          </cell>
          <cell r="H958" t="str">
            <v>Bembidion fluviatile</v>
          </cell>
        </row>
        <row r="959">
          <cell r="A959" t="str">
            <v>Bembidion fumigatum</v>
          </cell>
          <cell r="B959" t="str">
            <v>Ground beetles</v>
          </cell>
          <cell r="C959" t="str">
            <v>Coleoptera</v>
          </cell>
          <cell r="D959" t="str">
            <v>Bembidion fumigatum</v>
          </cell>
          <cell r="E959" t="str">
            <v>LC</v>
          </cell>
          <cell r="F959" t="str">
            <v>Telfer, 2016</v>
          </cell>
          <cell r="G959" t="str">
            <v>NBNSYS0000007249</v>
          </cell>
          <cell r="H959" t="str">
            <v>Bembidion fumigatum</v>
          </cell>
        </row>
        <row r="960">
          <cell r="A960" t="str">
            <v>Bembidion geniculatum</v>
          </cell>
          <cell r="B960" t="str">
            <v>Ground beetles</v>
          </cell>
          <cell r="C960" t="str">
            <v>Coleoptera</v>
          </cell>
          <cell r="D960" t="str">
            <v>Bembidion geniculatum</v>
          </cell>
          <cell r="E960" t="str">
            <v>LC</v>
          </cell>
          <cell r="F960" t="str">
            <v>Telfer, 2016</v>
          </cell>
          <cell r="G960" t="str">
            <v>NBNSYS0000007226</v>
          </cell>
          <cell r="H960" t="str">
            <v>Bembidion geniculatum</v>
          </cell>
        </row>
        <row r="961">
          <cell r="A961" t="str">
            <v>Bembidion gilvipes</v>
          </cell>
          <cell r="B961" t="str">
            <v>Ground beetles</v>
          </cell>
          <cell r="C961" t="str">
            <v>Coleoptera</v>
          </cell>
          <cell r="D961" t="str">
            <v>Bembidion gilvipes</v>
          </cell>
          <cell r="E961" t="str">
            <v>LC</v>
          </cell>
          <cell r="F961" t="str">
            <v>Telfer, 2016</v>
          </cell>
          <cell r="G961" t="str">
            <v>NBNSYS0000007245</v>
          </cell>
          <cell r="H961" t="str">
            <v>Bembidion gilvipes</v>
          </cell>
        </row>
        <row r="962">
          <cell r="A962" t="str">
            <v>Bembidion guttula</v>
          </cell>
          <cell r="B962" t="str">
            <v>Ground beetles</v>
          </cell>
          <cell r="C962" t="str">
            <v>Coleoptera</v>
          </cell>
          <cell r="D962" t="str">
            <v>Bembidion guttula</v>
          </cell>
          <cell r="E962" t="str">
            <v>LC</v>
          </cell>
          <cell r="F962" t="str">
            <v>Telfer, 2016</v>
          </cell>
          <cell r="G962" t="str">
            <v>NBNSYS0000007262</v>
          </cell>
          <cell r="H962" t="str">
            <v>Bembidion guttula</v>
          </cell>
        </row>
        <row r="963">
          <cell r="A963" t="str">
            <v>Bembidion humerale</v>
          </cell>
          <cell r="B963" t="str">
            <v>Ground beetles</v>
          </cell>
          <cell r="C963" t="str">
            <v>Coleoptera</v>
          </cell>
          <cell r="D963" t="str">
            <v>Bembidion humerale</v>
          </cell>
          <cell r="E963" t="str">
            <v>VU</v>
          </cell>
          <cell r="F963" t="str">
            <v>Telfer, 2016</v>
          </cell>
          <cell r="G963" t="str">
            <v>NBNSYS0000007242</v>
          </cell>
          <cell r="H963" t="str">
            <v>Bembidion humerale</v>
          </cell>
        </row>
        <row r="964">
          <cell r="A964" t="str">
            <v>Bembidion illigeri</v>
          </cell>
          <cell r="B964" t="str">
            <v>Ground beetles</v>
          </cell>
          <cell r="C964" t="str">
            <v>Coleoptera</v>
          </cell>
          <cell r="D964" t="str">
            <v>Bembidion illigeri</v>
          </cell>
          <cell r="E964" t="str">
            <v>LC</v>
          </cell>
          <cell r="F964" t="str">
            <v>Telfer, 2016</v>
          </cell>
          <cell r="G964" t="str">
            <v>NBNSYS0000007253</v>
          </cell>
          <cell r="H964" t="str">
            <v>Bembidion illigeri</v>
          </cell>
        </row>
        <row r="965">
          <cell r="A965" t="str">
            <v>Bembidion iricolor</v>
          </cell>
          <cell r="B965" t="str">
            <v>Ground beetles</v>
          </cell>
          <cell r="C965" t="str">
            <v>Coleoptera</v>
          </cell>
          <cell r="D965" t="str">
            <v>Bembidion iricolor</v>
          </cell>
          <cell r="E965" t="str">
            <v>LC</v>
          </cell>
          <cell r="F965" t="str">
            <v>Telfer, 2016</v>
          </cell>
          <cell r="G965" t="str">
            <v>NBNSYS0000007263</v>
          </cell>
          <cell r="H965" t="str">
            <v>Bembidion iricolor</v>
          </cell>
        </row>
        <row r="966">
          <cell r="A966" t="str">
            <v>Bembidion lampros</v>
          </cell>
          <cell r="B966" t="str">
            <v>Ground beetles</v>
          </cell>
          <cell r="C966" t="str">
            <v>Coleoptera</v>
          </cell>
          <cell r="D966" t="str">
            <v>Bembidion lampros</v>
          </cell>
          <cell r="E966" t="str">
            <v>LC</v>
          </cell>
          <cell r="F966" t="str">
            <v>Telfer, 2016</v>
          </cell>
          <cell r="G966" t="str">
            <v>NBNSYS0000007211</v>
          </cell>
          <cell r="H966" t="str">
            <v>Bembidion lampros</v>
          </cell>
        </row>
        <row r="967">
          <cell r="A967" t="str">
            <v>Bembidion lunatum</v>
          </cell>
          <cell r="B967" t="str">
            <v>Ground beetles</v>
          </cell>
          <cell r="C967" t="str">
            <v>Coleoptera</v>
          </cell>
          <cell r="D967" t="str">
            <v>Bembidion lunatum</v>
          </cell>
          <cell r="E967" t="str">
            <v>LC</v>
          </cell>
          <cell r="F967" t="str">
            <v>Telfer, 2016</v>
          </cell>
          <cell r="G967" t="str">
            <v>NBNSYS0000007233</v>
          </cell>
          <cell r="H967" t="str">
            <v>Bembidion lunatum</v>
          </cell>
        </row>
        <row r="968">
          <cell r="A968" t="str">
            <v>Bembidion lunulatum</v>
          </cell>
          <cell r="B968" t="str">
            <v>Ground beetles</v>
          </cell>
          <cell r="C968" t="str">
            <v>Coleoptera</v>
          </cell>
          <cell r="D968" t="str">
            <v>Bembidion lunulatum</v>
          </cell>
          <cell r="E968" t="str">
            <v>LC</v>
          </cell>
          <cell r="F968" t="str">
            <v>Telfer, 2016</v>
          </cell>
          <cell r="G968" t="str">
            <v>NBNSYS0000007264</v>
          </cell>
          <cell r="H968" t="str">
            <v>Bembidion lunulatum</v>
          </cell>
        </row>
        <row r="969">
          <cell r="A969" t="str">
            <v>Bembidion mannerheimii</v>
          </cell>
          <cell r="B969" t="str">
            <v>Ground beetles</v>
          </cell>
          <cell r="C969" t="str">
            <v>Coleoptera</v>
          </cell>
          <cell r="D969" t="str">
            <v>Bembidion mannerheimii</v>
          </cell>
          <cell r="E969" t="str">
            <v>LC</v>
          </cell>
          <cell r="F969" t="str">
            <v>Telfer, 2016</v>
          </cell>
          <cell r="G969" t="str">
            <v>NHMSYS0020919952</v>
          </cell>
          <cell r="H969" t="str">
            <v>Bembidion mannerheimii</v>
          </cell>
        </row>
        <row r="970">
          <cell r="A970" t="str">
            <v>Bembidion maritimum</v>
          </cell>
          <cell r="B970" t="str">
            <v>Ground beetles</v>
          </cell>
          <cell r="C970" t="str">
            <v>Coleoptera</v>
          </cell>
          <cell r="D970" t="str">
            <v>Bembidion maritimum</v>
          </cell>
          <cell r="E970" t="str">
            <v>LC</v>
          </cell>
          <cell r="F970" t="str">
            <v>Telfer, 2016</v>
          </cell>
          <cell r="G970" t="str">
            <v>NBNSYS0000007234</v>
          </cell>
          <cell r="H970" t="str">
            <v>Bembidion maritimum</v>
          </cell>
        </row>
        <row r="971">
          <cell r="A971" t="str">
            <v>Bembidion minimum</v>
          </cell>
          <cell r="B971" t="str">
            <v>Ground beetles</v>
          </cell>
          <cell r="C971" t="str">
            <v>Coleoptera</v>
          </cell>
          <cell r="D971" t="str">
            <v>Bembidion minimum</v>
          </cell>
          <cell r="E971" t="str">
            <v>LC</v>
          </cell>
          <cell r="F971" t="str">
            <v>Telfer, 2016</v>
          </cell>
          <cell r="G971" t="str">
            <v>NBNSYS0000007250</v>
          </cell>
          <cell r="H971" t="str">
            <v>Bembidion minimum</v>
          </cell>
        </row>
        <row r="972">
          <cell r="A972" t="str">
            <v>Bembidion monticola</v>
          </cell>
          <cell r="B972" t="str">
            <v>Ground beetles</v>
          </cell>
          <cell r="C972" t="str">
            <v>Coleoptera</v>
          </cell>
          <cell r="D972" t="str">
            <v>Bembidion monticola</v>
          </cell>
          <cell r="E972" t="str">
            <v>LC</v>
          </cell>
          <cell r="F972" t="str">
            <v>Telfer, 2016</v>
          </cell>
          <cell r="G972" t="str">
            <v>NBNSYS0000007235</v>
          </cell>
          <cell r="H972" t="str">
            <v>Bembidion monticola</v>
          </cell>
        </row>
        <row r="973">
          <cell r="A973" t="str">
            <v>Bembidion nigricorne</v>
          </cell>
          <cell r="B973" t="str">
            <v>Ground beetles</v>
          </cell>
          <cell r="C973" t="str">
            <v>Coleoptera</v>
          </cell>
          <cell r="D973" t="str">
            <v>Bembidion nigricorne</v>
          </cell>
          <cell r="E973" t="str">
            <v>NT</v>
          </cell>
          <cell r="F973" t="str">
            <v>Telfer, 2016</v>
          </cell>
          <cell r="G973" t="str">
            <v>NBNSYS0000007210</v>
          </cell>
          <cell r="H973" t="str">
            <v>Bembidion nigricorne</v>
          </cell>
        </row>
        <row r="974">
          <cell r="A974" t="str">
            <v>Bembidion nigropiceum</v>
          </cell>
          <cell r="B974" t="str">
            <v>Ground beetles</v>
          </cell>
          <cell r="C974" t="str">
            <v>Coleoptera</v>
          </cell>
          <cell r="D974" t="str">
            <v>Bembidion nigropiceum</v>
          </cell>
          <cell r="E974" t="str">
            <v>NT</v>
          </cell>
          <cell r="F974" t="str">
            <v>Telfer, 2016</v>
          </cell>
          <cell r="G974" t="str">
            <v>NBNSYS0000007213</v>
          </cell>
          <cell r="H974" t="str">
            <v>Bembidion nigropiceum</v>
          </cell>
        </row>
        <row r="975">
          <cell r="A975" t="str">
            <v>Bembidion normannum</v>
          </cell>
          <cell r="B975" t="str">
            <v>Ground beetles</v>
          </cell>
          <cell r="C975" t="str">
            <v>Coleoptera</v>
          </cell>
          <cell r="D975" t="str">
            <v>Bembidion normannum</v>
          </cell>
          <cell r="E975" t="str">
            <v>LC</v>
          </cell>
          <cell r="F975" t="str">
            <v>Telfer, 2016</v>
          </cell>
          <cell r="G975" t="str">
            <v>NBNSYS0000007251</v>
          </cell>
          <cell r="H975" t="str">
            <v>Bembidion normannum</v>
          </cell>
        </row>
        <row r="976">
          <cell r="A976" t="str">
            <v>Bembidion obliquum</v>
          </cell>
          <cell r="B976" t="str">
            <v>Ground beetles</v>
          </cell>
          <cell r="C976" t="str">
            <v>Coleoptera</v>
          </cell>
          <cell r="D976" t="str">
            <v>Bembidion obliquum</v>
          </cell>
          <cell r="E976" t="str">
            <v>LC</v>
          </cell>
          <cell r="F976" t="str">
            <v>Telfer, 2016</v>
          </cell>
          <cell r="G976" t="str">
            <v>NBNSYS0000007219</v>
          </cell>
          <cell r="H976" t="str">
            <v>Bembidion obliquum</v>
          </cell>
        </row>
        <row r="977">
          <cell r="A977" t="str">
            <v>Bembidion obtusum</v>
          </cell>
          <cell r="B977" t="str">
            <v>Ground beetles</v>
          </cell>
          <cell r="C977" t="str">
            <v>Coleoptera</v>
          </cell>
          <cell r="D977" t="str">
            <v>Bembidion obtusum</v>
          </cell>
          <cell r="E977" t="str">
            <v>LC</v>
          </cell>
          <cell r="F977" t="str">
            <v>Telfer, 2016</v>
          </cell>
          <cell r="G977" t="str">
            <v>NBNSYS0000007257</v>
          </cell>
          <cell r="H977" t="str">
            <v>Bembidion obtusum</v>
          </cell>
        </row>
        <row r="978">
          <cell r="A978" t="str">
            <v>Bembidion octomaculatum</v>
          </cell>
          <cell r="B978" t="str">
            <v>Ground beetles</v>
          </cell>
          <cell r="C978" t="str">
            <v>Coleoptera</v>
          </cell>
          <cell r="D978" t="str">
            <v>Bembidion octomaculatum</v>
          </cell>
          <cell r="E978" t="str">
            <v>LC</v>
          </cell>
          <cell r="F978" t="str">
            <v>Telfer, 2016</v>
          </cell>
          <cell r="G978" t="str">
            <v>NBNSYS0000007256</v>
          </cell>
          <cell r="H978" t="str">
            <v>Bembidion octomaculatum</v>
          </cell>
        </row>
        <row r="979">
          <cell r="A979" t="str">
            <v>Bembidion pallidipenne</v>
          </cell>
          <cell r="B979" t="str">
            <v>Ground beetles</v>
          </cell>
          <cell r="C979" t="str">
            <v>Coleoptera</v>
          </cell>
          <cell r="D979" t="str">
            <v>Bembidion pallidipenne</v>
          </cell>
          <cell r="E979" t="str">
            <v>LC</v>
          </cell>
          <cell r="F979" t="str">
            <v>Telfer, 2016</v>
          </cell>
          <cell r="G979" t="str">
            <v>NBNSYS0000007216</v>
          </cell>
          <cell r="H979" t="str">
            <v>Bembidion pallidipenne</v>
          </cell>
        </row>
        <row r="980">
          <cell r="A980" t="str">
            <v>Bembidion prasinum</v>
          </cell>
          <cell r="B980" t="str">
            <v>Ground beetles</v>
          </cell>
          <cell r="C980" t="str">
            <v>Coleoptera</v>
          </cell>
          <cell r="D980" t="str">
            <v>Bembidion prasinum</v>
          </cell>
          <cell r="E980" t="str">
            <v>LC</v>
          </cell>
          <cell r="F980" t="str">
            <v>Telfer, 2016</v>
          </cell>
          <cell r="G980" t="str">
            <v>NBNSYS0000007223</v>
          </cell>
          <cell r="H980" t="str">
            <v>Bembidion prasinum</v>
          </cell>
        </row>
        <row r="981">
          <cell r="A981" t="str">
            <v>Bembidion properans</v>
          </cell>
          <cell r="B981" t="str">
            <v>Ground beetles</v>
          </cell>
          <cell r="C981" t="str">
            <v>Coleoptera</v>
          </cell>
          <cell r="D981" t="str">
            <v>Bembidion properans</v>
          </cell>
          <cell r="E981" t="str">
            <v>LC</v>
          </cell>
          <cell r="F981" t="str">
            <v>Telfer, 2016</v>
          </cell>
          <cell r="G981" t="str">
            <v>NBNSYS0000007212</v>
          </cell>
          <cell r="H981" t="str">
            <v>Bembidion properans</v>
          </cell>
        </row>
        <row r="982">
          <cell r="A982" t="str">
            <v>Bembidion punctulatum</v>
          </cell>
          <cell r="B982" t="str">
            <v>Ground beetles</v>
          </cell>
          <cell r="C982" t="str">
            <v>Coleoptera</v>
          </cell>
          <cell r="D982" t="str">
            <v>Bembidion punctulatum</v>
          </cell>
          <cell r="E982" t="str">
            <v>LC</v>
          </cell>
          <cell r="F982" t="str">
            <v>Telfer, 2016</v>
          </cell>
          <cell r="G982" t="str">
            <v>NBNSYS0000007214</v>
          </cell>
          <cell r="H982" t="str">
            <v>Bembidion punctulatum</v>
          </cell>
        </row>
        <row r="983">
          <cell r="A983" t="str">
            <v>Bembidion quadrimaculatum</v>
          </cell>
          <cell r="B983" t="str">
            <v>Ground beetles</v>
          </cell>
          <cell r="C983" t="str">
            <v>Coleoptera</v>
          </cell>
          <cell r="D983" t="str">
            <v>Bembidion quadrimaculatum</v>
          </cell>
          <cell r="E983" t="str">
            <v>LC</v>
          </cell>
          <cell r="F983" t="str">
            <v>Telfer, 2016</v>
          </cell>
          <cell r="G983" t="str">
            <v>NBNSYS0000007243</v>
          </cell>
          <cell r="H983" t="str">
            <v>Bembidion quadrimaculatum</v>
          </cell>
        </row>
        <row r="984">
          <cell r="A984" t="str">
            <v>Bembidion quadripustulatum</v>
          </cell>
          <cell r="B984" t="str">
            <v>Ground beetles</v>
          </cell>
          <cell r="C984" t="str">
            <v>Coleoptera</v>
          </cell>
          <cell r="D984" t="str">
            <v>Bembidion quadripustulatum</v>
          </cell>
          <cell r="E984" t="str">
            <v>LC</v>
          </cell>
          <cell r="F984" t="str">
            <v>Telfer, 2016</v>
          </cell>
          <cell r="G984" t="str">
            <v>NBNSYS0000007244</v>
          </cell>
          <cell r="H984" t="str">
            <v>Bembidion quadripustulatum</v>
          </cell>
        </row>
        <row r="985">
          <cell r="A985" t="str">
            <v>Bembidion saxatile</v>
          </cell>
          <cell r="B985" t="str">
            <v>Ground beetles</v>
          </cell>
          <cell r="C985" t="str">
            <v>Coleoptera</v>
          </cell>
          <cell r="D985" t="str">
            <v>Bembidion saxatile</v>
          </cell>
          <cell r="E985" t="str">
            <v>LC</v>
          </cell>
          <cell r="F985" t="str">
            <v>Telfer, 2016</v>
          </cell>
          <cell r="G985" t="str">
            <v>NBNSYS0000007237</v>
          </cell>
          <cell r="H985" t="str">
            <v>Bembidion saxatile</v>
          </cell>
        </row>
        <row r="986">
          <cell r="A986" t="str">
            <v>Bembidion schuppelii</v>
          </cell>
          <cell r="B986" t="str">
            <v>Ground beetles</v>
          </cell>
          <cell r="C986" t="str">
            <v>Coleoptera</v>
          </cell>
          <cell r="D986" t="str">
            <v>Bembidion schuppelii</v>
          </cell>
          <cell r="E986" t="str">
            <v>LC</v>
          </cell>
          <cell r="F986" t="str">
            <v>Telfer, 2016</v>
          </cell>
          <cell r="G986" t="str">
            <v>NHMSYS0020919954</v>
          </cell>
          <cell r="H986" t="str">
            <v>Bembidion schuppelii</v>
          </cell>
        </row>
        <row r="987">
          <cell r="A987" t="str">
            <v>Bembidion semipunctatum</v>
          </cell>
          <cell r="B987" t="str">
            <v>Ground beetles</v>
          </cell>
          <cell r="C987" t="str">
            <v>Coleoptera</v>
          </cell>
          <cell r="D987" t="str">
            <v>Bembidion semipunctatum</v>
          </cell>
          <cell r="E987" t="str">
            <v>LC</v>
          </cell>
          <cell r="F987" t="str">
            <v>Telfer, 2016</v>
          </cell>
          <cell r="G987" t="str">
            <v>NBNSYS0000007220</v>
          </cell>
          <cell r="H987" t="str">
            <v>Bembidion semipunctatum</v>
          </cell>
        </row>
        <row r="988">
          <cell r="A988" t="str">
            <v>Bembidion stephensii</v>
          </cell>
          <cell r="B988" t="str">
            <v>Ground beetles</v>
          </cell>
          <cell r="C988" t="str">
            <v>Coleoptera</v>
          </cell>
          <cell r="D988" t="str">
            <v>Bembidion stephensii</v>
          </cell>
          <cell r="E988" t="str">
            <v>LC</v>
          </cell>
          <cell r="F988" t="str">
            <v>Telfer, 2016</v>
          </cell>
          <cell r="G988" t="str">
            <v>NBNSYS0000142873</v>
          </cell>
          <cell r="H988" t="str">
            <v>Bembidion stephensii</v>
          </cell>
        </row>
        <row r="989">
          <cell r="A989" t="str">
            <v>Bembidion stomoides</v>
          </cell>
          <cell r="B989" t="str">
            <v>Ground beetles</v>
          </cell>
          <cell r="C989" t="str">
            <v>Coleoptera</v>
          </cell>
          <cell r="D989" t="str">
            <v>Bembidion stomoides</v>
          </cell>
          <cell r="E989" t="str">
            <v>LC</v>
          </cell>
          <cell r="F989" t="str">
            <v>Telfer, 2016</v>
          </cell>
          <cell r="G989" t="str">
            <v>NHMSYS0021419119</v>
          </cell>
          <cell r="H989" t="str">
            <v>Bembidion stomoides</v>
          </cell>
        </row>
        <row r="990">
          <cell r="A990" t="str">
            <v>Bembidion testaceum</v>
          </cell>
          <cell r="B990" t="str">
            <v>Ground beetles</v>
          </cell>
          <cell r="C990" t="str">
            <v>Coleoptera</v>
          </cell>
          <cell r="D990" t="str">
            <v>Bembidion testaceum</v>
          </cell>
          <cell r="E990" t="str">
            <v>VU</v>
          </cell>
          <cell r="F990" t="str">
            <v>Telfer, 2016</v>
          </cell>
          <cell r="G990" t="str">
            <v>NBNSYS0000007239</v>
          </cell>
          <cell r="H990" t="str">
            <v>Bembidion testaceum</v>
          </cell>
        </row>
        <row r="991">
          <cell r="A991" t="str">
            <v>Bembidion tetracolum</v>
          </cell>
          <cell r="B991" t="str">
            <v>Ground beetles</v>
          </cell>
          <cell r="C991" t="str">
            <v>Coleoptera</v>
          </cell>
          <cell r="D991" t="str">
            <v>Bembidion tetracolum</v>
          </cell>
          <cell r="E991" t="str">
            <v>LC</v>
          </cell>
          <cell r="F991" t="str">
            <v>Telfer, 2016</v>
          </cell>
          <cell r="G991" t="str">
            <v>NBNSYS0000007240</v>
          </cell>
          <cell r="H991" t="str">
            <v>Bembidion tetracolum</v>
          </cell>
        </row>
        <row r="992">
          <cell r="A992" t="str">
            <v>Bembidion tibiale</v>
          </cell>
          <cell r="B992" t="str">
            <v>Ground beetles</v>
          </cell>
          <cell r="C992" t="str">
            <v>Coleoptera</v>
          </cell>
          <cell r="D992" t="str">
            <v>Bembidion tibiale</v>
          </cell>
          <cell r="E992" t="str">
            <v>LC</v>
          </cell>
          <cell r="F992" t="str">
            <v>Telfer, 2016</v>
          </cell>
          <cell r="G992" t="str">
            <v>NBNSYS0000007227</v>
          </cell>
          <cell r="H992" t="str">
            <v>Bembidion tibiale</v>
          </cell>
        </row>
        <row r="993">
          <cell r="A993" t="str">
            <v>Bembidion varium</v>
          </cell>
          <cell r="B993" t="str">
            <v>Ground beetles</v>
          </cell>
          <cell r="C993" t="str">
            <v>Coleoptera</v>
          </cell>
          <cell r="D993" t="str">
            <v>Bembidion varium</v>
          </cell>
          <cell r="E993" t="str">
            <v>LC</v>
          </cell>
          <cell r="F993" t="str">
            <v>Telfer, 2016</v>
          </cell>
          <cell r="G993" t="str">
            <v>NBNSYS0000007221</v>
          </cell>
          <cell r="H993" t="str">
            <v>Bembidion varium</v>
          </cell>
        </row>
        <row r="994">
          <cell r="A994" t="str">
            <v>Blemus discus</v>
          </cell>
          <cell r="B994" t="str">
            <v>Ground beetles</v>
          </cell>
          <cell r="C994" t="str">
            <v>Coleoptera</v>
          </cell>
          <cell r="D994" t="str">
            <v>Blemus discus</v>
          </cell>
          <cell r="E994" t="str">
            <v>LC</v>
          </cell>
          <cell r="F994" t="str">
            <v>Telfer, 2016</v>
          </cell>
          <cell r="G994" t="str">
            <v>NHMSYS0001717333</v>
          </cell>
          <cell r="H994" t="str">
            <v>Blemus discus</v>
          </cell>
        </row>
        <row r="995">
          <cell r="A995" t="str">
            <v>Blethisa multipunctata</v>
          </cell>
          <cell r="B995" t="str">
            <v>Ground beetles</v>
          </cell>
          <cell r="C995" t="str">
            <v>Coleoptera</v>
          </cell>
          <cell r="D995" t="str">
            <v>Blethisa multipunctata</v>
          </cell>
          <cell r="E995" t="str">
            <v>LC</v>
          </cell>
          <cell r="F995" t="str">
            <v>Telfer, 2016</v>
          </cell>
          <cell r="G995" t="str">
            <v>NBNSYS0000007166</v>
          </cell>
          <cell r="H995" t="str">
            <v>Blethisa multipunctata</v>
          </cell>
        </row>
        <row r="996">
          <cell r="A996" t="str">
            <v>Brachinus crepitans</v>
          </cell>
          <cell r="B996" t="str">
            <v>Ground beetles</v>
          </cell>
          <cell r="C996" t="str">
            <v>Coleoptera</v>
          </cell>
          <cell r="D996" t="str">
            <v>Brachinus crepitans</v>
          </cell>
          <cell r="E996" t="str">
            <v>LC</v>
          </cell>
          <cell r="F996" t="str">
            <v>Telfer, 2016</v>
          </cell>
          <cell r="G996" t="str">
            <v>NBNSYS0000007489</v>
          </cell>
          <cell r="H996" t="str">
            <v>Brachinus crepitans</v>
          </cell>
        </row>
        <row r="997">
          <cell r="A997" t="str">
            <v>Bracteon argenteolum</v>
          </cell>
          <cell r="B997" t="str">
            <v>Ground beetles</v>
          </cell>
          <cell r="C997" t="str">
            <v>Coleoptera</v>
          </cell>
          <cell r="D997" t="str">
            <v>Bracteon argenteolum</v>
          </cell>
          <cell r="E997" t="str">
            <v>VU</v>
          </cell>
          <cell r="F997" t="str">
            <v>Telfer, 2016</v>
          </cell>
          <cell r="G997" t="str">
            <v>NHMSYS0001717388</v>
          </cell>
          <cell r="H997" t="str">
            <v>Bracteon argenteolum</v>
          </cell>
        </row>
        <row r="998">
          <cell r="A998" t="str">
            <v>Bracteon litorale</v>
          </cell>
          <cell r="B998" t="str">
            <v>Ground beetles</v>
          </cell>
          <cell r="C998" t="str">
            <v>Coleoptera</v>
          </cell>
          <cell r="D998" t="str">
            <v>Bracteon litorale</v>
          </cell>
          <cell r="E998" t="str">
            <v>LC</v>
          </cell>
          <cell r="F998" t="str">
            <v>Telfer, 2016</v>
          </cell>
          <cell r="G998" t="str">
            <v>NHMSYS0001717389</v>
          </cell>
          <cell r="H998" t="str">
            <v>Bracteon litorale</v>
          </cell>
        </row>
        <row r="999">
          <cell r="A999" t="str">
            <v>Bradycellus caucasicus</v>
          </cell>
          <cell r="B999" t="str">
            <v>Ground beetles</v>
          </cell>
          <cell r="C999" t="str">
            <v>Coleoptera</v>
          </cell>
          <cell r="D999" t="str">
            <v>Bradycellus caucasicus</v>
          </cell>
          <cell r="E999" t="str">
            <v>LC</v>
          </cell>
          <cell r="F999" t="str">
            <v>Telfer, 2016</v>
          </cell>
          <cell r="G999" t="str">
            <v>NHMSYS0001717393</v>
          </cell>
          <cell r="H999" t="str">
            <v>Bradycellus caucasicus</v>
          </cell>
        </row>
        <row r="1000">
          <cell r="A1000" t="str">
            <v>Bradycellus csikii</v>
          </cell>
          <cell r="B1000" t="str">
            <v>Ground beetles</v>
          </cell>
          <cell r="C1000" t="str">
            <v>Coleoptera</v>
          </cell>
          <cell r="D1000" t="str">
            <v>Bradycellus csikii</v>
          </cell>
          <cell r="E1000" t="str">
            <v>LC</v>
          </cell>
          <cell r="F1000" t="str">
            <v>Telfer, 2016</v>
          </cell>
          <cell r="G1000" t="str">
            <v>NHMSYS0001717394</v>
          </cell>
          <cell r="H1000" t="str">
            <v>Bradycellus csikii</v>
          </cell>
        </row>
        <row r="1001">
          <cell r="A1001" t="str">
            <v>Bradycellus distinctus</v>
          </cell>
          <cell r="B1001" t="str">
            <v>Ground beetles</v>
          </cell>
          <cell r="C1001" t="str">
            <v>Coleoptera</v>
          </cell>
          <cell r="D1001" t="str">
            <v>Bradycellus distinctus</v>
          </cell>
          <cell r="E1001" t="str">
            <v>EN</v>
          </cell>
          <cell r="F1001" t="str">
            <v>Telfer, 2016</v>
          </cell>
          <cell r="G1001" t="str">
            <v>NBNSYS0000007421</v>
          </cell>
          <cell r="H1001" t="str">
            <v>Bradycellus distinctus</v>
          </cell>
        </row>
        <row r="1002">
          <cell r="A1002" t="str">
            <v>Bradycellus harpalinus</v>
          </cell>
          <cell r="B1002" t="str">
            <v>Ground beetles</v>
          </cell>
          <cell r="C1002" t="str">
            <v>Coleoptera</v>
          </cell>
          <cell r="D1002" t="str">
            <v>Bradycellus harpalinus</v>
          </cell>
          <cell r="E1002" t="str">
            <v>LC</v>
          </cell>
          <cell r="F1002" t="str">
            <v>Telfer, 2016</v>
          </cell>
          <cell r="G1002" t="str">
            <v>NHMSYS0001717396</v>
          </cell>
          <cell r="H1002" t="str">
            <v>Bradycellus harpalinus</v>
          </cell>
        </row>
        <row r="1003">
          <cell r="A1003" t="str">
            <v>Bradycellus ruficollis</v>
          </cell>
          <cell r="B1003" t="str">
            <v>Ground beetles</v>
          </cell>
          <cell r="C1003" t="str">
            <v>Coleoptera</v>
          </cell>
          <cell r="D1003" t="str">
            <v>Bradycellus ruficollis</v>
          </cell>
          <cell r="E1003" t="str">
            <v>LC</v>
          </cell>
          <cell r="F1003" t="str">
            <v>Telfer, 2016</v>
          </cell>
          <cell r="G1003" t="str">
            <v>NBNSYS0000007423</v>
          </cell>
          <cell r="H1003" t="str">
            <v>Bradycellus ruficollis</v>
          </cell>
        </row>
        <row r="1004">
          <cell r="A1004" t="str">
            <v>Bradycellus sharpi</v>
          </cell>
          <cell r="B1004" t="str">
            <v>Ground beetles</v>
          </cell>
          <cell r="C1004" t="str">
            <v>Coleoptera</v>
          </cell>
          <cell r="D1004" t="str">
            <v>Bradycellus sharpi</v>
          </cell>
          <cell r="E1004" t="str">
            <v>LC</v>
          </cell>
          <cell r="F1004" t="str">
            <v>Telfer, 2016</v>
          </cell>
          <cell r="G1004" t="str">
            <v>NBNSYS0000007424</v>
          </cell>
          <cell r="H1004" t="str">
            <v>Bradycellus sharpi</v>
          </cell>
        </row>
        <row r="1005">
          <cell r="A1005" t="str">
            <v>Bradycellus verbasci</v>
          </cell>
          <cell r="B1005" t="str">
            <v>Ground beetles</v>
          </cell>
          <cell r="C1005" t="str">
            <v>Coleoptera</v>
          </cell>
          <cell r="D1005" t="str">
            <v>Bradycellus verbasci</v>
          </cell>
          <cell r="E1005" t="str">
            <v>LC</v>
          </cell>
          <cell r="F1005" t="str">
            <v>Telfer, 2016</v>
          </cell>
          <cell r="G1005" t="str">
            <v>NBNSYS0000007425</v>
          </cell>
          <cell r="H1005" t="str">
            <v>Bradycellus verbasci</v>
          </cell>
        </row>
        <row r="1006">
          <cell r="A1006" t="str">
            <v>Broscus cephalotes</v>
          </cell>
          <cell r="B1006" t="str">
            <v>Ground beetles</v>
          </cell>
          <cell r="C1006" t="str">
            <v>Coleoptera</v>
          </cell>
          <cell r="D1006" t="str">
            <v>Broscus cephalotes</v>
          </cell>
          <cell r="E1006" t="str">
            <v>LC</v>
          </cell>
          <cell r="F1006" t="str">
            <v>Telfer, 2016</v>
          </cell>
          <cell r="G1006" t="str">
            <v>NBNSYS0000007185</v>
          </cell>
          <cell r="H1006" t="str">
            <v>Broscus cephalotes</v>
          </cell>
        </row>
        <row r="1007">
          <cell r="A1007" t="str">
            <v>Calathus ambiguus</v>
          </cell>
          <cell r="B1007" t="str">
            <v>Ground beetles</v>
          </cell>
          <cell r="C1007" t="str">
            <v>Coleoptera</v>
          </cell>
          <cell r="D1007" t="str">
            <v>Calathus ambiguus</v>
          </cell>
          <cell r="E1007" t="str">
            <v>LC</v>
          </cell>
          <cell r="F1007" t="str">
            <v>Telfer, 2016</v>
          </cell>
          <cell r="G1007" t="str">
            <v>NBNSYS0000007304</v>
          </cell>
          <cell r="H1007" t="str">
            <v>Calathus ambiguus</v>
          </cell>
        </row>
        <row r="1008">
          <cell r="A1008" t="str">
            <v>Calathus cinctus</v>
          </cell>
          <cell r="B1008" t="str">
            <v>Ground beetles</v>
          </cell>
          <cell r="C1008" t="str">
            <v>Coleoptera</v>
          </cell>
          <cell r="D1008" t="str">
            <v>Calathus cinctus</v>
          </cell>
          <cell r="E1008" t="str">
            <v>LC</v>
          </cell>
          <cell r="F1008" t="str">
            <v>Telfer, 2016</v>
          </cell>
          <cell r="G1008" t="str">
            <v>NBNSYS0000007306</v>
          </cell>
          <cell r="H1008" t="str">
            <v>Calathus cinctus</v>
          </cell>
        </row>
        <row r="1009">
          <cell r="A1009" t="str">
            <v>Calathus erratus</v>
          </cell>
          <cell r="B1009" t="str">
            <v>Ground beetles</v>
          </cell>
          <cell r="C1009" t="str">
            <v>Coleoptera</v>
          </cell>
          <cell r="D1009" t="str">
            <v>Calathus erratus</v>
          </cell>
          <cell r="E1009" t="str">
            <v>LC</v>
          </cell>
          <cell r="F1009" t="str">
            <v>Telfer, 2016</v>
          </cell>
          <cell r="G1009" t="str">
            <v>NBNSYS0000007305</v>
          </cell>
          <cell r="H1009" t="str">
            <v>Calathus erratus</v>
          </cell>
        </row>
        <row r="1010">
          <cell r="A1010" t="str">
            <v>Calathus fuscipes</v>
          </cell>
          <cell r="B1010" t="str">
            <v>Ground beetles</v>
          </cell>
          <cell r="C1010" t="str">
            <v>Coleoptera</v>
          </cell>
          <cell r="D1010" t="str">
            <v>Calathus fuscipes</v>
          </cell>
          <cell r="E1010" t="str">
            <v>LC</v>
          </cell>
          <cell r="F1010" t="str">
            <v>Telfer, 2016</v>
          </cell>
          <cell r="G1010" t="str">
            <v>NBNSYS0000007307</v>
          </cell>
          <cell r="H1010" t="str">
            <v>Calathus fuscipes</v>
          </cell>
        </row>
        <row r="1011">
          <cell r="A1011" t="str">
            <v>Calathus melanocephalus</v>
          </cell>
          <cell r="B1011" t="str">
            <v>Ground beetles</v>
          </cell>
          <cell r="C1011" t="str">
            <v>Coleoptera</v>
          </cell>
          <cell r="D1011" t="str">
            <v>Calathus melanocephalus</v>
          </cell>
          <cell r="E1011" t="str">
            <v>LC</v>
          </cell>
          <cell r="F1011" t="str">
            <v>Telfer, 2016</v>
          </cell>
          <cell r="G1011" t="str">
            <v>NHMSYS0021232909</v>
          </cell>
          <cell r="H1011" t="str">
            <v>Calathus melanocephalus</v>
          </cell>
        </row>
        <row r="1012">
          <cell r="A1012" t="str">
            <v>Calathus micropterus</v>
          </cell>
          <cell r="B1012" t="str">
            <v>Ground beetles</v>
          </cell>
          <cell r="C1012" t="str">
            <v>Coleoptera</v>
          </cell>
          <cell r="D1012" t="str">
            <v>Calathus micropterus</v>
          </cell>
          <cell r="E1012" t="str">
            <v>LC</v>
          </cell>
          <cell r="F1012" t="str">
            <v>Telfer, 2016</v>
          </cell>
          <cell r="G1012" t="str">
            <v>NBNSYS0000007310</v>
          </cell>
          <cell r="H1012" t="str">
            <v>Calathus micropterus</v>
          </cell>
        </row>
        <row r="1013">
          <cell r="A1013" t="str">
            <v>Calathus mollis</v>
          </cell>
          <cell r="B1013" t="str">
            <v>Ground beetles</v>
          </cell>
          <cell r="C1013" t="str">
            <v>Coleoptera</v>
          </cell>
          <cell r="D1013" t="str">
            <v>Calathus mollis</v>
          </cell>
          <cell r="E1013" t="str">
            <v>LC</v>
          </cell>
          <cell r="F1013" t="str">
            <v>Telfer, 2016</v>
          </cell>
          <cell r="G1013" t="str">
            <v>NBNSYS0000007311</v>
          </cell>
          <cell r="H1013" t="str">
            <v>Calathus mollis</v>
          </cell>
        </row>
        <row r="1014">
          <cell r="A1014" t="str">
            <v>Calathus rotundicollis</v>
          </cell>
          <cell r="B1014" t="str">
            <v>Ground beetles</v>
          </cell>
          <cell r="C1014" t="str">
            <v>Coleoptera</v>
          </cell>
          <cell r="D1014" t="str">
            <v>Calathus rotundicollis</v>
          </cell>
          <cell r="E1014" t="str">
            <v>LC</v>
          </cell>
          <cell r="F1014" t="str">
            <v>Telfer, 2016</v>
          </cell>
          <cell r="G1014" t="str">
            <v>NHMSYS0020919957</v>
          </cell>
          <cell r="H1014" t="str">
            <v>Calathus rotundicollis</v>
          </cell>
        </row>
        <row r="1015">
          <cell r="A1015" t="str">
            <v>Callistus lunatus</v>
          </cell>
          <cell r="B1015" t="str">
            <v>Ground beetles</v>
          </cell>
          <cell r="C1015" t="str">
            <v>Coleoptera</v>
          </cell>
          <cell r="D1015" t="str">
            <v>Callistus lunatus</v>
          </cell>
          <cell r="E1015" t="str">
            <v>CR</v>
          </cell>
          <cell r="F1015" t="str">
            <v>Telfer, 2016</v>
          </cell>
          <cell r="G1015" t="str">
            <v>NHMSYS0001717463</v>
          </cell>
          <cell r="H1015" t="str">
            <v>Callistus lunatus</v>
          </cell>
        </row>
        <row r="1016">
          <cell r="A1016" t="str">
            <v>Calodromius spilotus</v>
          </cell>
          <cell r="B1016" t="str">
            <v>Ground beetles</v>
          </cell>
          <cell r="C1016" t="str">
            <v>Coleoptera</v>
          </cell>
          <cell r="D1016" t="str">
            <v>Calodromius spilotus</v>
          </cell>
          <cell r="E1016" t="str">
            <v>LC</v>
          </cell>
          <cell r="F1016" t="str">
            <v>Telfer, 2016</v>
          </cell>
          <cell r="G1016" t="str">
            <v>NHMSYS0001717468</v>
          </cell>
          <cell r="H1016" t="str">
            <v>Calodromius spilotus</v>
          </cell>
        </row>
        <row r="1017">
          <cell r="A1017" t="str">
            <v>Calosoma inquisitor</v>
          </cell>
          <cell r="B1017" t="str">
            <v>Ground beetles</v>
          </cell>
          <cell r="C1017" t="str">
            <v>Coleoptera</v>
          </cell>
          <cell r="D1017" t="str">
            <v>Calosoma inquisitor</v>
          </cell>
          <cell r="E1017" t="str">
            <v>LC</v>
          </cell>
          <cell r="F1017" t="str">
            <v>Telfer, 2016</v>
          </cell>
          <cell r="G1017" t="str">
            <v>NBNSYS0000007143</v>
          </cell>
          <cell r="H1017" t="str">
            <v>Calosoma inquisitor</v>
          </cell>
        </row>
        <row r="1018">
          <cell r="A1018" t="str">
            <v>Carabus arvensis</v>
          </cell>
          <cell r="B1018" t="str">
            <v>Ground beetles</v>
          </cell>
          <cell r="C1018" t="str">
            <v>Coleoptera</v>
          </cell>
          <cell r="D1018" t="str">
            <v>Carabus arvensis</v>
          </cell>
          <cell r="E1018" t="str">
            <v>LC</v>
          </cell>
          <cell r="F1018" t="str">
            <v>Telfer, 2016</v>
          </cell>
          <cell r="G1018" t="str">
            <v>NBNSYS0000007129</v>
          </cell>
          <cell r="H1018" t="str">
            <v>Carabus arvensis</v>
          </cell>
        </row>
        <row r="1019">
          <cell r="A1019" t="str">
            <v>Carabus convexus</v>
          </cell>
          <cell r="B1019" t="str">
            <v>Ground beetles</v>
          </cell>
          <cell r="C1019" t="str">
            <v>Coleoptera</v>
          </cell>
          <cell r="D1019" t="str">
            <v>Carabus convexus</v>
          </cell>
          <cell r="E1019" t="str">
            <v>RE</v>
          </cell>
          <cell r="F1019" t="str">
            <v>Telfer, 2016</v>
          </cell>
          <cell r="G1019" t="str">
            <v>NHMSYS0020919965</v>
          </cell>
          <cell r="H1019" t="str">
            <v>Carabus convexus</v>
          </cell>
        </row>
        <row r="1020">
          <cell r="A1020" t="str">
            <v>Carabus glabratus</v>
          </cell>
          <cell r="B1020" t="str">
            <v>Ground beetles</v>
          </cell>
          <cell r="C1020" t="str">
            <v>Coleoptera</v>
          </cell>
          <cell r="D1020" t="str">
            <v>Carabus glabratus</v>
          </cell>
          <cell r="E1020" t="str">
            <v>LC</v>
          </cell>
          <cell r="F1020" t="str">
            <v>Telfer, 2016</v>
          </cell>
          <cell r="G1020" t="str">
            <v>NBNSYS0000007133</v>
          </cell>
          <cell r="H1020" t="str">
            <v>Carabus glabratus</v>
          </cell>
        </row>
        <row r="1021">
          <cell r="A1021" t="str">
            <v>Carabus granulatus</v>
          </cell>
          <cell r="B1021" t="str">
            <v>Ground beetles</v>
          </cell>
          <cell r="C1021" t="str">
            <v>Coleoptera</v>
          </cell>
          <cell r="D1021" t="str">
            <v>Carabus granulatus</v>
          </cell>
          <cell r="E1021" t="str">
            <v>LC</v>
          </cell>
          <cell r="F1021" t="str">
            <v>Telfer, 2016</v>
          </cell>
          <cell r="G1021" t="str">
            <v>NBNSYS0000007134</v>
          </cell>
          <cell r="H1021" t="str">
            <v>Carabus granulatus</v>
          </cell>
        </row>
        <row r="1022">
          <cell r="A1022" t="str">
            <v>Carabus intricatus</v>
          </cell>
          <cell r="B1022" t="str">
            <v>Ground beetles</v>
          </cell>
          <cell r="C1022" t="str">
            <v>Coleoptera</v>
          </cell>
          <cell r="D1022" t="str">
            <v>Carabus intricatus</v>
          </cell>
          <cell r="E1022" t="str">
            <v>NT</v>
          </cell>
          <cell r="F1022" t="str">
            <v>Telfer, 2016</v>
          </cell>
          <cell r="G1022" t="str">
            <v>NBNSYS0000007135</v>
          </cell>
          <cell r="H1022" t="str">
            <v>Carabus intricatus</v>
          </cell>
        </row>
        <row r="1023">
          <cell r="A1023" t="str">
            <v>Carabus monilis</v>
          </cell>
          <cell r="B1023" t="str">
            <v>Ground beetles</v>
          </cell>
          <cell r="C1023" t="str">
            <v>Coleoptera</v>
          </cell>
          <cell r="D1023" t="str">
            <v>Carabus monilis</v>
          </cell>
          <cell r="E1023" t="str">
            <v>EN</v>
          </cell>
          <cell r="F1023" t="str">
            <v>Telfer, 2016</v>
          </cell>
          <cell r="G1023" t="str">
            <v>NBNSYS0000007136</v>
          </cell>
          <cell r="H1023" t="str">
            <v>Carabus monilis</v>
          </cell>
        </row>
        <row r="1024">
          <cell r="A1024" t="str">
            <v>Carabus nemoralis</v>
          </cell>
          <cell r="B1024" t="str">
            <v>Ground beetles</v>
          </cell>
          <cell r="C1024" t="str">
            <v>Coleoptera</v>
          </cell>
          <cell r="D1024" t="str">
            <v>Carabus nemoralis</v>
          </cell>
          <cell r="E1024" t="str">
            <v>LC</v>
          </cell>
          <cell r="F1024" t="str">
            <v>Telfer, 2016</v>
          </cell>
          <cell r="G1024" t="str">
            <v>NBNSYS0000007137</v>
          </cell>
          <cell r="H1024" t="str">
            <v>Carabus nemoralis</v>
          </cell>
        </row>
        <row r="1025">
          <cell r="A1025" t="str">
            <v>Carabus nitens</v>
          </cell>
          <cell r="B1025" t="str">
            <v>Ground beetles</v>
          </cell>
          <cell r="C1025" t="str">
            <v>Coleoptera</v>
          </cell>
          <cell r="D1025" t="str">
            <v>Carabus nitens</v>
          </cell>
          <cell r="E1025" t="str">
            <v>LC</v>
          </cell>
          <cell r="F1025" t="str">
            <v>Telfer, 2016</v>
          </cell>
          <cell r="G1025" t="str">
            <v>NBNSYS0000007138</v>
          </cell>
          <cell r="H1025" t="str">
            <v>Carabus nitens</v>
          </cell>
        </row>
        <row r="1026">
          <cell r="A1026" t="str">
            <v>Carabus problematicus</v>
          </cell>
          <cell r="B1026" t="str">
            <v>Ground beetles</v>
          </cell>
          <cell r="C1026" t="str">
            <v>Coleoptera</v>
          </cell>
          <cell r="D1026" t="str">
            <v>Carabus problematicus</v>
          </cell>
          <cell r="E1026" t="str">
            <v>LC</v>
          </cell>
          <cell r="F1026" t="str">
            <v>Telfer, 2016</v>
          </cell>
          <cell r="G1026" t="str">
            <v>NBNSYS0000007139</v>
          </cell>
          <cell r="H1026" t="str">
            <v>Carabus problematicus</v>
          </cell>
        </row>
        <row r="1027">
          <cell r="A1027" t="str">
            <v>Carabus violaceus</v>
          </cell>
          <cell r="B1027" t="str">
            <v>Ground beetles</v>
          </cell>
          <cell r="C1027" t="str">
            <v>Coleoptera</v>
          </cell>
          <cell r="D1027" t="str">
            <v>Carabus violaceus</v>
          </cell>
          <cell r="E1027" t="str">
            <v>LC</v>
          </cell>
          <cell r="F1027" t="str">
            <v>Telfer, 2016</v>
          </cell>
          <cell r="G1027" t="str">
            <v>NBNSYS0000007141</v>
          </cell>
          <cell r="H1027" t="str">
            <v>Carabus violaceus</v>
          </cell>
        </row>
        <row r="1028">
          <cell r="A1028" t="str">
            <v>Chlaenius nigricornis</v>
          </cell>
          <cell r="B1028" t="str">
            <v>Ground beetles</v>
          </cell>
          <cell r="C1028" t="str">
            <v>Coleoptera</v>
          </cell>
          <cell r="D1028" t="str">
            <v>Chlaenius nigricornis</v>
          </cell>
          <cell r="E1028" t="str">
            <v>LC</v>
          </cell>
          <cell r="F1028" t="str">
            <v>Telfer, 2016</v>
          </cell>
          <cell r="G1028" t="str">
            <v>NHMSYS0001717674</v>
          </cell>
          <cell r="H1028" t="str">
            <v>Chlaenius nigricornis</v>
          </cell>
        </row>
        <row r="1029">
          <cell r="A1029" t="str">
            <v>Chlaenius nitidulus</v>
          </cell>
          <cell r="B1029" t="str">
            <v>Ground beetles</v>
          </cell>
          <cell r="C1029" t="str">
            <v>Coleoptera</v>
          </cell>
          <cell r="D1029" t="str">
            <v>Chlaenius nitidulus</v>
          </cell>
          <cell r="E1029" t="str">
            <v>CR(PE)</v>
          </cell>
          <cell r="F1029" t="str">
            <v>Telfer, 2016</v>
          </cell>
          <cell r="G1029" t="str">
            <v>NBNSYS0000007452</v>
          </cell>
          <cell r="H1029" t="str">
            <v>Chlaenius nitidulus</v>
          </cell>
        </row>
        <row r="1030">
          <cell r="A1030" t="str">
            <v>Chlaenius tristis</v>
          </cell>
          <cell r="B1030" t="str">
            <v>Ground beetles</v>
          </cell>
          <cell r="C1030" t="str">
            <v>Coleoptera</v>
          </cell>
          <cell r="D1030" t="str">
            <v>Chlaenius tristis</v>
          </cell>
          <cell r="E1030" t="str">
            <v>VU</v>
          </cell>
          <cell r="F1030" t="str">
            <v>Telfer, 2016</v>
          </cell>
          <cell r="G1030" t="str">
            <v>NBNSYS0000007453</v>
          </cell>
          <cell r="H1030" t="str">
            <v>Chlaenius tristis</v>
          </cell>
        </row>
        <row r="1031">
          <cell r="A1031" t="str">
            <v>Chlaenius vestitus</v>
          </cell>
          <cell r="B1031" t="str">
            <v>Ground beetles</v>
          </cell>
          <cell r="C1031" t="str">
            <v>Coleoptera</v>
          </cell>
          <cell r="D1031" t="str">
            <v>Chlaenius vestitus</v>
          </cell>
          <cell r="E1031" t="str">
            <v>LC</v>
          </cell>
          <cell r="F1031" t="str">
            <v>Telfer, 2016</v>
          </cell>
          <cell r="G1031" t="str">
            <v>NBNSYS0000007454</v>
          </cell>
          <cell r="H1031" t="str">
            <v>Chlaenius vestitus</v>
          </cell>
        </row>
        <row r="1032">
          <cell r="A1032" t="str">
            <v>Cicindela campestris</v>
          </cell>
          <cell r="B1032" t="str">
            <v>Ground beetles</v>
          </cell>
          <cell r="C1032" t="str">
            <v>Coleoptera</v>
          </cell>
          <cell r="D1032" t="str">
            <v>Cicindela campestris</v>
          </cell>
          <cell r="E1032" t="str">
            <v>LC</v>
          </cell>
          <cell r="F1032" t="str">
            <v>Telfer, 2016</v>
          </cell>
          <cell r="G1032" t="str">
            <v>NBNSYS0000007122</v>
          </cell>
          <cell r="H1032" t="str">
            <v>Cicindela campestris</v>
          </cell>
        </row>
        <row r="1033">
          <cell r="A1033" t="str">
            <v>Cicindela hybrida</v>
          </cell>
          <cell r="B1033" t="str">
            <v>Ground beetles</v>
          </cell>
          <cell r="C1033" t="str">
            <v>Coleoptera</v>
          </cell>
          <cell r="D1033" t="str">
            <v>Cicindela hybrida</v>
          </cell>
          <cell r="E1033" t="str">
            <v>VU</v>
          </cell>
          <cell r="F1033" t="str">
            <v>Telfer, 2016</v>
          </cell>
          <cell r="G1033" t="str">
            <v>NBNSYS0000007124</v>
          </cell>
          <cell r="H1033" t="str">
            <v>Cicindela hybrida</v>
          </cell>
        </row>
        <row r="1034">
          <cell r="A1034" t="str">
            <v>Cicindela maritima</v>
          </cell>
          <cell r="B1034" t="str">
            <v>Ground beetles</v>
          </cell>
          <cell r="C1034" t="str">
            <v>Coleoptera</v>
          </cell>
          <cell r="D1034" t="str">
            <v>Cicindela maritima</v>
          </cell>
          <cell r="E1034" t="str">
            <v>NT</v>
          </cell>
          <cell r="F1034" t="str">
            <v>Telfer, 2016</v>
          </cell>
          <cell r="G1034" t="str">
            <v>NHMSYS0001717604</v>
          </cell>
          <cell r="H1034" t="str">
            <v>Cicindela maritima</v>
          </cell>
        </row>
        <row r="1035">
          <cell r="A1035" t="str">
            <v>Cicindela sylvatica</v>
          </cell>
          <cell r="B1035" t="str">
            <v>Ground beetles</v>
          </cell>
          <cell r="C1035" t="str">
            <v>Coleoptera</v>
          </cell>
          <cell r="D1035" t="str">
            <v>Cicindela sylvatica</v>
          </cell>
          <cell r="E1035" t="str">
            <v>EN</v>
          </cell>
          <cell r="F1035" t="str">
            <v>Telfer, 2016</v>
          </cell>
          <cell r="G1035" t="str">
            <v>NBNSYS0000007126</v>
          </cell>
          <cell r="H1035" t="str">
            <v>Cicindela sylvatica</v>
          </cell>
        </row>
        <row r="1036">
          <cell r="A1036" t="str">
            <v>Cillenus lateralis</v>
          </cell>
          <cell r="B1036" t="str">
            <v>Ground beetles</v>
          </cell>
          <cell r="C1036" t="str">
            <v>Coleoptera</v>
          </cell>
          <cell r="D1036" t="str">
            <v>Cillenus lateralis</v>
          </cell>
          <cell r="E1036" t="str">
            <v>LC</v>
          </cell>
          <cell r="F1036" t="str">
            <v>Telfer, 2016</v>
          </cell>
          <cell r="G1036" t="str">
            <v>NHMSYS0001717612</v>
          </cell>
          <cell r="H1036" t="str">
            <v>Cillenus lateralis</v>
          </cell>
        </row>
        <row r="1037">
          <cell r="A1037" t="str">
            <v>Clivina collaris</v>
          </cell>
          <cell r="B1037" t="str">
            <v>Ground beetles</v>
          </cell>
          <cell r="C1037" t="str">
            <v>Coleoptera</v>
          </cell>
          <cell r="D1037" t="str">
            <v>Clivina collaris</v>
          </cell>
          <cell r="E1037" t="str">
            <v>LC</v>
          </cell>
          <cell r="F1037" t="str">
            <v>Telfer, 2016</v>
          </cell>
          <cell r="G1037" t="str">
            <v>NBNSYS0000007183</v>
          </cell>
          <cell r="H1037" t="str">
            <v>Clivina collaris</v>
          </cell>
        </row>
        <row r="1038">
          <cell r="A1038" t="str">
            <v>Clivina fossor</v>
          </cell>
          <cell r="B1038" t="str">
            <v>Ground beetles</v>
          </cell>
          <cell r="C1038" t="str">
            <v>Coleoptera</v>
          </cell>
          <cell r="D1038" t="str">
            <v>Clivina fossor</v>
          </cell>
          <cell r="E1038" t="str">
            <v>LC</v>
          </cell>
          <cell r="F1038" t="str">
            <v>Telfer, 2016</v>
          </cell>
          <cell r="G1038" t="str">
            <v>NBNSYS0000007184</v>
          </cell>
          <cell r="H1038" t="str">
            <v>Clivina fossor</v>
          </cell>
        </row>
        <row r="1039">
          <cell r="A1039" t="str">
            <v>Curtonotus aulicus</v>
          </cell>
          <cell r="B1039" t="str">
            <v>Ground beetles</v>
          </cell>
          <cell r="C1039" t="str">
            <v>Coleoptera</v>
          </cell>
          <cell r="D1039" t="str">
            <v>Curtonotus aulicus</v>
          </cell>
          <cell r="E1039" t="str">
            <v>LC</v>
          </cell>
          <cell r="F1039" t="str">
            <v>Telfer, 2016</v>
          </cell>
          <cell r="G1039" t="str">
            <v>NHMSYS0001717777</v>
          </cell>
          <cell r="H1039" t="str">
            <v>Curtonotus aulicus</v>
          </cell>
        </row>
        <row r="1040">
          <cell r="A1040" t="str">
            <v>Curtonotus convexiusculus</v>
          </cell>
          <cell r="B1040" t="str">
            <v>Ground beetles</v>
          </cell>
          <cell r="C1040" t="str">
            <v>Coleoptera</v>
          </cell>
          <cell r="D1040" t="str">
            <v>Curtonotus convexiusculus</v>
          </cell>
          <cell r="E1040" t="str">
            <v>LC</v>
          </cell>
          <cell r="F1040" t="str">
            <v>Telfer, 2016</v>
          </cell>
          <cell r="G1040" t="str">
            <v>NHMSYS0001717778</v>
          </cell>
          <cell r="H1040" t="str">
            <v>Curtonotus convexiusculus</v>
          </cell>
        </row>
        <row r="1041">
          <cell r="A1041" t="str">
            <v>Cychrus caraboides</v>
          </cell>
          <cell r="B1041" t="str">
            <v>Ground beetles</v>
          </cell>
          <cell r="C1041" t="str">
            <v>Coleoptera</v>
          </cell>
          <cell r="D1041" t="str">
            <v>Cychrus caraboides</v>
          </cell>
          <cell r="E1041" t="str">
            <v>LC</v>
          </cell>
          <cell r="F1041" t="str">
            <v>Telfer, 2016</v>
          </cell>
          <cell r="G1041" t="str">
            <v>NBNSYS0000007128</v>
          </cell>
          <cell r="H1041" t="str">
            <v>Cychrus caraboides</v>
          </cell>
        </row>
        <row r="1042">
          <cell r="A1042" t="str">
            <v>Cylindera germanica</v>
          </cell>
          <cell r="B1042" t="str">
            <v>Ground beetles</v>
          </cell>
          <cell r="C1042" t="str">
            <v>Coleoptera</v>
          </cell>
          <cell r="D1042" t="str">
            <v>Cylindera germanica</v>
          </cell>
          <cell r="E1042" t="str">
            <v>VU</v>
          </cell>
          <cell r="F1042" t="str">
            <v>Telfer, 2016</v>
          </cell>
          <cell r="G1042" t="str">
            <v>NHMSYS0001717787</v>
          </cell>
          <cell r="H1042" t="str">
            <v>Cylindera germanica</v>
          </cell>
        </row>
        <row r="1043">
          <cell r="A1043" t="str">
            <v>Cymindis axillaris</v>
          </cell>
          <cell r="B1043" t="str">
            <v>Ground beetles</v>
          </cell>
          <cell r="C1043" t="str">
            <v>Coleoptera</v>
          </cell>
          <cell r="D1043" t="str">
            <v>Cymindis axillaris</v>
          </cell>
          <cell r="E1043" t="str">
            <v>NT</v>
          </cell>
          <cell r="F1043" t="str">
            <v>Telfer, 2016</v>
          </cell>
          <cell r="G1043" t="str">
            <v>NBNSYS0000007484</v>
          </cell>
          <cell r="H1043" t="str">
            <v>Cymindis axillaris</v>
          </cell>
        </row>
        <row r="1044">
          <cell r="A1044" t="str">
            <v>Cymindis macularis</v>
          </cell>
          <cell r="B1044" t="str">
            <v>Ground beetles</v>
          </cell>
          <cell r="C1044" t="str">
            <v>Coleoptera</v>
          </cell>
          <cell r="D1044" t="str">
            <v>Cymindis macularis</v>
          </cell>
          <cell r="E1044" t="str">
            <v>VU</v>
          </cell>
          <cell r="F1044" t="str">
            <v>Telfer, 2016</v>
          </cell>
          <cell r="G1044" t="str">
            <v>NBNSYS0000007485</v>
          </cell>
          <cell r="H1044" t="str">
            <v>Cymindis macularis</v>
          </cell>
        </row>
        <row r="1045">
          <cell r="A1045" t="str">
            <v>Cymindis vaporariorum</v>
          </cell>
          <cell r="B1045" t="str">
            <v>Ground beetles</v>
          </cell>
          <cell r="C1045" t="str">
            <v>Coleoptera</v>
          </cell>
          <cell r="D1045" t="str">
            <v>Cymindis vaporariorum</v>
          </cell>
          <cell r="E1045" t="str">
            <v>LC</v>
          </cell>
          <cell r="F1045" t="str">
            <v>Telfer, 2016</v>
          </cell>
          <cell r="G1045" t="str">
            <v>NBNSYS0000007486</v>
          </cell>
          <cell r="H1045" t="str">
            <v>Cymindis vaporariorum</v>
          </cell>
        </row>
        <row r="1046">
          <cell r="A1046" t="str">
            <v>Demetrias atricapillus</v>
          </cell>
          <cell r="B1046" t="str">
            <v>Ground beetles</v>
          </cell>
          <cell r="C1046" t="str">
            <v>Coleoptera</v>
          </cell>
          <cell r="D1046" t="str">
            <v>Demetrias atricapillus</v>
          </cell>
          <cell r="E1046" t="str">
            <v>LC</v>
          </cell>
          <cell r="F1046" t="str">
            <v>Telfer, 2016</v>
          </cell>
          <cell r="G1046" t="str">
            <v>NBNSYS0000007464</v>
          </cell>
          <cell r="H1046" t="str">
            <v>Demetrias atricapillus</v>
          </cell>
        </row>
        <row r="1047">
          <cell r="A1047" t="str">
            <v>Demetrias imperialis</v>
          </cell>
          <cell r="B1047" t="str">
            <v>Ground beetles</v>
          </cell>
          <cell r="C1047" t="str">
            <v>Coleoptera</v>
          </cell>
          <cell r="D1047" t="str">
            <v>Demetrias imperialis</v>
          </cell>
          <cell r="E1047" t="str">
            <v>LC</v>
          </cell>
          <cell r="F1047" t="str">
            <v>Telfer, 2016</v>
          </cell>
          <cell r="G1047" t="str">
            <v>NBNSYS0000007465</v>
          </cell>
          <cell r="H1047" t="str">
            <v>Demetrias imperialis</v>
          </cell>
        </row>
        <row r="1048">
          <cell r="A1048" t="str">
            <v>Demetrias monostigma</v>
          </cell>
          <cell r="B1048" t="str">
            <v>Ground beetles</v>
          </cell>
          <cell r="C1048" t="str">
            <v>Coleoptera</v>
          </cell>
          <cell r="D1048" t="str">
            <v>Demetrias monostigma</v>
          </cell>
          <cell r="E1048" t="str">
            <v>LC</v>
          </cell>
          <cell r="F1048" t="str">
            <v>Telfer, 2016</v>
          </cell>
          <cell r="G1048" t="str">
            <v>NBNSYS0000007466</v>
          </cell>
          <cell r="H1048" t="str">
            <v>Demetrias monostigma</v>
          </cell>
        </row>
        <row r="1049">
          <cell r="A1049" t="str">
            <v>Diachromus germanus</v>
          </cell>
          <cell r="B1049" t="str">
            <v>Ground beetles</v>
          </cell>
          <cell r="C1049" t="str">
            <v>Coleoptera</v>
          </cell>
          <cell r="D1049" t="str">
            <v>Diachromus germanus</v>
          </cell>
          <cell r="E1049" t="str">
            <v>VU</v>
          </cell>
          <cell r="F1049" t="str">
            <v>Telfer, 2016</v>
          </cell>
          <cell r="G1049" t="str">
            <v>NBNSYS0000007414</v>
          </cell>
          <cell r="H1049" t="str">
            <v>Diachromus germanus</v>
          </cell>
        </row>
        <row r="1050">
          <cell r="A1050" t="str">
            <v>Dicheirotrichus gustavii</v>
          </cell>
          <cell r="B1050" t="str">
            <v>Ground beetles</v>
          </cell>
          <cell r="C1050" t="str">
            <v>Coleoptera</v>
          </cell>
          <cell r="D1050" t="str">
            <v>Dicheirotrichus gustavii</v>
          </cell>
          <cell r="E1050" t="str">
            <v>LC</v>
          </cell>
          <cell r="F1050" t="str">
            <v>Telfer, 2016</v>
          </cell>
          <cell r="G1050" t="str">
            <v>NHMSYS0001717913</v>
          </cell>
          <cell r="H1050" t="str">
            <v>Dicheirotrichus gustavii</v>
          </cell>
        </row>
        <row r="1051">
          <cell r="A1051" t="str">
            <v>Dicheirotrichus obsoletus</v>
          </cell>
          <cell r="B1051" t="str">
            <v>Ground beetles</v>
          </cell>
          <cell r="C1051" t="str">
            <v>Coleoptera</v>
          </cell>
          <cell r="D1051" t="str">
            <v>Dicheirotrichus obsoletus</v>
          </cell>
          <cell r="E1051" t="str">
            <v>LC</v>
          </cell>
          <cell r="F1051" t="str">
            <v>Telfer, 2016</v>
          </cell>
          <cell r="G1051" t="str">
            <v>NBNSYS0000007416</v>
          </cell>
          <cell r="H1051" t="str">
            <v>Dicheirotrichus obsoletus</v>
          </cell>
        </row>
        <row r="1052">
          <cell r="A1052" t="str">
            <v>Dromius agilis</v>
          </cell>
          <cell r="B1052" t="str">
            <v>Ground beetles</v>
          </cell>
          <cell r="C1052" t="str">
            <v>Coleoptera</v>
          </cell>
          <cell r="D1052" t="str">
            <v>Dromius agilis</v>
          </cell>
          <cell r="E1052" t="str">
            <v>LC</v>
          </cell>
          <cell r="F1052" t="str">
            <v>Telfer, 2016</v>
          </cell>
          <cell r="G1052" t="str">
            <v>NHMSYS0001717970</v>
          </cell>
          <cell r="H1052" t="str">
            <v>Dromius agilis</v>
          </cell>
        </row>
        <row r="1053">
          <cell r="A1053" t="str">
            <v>Dromius angustus</v>
          </cell>
          <cell r="B1053" t="str">
            <v>Ground beetles</v>
          </cell>
          <cell r="C1053" t="str">
            <v>Coleoptera</v>
          </cell>
          <cell r="D1053" t="str">
            <v>Dromius angustus</v>
          </cell>
          <cell r="E1053" t="str">
            <v>LC</v>
          </cell>
          <cell r="F1053" t="str">
            <v>Telfer, 2016</v>
          </cell>
          <cell r="G1053" t="str">
            <v>NHMSYS0001717971</v>
          </cell>
          <cell r="H1053" t="str">
            <v>Dromius angustus</v>
          </cell>
        </row>
        <row r="1054">
          <cell r="A1054" t="str">
            <v>Dromius meridionalis</v>
          </cell>
          <cell r="B1054" t="str">
            <v>Ground beetles</v>
          </cell>
          <cell r="C1054" t="str">
            <v>Coleoptera</v>
          </cell>
          <cell r="D1054" t="str">
            <v>Dromius meridionalis</v>
          </cell>
          <cell r="E1054" t="str">
            <v>LC</v>
          </cell>
          <cell r="F1054" t="str">
            <v>Telfer, 2016</v>
          </cell>
          <cell r="G1054" t="str">
            <v>NBNSYS0000007471</v>
          </cell>
          <cell r="H1054" t="str">
            <v>Dromius meridionalis</v>
          </cell>
        </row>
        <row r="1055">
          <cell r="A1055" t="str">
            <v>Dromius quadrimaculatus</v>
          </cell>
          <cell r="B1055" t="str">
            <v>Ground beetles</v>
          </cell>
          <cell r="C1055" t="str">
            <v>Coleoptera</v>
          </cell>
          <cell r="D1055" t="str">
            <v>Dromius quadrimaculatus</v>
          </cell>
          <cell r="E1055" t="str">
            <v>LC</v>
          </cell>
          <cell r="F1055" t="str">
            <v>Telfer, 2016</v>
          </cell>
          <cell r="G1055" t="str">
            <v>NBNSYS0000007473</v>
          </cell>
          <cell r="H1055" t="str">
            <v>Dromius quadrimaculatus</v>
          </cell>
        </row>
        <row r="1056">
          <cell r="A1056" t="str">
            <v>Drypta dentata</v>
          </cell>
          <cell r="B1056" t="str">
            <v>Ground beetles</v>
          </cell>
          <cell r="C1056" t="str">
            <v>Coleoptera</v>
          </cell>
          <cell r="D1056" t="str">
            <v>Drypta dentata</v>
          </cell>
          <cell r="E1056" t="str">
            <v>EN</v>
          </cell>
          <cell r="F1056" t="str">
            <v>Telfer, 2016</v>
          </cell>
          <cell r="G1056" t="str">
            <v>NBNSYS0000007488</v>
          </cell>
          <cell r="H1056" t="str">
            <v>Drypta dentata</v>
          </cell>
        </row>
        <row r="1057">
          <cell r="A1057" t="str">
            <v>Dyschirius aeneus</v>
          </cell>
          <cell r="B1057" t="str">
            <v>Ground beetles</v>
          </cell>
          <cell r="C1057" t="str">
            <v>Coleoptera</v>
          </cell>
          <cell r="D1057" t="str">
            <v>Dyschirius aeneus</v>
          </cell>
          <cell r="E1057" t="str">
            <v>LC</v>
          </cell>
          <cell r="F1057" t="str">
            <v>Telfer, 2016</v>
          </cell>
          <cell r="G1057" t="str">
            <v>NBNSYS0000007172</v>
          </cell>
          <cell r="H1057" t="str">
            <v>Dyschirius aeneus</v>
          </cell>
        </row>
        <row r="1058">
          <cell r="A1058" t="str">
            <v>Dyschirius angustatus</v>
          </cell>
          <cell r="B1058" t="str">
            <v>Ground beetles</v>
          </cell>
          <cell r="C1058" t="str">
            <v>Coleoptera</v>
          </cell>
          <cell r="D1058" t="str">
            <v>Dyschirius angustatus</v>
          </cell>
          <cell r="E1058" t="str">
            <v>NT</v>
          </cell>
          <cell r="F1058" t="str">
            <v>Telfer, 2016</v>
          </cell>
          <cell r="G1058" t="str">
            <v>NBNSYS0000007173</v>
          </cell>
          <cell r="H1058" t="str">
            <v>Dyschirius angustatus</v>
          </cell>
        </row>
        <row r="1059">
          <cell r="A1059" t="str">
            <v>Dyschirius extensus</v>
          </cell>
          <cell r="B1059" t="str">
            <v>Ground beetles</v>
          </cell>
          <cell r="C1059" t="str">
            <v>Coleoptera</v>
          </cell>
          <cell r="D1059" t="str">
            <v>Dyschirius extensus</v>
          </cell>
          <cell r="E1059" t="str">
            <v>CR(PE)</v>
          </cell>
          <cell r="F1059" t="str">
            <v>Telfer, 2016</v>
          </cell>
          <cell r="G1059" t="str">
            <v>NBNSYS0000007174</v>
          </cell>
          <cell r="H1059" t="str">
            <v>Dyschirius extensus</v>
          </cell>
        </row>
        <row r="1060">
          <cell r="A1060" t="str">
            <v>Dyschirius globosus</v>
          </cell>
          <cell r="B1060" t="str">
            <v>Ground beetles</v>
          </cell>
          <cell r="C1060" t="str">
            <v>Coleoptera</v>
          </cell>
          <cell r="D1060" t="str">
            <v>Dyschirius globosus</v>
          </cell>
          <cell r="E1060" t="str">
            <v>LC</v>
          </cell>
          <cell r="F1060" t="str">
            <v>Telfer, 2016</v>
          </cell>
          <cell r="G1060" t="str">
            <v>NBNSYS0000007175</v>
          </cell>
          <cell r="H1060" t="str">
            <v>Dyschirius globosus</v>
          </cell>
        </row>
        <row r="1061">
          <cell r="A1061" t="str">
            <v>Dyschirius impunctipennis</v>
          </cell>
          <cell r="B1061" t="str">
            <v>Ground beetles</v>
          </cell>
          <cell r="C1061" t="str">
            <v>Coleoptera</v>
          </cell>
          <cell r="D1061" t="str">
            <v>Dyschirius impunctipennis</v>
          </cell>
          <cell r="E1061" t="str">
            <v>LC</v>
          </cell>
          <cell r="F1061" t="str">
            <v>Telfer, 2016</v>
          </cell>
          <cell r="G1061" t="str">
            <v>NBNSYS0000007176</v>
          </cell>
          <cell r="H1061" t="str">
            <v>Dyschirius impunctipennis</v>
          </cell>
        </row>
        <row r="1062">
          <cell r="A1062" t="str">
            <v>Dyschirius luedersi</v>
          </cell>
          <cell r="B1062" t="str">
            <v>Ground beetles</v>
          </cell>
          <cell r="C1062" t="str">
            <v>Coleoptera</v>
          </cell>
          <cell r="D1062" t="str">
            <v>Dyschirius luedersi</v>
          </cell>
          <cell r="E1062" t="str">
            <v>LC</v>
          </cell>
          <cell r="F1062" t="str">
            <v>Telfer, 2016</v>
          </cell>
          <cell r="G1062" t="str">
            <v>NHMSYS0001718015</v>
          </cell>
          <cell r="H1062" t="str">
            <v>Dyschirius luedersi</v>
          </cell>
        </row>
        <row r="1063">
          <cell r="A1063" t="str">
            <v>Dyschirius nitidus</v>
          </cell>
          <cell r="B1063" t="str">
            <v>Ground beetles</v>
          </cell>
          <cell r="C1063" t="str">
            <v>Coleoptera</v>
          </cell>
          <cell r="D1063" t="str">
            <v>Dyschirius nitidus</v>
          </cell>
          <cell r="E1063" t="str">
            <v>LC</v>
          </cell>
          <cell r="F1063" t="str">
            <v>Telfer, 2016</v>
          </cell>
          <cell r="G1063" t="str">
            <v>NBNSYS0000007178</v>
          </cell>
          <cell r="H1063" t="str">
            <v>Dyschirius nitidus</v>
          </cell>
        </row>
        <row r="1064">
          <cell r="A1064" t="str">
            <v>Dyschirius obscurus</v>
          </cell>
          <cell r="B1064" t="str">
            <v>Ground beetles</v>
          </cell>
          <cell r="C1064" t="str">
            <v>Coleoptera</v>
          </cell>
          <cell r="D1064" t="str">
            <v>Dyschirius obscurus</v>
          </cell>
          <cell r="E1064" t="str">
            <v>EN</v>
          </cell>
          <cell r="F1064" t="str">
            <v>Telfer, 2016</v>
          </cell>
          <cell r="G1064" t="str">
            <v>NBNSYS0000007179</v>
          </cell>
          <cell r="H1064" t="str">
            <v>Dyschirius obscurus</v>
          </cell>
        </row>
        <row r="1065">
          <cell r="A1065" t="str">
            <v>Dyschirius politus</v>
          </cell>
          <cell r="B1065" t="str">
            <v>Ground beetles</v>
          </cell>
          <cell r="C1065" t="str">
            <v>Coleoptera</v>
          </cell>
          <cell r="D1065" t="str">
            <v>Dyschirius politus</v>
          </cell>
          <cell r="E1065" t="str">
            <v>LC</v>
          </cell>
          <cell r="F1065" t="str">
            <v>Telfer, 2016</v>
          </cell>
          <cell r="G1065" t="str">
            <v>NBNSYS0000007180</v>
          </cell>
          <cell r="H1065" t="str">
            <v>Dyschirius politus</v>
          </cell>
        </row>
        <row r="1066">
          <cell r="A1066" t="str">
            <v>Dyschirius salinus</v>
          </cell>
          <cell r="B1066" t="str">
            <v>Ground beetles</v>
          </cell>
          <cell r="C1066" t="str">
            <v>Coleoptera</v>
          </cell>
          <cell r="D1066" t="str">
            <v>Dyschirius salinus</v>
          </cell>
          <cell r="E1066" t="str">
            <v>LC</v>
          </cell>
          <cell r="F1066" t="str">
            <v>Telfer, 2016</v>
          </cell>
          <cell r="G1066" t="str">
            <v>NBNSYS0000007181</v>
          </cell>
          <cell r="H1066" t="str">
            <v>Dyschirius salinus</v>
          </cell>
        </row>
        <row r="1067">
          <cell r="A1067" t="str">
            <v>Dyschirius thoracicus</v>
          </cell>
          <cell r="B1067" t="str">
            <v>Ground beetles</v>
          </cell>
          <cell r="C1067" t="str">
            <v>Coleoptera</v>
          </cell>
          <cell r="D1067" t="str">
            <v>Dyschirius thoracicus</v>
          </cell>
          <cell r="E1067" t="str">
            <v>LC</v>
          </cell>
          <cell r="F1067" t="str">
            <v>Telfer, 2016</v>
          </cell>
          <cell r="G1067" t="str">
            <v>NBNSYS0000007182</v>
          </cell>
          <cell r="H1067" t="str">
            <v>Dyschirius thoracicus</v>
          </cell>
        </row>
        <row r="1068">
          <cell r="A1068" t="str">
            <v>Elaphropus parvulus</v>
          </cell>
          <cell r="B1068" t="str">
            <v>Ground beetles</v>
          </cell>
          <cell r="C1068" t="str">
            <v>Coleoptera</v>
          </cell>
          <cell r="D1068" t="str">
            <v>Elaphropus parvulus</v>
          </cell>
          <cell r="E1068" t="str">
            <v>LC</v>
          </cell>
          <cell r="F1068" t="str">
            <v>Telfer, 2016</v>
          </cell>
          <cell r="G1068" t="str">
            <v>NHMSYS0021366689</v>
          </cell>
          <cell r="H1068" t="str">
            <v>Elaphropus parvulus</v>
          </cell>
        </row>
        <row r="1069">
          <cell r="A1069" t="str">
            <v>Elaphropus walkerianus</v>
          </cell>
          <cell r="B1069" t="str">
            <v>Ground beetles</v>
          </cell>
          <cell r="C1069" t="str">
            <v>Coleoptera</v>
          </cell>
          <cell r="D1069" t="str">
            <v>Elaphropus walkerianus</v>
          </cell>
          <cell r="E1069" t="str">
            <v>NT</v>
          </cell>
          <cell r="F1069" t="str">
            <v>Telfer, 2016</v>
          </cell>
          <cell r="G1069" t="str">
            <v>NHMSYS0021366694</v>
          </cell>
          <cell r="H1069" t="str">
            <v>Elaphropus walkerianus</v>
          </cell>
        </row>
        <row r="1070">
          <cell r="A1070" t="str">
            <v>Elaphrus cupreus</v>
          </cell>
          <cell r="B1070" t="str">
            <v>Ground beetles</v>
          </cell>
          <cell r="C1070" t="str">
            <v>Coleoptera</v>
          </cell>
          <cell r="D1070" t="str">
            <v>Elaphrus cupreus</v>
          </cell>
          <cell r="E1070" t="str">
            <v>LC</v>
          </cell>
          <cell r="F1070" t="str">
            <v>Telfer, 2016</v>
          </cell>
          <cell r="G1070" t="str">
            <v>NBNSYS0000007167</v>
          </cell>
          <cell r="H1070" t="str">
            <v>Elaphrus cupreus</v>
          </cell>
        </row>
        <row r="1071">
          <cell r="A1071" t="str">
            <v>Elaphrus lapponicus</v>
          </cell>
          <cell r="B1071" t="str">
            <v>Ground beetles</v>
          </cell>
          <cell r="C1071" t="str">
            <v>Coleoptera</v>
          </cell>
          <cell r="D1071" t="str">
            <v>Elaphrus lapponicus</v>
          </cell>
          <cell r="E1071" t="str">
            <v>NT</v>
          </cell>
          <cell r="F1071" t="str">
            <v>Telfer, 2016</v>
          </cell>
          <cell r="G1071" t="str">
            <v>NBNSYS0000007168</v>
          </cell>
          <cell r="H1071" t="str">
            <v>Elaphrus lapponicus</v>
          </cell>
        </row>
        <row r="1072">
          <cell r="A1072" t="str">
            <v>Elaphrus riparius</v>
          </cell>
          <cell r="B1072" t="str">
            <v>Ground beetles</v>
          </cell>
          <cell r="C1072" t="str">
            <v>Coleoptera</v>
          </cell>
          <cell r="D1072" t="str">
            <v>Elaphrus riparius</v>
          </cell>
          <cell r="E1072" t="str">
            <v>LC</v>
          </cell>
          <cell r="F1072" t="str">
            <v>Telfer, 2016</v>
          </cell>
          <cell r="G1072" t="str">
            <v>NBNSYS0000007169</v>
          </cell>
          <cell r="H1072" t="str">
            <v>Elaphrus riparius</v>
          </cell>
        </row>
        <row r="1073">
          <cell r="A1073" t="str">
            <v>Elaphrus uliginosus</v>
          </cell>
          <cell r="B1073" t="str">
            <v>Ground beetles</v>
          </cell>
          <cell r="C1073" t="str">
            <v>Coleoptera</v>
          </cell>
          <cell r="D1073" t="str">
            <v>Elaphrus uliginosus</v>
          </cell>
          <cell r="E1073" t="str">
            <v>LC</v>
          </cell>
          <cell r="F1073" t="str">
            <v>Telfer, 2016</v>
          </cell>
          <cell r="G1073" t="str">
            <v>NBNSYS0000007170</v>
          </cell>
          <cell r="H1073" t="str">
            <v>Elaphrus uliginosus</v>
          </cell>
        </row>
        <row r="1074">
          <cell r="A1074" t="str">
            <v>Eurynebria complanata</v>
          </cell>
          <cell r="B1074" t="str">
            <v>Ground beetles</v>
          </cell>
          <cell r="C1074" t="str">
            <v>Coleoptera</v>
          </cell>
          <cell r="D1074" t="str">
            <v>Eurynebria complanata</v>
          </cell>
          <cell r="E1074" t="str">
            <v>EN</v>
          </cell>
          <cell r="F1074" t="str">
            <v>Telfer, 2016</v>
          </cell>
          <cell r="G1074" t="str">
            <v>NHMSYS0001718164</v>
          </cell>
          <cell r="H1074" t="str">
            <v>Eurynebria complanata</v>
          </cell>
        </row>
        <row r="1075">
          <cell r="A1075" t="str">
            <v>Harpalus affinis</v>
          </cell>
          <cell r="B1075" t="str">
            <v>Ground beetles</v>
          </cell>
          <cell r="C1075" t="str">
            <v>Coleoptera</v>
          </cell>
          <cell r="D1075" t="str">
            <v>Harpalus affinis</v>
          </cell>
          <cell r="E1075" t="str">
            <v>LC</v>
          </cell>
          <cell r="F1075" t="str">
            <v>Telfer, 2016</v>
          </cell>
          <cell r="G1075" t="str">
            <v>NBNSYS0000007390</v>
          </cell>
          <cell r="H1075" t="str">
            <v>Harpalus affinis</v>
          </cell>
        </row>
        <row r="1076">
          <cell r="A1076" t="str">
            <v>Harpalus anxius</v>
          </cell>
          <cell r="B1076" t="str">
            <v>Ground beetles</v>
          </cell>
          <cell r="C1076" t="str">
            <v>Coleoptera</v>
          </cell>
          <cell r="D1076" t="str">
            <v>Harpalus anxius</v>
          </cell>
          <cell r="E1076" t="str">
            <v>LC</v>
          </cell>
          <cell r="F1076" t="str">
            <v>Telfer, 2016</v>
          </cell>
          <cell r="G1076" t="str">
            <v>NBNSYS0000007391</v>
          </cell>
          <cell r="H1076" t="str">
            <v>Harpalus anxius</v>
          </cell>
        </row>
        <row r="1077">
          <cell r="A1077" t="str">
            <v>Harpalus attenuatus</v>
          </cell>
          <cell r="B1077" t="str">
            <v>Ground beetles</v>
          </cell>
          <cell r="C1077" t="str">
            <v>Coleoptera</v>
          </cell>
          <cell r="D1077" t="str">
            <v>Harpalus attenuatus</v>
          </cell>
          <cell r="E1077" t="str">
            <v>LC</v>
          </cell>
          <cell r="F1077" t="str">
            <v>Telfer, 2016</v>
          </cell>
          <cell r="G1077" t="str">
            <v>NBNSYS0000007392</v>
          </cell>
          <cell r="H1077" t="str">
            <v>Harpalus attenuatus</v>
          </cell>
        </row>
        <row r="1078">
          <cell r="A1078" t="str">
            <v>Harpalus cupreus</v>
          </cell>
          <cell r="B1078" t="str">
            <v>Ground beetles</v>
          </cell>
          <cell r="C1078" t="str">
            <v>Coleoptera</v>
          </cell>
          <cell r="D1078" t="str">
            <v>Harpalus cupreus</v>
          </cell>
          <cell r="E1078" t="str">
            <v>CR(PE)</v>
          </cell>
          <cell r="F1078" t="str">
            <v>Telfer, 2016</v>
          </cell>
          <cell r="G1078" t="str">
            <v>NBNSYS0000007393</v>
          </cell>
          <cell r="H1078" t="str">
            <v>Harpalus cupreus</v>
          </cell>
        </row>
        <row r="1079">
          <cell r="A1079" t="str">
            <v>Harpalus dimidiatus</v>
          </cell>
          <cell r="B1079" t="str">
            <v>Ground beetles</v>
          </cell>
          <cell r="C1079" t="str">
            <v>Coleoptera</v>
          </cell>
          <cell r="D1079" t="str">
            <v>Harpalus dimidiatus</v>
          </cell>
          <cell r="E1079" t="str">
            <v>NT</v>
          </cell>
          <cell r="F1079" t="str">
            <v>Telfer, 2016</v>
          </cell>
          <cell r="G1079" t="str">
            <v>NBNSYS0000007394</v>
          </cell>
          <cell r="H1079" t="str">
            <v>Harpalus dimidiatus</v>
          </cell>
        </row>
        <row r="1080">
          <cell r="A1080" t="str">
            <v>Harpalus froelichii</v>
          </cell>
          <cell r="B1080" t="str">
            <v>Ground beetles</v>
          </cell>
          <cell r="C1080" t="str">
            <v>Coleoptera</v>
          </cell>
          <cell r="D1080" t="str">
            <v>Harpalus froelichii</v>
          </cell>
          <cell r="E1080" t="str">
            <v>NT</v>
          </cell>
          <cell r="F1080" t="str">
            <v>Telfer, 2016</v>
          </cell>
          <cell r="G1080" t="str">
            <v>NBNSYS0000148172</v>
          </cell>
          <cell r="H1080" t="str">
            <v>Harpalus froelichii</v>
          </cell>
        </row>
        <row r="1081">
          <cell r="A1081" t="str">
            <v>Harpalus honestus</v>
          </cell>
          <cell r="B1081" t="str">
            <v>Ground beetles</v>
          </cell>
          <cell r="C1081" t="str">
            <v>Coleoptera</v>
          </cell>
          <cell r="D1081" t="str">
            <v>Harpalus honestus</v>
          </cell>
          <cell r="E1081" t="str">
            <v>VU</v>
          </cell>
          <cell r="F1081" t="str">
            <v>Telfer, 2016</v>
          </cell>
          <cell r="G1081" t="str">
            <v>NBNSYS0000007396</v>
          </cell>
          <cell r="H1081" t="str">
            <v>Harpalus honestus</v>
          </cell>
        </row>
        <row r="1082">
          <cell r="A1082" t="str">
            <v>Harpalus laevipes</v>
          </cell>
          <cell r="B1082" t="str">
            <v>Ground beetles</v>
          </cell>
          <cell r="C1082" t="str">
            <v>Coleoptera</v>
          </cell>
          <cell r="D1082" t="str">
            <v>Harpalus laevipes</v>
          </cell>
          <cell r="E1082" t="str">
            <v>LC</v>
          </cell>
          <cell r="F1082" t="str">
            <v>Telfer, 2016</v>
          </cell>
          <cell r="G1082" t="str">
            <v>NHMSYS0020919977</v>
          </cell>
          <cell r="H1082" t="str">
            <v>Harpalus laevipes</v>
          </cell>
        </row>
        <row r="1083">
          <cell r="A1083" t="str">
            <v>Harpalus latus</v>
          </cell>
          <cell r="B1083" t="str">
            <v>Ground beetles</v>
          </cell>
          <cell r="C1083" t="str">
            <v>Coleoptera</v>
          </cell>
          <cell r="D1083" t="str">
            <v>Harpalus latus</v>
          </cell>
          <cell r="E1083" t="str">
            <v>LC</v>
          </cell>
          <cell r="F1083" t="str">
            <v>Telfer, 2016</v>
          </cell>
          <cell r="G1083" t="str">
            <v>NBNSYS0000007397</v>
          </cell>
          <cell r="H1083" t="str">
            <v>Harpalus latus</v>
          </cell>
        </row>
        <row r="1084">
          <cell r="A1084" t="str">
            <v>Harpalus melancholicus</v>
          </cell>
          <cell r="B1084" t="str">
            <v>Ground beetles</v>
          </cell>
          <cell r="C1084" t="str">
            <v>Coleoptera</v>
          </cell>
          <cell r="D1084" t="str">
            <v>Harpalus melancholicus</v>
          </cell>
          <cell r="E1084" t="str">
            <v>EN</v>
          </cell>
          <cell r="F1084" t="str">
            <v>Telfer, 2016</v>
          </cell>
          <cell r="G1084" t="str">
            <v>NBNSYS0000007398</v>
          </cell>
          <cell r="H1084" t="str">
            <v>Harpalus melancholicus</v>
          </cell>
        </row>
        <row r="1085">
          <cell r="A1085" t="str">
            <v>Harpalus neglectus</v>
          </cell>
          <cell r="B1085" t="str">
            <v>Ground beetles</v>
          </cell>
          <cell r="C1085" t="str">
            <v>Coleoptera</v>
          </cell>
          <cell r="D1085" t="str">
            <v>Harpalus neglectus</v>
          </cell>
          <cell r="E1085" t="str">
            <v>LC</v>
          </cell>
          <cell r="F1085" t="str">
            <v>Telfer, 2016</v>
          </cell>
          <cell r="G1085" t="str">
            <v>NBNSYS0000007399</v>
          </cell>
          <cell r="H1085" t="str">
            <v>Harpalus neglectus</v>
          </cell>
        </row>
        <row r="1086">
          <cell r="A1086" t="str">
            <v>Harpalus pumilus</v>
          </cell>
          <cell r="B1086" t="str">
            <v>Ground beetles</v>
          </cell>
          <cell r="C1086" t="str">
            <v>Coleoptera</v>
          </cell>
          <cell r="D1086" t="str">
            <v>Harpalus pumilus</v>
          </cell>
          <cell r="E1086" t="str">
            <v>NT</v>
          </cell>
          <cell r="F1086" t="str">
            <v>Telfer, 2016</v>
          </cell>
          <cell r="G1086" t="str">
            <v>NHMSYS0020919978</v>
          </cell>
          <cell r="H1086" t="str">
            <v>Harpalus pumilus</v>
          </cell>
        </row>
        <row r="1087">
          <cell r="A1087" t="str">
            <v>Harpalus rubripes</v>
          </cell>
          <cell r="B1087" t="str">
            <v>Ground beetles</v>
          </cell>
          <cell r="C1087" t="str">
            <v>Coleoptera</v>
          </cell>
          <cell r="D1087" t="str">
            <v>Harpalus rubripes</v>
          </cell>
          <cell r="E1087" t="str">
            <v>LC</v>
          </cell>
          <cell r="F1087" t="str">
            <v>Telfer, 2016</v>
          </cell>
          <cell r="G1087" t="str">
            <v>NBNSYS0000007401</v>
          </cell>
          <cell r="H1087" t="str">
            <v>Harpalus rubripes</v>
          </cell>
        </row>
        <row r="1088">
          <cell r="A1088" t="str">
            <v>Harpalus rufipalpis</v>
          </cell>
          <cell r="B1088" t="str">
            <v>Ground beetles</v>
          </cell>
          <cell r="C1088" t="str">
            <v>Coleoptera</v>
          </cell>
          <cell r="D1088" t="str">
            <v>Harpalus rufipalpis</v>
          </cell>
          <cell r="E1088" t="str">
            <v>LC</v>
          </cell>
          <cell r="F1088" t="str">
            <v>Telfer, 2016</v>
          </cell>
          <cell r="G1088" t="str">
            <v>NHMSYS0020919979</v>
          </cell>
          <cell r="H1088" t="str">
            <v>Harpalus rufipalpis</v>
          </cell>
        </row>
        <row r="1089">
          <cell r="A1089" t="str">
            <v>Harpalus rufipes</v>
          </cell>
          <cell r="B1089" t="str">
            <v>Ground beetles</v>
          </cell>
          <cell r="C1089" t="str">
            <v>Coleoptera</v>
          </cell>
          <cell r="D1089" t="str">
            <v>Harpalus rufipes</v>
          </cell>
          <cell r="E1089" t="str">
            <v>LC</v>
          </cell>
          <cell r="F1089" t="str">
            <v>Telfer, 2016</v>
          </cell>
          <cell r="G1089" t="str">
            <v>NBNSYS0000007375</v>
          </cell>
          <cell r="H1089" t="str">
            <v>Harpalus rufipes</v>
          </cell>
        </row>
        <row r="1090">
          <cell r="A1090" t="str">
            <v>Harpalus serripes</v>
          </cell>
          <cell r="B1090" t="str">
            <v>Ground beetles</v>
          </cell>
          <cell r="C1090" t="str">
            <v>Coleoptera</v>
          </cell>
          <cell r="D1090" t="str">
            <v>Harpalus serripes</v>
          </cell>
          <cell r="E1090" t="str">
            <v>LC</v>
          </cell>
          <cell r="F1090" t="str">
            <v>Telfer, 2016</v>
          </cell>
          <cell r="G1090" t="str">
            <v>NBNSYS0000007403</v>
          </cell>
          <cell r="H1090" t="str">
            <v>Harpalus serripes</v>
          </cell>
        </row>
        <row r="1091">
          <cell r="A1091" t="str">
            <v>Harpalus servus</v>
          </cell>
          <cell r="B1091" t="str">
            <v>Ground beetles</v>
          </cell>
          <cell r="C1091" t="str">
            <v>Coleoptera</v>
          </cell>
          <cell r="D1091" t="str">
            <v>Harpalus servus</v>
          </cell>
          <cell r="E1091" t="str">
            <v>NT</v>
          </cell>
          <cell r="F1091" t="str">
            <v>Telfer, 2016</v>
          </cell>
          <cell r="G1091" t="str">
            <v>NBNSYS0000007404</v>
          </cell>
          <cell r="H1091" t="str">
            <v>Harpalus servus</v>
          </cell>
        </row>
        <row r="1092">
          <cell r="A1092" t="str">
            <v>Harpalus smaragdinus</v>
          </cell>
          <cell r="B1092" t="str">
            <v>Ground beetles</v>
          </cell>
          <cell r="C1092" t="str">
            <v>Coleoptera</v>
          </cell>
          <cell r="D1092" t="str">
            <v>Harpalus smaragdinus</v>
          </cell>
          <cell r="E1092" t="str">
            <v>LC</v>
          </cell>
          <cell r="F1092" t="str">
            <v>Telfer, 2016</v>
          </cell>
          <cell r="G1092" t="str">
            <v>NBNSYS0000007405</v>
          </cell>
          <cell r="H1092" t="str">
            <v>Harpalus smaragdinus</v>
          </cell>
        </row>
        <row r="1093">
          <cell r="A1093" t="str">
            <v>Harpalus tardus</v>
          </cell>
          <cell r="B1093" t="str">
            <v>Ground beetles</v>
          </cell>
          <cell r="C1093" t="str">
            <v>Coleoptera</v>
          </cell>
          <cell r="D1093" t="str">
            <v>Harpalus tardus</v>
          </cell>
          <cell r="E1093" t="str">
            <v>LC</v>
          </cell>
          <cell r="F1093" t="str">
            <v>Telfer, 2016</v>
          </cell>
          <cell r="G1093" t="str">
            <v>NBNSYS0000007406</v>
          </cell>
          <cell r="H1093" t="str">
            <v>Harpalus tardus</v>
          </cell>
        </row>
        <row r="1094">
          <cell r="A1094" t="str">
            <v>Harpalus tenebrosus</v>
          </cell>
          <cell r="B1094" t="str">
            <v>Ground beetles</v>
          </cell>
          <cell r="C1094" t="str">
            <v>Coleoptera</v>
          </cell>
          <cell r="D1094" t="str">
            <v>Harpalus tenebrosus</v>
          </cell>
          <cell r="E1094" t="str">
            <v>LC</v>
          </cell>
          <cell r="F1094" t="str">
            <v>Telfer, 2016</v>
          </cell>
          <cell r="G1094" t="str">
            <v>NBNSYS0000007407</v>
          </cell>
          <cell r="H1094" t="str">
            <v>Harpalus tenebrosus</v>
          </cell>
        </row>
        <row r="1095">
          <cell r="A1095" t="str">
            <v>Laemostenus terricola</v>
          </cell>
          <cell r="B1095" t="str">
            <v>Ground beetles</v>
          </cell>
          <cell r="C1095" t="str">
            <v>Coleoptera</v>
          </cell>
          <cell r="D1095" t="str">
            <v>Laemostenus terricola</v>
          </cell>
          <cell r="E1095" t="str">
            <v>LC</v>
          </cell>
          <cell r="F1095" t="str">
            <v>Telfer, 2016</v>
          </cell>
          <cell r="G1095" t="str">
            <v>NBNSYS0000007315</v>
          </cell>
          <cell r="H1095" t="str">
            <v>Laemostenus terricola</v>
          </cell>
        </row>
        <row r="1096">
          <cell r="A1096" t="str">
            <v>Lebia chlorocephala</v>
          </cell>
          <cell r="B1096" t="str">
            <v>Ground beetles</v>
          </cell>
          <cell r="C1096" t="str">
            <v>Coleoptera</v>
          </cell>
          <cell r="D1096" t="str">
            <v>Lebia chlorocephala</v>
          </cell>
          <cell r="E1096" t="str">
            <v>LC</v>
          </cell>
          <cell r="F1096" t="str">
            <v>Telfer, 2016</v>
          </cell>
          <cell r="G1096" t="str">
            <v>NBNSYS0000007459</v>
          </cell>
          <cell r="H1096" t="str">
            <v>Lebia chlorocephala</v>
          </cell>
        </row>
        <row r="1097">
          <cell r="A1097" t="str">
            <v>Lebia cruxminor</v>
          </cell>
          <cell r="B1097" t="str">
            <v>Ground beetles</v>
          </cell>
          <cell r="C1097" t="str">
            <v>Coleoptera</v>
          </cell>
          <cell r="D1097" t="str">
            <v>Lebia cruxminor</v>
          </cell>
          <cell r="E1097" t="str">
            <v>EN</v>
          </cell>
          <cell r="F1097" t="str">
            <v>Telfer, 2016</v>
          </cell>
          <cell r="G1097" t="str">
            <v>NBNSYS0000007460</v>
          </cell>
          <cell r="H1097" t="str">
            <v>Lebia cruxminor</v>
          </cell>
        </row>
        <row r="1098">
          <cell r="A1098" t="str">
            <v>Lebia cyanocephala</v>
          </cell>
          <cell r="B1098" t="str">
            <v>Ground beetles</v>
          </cell>
          <cell r="C1098" t="str">
            <v>Coleoptera</v>
          </cell>
          <cell r="D1098" t="str">
            <v>Lebia cyanocephala</v>
          </cell>
          <cell r="E1098" t="str">
            <v>EN</v>
          </cell>
          <cell r="F1098" t="str">
            <v>Telfer, 2016</v>
          </cell>
          <cell r="G1098" t="str">
            <v>NBNSYS0000007461</v>
          </cell>
          <cell r="H1098" t="str">
            <v>Lebia cyanocephala</v>
          </cell>
        </row>
        <row r="1099">
          <cell r="A1099" t="str">
            <v>Lebia marginata</v>
          </cell>
          <cell r="B1099" t="str">
            <v>Ground beetles</v>
          </cell>
          <cell r="C1099" t="str">
            <v>Coleoptera</v>
          </cell>
          <cell r="D1099" t="str">
            <v>Lebia marginata</v>
          </cell>
          <cell r="E1099" t="str">
            <v>RE</v>
          </cell>
          <cell r="F1099" t="str">
            <v>Telfer, 2016</v>
          </cell>
          <cell r="G1099" t="str">
            <v>NBNSYS0000007462</v>
          </cell>
          <cell r="H1099" t="str">
            <v>Lebia marginata</v>
          </cell>
        </row>
        <row r="1100">
          <cell r="A1100" t="str">
            <v>Lebia scapularis</v>
          </cell>
          <cell r="B1100" t="str">
            <v>Ground beetles</v>
          </cell>
          <cell r="C1100" t="str">
            <v>Coleoptera</v>
          </cell>
          <cell r="D1100" t="str">
            <v>Lebia scapularis</v>
          </cell>
          <cell r="E1100" t="str">
            <v>RE</v>
          </cell>
          <cell r="F1100" t="str">
            <v>Telfer, 2016</v>
          </cell>
          <cell r="G1100" t="str">
            <v>NBNSYS0000007463</v>
          </cell>
          <cell r="H1100" t="str">
            <v>Lebia scapularis</v>
          </cell>
        </row>
        <row r="1101">
          <cell r="A1101" t="str">
            <v>Leistus ferrugineus</v>
          </cell>
          <cell r="B1101" t="str">
            <v>Ground beetles</v>
          </cell>
          <cell r="C1101" t="str">
            <v>Coleoptera</v>
          </cell>
          <cell r="D1101" t="str">
            <v>Leistus ferrugineus</v>
          </cell>
          <cell r="E1101" t="str">
            <v>LC</v>
          </cell>
          <cell r="F1101" t="str">
            <v>Telfer, 2016</v>
          </cell>
          <cell r="G1101" t="str">
            <v>NBNSYS0000007145</v>
          </cell>
          <cell r="H1101" t="str">
            <v>Leistus ferrugineus</v>
          </cell>
        </row>
        <row r="1102">
          <cell r="A1102" t="str">
            <v>Leistus fulvibarbis</v>
          </cell>
          <cell r="B1102" t="str">
            <v>Ground beetles</v>
          </cell>
          <cell r="C1102" t="str">
            <v>Coleoptera</v>
          </cell>
          <cell r="D1102" t="str">
            <v>Leistus fulvibarbis</v>
          </cell>
          <cell r="E1102" t="str">
            <v>LC</v>
          </cell>
          <cell r="F1102" t="str">
            <v>Telfer, 2016</v>
          </cell>
          <cell r="G1102" t="str">
            <v>NBNSYS0000007146</v>
          </cell>
          <cell r="H1102" t="str">
            <v>Leistus fulvibarbis</v>
          </cell>
        </row>
        <row r="1103">
          <cell r="A1103" t="str">
            <v>Leistus montanus</v>
          </cell>
          <cell r="B1103" t="str">
            <v>Ground beetles</v>
          </cell>
          <cell r="C1103" t="str">
            <v>Coleoptera</v>
          </cell>
          <cell r="D1103" t="str">
            <v>Leistus montanus</v>
          </cell>
          <cell r="E1103" t="str">
            <v>EN</v>
          </cell>
          <cell r="F1103" t="str">
            <v>Telfer, 2016</v>
          </cell>
          <cell r="G1103" t="str">
            <v>NBNSYS0000007147</v>
          </cell>
          <cell r="H1103" t="str">
            <v>Leistus montanus</v>
          </cell>
        </row>
        <row r="1104">
          <cell r="A1104" t="str">
            <v>Leistus rufomarginatus</v>
          </cell>
          <cell r="B1104" t="str">
            <v>Ground beetles</v>
          </cell>
          <cell r="C1104" t="str">
            <v>Coleoptera</v>
          </cell>
          <cell r="D1104" t="str">
            <v>Leistus rufomarginatus</v>
          </cell>
          <cell r="E1104" t="str">
            <v>LC</v>
          </cell>
          <cell r="F1104" t="str">
            <v>Telfer, 2016</v>
          </cell>
          <cell r="G1104" t="str">
            <v>NBNSYS0000007149</v>
          </cell>
          <cell r="H1104" t="str">
            <v>Leistus rufomarginatus</v>
          </cell>
        </row>
        <row r="1105">
          <cell r="A1105" t="str">
            <v>Leistus spinibarbis</v>
          </cell>
          <cell r="B1105" t="str">
            <v>Ground beetles</v>
          </cell>
          <cell r="C1105" t="str">
            <v>Coleoptera</v>
          </cell>
          <cell r="D1105" t="str">
            <v>Leistus spinibarbis</v>
          </cell>
          <cell r="E1105" t="str">
            <v>LC</v>
          </cell>
          <cell r="F1105" t="str">
            <v>Telfer, 2016</v>
          </cell>
          <cell r="G1105" t="str">
            <v>NHMSYS0020109261</v>
          </cell>
          <cell r="H1105" t="str">
            <v>Leistus spinibarbis</v>
          </cell>
        </row>
        <row r="1106">
          <cell r="A1106" t="str">
            <v>Leistus terminatus</v>
          </cell>
          <cell r="B1106" t="str">
            <v>Ground beetles</v>
          </cell>
          <cell r="C1106" t="str">
            <v>Coleoptera</v>
          </cell>
          <cell r="D1106" t="str">
            <v>Leistus terminatus</v>
          </cell>
          <cell r="E1106" t="str">
            <v>LC</v>
          </cell>
          <cell r="F1106" t="str">
            <v>Telfer, 2016</v>
          </cell>
          <cell r="G1106" t="str">
            <v>NBNSYS0000150114</v>
          </cell>
          <cell r="H1106" t="str">
            <v>Leistus terminatus</v>
          </cell>
        </row>
        <row r="1107">
          <cell r="A1107" t="str">
            <v>Licinus depressus</v>
          </cell>
          <cell r="B1107" t="str">
            <v>Ground beetles</v>
          </cell>
          <cell r="C1107" t="str">
            <v>Coleoptera</v>
          </cell>
          <cell r="D1107" t="str">
            <v>Licinus depressus</v>
          </cell>
          <cell r="E1107" t="str">
            <v>LC</v>
          </cell>
          <cell r="F1107" t="str">
            <v>Telfer, 2016</v>
          </cell>
          <cell r="G1107" t="str">
            <v>NBNSYS0000007440</v>
          </cell>
          <cell r="H1107" t="str">
            <v>Licinus depressus</v>
          </cell>
        </row>
        <row r="1108">
          <cell r="A1108" t="str">
            <v>Licinus punctatulus</v>
          </cell>
          <cell r="B1108" t="str">
            <v>Ground beetles</v>
          </cell>
          <cell r="C1108" t="str">
            <v>Coleoptera</v>
          </cell>
          <cell r="D1108" t="str">
            <v>Licinus punctatulus</v>
          </cell>
          <cell r="E1108" t="str">
            <v>LC</v>
          </cell>
          <cell r="F1108" t="str">
            <v>Telfer, 2016</v>
          </cell>
          <cell r="G1108" t="str">
            <v>NHMSYS0001718827</v>
          </cell>
          <cell r="H1108" t="str">
            <v>Licinus punctatulus</v>
          </cell>
        </row>
        <row r="1109">
          <cell r="A1109" t="str">
            <v>Lionychus quadrillum</v>
          </cell>
          <cell r="B1109" t="str">
            <v>Ground beetles</v>
          </cell>
          <cell r="C1109" t="str">
            <v>Coleoptera</v>
          </cell>
          <cell r="D1109" t="str">
            <v>Lionychus quadrillum</v>
          </cell>
          <cell r="E1109" t="str">
            <v>NT</v>
          </cell>
          <cell r="F1109" t="str">
            <v>Telfer, 2016</v>
          </cell>
          <cell r="G1109" t="str">
            <v>NBNSYS0000007483</v>
          </cell>
          <cell r="H1109" t="str">
            <v>Lionychus quadrillum</v>
          </cell>
        </row>
        <row r="1110">
          <cell r="A1110" t="str">
            <v>Loricera pilicornis</v>
          </cell>
          <cell r="B1110" t="str">
            <v>Ground beetles</v>
          </cell>
          <cell r="C1110" t="str">
            <v>Coleoptera</v>
          </cell>
          <cell r="D1110" t="str">
            <v>Loricera pilicornis</v>
          </cell>
          <cell r="E1110" t="str">
            <v>LC</v>
          </cell>
          <cell r="F1110" t="str">
            <v>Telfer, 2016</v>
          </cell>
          <cell r="G1110" t="str">
            <v>NHMSYS0001718877</v>
          </cell>
          <cell r="H1110" t="str">
            <v>Loricera pilicornis</v>
          </cell>
        </row>
        <row r="1111">
          <cell r="A1111" t="str">
            <v>Masoreus wetterhallii</v>
          </cell>
          <cell r="B1111" t="str">
            <v>Ground beetles</v>
          </cell>
          <cell r="C1111" t="str">
            <v>Coleoptera</v>
          </cell>
          <cell r="D1111" t="str">
            <v>Masoreus wetterhallii</v>
          </cell>
          <cell r="E1111" t="str">
            <v>LC</v>
          </cell>
          <cell r="F1111" t="str">
            <v>Telfer, 2016</v>
          </cell>
          <cell r="G1111" t="str">
            <v>NBNSYS0000151143</v>
          </cell>
          <cell r="H1111" t="str">
            <v>Masoreus wetterhallii</v>
          </cell>
        </row>
        <row r="1112">
          <cell r="A1112" t="str">
            <v>Microlestes maurus</v>
          </cell>
          <cell r="B1112" t="str">
            <v>Ground beetles</v>
          </cell>
          <cell r="C1112" t="str">
            <v>Coleoptera</v>
          </cell>
          <cell r="D1112" t="str">
            <v>Microlestes maurus</v>
          </cell>
          <cell r="E1112" t="str">
            <v>LC</v>
          </cell>
          <cell r="F1112" t="str">
            <v>Telfer, 2016</v>
          </cell>
          <cell r="G1112" t="str">
            <v>NBNSYS0000007478</v>
          </cell>
          <cell r="H1112" t="str">
            <v>Microlestes maurus</v>
          </cell>
        </row>
        <row r="1113">
          <cell r="A1113" t="str">
            <v>Microlestes minutulus</v>
          </cell>
          <cell r="B1113" t="str">
            <v>Ground beetles</v>
          </cell>
          <cell r="C1113" t="str">
            <v>Coleoptera</v>
          </cell>
          <cell r="D1113" t="str">
            <v>Microlestes minutulus</v>
          </cell>
          <cell r="E1113" t="str">
            <v>LC</v>
          </cell>
          <cell r="F1113" t="str">
            <v>Telfer, 2016</v>
          </cell>
          <cell r="G1113" t="str">
            <v>NBNSYS0000007479</v>
          </cell>
          <cell r="H1113" t="str">
            <v>Microlestes minutulus</v>
          </cell>
        </row>
        <row r="1114">
          <cell r="A1114" t="str">
            <v>Miscodera arctica</v>
          </cell>
          <cell r="B1114" t="str">
            <v>Ground beetles</v>
          </cell>
          <cell r="C1114" t="str">
            <v>Coleoptera</v>
          </cell>
          <cell r="D1114" t="str">
            <v>Miscodera arctica</v>
          </cell>
          <cell r="E1114" t="str">
            <v>LC</v>
          </cell>
          <cell r="F1114" t="str">
            <v>Telfer, 2016</v>
          </cell>
          <cell r="G1114" t="str">
            <v>NBNSYS0000007186</v>
          </cell>
          <cell r="H1114" t="str">
            <v>Miscodera arctica</v>
          </cell>
        </row>
        <row r="1115">
          <cell r="A1115" t="str">
            <v>Nebria brevicollis</v>
          </cell>
          <cell r="B1115" t="str">
            <v>Ground beetles</v>
          </cell>
          <cell r="C1115" t="str">
            <v>Coleoptera</v>
          </cell>
          <cell r="D1115" t="str">
            <v>Nebria brevicollis</v>
          </cell>
          <cell r="E1115" t="str">
            <v>LC</v>
          </cell>
          <cell r="F1115" t="str">
            <v>Telfer, 2016</v>
          </cell>
          <cell r="G1115" t="str">
            <v>NHMSYS0020109264</v>
          </cell>
          <cell r="H1115" t="str">
            <v>Nebria brevicollis</v>
          </cell>
        </row>
        <row r="1116">
          <cell r="A1116" t="str">
            <v>Nebria livida</v>
          </cell>
          <cell r="B1116" t="str">
            <v>Ground beetles</v>
          </cell>
          <cell r="C1116" t="str">
            <v>Coleoptera</v>
          </cell>
          <cell r="D1116" t="str">
            <v>Nebria livida</v>
          </cell>
          <cell r="E1116" t="str">
            <v>VU</v>
          </cell>
          <cell r="F1116" t="str">
            <v>Telfer, 2016</v>
          </cell>
          <cell r="G1116" t="str">
            <v>NBNSYS0000007155</v>
          </cell>
          <cell r="H1116" t="str">
            <v>Nebria livida</v>
          </cell>
        </row>
        <row r="1117">
          <cell r="A1117" t="str">
            <v>Nebria nivalis</v>
          </cell>
          <cell r="B1117" t="str">
            <v>Ground beetles</v>
          </cell>
          <cell r="C1117" t="str">
            <v>Coleoptera</v>
          </cell>
          <cell r="D1117" t="str">
            <v>Nebria nivalis</v>
          </cell>
          <cell r="E1117" t="str">
            <v>NT</v>
          </cell>
          <cell r="F1117" t="str">
            <v>Telfer, 2016</v>
          </cell>
          <cell r="G1117" t="str">
            <v>NBNSYS0000007156</v>
          </cell>
          <cell r="H1117" t="str">
            <v>Nebria nivalis</v>
          </cell>
        </row>
        <row r="1118">
          <cell r="A1118" t="str">
            <v>Nebria rufescens</v>
          </cell>
          <cell r="B1118" t="str">
            <v>Ground beetles</v>
          </cell>
          <cell r="C1118" t="str">
            <v>Coleoptera</v>
          </cell>
          <cell r="D1118" t="str">
            <v>Nebria rufescens</v>
          </cell>
          <cell r="E1118" t="str">
            <v>LC</v>
          </cell>
          <cell r="F1118" t="str">
            <v>Telfer, 2016</v>
          </cell>
          <cell r="G1118" t="str">
            <v>NHMSYS0021232987</v>
          </cell>
          <cell r="H1118" t="str">
            <v>Nebria rufescens</v>
          </cell>
        </row>
        <row r="1119">
          <cell r="A1119" t="str">
            <v>Nebria salina</v>
          </cell>
          <cell r="B1119" t="str">
            <v>Ground beetles</v>
          </cell>
          <cell r="C1119" t="str">
            <v>Coleoptera</v>
          </cell>
          <cell r="D1119" t="str">
            <v>Nebria salina</v>
          </cell>
          <cell r="E1119" t="str">
            <v>LC</v>
          </cell>
          <cell r="F1119" t="str">
            <v>Telfer, 2016</v>
          </cell>
          <cell r="G1119" t="str">
            <v>NBNSYS0000007157</v>
          </cell>
          <cell r="H1119" t="str">
            <v>Nebria salina</v>
          </cell>
        </row>
        <row r="1120">
          <cell r="A1120" t="str">
            <v>Notiophilus aesthuans</v>
          </cell>
          <cell r="B1120" t="str">
            <v>Ground beetles</v>
          </cell>
          <cell r="C1120" t="str">
            <v>Coleoptera</v>
          </cell>
          <cell r="D1120" t="str">
            <v>Notiophilus aesthuans</v>
          </cell>
          <cell r="E1120" t="str">
            <v>LC</v>
          </cell>
          <cell r="F1120" t="str">
            <v>Telfer, 2016</v>
          </cell>
          <cell r="G1120" t="str">
            <v>NHMSYS0021447257</v>
          </cell>
          <cell r="H1120" t="str">
            <v>Notiophilus aesthuans</v>
          </cell>
        </row>
        <row r="1121">
          <cell r="A1121" t="str">
            <v>Notiophilus aquaticus</v>
          </cell>
          <cell r="B1121" t="str">
            <v>Ground beetles</v>
          </cell>
          <cell r="C1121" t="str">
            <v>Coleoptera</v>
          </cell>
          <cell r="D1121" t="str">
            <v>Notiophilus aquaticus</v>
          </cell>
          <cell r="E1121" t="str">
            <v>LC</v>
          </cell>
          <cell r="F1121" t="str">
            <v>Telfer, 2016</v>
          </cell>
          <cell r="G1121" t="str">
            <v>NBNSYS0000007159</v>
          </cell>
          <cell r="H1121" t="str">
            <v>Notiophilus aquaticus</v>
          </cell>
        </row>
        <row r="1122">
          <cell r="A1122" t="str">
            <v>Notiophilus biguttatus</v>
          </cell>
          <cell r="B1122" t="str">
            <v>Ground beetles</v>
          </cell>
          <cell r="C1122" t="str">
            <v>Coleoptera</v>
          </cell>
          <cell r="D1122" t="str">
            <v>Notiophilus biguttatus</v>
          </cell>
          <cell r="E1122" t="str">
            <v>LC</v>
          </cell>
          <cell r="F1122" t="str">
            <v>Telfer, 2016</v>
          </cell>
          <cell r="G1122" t="str">
            <v>NHMSYS0001719180</v>
          </cell>
          <cell r="H1122" t="str">
            <v>Notiophilus biguttatus</v>
          </cell>
        </row>
        <row r="1123">
          <cell r="A1123" t="str">
            <v>Notiophilus germinyi</v>
          </cell>
          <cell r="B1123" t="str">
            <v>Ground beetles</v>
          </cell>
          <cell r="C1123" t="str">
            <v>Coleoptera</v>
          </cell>
          <cell r="D1123" t="str">
            <v>Notiophilus germinyi</v>
          </cell>
          <cell r="E1123" t="str">
            <v>LC</v>
          </cell>
          <cell r="F1123" t="str">
            <v>Telfer, 2016</v>
          </cell>
          <cell r="G1123" t="str">
            <v>NBNSYS0000007161</v>
          </cell>
          <cell r="H1123" t="str">
            <v>Notiophilus germinyi</v>
          </cell>
        </row>
        <row r="1124">
          <cell r="A1124" t="str">
            <v>Notiophilus palustris</v>
          </cell>
          <cell r="B1124" t="str">
            <v>Ground beetles</v>
          </cell>
          <cell r="C1124" t="str">
            <v>Coleoptera</v>
          </cell>
          <cell r="D1124" t="str">
            <v>Notiophilus palustris</v>
          </cell>
          <cell r="E1124" t="str">
            <v>LC</v>
          </cell>
          <cell r="F1124" t="str">
            <v>Telfer, 2016</v>
          </cell>
          <cell r="G1124" t="str">
            <v>NBNSYS0000007162</v>
          </cell>
          <cell r="H1124" t="str">
            <v>Notiophilus palustris</v>
          </cell>
        </row>
        <row r="1125">
          <cell r="A1125" t="str">
            <v>Notiophilus quadripunctatus</v>
          </cell>
          <cell r="B1125" t="str">
            <v>Ground beetles</v>
          </cell>
          <cell r="C1125" t="str">
            <v>Coleoptera</v>
          </cell>
          <cell r="D1125" t="str">
            <v>Notiophilus quadripunctatus</v>
          </cell>
          <cell r="E1125" t="str">
            <v>LC</v>
          </cell>
          <cell r="F1125" t="str">
            <v>Telfer, 2016</v>
          </cell>
          <cell r="G1125" t="str">
            <v>NBNSYS0000007163</v>
          </cell>
          <cell r="H1125" t="str">
            <v>Notiophilus quadripunctatus</v>
          </cell>
        </row>
        <row r="1126">
          <cell r="A1126" t="str">
            <v>Notiophilus rufipes</v>
          </cell>
          <cell r="B1126" t="str">
            <v>Ground beetles</v>
          </cell>
          <cell r="C1126" t="str">
            <v>Coleoptera</v>
          </cell>
          <cell r="D1126" t="str">
            <v>Notiophilus rufipes</v>
          </cell>
          <cell r="E1126" t="str">
            <v>LC</v>
          </cell>
          <cell r="F1126" t="str">
            <v>Telfer, 2016</v>
          </cell>
          <cell r="G1126" t="str">
            <v>NBNSYS0000007164</v>
          </cell>
          <cell r="H1126" t="str">
            <v>Notiophilus rufipes</v>
          </cell>
        </row>
        <row r="1127">
          <cell r="A1127" t="str">
            <v>Notiophilus substriatus</v>
          </cell>
          <cell r="B1127" t="str">
            <v>Ground beetles</v>
          </cell>
          <cell r="C1127" t="str">
            <v>Coleoptera</v>
          </cell>
          <cell r="D1127" t="str">
            <v>Notiophilus substriatus</v>
          </cell>
          <cell r="E1127" t="str">
            <v>LC</v>
          </cell>
          <cell r="F1127" t="str">
            <v>Telfer, 2016</v>
          </cell>
          <cell r="G1127" t="str">
            <v>NHMSYS0001719186</v>
          </cell>
          <cell r="H1127" t="str">
            <v>Notiophilus substriatus</v>
          </cell>
        </row>
        <row r="1128">
          <cell r="A1128" t="str">
            <v>Ocys harpaloides</v>
          </cell>
          <cell r="B1128" t="str">
            <v>Ground beetles</v>
          </cell>
          <cell r="C1128" t="str">
            <v>Coleoptera</v>
          </cell>
          <cell r="D1128" t="str">
            <v>Ocys harpaloides</v>
          </cell>
          <cell r="E1128" t="str">
            <v>LC</v>
          </cell>
          <cell r="F1128" t="str">
            <v>Telfer, 2016</v>
          </cell>
          <cell r="G1128" t="str">
            <v>NHMSYS0021239548</v>
          </cell>
          <cell r="H1128" t="str">
            <v>Ocys harpaloides</v>
          </cell>
        </row>
        <row r="1129">
          <cell r="A1129" t="str">
            <v>Ocys quinquestriatus</v>
          </cell>
          <cell r="B1129" t="str">
            <v>Ground beetles</v>
          </cell>
          <cell r="C1129" t="str">
            <v>Coleoptera</v>
          </cell>
          <cell r="D1129" t="str">
            <v>Ocys quinquestriatus</v>
          </cell>
          <cell r="E1129" t="str">
            <v>LC</v>
          </cell>
          <cell r="F1129" t="str">
            <v>Telfer, 2016</v>
          </cell>
          <cell r="G1129" t="str">
            <v>NHMSYS0001719246</v>
          </cell>
          <cell r="H1129" t="str">
            <v>Ocys quinquestriatus</v>
          </cell>
        </row>
        <row r="1130">
          <cell r="A1130" t="str">
            <v>Odacantha melanura</v>
          </cell>
          <cell r="B1130" t="str">
            <v>Ground beetles</v>
          </cell>
          <cell r="C1130" t="str">
            <v>Coleoptera</v>
          </cell>
          <cell r="D1130" t="str">
            <v>Odacantha melanura</v>
          </cell>
          <cell r="E1130" t="str">
            <v>LC</v>
          </cell>
          <cell r="F1130" t="str">
            <v>Telfer, 2016</v>
          </cell>
          <cell r="G1130" t="str">
            <v>NBNSYS0000007457</v>
          </cell>
          <cell r="H1130" t="str">
            <v>Odacantha melanura</v>
          </cell>
        </row>
        <row r="1131">
          <cell r="A1131" t="str">
            <v>Olisthopus rotundatus</v>
          </cell>
          <cell r="B1131" t="str">
            <v>Ground beetles</v>
          </cell>
          <cell r="C1131" t="str">
            <v>Coleoptera</v>
          </cell>
          <cell r="D1131" t="str">
            <v>Olisthopus rotundatus</v>
          </cell>
          <cell r="E1131" t="str">
            <v>LC</v>
          </cell>
          <cell r="F1131" t="str">
            <v>Telfer, 2016</v>
          </cell>
          <cell r="G1131" t="str">
            <v>NBNSYS0000007318</v>
          </cell>
          <cell r="H1131" t="str">
            <v>Olisthopus rotundatus</v>
          </cell>
        </row>
        <row r="1132">
          <cell r="A1132" t="str">
            <v>Omophron limbatum</v>
          </cell>
          <cell r="B1132" t="str">
            <v>Ground beetles</v>
          </cell>
          <cell r="C1132" t="str">
            <v>Coleoptera</v>
          </cell>
          <cell r="D1132" t="str">
            <v>Omophron limbatum</v>
          </cell>
          <cell r="E1132" t="str">
            <v>LC</v>
          </cell>
          <cell r="F1132" t="str">
            <v>Telfer, 2016</v>
          </cell>
          <cell r="G1132" t="str">
            <v>NHMSYS0001719291</v>
          </cell>
          <cell r="H1132" t="str">
            <v>Omophron limbatum</v>
          </cell>
        </row>
        <row r="1133">
          <cell r="A1133" t="str">
            <v>Oodes helopioides</v>
          </cell>
          <cell r="B1133" t="str">
            <v>Ground beetles</v>
          </cell>
          <cell r="C1133" t="str">
            <v>Coleoptera</v>
          </cell>
          <cell r="D1133" t="str">
            <v>Oodes helopioides</v>
          </cell>
          <cell r="E1133" t="str">
            <v>LC</v>
          </cell>
          <cell r="F1133" t="str">
            <v>Telfer, 2016</v>
          </cell>
          <cell r="G1133" t="str">
            <v>NHMSYS0001719320</v>
          </cell>
          <cell r="H1133" t="str">
            <v>Oodes helopioides</v>
          </cell>
        </row>
        <row r="1134">
          <cell r="A1134" t="str">
            <v>Ophonus ardosiacus</v>
          </cell>
          <cell r="B1134" t="str">
            <v>Ground beetles</v>
          </cell>
          <cell r="C1134" t="str">
            <v>Coleoptera</v>
          </cell>
          <cell r="D1134" t="str">
            <v>Ophonus ardosiacus</v>
          </cell>
          <cell r="E1134" t="str">
            <v>LC</v>
          </cell>
          <cell r="F1134" t="str">
            <v>Telfer, 2016</v>
          </cell>
          <cell r="G1134" t="str">
            <v>NHMSYS0020920005</v>
          </cell>
          <cell r="H1134" t="str">
            <v>Ophonus ardosiacus</v>
          </cell>
        </row>
        <row r="1135">
          <cell r="A1135" t="str">
            <v>Ophonus azureus</v>
          </cell>
          <cell r="B1135" t="str">
            <v>Ground beetles</v>
          </cell>
          <cell r="C1135" t="str">
            <v>Coleoptera</v>
          </cell>
          <cell r="D1135" t="str">
            <v>Ophonus azureus</v>
          </cell>
          <cell r="E1135" t="str">
            <v>LC</v>
          </cell>
          <cell r="F1135" t="str">
            <v>Telfer, 2016</v>
          </cell>
          <cell r="G1135" t="str">
            <v>NBNSYS0000152763</v>
          </cell>
          <cell r="H1135" t="str">
            <v>Ophonus azureus</v>
          </cell>
        </row>
        <row r="1136">
          <cell r="A1136" t="str">
            <v>Ophonus cordatus</v>
          </cell>
          <cell r="B1136" t="str">
            <v>Ground beetles</v>
          </cell>
          <cell r="C1136" t="str">
            <v>Coleoptera</v>
          </cell>
          <cell r="D1136" t="str">
            <v>Ophonus cordatus</v>
          </cell>
          <cell r="E1136" t="str">
            <v>EN</v>
          </cell>
          <cell r="F1136" t="str">
            <v>Telfer, 2016</v>
          </cell>
          <cell r="G1136" t="str">
            <v>NBNSYS0000152767</v>
          </cell>
          <cell r="H1136" t="str">
            <v>Ophonus cordatus</v>
          </cell>
        </row>
        <row r="1137">
          <cell r="A1137" t="str">
            <v>Ophonus laticollis</v>
          </cell>
          <cell r="B1137" t="str">
            <v>Ground beetles</v>
          </cell>
          <cell r="C1137" t="str">
            <v>Coleoptera</v>
          </cell>
          <cell r="D1137" t="str">
            <v>Ophonus laticollis</v>
          </cell>
          <cell r="E1137" t="str">
            <v>NT</v>
          </cell>
          <cell r="F1137" t="str">
            <v>Telfer, 2016</v>
          </cell>
          <cell r="G1137" t="str">
            <v>NHMSYS0020193665</v>
          </cell>
          <cell r="H1137" t="str">
            <v>Ophonus laticollis</v>
          </cell>
        </row>
        <row r="1138">
          <cell r="A1138" t="str">
            <v>Ophonus melletii</v>
          </cell>
          <cell r="B1138" t="str">
            <v>Ground beetles</v>
          </cell>
          <cell r="C1138" t="str">
            <v>Coleoptera</v>
          </cell>
          <cell r="D1138" t="str">
            <v>Ophonus melletii</v>
          </cell>
          <cell r="E1138" t="str">
            <v>NT</v>
          </cell>
          <cell r="F1138" t="str">
            <v>Telfer, 2016</v>
          </cell>
          <cell r="G1138" t="str">
            <v>NHMSYS0020193666</v>
          </cell>
          <cell r="H1138" t="str">
            <v>Ophonus melletii</v>
          </cell>
        </row>
        <row r="1139">
          <cell r="A1139" t="str">
            <v>Ophonus parallelus</v>
          </cell>
          <cell r="B1139" t="str">
            <v>Ground beetles</v>
          </cell>
          <cell r="C1139" t="str">
            <v>Coleoptera</v>
          </cell>
          <cell r="D1139" t="str">
            <v>Ophonus parallelus</v>
          </cell>
          <cell r="E1139" t="str">
            <v>VU</v>
          </cell>
          <cell r="F1139" t="str">
            <v>Telfer, 2016</v>
          </cell>
          <cell r="G1139" t="str">
            <v>NHMSYS0020920001</v>
          </cell>
          <cell r="H1139" t="str">
            <v>Ophonus parallelus</v>
          </cell>
        </row>
        <row r="1140">
          <cell r="A1140" t="str">
            <v>Ophonus puncticeps</v>
          </cell>
          <cell r="B1140" t="str">
            <v>Ground beetles</v>
          </cell>
          <cell r="C1140" t="str">
            <v>Coleoptera</v>
          </cell>
          <cell r="D1140" t="str">
            <v>Ophonus puncticeps</v>
          </cell>
          <cell r="E1140" t="str">
            <v>LC</v>
          </cell>
          <cell r="F1140" t="str">
            <v>Telfer, 2016</v>
          </cell>
          <cell r="G1140" t="str">
            <v>NHMSYS0020920002</v>
          </cell>
          <cell r="H1140" t="str">
            <v>Ophonus puncticeps</v>
          </cell>
        </row>
        <row r="1141">
          <cell r="A1141" t="str">
            <v>Ophonus puncticollis</v>
          </cell>
          <cell r="B1141" t="str">
            <v>Ground beetles</v>
          </cell>
          <cell r="C1141" t="str">
            <v>Coleoptera</v>
          </cell>
          <cell r="D1141" t="str">
            <v>Ophonus puncticollis</v>
          </cell>
          <cell r="E1141" t="str">
            <v>EN</v>
          </cell>
          <cell r="F1141" t="str">
            <v>Telfer, 2016</v>
          </cell>
          <cell r="G1141" t="str">
            <v>NBNSYS0000152772</v>
          </cell>
          <cell r="H1141" t="str">
            <v>Ophonus puncticollis</v>
          </cell>
        </row>
        <row r="1142">
          <cell r="A1142" t="str">
            <v>Ophonus rufibarbis</v>
          </cell>
          <cell r="B1142" t="str">
            <v>Ground beetles</v>
          </cell>
          <cell r="C1142" t="str">
            <v>Coleoptera</v>
          </cell>
          <cell r="D1142" t="str">
            <v>Ophonus rufibarbis</v>
          </cell>
          <cell r="E1142" t="str">
            <v>LC</v>
          </cell>
          <cell r="F1142" t="str">
            <v>Telfer, 2016</v>
          </cell>
          <cell r="G1142" t="str">
            <v>NBNSYS0000152775</v>
          </cell>
          <cell r="H1142" t="str">
            <v>Ophonus rufibarbis</v>
          </cell>
        </row>
        <row r="1143">
          <cell r="A1143" t="str">
            <v>Ophonus rupicola</v>
          </cell>
          <cell r="B1143" t="str">
            <v>Ground beetles</v>
          </cell>
          <cell r="C1143" t="str">
            <v>Coleoptera</v>
          </cell>
          <cell r="D1143" t="str">
            <v>Ophonus rupicola</v>
          </cell>
          <cell r="E1143" t="str">
            <v>LC</v>
          </cell>
          <cell r="F1143" t="str">
            <v>Telfer, 2016</v>
          </cell>
          <cell r="G1143" t="str">
            <v>NBNSYS0000152776</v>
          </cell>
          <cell r="H1143" t="str">
            <v>Ophonus rupicola</v>
          </cell>
        </row>
        <row r="1144">
          <cell r="A1144" t="str">
            <v>Ophonus sabulicola</v>
          </cell>
          <cell r="B1144" t="str">
            <v>Ground beetles</v>
          </cell>
          <cell r="C1144" t="str">
            <v>Coleoptera</v>
          </cell>
          <cell r="D1144" t="str">
            <v>Ophonus sabulicola</v>
          </cell>
          <cell r="E1144" t="str">
            <v>EN</v>
          </cell>
          <cell r="F1144" t="str">
            <v>Telfer, 2016</v>
          </cell>
          <cell r="G1144" t="str">
            <v>NBNSYS0000152778</v>
          </cell>
          <cell r="H1144" t="str">
            <v>Ophonus sabulicola</v>
          </cell>
        </row>
        <row r="1145">
          <cell r="A1145" t="str">
            <v>Ophonus schaubergerianus</v>
          </cell>
          <cell r="B1145" t="str">
            <v>Ground beetles</v>
          </cell>
          <cell r="C1145" t="str">
            <v>Coleoptera</v>
          </cell>
          <cell r="D1145" t="str">
            <v>Ophonus schaubergerianus</v>
          </cell>
          <cell r="E1145" t="str">
            <v>LC</v>
          </cell>
          <cell r="F1145" t="str">
            <v>Telfer, 2016</v>
          </cell>
          <cell r="G1145" t="str">
            <v>NHMSYS0020920003</v>
          </cell>
          <cell r="H1145" t="str">
            <v>Ophonus schaubergerianus</v>
          </cell>
        </row>
        <row r="1146">
          <cell r="A1146" t="str">
            <v>Ophonus stictus</v>
          </cell>
          <cell r="B1146" t="str">
            <v>Ground beetles</v>
          </cell>
          <cell r="C1146" t="str">
            <v>Coleoptera</v>
          </cell>
          <cell r="D1146" t="str">
            <v>Ophonus stictus</v>
          </cell>
          <cell r="E1146" t="str">
            <v>EN</v>
          </cell>
          <cell r="F1146" t="str">
            <v>Telfer, 2016</v>
          </cell>
          <cell r="G1146" t="str">
            <v>NHMSYS0020193667</v>
          </cell>
          <cell r="H1146" t="str">
            <v>Ophonus stictus</v>
          </cell>
        </row>
        <row r="1147">
          <cell r="A1147" t="str">
            <v>Ophonus subsinuatus</v>
          </cell>
          <cell r="B1147" t="str">
            <v>Ground beetles</v>
          </cell>
          <cell r="C1147" t="str">
            <v>Coleoptera</v>
          </cell>
          <cell r="D1147" t="str">
            <v>Ophonus subsinuatus</v>
          </cell>
          <cell r="E1147" t="str">
            <v>CR(PE)</v>
          </cell>
          <cell r="F1147" t="str">
            <v>Telfer, 2016</v>
          </cell>
          <cell r="G1147" t="str">
            <v>NHMSYS0020920004</v>
          </cell>
          <cell r="H1147" t="str">
            <v>Ophonus subsinuatus</v>
          </cell>
        </row>
        <row r="1148">
          <cell r="A1148" t="str">
            <v>Oxypselaphus obscurus</v>
          </cell>
          <cell r="B1148" t="str">
            <v>Ground beetles</v>
          </cell>
          <cell r="C1148" t="str">
            <v>Coleoptera</v>
          </cell>
          <cell r="D1148" t="str">
            <v>Oxypselaphus obscurus</v>
          </cell>
          <cell r="E1148" t="str">
            <v>LC</v>
          </cell>
          <cell r="F1148" t="str">
            <v>Telfer, 2016</v>
          </cell>
          <cell r="G1148" t="str">
            <v>NHMSYS0001719419</v>
          </cell>
          <cell r="H1148" t="str">
            <v>Oxypselaphus obscurus</v>
          </cell>
        </row>
        <row r="1149">
          <cell r="A1149" t="str">
            <v>Panagaeus bipustulatus</v>
          </cell>
          <cell r="B1149" t="str">
            <v>Ground beetles</v>
          </cell>
          <cell r="C1149" t="str">
            <v>Coleoptera</v>
          </cell>
          <cell r="D1149" t="str">
            <v>Panagaeus bipustulatus</v>
          </cell>
          <cell r="E1149" t="str">
            <v>LC</v>
          </cell>
          <cell r="F1149" t="str">
            <v>Telfer, 2016</v>
          </cell>
          <cell r="G1149" t="str">
            <v>NHMSYS0001719442</v>
          </cell>
          <cell r="H1149" t="str">
            <v>Panagaeus bipustulatus</v>
          </cell>
        </row>
        <row r="1150">
          <cell r="A1150" t="str">
            <v>Panagaeus cruxmajor</v>
          </cell>
          <cell r="B1150" t="str">
            <v>Ground beetles</v>
          </cell>
          <cell r="C1150" t="str">
            <v>Coleoptera</v>
          </cell>
          <cell r="D1150" t="str">
            <v>Panagaeus cruxmajor</v>
          </cell>
          <cell r="E1150" t="str">
            <v>VU</v>
          </cell>
          <cell r="F1150" t="str">
            <v>Telfer, 2016</v>
          </cell>
          <cell r="G1150" t="str">
            <v>NBNSYS0000007450</v>
          </cell>
          <cell r="H1150" t="str">
            <v>Panagaeus cruxmajor</v>
          </cell>
        </row>
        <row r="1151">
          <cell r="A1151" t="str">
            <v>Paradromius linearis</v>
          </cell>
          <cell r="B1151" t="str">
            <v>Ground beetles</v>
          </cell>
          <cell r="C1151" t="str">
            <v>Coleoptera</v>
          </cell>
          <cell r="D1151" t="str">
            <v>Paradromius linearis</v>
          </cell>
          <cell r="E1151" t="str">
            <v>LC</v>
          </cell>
          <cell r="F1151" t="str">
            <v>Telfer, 2016</v>
          </cell>
          <cell r="G1151" t="str">
            <v>NHMSYS0001719453</v>
          </cell>
          <cell r="H1151" t="str">
            <v>Paradromius linearis</v>
          </cell>
        </row>
        <row r="1152">
          <cell r="A1152" t="str">
            <v>Paradromius longiceps</v>
          </cell>
          <cell r="B1152" t="str">
            <v>Ground beetles</v>
          </cell>
          <cell r="C1152" t="str">
            <v>Coleoptera</v>
          </cell>
          <cell r="D1152" t="str">
            <v>Paradromius longiceps</v>
          </cell>
          <cell r="E1152" t="str">
            <v>LC</v>
          </cell>
          <cell r="F1152" t="str">
            <v>Telfer, 2016</v>
          </cell>
          <cell r="G1152" t="str">
            <v>NHMSYS0001719454</v>
          </cell>
          <cell r="H1152" t="str">
            <v>Paradromius longiceps</v>
          </cell>
        </row>
        <row r="1153">
          <cell r="A1153" t="str">
            <v>Paranchus albipes</v>
          </cell>
          <cell r="B1153" t="str">
            <v>Ground beetles</v>
          </cell>
          <cell r="C1153" t="str">
            <v>Coleoptera</v>
          </cell>
          <cell r="D1153" t="str">
            <v>Paranchus albipes</v>
          </cell>
          <cell r="E1153" t="str">
            <v>LC</v>
          </cell>
          <cell r="F1153" t="str">
            <v>Telfer, 2016</v>
          </cell>
          <cell r="G1153" t="str">
            <v>NHMSYS0001719462</v>
          </cell>
          <cell r="H1153" t="str">
            <v>Paranchus albipes</v>
          </cell>
        </row>
        <row r="1154">
          <cell r="A1154" t="str">
            <v>Patrobus assimilis</v>
          </cell>
          <cell r="B1154" t="str">
            <v>Ground beetles</v>
          </cell>
          <cell r="C1154" t="str">
            <v>Coleoptera</v>
          </cell>
          <cell r="D1154" t="str">
            <v>Patrobus assimilis</v>
          </cell>
          <cell r="E1154" t="str">
            <v>LC</v>
          </cell>
          <cell r="F1154" t="str">
            <v>Telfer, 2016</v>
          </cell>
          <cell r="G1154" t="str">
            <v>NBNSYS0000007187</v>
          </cell>
          <cell r="H1154" t="str">
            <v>Patrobus assimilis</v>
          </cell>
        </row>
        <row r="1155">
          <cell r="A1155" t="str">
            <v>Patrobus atrorufus</v>
          </cell>
          <cell r="B1155" t="str">
            <v>Ground beetles</v>
          </cell>
          <cell r="C1155" t="str">
            <v>Coleoptera</v>
          </cell>
          <cell r="D1155" t="str">
            <v>Patrobus atrorufus</v>
          </cell>
          <cell r="E1155" t="str">
            <v>LC</v>
          </cell>
          <cell r="F1155" t="str">
            <v>Telfer, 2016</v>
          </cell>
          <cell r="G1155" t="str">
            <v>NHMSYS0001719480</v>
          </cell>
          <cell r="H1155" t="str">
            <v>Patrobus atrorufus</v>
          </cell>
        </row>
        <row r="1156">
          <cell r="A1156" t="str">
            <v>Patrobus septentrionis</v>
          </cell>
          <cell r="B1156" t="str">
            <v>Ground beetles</v>
          </cell>
          <cell r="C1156" t="str">
            <v>Coleoptera</v>
          </cell>
          <cell r="D1156" t="str">
            <v>Patrobus septentrionis</v>
          </cell>
          <cell r="E1156" t="str">
            <v>LC</v>
          </cell>
          <cell r="F1156" t="str">
            <v>Telfer, 2016</v>
          </cell>
          <cell r="G1156" t="str">
            <v>NBNSYS0000007189</v>
          </cell>
          <cell r="H1156" t="str">
            <v>Patrobus septentrionis</v>
          </cell>
        </row>
        <row r="1157">
          <cell r="A1157" t="str">
            <v>Perileptus areolatus</v>
          </cell>
          <cell r="B1157" t="str">
            <v>Ground beetles</v>
          </cell>
          <cell r="C1157" t="str">
            <v>Coleoptera</v>
          </cell>
          <cell r="D1157" t="str">
            <v>Perileptus areolatus</v>
          </cell>
          <cell r="E1157" t="str">
            <v>LC</v>
          </cell>
          <cell r="F1157" t="str">
            <v>Telfer, 2016</v>
          </cell>
          <cell r="G1157" t="str">
            <v>NBNSYS0000007190</v>
          </cell>
          <cell r="H1157" t="str">
            <v>Perileptus areolatus</v>
          </cell>
        </row>
        <row r="1158">
          <cell r="A1158" t="str">
            <v>Philorhizus melanocephalus</v>
          </cell>
          <cell r="B1158" t="str">
            <v>Ground beetles</v>
          </cell>
          <cell r="C1158" t="str">
            <v>Coleoptera</v>
          </cell>
          <cell r="D1158" t="str">
            <v>Philorhizus melanocephalus</v>
          </cell>
          <cell r="E1158" t="str">
            <v>LC</v>
          </cell>
          <cell r="F1158" t="str">
            <v>Telfer, 2016</v>
          </cell>
          <cell r="G1158" t="str">
            <v>NHMSYS0001719551</v>
          </cell>
          <cell r="H1158" t="str">
            <v>Philorhizus melanocephalus</v>
          </cell>
        </row>
        <row r="1159">
          <cell r="A1159" t="str">
            <v>Philorhizus notatus</v>
          </cell>
          <cell r="B1159" t="str">
            <v>Ground beetles</v>
          </cell>
          <cell r="C1159" t="str">
            <v>Coleoptera</v>
          </cell>
          <cell r="D1159" t="str">
            <v>Philorhizus notatus</v>
          </cell>
          <cell r="E1159" t="str">
            <v>LC</v>
          </cell>
          <cell r="F1159" t="str">
            <v>Telfer, 2016</v>
          </cell>
          <cell r="G1159" t="str">
            <v>NHMSYS0001719553</v>
          </cell>
          <cell r="H1159" t="str">
            <v>Philorhizus notatus</v>
          </cell>
        </row>
        <row r="1160">
          <cell r="A1160" t="str">
            <v>Philorhizus quadrisignatus</v>
          </cell>
          <cell r="B1160" t="str">
            <v>Ground beetles</v>
          </cell>
          <cell r="C1160" t="str">
            <v>Coleoptera</v>
          </cell>
          <cell r="D1160" t="str">
            <v>Philorhizus quadrisignatus</v>
          </cell>
          <cell r="E1160" t="str">
            <v>NT</v>
          </cell>
          <cell r="F1160" t="str">
            <v>Telfer, 2016</v>
          </cell>
          <cell r="G1160" t="str">
            <v>NHMSYS0001719554</v>
          </cell>
          <cell r="H1160" t="str">
            <v>Philorhizus quadrisignatus</v>
          </cell>
        </row>
        <row r="1161">
          <cell r="A1161" t="str">
            <v>Philorhizus sigma</v>
          </cell>
          <cell r="B1161" t="str">
            <v>Ground beetles</v>
          </cell>
          <cell r="C1161" t="str">
            <v>Coleoptera</v>
          </cell>
          <cell r="D1161" t="str">
            <v>Philorhizus sigma</v>
          </cell>
          <cell r="E1161" t="str">
            <v>EN</v>
          </cell>
          <cell r="F1161" t="str">
            <v>Telfer, 2016</v>
          </cell>
          <cell r="G1161" t="str">
            <v>NHMSYS0001719555</v>
          </cell>
          <cell r="H1161" t="str">
            <v>Philorhizus sigma</v>
          </cell>
        </row>
        <row r="1162">
          <cell r="A1162" t="str">
            <v>Philorhizus vectensis</v>
          </cell>
          <cell r="B1162" t="str">
            <v>Ground beetles</v>
          </cell>
          <cell r="C1162" t="str">
            <v>Coleoptera</v>
          </cell>
          <cell r="D1162" t="str">
            <v>Philorhizus vectensis</v>
          </cell>
          <cell r="E1162" t="str">
            <v>NT</v>
          </cell>
          <cell r="F1162" t="str">
            <v>Telfer, 2016</v>
          </cell>
          <cell r="G1162" t="str">
            <v>NHMSYS0001719556</v>
          </cell>
          <cell r="H1162" t="str">
            <v>Philorhizus vectensis</v>
          </cell>
        </row>
        <row r="1163">
          <cell r="A1163" t="str">
            <v>Platyderus depressus</v>
          </cell>
          <cell r="B1163" t="str">
            <v>Ground beetles</v>
          </cell>
          <cell r="C1163" t="str">
            <v>Coleoptera</v>
          </cell>
          <cell r="D1163" t="str">
            <v>Platyderus depressus</v>
          </cell>
          <cell r="E1163" t="str">
            <v>LC</v>
          </cell>
          <cell r="F1163" t="str">
            <v>Telfer, 2016</v>
          </cell>
          <cell r="G1163" t="str">
            <v>NHMSYS0001719619</v>
          </cell>
          <cell r="H1163" t="str">
            <v>Platyderus depressus</v>
          </cell>
        </row>
        <row r="1164">
          <cell r="A1164" t="str">
            <v>Platynus assimilis</v>
          </cell>
          <cell r="B1164" t="str">
            <v>Ground beetles</v>
          </cell>
          <cell r="C1164" t="str">
            <v>Coleoptera</v>
          </cell>
          <cell r="D1164" t="str">
            <v>Platynus assimilis</v>
          </cell>
          <cell r="E1164" t="str">
            <v>LC</v>
          </cell>
          <cell r="F1164" t="str">
            <v>Telfer, 2016</v>
          </cell>
          <cell r="G1164" t="str">
            <v>NHMSYS0021366824</v>
          </cell>
          <cell r="H1164" t="str">
            <v>Platynus assimilis</v>
          </cell>
        </row>
        <row r="1165">
          <cell r="A1165" t="str">
            <v>Poecilus cupreus</v>
          </cell>
          <cell r="B1165" t="str">
            <v>Ground beetles</v>
          </cell>
          <cell r="C1165" t="str">
            <v>Coleoptera</v>
          </cell>
          <cell r="D1165" t="str">
            <v>Poecilus cupreus</v>
          </cell>
          <cell r="E1165" t="str">
            <v>LC</v>
          </cell>
          <cell r="F1165" t="str">
            <v>Telfer, 2016</v>
          </cell>
          <cell r="G1165" t="str">
            <v>NHMSYS0001719652</v>
          </cell>
          <cell r="H1165" t="str">
            <v>Poecilus cupreus</v>
          </cell>
        </row>
        <row r="1166">
          <cell r="A1166" t="str">
            <v>Poecilus kugelanni</v>
          </cell>
          <cell r="B1166" t="str">
            <v>Ground beetles</v>
          </cell>
          <cell r="C1166" t="str">
            <v>Coleoptera</v>
          </cell>
          <cell r="D1166" t="str">
            <v>Poecilus kugelanni</v>
          </cell>
          <cell r="E1166" t="str">
            <v>NT</v>
          </cell>
          <cell r="F1166" t="str">
            <v>Telfer, 2016</v>
          </cell>
          <cell r="G1166" t="str">
            <v>NHMSYS0001719655</v>
          </cell>
          <cell r="H1166" t="str">
            <v>Poecilus kugelanni</v>
          </cell>
        </row>
        <row r="1167">
          <cell r="A1167" t="str">
            <v>Poecilus lepidus</v>
          </cell>
          <cell r="B1167" t="str">
            <v>Ground beetles</v>
          </cell>
          <cell r="C1167" t="str">
            <v>Coleoptera</v>
          </cell>
          <cell r="D1167" t="str">
            <v>Poecilus lepidus</v>
          </cell>
          <cell r="E1167" t="str">
            <v>LC</v>
          </cell>
          <cell r="F1167" t="str">
            <v>Telfer, 2016</v>
          </cell>
          <cell r="G1167" t="str">
            <v>NHMSYS0001719656</v>
          </cell>
          <cell r="H1167" t="str">
            <v>Poecilus lepidus</v>
          </cell>
        </row>
        <row r="1168">
          <cell r="A1168" t="str">
            <v>Poecilus versicolor</v>
          </cell>
          <cell r="B1168" t="str">
            <v>Ground beetles</v>
          </cell>
          <cell r="C1168" t="str">
            <v>Coleoptera</v>
          </cell>
          <cell r="D1168" t="str">
            <v>Poecilus versicolor</v>
          </cell>
          <cell r="E1168" t="str">
            <v>LC</v>
          </cell>
          <cell r="F1168" t="str">
            <v>Telfer, 2016</v>
          </cell>
          <cell r="G1168" t="str">
            <v>NHMSYS0001719657</v>
          </cell>
          <cell r="H1168" t="str">
            <v>Poecilus versicolor</v>
          </cell>
        </row>
        <row r="1169">
          <cell r="A1169" t="str">
            <v>Pogonus chalceus</v>
          </cell>
          <cell r="B1169" t="str">
            <v>Ground beetles</v>
          </cell>
          <cell r="C1169" t="str">
            <v>Coleoptera</v>
          </cell>
          <cell r="D1169" t="str">
            <v>Pogonus chalceus</v>
          </cell>
          <cell r="E1169" t="str">
            <v>LC</v>
          </cell>
          <cell r="F1169" t="str">
            <v>Telfer, 2016</v>
          </cell>
          <cell r="G1169" t="str">
            <v>NBNSYS0000007274</v>
          </cell>
          <cell r="H1169" t="str">
            <v>Pogonus chalceus</v>
          </cell>
        </row>
        <row r="1170">
          <cell r="A1170" t="str">
            <v>Pogonus littoralis</v>
          </cell>
          <cell r="B1170" t="str">
            <v>Ground beetles</v>
          </cell>
          <cell r="C1170" t="str">
            <v>Coleoptera</v>
          </cell>
          <cell r="D1170" t="str">
            <v>Pogonus littoralis</v>
          </cell>
          <cell r="E1170" t="str">
            <v>LC</v>
          </cell>
          <cell r="F1170" t="str">
            <v>Telfer, 2016</v>
          </cell>
          <cell r="G1170" t="str">
            <v>NBNSYS0000007275</v>
          </cell>
          <cell r="H1170" t="str">
            <v>Pogonus littoralis</v>
          </cell>
        </row>
        <row r="1171">
          <cell r="A1171" t="str">
            <v>Pogonus luridipennis</v>
          </cell>
          <cell r="B1171" t="str">
            <v>Ground beetles</v>
          </cell>
          <cell r="C1171" t="str">
            <v>Coleoptera</v>
          </cell>
          <cell r="D1171" t="str">
            <v>Pogonus luridipennis</v>
          </cell>
          <cell r="E1171" t="str">
            <v>VU</v>
          </cell>
          <cell r="F1171" t="str">
            <v>Telfer, 2016</v>
          </cell>
          <cell r="G1171" t="str">
            <v>NBNSYS0000007276</v>
          </cell>
          <cell r="H1171" t="str">
            <v>Pogonus luridipennis</v>
          </cell>
        </row>
        <row r="1172">
          <cell r="A1172" t="str">
            <v>Polistichus connexus</v>
          </cell>
          <cell r="B1172" t="str">
            <v>Ground beetles</v>
          </cell>
          <cell r="C1172" t="str">
            <v>Coleoptera</v>
          </cell>
          <cell r="D1172" t="str">
            <v>Polistichus connexus</v>
          </cell>
          <cell r="E1172" t="str">
            <v>NT</v>
          </cell>
          <cell r="F1172" t="str">
            <v>Telfer, 2016</v>
          </cell>
          <cell r="G1172" t="str">
            <v>NHMSYS0001719662</v>
          </cell>
          <cell r="H1172" t="str">
            <v>Polistichus connexus</v>
          </cell>
        </row>
        <row r="1173">
          <cell r="A1173" t="str">
            <v>Pterostichus adstrictus</v>
          </cell>
          <cell r="B1173" t="str">
            <v>Ground beetles</v>
          </cell>
          <cell r="C1173" t="str">
            <v>Coleoptera</v>
          </cell>
          <cell r="D1173" t="str">
            <v>Pterostichus adstrictus</v>
          </cell>
          <cell r="E1173" t="str">
            <v>LC</v>
          </cell>
          <cell r="F1173" t="str">
            <v>Telfer, 2016</v>
          </cell>
          <cell r="G1173" t="str">
            <v>NBNSYS0000007278</v>
          </cell>
          <cell r="H1173" t="str">
            <v>Pterostichus adstrictus</v>
          </cell>
        </row>
        <row r="1174">
          <cell r="A1174" t="str">
            <v>Pterostichus aethiops</v>
          </cell>
          <cell r="B1174" t="str">
            <v>Ground beetles</v>
          </cell>
          <cell r="C1174" t="str">
            <v>Coleoptera</v>
          </cell>
          <cell r="D1174" t="str">
            <v>Pterostichus aethiops</v>
          </cell>
          <cell r="E1174" t="str">
            <v>LC</v>
          </cell>
          <cell r="F1174" t="str">
            <v>Telfer, 2016</v>
          </cell>
          <cell r="G1174" t="str">
            <v>NBNSYS0000007279</v>
          </cell>
          <cell r="H1174" t="str">
            <v>Pterostichus aethiops</v>
          </cell>
        </row>
        <row r="1175">
          <cell r="A1175" t="str">
            <v>Pterostichus anthracinus</v>
          </cell>
          <cell r="B1175" t="str">
            <v>Ground beetles</v>
          </cell>
          <cell r="C1175" t="str">
            <v>Coleoptera</v>
          </cell>
          <cell r="D1175" t="str">
            <v>Pterostichus anthracinus</v>
          </cell>
          <cell r="E1175" t="str">
            <v>LC</v>
          </cell>
          <cell r="F1175" t="str">
            <v>Telfer, 2016</v>
          </cell>
          <cell r="G1175" t="str">
            <v>NHMSYS0021447262</v>
          </cell>
          <cell r="H1175" t="str">
            <v>Pterostichus anthracinus</v>
          </cell>
        </row>
        <row r="1176">
          <cell r="A1176" t="str">
            <v>Pterostichus aterrimus</v>
          </cell>
          <cell r="B1176" t="str">
            <v>Ground beetles</v>
          </cell>
          <cell r="C1176" t="str">
            <v>Coleoptera</v>
          </cell>
          <cell r="D1176" t="str">
            <v>Pterostichus aterrimus</v>
          </cell>
          <cell r="E1176" t="str">
            <v>CR(PE)</v>
          </cell>
          <cell r="F1176" t="str">
            <v>Telfer, 2016</v>
          </cell>
          <cell r="G1176" t="str">
            <v>NBNSYS0000007282</v>
          </cell>
          <cell r="H1176" t="str">
            <v>Pterostichus aterrimus</v>
          </cell>
        </row>
        <row r="1177">
          <cell r="A1177" t="str">
            <v>Pterostichus diligens</v>
          </cell>
          <cell r="B1177" t="str">
            <v>Ground beetles</v>
          </cell>
          <cell r="C1177" t="str">
            <v>Coleoptera</v>
          </cell>
          <cell r="D1177" t="str">
            <v>Pterostichus diligens</v>
          </cell>
          <cell r="E1177" t="str">
            <v>LC</v>
          </cell>
          <cell r="F1177" t="str">
            <v>Telfer, 2016</v>
          </cell>
          <cell r="G1177" t="str">
            <v>NBNSYS0000007285</v>
          </cell>
          <cell r="H1177" t="str">
            <v>Pterostichus diligens</v>
          </cell>
        </row>
        <row r="1178">
          <cell r="A1178" t="str">
            <v>Pterostichus gracilis</v>
          </cell>
          <cell r="B1178" t="str">
            <v>Ground beetles</v>
          </cell>
          <cell r="C1178" t="str">
            <v>Coleoptera</v>
          </cell>
          <cell r="D1178" t="str">
            <v>Pterostichus gracilis</v>
          </cell>
          <cell r="E1178" t="str">
            <v>LC</v>
          </cell>
          <cell r="F1178" t="str">
            <v>Telfer, 2016</v>
          </cell>
          <cell r="G1178" t="str">
            <v>NBNSYS0000007286</v>
          </cell>
          <cell r="H1178" t="str">
            <v>Pterostichus gracilis</v>
          </cell>
        </row>
        <row r="1179">
          <cell r="A1179" t="str">
            <v>Pterostichus longicollis</v>
          </cell>
          <cell r="B1179" t="str">
            <v>Ground beetles</v>
          </cell>
          <cell r="C1179" t="str">
            <v>Coleoptera</v>
          </cell>
          <cell r="D1179" t="str">
            <v>Pterostichus longicollis</v>
          </cell>
          <cell r="E1179" t="str">
            <v>LC</v>
          </cell>
          <cell r="F1179" t="str">
            <v>Telfer, 2016</v>
          </cell>
          <cell r="G1179" t="str">
            <v>NHMSYS0021419744</v>
          </cell>
          <cell r="H1179" t="str">
            <v>Pterostichus longicollis</v>
          </cell>
        </row>
        <row r="1180">
          <cell r="A1180" t="str">
            <v>Pterostichus macer</v>
          </cell>
          <cell r="B1180" t="str">
            <v>Ground beetles</v>
          </cell>
          <cell r="C1180" t="str">
            <v>Coleoptera</v>
          </cell>
          <cell r="D1180" t="str">
            <v>Pterostichus macer</v>
          </cell>
          <cell r="E1180" t="str">
            <v>LC</v>
          </cell>
          <cell r="F1180" t="str">
            <v>Telfer, 2016</v>
          </cell>
          <cell r="G1180" t="str">
            <v>NBNSYS0000007290</v>
          </cell>
          <cell r="H1180" t="str">
            <v>Pterostichus macer</v>
          </cell>
        </row>
        <row r="1181">
          <cell r="A1181" t="str">
            <v>Pterostichus madidus</v>
          </cell>
          <cell r="B1181" t="str">
            <v>Ground beetles</v>
          </cell>
          <cell r="C1181" t="str">
            <v>Coleoptera</v>
          </cell>
          <cell r="D1181" t="str">
            <v>Pterostichus madidus</v>
          </cell>
          <cell r="E1181" t="str">
            <v>LC</v>
          </cell>
          <cell r="F1181" t="str">
            <v>Telfer, 2016</v>
          </cell>
          <cell r="G1181" t="str">
            <v>NHMSYS0020109268</v>
          </cell>
          <cell r="H1181" t="str">
            <v>Pterostichus madidus</v>
          </cell>
        </row>
        <row r="1182">
          <cell r="A1182" t="str">
            <v>Pterostichus melanarius</v>
          </cell>
          <cell r="B1182" t="str">
            <v>Ground beetles</v>
          </cell>
          <cell r="C1182" t="str">
            <v>Coleoptera</v>
          </cell>
          <cell r="D1182" t="str">
            <v>Pterostichus melanarius</v>
          </cell>
          <cell r="E1182" t="str">
            <v>LC</v>
          </cell>
          <cell r="F1182" t="str">
            <v>Telfer, 2016</v>
          </cell>
          <cell r="G1182" t="str">
            <v>NBNSYS0000007292</v>
          </cell>
          <cell r="H1182" t="str">
            <v>Pterostichus melanarius</v>
          </cell>
        </row>
        <row r="1183">
          <cell r="A1183" t="str">
            <v>Pterostichus minor</v>
          </cell>
          <cell r="B1183" t="str">
            <v>Ground beetles</v>
          </cell>
          <cell r="C1183" t="str">
            <v>Coleoptera</v>
          </cell>
          <cell r="D1183" t="str">
            <v>Pterostichus minor</v>
          </cell>
          <cell r="E1183" t="str">
            <v>LC</v>
          </cell>
          <cell r="F1183" t="str">
            <v>Telfer, 2016</v>
          </cell>
          <cell r="G1183" t="str">
            <v>NBNSYS0000007293</v>
          </cell>
          <cell r="H1183" t="str">
            <v>Pterostichus minor</v>
          </cell>
        </row>
        <row r="1184">
          <cell r="A1184" t="str">
            <v>Pterostichus niger</v>
          </cell>
          <cell r="B1184" t="str">
            <v>Ground beetles</v>
          </cell>
          <cell r="C1184" t="str">
            <v>Coleoptera</v>
          </cell>
          <cell r="D1184" t="str">
            <v>Pterostichus niger</v>
          </cell>
          <cell r="E1184" t="str">
            <v>LC</v>
          </cell>
          <cell r="F1184" t="str">
            <v>Telfer, 2016</v>
          </cell>
          <cell r="G1184" t="str">
            <v>NBNSYS0000007294</v>
          </cell>
          <cell r="H1184" t="str">
            <v>Pterostichus niger</v>
          </cell>
        </row>
        <row r="1185">
          <cell r="A1185" t="str">
            <v>Pterostichus nigrita</v>
          </cell>
          <cell r="B1185" t="str">
            <v>Ground beetles</v>
          </cell>
          <cell r="C1185" t="str">
            <v>Coleoptera</v>
          </cell>
          <cell r="D1185" t="str">
            <v>Pterostichus nigrita</v>
          </cell>
          <cell r="E1185" t="str">
            <v>LC</v>
          </cell>
          <cell r="F1185" t="str">
            <v>Telfer, 2016</v>
          </cell>
          <cell r="G1185" t="str">
            <v>NBNSYS0000007295</v>
          </cell>
          <cell r="H1185" t="str">
            <v>Pterostichus nigrita</v>
          </cell>
        </row>
        <row r="1186">
          <cell r="A1186" t="str">
            <v>Pterostichus oblongopunctatus</v>
          </cell>
          <cell r="B1186" t="str">
            <v>Ground beetles</v>
          </cell>
          <cell r="C1186" t="str">
            <v>Coleoptera</v>
          </cell>
          <cell r="D1186" t="str">
            <v>Pterostichus oblongopunctatus</v>
          </cell>
          <cell r="E1186" t="str">
            <v>LC</v>
          </cell>
          <cell r="F1186" t="str">
            <v>Telfer, 2016</v>
          </cell>
          <cell r="G1186" t="str">
            <v>NBNSYS0000007297</v>
          </cell>
          <cell r="H1186" t="str">
            <v>Pterostichus oblongopunctatus</v>
          </cell>
        </row>
        <row r="1187">
          <cell r="A1187" t="str">
            <v>Pterostichus quadrifoveolatus</v>
          </cell>
          <cell r="B1187" t="str">
            <v>Ground beetles</v>
          </cell>
          <cell r="C1187" t="str">
            <v>Coleoptera</v>
          </cell>
          <cell r="D1187" t="str">
            <v>Pterostichus quadrifoveolatus</v>
          </cell>
          <cell r="E1187" t="str">
            <v>LC</v>
          </cell>
          <cell r="F1187" t="str">
            <v>Telfer, 2016</v>
          </cell>
          <cell r="G1187" t="str">
            <v>NHMSYS0020920016</v>
          </cell>
          <cell r="H1187" t="str">
            <v>Pterostichus quadrifoveolatus</v>
          </cell>
        </row>
        <row r="1188">
          <cell r="A1188" t="str">
            <v>Pterostichus rhaeticus</v>
          </cell>
          <cell r="B1188" t="str">
            <v>Ground beetles</v>
          </cell>
          <cell r="C1188" t="str">
            <v>Coleoptera</v>
          </cell>
          <cell r="D1188" t="str">
            <v>Pterostichus rhaeticus</v>
          </cell>
          <cell r="E1188" t="str">
            <v>LC</v>
          </cell>
          <cell r="F1188" t="str">
            <v>Telfer, 2016</v>
          </cell>
          <cell r="G1188" t="str">
            <v>NBNSYS0000007298</v>
          </cell>
          <cell r="H1188" t="str">
            <v>Pterostichus rhaeticus</v>
          </cell>
        </row>
        <row r="1189">
          <cell r="A1189" t="str">
            <v>Pterostichus strenuus</v>
          </cell>
          <cell r="B1189" t="str">
            <v>Ground beetles</v>
          </cell>
          <cell r="C1189" t="str">
            <v>Coleoptera</v>
          </cell>
          <cell r="D1189" t="str">
            <v>Pterostichus strenuus</v>
          </cell>
          <cell r="E1189" t="str">
            <v>LC</v>
          </cell>
          <cell r="F1189" t="str">
            <v>Telfer, 2016</v>
          </cell>
          <cell r="G1189" t="str">
            <v>NBNSYS0000007299</v>
          </cell>
          <cell r="H1189" t="str">
            <v>Pterostichus strenuus</v>
          </cell>
        </row>
        <row r="1190">
          <cell r="A1190" t="str">
            <v>Pterostichus vernalis</v>
          </cell>
          <cell r="B1190" t="str">
            <v>Ground beetles</v>
          </cell>
          <cell r="C1190" t="str">
            <v>Coleoptera</v>
          </cell>
          <cell r="D1190" t="str">
            <v>Pterostichus vernalis</v>
          </cell>
          <cell r="E1190" t="str">
            <v>LC</v>
          </cell>
          <cell r="F1190" t="str">
            <v>Telfer, 2016</v>
          </cell>
          <cell r="G1190" t="str">
            <v>NBNSYS0000007300</v>
          </cell>
          <cell r="H1190" t="str">
            <v>Pterostichus vernalis</v>
          </cell>
        </row>
        <row r="1191">
          <cell r="A1191" t="str">
            <v>Scybalicus oblongiusculus</v>
          </cell>
          <cell r="B1191" t="str">
            <v>Ground beetles</v>
          </cell>
          <cell r="C1191" t="str">
            <v>Coleoptera</v>
          </cell>
          <cell r="D1191" t="str">
            <v>Scybalicus oblongiusculus</v>
          </cell>
          <cell r="E1191" t="str">
            <v>VU</v>
          </cell>
          <cell r="F1191" t="str">
            <v>Telfer, 2016</v>
          </cell>
          <cell r="G1191" t="str">
            <v>NBNSYS0000007413</v>
          </cell>
          <cell r="H1191" t="str">
            <v>Scybalicus oblongiusculus</v>
          </cell>
        </row>
        <row r="1192">
          <cell r="A1192" t="str">
            <v>Sericoda quadripunctata</v>
          </cell>
          <cell r="B1192" t="str">
            <v>Ground beetles</v>
          </cell>
          <cell r="C1192" t="str">
            <v>Coleoptera</v>
          </cell>
          <cell r="D1192" t="str">
            <v>Sericoda quadripunctata</v>
          </cell>
          <cell r="E1192" t="str">
            <v>CR</v>
          </cell>
          <cell r="F1192" t="str">
            <v>Telfer, 2016</v>
          </cell>
          <cell r="G1192" t="str">
            <v>NHMSYS0001720084</v>
          </cell>
          <cell r="H1192" t="str">
            <v>Sericoda quadripunctata</v>
          </cell>
        </row>
        <row r="1193">
          <cell r="A1193" t="str">
            <v>Stenolophus mixtus</v>
          </cell>
          <cell r="B1193" t="str">
            <v>Ground beetles</v>
          </cell>
          <cell r="C1193" t="str">
            <v>Coleoptera</v>
          </cell>
          <cell r="D1193" t="str">
            <v>Stenolophus mixtus</v>
          </cell>
          <cell r="E1193" t="str">
            <v>LC</v>
          </cell>
          <cell r="F1193" t="str">
            <v>Telfer, 2016</v>
          </cell>
          <cell r="G1193" t="str">
            <v>NHMSYS0001720161</v>
          </cell>
          <cell r="H1193" t="str">
            <v>Stenolophus mixtus</v>
          </cell>
        </row>
        <row r="1194">
          <cell r="A1194" t="str">
            <v>Stenolophus skrimshiranus</v>
          </cell>
          <cell r="B1194" t="str">
            <v>Ground beetles</v>
          </cell>
          <cell r="C1194" t="str">
            <v>Coleoptera</v>
          </cell>
          <cell r="D1194" t="str">
            <v>Stenolophus skrimshiranus</v>
          </cell>
          <cell r="E1194" t="str">
            <v>LC</v>
          </cell>
          <cell r="F1194" t="str">
            <v>Telfer, 2016</v>
          </cell>
          <cell r="G1194" t="str">
            <v>NBNSYS0000007429</v>
          </cell>
          <cell r="H1194" t="str">
            <v>Stenolophus skrimshiranus</v>
          </cell>
        </row>
        <row r="1195">
          <cell r="A1195" t="str">
            <v>Stenolophus teutonus</v>
          </cell>
          <cell r="B1195" t="str">
            <v>Ground beetles</v>
          </cell>
          <cell r="C1195" t="str">
            <v>Coleoptera</v>
          </cell>
          <cell r="D1195" t="str">
            <v>Stenolophus teutonus</v>
          </cell>
          <cell r="E1195" t="str">
            <v>LC</v>
          </cell>
          <cell r="F1195" t="str">
            <v>Telfer, 2016</v>
          </cell>
          <cell r="G1195" t="str">
            <v>NBNSYS0000007430</v>
          </cell>
          <cell r="H1195" t="str">
            <v>Stenolophus teutonus</v>
          </cell>
        </row>
        <row r="1196">
          <cell r="A1196" t="str">
            <v>Stomis pumicatus</v>
          </cell>
          <cell r="B1196" t="str">
            <v>Ground beetles</v>
          </cell>
          <cell r="C1196" t="str">
            <v>Coleoptera</v>
          </cell>
          <cell r="D1196" t="str">
            <v>Stomis pumicatus</v>
          </cell>
          <cell r="E1196" t="str">
            <v>LC</v>
          </cell>
          <cell r="F1196" t="str">
            <v>Telfer, 2016</v>
          </cell>
          <cell r="G1196" t="str">
            <v>NBNSYS0000007277</v>
          </cell>
          <cell r="H1196" t="str">
            <v>Stomis pumicatus</v>
          </cell>
        </row>
        <row r="1197">
          <cell r="A1197" t="str">
            <v>Syntomus foveatus</v>
          </cell>
          <cell r="B1197" t="str">
            <v>Ground beetles</v>
          </cell>
          <cell r="C1197" t="str">
            <v>Coleoptera</v>
          </cell>
          <cell r="D1197" t="str">
            <v>Syntomus foveatus</v>
          </cell>
          <cell r="E1197" t="str">
            <v>LC</v>
          </cell>
          <cell r="F1197" t="str">
            <v>Telfer, 2016</v>
          </cell>
          <cell r="G1197" t="str">
            <v>NHMSYS0001720279</v>
          </cell>
          <cell r="H1197" t="str">
            <v>Syntomus foveatus</v>
          </cell>
        </row>
        <row r="1198">
          <cell r="A1198" t="str">
            <v>Syntomus obscuroguttatus</v>
          </cell>
          <cell r="B1198" t="str">
            <v>Ground beetles</v>
          </cell>
          <cell r="C1198" t="str">
            <v>Coleoptera</v>
          </cell>
          <cell r="D1198" t="str">
            <v>Syntomus obscuroguttatus</v>
          </cell>
          <cell r="E1198" t="str">
            <v>LC</v>
          </cell>
          <cell r="F1198" t="str">
            <v>Telfer, 2016</v>
          </cell>
          <cell r="G1198" t="str">
            <v>NHMSYS0001720281</v>
          </cell>
          <cell r="H1198" t="str">
            <v>Syntomus obscuroguttatus</v>
          </cell>
        </row>
        <row r="1199">
          <cell r="A1199" t="str">
            <v>Syntomus truncatellus</v>
          </cell>
          <cell r="B1199" t="str">
            <v>Ground beetles</v>
          </cell>
          <cell r="C1199" t="str">
            <v>Coleoptera</v>
          </cell>
          <cell r="D1199" t="str">
            <v>Syntomus truncatellus</v>
          </cell>
          <cell r="E1199" t="str">
            <v>LC</v>
          </cell>
          <cell r="F1199" t="str">
            <v>Telfer, 2016</v>
          </cell>
          <cell r="G1199" t="str">
            <v>NHMSYS0001720282</v>
          </cell>
          <cell r="H1199" t="str">
            <v>Syntomus truncatellus</v>
          </cell>
        </row>
        <row r="1200">
          <cell r="A1200" t="str">
            <v>Synuchus vivalis</v>
          </cell>
          <cell r="B1200" t="str">
            <v>Ground beetles</v>
          </cell>
          <cell r="C1200" t="str">
            <v>Coleoptera</v>
          </cell>
          <cell r="D1200" t="str">
            <v>Synuchus vivalis</v>
          </cell>
          <cell r="E1200" t="str">
            <v>LC</v>
          </cell>
          <cell r="F1200" t="str">
            <v>Telfer, 2016</v>
          </cell>
          <cell r="G1200" t="str">
            <v>NHMSYS0001720284</v>
          </cell>
          <cell r="H1200" t="str">
            <v>Synuchus vivalis</v>
          </cell>
        </row>
        <row r="1201">
          <cell r="A1201" t="str">
            <v>Tachys bistriatus</v>
          </cell>
          <cell r="B1201" t="str">
            <v>Ground beetles</v>
          </cell>
          <cell r="C1201" t="str">
            <v>Coleoptera</v>
          </cell>
          <cell r="D1201" t="str">
            <v>Tachys bistriatus</v>
          </cell>
          <cell r="E1201" t="str">
            <v>LC</v>
          </cell>
          <cell r="F1201" t="str">
            <v>Telfer, 2016</v>
          </cell>
          <cell r="G1201" t="str">
            <v>NBNSYS0000007266</v>
          </cell>
          <cell r="H1201" t="str">
            <v>Tachys bistriatus</v>
          </cell>
        </row>
        <row r="1202">
          <cell r="A1202" t="str">
            <v>Tachys micros</v>
          </cell>
          <cell r="B1202" t="str">
            <v>Ground beetles</v>
          </cell>
          <cell r="C1202" t="str">
            <v>Coleoptera</v>
          </cell>
          <cell r="D1202" t="str">
            <v>Tachys micros</v>
          </cell>
          <cell r="E1202" t="str">
            <v>VU</v>
          </cell>
          <cell r="F1202" t="str">
            <v>Telfer, 2016</v>
          </cell>
          <cell r="G1202" t="str">
            <v>NBNSYS0000007269</v>
          </cell>
          <cell r="H1202" t="str">
            <v>Tachys micros</v>
          </cell>
        </row>
        <row r="1203">
          <cell r="A1203" t="str">
            <v>Tachys obtusiusculus</v>
          </cell>
          <cell r="B1203" t="str">
            <v>Ground beetles</v>
          </cell>
          <cell r="C1203" t="str">
            <v>Coleoptera</v>
          </cell>
          <cell r="D1203" t="str">
            <v>Tachys obtusiusculus</v>
          </cell>
          <cell r="E1203" t="str">
            <v>NT</v>
          </cell>
          <cell r="F1203" t="str">
            <v>Telfer, 2016</v>
          </cell>
          <cell r="G1203" t="str">
            <v>NHMSYS0020920022</v>
          </cell>
          <cell r="H1203" t="str">
            <v>Tachys obtusiusculus</v>
          </cell>
        </row>
        <row r="1204">
          <cell r="A1204" t="str">
            <v>Tachys scutellaris</v>
          </cell>
          <cell r="B1204" t="str">
            <v>Ground beetles</v>
          </cell>
          <cell r="C1204" t="str">
            <v>Coleoptera</v>
          </cell>
          <cell r="D1204" t="str">
            <v>Tachys scutellaris</v>
          </cell>
          <cell r="E1204" t="str">
            <v>LC</v>
          </cell>
          <cell r="F1204" t="str">
            <v>Telfer, 2016</v>
          </cell>
          <cell r="G1204" t="str">
            <v>NBNSYS0000007272</v>
          </cell>
          <cell r="H1204" t="str">
            <v>Tachys scutellaris</v>
          </cell>
        </row>
        <row r="1205">
          <cell r="A1205" t="str">
            <v>Thalassophilus longicornis</v>
          </cell>
          <cell r="B1205" t="str">
            <v>Ground beetles</v>
          </cell>
          <cell r="C1205" t="str">
            <v>Coleoptera</v>
          </cell>
          <cell r="D1205" t="str">
            <v>Thalassophilus longicornis</v>
          </cell>
          <cell r="E1205" t="str">
            <v>LC</v>
          </cell>
          <cell r="F1205" t="str">
            <v>Telfer, 2016</v>
          </cell>
          <cell r="G1205" t="str">
            <v>NBNSYS0000007193</v>
          </cell>
          <cell r="H1205" t="str">
            <v>Thalassophilus longicornis</v>
          </cell>
        </row>
        <row r="1206">
          <cell r="A1206" t="str">
            <v>Trechoblemus micros</v>
          </cell>
          <cell r="B1206" t="str">
            <v>Ground beetles</v>
          </cell>
          <cell r="C1206" t="str">
            <v>Coleoptera</v>
          </cell>
          <cell r="D1206" t="str">
            <v>Trechoblemus micros</v>
          </cell>
          <cell r="E1206" t="str">
            <v>LC</v>
          </cell>
          <cell r="F1206" t="str">
            <v>Telfer, 2016</v>
          </cell>
          <cell r="G1206" t="str">
            <v>NHMSYS0001720406</v>
          </cell>
          <cell r="H1206" t="str">
            <v>Trechoblemus micros</v>
          </cell>
        </row>
        <row r="1207">
          <cell r="A1207" t="str">
            <v>Trechus fulvus</v>
          </cell>
          <cell r="B1207" t="str">
            <v>Ground beetles</v>
          </cell>
          <cell r="C1207" t="str">
            <v>Coleoptera</v>
          </cell>
          <cell r="D1207" t="str">
            <v>Trechus fulvus</v>
          </cell>
          <cell r="E1207" t="str">
            <v>LC</v>
          </cell>
          <cell r="F1207" t="str">
            <v>Telfer, 2016</v>
          </cell>
          <cell r="G1207" t="str">
            <v>NBNSYS0000007194</v>
          </cell>
          <cell r="H1207" t="str">
            <v>Trechus fulvus</v>
          </cell>
        </row>
        <row r="1208">
          <cell r="A1208" t="str">
            <v>Trechus obtusus</v>
          </cell>
          <cell r="B1208" t="str">
            <v>Ground beetles</v>
          </cell>
          <cell r="C1208" t="str">
            <v>Coleoptera</v>
          </cell>
          <cell r="D1208" t="str">
            <v>Trechus obtusus</v>
          </cell>
          <cell r="E1208" t="str">
            <v>LC</v>
          </cell>
          <cell r="F1208" t="str">
            <v>Telfer, 2016</v>
          </cell>
          <cell r="G1208" t="str">
            <v>NBNSYS0000007195</v>
          </cell>
          <cell r="H1208" t="str">
            <v>Trechus obtusus</v>
          </cell>
        </row>
        <row r="1209">
          <cell r="A1209" t="str">
            <v>Trechus quadristriatus</v>
          </cell>
          <cell r="B1209" t="str">
            <v>Ground beetles</v>
          </cell>
          <cell r="C1209" t="str">
            <v>Coleoptera</v>
          </cell>
          <cell r="D1209" t="str">
            <v>Trechus quadristriatus</v>
          </cell>
          <cell r="E1209" t="str">
            <v>LC</v>
          </cell>
          <cell r="F1209" t="str">
            <v>Telfer, 2016</v>
          </cell>
          <cell r="G1209" t="str">
            <v>NBNSYS0000007196</v>
          </cell>
          <cell r="H1209" t="str">
            <v>Trechus quadristriatus</v>
          </cell>
        </row>
        <row r="1210">
          <cell r="A1210" t="str">
            <v>Trechus rivularis</v>
          </cell>
          <cell r="B1210" t="str">
            <v>Ground beetles</v>
          </cell>
          <cell r="C1210" t="str">
            <v>Coleoptera</v>
          </cell>
          <cell r="D1210" t="str">
            <v>Trechus rivularis</v>
          </cell>
          <cell r="E1210" t="str">
            <v>LC</v>
          </cell>
          <cell r="F1210" t="str">
            <v>Telfer, 2016</v>
          </cell>
          <cell r="G1210" t="str">
            <v>NBNSYS0000007197</v>
          </cell>
          <cell r="H1210" t="str">
            <v>Trechus rivularis</v>
          </cell>
        </row>
        <row r="1211">
          <cell r="A1211" t="str">
            <v>Trechus rubens</v>
          </cell>
          <cell r="B1211" t="str">
            <v>Ground beetles</v>
          </cell>
          <cell r="C1211" t="str">
            <v>Coleoptera</v>
          </cell>
          <cell r="D1211" t="str">
            <v>Trechus rubens</v>
          </cell>
          <cell r="E1211" t="str">
            <v>LC</v>
          </cell>
          <cell r="F1211" t="str">
            <v>Telfer, 2016</v>
          </cell>
          <cell r="G1211" t="str">
            <v>NHMSYS0020109276</v>
          </cell>
          <cell r="H1211" t="str">
            <v>Trechus rubens</v>
          </cell>
        </row>
        <row r="1212">
          <cell r="A1212" t="str">
            <v>Trechus secalis</v>
          </cell>
          <cell r="B1212" t="str">
            <v>Ground beetles</v>
          </cell>
          <cell r="C1212" t="str">
            <v>Coleoptera</v>
          </cell>
          <cell r="D1212" t="str">
            <v>Trechus secalis</v>
          </cell>
          <cell r="E1212" t="str">
            <v>LC</v>
          </cell>
          <cell r="F1212" t="str">
            <v>Telfer, 2016</v>
          </cell>
          <cell r="G1212" t="str">
            <v>NBNSYS0000007199</v>
          </cell>
          <cell r="H1212" t="str">
            <v>Trechus secalis</v>
          </cell>
        </row>
        <row r="1213">
          <cell r="A1213" t="str">
            <v>Trichocellus cognatus</v>
          </cell>
          <cell r="B1213" t="str">
            <v>Ground beetles</v>
          </cell>
          <cell r="C1213" t="str">
            <v>Coleoptera</v>
          </cell>
          <cell r="D1213" t="str">
            <v>Trichocellus cognatus</v>
          </cell>
          <cell r="E1213" t="str">
            <v>LC</v>
          </cell>
          <cell r="F1213" t="str">
            <v>Telfer, 2016</v>
          </cell>
          <cell r="G1213" t="str">
            <v>NHMSYS0021366809</v>
          </cell>
          <cell r="H1213" t="str">
            <v>Trichocellus cognatus</v>
          </cell>
        </row>
        <row r="1214">
          <cell r="A1214" t="str">
            <v>Trichocellus placidus</v>
          </cell>
          <cell r="B1214" t="str">
            <v>Ground beetles</v>
          </cell>
          <cell r="C1214" t="str">
            <v>Coleoptera</v>
          </cell>
          <cell r="D1214" t="str">
            <v>Trichocellus placidus</v>
          </cell>
          <cell r="E1214" t="str">
            <v>LC</v>
          </cell>
          <cell r="F1214" t="str">
            <v>Telfer, 2016</v>
          </cell>
          <cell r="G1214" t="str">
            <v>NHMSYS0021366814</v>
          </cell>
          <cell r="H1214" t="str">
            <v>Trichocellus placidus</v>
          </cell>
        </row>
        <row r="1215">
          <cell r="A1215" t="str">
            <v>Zabrus tenebrioides</v>
          </cell>
          <cell r="B1215" t="str">
            <v>Ground beetles</v>
          </cell>
          <cell r="C1215" t="str">
            <v>Coleoptera</v>
          </cell>
          <cell r="D1215" t="str">
            <v>Zabrus tenebrioides</v>
          </cell>
          <cell r="E1215" t="str">
            <v>LC</v>
          </cell>
          <cell r="F1215" t="str">
            <v>Telfer, 2016</v>
          </cell>
          <cell r="G1215" t="str">
            <v>NBNSYS0000007374</v>
          </cell>
          <cell r="H1215" t="str">
            <v>Zabrus tenebrioides</v>
          </cell>
        </row>
        <row r="1216">
          <cell r="A1216" t="str">
            <v>Anasimyia contracta</v>
          </cell>
          <cell r="B1216" t="str">
            <v>Hoverflies</v>
          </cell>
          <cell r="C1216" t="str">
            <v>Diptera</v>
          </cell>
          <cell r="D1216" t="str">
            <v>Anasimyia contracta</v>
          </cell>
          <cell r="E1216" t="str">
            <v>LC</v>
          </cell>
          <cell r="F1216" t="str">
            <v>Ball &amp; Morris, 2014</v>
          </cell>
          <cell r="G1216" t="str">
            <v>NBNSYS0000007039</v>
          </cell>
          <cell r="H1216" t="str">
            <v>Anasimyia contracta</v>
          </cell>
        </row>
        <row r="1217">
          <cell r="A1217" t="str">
            <v>Anasimyia interpuncta</v>
          </cell>
          <cell r="B1217" t="str">
            <v>Hoverflies</v>
          </cell>
          <cell r="C1217" t="str">
            <v>Diptera</v>
          </cell>
          <cell r="D1217" t="str">
            <v>Anasimyia interpuncta</v>
          </cell>
          <cell r="E1217" t="str">
            <v>LC</v>
          </cell>
          <cell r="F1217" t="str">
            <v>Ball &amp; Morris, 2014</v>
          </cell>
          <cell r="G1217" t="str">
            <v>NBNSYS0000007040</v>
          </cell>
          <cell r="H1217" t="str">
            <v>Anasimyia interpuncta</v>
          </cell>
        </row>
        <row r="1218">
          <cell r="A1218" t="str">
            <v>Anasimyia lineata</v>
          </cell>
          <cell r="B1218" t="str">
            <v>Hoverflies</v>
          </cell>
          <cell r="C1218" t="str">
            <v>Diptera</v>
          </cell>
          <cell r="D1218" t="str">
            <v>Anasimyia lineata</v>
          </cell>
          <cell r="E1218" t="str">
            <v>LC</v>
          </cell>
          <cell r="F1218" t="str">
            <v>Ball &amp; Morris, 2014</v>
          </cell>
          <cell r="G1218" t="str">
            <v>NBNSYS0000007041</v>
          </cell>
          <cell r="H1218" t="str">
            <v>Anasimyia lineata</v>
          </cell>
        </row>
        <row r="1219">
          <cell r="A1219" t="str">
            <v>Anasimyia lunulata</v>
          </cell>
          <cell r="B1219" t="str">
            <v>Hoverflies</v>
          </cell>
          <cell r="C1219" t="str">
            <v>Diptera</v>
          </cell>
          <cell r="D1219" t="str">
            <v>Anasimyia lunulata</v>
          </cell>
          <cell r="E1219" t="str">
            <v>LC</v>
          </cell>
          <cell r="F1219" t="str">
            <v>Ball &amp; Morris, 2014</v>
          </cell>
          <cell r="G1219" t="str">
            <v>NBNSYS0000007042</v>
          </cell>
          <cell r="H1219" t="str">
            <v>Anasimyia lunulata</v>
          </cell>
        </row>
        <row r="1220">
          <cell r="A1220" t="str">
            <v>Anasimyia transfuga</v>
          </cell>
          <cell r="B1220" t="str">
            <v>Hoverflies</v>
          </cell>
          <cell r="C1220" t="str">
            <v>Diptera</v>
          </cell>
          <cell r="D1220" t="str">
            <v>Anasimyia transfuga</v>
          </cell>
          <cell r="E1220" t="str">
            <v>LC</v>
          </cell>
          <cell r="F1220" t="str">
            <v>Ball &amp; Morris, 2014</v>
          </cell>
          <cell r="G1220" t="str">
            <v>NBNSYS0000007043</v>
          </cell>
          <cell r="H1220" t="str">
            <v>Anasimyia transfuga</v>
          </cell>
        </row>
        <row r="1221">
          <cell r="A1221" t="str">
            <v>Baccha elongata</v>
          </cell>
          <cell r="B1221" t="str">
            <v>Hoverflies</v>
          </cell>
          <cell r="C1221" t="str">
            <v>Diptera</v>
          </cell>
          <cell r="D1221" t="str">
            <v>Baccha elongata</v>
          </cell>
          <cell r="E1221" t="str">
            <v>LC</v>
          </cell>
          <cell r="F1221" t="str">
            <v>Ball &amp; Morris, 2014</v>
          </cell>
          <cell r="G1221" t="str">
            <v>NBNSYS0000006862</v>
          </cell>
          <cell r="H1221" t="str">
            <v>Baccha elongata</v>
          </cell>
        </row>
        <row r="1222">
          <cell r="A1222" t="str">
            <v>Brachyopa bicolor</v>
          </cell>
          <cell r="B1222" t="str">
            <v>Hoverflies</v>
          </cell>
          <cell r="C1222" t="str">
            <v>Diptera</v>
          </cell>
          <cell r="D1222" t="str">
            <v>Brachyopa bicolor</v>
          </cell>
          <cell r="E1222" t="str">
            <v>LC</v>
          </cell>
          <cell r="F1222" t="str">
            <v>Ball &amp; Morris, 2014</v>
          </cell>
          <cell r="G1222" t="str">
            <v>NBNSYS0000007012</v>
          </cell>
          <cell r="H1222" t="str">
            <v>Brachyopa bicolor</v>
          </cell>
        </row>
        <row r="1223">
          <cell r="A1223" t="str">
            <v>Brachyopa insensilis</v>
          </cell>
          <cell r="B1223" t="str">
            <v>Hoverflies</v>
          </cell>
          <cell r="C1223" t="str">
            <v>Diptera</v>
          </cell>
          <cell r="D1223" t="str">
            <v>Brachyopa insensilis</v>
          </cell>
          <cell r="E1223" t="str">
            <v>LC</v>
          </cell>
          <cell r="F1223" t="str">
            <v>Ball &amp; Morris, 2014</v>
          </cell>
          <cell r="G1223" t="str">
            <v>NBNSYS0000007013</v>
          </cell>
          <cell r="H1223" t="str">
            <v>Brachyopa insensilis</v>
          </cell>
        </row>
        <row r="1224">
          <cell r="A1224" t="str">
            <v>Brachyopa pilosa</v>
          </cell>
          <cell r="B1224" t="str">
            <v>Hoverflies</v>
          </cell>
          <cell r="C1224" t="str">
            <v>Diptera</v>
          </cell>
          <cell r="D1224" t="str">
            <v>Brachyopa pilosa</v>
          </cell>
          <cell r="E1224" t="str">
            <v>LC</v>
          </cell>
          <cell r="F1224" t="str">
            <v>Ball &amp; Morris, 2014</v>
          </cell>
          <cell r="G1224" t="str">
            <v>NBNSYS0000007014</v>
          </cell>
          <cell r="H1224" t="str">
            <v>Brachyopa pilosa</v>
          </cell>
        </row>
        <row r="1225">
          <cell r="A1225" t="str">
            <v>Brachyopa scutellaris</v>
          </cell>
          <cell r="B1225" t="str">
            <v>Hoverflies</v>
          </cell>
          <cell r="C1225" t="str">
            <v>Diptera</v>
          </cell>
          <cell r="D1225" t="str">
            <v>Brachyopa scutellaris</v>
          </cell>
          <cell r="E1225" t="str">
            <v>LC</v>
          </cell>
          <cell r="F1225" t="str">
            <v>Ball &amp; Morris, 2014</v>
          </cell>
          <cell r="G1225" t="str">
            <v>NBNSYS0000007015</v>
          </cell>
          <cell r="H1225" t="str">
            <v>Brachyopa scutellaris</v>
          </cell>
        </row>
        <row r="1226">
          <cell r="A1226" t="str">
            <v>Brachypalpoides lentus</v>
          </cell>
          <cell r="B1226" t="str">
            <v>Hoverflies</v>
          </cell>
          <cell r="C1226" t="str">
            <v>Diptera</v>
          </cell>
          <cell r="D1226" t="str">
            <v>Brachypalpoides lentus</v>
          </cell>
          <cell r="E1226" t="str">
            <v>LC</v>
          </cell>
          <cell r="F1226" t="str">
            <v>Ball &amp; Morris, 2014</v>
          </cell>
          <cell r="G1226" t="str">
            <v>NBNSYS0100002071</v>
          </cell>
          <cell r="H1226" t="str">
            <v>Brachypalpoides lentus</v>
          </cell>
        </row>
        <row r="1227">
          <cell r="A1227" t="str">
            <v>Brachypalpus laphriformis</v>
          </cell>
          <cell r="B1227" t="str">
            <v>Hoverflies</v>
          </cell>
          <cell r="C1227" t="str">
            <v>Diptera</v>
          </cell>
          <cell r="D1227" t="str">
            <v>Brachypalpus laphriformis</v>
          </cell>
          <cell r="E1227" t="str">
            <v>LC</v>
          </cell>
          <cell r="F1227" t="str">
            <v>Ball &amp; Morris, 2014</v>
          </cell>
          <cell r="G1227" t="str">
            <v>NBNSYS0000007101</v>
          </cell>
          <cell r="H1227" t="str">
            <v>Brachypalpus laphriformis</v>
          </cell>
        </row>
        <row r="1228">
          <cell r="A1228" t="str">
            <v>Caliprobola speciosa</v>
          </cell>
          <cell r="B1228" t="str">
            <v>Hoverflies</v>
          </cell>
          <cell r="C1228" t="str">
            <v>Diptera</v>
          </cell>
          <cell r="D1228" t="str">
            <v>Caliprobola speciosa</v>
          </cell>
          <cell r="E1228" t="str">
            <v>NT</v>
          </cell>
          <cell r="F1228" t="str">
            <v>Ball &amp; Morris, 2014</v>
          </cell>
          <cell r="G1228" t="str">
            <v>NBNSYS0000007102</v>
          </cell>
          <cell r="H1228" t="str">
            <v>Caliprobola speciosa</v>
          </cell>
        </row>
        <row r="1229">
          <cell r="A1229" t="str">
            <v>Callicera aurata</v>
          </cell>
          <cell r="B1229" t="str">
            <v>Hoverflies</v>
          </cell>
          <cell r="C1229" t="str">
            <v>Diptera</v>
          </cell>
          <cell r="D1229" t="str">
            <v>Callicera aurata</v>
          </cell>
          <cell r="E1229" t="str">
            <v>LC</v>
          </cell>
          <cell r="F1229" t="str">
            <v>Ball &amp; Morris, 2014</v>
          </cell>
          <cell r="G1229" t="str">
            <v>NBNSYS0000006969</v>
          </cell>
          <cell r="H1229" t="str">
            <v>Callicera aurata</v>
          </cell>
        </row>
        <row r="1230">
          <cell r="A1230" t="str">
            <v>Callicera rufa</v>
          </cell>
          <cell r="B1230" t="str">
            <v>Hoverflies</v>
          </cell>
          <cell r="C1230" t="str">
            <v>Diptera</v>
          </cell>
          <cell r="D1230" t="str">
            <v>Callicera rufa</v>
          </cell>
          <cell r="E1230" t="str">
            <v>LC</v>
          </cell>
          <cell r="F1230" t="str">
            <v>Ball &amp; Morris, 2014</v>
          </cell>
          <cell r="G1230" t="str">
            <v>NBNSYS0000006970</v>
          </cell>
          <cell r="H1230" t="str">
            <v>Callicera rufa</v>
          </cell>
        </row>
        <row r="1231">
          <cell r="A1231" t="str">
            <v>Callicera spinolae</v>
          </cell>
          <cell r="B1231" t="str">
            <v>Hoverflies</v>
          </cell>
          <cell r="C1231" t="str">
            <v>Diptera</v>
          </cell>
          <cell r="D1231" t="str">
            <v>Callicera spinolae</v>
          </cell>
          <cell r="E1231" t="str">
            <v>VU</v>
          </cell>
          <cell r="F1231" t="str">
            <v>Ball &amp; Morris, 2014</v>
          </cell>
          <cell r="G1231" t="str">
            <v>NBNSYS0000006971</v>
          </cell>
          <cell r="H1231" t="str">
            <v>Callicera spinolae</v>
          </cell>
        </row>
        <row r="1232">
          <cell r="A1232" t="str">
            <v>Chalcosyrphus eunotus</v>
          </cell>
          <cell r="B1232" t="str">
            <v>Hoverflies</v>
          </cell>
          <cell r="C1232" t="str">
            <v>Diptera</v>
          </cell>
          <cell r="D1232" t="str">
            <v>Chalcosyrphus eunotus</v>
          </cell>
          <cell r="E1232" t="str">
            <v>LC</v>
          </cell>
          <cell r="F1232" t="str">
            <v>Ball &amp; Morris, 2014</v>
          </cell>
          <cell r="G1232" t="str">
            <v>NBNSYS0000007104</v>
          </cell>
          <cell r="H1232" t="str">
            <v>Chalcosyrphus eunotus</v>
          </cell>
        </row>
        <row r="1233">
          <cell r="A1233" t="str">
            <v>Chalcosyrphus nemorum</v>
          </cell>
          <cell r="B1233" t="str">
            <v>Hoverflies</v>
          </cell>
          <cell r="C1233" t="str">
            <v>Diptera</v>
          </cell>
          <cell r="D1233" t="str">
            <v>Chalcosyrphus nemorum</v>
          </cell>
          <cell r="E1233" t="str">
            <v>LC</v>
          </cell>
          <cell r="F1233" t="str">
            <v>Ball &amp; Morris, 2014</v>
          </cell>
          <cell r="G1233" t="str">
            <v>NBNSYS0000007103</v>
          </cell>
          <cell r="H1233" t="str">
            <v>Chalcosyrphus nemorum</v>
          </cell>
        </row>
        <row r="1234">
          <cell r="A1234" t="str">
            <v>Cheilosia albipila</v>
          </cell>
          <cell r="B1234" t="str">
            <v>Hoverflies</v>
          </cell>
          <cell r="C1234" t="str">
            <v>Diptera</v>
          </cell>
          <cell r="D1234" t="str">
            <v>Cheilosia albipila</v>
          </cell>
          <cell r="E1234" t="str">
            <v>LC</v>
          </cell>
          <cell r="F1234" t="str">
            <v>Ball &amp; Morris, 2014</v>
          </cell>
          <cell r="G1234" t="str">
            <v>NBNSYS0000006972</v>
          </cell>
          <cell r="H1234" t="str">
            <v>Cheilosia albipila</v>
          </cell>
        </row>
        <row r="1235">
          <cell r="A1235" t="str">
            <v>Cheilosia albitarsis</v>
          </cell>
          <cell r="B1235" t="str">
            <v>Hoverflies</v>
          </cell>
          <cell r="C1235" t="str">
            <v>Diptera</v>
          </cell>
          <cell r="D1235" t="str">
            <v>Cheilosia albitarsis</v>
          </cell>
          <cell r="E1235" t="str">
            <v>LC</v>
          </cell>
          <cell r="F1235" t="str">
            <v>Ball &amp; Morris, 2014</v>
          </cell>
          <cell r="G1235" t="str">
            <v>NBNSYS0100002324</v>
          </cell>
          <cell r="H1235" t="str">
            <v>Cheilosia albitarsis</v>
          </cell>
        </row>
        <row r="1236">
          <cell r="A1236" t="str">
            <v>Cheilosia antiqua</v>
          </cell>
          <cell r="B1236" t="str">
            <v>Hoverflies</v>
          </cell>
          <cell r="C1236" t="str">
            <v>Diptera</v>
          </cell>
          <cell r="D1236" t="str">
            <v>Cheilosia antiqua</v>
          </cell>
          <cell r="E1236" t="str">
            <v>LC</v>
          </cell>
          <cell r="F1236" t="str">
            <v>Ball &amp; Morris, 2014</v>
          </cell>
          <cell r="G1236" t="str">
            <v>NBNSYS0000006974</v>
          </cell>
          <cell r="H1236" t="str">
            <v>Cheilosia antiqua</v>
          </cell>
        </row>
        <row r="1237">
          <cell r="A1237" t="str">
            <v>Cheilosia barbata</v>
          </cell>
          <cell r="B1237" t="str">
            <v>Hoverflies</v>
          </cell>
          <cell r="C1237" t="str">
            <v>Diptera</v>
          </cell>
          <cell r="D1237" t="str">
            <v>Cheilosia barbata</v>
          </cell>
          <cell r="E1237" t="str">
            <v>LC</v>
          </cell>
          <cell r="F1237" t="str">
            <v>Ball &amp; Morris, 2014</v>
          </cell>
          <cell r="G1237" t="str">
            <v>NBNSYS0000006975</v>
          </cell>
          <cell r="H1237" t="str">
            <v>Cheilosia barbata</v>
          </cell>
        </row>
        <row r="1238">
          <cell r="A1238" t="str">
            <v>Cheilosia bergenstammi</v>
          </cell>
          <cell r="B1238" t="str">
            <v>Hoverflies</v>
          </cell>
          <cell r="C1238" t="str">
            <v>Diptera</v>
          </cell>
          <cell r="D1238" t="str">
            <v>Cheilosia bergenstammi</v>
          </cell>
          <cell r="E1238" t="str">
            <v>LC</v>
          </cell>
          <cell r="F1238" t="str">
            <v>Ball &amp; Morris, 2014</v>
          </cell>
          <cell r="G1238" t="str">
            <v>NBNSYS0000006976</v>
          </cell>
          <cell r="H1238" t="str">
            <v>Cheilosia bergenstammi</v>
          </cell>
        </row>
        <row r="1239">
          <cell r="A1239" t="str">
            <v>Cheilosia carbonaria</v>
          </cell>
          <cell r="B1239" t="str">
            <v>Hoverflies</v>
          </cell>
          <cell r="C1239" t="str">
            <v>Diptera</v>
          </cell>
          <cell r="D1239" t="str">
            <v>Cheilosia carbonaria</v>
          </cell>
          <cell r="E1239" t="str">
            <v>LC</v>
          </cell>
          <cell r="F1239" t="str">
            <v>Ball &amp; Morris, 2014</v>
          </cell>
          <cell r="G1239" t="str">
            <v>NBNSYS0000006977</v>
          </cell>
          <cell r="H1239" t="str">
            <v>Cheilosia carbonaria</v>
          </cell>
        </row>
        <row r="1240">
          <cell r="A1240" t="str">
            <v>Cheilosia chrysocoma</v>
          </cell>
          <cell r="B1240" t="str">
            <v>Hoverflies</v>
          </cell>
          <cell r="C1240" t="str">
            <v>Diptera</v>
          </cell>
          <cell r="D1240" t="str">
            <v>Cheilosia chrysocoma</v>
          </cell>
          <cell r="E1240" t="str">
            <v>LC</v>
          </cell>
          <cell r="F1240" t="str">
            <v>Ball &amp; Morris, 2014</v>
          </cell>
          <cell r="G1240" t="str">
            <v>NBNSYS0000006978</v>
          </cell>
          <cell r="H1240" t="str">
            <v>Cheilosia chrysocoma</v>
          </cell>
        </row>
        <row r="1241">
          <cell r="A1241" t="str">
            <v>Cheilosia cynocephala</v>
          </cell>
          <cell r="B1241" t="str">
            <v>Hoverflies</v>
          </cell>
          <cell r="C1241" t="str">
            <v>Diptera</v>
          </cell>
          <cell r="D1241" t="str">
            <v>Cheilosia cynocephala</v>
          </cell>
          <cell r="E1241" t="str">
            <v>LC</v>
          </cell>
          <cell r="F1241" t="str">
            <v>Ball &amp; Morris, 2014</v>
          </cell>
          <cell r="G1241" t="str">
            <v>NBNSYS0000006979</v>
          </cell>
          <cell r="H1241" t="str">
            <v>Cheilosia cynocephala</v>
          </cell>
        </row>
        <row r="1242">
          <cell r="A1242" t="str">
            <v>Cheilosia fraterna</v>
          </cell>
          <cell r="B1242" t="str">
            <v>Hoverflies</v>
          </cell>
          <cell r="C1242" t="str">
            <v>Diptera</v>
          </cell>
          <cell r="D1242" t="str">
            <v>Cheilosia fraterna</v>
          </cell>
          <cell r="E1242" t="str">
            <v>LC</v>
          </cell>
          <cell r="F1242" t="str">
            <v>Ball &amp; Morris, 2014</v>
          </cell>
          <cell r="G1242" t="str">
            <v>NBNSYS0000005502</v>
          </cell>
          <cell r="H1242" t="str">
            <v>Cheilosia fraterna</v>
          </cell>
        </row>
        <row r="1243">
          <cell r="A1243" t="str">
            <v>Cheilosia griseiventris</v>
          </cell>
          <cell r="B1243" t="str">
            <v>Hoverflies</v>
          </cell>
          <cell r="C1243" t="str">
            <v>Diptera</v>
          </cell>
          <cell r="D1243" t="str">
            <v>Cheilosia griseiventris</v>
          </cell>
          <cell r="E1243" t="str">
            <v>LC</v>
          </cell>
          <cell r="F1243" t="str">
            <v>Ball &amp; Morris, 2014</v>
          </cell>
          <cell r="G1243" t="str">
            <v>NBNSYS0000006981</v>
          </cell>
          <cell r="H1243" t="str">
            <v>Cheilosia griseiventris</v>
          </cell>
        </row>
        <row r="1244">
          <cell r="A1244" t="str">
            <v>Cheilosia grossa</v>
          </cell>
          <cell r="B1244" t="str">
            <v>Hoverflies</v>
          </cell>
          <cell r="C1244" t="str">
            <v>Diptera</v>
          </cell>
          <cell r="D1244" t="str">
            <v>Cheilosia grossa</v>
          </cell>
          <cell r="E1244" t="str">
            <v>LC</v>
          </cell>
          <cell r="F1244" t="str">
            <v>Ball &amp; Morris, 2014</v>
          </cell>
          <cell r="G1244" t="str">
            <v>NBNSYS0000006982</v>
          </cell>
          <cell r="H1244" t="str">
            <v>Cheilosia grossa</v>
          </cell>
        </row>
        <row r="1245">
          <cell r="A1245" t="str">
            <v>Cheilosia illustrata</v>
          </cell>
          <cell r="B1245" t="str">
            <v>Hoverflies</v>
          </cell>
          <cell r="C1245" t="str">
            <v>Diptera</v>
          </cell>
          <cell r="D1245" t="str">
            <v>Cheilosia illustrata</v>
          </cell>
          <cell r="E1245" t="str">
            <v>LC</v>
          </cell>
          <cell r="F1245" t="str">
            <v>Ball &amp; Morris, 2014</v>
          </cell>
          <cell r="G1245" t="str">
            <v>NBNSYS0000006984</v>
          </cell>
          <cell r="H1245" t="str">
            <v>Cheilosia illustrata</v>
          </cell>
        </row>
        <row r="1246">
          <cell r="A1246" t="str">
            <v>Cheilosia impressa</v>
          </cell>
          <cell r="B1246" t="str">
            <v>Hoverflies</v>
          </cell>
          <cell r="C1246" t="str">
            <v>Diptera</v>
          </cell>
          <cell r="D1246" t="str">
            <v>Cheilosia impressa</v>
          </cell>
          <cell r="E1246" t="str">
            <v>LC</v>
          </cell>
          <cell r="F1246" t="str">
            <v>Ball &amp; Morris, 2014</v>
          </cell>
          <cell r="G1246" t="str">
            <v>NBNSYS0000006985</v>
          </cell>
          <cell r="H1246" t="str">
            <v>Cheilosia impressa</v>
          </cell>
        </row>
        <row r="1247">
          <cell r="A1247" t="str">
            <v>Cheilosia lasiopa</v>
          </cell>
          <cell r="B1247" t="str">
            <v>Hoverflies</v>
          </cell>
          <cell r="C1247" t="str">
            <v>Diptera</v>
          </cell>
          <cell r="D1247" t="str">
            <v>Cheilosia lasiopa</v>
          </cell>
          <cell r="E1247" t="str">
            <v>LC</v>
          </cell>
          <cell r="F1247" t="str">
            <v>Ball &amp; Morris, 2014</v>
          </cell>
          <cell r="G1247" t="str">
            <v>NBNSYS0100002329</v>
          </cell>
          <cell r="H1247" t="str">
            <v>Cheilosia lasiopa</v>
          </cell>
        </row>
        <row r="1248">
          <cell r="A1248" t="str">
            <v>Cheilosia latifrons</v>
          </cell>
          <cell r="B1248" t="str">
            <v>Hoverflies</v>
          </cell>
          <cell r="C1248" t="str">
            <v>Diptera</v>
          </cell>
          <cell r="D1248" t="str">
            <v>Cheilosia latifrons</v>
          </cell>
          <cell r="E1248" t="str">
            <v>LC</v>
          </cell>
          <cell r="F1248" t="str">
            <v>Ball &amp; Morris, 2014</v>
          </cell>
          <cell r="G1248" t="str">
            <v>NBNSYS0100002330</v>
          </cell>
          <cell r="H1248" t="str">
            <v>Cheilosia latifrons</v>
          </cell>
        </row>
        <row r="1249">
          <cell r="A1249" t="str">
            <v>Cheilosia longula</v>
          </cell>
          <cell r="B1249" t="str">
            <v>Hoverflies</v>
          </cell>
          <cell r="C1249" t="str">
            <v>Diptera</v>
          </cell>
          <cell r="D1249" t="str">
            <v>Cheilosia longula</v>
          </cell>
          <cell r="E1249" t="str">
            <v>LC</v>
          </cell>
          <cell r="F1249" t="str">
            <v>Ball &amp; Morris, 2014</v>
          </cell>
          <cell r="G1249" t="str">
            <v>NBNSYS0000006988</v>
          </cell>
          <cell r="H1249" t="str">
            <v>Cheilosia longula</v>
          </cell>
        </row>
        <row r="1250">
          <cell r="A1250" t="str">
            <v>Cheilosia mutabilis</v>
          </cell>
          <cell r="B1250" t="str">
            <v>Hoverflies</v>
          </cell>
          <cell r="C1250" t="str">
            <v>Diptera</v>
          </cell>
          <cell r="D1250" t="str">
            <v>Cheilosia mutabilis</v>
          </cell>
          <cell r="E1250" t="str">
            <v>LC</v>
          </cell>
          <cell r="F1250" t="str">
            <v>Ball &amp; Morris, 2014</v>
          </cell>
          <cell r="G1250" t="str">
            <v>NBNSYS0000006989</v>
          </cell>
          <cell r="H1250" t="str">
            <v>Cheilosia mutabilis</v>
          </cell>
        </row>
        <row r="1251">
          <cell r="A1251" t="str">
            <v>Cheilosia nebulosa</v>
          </cell>
          <cell r="B1251" t="str">
            <v>Hoverflies</v>
          </cell>
          <cell r="C1251" t="str">
            <v>Diptera</v>
          </cell>
          <cell r="D1251" t="str">
            <v>Cheilosia nebulosa</v>
          </cell>
          <cell r="E1251" t="str">
            <v>LC</v>
          </cell>
          <cell r="F1251" t="str">
            <v>Ball &amp; Morris, 2014</v>
          </cell>
          <cell r="G1251" t="str">
            <v>NBNSYS0000006991</v>
          </cell>
          <cell r="H1251" t="str">
            <v>Cheilosia nebulosa</v>
          </cell>
        </row>
        <row r="1252">
          <cell r="A1252" t="str">
            <v>Cheilosia nigripes</v>
          </cell>
          <cell r="B1252" t="str">
            <v>Hoverflies</v>
          </cell>
          <cell r="C1252" t="str">
            <v>Diptera</v>
          </cell>
          <cell r="D1252" t="str">
            <v>Cheilosia nigripes</v>
          </cell>
          <cell r="E1252" t="str">
            <v>LC</v>
          </cell>
          <cell r="F1252" t="str">
            <v>Ball &amp; Morris, 2014</v>
          </cell>
          <cell r="G1252" t="str">
            <v>NBNSYS0000006992</v>
          </cell>
          <cell r="H1252" t="str">
            <v>Cheilosia nigripes</v>
          </cell>
        </row>
        <row r="1253">
          <cell r="A1253" t="str">
            <v>Cheilosia pagana</v>
          </cell>
          <cell r="B1253" t="str">
            <v>Hoverflies</v>
          </cell>
          <cell r="C1253" t="str">
            <v>Diptera</v>
          </cell>
          <cell r="D1253" t="str">
            <v>Cheilosia pagana</v>
          </cell>
          <cell r="E1253" t="str">
            <v>LC</v>
          </cell>
          <cell r="F1253" t="str">
            <v>Ball &amp; Morris, 2014</v>
          </cell>
          <cell r="G1253" t="str">
            <v>NBNSYS0000006993</v>
          </cell>
          <cell r="H1253" t="str">
            <v>Cheilosia pagana</v>
          </cell>
        </row>
        <row r="1254">
          <cell r="A1254" t="str">
            <v>Cheilosia proxima</v>
          </cell>
          <cell r="B1254" t="str">
            <v>Hoverflies</v>
          </cell>
          <cell r="C1254" t="str">
            <v>Diptera</v>
          </cell>
          <cell r="D1254" t="str">
            <v>Cheilosia proxima</v>
          </cell>
          <cell r="E1254" t="str">
            <v>LC</v>
          </cell>
          <cell r="F1254" t="str">
            <v>Ball &amp; Morris, 2014</v>
          </cell>
          <cell r="G1254" t="str">
            <v>NBNSYS0000006995</v>
          </cell>
          <cell r="H1254" t="str">
            <v>Cheilosia proxima</v>
          </cell>
        </row>
        <row r="1255">
          <cell r="A1255" t="str">
            <v>Cheilosia pubera</v>
          </cell>
          <cell r="B1255" t="str">
            <v>Hoverflies</v>
          </cell>
          <cell r="C1255" t="str">
            <v>Diptera</v>
          </cell>
          <cell r="D1255" t="str">
            <v>Cheilosia pubera</v>
          </cell>
          <cell r="E1255" t="str">
            <v>LC</v>
          </cell>
          <cell r="F1255" t="str">
            <v>Ball &amp; Morris, 2014</v>
          </cell>
          <cell r="G1255" t="str">
            <v>NBNSYS0000006996</v>
          </cell>
          <cell r="H1255" t="str">
            <v>Cheilosia pubera</v>
          </cell>
        </row>
        <row r="1256">
          <cell r="A1256" t="str">
            <v>Cheilosia ranunculi</v>
          </cell>
          <cell r="B1256" t="str">
            <v>Hoverflies</v>
          </cell>
          <cell r="C1256" t="str">
            <v>Diptera</v>
          </cell>
          <cell r="D1256" t="str">
            <v>Cheilosia ranunculi</v>
          </cell>
          <cell r="E1256" t="str">
            <v>LC</v>
          </cell>
          <cell r="F1256" t="str">
            <v>Ball &amp; Morris, 2014</v>
          </cell>
          <cell r="G1256" t="str">
            <v>NBNSYS0100002331</v>
          </cell>
          <cell r="H1256" t="str">
            <v>Cheilosia ranunculi</v>
          </cell>
        </row>
        <row r="1257">
          <cell r="A1257" t="str">
            <v>Cheilosia scutellata</v>
          </cell>
          <cell r="B1257" t="str">
            <v>Hoverflies</v>
          </cell>
          <cell r="C1257" t="str">
            <v>Diptera</v>
          </cell>
          <cell r="D1257" t="str">
            <v>Cheilosia scutellata</v>
          </cell>
          <cell r="E1257" t="str">
            <v>LC</v>
          </cell>
          <cell r="F1257" t="str">
            <v>Ball &amp; Morris, 2014</v>
          </cell>
          <cell r="G1257" t="str">
            <v>NBNSYS0000006998</v>
          </cell>
          <cell r="H1257" t="str">
            <v>Cheilosia scutellata</v>
          </cell>
        </row>
        <row r="1258">
          <cell r="A1258" t="str">
            <v>Cheilosia semifasciata</v>
          </cell>
          <cell r="B1258" t="str">
            <v>Hoverflies</v>
          </cell>
          <cell r="C1258" t="str">
            <v>Diptera</v>
          </cell>
          <cell r="D1258" t="str">
            <v>Cheilosia semifasciata</v>
          </cell>
          <cell r="E1258" t="str">
            <v>NT</v>
          </cell>
          <cell r="F1258" t="str">
            <v>Ball &amp; Morris, 2014</v>
          </cell>
          <cell r="G1258" t="str">
            <v>NBNSYS0000006999</v>
          </cell>
          <cell r="H1258" t="str">
            <v>Cheilosia semifasciata</v>
          </cell>
        </row>
        <row r="1259">
          <cell r="A1259" t="str">
            <v>Cheilosia soror</v>
          </cell>
          <cell r="B1259" t="str">
            <v>Hoverflies</v>
          </cell>
          <cell r="C1259" t="str">
            <v>Diptera</v>
          </cell>
          <cell r="D1259" t="str">
            <v>Cheilosia soror</v>
          </cell>
          <cell r="E1259" t="str">
            <v>LC</v>
          </cell>
          <cell r="F1259" t="str">
            <v>Ball &amp; Morris, 2014</v>
          </cell>
          <cell r="G1259" t="str">
            <v>NBNSYS0000007000</v>
          </cell>
          <cell r="H1259" t="str">
            <v>Cheilosia soror</v>
          </cell>
        </row>
        <row r="1260">
          <cell r="A1260" t="str">
            <v>Cheilosia urbana</v>
          </cell>
          <cell r="B1260" t="str">
            <v>Hoverflies</v>
          </cell>
          <cell r="C1260" t="str">
            <v>Diptera</v>
          </cell>
          <cell r="D1260" t="str">
            <v>Cheilosia urbana</v>
          </cell>
          <cell r="E1260" t="str">
            <v>LC</v>
          </cell>
          <cell r="F1260" t="str">
            <v>Ball &amp; Morris, 2014</v>
          </cell>
          <cell r="G1260" t="str">
            <v>NBNSYS0100002332</v>
          </cell>
          <cell r="H1260" t="str">
            <v>Cheilosia urbana</v>
          </cell>
        </row>
        <row r="1261">
          <cell r="A1261" t="str">
            <v>Cheilosia variabilis</v>
          </cell>
          <cell r="B1261" t="str">
            <v>Hoverflies</v>
          </cell>
          <cell r="C1261" t="str">
            <v>Diptera</v>
          </cell>
          <cell r="D1261" t="str">
            <v>Cheilosia variabilis</v>
          </cell>
          <cell r="E1261" t="str">
            <v>LC</v>
          </cell>
          <cell r="F1261" t="str">
            <v>Ball &amp; Morris, 2014</v>
          </cell>
          <cell r="G1261" t="str">
            <v>NBNSYS0000007001</v>
          </cell>
          <cell r="H1261" t="str">
            <v>Cheilosia variabilis</v>
          </cell>
        </row>
        <row r="1262">
          <cell r="A1262" t="str">
            <v>Cheilosia velutina</v>
          </cell>
          <cell r="B1262" t="str">
            <v>Hoverflies</v>
          </cell>
          <cell r="C1262" t="str">
            <v>Diptera</v>
          </cell>
          <cell r="D1262" t="str">
            <v>Cheilosia velutina</v>
          </cell>
          <cell r="E1262" t="str">
            <v>LC</v>
          </cell>
          <cell r="F1262" t="str">
            <v>Ball &amp; Morris, 2014</v>
          </cell>
          <cell r="G1262" t="str">
            <v>NBNSYS0000007002</v>
          </cell>
          <cell r="H1262" t="str">
            <v>Cheilosia velutina</v>
          </cell>
        </row>
        <row r="1263">
          <cell r="A1263" t="str">
            <v>Cheilosia vernalis</v>
          </cell>
          <cell r="B1263" t="str">
            <v>Hoverflies</v>
          </cell>
          <cell r="C1263" t="str">
            <v>Diptera</v>
          </cell>
          <cell r="D1263" t="str">
            <v>Cheilosia vernalis</v>
          </cell>
          <cell r="E1263" t="str">
            <v>LC</v>
          </cell>
          <cell r="F1263" t="str">
            <v>Ball &amp; Morris, 2014</v>
          </cell>
          <cell r="G1263" t="str">
            <v>NBNSYS0000007003</v>
          </cell>
          <cell r="H1263" t="str">
            <v>Cheilosia vernalis</v>
          </cell>
        </row>
        <row r="1264">
          <cell r="A1264" t="str">
            <v>Cheilosia vicina</v>
          </cell>
          <cell r="B1264" t="str">
            <v>Hoverflies</v>
          </cell>
          <cell r="C1264" t="str">
            <v>Diptera</v>
          </cell>
          <cell r="D1264" t="str">
            <v>Cheilosia vicina</v>
          </cell>
          <cell r="E1264" t="str">
            <v>LC</v>
          </cell>
          <cell r="F1264" t="str">
            <v>Ball &amp; Morris, 2014</v>
          </cell>
          <cell r="G1264" t="str">
            <v>NBNSYS0100002333</v>
          </cell>
          <cell r="H1264" t="str">
            <v>Cheilosia vicina</v>
          </cell>
        </row>
        <row r="1265">
          <cell r="A1265" t="str">
            <v>Cheilosia vulpina</v>
          </cell>
          <cell r="B1265" t="str">
            <v>Hoverflies</v>
          </cell>
          <cell r="C1265" t="str">
            <v>Diptera</v>
          </cell>
          <cell r="D1265" t="str">
            <v>Cheilosia vulpina</v>
          </cell>
          <cell r="E1265" t="str">
            <v>LC</v>
          </cell>
          <cell r="F1265" t="str">
            <v>Ball &amp; Morris, 2014</v>
          </cell>
          <cell r="G1265" t="str">
            <v>NBNSYS0000007004</v>
          </cell>
          <cell r="H1265" t="str">
            <v>Cheilosia vulpina</v>
          </cell>
        </row>
        <row r="1266">
          <cell r="A1266" t="str">
            <v>Chrysogaster cemiteriorum</v>
          </cell>
          <cell r="B1266" t="str">
            <v>Hoverflies</v>
          </cell>
          <cell r="C1266" t="str">
            <v>Diptera</v>
          </cell>
          <cell r="D1266" t="str">
            <v>Chrysogaster cemiteriorum</v>
          </cell>
          <cell r="E1266" t="str">
            <v>LC</v>
          </cell>
          <cell r="F1266" t="str">
            <v>Ball &amp; Morris, 2014</v>
          </cell>
          <cell r="G1266" t="str">
            <v>NBNSYS0000144380</v>
          </cell>
          <cell r="H1266" t="str">
            <v>Chrysogaster cemiteriorum</v>
          </cell>
        </row>
        <row r="1267">
          <cell r="A1267" t="str">
            <v>Chrysogaster solstitialis</v>
          </cell>
          <cell r="B1267" t="str">
            <v>Hoverflies</v>
          </cell>
          <cell r="C1267" t="str">
            <v>Diptera</v>
          </cell>
          <cell r="D1267" t="str">
            <v>Chrysogaster solstitialis</v>
          </cell>
          <cell r="E1267" t="str">
            <v>LC</v>
          </cell>
          <cell r="F1267" t="str">
            <v>Ball &amp; Morris, 2014</v>
          </cell>
          <cell r="G1267" t="str">
            <v>NBNSYS0000007019</v>
          </cell>
          <cell r="H1267" t="str">
            <v>Chrysogaster solstitialis</v>
          </cell>
        </row>
        <row r="1268">
          <cell r="A1268" t="str">
            <v>Chrysogaster virescens</v>
          </cell>
          <cell r="B1268" t="str">
            <v>Hoverflies</v>
          </cell>
          <cell r="C1268" t="str">
            <v>Diptera</v>
          </cell>
          <cell r="D1268" t="str">
            <v>Chrysogaster virescens</v>
          </cell>
          <cell r="E1268" t="str">
            <v>LC</v>
          </cell>
          <cell r="F1268" t="str">
            <v>Ball &amp; Morris, 2014</v>
          </cell>
          <cell r="G1268" t="str">
            <v>NBNSYS0000007020</v>
          </cell>
          <cell r="H1268" t="str">
            <v>Chrysogaster virescens</v>
          </cell>
        </row>
        <row r="1269">
          <cell r="A1269" t="str">
            <v>Chrysotoxum arcuatum</v>
          </cell>
          <cell r="B1269" t="str">
            <v>Hoverflies</v>
          </cell>
          <cell r="C1269" t="str">
            <v>Diptera</v>
          </cell>
          <cell r="D1269" t="str">
            <v>Chrysotoxum arcuatum</v>
          </cell>
          <cell r="E1269" t="str">
            <v>LC</v>
          </cell>
          <cell r="F1269" t="str">
            <v>Ball &amp; Morris, 2014</v>
          </cell>
          <cell r="G1269" t="str">
            <v>NBNSYS0000006893</v>
          </cell>
          <cell r="H1269" t="str">
            <v>Chrysotoxum arcuatum</v>
          </cell>
        </row>
        <row r="1270">
          <cell r="A1270" t="str">
            <v>Chrysotoxum bicinctum</v>
          </cell>
          <cell r="B1270" t="str">
            <v>Hoverflies</v>
          </cell>
          <cell r="C1270" t="str">
            <v>Diptera</v>
          </cell>
          <cell r="D1270" t="str">
            <v>Chrysotoxum bicinctum</v>
          </cell>
          <cell r="E1270" t="str">
            <v>LC</v>
          </cell>
          <cell r="F1270" t="str">
            <v>Ball &amp; Morris, 2014</v>
          </cell>
          <cell r="G1270" t="str">
            <v>NBNSYS0000006894</v>
          </cell>
          <cell r="H1270" t="str">
            <v>Chrysotoxum bicinctum</v>
          </cell>
        </row>
        <row r="1271">
          <cell r="A1271" t="str">
            <v>Chrysotoxum cautum</v>
          </cell>
          <cell r="B1271" t="str">
            <v>Hoverflies</v>
          </cell>
          <cell r="C1271" t="str">
            <v>Diptera</v>
          </cell>
          <cell r="D1271" t="str">
            <v>Chrysotoxum cautum</v>
          </cell>
          <cell r="E1271" t="str">
            <v>LC</v>
          </cell>
          <cell r="F1271" t="str">
            <v>Ball &amp; Morris, 2014</v>
          </cell>
          <cell r="G1271" t="str">
            <v>NBNSYS0000006895</v>
          </cell>
          <cell r="H1271" t="str">
            <v>Chrysotoxum cautum</v>
          </cell>
        </row>
        <row r="1272">
          <cell r="A1272" t="str">
            <v>Chrysotoxum elegans</v>
          </cell>
          <cell r="B1272" t="str">
            <v>Hoverflies</v>
          </cell>
          <cell r="C1272" t="str">
            <v>Diptera</v>
          </cell>
          <cell r="D1272" t="str">
            <v>Chrysotoxum elegans</v>
          </cell>
          <cell r="E1272" t="str">
            <v>LC</v>
          </cell>
          <cell r="F1272" t="str">
            <v>Ball &amp; Morris, 2014</v>
          </cell>
          <cell r="G1272" t="str">
            <v>NBNSYS0000006896</v>
          </cell>
          <cell r="H1272" t="str">
            <v>Chrysotoxum elegans</v>
          </cell>
        </row>
        <row r="1273">
          <cell r="A1273" t="str">
            <v>Chrysotoxum festivum</v>
          </cell>
          <cell r="B1273" t="str">
            <v>Hoverflies</v>
          </cell>
          <cell r="C1273" t="str">
            <v>Diptera</v>
          </cell>
          <cell r="D1273" t="str">
            <v>Chrysotoxum festivum</v>
          </cell>
          <cell r="E1273" t="str">
            <v>LC</v>
          </cell>
          <cell r="F1273" t="str">
            <v>Ball &amp; Morris, 2014</v>
          </cell>
          <cell r="G1273" t="str">
            <v>NBNSYS0000006897</v>
          </cell>
          <cell r="H1273" t="str">
            <v>Chrysotoxum festivum</v>
          </cell>
        </row>
        <row r="1274">
          <cell r="A1274" t="str">
            <v>Chrysotoxum octomaculatum</v>
          </cell>
          <cell r="B1274" t="str">
            <v>Hoverflies</v>
          </cell>
          <cell r="C1274" t="str">
            <v>Diptera</v>
          </cell>
          <cell r="D1274" t="str">
            <v>Chrysotoxum octomaculatum</v>
          </cell>
          <cell r="E1274" t="str">
            <v>EN</v>
          </cell>
          <cell r="F1274" t="str">
            <v>Ball &amp; Morris, 2014</v>
          </cell>
          <cell r="G1274" t="str">
            <v>NHMSYS0021182153</v>
          </cell>
          <cell r="H1274" t="str">
            <v>Chrysotoxum octomaculatum</v>
          </cell>
        </row>
        <row r="1275">
          <cell r="A1275" t="str">
            <v>Chrysotoxum vernale</v>
          </cell>
          <cell r="B1275" t="str">
            <v>Hoverflies</v>
          </cell>
          <cell r="C1275" t="str">
            <v>Diptera</v>
          </cell>
          <cell r="D1275" t="str">
            <v>Chrysotoxum vernale</v>
          </cell>
          <cell r="E1275" t="str">
            <v>EN</v>
          </cell>
          <cell r="F1275" t="str">
            <v>Ball &amp; Morris, 2014</v>
          </cell>
          <cell r="G1275" t="str">
            <v>NBNSYS0000006899</v>
          </cell>
          <cell r="H1275" t="str">
            <v>Chrysotoxum vernale</v>
          </cell>
        </row>
        <row r="1276">
          <cell r="A1276" t="str">
            <v>Chrysotoxum verralli</v>
          </cell>
          <cell r="B1276" t="str">
            <v>Hoverflies</v>
          </cell>
          <cell r="C1276" t="str">
            <v>Diptera</v>
          </cell>
          <cell r="D1276" t="str">
            <v>Chrysotoxum verralli</v>
          </cell>
          <cell r="E1276" t="str">
            <v>LC</v>
          </cell>
          <cell r="F1276" t="str">
            <v>Ball &amp; Morris, 2014</v>
          </cell>
          <cell r="G1276" t="str">
            <v>NBNSYS0000006900</v>
          </cell>
          <cell r="H1276" t="str">
            <v>Chrysotoxum verralli</v>
          </cell>
        </row>
        <row r="1277">
          <cell r="A1277" t="str">
            <v>Criorhina asilica</v>
          </cell>
          <cell r="B1277" t="str">
            <v>Hoverflies</v>
          </cell>
          <cell r="C1277" t="str">
            <v>Diptera</v>
          </cell>
          <cell r="D1277" t="str">
            <v>Criorhina asilica</v>
          </cell>
          <cell r="E1277" t="str">
            <v>LC</v>
          </cell>
          <cell r="F1277" t="str">
            <v>Ball &amp; Morris, 2014</v>
          </cell>
          <cell r="G1277" t="str">
            <v>NBNSYS0000007105</v>
          </cell>
          <cell r="H1277" t="str">
            <v>Criorhina asilica</v>
          </cell>
        </row>
        <row r="1278">
          <cell r="A1278" t="str">
            <v>Criorhina berberina</v>
          </cell>
          <cell r="B1278" t="str">
            <v>Hoverflies</v>
          </cell>
          <cell r="C1278" t="str">
            <v>Diptera</v>
          </cell>
          <cell r="D1278" t="str">
            <v>Criorhina berberina</v>
          </cell>
          <cell r="E1278" t="str">
            <v>LC</v>
          </cell>
          <cell r="F1278" t="str">
            <v>Ball &amp; Morris, 2014</v>
          </cell>
          <cell r="G1278" t="str">
            <v>NBNSYS0000007106</v>
          </cell>
          <cell r="H1278" t="str">
            <v>Criorhina berberina</v>
          </cell>
        </row>
        <row r="1279">
          <cell r="A1279" t="str">
            <v>Criorhina floccosa</v>
          </cell>
          <cell r="B1279" t="str">
            <v>Hoverflies</v>
          </cell>
          <cell r="C1279" t="str">
            <v>Diptera</v>
          </cell>
          <cell r="D1279" t="str">
            <v>Criorhina floccosa</v>
          </cell>
          <cell r="E1279" t="str">
            <v>LC</v>
          </cell>
          <cell r="F1279" t="str">
            <v>Ball &amp; Morris, 2014</v>
          </cell>
          <cell r="G1279" t="str">
            <v>NBNSYS0000007107</v>
          </cell>
          <cell r="H1279" t="str">
            <v>Criorhina floccosa</v>
          </cell>
        </row>
        <row r="1280">
          <cell r="A1280" t="str">
            <v>Criorhina ranunculi</v>
          </cell>
          <cell r="B1280" t="str">
            <v>Hoverflies</v>
          </cell>
          <cell r="C1280" t="str">
            <v>Diptera</v>
          </cell>
          <cell r="D1280" t="str">
            <v>Criorhina ranunculi</v>
          </cell>
          <cell r="E1280" t="str">
            <v>LC</v>
          </cell>
          <cell r="F1280" t="str">
            <v>Ball &amp; Morris, 2014</v>
          </cell>
          <cell r="G1280" t="str">
            <v>NBNSYS0000007108</v>
          </cell>
          <cell r="H1280" t="str">
            <v>Criorhina ranunculi</v>
          </cell>
        </row>
        <row r="1281">
          <cell r="A1281" t="str">
            <v>Dasysyrphus albostriatus</v>
          </cell>
          <cell r="B1281" t="str">
            <v>Hoverflies</v>
          </cell>
          <cell r="C1281" t="str">
            <v>Diptera</v>
          </cell>
          <cell r="D1281" t="str">
            <v>Dasysyrphus albostriatus</v>
          </cell>
          <cell r="E1281" t="str">
            <v>LC</v>
          </cell>
          <cell r="F1281" t="str">
            <v>Ball &amp; Morris, 2014</v>
          </cell>
          <cell r="G1281" t="str">
            <v>NBNSYS0000006901</v>
          </cell>
          <cell r="H1281" t="str">
            <v>Dasysyrphus albostriatus</v>
          </cell>
        </row>
        <row r="1282">
          <cell r="A1282" t="str">
            <v>Dasysyrphus friuliensis</v>
          </cell>
          <cell r="B1282" t="str">
            <v>Hoverflies</v>
          </cell>
          <cell r="C1282" t="str">
            <v>Diptera</v>
          </cell>
          <cell r="D1282" t="str">
            <v>Dasysyrphus friuliensis</v>
          </cell>
          <cell r="E1282" t="str">
            <v>LC</v>
          </cell>
          <cell r="F1282" t="str">
            <v>Ball &amp; Morris, 2014</v>
          </cell>
          <cell r="G1282" t="str">
            <v>NBNSYS0000006902</v>
          </cell>
          <cell r="H1282" t="str">
            <v>Dasysyrphus friuliensis</v>
          </cell>
        </row>
        <row r="1283">
          <cell r="A1283" t="str">
            <v>Dasysyrphus hilaris</v>
          </cell>
          <cell r="B1283" t="str">
            <v>Hoverflies</v>
          </cell>
          <cell r="C1283" t="str">
            <v>Diptera</v>
          </cell>
          <cell r="D1283" t="str">
            <v>Dasysyrphus hilaris</v>
          </cell>
          <cell r="E1283" t="str">
            <v>LC</v>
          </cell>
          <cell r="F1283" t="str">
            <v>Ball &amp; Morris, 2014</v>
          </cell>
          <cell r="G1283" t="str">
            <v>NBNSYS0000006903</v>
          </cell>
          <cell r="H1283" t="str">
            <v>Dasysyrphus hilaris</v>
          </cell>
        </row>
        <row r="1284">
          <cell r="A1284" t="str">
            <v>Dasysyrphus pauxillus</v>
          </cell>
          <cell r="B1284" t="str">
            <v>Hoverflies</v>
          </cell>
          <cell r="C1284" t="str">
            <v>Diptera</v>
          </cell>
          <cell r="D1284" t="str">
            <v>Dasysyrphus pauxillus</v>
          </cell>
          <cell r="E1284" t="str">
            <v>LC</v>
          </cell>
          <cell r="F1284" t="str">
            <v>Ball &amp; Morris, 2014</v>
          </cell>
          <cell r="G1284" t="str">
            <v>NHMSYS0021006231</v>
          </cell>
          <cell r="H1284" t="str">
            <v>Dasysyrphus pauxillus</v>
          </cell>
        </row>
        <row r="1285">
          <cell r="A1285" t="str">
            <v>Dasysyrphus pinastri</v>
          </cell>
          <cell r="B1285" t="str">
            <v>Hoverflies</v>
          </cell>
          <cell r="C1285" t="str">
            <v>Diptera</v>
          </cell>
          <cell r="D1285" t="str">
            <v>Dasysyrphus pinastri</v>
          </cell>
          <cell r="E1285" t="str">
            <v>LC</v>
          </cell>
          <cell r="F1285" t="str">
            <v>Ball &amp; Morris, 2014</v>
          </cell>
          <cell r="G1285" t="str">
            <v>NBNSYS0100002754</v>
          </cell>
          <cell r="H1285" t="str">
            <v>Dasysyrphus pinastri</v>
          </cell>
        </row>
        <row r="1286">
          <cell r="A1286" t="str">
            <v>Dasysyrphus tricinctus</v>
          </cell>
          <cell r="B1286" t="str">
            <v>Hoverflies</v>
          </cell>
          <cell r="C1286" t="str">
            <v>Diptera</v>
          </cell>
          <cell r="D1286" t="str">
            <v>Dasysyrphus tricinctus</v>
          </cell>
          <cell r="E1286" t="str">
            <v>LC</v>
          </cell>
          <cell r="F1286" t="str">
            <v>Ball &amp; Morris, 2014</v>
          </cell>
          <cell r="G1286" t="str">
            <v>NBNSYS0000006905</v>
          </cell>
          <cell r="H1286" t="str">
            <v>Dasysyrphus tricinctus</v>
          </cell>
        </row>
        <row r="1287">
          <cell r="A1287" t="str">
            <v>Dasysyrphus venustus</v>
          </cell>
          <cell r="B1287" t="str">
            <v>Hoverflies</v>
          </cell>
          <cell r="C1287" t="str">
            <v>Diptera</v>
          </cell>
          <cell r="D1287" t="str">
            <v>Dasysyrphus venustus</v>
          </cell>
          <cell r="E1287" t="str">
            <v>LC</v>
          </cell>
          <cell r="F1287" t="str">
            <v>Ball &amp; Morris, 2014</v>
          </cell>
          <cell r="G1287" t="str">
            <v>NHMSYS0021196476</v>
          </cell>
          <cell r="H1287" t="str">
            <v>Dasysyrphus venustus</v>
          </cell>
        </row>
        <row r="1288">
          <cell r="A1288" t="str">
            <v>Didea fasciata</v>
          </cell>
          <cell r="B1288" t="str">
            <v>Hoverflies</v>
          </cell>
          <cell r="C1288" t="str">
            <v>Diptera</v>
          </cell>
          <cell r="D1288" t="str">
            <v>Didea fasciata</v>
          </cell>
          <cell r="E1288" t="str">
            <v>LC</v>
          </cell>
          <cell r="F1288" t="str">
            <v>Ball &amp; Morris, 2014</v>
          </cell>
          <cell r="G1288" t="str">
            <v>NBNSYS0000006908</v>
          </cell>
          <cell r="H1288" t="str">
            <v>Didea fasciata</v>
          </cell>
        </row>
        <row r="1289">
          <cell r="A1289" t="str">
            <v>Didea intermedia</v>
          </cell>
          <cell r="B1289" t="str">
            <v>Hoverflies</v>
          </cell>
          <cell r="C1289" t="str">
            <v>Diptera</v>
          </cell>
          <cell r="D1289" t="str">
            <v>Didea intermedia</v>
          </cell>
          <cell r="E1289" t="str">
            <v>LC</v>
          </cell>
          <cell r="F1289" t="str">
            <v>Ball &amp; Morris, 2014</v>
          </cell>
          <cell r="G1289" t="str">
            <v>NBNSYS0000006909</v>
          </cell>
          <cell r="H1289" t="str">
            <v>Didea intermedia</v>
          </cell>
        </row>
        <row r="1290">
          <cell r="A1290" t="str">
            <v>Doros profuges</v>
          </cell>
          <cell r="B1290" t="str">
            <v>Hoverflies</v>
          </cell>
          <cell r="C1290" t="str">
            <v>Diptera</v>
          </cell>
          <cell r="D1290" t="str">
            <v>Doros profuges</v>
          </cell>
          <cell r="E1290" t="str">
            <v>NT</v>
          </cell>
          <cell r="F1290" t="str">
            <v>Ball &amp; Morris, 2014</v>
          </cell>
          <cell r="G1290" t="str">
            <v>NBNSYS0000146310</v>
          </cell>
          <cell r="H1290" t="str">
            <v>Doros profuges</v>
          </cell>
        </row>
        <row r="1291">
          <cell r="A1291" t="str">
            <v>Epistrophe diaphana</v>
          </cell>
          <cell r="B1291" t="str">
            <v>Hoverflies</v>
          </cell>
          <cell r="C1291" t="str">
            <v>Diptera</v>
          </cell>
          <cell r="D1291" t="str">
            <v>Epistrophe diaphana</v>
          </cell>
          <cell r="E1291" t="str">
            <v>LC</v>
          </cell>
          <cell r="F1291" t="str">
            <v>Ball &amp; Morris, 2014</v>
          </cell>
          <cell r="G1291" t="str">
            <v>NBNSYS0000006911</v>
          </cell>
          <cell r="H1291" t="str">
            <v>Epistrophe diaphana</v>
          </cell>
        </row>
        <row r="1292">
          <cell r="A1292" t="str">
            <v>Epistrophe eligans</v>
          </cell>
          <cell r="B1292" t="str">
            <v>Hoverflies</v>
          </cell>
          <cell r="C1292" t="str">
            <v>Diptera</v>
          </cell>
          <cell r="D1292" t="str">
            <v>Epistrophe eligans</v>
          </cell>
          <cell r="E1292" t="str">
            <v>LC</v>
          </cell>
          <cell r="F1292" t="str">
            <v>Ball &amp; Morris, 2014</v>
          </cell>
          <cell r="G1292" t="str">
            <v>NBNSYS0000006912</v>
          </cell>
          <cell r="H1292" t="str">
            <v>Epistrophe eligans</v>
          </cell>
        </row>
        <row r="1293">
          <cell r="A1293" t="str">
            <v>Epistrophe grossulariae</v>
          </cell>
          <cell r="B1293" t="str">
            <v>Hoverflies</v>
          </cell>
          <cell r="C1293" t="str">
            <v>Diptera</v>
          </cell>
          <cell r="D1293" t="str">
            <v>Epistrophe grossulariae</v>
          </cell>
          <cell r="E1293" t="str">
            <v>LC</v>
          </cell>
          <cell r="F1293" t="str">
            <v>Ball &amp; Morris, 2014</v>
          </cell>
          <cell r="G1293" t="str">
            <v>NBNSYS0000006913</v>
          </cell>
          <cell r="H1293" t="str">
            <v>Epistrophe grossulariae</v>
          </cell>
        </row>
        <row r="1294">
          <cell r="A1294" t="str">
            <v>Epistrophe melanostoma</v>
          </cell>
          <cell r="B1294" t="str">
            <v>Hoverflies</v>
          </cell>
          <cell r="C1294" t="str">
            <v>Diptera</v>
          </cell>
          <cell r="D1294" t="str">
            <v>Epistrophe melanostoma</v>
          </cell>
          <cell r="E1294" t="str">
            <v>LC</v>
          </cell>
          <cell r="F1294" t="str">
            <v>Ball &amp; Morris, 2014</v>
          </cell>
          <cell r="G1294" t="str">
            <v>NBNSYS0000033212</v>
          </cell>
          <cell r="H1294" t="str">
            <v>Epistrophe melanostoma</v>
          </cell>
        </row>
        <row r="1295">
          <cell r="A1295" t="str">
            <v>Epistrophe nitidicollis</v>
          </cell>
          <cell r="B1295" t="str">
            <v>Hoverflies</v>
          </cell>
          <cell r="C1295" t="str">
            <v>Diptera</v>
          </cell>
          <cell r="D1295" t="str">
            <v>Epistrophe nitidicollis</v>
          </cell>
          <cell r="E1295" t="str">
            <v>LC</v>
          </cell>
          <cell r="F1295" t="str">
            <v>Ball &amp; Morris, 2014</v>
          </cell>
          <cell r="G1295" t="str">
            <v>NBNSYS0000006914</v>
          </cell>
          <cell r="H1295" t="str">
            <v>Epistrophe nitidicollis</v>
          </cell>
        </row>
        <row r="1296">
          <cell r="A1296" t="str">
            <v>Episyrphus balteatus</v>
          </cell>
          <cell r="B1296" t="str">
            <v>Hoverflies</v>
          </cell>
          <cell r="C1296" t="str">
            <v>Diptera</v>
          </cell>
          <cell r="D1296" t="str">
            <v>Episyrphus balteatus</v>
          </cell>
          <cell r="E1296" t="str">
            <v>LC</v>
          </cell>
          <cell r="F1296" t="str">
            <v>Ball &amp; Morris, 2014</v>
          </cell>
          <cell r="G1296" t="str">
            <v>NBNSYS0000006916</v>
          </cell>
          <cell r="H1296" t="str">
            <v>Episyrphus balteatus</v>
          </cell>
        </row>
        <row r="1297">
          <cell r="A1297" t="str">
            <v>Eriozona syrphoides</v>
          </cell>
          <cell r="B1297" t="str">
            <v>Hoverflies</v>
          </cell>
          <cell r="C1297" t="str">
            <v>Diptera</v>
          </cell>
          <cell r="D1297" t="str">
            <v>Eriozona syrphoides</v>
          </cell>
          <cell r="E1297" t="str">
            <v>LC</v>
          </cell>
          <cell r="F1297" t="str">
            <v>Ball &amp; Morris, 2014</v>
          </cell>
          <cell r="G1297" t="str">
            <v>NBNSYS0000006917</v>
          </cell>
          <cell r="H1297" t="str">
            <v>Eriozona syrphoides</v>
          </cell>
        </row>
        <row r="1298">
          <cell r="A1298" t="str">
            <v>Eristalinus aeneus</v>
          </cell>
          <cell r="B1298" t="str">
            <v>Hoverflies</v>
          </cell>
          <cell r="C1298" t="str">
            <v>Diptera</v>
          </cell>
          <cell r="D1298" t="str">
            <v>Eristalinus aeneus</v>
          </cell>
          <cell r="E1298" t="str">
            <v>LC</v>
          </cell>
          <cell r="F1298" t="str">
            <v>Ball &amp; Morris, 2014</v>
          </cell>
          <cell r="G1298" t="str">
            <v>NBNSYS0000007044</v>
          </cell>
          <cell r="H1298" t="str">
            <v>Eristalinus aeneus</v>
          </cell>
        </row>
        <row r="1299">
          <cell r="A1299" t="str">
            <v>Eristalinus sepulchralis</v>
          </cell>
          <cell r="B1299" t="str">
            <v>Hoverflies</v>
          </cell>
          <cell r="C1299" t="str">
            <v>Diptera</v>
          </cell>
          <cell r="D1299" t="str">
            <v>Eristalinus sepulchralis</v>
          </cell>
          <cell r="E1299" t="str">
            <v>LC</v>
          </cell>
          <cell r="F1299" t="str">
            <v>Ball &amp; Morris, 2014</v>
          </cell>
          <cell r="G1299" t="str">
            <v>NBNSYS0000007045</v>
          </cell>
          <cell r="H1299" t="str">
            <v>Eristalinus sepulchralis</v>
          </cell>
        </row>
        <row r="1300">
          <cell r="A1300" t="str">
            <v>Eristalis abusiva</v>
          </cell>
          <cell r="B1300" t="str">
            <v>Hoverflies</v>
          </cell>
          <cell r="C1300" t="str">
            <v>Diptera</v>
          </cell>
          <cell r="D1300" t="str">
            <v>Eristalis abusiva</v>
          </cell>
          <cell r="E1300" t="str">
            <v>LC</v>
          </cell>
          <cell r="F1300" t="str">
            <v>Ball &amp; Morris, 2014</v>
          </cell>
          <cell r="G1300" t="str">
            <v>NHMSYS0021385409</v>
          </cell>
          <cell r="H1300" t="str">
            <v>Eristalis abusiva</v>
          </cell>
        </row>
        <row r="1301">
          <cell r="A1301" t="str">
            <v>Eristalis arbustorum</v>
          </cell>
          <cell r="B1301" t="str">
            <v>Hoverflies</v>
          </cell>
          <cell r="C1301" t="str">
            <v>Diptera</v>
          </cell>
          <cell r="D1301" t="str">
            <v>Eristalis arbustorum</v>
          </cell>
          <cell r="E1301" t="str">
            <v>LC</v>
          </cell>
          <cell r="F1301" t="str">
            <v>Ball &amp; Morris, 2014</v>
          </cell>
          <cell r="G1301" t="str">
            <v>NBNSYS0000007047</v>
          </cell>
          <cell r="H1301" t="str">
            <v>Eristalis arbustorum</v>
          </cell>
        </row>
        <row r="1302">
          <cell r="A1302" t="str">
            <v>Eristalis cryptarum</v>
          </cell>
          <cell r="B1302" t="str">
            <v>Hoverflies</v>
          </cell>
          <cell r="C1302" t="str">
            <v>Diptera</v>
          </cell>
          <cell r="D1302" t="str">
            <v>Eristalis cryptarum</v>
          </cell>
          <cell r="E1302" t="str">
            <v>CR</v>
          </cell>
          <cell r="F1302" t="str">
            <v>Ball &amp; Morris, 2014</v>
          </cell>
          <cell r="G1302" t="str">
            <v>NBNSYS0000007048</v>
          </cell>
          <cell r="H1302" t="str">
            <v>Eristalis cryptarum</v>
          </cell>
        </row>
        <row r="1303">
          <cell r="A1303" t="str">
            <v>Eristalis horticola</v>
          </cell>
          <cell r="B1303" t="str">
            <v>Hoverflies</v>
          </cell>
          <cell r="C1303" t="str">
            <v>Diptera</v>
          </cell>
          <cell r="D1303" t="str">
            <v>Eristalis horticola</v>
          </cell>
          <cell r="E1303" t="str">
            <v>LC</v>
          </cell>
          <cell r="F1303" t="str">
            <v>Ball &amp; Morris, 2014</v>
          </cell>
          <cell r="G1303" t="str">
            <v>NBNSYS0000007049</v>
          </cell>
          <cell r="H1303" t="str">
            <v>Eristalis horticola</v>
          </cell>
        </row>
        <row r="1304">
          <cell r="A1304" t="str">
            <v>Eristalis intricaria</v>
          </cell>
          <cell r="B1304" t="str">
            <v>Hoverflies</v>
          </cell>
          <cell r="C1304" t="str">
            <v>Diptera</v>
          </cell>
          <cell r="D1304" t="str">
            <v>Eristalis intricaria</v>
          </cell>
          <cell r="E1304" t="str">
            <v>LC</v>
          </cell>
          <cell r="F1304" t="str">
            <v>Ball &amp; Morris, 2014</v>
          </cell>
          <cell r="G1304" t="str">
            <v>NHMSYS0021385414</v>
          </cell>
          <cell r="H1304" t="str">
            <v>Eristalis intricaria</v>
          </cell>
        </row>
        <row r="1305">
          <cell r="A1305" t="str">
            <v>Eristalis nemorum</v>
          </cell>
          <cell r="B1305" t="str">
            <v>Hoverflies</v>
          </cell>
          <cell r="C1305" t="str">
            <v>Diptera</v>
          </cell>
          <cell r="D1305" t="str">
            <v>Eristalis nemorum</v>
          </cell>
          <cell r="E1305" t="str">
            <v>LC</v>
          </cell>
          <cell r="F1305" t="str">
            <v>Ball &amp; Morris, 2014</v>
          </cell>
          <cell r="G1305" t="str">
            <v>NBNSYS0000007051</v>
          </cell>
          <cell r="H1305" t="str">
            <v>Eristalis nemorum</v>
          </cell>
        </row>
        <row r="1306">
          <cell r="A1306" t="str">
            <v>Eristalis pertinax</v>
          </cell>
          <cell r="B1306" t="str">
            <v>Hoverflies</v>
          </cell>
          <cell r="C1306" t="str">
            <v>Diptera</v>
          </cell>
          <cell r="D1306" t="str">
            <v>Eristalis pertinax</v>
          </cell>
          <cell r="E1306" t="str">
            <v>LC</v>
          </cell>
          <cell r="F1306" t="str">
            <v>Ball &amp; Morris, 2014</v>
          </cell>
          <cell r="G1306" t="str">
            <v>NBNSYS0000007052</v>
          </cell>
          <cell r="H1306" t="str">
            <v>Eristalis pertinax</v>
          </cell>
        </row>
        <row r="1307">
          <cell r="A1307" t="str">
            <v>Eristalis rupium</v>
          </cell>
          <cell r="B1307" t="str">
            <v>Hoverflies</v>
          </cell>
          <cell r="C1307" t="str">
            <v>Diptera</v>
          </cell>
          <cell r="D1307" t="str">
            <v>Eristalis rupium</v>
          </cell>
          <cell r="E1307" t="str">
            <v>LC</v>
          </cell>
          <cell r="F1307" t="str">
            <v>Ball &amp; Morris, 2014</v>
          </cell>
          <cell r="G1307" t="str">
            <v>NBNSYS0000007053</v>
          </cell>
          <cell r="H1307" t="str">
            <v>Eristalis rupium</v>
          </cell>
        </row>
        <row r="1308">
          <cell r="A1308" t="str">
            <v>Eristalis tenax</v>
          </cell>
          <cell r="B1308" t="str">
            <v>Hoverflies</v>
          </cell>
          <cell r="C1308" t="str">
            <v>Diptera</v>
          </cell>
          <cell r="D1308" t="str">
            <v>Eristalis tenax</v>
          </cell>
          <cell r="E1308" t="str">
            <v>LC</v>
          </cell>
          <cell r="F1308" t="str">
            <v>Ball &amp; Morris, 2014</v>
          </cell>
          <cell r="G1308" t="str">
            <v>NBNSYS0000007054</v>
          </cell>
          <cell r="H1308" t="str">
            <v>Eristalis tenax</v>
          </cell>
        </row>
        <row r="1309">
          <cell r="A1309" t="str">
            <v>Eumerus funeralis</v>
          </cell>
          <cell r="B1309" t="str">
            <v>Hoverflies</v>
          </cell>
          <cell r="C1309" t="str">
            <v>Diptera</v>
          </cell>
          <cell r="D1309" t="str">
            <v>Eumerus funeralis</v>
          </cell>
          <cell r="E1309" t="str">
            <v>LC</v>
          </cell>
          <cell r="F1309" t="str">
            <v>Ball &amp; Morris, 2014</v>
          </cell>
          <cell r="G1309" t="str">
            <v>NBNSYS0100027571</v>
          </cell>
          <cell r="H1309" t="str">
            <v>Eumerus funeralis</v>
          </cell>
        </row>
        <row r="1310">
          <cell r="A1310" t="str">
            <v>Eumerus ornatus</v>
          </cell>
          <cell r="B1310" t="str">
            <v>Hoverflies</v>
          </cell>
          <cell r="C1310" t="str">
            <v>Diptera</v>
          </cell>
          <cell r="D1310" t="str">
            <v>Eumerus ornatus</v>
          </cell>
          <cell r="E1310" t="str">
            <v>LC</v>
          </cell>
          <cell r="F1310" t="str">
            <v>Ball &amp; Morris, 2014</v>
          </cell>
          <cell r="G1310" t="str">
            <v>NBNSYS0000007065</v>
          </cell>
          <cell r="H1310" t="str">
            <v>Eumerus ornatus</v>
          </cell>
        </row>
        <row r="1311">
          <cell r="A1311" t="str">
            <v>Eumerus sabulonum</v>
          </cell>
          <cell r="B1311" t="str">
            <v>Hoverflies</v>
          </cell>
          <cell r="C1311" t="str">
            <v>Diptera</v>
          </cell>
          <cell r="D1311" t="str">
            <v>Eumerus sabulonum</v>
          </cell>
          <cell r="E1311" t="str">
            <v>LC</v>
          </cell>
          <cell r="F1311" t="str">
            <v>Ball &amp; Morris, 2014</v>
          </cell>
          <cell r="G1311" t="str">
            <v>NBNSYS0000007066</v>
          </cell>
          <cell r="H1311" t="str">
            <v>Eumerus sabulonum</v>
          </cell>
        </row>
        <row r="1312">
          <cell r="A1312" t="str">
            <v>Eumerus strigatus</v>
          </cell>
          <cell r="B1312" t="str">
            <v>Hoverflies</v>
          </cell>
          <cell r="C1312" t="str">
            <v>Diptera</v>
          </cell>
          <cell r="D1312" t="str">
            <v>Eumerus strigatus</v>
          </cell>
          <cell r="E1312" t="str">
            <v>LC</v>
          </cell>
          <cell r="F1312" t="str">
            <v>Ball &amp; Morris, 2014</v>
          </cell>
          <cell r="G1312" t="str">
            <v>NBNSYS0000007067</v>
          </cell>
          <cell r="H1312" t="str">
            <v>Eumerus strigatus</v>
          </cell>
        </row>
        <row r="1313">
          <cell r="A1313" t="str">
            <v>Eupeodes corollae</v>
          </cell>
          <cell r="B1313" t="str">
            <v>Hoverflies</v>
          </cell>
          <cell r="C1313" t="str">
            <v>Diptera</v>
          </cell>
          <cell r="D1313" t="str">
            <v>Eupeodes corollae</v>
          </cell>
          <cell r="E1313" t="str">
            <v>LC</v>
          </cell>
          <cell r="F1313" t="str">
            <v>Ball &amp; Morris, 2014</v>
          </cell>
          <cell r="G1313" t="str">
            <v>NBNSYS0000006937</v>
          </cell>
          <cell r="H1313" t="str">
            <v>Eupeodes corollae</v>
          </cell>
        </row>
        <row r="1314">
          <cell r="A1314" t="str">
            <v>Eupeodes goeldlini</v>
          </cell>
          <cell r="B1314" t="str">
            <v>Hoverflies</v>
          </cell>
          <cell r="C1314" t="str">
            <v>Diptera</v>
          </cell>
          <cell r="D1314" t="str">
            <v>Eupeodes goeldlini</v>
          </cell>
          <cell r="E1314" t="str">
            <v>LC</v>
          </cell>
          <cell r="F1314" t="str">
            <v>Ball &amp; Morris, 2014</v>
          </cell>
          <cell r="G1314" t="str">
            <v>NHMSYS0020978344</v>
          </cell>
          <cell r="H1314" t="str">
            <v>Eupeodes goeldlini</v>
          </cell>
        </row>
        <row r="1315">
          <cell r="A1315" t="str">
            <v>Eupeodes latifasciatus</v>
          </cell>
          <cell r="B1315" t="str">
            <v>Hoverflies</v>
          </cell>
          <cell r="C1315" t="str">
            <v>Diptera</v>
          </cell>
          <cell r="D1315" t="str">
            <v>Eupeodes latifasciatus</v>
          </cell>
          <cell r="E1315" t="str">
            <v>LC</v>
          </cell>
          <cell r="F1315" t="str">
            <v>Ball &amp; Morris, 2014</v>
          </cell>
          <cell r="G1315" t="str">
            <v>NBNSYS0100003109</v>
          </cell>
          <cell r="H1315" t="str">
            <v>Eupeodes latifasciatus</v>
          </cell>
        </row>
        <row r="1316">
          <cell r="A1316" t="str">
            <v>Eupeodes luniger</v>
          </cell>
          <cell r="B1316" t="str">
            <v>Hoverflies</v>
          </cell>
          <cell r="C1316" t="str">
            <v>Diptera</v>
          </cell>
          <cell r="D1316" t="str">
            <v>Eupeodes luniger</v>
          </cell>
          <cell r="E1316" t="str">
            <v>LC</v>
          </cell>
          <cell r="F1316" t="str">
            <v>Ball &amp; Morris, 2014</v>
          </cell>
          <cell r="G1316" t="str">
            <v>NBNSYS0000006941</v>
          </cell>
          <cell r="H1316" t="str">
            <v>Eupeodes luniger</v>
          </cell>
        </row>
        <row r="1317">
          <cell r="A1317" t="str">
            <v>Eupeodes nielseni</v>
          </cell>
          <cell r="B1317" t="str">
            <v>Hoverflies</v>
          </cell>
          <cell r="C1317" t="str">
            <v>Diptera</v>
          </cell>
          <cell r="D1317" t="str">
            <v>Eupeodes nielseni</v>
          </cell>
          <cell r="E1317" t="str">
            <v>LC</v>
          </cell>
          <cell r="F1317" t="str">
            <v>Ball &amp; Morris, 2014</v>
          </cell>
          <cell r="G1317" t="str">
            <v>NBNSYS0100003112</v>
          </cell>
          <cell r="H1317" t="str">
            <v>Eupeodes nielseni</v>
          </cell>
        </row>
        <row r="1318">
          <cell r="A1318" t="str">
            <v>Eupeodes nitens</v>
          </cell>
          <cell r="B1318" t="str">
            <v>Hoverflies</v>
          </cell>
          <cell r="C1318" t="str">
            <v>Diptera</v>
          </cell>
          <cell r="D1318" t="str">
            <v>Eupeodes nitens</v>
          </cell>
          <cell r="E1318" t="str">
            <v>LC</v>
          </cell>
          <cell r="F1318" t="str">
            <v>Ball &amp; Morris, 2014</v>
          </cell>
          <cell r="G1318" t="str">
            <v>NBNSYS0100003113</v>
          </cell>
          <cell r="H1318" t="str">
            <v>Eupeodes nitens</v>
          </cell>
        </row>
        <row r="1319">
          <cell r="A1319" t="str">
            <v>Ferdinandea cuprea</v>
          </cell>
          <cell r="B1319" t="str">
            <v>Hoverflies</v>
          </cell>
          <cell r="C1319" t="str">
            <v>Diptera</v>
          </cell>
          <cell r="D1319" t="str">
            <v>Ferdinandea cuprea</v>
          </cell>
          <cell r="E1319" t="str">
            <v>LC</v>
          </cell>
          <cell r="F1319" t="str">
            <v>Ball &amp; Morris, 2014</v>
          </cell>
          <cell r="G1319" t="str">
            <v>NBNSYS0000007007</v>
          </cell>
          <cell r="H1319" t="str">
            <v>Ferdinandea cuprea</v>
          </cell>
        </row>
        <row r="1320">
          <cell r="A1320" t="str">
            <v>Ferdinandea ruficornis</v>
          </cell>
          <cell r="B1320" t="str">
            <v>Hoverflies</v>
          </cell>
          <cell r="C1320" t="str">
            <v>Diptera</v>
          </cell>
          <cell r="D1320" t="str">
            <v>Ferdinandea ruficornis</v>
          </cell>
          <cell r="E1320" t="str">
            <v>LC</v>
          </cell>
          <cell r="F1320" t="str">
            <v>Ball &amp; Morris, 2014</v>
          </cell>
          <cell r="G1320" t="str">
            <v>NBNSYS0000007008</v>
          </cell>
          <cell r="H1320" t="str">
            <v>Ferdinandea ruficornis</v>
          </cell>
        </row>
        <row r="1321">
          <cell r="A1321" t="str">
            <v>Helophilus hybridus</v>
          </cell>
          <cell r="B1321" t="str">
            <v>Hoverflies</v>
          </cell>
          <cell r="C1321" t="str">
            <v>Diptera</v>
          </cell>
          <cell r="D1321" t="str">
            <v>Helophilus hybridus</v>
          </cell>
          <cell r="E1321" t="str">
            <v>LC</v>
          </cell>
          <cell r="F1321" t="str">
            <v>Ball &amp; Morris, 2014</v>
          </cell>
          <cell r="G1321" t="str">
            <v>NBNSYS0000007056</v>
          </cell>
          <cell r="H1321" t="str">
            <v>Helophilus hybridus</v>
          </cell>
        </row>
        <row r="1322">
          <cell r="A1322" t="str">
            <v>Helophilus pendulus</v>
          </cell>
          <cell r="B1322" t="str">
            <v>Hoverflies</v>
          </cell>
          <cell r="C1322" t="str">
            <v>Diptera</v>
          </cell>
          <cell r="D1322" t="str">
            <v>Helophilus pendulus</v>
          </cell>
          <cell r="E1322" t="str">
            <v>LC</v>
          </cell>
          <cell r="F1322" t="str">
            <v>Ball &amp; Morris, 2014</v>
          </cell>
          <cell r="G1322" t="str">
            <v>NBNSYS0000007057</v>
          </cell>
          <cell r="H1322" t="str">
            <v>Helophilus pendulus</v>
          </cell>
        </row>
        <row r="1323">
          <cell r="A1323" t="str">
            <v>Helophilus trivittatus</v>
          </cell>
          <cell r="B1323" t="str">
            <v>Hoverflies</v>
          </cell>
          <cell r="C1323" t="str">
            <v>Diptera</v>
          </cell>
          <cell r="D1323" t="str">
            <v>Helophilus trivittatus</v>
          </cell>
          <cell r="E1323" t="str">
            <v>LC</v>
          </cell>
          <cell r="F1323" t="str">
            <v>Ball &amp; Morris, 2014</v>
          </cell>
          <cell r="G1323" t="str">
            <v>NBNSYS0000007058</v>
          </cell>
          <cell r="H1323" t="str">
            <v>Helophilus trivittatus</v>
          </cell>
        </row>
        <row r="1324">
          <cell r="A1324" t="str">
            <v>Heringia brevidens</v>
          </cell>
          <cell r="B1324" t="str">
            <v>Hoverflies</v>
          </cell>
          <cell r="C1324" t="str">
            <v>Diptera</v>
          </cell>
          <cell r="D1324" t="str">
            <v>Heringia brevidens</v>
          </cell>
          <cell r="E1324" t="str">
            <v>LC</v>
          </cell>
          <cell r="F1324" t="str">
            <v>Ball &amp; Morris, 2014</v>
          </cell>
          <cell r="G1324" t="str">
            <v>NBNSYS0100003448</v>
          </cell>
          <cell r="H1324" t="str">
            <v>Heringia brevidens</v>
          </cell>
        </row>
        <row r="1325">
          <cell r="A1325" t="str">
            <v>Heringia heringi</v>
          </cell>
          <cell r="B1325" t="str">
            <v>Hoverflies</v>
          </cell>
          <cell r="C1325" t="str">
            <v>Diptera</v>
          </cell>
          <cell r="D1325" t="str">
            <v>Heringia heringi</v>
          </cell>
          <cell r="E1325" t="str">
            <v>LC</v>
          </cell>
          <cell r="F1325" t="str">
            <v>Ball &amp; Morris, 2014</v>
          </cell>
          <cell r="G1325" t="str">
            <v>NBNSYS0000007074</v>
          </cell>
          <cell r="H1325" t="str">
            <v>Heringia heringi</v>
          </cell>
        </row>
        <row r="1326">
          <cell r="A1326" t="str">
            <v>Heringia latitarsis</v>
          </cell>
          <cell r="B1326" t="str">
            <v>Hoverflies</v>
          </cell>
          <cell r="C1326" t="str">
            <v>Diptera</v>
          </cell>
          <cell r="D1326" t="str">
            <v>Heringia latitarsis</v>
          </cell>
          <cell r="E1326" t="str">
            <v>LC</v>
          </cell>
          <cell r="F1326" t="str">
            <v>Ball &amp; Morris, 2014</v>
          </cell>
          <cell r="G1326" t="str">
            <v>NBNSYS0100003449</v>
          </cell>
          <cell r="H1326" t="str">
            <v>Heringia latitarsis</v>
          </cell>
        </row>
        <row r="1327">
          <cell r="A1327" t="str">
            <v>Heringia pubescens</v>
          </cell>
          <cell r="B1327" t="str">
            <v>Hoverflies</v>
          </cell>
          <cell r="C1327" t="str">
            <v>Diptera</v>
          </cell>
          <cell r="D1327" t="str">
            <v>Heringia pubescens</v>
          </cell>
          <cell r="E1327" t="str">
            <v>LC</v>
          </cell>
          <cell r="F1327" t="str">
            <v>Ball &amp; Morris, 2014</v>
          </cell>
          <cell r="G1327" t="str">
            <v>NBNSYS0100003450</v>
          </cell>
          <cell r="H1327" t="str">
            <v>Heringia pubescens</v>
          </cell>
        </row>
        <row r="1328">
          <cell r="A1328" t="str">
            <v>Heringia senilis</v>
          </cell>
          <cell r="B1328" t="str">
            <v>Hoverflies</v>
          </cell>
          <cell r="C1328" t="str">
            <v>Diptera</v>
          </cell>
          <cell r="D1328" t="str">
            <v>Heringia senilis</v>
          </cell>
          <cell r="E1328" t="str">
            <v>LC</v>
          </cell>
          <cell r="F1328" t="str">
            <v>Ball &amp; Morris, 2014</v>
          </cell>
          <cell r="G1328" t="str">
            <v>NBNSYS0100027468</v>
          </cell>
          <cell r="H1328" t="str">
            <v>Heringia senilis</v>
          </cell>
        </row>
        <row r="1329">
          <cell r="A1329" t="str">
            <v>Heringia vitripennis</v>
          </cell>
          <cell r="B1329" t="str">
            <v>Hoverflies</v>
          </cell>
          <cell r="C1329" t="str">
            <v>Diptera</v>
          </cell>
          <cell r="D1329" t="str">
            <v>Heringia vitripennis</v>
          </cell>
          <cell r="E1329" t="str">
            <v>LC</v>
          </cell>
          <cell r="F1329" t="str">
            <v>Ball &amp; Morris, 2014</v>
          </cell>
          <cell r="G1329" t="str">
            <v>NBNSYS0100003452</v>
          </cell>
          <cell r="H1329" t="str">
            <v>Heringia vitripennis</v>
          </cell>
        </row>
        <row r="1330">
          <cell r="A1330" t="str">
            <v>Lejogaster metallina</v>
          </cell>
          <cell r="B1330" t="str">
            <v>Hoverflies</v>
          </cell>
          <cell r="C1330" t="str">
            <v>Diptera</v>
          </cell>
          <cell r="D1330" t="str">
            <v>Lejogaster metallina</v>
          </cell>
          <cell r="E1330" t="str">
            <v>LC</v>
          </cell>
          <cell r="F1330" t="str">
            <v>Ball &amp; Morris, 2014</v>
          </cell>
          <cell r="G1330" t="str">
            <v>NBNSYS0000007022</v>
          </cell>
          <cell r="H1330" t="str">
            <v>Lejogaster metallina</v>
          </cell>
        </row>
        <row r="1331">
          <cell r="A1331" t="str">
            <v>Lejogaster tarsata</v>
          </cell>
          <cell r="B1331" t="str">
            <v>Hoverflies</v>
          </cell>
          <cell r="C1331" t="str">
            <v>Diptera</v>
          </cell>
          <cell r="D1331" t="str">
            <v>Lejogaster tarsata</v>
          </cell>
          <cell r="E1331" t="str">
            <v>LC</v>
          </cell>
          <cell r="F1331" t="str">
            <v>Ball &amp; Morris, 2014</v>
          </cell>
          <cell r="G1331" t="str">
            <v>NBNSYS0000150120</v>
          </cell>
          <cell r="H1331" t="str">
            <v>Lejogaster tarsata</v>
          </cell>
        </row>
        <row r="1332">
          <cell r="A1332" t="str">
            <v>Lejops vittatus</v>
          </cell>
          <cell r="B1332" t="str">
            <v>Hoverflies</v>
          </cell>
          <cell r="C1332" t="str">
            <v>Diptera</v>
          </cell>
          <cell r="D1332" t="str">
            <v>Lejops vittatus</v>
          </cell>
          <cell r="E1332" t="str">
            <v>NT</v>
          </cell>
          <cell r="F1332" t="str">
            <v>Ball &amp; Morris, 2014</v>
          </cell>
          <cell r="G1332" t="str">
            <v>NBNSYS0100003702</v>
          </cell>
          <cell r="H1332" t="str">
            <v>Lejops vittatus</v>
          </cell>
        </row>
        <row r="1333">
          <cell r="A1333" t="str">
            <v>Leucozona glaucia</v>
          </cell>
          <cell r="B1333" t="str">
            <v>Hoverflies</v>
          </cell>
          <cell r="C1333" t="str">
            <v>Diptera</v>
          </cell>
          <cell r="D1333" t="str">
            <v>Leucozona glaucia</v>
          </cell>
          <cell r="E1333" t="str">
            <v>LC</v>
          </cell>
          <cell r="F1333" t="str">
            <v>Ball &amp; Morris, 2014</v>
          </cell>
          <cell r="G1333" t="str">
            <v>NBNSYS0000006918</v>
          </cell>
          <cell r="H1333" t="str">
            <v>Leucozona glaucia</v>
          </cell>
        </row>
        <row r="1334">
          <cell r="A1334" t="str">
            <v>Leucozona laternaria</v>
          </cell>
          <cell r="B1334" t="str">
            <v>Hoverflies</v>
          </cell>
          <cell r="C1334" t="str">
            <v>Diptera</v>
          </cell>
          <cell r="D1334" t="str">
            <v>Leucozona laternaria</v>
          </cell>
          <cell r="E1334" t="str">
            <v>LC</v>
          </cell>
          <cell r="F1334" t="str">
            <v>Ball &amp; Morris, 2014</v>
          </cell>
          <cell r="G1334" t="str">
            <v>NBNSYS0000006919</v>
          </cell>
          <cell r="H1334" t="str">
            <v>Leucozona laternaria</v>
          </cell>
        </row>
        <row r="1335">
          <cell r="A1335" t="str">
            <v>Leucozona lucorum</v>
          </cell>
          <cell r="B1335" t="str">
            <v>Hoverflies</v>
          </cell>
          <cell r="C1335" t="str">
            <v>Diptera</v>
          </cell>
          <cell r="D1335" t="str">
            <v>Leucozona lucorum</v>
          </cell>
          <cell r="E1335" t="str">
            <v>LC</v>
          </cell>
          <cell r="F1335" t="str">
            <v>Ball &amp; Morris, 2014</v>
          </cell>
          <cell r="G1335" t="str">
            <v>NBNSYS0000006920</v>
          </cell>
          <cell r="H1335" t="str">
            <v>Leucozona lucorum</v>
          </cell>
        </row>
        <row r="1336">
          <cell r="A1336" t="str">
            <v>Mallota cimbiciformis</v>
          </cell>
          <cell r="B1336" t="str">
            <v>Hoverflies</v>
          </cell>
          <cell r="C1336" t="str">
            <v>Diptera</v>
          </cell>
          <cell r="D1336" t="str">
            <v>Mallota cimbiciformis</v>
          </cell>
          <cell r="E1336" t="str">
            <v>LC</v>
          </cell>
          <cell r="F1336" t="str">
            <v>Ball &amp; Morris, 2014</v>
          </cell>
          <cell r="G1336" t="str">
            <v>NBNSYS0000007060</v>
          </cell>
          <cell r="H1336" t="str">
            <v>Mallota cimbiciformis</v>
          </cell>
        </row>
        <row r="1337">
          <cell r="A1337" t="str">
            <v>Megasyrphus erraticus</v>
          </cell>
          <cell r="B1337" t="str">
            <v>Hoverflies</v>
          </cell>
          <cell r="C1337" t="str">
            <v>Diptera</v>
          </cell>
          <cell r="D1337" t="str">
            <v>Megasyrphus erraticus</v>
          </cell>
          <cell r="E1337" t="str">
            <v>LC</v>
          </cell>
          <cell r="F1337" t="str">
            <v>Ball &amp; Morris, 2014</v>
          </cell>
          <cell r="G1337" t="str">
            <v>NHMSYS0021405204</v>
          </cell>
          <cell r="H1337" t="str">
            <v>Megasyrphus erraticus</v>
          </cell>
        </row>
        <row r="1338">
          <cell r="A1338" t="str">
            <v>Melangyna arctica</v>
          </cell>
          <cell r="B1338" t="str">
            <v>Hoverflies</v>
          </cell>
          <cell r="C1338" t="str">
            <v>Diptera</v>
          </cell>
          <cell r="D1338" t="str">
            <v>Melangyna arctica</v>
          </cell>
          <cell r="E1338" t="str">
            <v>LC</v>
          </cell>
          <cell r="F1338" t="str">
            <v>Ball &amp; Morris, 2014</v>
          </cell>
          <cell r="G1338" t="str">
            <v>NBNSYS0000006922</v>
          </cell>
          <cell r="H1338" t="str">
            <v>Melangyna arctica</v>
          </cell>
        </row>
        <row r="1339">
          <cell r="A1339" t="str">
            <v>Melangyna barbifrons</v>
          </cell>
          <cell r="B1339" t="str">
            <v>Hoverflies</v>
          </cell>
          <cell r="C1339" t="str">
            <v>Diptera</v>
          </cell>
          <cell r="D1339" t="str">
            <v>Melangyna barbifrons</v>
          </cell>
          <cell r="E1339" t="str">
            <v>NT</v>
          </cell>
          <cell r="F1339" t="str">
            <v>Ball &amp; Morris, 2014</v>
          </cell>
          <cell r="G1339" t="str">
            <v>NBNSYS0000006923</v>
          </cell>
          <cell r="H1339" t="str">
            <v>Melangyna barbifrons</v>
          </cell>
        </row>
        <row r="1340">
          <cell r="A1340" t="str">
            <v>Melangyna cincta</v>
          </cell>
          <cell r="B1340" t="str">
            <v>Hoverflies</v>
          </cell>
          <cell r="C1340" t="str">
            <v>Diptera</v>
          </cell>
          <cell r="D1340" t="str">
            <v>Melangyna cincta</v>
          </cell>
          <cell r="E1340" t="str">
            <v>LC</v>
          </cell>
          <cell r="F1340" t="str">
            <v>Ball &amp; Morris, 2014</v>
          </cell>
          <cell r="G1340" t="str">
            <v>NBNSYS0000006930</v>
          </cell>
          <cell r="H1340" t="str">
            <v>Melangyna cincta</v>
          </cell>
        </row>
        <row r="1341">
          <cell r="A1341" t="str">
            <v>Melangyna compositarum</v>
          </cell>
          <cell r="B1341" t="str">
            <v>Hoverflies</v>
          </cell>
          <cell r="C1341" t="str">
            <v>Diptera</v>
          </cell>
          <cell r="D1341" t="str">
            <v>Melangyna compositarum</v>
          </cell>
          <cell r="E1341" t="str">
            <v>LC</v>
          </cell>
          <cell r="F1341" t="str">
            <v>Ball &amp; Morris, 2014</v>
          </cell>
          <cell r="G1341" t="str">
            <v>NBNSYS0000006924</v>
          </cell>
          <cell r="H1341" t="str">
            <v>Melangyna compositarum</v>
          </cell>
        </row>
        <row r="1342">
          <cell r="A1342" t="str">
            <v>Melangyna labiatarum</v>
          </cell>
          <cell r="B1342" t="str">
            <v>Hoverflies</v>
          </cell>
          <cell r="C1342" t="str">
            <v>Diptera</v>
          </cell>
          <cell r="D1342" t="str">
            <v>Melangyna labiatarum</v>
          </cell>
          <cell r="E1342" t="str">
            <v>LC</v>
          </cell>
          <cell r="F1342" t="str">
            <v>Ball &amp; Morris, 2014</v>
          </cell>
          <cell r="G1342" t="str">
            <v>NBNSYS0000006926</v>
          </cell>
          <cell r="H1342" t="str">
            <v>Melangyna labiatarum</v>
          </cell>
        </row>
        <row r="1343">
          <cell r="A1343" t="str">
            <v>Melangyna lasiophthalma</v>
          </cell>
          <cell r="B1343" t="str">
            <v>Hoverflies</v>
          </cell>
          <cell r="C1343" t="str">
            <v>Diptera</v>
          </cell>
          <cell r="D1343" t="str">
            <v>Melangyna lasiophthalma</v>
          </cell>
          <cell r="E1343" t="str">
            <v>LC</v>
          </cell>
          <cell r="F1343" t="str">
            <v>Ball &amp; Morris, 2014</v>
          </cell>
          <cell r="G1343" t="str">
            <v>NBNSYS0000006927</v>
          </cell>
          <cell r="H1343" t="str">
            <v>Melangyna lasiophthalma</v>
          </cell>
        </row>
        <row r="1344">
          <cell r="A1344" t="str">
            <v>Melangyna quadrimaculata</v>
          </cell>
          <cell r="B1344" t="str">
            <v>Hoverflies</v>
          </cell>
          <cell r="C1344" t="str">
            <v>Diptera</v>
          </cell>
          <cell r="D1344" t="str">
            <v>Melangyna quadrimaculata</v>
          </cell>
          <cell r="E1344" t="str">
            <v>LC</v>
          </cell>
          <cell r="F1344" t="str">
            <v>Ball &amp; Morris, 2014</v>
          </cell>
          <cell r="G1344" t="str">
            <v>NBNSYS0000006928</v>
          </cell>
          <cell r="H1344" t="str">
            <v>Melangyna quadrimaculata</v>
          </cell>
        </row>
        <row r="1345">
          <cell r="A1345" t="str">
            <v>Melangyna umbellatarum</v>
          </cell>
          <cell r="B1345" t="str">
            <v>Hoverflies</v>
          </cell>
          <cell r="C1345" t="str">
            <v>Diptera</v>
          </cell>
          <cell r="D1345" t="str">
            <v>Melangyna umbellatarum</v>
          </cell>
          <cell r="E1345" t="str">
            <v>LC</v>
          </cell>
          <cell r="F1345" t="str">
            <v>Ball &amp; Morris, 2014</v>
          </cell>
          <cell r="G1345" t="str">
            <v>NBNSYS0000006929</v>
          </cell>
          <cell r="H1345" t="str">
            <v>Melangyna umbellatarum</v>
          </cell>
        </row>
        <row r="1346">
          <cell r="A1346" t="str">
            <v>Melanogaster aerosa</v>
          </cell>
          <cell r="B1346" t="str">
            <v>Hoverflies</v>
          </cell>
          <cell r="C1346" t="str">
            <v>Diptera</v>
          </cell>
          <cell r="D1346" t="str">
            <v>Melanogaster aerosa</v>
          </cell>
          <cell r="E1346" t="str">
            <v>LC</v>
          </cell>
          <cell r="F1346" t="str">
            <v>Ball &amp; Morris, 2014</v>
          </cell>
          <cell r="G1346" t="str">
            <v>NBNSYS0100003968</v>
          </cell>
          <cell r="H1346" t="str">
            <v>Melanogaster aerosa</v>
          </cell>
        </row>
        <row r="1347">
          <cell r="A1347" t="str">
            <v>Melanogaster hirtella</v>
          </cell>
          <cell r="B1347" t="str">
            <v>Hoverflies</v>
          </cell>
          <cell r="C1347" t="str">
            <v>Diptera</v>
          </cell>
          <cell r="D1347" t="str">
            <v>Melanogaster hirtella</v>
          </cell>
          <cell r="E1347" t="str">
            <v>LC</v>
          </cell>
          <cell r="F1347" t="str">
            <v>Ball &amp; Morris, 2014</v>
          </cell>
          <cell r="G1347" t="str">
            <v>NBNSYS0100003969</v>
          </cell>
          <cell r="H1347" t="str">
            <v>Melanogaster hirtella</v>
          </cell>
        </row>
        <row r="1348">
          <cell r="A1348" t="str">
            <v>Melanostoma dubium</v>
          </cell>
          <cell r="B1348" t="str">
            <v>Hoverflies</v>
          </cell>
          <cell r="C1348" t="str">
            <v>Diptera</v>
          </cell>
          <cell r="D1348" t="str">
            <v>Melanostoma dubium</v>
          </cell>
          <cell r="E1348" t="str">
            <v>LC</v>
          </cell>
          <cell r="F1348" t="str">
            <v>Ball &amp; Morris, 2014</v>
          </cell>
          <cell r="G1348" t="str">
            <v>NBNSYS0000006865</v>
          </cell>
          <cell r="H1348" t="str">
            <v>Melanostoma dubium</v>
          </cell>
        </row>
        <row r="1349">
          <cell r="A1349" t="str">
            <v>Melanostoma mellinum</v>
          </cell>
          <cell r="B1349" t="str">
            <v>Hoverflies</v>
          </cell>
          <cell r="C1349" t="str">
            <v>Diptera</v>
          </cell>
          <cell r="D1349" t="str">
            <v>Melanostoma mellinum</v>
          </cell>
          <cell r="E1349" t="str">
            <v>LC</v>
          </cell>
          <cell r="F1349" t="str">
            <v>Ball &amp; Morris, 2014</v>
          </cell>
          <cell r="G1349" t="str">
            <v>NBNSYS0000006866</v>
          </cell>
          <cell r="H1349" t="str">
            <v>Melanostoma mellinum</v>
          </cell>
        </row>
        <row r="1350">
          <cell r="A1350" t="str">
            <v>Melanostoma scalare</v>
          </cell>
          <cell r="B1350" t="str">
            <v>Hoverflies</v>
          </cell>
          <cell r="C1350" t="str">
            <v>Diptera</v>
          </cell>
          <cell r="D1350" t="str">
            <v>Melanostoma scalare</v>
          </cell>
          <cell r="E1350" t="str">
            <v>LC</v>
          </cell>
          <cell r="F1350" t="str">
            <v>Ball &amp; Morris, 2014</v>
          </cell>
          <cell r="G1350" t="str">
            <v>NBNSYS0000006867</v>
          </cell>
          <cell r="H1350" t="str">
            <v>Melanostoma scalare</v>
          </cell>
        </row>
        <row r="1351">
          <cell r="A1351" t="str">
            <v>Meligramma euchromum</v>
          </cell>
          <cell r="B1351" t="str">
            <v>Hoverflies</v>
          </cell>
          <cell r="C1351" t="str">
            <v>Diptera</v>
          </cell>
          <cell r="D1351" t="str">
            <v>Meligramma euchromum</v>
          </cell>
          <cell r="E1351" t="str">
            <v>LC</v>
          </cell>
          <cell r="F1351" t="str">
            <v>Ball &amp; Morris, 2014</v>
          </cell>
          <cell r="G1351" t="str">
            <v>NBNSYS0100003973</v>
          </cell>
          <cell r="H1351" t="str">
            <v>Meligramma euchromum</v>
          </cell>
        </row>
        <row r="1352">
          <cell r="A1352" t="str">
            <v>Meligramma guttatum</v>
          </cell>
          <cell r="B1352" t="str">
            <v>Hoverflies</v>
          </cell>
          <cell r="C1352" t="str">
            <v>Diptera</v>
          </cell>
          <cell r="D1352" t="str">
            <v>Meligramma guttatum</v>
          </cell>
          <cell r="E1352" t="str">
            <v>LC</v>
          </cell>
          <cell r="F1352" t="str">
            <v>Ball &amp; Morris, 2014</v>
          </cell>
          <cell r="G1352" t="str">
            <v>NBNSYS0100003975</v>
          </cell>
          <cell r="H1352" t="str">
            <v>Meligramma guttatum</v>
          </cell>
        </row>
        <row r="1353">
          <cell r="A1353" t="str">
            <v>Meligramma trianguliferum</v>
          </cell>
          <cell r="B1353" t="str">
            <v>Hoverflies</v>
          </cell>
          <cell r="C1353" t="str">
            <v>Diptera</v>
          </cell>
          <cell r="D1353" t="str">
            <v>Meligramma trianguliferum</v>
          </cell>
          <cell r="E1353" t="str">
            <v>LC</v>
          </cell>
          <cell r="F1353" t="str">
            <v>Ball &amp; Morris, 2014</v>
          </cell>
          <cell r="G1353" t="str">
            <v>NBNSYS0100003977</v>
          </cell>
          <cell r="H1353" t="str">
            <v>Meligramma trianguliferum</v>
          </cell>
        </row>
        <row r="1354">
          <cell r="A1354" t="str">
            <v>Meliscaeva auricollis</v>
          </cell>
          <cell r="B1354" t="str">
            <v>Hoverflies</v>
          </cell>
          <cell r="C1354" t="str">
            <v>Diptera</v>
          </cell>
          <cell r="D1354" t="str">
            <v>Meliscaeva auricollis</v>
          </cell>
          <cell r="E1354" t="str">
            <v>LC</v>
          </cell>
          <cell r="F1354" t="str">
            <v>Ball &amp; Morris, 2014</v>
          </cell>
          <cell r="G1354" t="str">
            <v>NBNSYS0000006933</v>
          </cell>
          <cell r="H1354" t="str">
            <v>Meliscaeva auricollis</v>
          </cell>
        </row>
        <row r="1355">
          <cell r="A1355" t="str">
            <v>Meliscaeva cinctella</v>
          </cell>
          <cell r="B1355" t="str">
            <v>Hoverflies</v>
          </cell>
          <cell r="C1355" t="str">
            <v>Diptera</v>
          </cell>
          <cell r="D1355" t="str">
            <v>Meliscaeva cinctella</v>
          </cell>
          <cell r="E1355" t="str">
            <v>LC</v>
          </cell>
          <cell r="F1355" t="str">
            <v>Ball &amp; Morris, 2014</v>
          </cell>
          <cell r="G1355" t="str">
            <v>NBNSYS0000006934</v>
          </cell>
          <cell r="H1355" t="str">
            <v>Meliscaeva cinctella</v>
          </cell>
        </row>
        <row r="1356">
          <cell r="A1356" t="str">
            <v>Merodon equestris</v>
          </cell>
          <cell r="B1356" t="str">
            <v>Hoverflies</v>
          </cell>
          <cell r="C1356" t="str">
            <v>Diptera</v>
          </cell>
          <cell r="D1356" t="str">
            <v>Merodon equestris</v>
          </cell>
          <cell r="E1356" t="str">
            <v>LC</v>
          </cell>
          <cell r="F1356" t="str">
            <v>Ball &amp; Morris, 2014</v>
          </cell>
          <cell r="G1356" t="str">
            <v>NBNSYS0000007069</v>
          </cell>
          <cell r="H1356" t="str">
            <v>Merodon equestris</v>
          </cell>
        </row>
        <row r="1357">
          <cell r="A1357" t="str">
            <v>Microdon analis</v>
          </cell>
          <cell r="B1357" t="str">
            <v>Hoverflies</v>
          </cell>
          <cell r="C1357" t="str">
            <v>Diptera</v>
          </cell>
          <cell r="D1357" t="str">
            <v>Microdon analis</v>
          </cell>
          <cell r="E1357" t="str">
            <v>LC</v>
          </cell>
          <cell r="F1357" t="str">
            <v>Ball &amp; Morris, 2014</v>
          </cell>
          <cell r="G1357" t="str">
            <v>NBNSYS0100004052</v>
          </cell>
          <cell r="H1357" t="str">
            <v>Microdon analis</v>
          </cell>
        </row>
        <row r="1358">
          <cell r="A1358" t="str">
            <v>Microdon devius</v>
          </cell>
          <cell r="B1358" t="str">
            <v>Hoverflies</v>
          </cell>
          <cell r="C1358" t="str">
            <v>Diptera</v>
          </cell>
          <cell r="D1358" t="str">
            <v>Microdon devius</v>
          </cell>
          <cell r="E1358" t="str">
            <v>NT</v>
          </cell>
          <cell r="F1358" t="str">
            <v>Ball &amp; Morris, 2014</v>
          </cell>
          <cell r="G1358" t="str">
            <v>NBNSYS0000007119</v>
          </cell>
          <cell r="H1358" t="str">
            <v>Microdon devius</v>
          </cell>
        </row>
        <row r="1359">
          <cell r="A1359" t="str">
            <v>Microdon myrmicae</v>
          </cell>
          <cell r="B1359" t="str">
            <v>Hoverflies</v>
          </cell>
          <cell r="C1359" t="str">
            <v>Diptera</v>
          </cell>
          <cell r="D1359" t="str">
            <v>Microdon myrmicae</v>
          </cell>
          <cell r="E1359" t="str">
            <v>LC</v>
          </cell>
          <cell r="F1359" t="str">
            <v>Ball &amp; Morris, 2014</v>
          </cell>
          <cell r="G1359" t="str">
            <v>NBNSYS0100027470</v>
          </cell>
          <cell r="H1359" t="str">
            <v>Microdon myrmicae</v>
          </cell>
        </row>
        <row r="1360">
          <cell r="A1360" t="str">
            <v>Myathropa florea</v>
          </cell>
          <cell r="B1360" t="str">
            <v>Hoverflies</v>
          </cell>
          <cell r="C1360" t="str">
            <v>Diptera</v>
          </cell>
          <cell r="D1360" t="str">
            <v>Myathropa florea</v>
          </cell>
          <cell r="E1360" t="str">
            <v>LC</v>
          </cell>
          <cell r="F1360" t="str">
            <v>Ball &amp; Morris, 2014</v>
          </cell>
          <cell r="G1360" t="str">
            <v>NBNSYS0000007061</v>
          </cell>
          <cell r="H1360" t="str">
            <v>Myathropa florea</v>
          </cell>
        </row>
        <row r="1361">
          <cell r="A1361" t="str">
            <v>Mylopeta dubia</v>
          </cell>
          <cell r="B1361" t="str">
            <v>Hoverflies</v>
          </cell>
          <cell r="C1361" t="str">
            <v>Diptera</v>
          </cell>
          <cell r="D1361" t="str">
            <v>Mylopeta dubia</v>
          </cell>
          <cell r="E1361" t="str">
            <v>LC</v>
          </cell>
          <cell r="F1361" t="str">
            <v>Ball &amp; Morris, 2014</v>
          </cell>
          <cell r="G1361" t="str">
            <v>NBNSYS0100004156</v>
          </cell>
          <cell r="H1361" t="str">
            <v>Mylopeta dubia</v>
          </cell>
        </row>
        <row r="1362">
          <cell r="A1362" t="str">
            <v>Mylopeta potens</v>
          </cell>
          <cell r="B1362" t="str">
            <v>Hoverflies</v>
          </cell>
          <cell r="C1362" t="str">
            <v>Diptera</v>
          </cell>
          <cell r="D1362" t="str">
            <v>Mylopeta potens</v>
          </cell>
          <cell r="E1362" t="str">
            <v>CR</v>
          </cell>
          <cell r="F1362" t="str">
            <v>Ball &amp; Morris, 2014</v>
          </cell>
          <cell r="G1362" t="str">
            <v>NBNSYS0000007025</v>
          </cell>
          <cell r="H1362" t="str">
            <v>Mylopeta potens</v>
          </cell>
        </row>
        <row r="1363">
          <cell r="A1363" t="str">
            <v>Neoascia geniculata</v>
          </cell>
          <cell r="B1363" t="str">
            <v>Hoverflies</v>
          </cell>
          <cell r="C1363" t="str">
            <v>Diptera</v>
          </cell>
          <cell r="D1363" t="str">
            <v>Neoascia geniculata</v>
          </cell>
          <cell r="E1363" t="str">
            <v>LC</v>
          </cell>
          <cell r="F1363" t="str">
            <v>Ball &amp; Morris, 2014</v>
          </cell>
          <cell r="G1363" t="str">
            <v>NBNSYS0000007026</v>
          </cell>
          <cell r="H1363" t="str">
            <v>Neoascia geniculata</v>
          </cell>
        </row>
        <row r="1364">
          <cell r="A1364" t="str">
            <v>Neoascia interrupta</v>
          </cell>
          <cell r="B1364" t="str">
            <v>Hoverflies</v>
          </cell>
          <cell r="C1364" t="str">
            <v>Diptera</v>
          </cell>
          <cell r="D1364" t="str">
            <v>Neoascia interrupta</v>
          </cell>
          <cell r="E1364" t="str">
            <v>LC</v>
          </cell>
          <cell r="F1364" t="str">
            <v>Ball &amp; Morris, 2014</v>
          </cell>
          <cell r="G1364" t="str">
            <v>NBNSYS0000007027</v>
          </cell>
          <cell r="H1364" t="str">
            <v>Neoascia interrupta</v>
          </cell>
        </row>
        <row r="1365">
          <cell r="A1365" t="str">
            <v>Neoascia meticulosa</v>
          </cell>
          <cell r="B1365" t="str">
            <v>Hoverflies</v>
          </cell>
          <cell r="C1365" t="str">
            <v>Diptera</v>
          </cell>
          <cell r="D1365" t="str">
            <v>Neoascia meticulosa</v>
          </cell>
          <cell r="E1365" t="str">
            <v>LC</v>
          </cell>
          <cell r="F1365" t="str">
            <v>Ball &amp; Morris, 2014</v>
          </cell>
          <cell r="G1365" t="str">
            <v>NBNSYS0000007028</v>
          </cell>
          <cell r="H1365" t="str">
            <v>Neoascia meticulosa</v>
          </cell>
        </row>
        <row r="1366">
          <cell r="A1366" t="str">
            <v>Neoascia obliqua</v>
          </cell>
          <cell r="B1366" t="str">
            <v>Hoverflies</v>
          </cell>
          <cell r="C1366" t="str">
            <v>Diptera</v>
          </cell>
          <cell r="D1366" t="str">
            <v>Neoascia obliqua</v>
          </cell>
          <cell r="E1366" t="str">
            <v>LC</v>
          </cell>
          <cell r="F1366" t="str">
            <v>Ball &amp; Morris, 2014</v>
          </cell>
          <cell r="G1366" t="str">
            <v>NBNSYS0000007029</v>
          </cell>
          <cell r="H1366" t="str">
            <v>Neoascia obliqua</v>
          </cell>
        </row>
        <row r="1367">
          <cell r="A1367" t="str">
            <v>Neoascia podagrica</v>
          </cell>
          <cell r="B1367" t="str">
            <v>Hoverflies</v>
          </cell>
          <cell r="C1367" t="str">
            <v>Diptera</v>
          </cell>
          <cell r="D1367" t="str">
            <v>Neoascia podagrica</v>
          </cell>
          <cell r="E1367" t="str">
            <v>LC</v>
          </cell>
          <cell r="F1367" t="str">
            <v>Ball &amp; Morris, 2014</v>
          </cell>
          <cell r="G1367" t="str">
            <v>NBNSYS0000007030</v>
          </cell>
          <cell r="H1367" t="str">
            <v>Neoascia podagrica</v>
          </cell>
        </row>
        <row r="1368">
          <cell r="A1368" t="str">
            <v>Neoascia tenur</v>
          </cell>
          <cell r="B1368" t="str">
            <v>Hoverflies</v>
          </cell>
          <cell r="C1368" t="str">
            <v>Diptera</v>
          </cell>
          <cell r="D1368" t="str">
            <v>Neoascia tenur</v>
          </cell>
          <cell r="E1368" t="str">
            <v>LC</v>
          </cell>
          <cell r="F1368" t="str">
            <v>Ball &amp; Morris, 2014</v>
          </cell>
          <cell r="G1368" t="str">
            <v>NBNSYS0000007031</v>
          </cell>
          <cell r="H1368" t="str">
            <v>Neoascia tenur</v>
          </cell>
        </row>
        <row r="1369">
          <cell r="A1369" t="str">
            <v>Orthonevra brevicornis</v>
          </cell>
          <cell r="B1369" t="str">
            <v>Hoverflies</v>
          </cell>
          <cell r="C1369" t="str">
            <v>Diptera</v>
          </cell>
          <cell r="D1369" t="str">
            <v>Orthonevra brevicornis</v>
          </cell>
          <cell r="E1369" t="str">
            <v>LC</v>
          </cell>
          <cell r="F1369" t="str">
            <v>Ball &amp; Morris, 2014</v>
          </cell>
          <cell r="G1369" t="str">
            <v>NBNSYS0000007032</v>
          </cell>
          <cell r="H1369" t="str">
            <v>Orthonevra brevicornis</v>
          </cell>
        </row>
        <row r="1370">
          <cell r="A1370" t="str">
            <v>Orthonevra geniculata</v>
          </cell>
          <cell r="B1370" t="str">
            <v>Hoverflies</v>
          </cell>
          <cell r="C1370" t="str">
            <v>Diptera</v>
          </cell>
          <cell r="D1370" t="str">
            <v>Orthonevra geniculata</v>
          </cell>
          <cell r="E1370" t="str">
            <v>LC</v>
          </cell>
          <cell r="F1370" t="str">
            <v>Ball &amp; Morris, 2014</v>
          </cell>
          <cell r="G1370" t="str">
            <v>NBNSYS0000007033</v>
          </cell>
          <cell r="H1370" t="str">
            <v>Orthonevra geniculata</v>
          </cell>
        </row>
        <row r="1371">
          <cell r="A1371" t="str">
            <v>Orthonevra nobilis</v>
          </cell>
          <cell r="B1371" t="str">
            <v>Hoverflies</v>
          </cell>
          <cell r="C1371" t="str">
            <v>Diptera</v>
          </cell>
          <cell r="D1371" t="str">
            <v>Orthonevra nobilis</v>
          </cell>
          <cell r="E1371" t="str">
            <v>LC</v>
          </cell>
          <cell r="F1371" t="str">
            <v>Ball &amp; Morris, 2014</v>
          </cell>
          <cell r="G1371" t="str">
            <v>NBNSYS0000007034</v>
          </cell>
          <cell r="H1371" t="str">
            <v>Orthonevra nobilis</v>
          </cell>
        </row>
        <row r="1372">
          <cell r="A1372" t="str">
            <v>Paragus albifrons</v>
          </cell>
          <cell r="B1372" t="str">
            <v>Hoverflies</v>
          </cell>
          <cell r="C1372" t="str">
            <v>Diptera</v>
          </cell>
          <cell r="D1372" t="str">
            <v>Paragus albifrons</v>
          </cell>
          <cell r="E1372" t="str">
            <v>CR</v>
          </cell>
          <cell r="F1372" t="str">
            <v>Ball &amp; Morris, 2014</v>
          </cell>
          <cell r="G1372" t="str">
            <v>NBNSYS0000006892</v>
          </cell>
          <cell r="H1372" t="str">
            <v>Paragus albifrons</v>
          </cell>
        </row>
        <row r="1373">
          <cell r="A1373" t="str">
            <v>Paragus constrictus</v>
          </cell>
          <cell r="B1373" t="str">
            <v>Hoverflies</v>
          </cell>
          <cell r="C1373" t="str">
            <v>Diptera</v>
          </cell>
          <cell r="D1373" t="str">
            <v>Paragus constrictus</v>
          </cell>
          <cell r="E1373" t="str">
            <v>LC</v>
          </cell>
          <cell r="F1373" t="str">
            <v>Ball &amp; Morris, 2014</v>
          </cell>
          <cell r="G1373" t="str">
            <v>NBNSYS0000042529</v>
          </cell>
          <cell r="H1373" t="str">
            <v>Paragus constrictus</v>
          </cell>
        </row>
        <row r="1374">
          <cell r="A1374" t="str">
            <v>Paragus haemorrhous</v>
          </cell>
          <cell r="B1374" t="str">
            <v>Hoverflies</v>
          </cell>
          <cell r="C1374" t="str">
            <v>Diptera</v>
          </cell>
          <cell r="D1374" t="str">
            <v>Paragus haemorrhous</v>
          </cell>
          <cell r="E1374" t="str">
            <v>LC</v>
          </cell>
          <cell r="F1374" t="str">
            <v>Ball &amp; Morris, 2014</v>
          </cell>
          <cell r="G1374" t="str">
            <v>NBNSYS0000006890</v>
          </cell>
          <cell r="H1374" t="str">
            <v>Paragus haemorrhous</v>
          </cell>
        </row>
        <row r="1375">
          <cell r="A1375" t="str">
            <v>Paragus tibialis</v>
          </cell>
          <cell r="B1375" t="str">
            <v>Hoverflies</v>
          </cell>
          <cell r="C1375" t="str">
            <v>Diptera</v>
          </cell>
          <cell r="D1375" t="str">
            <v>Paragus tibialis</v>
          </cell>
          <cell r="E1375" t="str">
            <v>NT</v>
          </cell>
          <cell r="F1375" t="str">
            <v>Ball &amp; Morris, 2014</v>
          </cell>
          <cell r="G1375" t="str">
            <v>NBNSYS0000006891</v>
          </cell>
          <cell r="H1375" t="str">
            <v>Paragus tibialis</v>
          </cell>
        </row>
        <row r="1376">
          <cell r="A1376" t="str">
            <v>Parasyrphus annulatus</v>
          </cell>
          <cell r="B1376" t="str">
            <v>Hoverflies</v>
          </cell>
          <cell r="C1376" t="str">
            <v>Diptera</v>
          </cell>
          <cell r="D1376" t="str">
            <v>Parasyrphus annulatus</v>
          </cell>
          <cell r="E1376" t="str">
            <v>LC</v>
          </cell>
          <cell r="F1376" t="str">
            <v>Ball &amp; Morris, 2014</v>
          </cell>
          <cell r="G1376" t="str">
            <v>NBNSYS0000006943</v>
          </cell>
          <cell r="H1376" t="str">
            <v>Parasyrphus annulatus</v>
          </cell>
        </row>
        <row r="1377">
          <cell r="A1377" t="str">
            <v>Parasyrphus lineola</v>
          </cell>
          <cell r="B1377" t="str">
            <v>Hoverflies</v>
          </cell>
          <cell r="C1377" t="str">
            <v>Diptera</v>
          </cell>
          <cell r="D1377" t="str">
            <v>Parasyrphus lineola</v>
          </cell>
          <cell r="E1377" t="str">
            <v>LC</v>
          </cell>
          <cell r="F1377" t="str">
            <v>Ball &amp; Morris, 2014</v>
          </cell>
          <cell r="G1377" t="str">
            <v>NBNSYS0100004457</v>
          </cell>
          <cell r="H1377" t="str">
            <v>Parasyrphus lineola</v>
          </cell>
        </row>
        <row r="1378">
          <cell r="A1378" t="str">
            <v>Parasyrphus malinellus</v>
          </cell>
          <cell r="B1378" t="str">
            <v>Hoverflies</v>
          </cell>
          <cell r="C1378" t="str">
            <v>Diptera</v>
          </cell>
          <cell r="D1378" t="str">
            <v>Parasyrphus malinellus</v>
          </cell>
          <cell r="E1378" t="str">
            <v>LC</v>
          </cell>
          <cell r="F1378" t="str">
            <v>Ball &amp; Morris, 2014</v>
          </cell>
          <cell r="G1378" t="str">
            <v>NBNSYS0100004458</v>
          </cell>
          <cell r="H1378" t="str">
            <v>Parasyrphus malinellus</v>
          </cell>
        </row>
        <row r="1379">
          <cell r="A1379" t="str">
            <v>Parasyrphus nigritarsis</v>
          </cell>
          <cell r="B1379" t="str">
            <v>Hoverflies</v>
          </cell>
          <cell r="C1379" t="str">
            <v>Diptera</v>
          </cell>
          <cell r="D1379" t="str">
            <v>Parasyrphus nigritarsis</v>
          </cell>
          <cell r="E1379" t="str">
            <v>LC</v>
          </cell>
          <cell r="F1379" t="str">
            <v>Ball &amp; Morris, 2014</v>
          </cell>
          <cell r="G1379" t="str">
            <v>NBNSYS0000006946</v>
          </cell>
          <cell r="H1379" t="str">
            <v>Parasyrphus nigritarsis</v>
          </cell>
        </row>
        <row r="1380">
          <cell r="A1380" t="str">
            <v>Parasyrphus punctulatus</v>
          </cell>
          <cell r="B1380" t="str">
            <v>Hoverflies</v>
          </cell>
          <cell r="C1380" t="str">
            <v>Diptera</v>
          </cell>
          <cell r="D1380" t="str">
            <v>Parasyrphus punctulatus</v>
          </cell>
          <cell r="E1380" t="str">
            <v>LC</v>
          </cell>
          <cell r="F1380" t="str">
            <v>Ball &amp; Morris, 2014</v>
          </cell>
          <cell r="G1380" t="str">
            <v>NBNSYS0000006947</v>
          </cell>
          <cell r="H1380" t="str">
            <v>Parasyrphus punctulatus</v>
          </cell>
        </row>
        <row r="1381">
          <cell r="A1381" t="str">
            <v>Parasyrphus vittiger</v>
          </cell>
          <cell r="B1381" t="str">
            <v>Hoverflies</v>
          </cell>
          <cell r="C1381" t="str">
            <v>Diptera</v>
          </cell>
          <cell r="D1381" t="str">
            <v>Parasyrphus vittiger</v>
          </cell>
          <cell r="E1381" t="str">
            <v>LC</v>
          </cell>
          <cell r="F1381" t="str">
            <v>Ball &amp; Morris, 2014</v>
          </cell>
          <cell r="G1381" t="str">
            <v>NBNSYS0000006948</v>
          </cell>
          <cell r="H1381" t="str">
            <v>Parasyrphus vittiger</v>
          </cell>
        </row>
        <row r="1382">
          <cell r="A1382" t="str">
            <v>Parhelophilus consimilis</v>
          </cell>
          <cell r="B1382" t="str">
            <v>Hoverflies</v>
          </cell>
          <cell r="C1382" t="str">
            <v>Diptera</v>
          </cell>
          <cell r="D1382" t="str">
            <v>Parhelophilus consimilis</v>
          </cell>
          <cell r="E1382" t="str">
            <v>LC</v>
          </cell>
          <cell r="F1382" t="str">
            <v>Ball &amp; Morris, 2014</v>
          </cell>
          <cell r="G1382" t="str">
            <v>NBNSYS0000007062</v>
          </cell>
          <cell r="H1382" t="str">
            <v>Parhelophilus consimilis</v>
          </cell>
        </row>
        <row r="1383">
          <cell r="A1383" t="str">
            <v>Parhelophilus frutetorum</v>
          </cell>
          <cell r="B1383" t="str">
            <v>Hoverflies</v>
          </cell>
          <cell r="C1383" t="str">
            <v>Diptera</v>
          </cell>
          <cell r="D1383" t="str">
            <v>Parhelophilus frutetorum</v>
          </cell>
          <cell r="E1383" t="str">
            <v>LC</v>
          </cell>
          <cell r="F1383" t="str">
            <v>Ball &amp; Morris, 2014</v>
          </cell>
          <cell r="G1383" t="str">
            <v>NBNSYS0000007063</v>
          </cell>
          <cell r="H1383" t="str">
            <v>Parhelophilus frutetorum</v>
          </cell>
        </row>
        <row r="1384">
          <cell r="A1384" t="str">
            <v>Parhelophilus versicolor</v>
          </cell>
          <cell r="B1384" t="str">
            <v>Hoverflies</v>
          </cell>
          <cell r="C1384" t="str">
            <v>Diptera</v>
          </cell>
          <cell r="D1384" t="str">
            <v>Parhelophilus versicolor</v>
          </cell>
          <cell r="E1384" t="str">
            <v>LC</v>
          </cell>
          <cell r="F1384" t="str">
            <v>Ball &amp; Morris, 2014</v>
          </cell>
          <cell r="G1384" t="str">
            <v>NBNSYS0000007064</v>
          </cell>
          <cell r="H1384" t="str">
            <v>Parhelophilus versicolor</v>
          </cell>
        </row>
        <row r="1385">
          <cell r="A1385" t="str">
            <v>Pelecocera tricincta</v>
          </cell>
          <cell r="B1385" t="str">
            <v>Hoverflies</v>
          </cell>
          <cell r="C1385" t="str">
            <v>Diptera</v>
          </cell>
          <cell r="D1385" t="str">
            <v>Pelecocera tricincta</v>
          </cell>
          <cell r="E1385" t="str">
            <v>LC</v>
          </cell>
          <cell r="F1385" t="str">
            <v>Ball &amp; Morris, 2014</v>
          </cell>
          <cell r="G1385" t="str">
            <v>NBNSYS0000007073</v>
          </cell>
          <cell r="H1385" t="str">
            <v>Pelecocera tricincta</v>
          </cell>
        </row>
        <row r="1386">
          <cell r="A1386" t="str">
            <v>Pipiza austriaca</v>
          </cell>
          <cell r="B1386" t="str">
            <v>Hoverflies</v>
          </cell>
          <cell r="C1386" t="str">
            <v>Diptera</v>
          </cell>
          <cell r="D1386" t="str">
            <v>Pipiza austriaca</v>
          </cell>
          <cell r="E1386" t="str">
            <v>LC</v>
          </cell>
          <cell r="F1386" t="str">
            <v>Ball &amp; Morris, 2014</v>
          </cell>
          <cell r="G1386" t="str">
            <v>NBNSYS0000007080</v>
          </cell>
          <cell r="H1386" t="str">
            <v>Pipiza austriaca</v>
          </cell>
        </row>
        <row r="1387">
          <cell r="A1387" t="str">
            <v>Pipiza lugubris</v>
          </cell>
          <cell r="B1387" t="str">
            <v>Hoverflies</v>
          </cell>
          <cell r="C1387" t="str">
            <v>Diptera</v>
          </cell>
          <cell r="D1387" t="str">
            <v>Pipiza lugubris</v>
          </cell>
          <cell r="E1387" t="str">
            <v>LC</v>
          </cell>
          <cell r="F1387" t="str">
            <v>Ball &amp; Morris, 2014</v>
          </cell>
          <cell r="G1387" t="str">
            <v>NBNSYS0000007083</v>
          </cell>
          <cell r="H1387" t="str">
            <v>Pipiza lugubris</v>
          </cell>
        </row>
        <row r="1388">
          <cell r="A1388" t="str">
            <v>Pipiza luteitarsis</v>
          </cell>
          <cell r="B1388" t="str">
            <v>Hoverflies</v>
          </cell>
          <cell r="C1388" t="str">
            <v>Diptera</v>
          </cell>
          <cell r="D1388" t="str">
            <v>Pipiza luteitarsis</v>
          </cell>
          <cell r="E1388" t="str">
            <v>LC</v>
          </cell>
          <cell r="F1388" t="str">
            <v>Ball &amp; Morris, 2014</v>
          </cell>
          <cell r="G1388" t="str">
            <v>NBNSYS0000007084</v>
          </cell>
          <cell r="H1388" t="str">
            <v>Pipiza luteitarsis</v>
          </cell>
        </row>
        <row r="1389">
          <cell r="A1389" t="str">
            <v>Pipiza noctiluca</v>
          </cell>
          <cell r="B1389" t="str">
            <v>Hoverflies</v>
          </cell>
          <cell r="C1389" t="str">
            <v>Diptera</v>
          </cell>
          <cell r="D1389" t="str">
            <v>Pipiza noctiluca</v>
          </cell>
          <cell r="E1389" t="str">
            <v>LC</v>
          </cell>
          <cell r="F1389" t="str">
            <v>Ball &amp; Morris, 2014</v>
          </cell>
          <cell r="G1389" t="str">
            <v>NBNSYS0000007085</v>
          </cell>
          <cell r="H1389" t="str">
            <v>Pipiza noctiluca</v>
          </cell>
        </row>
        <row r="1390">
          <cell r="A1390" t="str">
            <v>Pipiza notata</v>
          </cell>
          <cell r="B1390" t="str">
            <v>Hoverflies</v>
          </cell>
          <cell r="C1390" t="str">
            <v>Diptera</v>
          </cell>
          <cell r="D1390" t="str">
            <v>Pipiza notata</v>
          </cell>
          <cell r="E1390" t="str">
            <v>LC</v>
          </cell>
          <cell r="F1390" t="str">
            <v>Ball &amp; Morris, 2014</v>
          </cell>
          <cell r="G1390" t="str">
            <v>NHMSYS0021264997</v>
          </cell>
          <cell r="H1390" t="str">
            <v>Pipiza notata</v>
          </cell>
        </row>
        <row r="1391">
          <cell r="A1391" t="str">
            <v>Pipizella maculipennis</v>
          </cell>
          <cell r="B1391" t="str">
            <v>Hoverflies</v>
          </cell>
          <cell r="C1391" t="str">
            <v>Diptera</v>
          </cell>
          <cell r="D1391" t="str">
            <v>Pipizella maculipennis</v>
          </cell>
          <cell r="E1391" t="str">
            <v>LC</v>
          </cell>
          <cell r="F1391" t="str">
            <v>Ball &amp; Morris, 2014</v>
          </cell>
          <cell r="G1391" t="str">
            <v>NBNSYS0000007086</v>
          </cell>
          <cell r="H1391" t="str">
            <v>Pipizella maculipennis</v>
          </cell>
        </row>
        <row r="1392">
          <cell r="A1392" t="str">
            <v>Pipizella viduata</v>
          </cell>
          <cell r="B1392" t="str">
            <v>Hoverflies</v>
          </cell>
          <cell r="C1392" t="str">
            <v>Diptera</v>
          </cell>
          <cell r="D1392" t="str">
            <v>Pipizella viduata</v>
          </cell>
          <cell r="E1392" t="str">
            <v>LC</v>
          </cell>
          <cell r="F1392" t="str">
            <v>Ball &amp; Morris, 2014</v>
          </cell>
          <cell r="G1392" t="str">
            <v>NBNSYS0100022723</v>
          </cell>
          <cell r="H1392" t="str">
            <v>Pipizella viduata</v>
          </cell>
        </row>
        <row r="1393">
          <cell r="A1393" t="str">
            <v>Pipizella virens</v>
          </cell>
          <cell r="B1393" t="str">
            <v>Hoverflies</v>
          </cell>
          <cell r="C1393" t="str">
            <v>Diptera</v>
          </cell>
          <cell r="D1393" t="str">
            <v>Pipizella virens</v>
          </cell>
          <cell r="E1393" t="str">
            <v>LC</v>
          </cell>
          <cell r="F1393" t="str">
            <v>Ball &amp; Morris, 2014</v>
          </cell>
          <cell r="G1393" t="str">
            <v>NBNSYS0000007088</v>
          </cell>
          <cell r="H1393" t="str">
            <v>Pipizella virens</v>
          </cell>
        </row>
        <row r="1394">
          <cell r="A1394" t="str">
            <v>Platycheirus albimanus</v>
          </cell>
          <cell r="B1394" t="str">
            <v>Hoverflies</v>
          </cell>
          <cell r="C1394" t="str">
            <v>Diptera</v>
          </cell>
          <cell r="D1394" t="str">
            <v>Platycheirus albimanus</v>
          </cell>
          <cell r="E1394" t="str">
            <v>LC</v>
          </cell>
          <cell r="F1394" t="str">
            <v>Ball &amp; Morris, 2014</v>
          </cell>
          <cell r="G1394" t="str">
            <v>NBNSYS0000006871</v>
          </cell>
          <cell r="H1394" t="str">
            <v>Platycheirus albimanus</v>
          </cell>
        </row>
        <row r="1395">
          <cell r="A1395" t="str">
            <v>Platycheirus ambiguus</v>
          </cell>
          <cell r="B1395" t="str">
            <v>Hoverflies</v>
          </cell>
          <cell r="C1395" t="str">
            <v>Diptera</v>
          </cell>
          <cell r="D1395" t="str">
            <v>Platycheirus ambiguus</v>
          </cell>
          <cell r="E1395" t="str">
            <v>LC</v>
          </cell>
          <cell r="F1395" t="str">
            <v>Ball &amp; Morris, 2014</v>
          </cell>
          <cell r="G1395" t="str">
            <v>NBNSYS0000006869</v>
          </cell>
          <cell r="H1395" t="str">
            <v>Platycheirus ambiguus</v>
          </cell>
        </row>
        <row r="1396">
          <cell r="A1396" t="str">
            <v>Platycheirus amplus</v>
          </cell>
          <cell r="B1396" t="str">
            <v>Hoverflies</v>
          </cell>
          <cell r="C1396" t="str">
            <v>Diptera</v>
          </cell>
          <cell r="D1396" t="str">
            <v>Platycheirus amplus</v>
          </cell>
          <cell r="E1396" t="str">
            <v>NT</v>
          </cell>
          <cell r="F1396" t="str">
            <v>Ball &amp; Morris, 2014</v>
          </cell>
          <cell r="G1396" t="str">
            <v>NBNSYS0000006870</v>
          </cell>
          <cell r="H1396" t="str">
            <v>Platycheirus amplus</v>
          </cell>
        </row>
        <row r="1397">
          <cell r="A1397" t="str">
            <v>Platycheirus angustatus</v>
          </cell>
          <cell r="B1397" t="str">
            <v>Hoverflies</v>
          </cell>
          <cell r="C1397" t="str">
            <v>Diptera</v>
          </cell>
          <cell r="D1397" t="str">
            <v>Platycheirus angustatus</v>
          </cell>
          <cell r="E1397" t="str">
            <v>LC</v>
          </cell>
          <cell r="F1397" t="str">
            <v>Ball &amp; Morris, 2014</v>
          </cell>
          <cell r="G1397" t="str">
            <v>NBNSYS0000006872</v>
          </cell>
          <cell r="H1397" t="str">
            <v>Platycheirus angustatus</v>
          </cell>
        </row>
        <row r="1398">
          <cell r="A1398" t="str">
            <v>Platycheirus aurolateralis</v>
          </cell>
          <cell r="B1398" t="str">
            <v>Hoverflies</v>
          </cell>
          <cell r="C1398" t="str">
            <v>Diptera</v>
          </cell>
          <cell r="D1398" t="str">
            <v>Platycheirus aurolateralis</v>
          </cell>
          <cell r="E1398" t="str">
            <v>LC</v>
          </cell>
          <cell r="F1398" t="str">
            <v>Ball &amp; Morris, 2014</v>
          </cell>
          <cell r="G1398" t="str">
            <v>NBNSYS0100027555</v>
          </cell>
          <cell r="H1398" t="str">
            <v>Platycheirus aurolateralis</v>
          </cell>
        </row>
        <row r="1399">
          <cell r="A1399" t="str">
            <v>Platycheirus clypeatus</v>
          </cell>
          <cell r="B1399" t="str">
            <v>Hoverflies</v>
          </cell>
          <cell r="C1399" t="str">
            <v>Diptera</v>
          </cell>
          <cell r="D1399" t="str">
            <v>Platycheirus clypeatus</v>
          </cell>
          <cell r="E1399" t="str">
            <v>LC</v>
          </cell>
          <cell r="F1399" t="str">
            <v>Ball &amp; Morris, 2014</v>
          </cell>
          <cell r="G1399" t="str">
            <v>NBNSYS0100022739</v>
          </cell>
          <cell r="H1399" t="str">
            <v>Platycheirus clypeatus</v>
          </cell>
        </row>
        <row r="1400">
          <cell r="A1400" t="str">
            <v>Platycheirus discimanus</v>
          </cell>
          <cell r="B1400" t="str">
            <v>Hoverflies</v>
          </cell>
          <cell r="C1400" t="str">
            <v>Diptera</v>
          </cell>
          <cell r="D1400" t="str">
            <v>Platycheirus discimanus</v>
          </cell>
          <cell r="E1400" t="str">
            <v>LC</v>
          </cell>
          <cell r="F1400" t="str">
            <v>Ball &amp; Morris, 2014</v>
          </cell>
          <cell r="G1400" t="str">
            <v>NBNSYS0000006874</v>
          </cell>
          <cell r="H1400" t="str">
            <v>Platycheirus discimanus</v>
          </cell>
        </row>
        <row r="1401">
          <cell r="A1401" t="str">
            <v>Platycheirus europaeus</v>
          </cell>
          <cell r="B1401" t="str">
            <v>Hoverflies</v>
          </cell>
          <cell r="C1401" t="str">
            <v>Diptera</v>
          </cell>
          <cell r="D1401" t="str">
            <v>Platycheirus europaeus</v>
          </cell>
          <cell r="E1401" t="str">
            <v>LC</v>
          </cell>
          <cell r="F1401" t="str">
            <v>Ball &amp; Morris, 2014</v>
          </cell>
          <cell r="G1401" t="str">
            <v>NBNSYS0000033125</v>
          </cell>
          <cell r="H1401" t="str">
            <v>Platycheirus europaeus</v>
          </cell>
        </row>
        <row r="1402">
          <cell r="A1402" t="str">
            <v>Platycheirus fulviventris</v>
          </cell>
          <cell r="B1402" t="str">
            <v>Hoverflies</v>
          </cell>
          <cell r="C1402" t="str">
            <v>Diptera</v>
          </cell>
          <cell r="D1402" t="str">
            <v>Platycheirus fulviventris</v>
          </cell>
          <cell r="E1402" t="str">
            <v>LC</v>
          </cell>
          <cell r="F1402" t="str">
            <v>Ball &amp; Morris, 2014</v>
          </cell>
          <cell r="G1402" t="str">
            <v>NBNSYS0000006875</v>
          </cell>
          <cell r="H1402" t="str">
            <v>Platycheirus fulviventris</v>
          </cell>
        </row>
        <row r="1403">
          <cell r="A1403" t="str">
            <v>Platycheirus granditarsus</v>
          </cell>
          <cell r="B1403" t="str">
            <v>Hoverflies</v>
          </cell>
          <cell r="C1403" t="str">
            <v>Diptera</v>
          </cell>
          <cell r="D1403" t="str">
            <v>Platycheirus granditarsus</v>
          </cell>
          <cell r="E1403" t="str">
            <v>LC</v>
          </cell>
          <cell r="F1403" t="str">
            <v>Ball &amp; Morris, 2014</v>
          </cell>
          <cell r="G1403" t="str">
            <v>NBNSYS0100004762</v>
          </cell>
          <cell r="H1403" t="str">
            <v>Platycheirus granditarsus</v>
          </cell>
        </row>
        <row r="1404">
          <cell r="A1404" t="str">
            <v>Platycheirus immarginatus</v>
          </cell>
          <cell r="B1404" t="str">
            <v>Hoverflies</v>
          </cell>
          <cell r="C1404" t="str">
            <v>Diptera</v>
          </cell>
          <cell r="D1404" t="str">
            <v>Platycheirus immarginatus</v>
          </cell>
          <cell r="E1404" t="str">
            <v>LC</v>
          </cell>
          <cell r="F1404" t="str">
            <v>Ball &amp; Morris, 2014</v>
          </cell>
          <cell r="G1404" t="str">
            <v>NBNSYS0000006876</v>
          </cell>
          <cell r="H1404" t="str">
            <v>Platycheirus immarginatus</v>
          </cell>
        </row>
        <row r="1405">
          <cell r="A1405" t="str">
            <v>Platycheirus manicatus</v>
          </cell>
          <cell r="B1405" t="str">
            <v>Hoverflies</v>
          </cell>
          <cell r="C1405" t="str">
            <v>Diptera</v>
          </cell>
          <cell r="D1405" t="str">
            <v>Platycheirus manicatus</v>
          </cell>
          <cell r="E1405" t="str">
            <v>LC</v>
          </cell>
          <cell r="F1405" t="str">
            <v>Ball &amp; Morris, 2014</v>
          </cell>
          <cell r="G1405" t="str">
            <v>NBNSYS0000006877</v>
          </cell>
          <cell r="H1405" t="str">
            <v>Platycheirus manicatus</v>
          </cell>
        </row>
        <row r="1406">
          <cell r="A1406" t="str">
            <v>Platycheirus melanopsis</v>
          </cell>
          <cell r="B1406" t="str">
            <v>Hoverflies</v>
          </cell>
          <cell r="C1406" t="str">
            <v>Diptera</v>
          </cell>
          <cell r="D1406" t="str">
            <v>Platycheirus melanopsis</v>
          </cell>
          <cell r="E1406" t="str">
            <v>NT</v>
          </cell>
          <cell r="F1406" t="str">
            <v>Ball &amp; Morris, 2014</v>
          </cell>
          <cell r="G1406" t="str">
            <v>NBNSYS0000006878</v>
          </cell>
          <cell r="H1406" t="str">
            <v>Platycheirus melanopsis</v>
          </cell>
        </row>
        <row r="1407">
          <cell r="A1407" t="str">
            <v>Platycheirus nielseni</v>
          </cell>
          <cell r="B1407" t="str">
            <v>Hoverflies</v>
          </cell>
          <cell r="C1407" t="str">
            <v>Diptera</v>
          </cell>
          <cell r="D1407" t="str">
            <v>Platycheirus nielseni</v>
          </cell>
          <cell r="E1407" t="str">
            <v>LC</v>
          </cell>
          <cell r="F1407" t="str">
            <v>Ball &amp; Morris, 2014</v>
          </cell>
          <cell r="G1407" t="str">
            <v>NBNSYS0000006886</v>
          </cell>
          <cell r="H1407" t="str">
            <v>Platycheirus nielseni</v>
          </cell>
        </row>
        <row r="1408">
          <cell r="A1408" t="str">
            <v>Platycheirus occultus</v>
          </cell>
          <cell r="B1408" t="str">
            <v>Hoverflies</v>
          </cell>
          <cell r="C1408" t="str">
            <v>Diptera</v>
          </cell>
          <cell r="D1408" t="str">
            <v>Platycheirus occultus</v>
          </cell>
          <cell r="E1408" t="str">
            <v>LC</v>
          </cell>
          <cell r="F1408" t="str">
            <v>Ball &amp; Morris, 2014</v>
          </cell>
          <cell r="G1408" t="str">
            <v>NBNSYS0000033187</v>
          </cell>
          <cell r="H1408" t="str">
            <v>Platycheirus occultus</v>
          </cell>
        </row>
        <row r="1409">
          <cell r="A1409" t="str">
            <v>Platycheirus peltatus</v>
          </cell>
          <cell r="B1409" t="str">
            <v>Hoverflies</v>
          </cell>
          <cell r="C1409" t="str">
            <v>Diptera</v>
          </cell>
          <cell r="D1409" t="str">
            <v>Platycheirus peltatus</v>
          </cell>
          <cell r="E1409" t="str">
            <v>LC</v>
          </cell>
          <cell r="F1409" t="str">
            <v>Ball &amp; Morris, 2014</v>
          </cell>
          <cell r="G1409" t="str">
            <v>NBNSYS0000033188</v>
          </cell>
          <cell r="H1409" t="str">
            <v>Platycheirus peltatus</v>
          </cell>
        </row>
        <row r="1410">
          <cell r="A1410" t="str">
            <v>Platycheirus perpallidus</v>
          </cell>
          <cell r="B1410" t="str">
            <v>Hoverflies</v>
          </cell>
          <cell r="C1410" t="str">
            <v>Diptera</v>
          </cell>
          <cell r="D1410" t="str">
            <v>Platycheirus perpallidus</v>
          </cell>
          <cell r="E1410" t="str">
            <v>LC</v>
          </cell>
          <cell r="F1410" t="str">
            <v>Ball &amp; Morris, 2014</v>
          </cell>
          <cell r="G1410" t="str">
            <v>NBNSYS0000006880</v>
          </cell>
          <cell r="H1410" t="str">
            <v>Platycheirus perpallidus</v>
          </cell>
        </row>
        <row r="1411">
          <cell r="A1411" t="str">
            <v>Platycheirus podagratus</v>
          </cell>
          <cell r="B1411" t="str">
            <v>Hoverflies</v>
          </cell>
          <cell r="C1411" t="str">
            <v>Diptera</v>
          </cell>
          <cell r="D1411" t="str">
            <v>Platycheirus podagratus</v>
          </cell>
          <cell r="E1411" t="str">
            <v>LC</v>
          </cell>
          <cell r="F1411" t="str">
            <v>Ball &amp; Morris, 2014</v>
          </cell>
          <cell r="G1411" t="str">
            <v>NBNSYS0000006881</v>
          </cell>
          <cell r="H1411" t="str">
            <v>Platycheirus podagratus</v>
          </cell>
        </row>
        <row r="1412">
          <cell r="A1412" t="str">
            <v>Platycheirus ramsarensis</v>
          </cell>
          <cell r="B1412" t="str">
            <v>Hoverflies</v>
          </cell>
          <cell r="C1412" t="str">
            <v>Diptera</v>
          </cell>
          <cell r="D1412" t="str">
            <v>Platycheirus ramsarensis</v>
          </cell>
          <cell r="E1412" t="str">
            <v>LC</v>
          </cell>
          <cell r="F1412" t="str">
            <v>Ball &amp; Morris, 2014</v>
          </cell>
          <cell r="G1412" t="str">
            <v>NBNSYS0000033094</v>
          </cell>
          <cell r="H1412" t="str">
            <v>Platycheirus ramsarensis</v>
          </cell>
        </row>
        <row r="1413">
          <cell r="A1413" t="str">
            <v>Platycheirus rosarum</v>
          </cell>
          <cell r="B1413" t="str">
            <v>Hoverflies</v>
          </cell>
          <cell r="C1413" t="str">
            <v>Diptera</v>
          </cell>
          <cell r="D1413" t="str">
            <v>Platycheirus rosarum</v>
          </cell>
          <cell r="E1413" t="str">
            <v>LC</v>
          </cell>
          <cell r="F1413" t="str">
            <v>Ball &amp; Morris, 2014</v>
          </cell>
          <cell r="G1413" t="str">
            <v>NBNSYS0100004763</v>
          </cell>
          <cell r="H1413" t="str">
            <v>Platycheirus rosarum</v>
          </cell>
        </row>
        <row r="1414">
          <cell r="A1414" t="str">
            <v>Platycheirus scambus</v>
          </cell>
          <cell r="B1414" t="str">
            <v>Hoverflies</v>
          </cell>
          <cell r="C1414" t="str">
            <v>Diptera</v>
          </cell>
          <cell r="D1414" t="str">
            <v>Platycheirus scambus</v>
          </cell>
          <cell r="E1414" t="str">
            <v>LC</v>
          </cell>
          <cell r="F1414" t="str">
            <v>Ball &amp; Morris, 2014</v>
          </cell>
          <cell r="G1414" t="str">
            <v>NBNSYS0000006882</v>
          </cell>
          <cell r="H1414" t="str">
            <v>Platycheirus scambus</v>
          </cell>
        </row>
        <row r="1415">
          <cell r="A1415" t="str">
            <v>Platycheirus scutatus</v>
          </cell>
          <cell r="B1415" t="str">
            <v>Hoverflies</v>
          </cell>
          <cell r="C1415" t="str">
            <v>Diptera</v>
          </cell>
          <cell r="D1415" t="str">
            <v>Platycheirus scutatus</v>
          </cell>
          <cell r="E1415" t="str">
            <v>LC</v>
          </cell>
          <cell r="F1415" t="str">
            <v>Ball &amp; Morris, 2014</v>
          </cell>
          <cell r="G1415" t="str">
            <v>NBNSYS0000006883</v>
          </cell>
          <cell r="H1415" t="str">
            <v>Platycheirus scutatus</v>
          </cell>
        </row>
        <row r="1416">
          <cell r="A1416" t="str">
            <v>Platycheirus splendidus</v>
          </cell>
          <cell r="B1416" t="str">
            <v>Hoverflies</v>
          </cell>
          <cell r="C1416" t="str">
            <v>Diptera</v>
          </cell>
          <cell r="D1416" t="str">
            <v>Platycheirus splendidus</v>
          </cell>
          <cell r="E1416" t="str">
            <v>LC</v>
          </cell>
          <cell r="F1416" t="str">
            <v>Ball &amp; Morris, 2014</v>
          </cell>
          <cell r="G1416" t="str">
            <v>NBNSYS0100004764</v>
          </cell>
          <cell r="H1416" t="str">
            <v>Platycheirus splendidus</v>
          </cell>
        </row>
        <row r="1417">
          <cell r="A1417" t="str">
            <v>Platycheirus sticticus</v>
          </cell>
          <cell r="B1417" t="str">
            <v>Hoverflies</v>
          </cell>
          <cell r="C1417" t="str">
            <v>Diptera</v>
          </cell>
          <cell r="D1417" t="str">
            <v>Platycheirus sticticus</v>
          </cell>
          <cell r="E1417" t="str">
            <v>LC</v>
          </cell>
          <cell r="F1417" t="str">
            <v>Ball &amp; Morris, 2014</v>
          </cell>
          <cell r="G1417" t="str">
            <v>NBNSYS0000006884</v>
          </cell>
          <cell r="H1417" t="str">
            <v>Platycheirus sticticus</v>
          </cell>
        </row>
        <row r="1418">
          <cell r="A1418" t="str">
            <v>Platycheirus tarsalis</v>
          </cell>
          <cell r="B1418" t="str">
            <v>Hoverflies</v>
          </cell>
          <cell r="C1418" t="str">
            <v>Diptera</v>
          </cell>
          <cell r="D1418" t="str">
            <v>Platycheirus tarsalis</v>
          </cell>
          <cell r="E1418" t="str">
            <v>LC</v>
          </cell>
          <cell r="F1418" t="str">
            <v>Ball &amp; Morris, 2014</v>
          </cell>
          <cell r="G1418" t="str">
            <v>NBNSYS0000006885</v>
          </cell>
          <cell r="H1418" t="str">
            <v>Platycheirus tarsalis</v>
          </cell>
        </row>
        <row r="1419">
          <cell r="A1419" t="str">
            <v>Pocota personata</v>
          </cell>
          <cell r="B1419" t="str">
            <v>Hoverflies</v>
          </cell>
          <cell r="C1419" t="str">
            <v>Diptera</v>
          </cell>
          <cell r="D1419" t="str">
            <v>Pocota personata</v>
          </cell>
          <cell r="E1419" t="str">
            <v>LC</v>
          </cell>
          <cell r="F1419" t="str">
            <v>Ball &amp; Morris, 2014</v>
          </cell>
          <cell r="G1419" t="str">
            <v>NBNSYS0000007109</v>
          </cell>
          <cell r="H1419" t="str">
            <v>Pocota personata</v>
          </cell>
        </row>
        <row r="1420">
          <cell r="A1420" t="str">
            <v>Portevinia maculata</v>
          </cell>
          <cell r="B1420" t="str">
            <v>Hoverflies</v>
          </cell>
          <cell r="C1420" t="str">
            <v>Diptera</v>
          </cell>
          <cell r="D1420" t="str">
            <v>Portevinia maculata</v>
          </cell>
          <cell r="E1420" t="str">
            <v>LC</v>
          </cell>
          <cell r="F1420" t="str">
            <v>Ball &amp; Morris, 2014</v>
          </cell>
          <cell r="G1420" t="str">
            <v>NBNSYS0000007009</v>
          </cell>
          <cell r="H1420" t="str">
            <v>Portevinia maculata</v>
          </cell>
        </row>
        <row r="1421">
          <cell r="A1421" t="str">
            <v>Psilota anthracina</v>
          </cell>
          <cell r="B1421" t="str">
            <v>Hoverflies</v>
          </cell>
          <cell r="C1421" t="str">
            <v>Diptera</v>
          </cell>
          <cell r="D1421" t="str">
            <v>Psilota anthracina</v>
          </cell>
          <cell r="E1421" t="str">
            <v>LC</v>
          </cell>
          <cell r="F1421" t="str">
            <v>Ball &amp; Morris, 2014</v>
          </cell>
          <cell r="G1421" t="str">
            <v>NBNSYS0000007070</v>
          </cell>
          <cell r="H1421" t="str">
            <v>Psilota anthracina</v>
          </cell>
        </row>
        <row r="1422">
          <cell r="A1422" t="str">
            <v>Rhingia campestris</v>
          </cell>
          <cell r="B1422" t="str">
            <v>Hoverflies</v>
          </cell>
          <cell r="C1422" t="str">
            <v>Diptera</v>
          </cell>
          <cell r="D1422" t="str">
            <v>Rhingia campestris</v>
          </cell>
          <cell r="E1422" t="str">
            <v>LC</v>
          </cell>
          <cell r="F1422" t="str">
            <v>Ball &amp; Morris, 2014</v>
          </cell>
          <cell r="G1422" t="str">
            <v>NBNSYS0000007010</v>
          </cell>
          <cell r="H1422" t="str">
            <v>Rhingia campestris</v>
          </cell>
        </row>
        <row r="1423">
          <cell r="A1423" t="str">
            <v>Rhingia rostrata</v>
          </cell>
          <cell r="B1423" t="str">
            <v>Hoverflies</v>
          </cell>
          <cell r="C1423" t="str">
            <v>Diptera</v>
          </cell>
          <cell r="D1423" t="str">
            <v>Rhingia rostrata</v>
          </cell>
          <cell r="E1423" t="str">
            <v>LC</v>
          </cell>
          <cell r="F1423" t="str">
            <v>Ball &amp; Morris, 2014</v>
          </cell>
          <cell r="G1423" t="str">
            <v>NBNSYS0000007011</v>
          </cell>
          <cell r="H1423" t="str">
            <v>Rhingia rostrata</v>
          </cell>
        </row>
        <row r="1424">
          <cell r="A1424" t="str">
            <v>Riponnensia splendens</v>
          </cell>
          <cell r="B1424" t="str">
            <v>Hoverflies</v>
          </cell>
          <cell r="C1424" t="str">
            <v>Diptera</v>
          </cell>
          <cell r="D1424" t="str">
            <v>Riponnensia splendens</v>
          </cell>
          <cell r="E1424" t="str">
            <v>LC</v>
          </cell>
          <cell r="F1424" t="str">
            <v>Ball &amp; Morris, 2014</v>
          </cell>
          <cell r="G1424" t="str">
            <v>NBNSYS0100005170</v>
          </cell>
          <cell r="H1424" t="str">
            <v>Riponnensia splendens</v>
          </cell>
        </row>
        <row r="1425">
          <cell r="A1425" t="str">
            <v>Scaeva pyrastri</v>
          </cell>
          <cell r="B1425" t="str">
            <v>Hoverflies</v>
          </cell>
          <cell r="C1425" t="str">
            <v>Diptera</v>
          </cell>
          <cell r="D1425" t="str">
            <v>Scaeva pyrastri</v>
          </cell>
          <cell r="E1425" t="str">
            <v>LC</v>
          </cell>
          <cell r="F1425" t="str">
            <v>Ball &amp; Morris, 2014</v>
          </cell>
          <cell r="G1425" t="str">
            <v>NBNSYS0000006951</v>
          </cell>
          <cell r="H1425" t="str">
            <v>Scaeva pyrastri</v>
          </cell>
        </row>
        <row r="1426">
          <cell r="A1426" t="str">
            <v>Scaeva selenitica</v>
          </cell>
          <cell r="B1426" t="str">
            <v>Hoverflies</v>
          </cell>
          <cell r="C1426" t="str">
            <v>Diptera</v>
          </cell>
          <cell r="D1426" t="str">
            <v>Scaeva selenitica</v>
          </cell>
          <cell r="E1426" t="str">
            <v>LC</v>
          </cell>
          <cell r="F1426" t="str">
            <v>Ball &amp; Morris, 2014</v>
          </cell>
          <cell r="G1426" t="str">
            <v>NBNSYS0000006952</v>
          </cell>
          <cell r="H1426" t="str">
            <v>Scaeva selenitica</v>
          </cell>
        </row>
        <row r="1427">
          <cell r="A1427" t="str">
            <v>Sericomyia lappona</v>
          </cell>
          <cell r="B1427" t="str">
            <v>Hoverflies</v>
          </cell>
          <cell r="C1427" t="str">
            <v>Diptera</v>
          </cell>
          <cell r="D1427" t="str">
            <v>Sericomyia lappona</v>
          </cell>
          <cell r="E1427" t="str">
            <v>LC</v>
          </cell>
          <cell r="F1427" t="str">
            <v>Ball &amp; Morris, 2014</v>
          </cell>
          <cell r="G1427" t="str">
            <v>NBNSYS0000007092</v>
          </cell>
          <cell r="H1427" t="str">
            <v>Sericomyia lappona</v>
          </cell>
        </row>
        <row r="1428">
          <cell r="A1428" t="str">
            <v>Sericomyia silentis</v>
          </cell>
          <cell r="B1428" t="str">
            <v>Hoverflies</v>
          </cell>
          <cell r="C1428" t="str">
            <v>Diptera</v>
          </cell>
          <cell r="D1428" t="str">
            <v>Sericomyia silentis</v>
          </cell>
          <cell r="E1428" t="str">
            <v>LC</v>
          </cell>
          <cell r="F1428" t="str">
            <v>Ball &amp; Morris, 2014</v>
          </cell>
          <cell r="G1428" t="str">
            <v>NBNSYS0000007093</v>
          </cell>
          <cell r="H1428" t="str">
            <v>Sericomyia silentis</v>
          </cell>
        </row>
        <row r="1429">
          <cell r="A1429" t="str">
            <v>Sericomyia superbiens</v>
          </cell>
          <cell r="B1429" t="str">
            <v>Hoverflies</v>
          </cell>
          <cell r="C1429" t="str">
            <v>Diptera</v>
          </cell>
          <cell r="D1429" t="str">
            <v>Sericomyia superbiens</v>
          </cell>
          <cell r="E1429" t="str">
            <v>LC</v>
          </cell>
          <cell r="F1429" t="str">
            <v>Ball &amp; Morris, 2014</v>
          </cell>
          <cell r="G1429" t="str">
            <v>NHMSYS0021265002</v>
          </cell>
          <cell r="H1429" t="str">
            <v>Sericomyia superbiens</v>
          </cell>
        </row>
        <row r="1430">
          <cell r="A1430" t="str">
            <v>Sphaerophoria batava</v>
          </cell>
          <cell r="B1430" t="str">
            <v>Hoverflies</v>
          </cell>
          <cell r="C1430" t="str">
            <v>Diptera</v>
          </cell>
          <cell r="D1430" t="str">
            <v>Sphaerophoria batava</v>
          </cell>
          <cell r="E1430" t="str">
            <v>LC</v>
          </cell>
          <cell r="F1430" t="str">
            <v>Ball &amp; Morris, 2014</v>
          </cell>
          <cell r="G1430" t="str">
            <v>NBNSYS0000006954</v>
          </cell>
          <cell r="H1430" t="str">
            <v>Sphaerophoria batava</v>
          </cell>
        </row>
        <row r="1431">
          <cell r="A1431" t="str">
            <v>Sphaerophoria fatarum</v>
          </cell>
          <cell r="B1431" t="str">
            <v>Hoverflies</v>
          </cell>
          <cell r="C1431" t="str">
            <v>Diptera</v>
          </cell>
          <cell r="D1431" t="str">
            <v>Sphaerophoria fatarum</v>
          </cell>
          <cell r="E1431" t="str">
            <v>LC</v>
          </cell>
          <cell r="F1431" t="str">
            <v>Ball &amp; Morris, 2014</v>
          </cell>
          <cell r="G1431" t="str">
            <v>NBNSYS0000006953</v>
          </cell>
          <cell r="H1431" t="str">
            <v>Sphaerophoria fatarum</v>
          </cell>
        </row>
        <row r="1432">
          <cell r="A1432" t="str">
            <v>Sphaerophoria interrupta</v>
          </cell>
          <cell r="B1432" t="str">
            <v>Hoverflies</v>
          </cell>
          <cell r="C1432" t="str">
            <v>Diptera</v>
          </cell>
          <cell r="D1432" t="str">
            <v>Sphaerophoria interrupta</v>
          </cell>
          <cell r="E1432" t="str">
            <v>LC</v>
          </cell>
          <cell r="F1432" t="str">
            <v>Ball &amp; Morris, 2014</v>
          </cell>
          <cell r="G1432" t="str">
            <v>NBNSYS0000157028</v>
          </cell>
          <cell r="H1432" t="str">
            <v>Sphaerophoria interrupta</v>
          </cell>
        </row>
        <row r="1433">
          <cell r="A1433" t="str">
            <v>Sphaerophoria loewi</v>
          </cell>
          <cell r="B1433" t="str">
            <v>Hoverflies</v>
          </cell>
          <cell r="C1433" t="str">
            <v>Diptera</v>
          </cell>
          <cell r="D1433" t="str">
            <v>Sphaerophoria loewi</v>
          </cell>
          <cell r="E1433" t="str">
            <v>NT</v>
          </cell>
          <cell r="F1433" t="str">
            <v>Ball &amp; Morris, 2014</v>
          </cell>
          <cell r="G1433" t="str">
            <v>NBNSYS0000006955</v>
          </cell>
          <cell r="H1433" t="str">
            <v>Sphaerophoria loewi</v>
          </cell>
        </row>
        <row r="1434">
          <cell r="A1434" t="str">
            <v>Sphaerophoria philanthus</v>
          </cell>
          <cell r="B1434" t="str">
            <v>Hoverflies</v>
          </cell>
          <cell r="C1434" t="str">
            <v>Diptera</v>
          </cell>
          <cell r="D1434" t="str">
            <v>Sphaerophoria philanthus</v>
          </cell>
          <cell r="E1434" t="str">
            <v>LC</v>
          </cell>
          <cell r="F1434" t="str">
            <v>Ball &amp; Morris, 2014</v>
          </cell>
          <cell r="G1434" t="str">
            <v>NBNSYS0000157031</v>
          </cell>
          <cell r="H1434" t="str">
            <v>Sphaerophoria philanthus</v>
          </cell>
        </row>
        <row r="1435">
          <cell r="A1435" t="str">
            <v>Sphaerophoria potentillae</v>
          </cell>
          <cell r="B1435" t="str">
            <v>Hoverflies</v>
          </cell>
          <cell r="C1435" t="str">
            <v>Diptera</v>
          </cell>
          <cell r="D1435" t="str">
            <v>Sphaerophoria potentillae</v>
          </cell>
          <cell r="E1435" t="str">
            <v>VU</v>
          </cell>
          <cell r="F1435" t="str">
            <v>Ball &amp; Morris, 2014</v>
          </cell>
          <cell r="G1435" t="str">
            <v>NBNSYS0000006963</v>
          </cell>
          <cell r="H1435" t="str">
            <v>Sphaerophoria potentillae</v>
          </cell>
        </row>
        <row r="1436">
          <cell r="A1436" t="str">
            <v>Sphaerophoria rueppellii</v>
          </cell>
          <cell r="B1436" t="str">
            <v>Hoverflies</v>
          </cell>
          <cell r="C1436" t="str">
            <v>Diptera</v>
          </cell>
          <cell r="D1436" t="str">
            <v>Sphaerophoria rueppellii</v>
          </cell>
          <cell r="E1436" t="str">
            <v>LC</v>
          </cell>
          <cell r="F1436" t="str">
            <v>Ball &amp; Morris, 2014</v>
          </cell>
          <cell r="G1436" t="str">
            <v>NBNSYS0000006958</v>
          </cell>
          <cell r="H1436" t="str">
            <v>Sphaerophoria rueppellii</v>
          </cell>
        </row>
        <row r="1437">
          <cell r="A1437" t="str">
            <v>Sphaerophoria scripta</v>
          </cell>
          <cell r="B1437" t="str">
            <v>Hoverflies</v>
          </cell>
          <cell r="C1437" t="str">
            <v>Diptera</v>
          </cell>
          <cell r="D1437" t="str">
            <v>Sphaerophoria scripta</v>
          </cell>
          <cell r="E1437" t="str">
            <v>LC</v>
          </cell>
          <cell r="F1437" t="str">
            <v>Ball &amp; Morris, 2014</v>
          </cell>
          <cell r="G1437" t="str">
            <v>NBNSYS0000006959</v>
          </cell>
          <cell r="H1437" t="str">
            <v>Sphaerophoria scripta</v>
          </cell>
        </row>
        <row r="1438">
          <cell r="A1438" t="str">
            <v>Sphaerophoria taeniata</v>
          </cell>
          <cell r="B1438" t="str">
            <v>Hoverflies</v>
          </cell>
          <cell r="C1438" t="str">
            <v>Diptera</v>
          </cell>
          <cell r="D1438" t="str">
            <v>Sphaerophoria taeniata</v>
          </cell>
          <cell r="E1438" t="str">
            <v>LC</v>
          </cell>
          <cell r="F1438" t="str">
            <v>Ball &amp; Morris, 2014</v>
          </cell>
          <cell r="G1438" t="str">
            <v>NBNSYS0000006960</v>
          </cell>
          <cell r="H1438" t="str">
            <v>Sphaerophoria taeniata</v>
          </cell>
        </row>
        <row r="1439">
          <cell r="A1439" t="str">
            <v>Sphaerophoria virgata</v>
          </cell>
          <cell r="B1439" t="str">
            <v>Hoverflies</v>
          </cell>
          <cell r="C1439" t="str">
            <v>Diptera</v>
          </cell>
          <cell r="D1439" t="str">
            <v>Sphaerophoria virgata</v>
          </cell>
          <cell r="E1439" t="str">
            <v>LC</v>
          </cell>
          <cell r="F1439" t="str">
            <v>Ball &amp; Morris, 2014</v>
          </cell>
          <cell r="G1439" t="str">
            <v>NBNSYS0000006961</v>
          </cell>
          <cell r="H1439" t="str">
            <v>Sphaerophoria virgata</v>
          </cell>
        </row>
        <row r="1440">
          <cell r="A1440" t="str">
            <v>Sphegina clunipes</v>
          </cell>
          <cell r="B1440" t="str">
            <v>Hoverflies</v>
          </cell>
          <cell r="C1440" t="str">
            <v>Diptera</v>
          </cell>
          <cell r="D1440" t="str">
            <v>Sphegina clunipes</v>
          </cell>
          <cell r="E1440" t="str">
            <v>LC</v>
          </cell>
          <cell r="F1440" t="str">
            <v>Ball &amp; Morris, 2014</v>
          </cell>
          <cell r="G1440" t="str">
            <v>NBNSYS0000007036</v>
          </cell>
          <cell r="H1440" t="str">
            <v>Sphegina clunipes</v>
          </cell>
        </row>
        <row r="1441">
          <cell r="A1441" t="str">
            <v>Sphegina elegans</v>
          </cell>
          <cell r="B1441" t="str">
            <v>Hoverflies</v>
          </cell>
          <cell r="C1441" t="str">
            <v>Diptera</v>
          </cell>
          <cell r="D1441" t="str">
            <v>Sphegina elegans</v>
          </cell>
          <cell r="E1441" t="str">
            <v>LC</v>
          </cell>
          <cell r="F1441" t="str">
            <v>Ball &amp; Morris, 2014</v>
          </cell>
          <cell r="G1441" t="str">
            <v>NBNSYS0000157089</v>
          </cell>
          <cell r="H1441" t="str">
            <v>Sphegina elegans</v>
          </cell>
        </row>
        <row r="1442">
          <cell r="A1442" t="str">
            <v>Sphegina sibirica</v>
          </cell>
          <cell r="B1442" t="str">
            <v>Hoverflies</v>
          </cell>
          <cell r="C1442" t="str">
            <v>Diptera</v>
          </cell>
          <cell r="D1442" t="str">
            <v>Sphegina sibirica</v>
          </cell>
          <cell r="E1442" t="str">
            <v>LC</v>
          </cell>
          <cell r="F1442" t="str">
            <v>Ball &amp; Morris, 2014</v>
          </cell>
          <cell r="G1442" t="str">
            <v>NBNSYS0000033089</v>
          </cell>
          <cell r="H1442" t="str">
            <v>Sphegina sibirica</v>
          </cell>
        </row>
        <row r="1443">
          <cell r="A1443" t="str">
            <v>Sphegina verecunda</v>
          </cell>
          <cell r="B1443" t="str">
            <v>Hoverflies</v>
          </cell>
          <cell r="C1443" t="str">
            <v>Diptera</v>
          </cell>
          <cell r="D1443" t="str">
            <v>Sphegina verecunda</v>
          </cell>
          <cell r="E1443" t="str">
            <v>LC</v>
          </cell>
          <cell r="F1443" t="str">
            <v>Ball &amp; Morris, 2014</v>
          </cell>
          <cell r="G1443" t="str">
            <v>NBNSYS0000007038</v>
          </cell>
          <cell r="H1443" t="str">
            <v>Sphegina verecunda</v>
          </cell>
        </row>
        <row r="1444">
          <cell r="A1444" t="str">
            <v>Syritta pipiens</v>
          </cell>
          <cell r="B1444" t="str">
            <v>Hoverflies</v>
          </cell>
          <cell r="C1444" t="str">
            <v>Diptera</v>
          </cell>
          <cell r="D1444" t="str">
            <v>Syritta pipiens</v>
          </cell>
          <cell r="E1444" t="str">
            <v>LC</v>
          </cell>
          <cell r="F1444" t="str">
            <v>Ball &amp; Morris, 2014</v>
          </cell>
          <cell r="G1444" t="str">
            <v>NBNSYS0000007110</v>
          </cell>
          <cell r="H1444" t="str">
            <v>Syritta pipiens</v>
          </cell>
        </row>
        <row r="1445">
          <cell r="A1445" t="str">
            <v>Syrphus nitidifrons</v>
          </cell>
          <cell r="B1445" t="str">
            <v>Hoverflies</v>
          </cell>
          <cell r="C1445" t="str">
            <v>Diptera</v>
          </cell>
          <cell r="D1445" t="str">
            <v>Syrphus nitidifrons</v>
          </cell>
          <cell r="E1445" t="str">
            <v>LC</v>
          </cell>
          <cell r="F1445" t="str">
            <v>Ball &amp; Morris, 2014</v>
          </cell>
          <cell r="G1445" t="str">
            <v>NHMSYS0021006243</v>
          </cell>
          <cell r="H1445" t="str">
            <v>Syrphus nitidifrons</v>
          </cell>
        </row>
        <row r="1446">
          <cell r="A1446" t="str">
            <v>Syrphus rectus</v>
          </cell>
          <cell r="B1446" t="str">
            <v>Hoverflies</v>
          </cell>
          <cell r="C1446" t="str">
            <v>Diptera</v>
          </cell>
          <cell r="D1446" t="str">
            <v>Syrphus rectus</v>
          </cell>
          <cell r="E1446" t="str">
            <v>LC</v>
          </cell>
          <cell r="F1446" t="str">
            <v>Ball &amp; Morris, 2014</v>
          </cell>
          <cell r="G1446" t="str">
            <v>NBNSYS0100005686</v>
          </cell>
          <cell r="H1446" t="str">
            <v>Syrphus rectus</v>
          </cell>
        </row>
        <row r="1447">
          <cell r="A1447" t="str">
            <v>Syrphus ribesii</v>
          </cell>
          <cell r="B1447" t="str">
            <v>Hoverflies</v>
          </cell>
          <cell r="C1447" t="str">
            <v>Diptera</v>
          </cell>
          <cell r="D1447" t="str">
            <v>Syrphus ribesii</v>
          </cell>
          <cell r="E1447" t="str">
            <v>LC</v>
          </cell>
          <cell r="F1447" t="str">
            <v>Ball &amp; Morris, 2014</v>
          </cell>
          <cell r="G1447" t="str">
            <v>NBNSYS0000006964</v>
          </cell>
          <cell r="H1447" t="str">
            <v>Syrphus ribesii</v>
          </cell>
        </row>
        <row r="1448">
          <cell r="A1448" t="str">
            <v>Syrphus torvus</v>
          </cell>
          <cell r="B1448" t="str">
            <v>Hoverflies</v>
          </cell>
          <cell r="C1448" t="str">
            <v>Diptera</v>
          </cell>
          <cell r="D1448" t="str">
            <v>Syrphus torvus</v>
          </cell>
          <cell r="E1448" t="str">
            <v>LC</v>
          </cell>
          <cell r="F1448" t="str">
            <v>Ball &amp; Morris, 2014</v>
          </cell>
          <cell r="G1448" t="str">
            <v>NBNSYS0100022820</v>
          </cell>
          <cell r="H1448" t="str">
            <v>Syrphus torvus</v>
          </cell>
        </row>
        <row r="1449">
          <cell r="A1449" t="str">
            <v>Syrphus vitripennis</v>
          </cell>
          <cell r="B1449" t="str">
            <v>Hoverflies</v>
          </cell>
          <cell r="C1449" t="str">
            <v>Diptera</v>
          </cell>
          <cell r="D1449" t="str">
            <v>Syrphus vitripennis</v>
          </cell>
          <cell r="E1449" t="str">
            <v>LC</v>
          </cell>
          <cell r="F1449" t="str">
            <v>Ball &amp; Morris, 2014</v>
          </cell>
          <cell r="G1449" t="str">
            <v>NBNSYS0000006966</v>
          </cell>
          <cell r="H1449" t="str">
            <v>Syrphus vitripennis</v>
          </cell>
        </row>
        <row r="1450">
          <cell r="A1450" t="str">
            <v>Trichopsomyia flavitarsis</v>
          </cell>
          <cell r="B1450" t="str">
            <v>Hoverflies</v>
          </cell>
          <cell r="C1450" t="str">
            <v>Diptera</v>
          </cell>
          <cell r="D1450" t="str">
            <v>Trichopsomyia flavitarsis</v>
          </cell>
          <cell r="E1450" t="str">
            <v>LC</v>
          </cell>
          <cell r="F1450" t="str">
            <v>Ball &amp; Morris, 2014</v>
          </cell>
          <cell r="G1450" t="str">
            <v>NBNSYS0000007089</v>
          </cell>
          <cell r="H1450" t="str">
            <v>Trichopsomyia flavitarsis</v>
          </cell>
        </row>
        <row r="1451">
          <cell r="A1451" t="str">
            <v>Triglyphus primus</v>
          </cell>
          <cell r="B1451" t="str">
            <v>Hoverflies</v>
          </cell>
          <cell r="C1451" t="str">
            <v>Diptera</v>
          </cell>
          <cell r="D1451" t="str">
            <v>Triglyphus primus</v>
          </cell>
          <cell r="E1451" t="str">
            <v>LC</v>
          </cell>
          <cell r="F1451" t="str">
            <v>Ball &amp; Morris, 2014</v>
          </cell>
          <cell r="G1451" t="str">
            <v>NBNSYS0000007090</v>
          </cell>
          <cell r="H1451" t="str">
            <v>Triglyphus primus</v>
          </cell>
        </row>
        <row r="1452">
          <cell r="A1452" t="str">
            <v>Tropidia scita</v>
          </cell>
          <cell r="B1452" t="str">
            <v>Hoverflies</v>
          </cell>
          <cell r="C1452" t="str">
            <v>Diptera</v>
          </cell>
          <cell r="D1452" t="str">
            <v>Tropidia scita</v>
          </cell>
          <cell r="E1452" t="str">
            <v>LC</v>
          </cell>
          <cell r="F1452" t="str">
            <v>Ball &amp; Morris, 2014</v>
          </cell>
          <cell r="G1452" t="str">
            <v>NBNSYS0000007111</v>
          </cell>
          <cell r="H1452" t="str">
            <v>Tropidia scita</v>
          </cell>
        </row>
        <row r="1453">
          <cell r="A1453" t="str">
            <v>Volucella bombylans</v>
          </cell>
          <cell r="B1453" t="str">
            <v>Hoverflies</v>
          </cell>
          <cell r="C1453" t="str">
            <v>Diptera</v>
          </cell>
          <cell r="D1453" t="str">
            <v>Volucella bombylans</v>
          </cell>
          <cell r="E1453" t="str">
            <v>LC</v>
          </cell>
          <cell r="F1453" t="str">
            <v>Ball &amp; Morris, 2014</v>
          </cell>
          <cell r="G1453" t="str">
            <v>NBNSYS0000007094</v>
          </cell>
          <cell r="H1453" t="str">
            <v>Volucella bombylans</v>
          </cell>
        </row>
        <row r="1454">
          <cell r="A1454" t="str">
            <v>Volucella inanis</v>
          </cell>
          <cell r="B1454" t="str">
            <v>Hoverflies</v>
          </cell>
          <cell r="C1454" t="str">
            <v>Diptera</v>
          </cell>
          <cell r="D1454" t="str">
            <v>Volucella inanis</v>
          </cell>
          <cell r="E1454" t="str">
            <v>LC</v>
          </cell>
          <cell r="F1454" t="str">
            <v>Ball &amp; Morris, 2014</v>
          </cell>
          <cell r="G1454" t="str">
            <v>NBNSYS0000007095</v>
          </cell>
          <cell r="H1454" t="str">
            <v>Volucella inanis</v>
          </cell>
        </row>
        <row r="1455">
          <cell r="A1455" t="str">
            <v>Volucella inflata</v>
          </cell>
          <cell r="B1455" t="str">
            <v>Hoverflies</v>
          </cell>
          <cell r="C1455" t="str">
            <v>Diptera</v>
          </cell>
          <cell r="D1455" t="str">
            <v>Volucella inflata</v>
          </cell>
          <cell r="E1455" t="str">
            <v>LC</v>
          </cell>
          <cell r="F1455" t="str">
            <v>Ball &amp; Morris, 2014</v>
          </cell>
          <cell r="G1455" t="str">
            <v>NBNSYS0000007096</v>
          </cell>
          <cell r="H1455" t="str">
            <v>Volucella inflata</v>
          </cell>
        </row>
        <row r="1456">
          <cell r="A1456" t="str">
            <v>Volucella pellucens</v>
          </cell>
          <cell r="B1456" t="str">
            <v>Hoverflies</v>
          </cell>
          <cell r="C1456" t="str">
            <v>Diptera</v>
          </cell>
          <cell r="D1456" t="str">
            <v>Volucella pellucens</v>
          </cell>
          <cell r="E1456" t="str">
            <v>LC</v>
          </cell>
          <cell r="F1456" t="str">
            <v>Ball &amp; Morris, 2014</v>
          </cell>
          <cell r="G1456" t="str">
            <v>NBNSYS0000007097</v>
          </cell>
          <cell r="H1456" t="str">
            <v>Volucella pellucens</v>
          </cell>
        </row>
        <row r="1457">
          <cell r="A1457" t="str">
            <v>Volucella zonaria</v>
          </cell>
          <cell r="B1457" t="str">
            <v>Hoverflies</v>
          </cell>
          <cell r="C1457" t="str">
            <v>Diptera</v>
          </cell>
          <cell r="D1457" t="str">
            <v>Volucella zonaria</v>
          </cell>
          <cell r="E1457" t="str">
            <v>LC</v>
          </cell>
          <cell r="F1457" t="str">
            <v>Ball &amp; Morris, 2014</v>
          </cell>
          <cell r="G1457" t="str">
            <v>NBNSYS0000007098</v>
          </cell>
          <cell r="H1457" t="str">
            <v>Volucella zonaria</v>
          </cell>
        </row>
        <row r="1458">
          <cell r="A1458" t="str">
            <v>Xanthandrus comtus</v>
          </cell>
          <cell r="B1458" t="str">
            <v>Hoverflies</v>
          </cell>
          <cell r="C1458" t="str">
            <v>Diptera</v>
          </cell>
          <cell r="D1458" t="str">
            <v>Xanthandrus comtus</v>
          </cell>
          <cell r="E1458" t="str">
            <v>LC</v>
          </cell>
          <cell r="F1458" t="str">
            <v>Ball &amp; Morris, 2014</v>
          </cell>
          <cell r="G1458" t="str">
            <v>NBNSYS0000006889</v>
          </cell>
          <cell r="H1458" t="str">
            <v>Xanthandrus comtus</v>
          </cell>
        </row>
        <row r="1459">
          <cell r="A1459" t="str">
            <v>Xanthogramma citrofasciatum</v>
          </cell>
          <cell r="B1459" t="str">
            <v>Hoverflies</v>
          </cell>
          <cell r="C1459" t="str">
            <v>Diptera</v>
          </cell>
          <cell r="D1459" t="str">
            <v>Xanthogramma citrofasciatum</v>
          </cell>
          <cell r="E1459" t="str">
            <v>LC</v>
          </cell>
          <cell r="F1459" t="str">
            <v>Ball &amp; Morris, 2014</v>
          </cell>
          <cell r="G1459" t="str">
            <v>NBNSYS0000006967</v>
          </cell>
          <cell r="H1459" t="str">
            <v>Xanthogramma citrofasciatum</v>
          </cell>
        </row>
        <row r="1460">
          <cell r="A1460" t="str">
            <v>Xanthogramma pedissequum</v>
          </cell>
          <cell r="B1460" t="str">
            <v>Hoverflies</v>
          </cell>
          <cell r="C1460" t="str">
            <v>Diptera</v>
          </cell>
          <cell r="D1460" t="str">
            <v>Xanthogramma pedissequum</v>
          </cell>
          <cell r="E1460" t="str">
            <v>LC</v>
          </cell>
          <cell r="F1460" t="str">
            <v>Ball &amp; Morris, 2014</v>
          </cell>
          <cell r="G1460" t="str">
            <v>NHMSYS0021196425</v>
          </cell>
          <cell r="H1460" t="str">
            <v>Xanthogramma pedissequum</v>
          </cell>
        </row>
        <row r="1461">
          <cell r="A1461" t="str">
            <v>Xanthogramma stackelbergi</v>
          </cell>
          <cell r="B1461" t="str">
            <v>Hoverflies</v>
          </cell>
          <cell r="C1461" t="str">
            <v>Diptera</v>
          </cell>
          <cell r="D1461" t="str">
            <v>Xanthogramma stackelbergi</v>
          </cell>
          <cell r="E1461" t="str">
            <v>LC</v>
          </cell>
          <cell r="F1461" t="str">
            <v>Ball &amp; Morris, 2014</v>
          </cell>
          <cell r="G1461" t="str">
            <v>NHMSYS0021004620</v>
          </cell>
          <cell r="H1461" t="str">
            <v>Xanthogramma stackelbergi</v>
          </cell>
        </row>
        <row r="1462">
          <cell r="A1462" t="str">
            <v>Xylota abiens</v>
          </cell>
          <cell r="B1462" t="str">
            <v>Hoverflies</v>
          </cell>
          <cell r="C1462" t="str">
            <v>Diptera</v>
          </cell>
          <cell r="D1462" t="str">
            <v>Xylota abiens</v>
          </cell>
          <cell r="E1462" t="str">
            <v>LC</v>
          </cell>
          <cell r="F1462" t="str">
            <v>Ball &amp; Morris, 2014</v>
          </cell>
          <cell r="G1462" t="str">
            <v>NBNSYS0000007112</v>
          </cell>
          <cell r="H1462" t="str">
            <v>Xylota abiens</v>
          </cell>
        </row>
        <row r="1463">
          <cell r="A1463" t="str">
            <v>Xylota florum</v>
          </cell>
          <cell r="B1463" t="str">
            <v>Hoverflies</v>
          </cell>
          <cell r="C1463" t="str">
            <v>Diptera</v>
          </cell>
          <cell r="D1463" t="str">
            <v>Xylota florum</v>
          </cell>
          <cell r="E1463" t="str">
            <v>LC</v>
          </cell>
          <cell r="F1463" t="str">
            <v>Ball &amp; Morris, 2014</v>
          </cell>
          <cell r="G1463" t="str">
            <v>NBNSYS0000007114</v>
          </cell>
          <cell r="H1463" t="str">
            <v>Xylota florum</v>
          </cell>
        </row>
        <row r="1464">
          <cell r="A1464" t="str">
            <v>Xylota jakutorum</v>
          </cell>
          <cell r="B1464" t="str">
            <v>Hoverflies</v>
          </cell>
          <cell r="C1464" t="str">
            <v>Diptera</v>
          </cell>
          <cell r="D1464" t="str">
            <v>Xylota jakutorum</v>
          </cell>
          <cell r="E1464" t="str">
            <v>LC</v>
          </cell>
          <cell r="F1464" t="str">
            <v>Ball &amp; Morris, 2014</v>
          </cell>
          <cell r="G1464" t="str">
            <v>NBNSYS0100027469</v>
          </cell>
          <cell r="H1464" t="str">
            <v>Xylota jakutorum</v>
          </cell>
        </row>
        <row r="1465">
          <cell r="A1465" t="str">
            <v>Xylota segnis</v>
          </cell>
          <cell r="B1465" t="str">
            <v>Hoverflies</v>
          </cell>
          <cell r="C1465" t="str">
            <v>Diptera</v>
          </cell>
          <cell r="D1465" t="str">
            <v>Xylota segnis</v>
          </cell>
          <cell r="E1465" t="str">
            <v>LC</v>
          </cell>
          <cell r="F1465" t="str">
            <v>Ball &amp; Morris, 2014</v>
          </cell>
          <cell r="G1465" t="str">
            <v>NBNSYS0000007115</v>
          </cell>
          <cell r="H1465" t="str">
            <v>Xylota segnis</v>
          </cell>
        </row>
        <row r="1466">
          <cell r="A1466" t="str">
            <v>Xylota sylvarum</v>
          </cell>
          <cell r="B1466" t="str">
            <v>Hoverflies</v>
          </cell>
          <cell r="C1466" t="str">
            <v>Diptera</v>
          </cell>
          <cell r="D1466" t="str">
            <v>Xylota sylvarum</v>
          </cell>
          <cell r="E1466" t="str">
            <v>LC</v>
          </cell>
          <cell r="F1466" t="str">
            <v>Ball &amp; Morris, 2014</v>
          </cell>
          <cell r="G1466" t="str">
            <v>NBNSYS0000007116</v>
          </cell>
          <cell r="H1466" t="str">
            <v>Xylota sylvarum</v>
          </cell>
        </row>
        <row r="1467">
          <cell r="A1467" t="str">
            <v>Xylota tarda</v>
          </cell>
          <cell r="B1467" t="str">
            <v>Hoverflies</v>
          </cell>
          <cell r="C1467" t="str">
            <v>Diptera</v>
          </cell>
          <cell r="D1467" t="str">
            <v>Xylota tarda</v>
          </cell>
          <cell r="E1467" t="str">
            <v>LC</v>
          </cell>
          <cell r="F1467" t="str">
            <v>Ball &amp; Morris, 2014</v>
          </cell>
          <cell r="G1467" t="str">
            <v>NBNSYS0000007117</v>
          </cell>
          <cell r="H1467" t="str">
            <v>Xylota tarda</v>
          </cell>
        </row>
        <row r="1468">
          <cell r="A1468" t="str">
            <v>Xylota xanthocnema</v>
          </cell>
          <cell r="B1468" t="str">
            <v>Hoverflies</v>
          </cell>
          <cell r="C1468" t="str">
            <v>Diptera</v>
          </cell>
          <cell r="D1468" t="str">
            <v>Xylota xanthocnema</v>
          </cell>
          <cell r="E1468" t="str">
            <v>LC</v>
          </cell>
          <cell r="F1468" t="str">
            <v>Ball &amp; Morris, 2014</v>
          </cell>
          <cell r="G1468" t="str">
            <v>NBNSYS0000007118</v>
          </cell>
          <cell r="H1468" t="str">
            <v>Xylota xanthocnema</v>
          </cell>
        </row>
        <row r="1469">
          <cell r="A1469" t="str">
            <v>Altica brevicollis</v>
          </cell>
          <cell r="B1469" t="str">
            <v>Leaf beetles and allies</v>
          </cell>
          <cell r="C1469" t="str">
            <v>Coleoptera</v>
          </cell>
          <cell r="D1469" t="str">
            <v>Altica brevicollis</v>
          </cell>
          <cell r="E1469" t="str">
            <v>LC</v>
          </cell>
          <cell r="F1469" t="str">
            <v>Hubble, 2014</v>
          </cell>
          <cell r="G1469" t="str">
            <v>NBNSYS0000011271</v>
          </cell>
          <cell r="H1469" t="str">
            <v>Altica brevicollis</v>
          </cell>
        </row>
        <row r="1470">
          <cell r="A1470" t="str">
            <v>Altica carinthiaca</v>
          </cell>
          <cell r="B1470" t="str">
            <v>Leaf beetles and allies</v>
          </cell>
          <cell r="C1470" t="str">
            <v>Coleoptera</v>
          </cell>
          <cell r="D1470" t="str">
            <v>Altica carinthiaca</v>
          </cell>
          <cell r="E1470" t="str">
            <v>LC</v>
          </cell>
          <cell r="F1470" t="str">
            <v>Hubble, 2014</v>
          </cell>
          <cell r="G1470" t="str">
            <v>NHMSYS0001744222</v>
          </cell>
          <cell r="H1470" t="str">
            <v>Altica carinthiaca</v>
          </cell>
        </row>
        <row r="1471">
          <cell r="A1471" t="str">
            <v>Altica helianthemi</v>
          </cell>
          <cell r="B1471" t="str">
            <v>Leaf beetles and allies</v>
          </cell>
          <cell r="C1471" t="str">
            <v>Coleoptera</v>
          </cell>
          <cell r="D1471" t="str">
            <v>Altica helianthemi</v>
          </cell>
          <cell r="E1471" t="str">
            <v>LC</v>
          </cell>
          <cell r="F1471" t="str">
            <v>Hubble, 2014</v>
          </cell>
          <cell r="G1471" t="str">
            <v>NHMSYS0001744223</v>
          </cell>
          <cell r="H1471" t="str">
            <v>Altica helianthemi</v>
          </cell>
        </row>
        <row r="1472">
          <cell r="A1472" t="str">
            <v>Altica longicollis</v>
          </cell>
          <cell r="B1472" t="str">
            <v>Leaf beetles and allies</v>
          </cell>
          <cell r="C1472" t="str">
            <v>Coleoptera</v>
          </cell>
          <cell r="D1472" t="str">
            <v>Altica longicollis</v>
          </cell>
          <cell r="E1472" t="str">
            <v>LC</v>
          </cell>
          <cell r="F1472" t="str">
            <v>Hubble, 2014</v>
          </cell>
          <cell r="G1472" t="str">
            <v>NHMSYS0001744224</v>
          </cell>
          <cell r="H1472" t="str">
            <v>Altica longicollis</v>
          </cell>
        </row>
        <row r="1473">
          <cell r="A1473" t="str">
            <v>Altica lythri</v>
          </cell>
          <cell r="B1473" t="str">
            <v>Leaf beetles and allies</v>
          </cell>
          <cell r="C1473" t="str">
            <v>Coleoptera</v>
          </cell>
          <cell r="D1473" t="str">
            <v>Altica lythri</v>
          </cell>
          <cell r="E1473" t="str">
            <v>LC</v>
          </cell>
          <cell r="F1473" t="str">
            <v>Hubble, 2014</v>
          </cell>
          <cell r="G1473" t="str">
            <v>NHMSYS0020151191</v>
          </cell>
          <cell r="H1473" t="str">
            <v>Altica lythri</v>
          </cell>
        </row>
        <row r="1474">
          <cell r="A1474" t="str">
            <v>Altica oleracea</v>
          </cell>
          <cell r="B1474" t="str">
            <v>Leaf beetles and allies</v>
          </cell>
          <cell r="C1474" t="str">
            <v>Coleoptera</v>
          </cell>
          <cell r="D1474" t="str">
            <v>Altica oleracea</v>
          </cell>
          <cell r="E1474" t="str">
            <v>LC</v>
          </cell>
          <cell r="F1474" t="str">
            <v>Hubble, 2014</v>
          </cell>
          <cell r="G1474" t="str">
            <v>NBNSYS0000011275</v>
          </cell>
          <cell r="H1474" t="str">
            <v>Altica oleracea</v>
          </cell>
        </row>
        <row r="1475">
          <cell r="A1475" t="str">
            <v>Altica palustris</v>
          </cell>
          <cell r="B1475" t="str">
            <v>Leaf beetles and allies</v>
          </cell>
          <cell r="C1475" t="str">
            <v>Coleoptera</v>
          </cell>
          <cell r="D1475" t="str">
            <v>Altica palustris</v>
          </cell>
          <cell r="E1475" t="str">
            <v>LC</v>
          </cell>
          <cell r="F1475" t="str">
            <v>Hubble, 2014</v>
          </cell>
          <cell r="G1475" t="str">
            <v>NBNSYS0000011276</v>
          </cell>
          <cell r="H1475" t="str">
            <v>Altica palustris</v>
          </cell>
        </row>
        <row r="1476">
          <cell r="A1476" t="str">
            <v>Aphthona ?atratula</v>
          </cell>
          <cell r="B1476" t="str">
            <v>Leaf beetles and allies</v>
          </cell>
          <cell r="C1476" t="str">
            <v>Coleoptera</v>
          </cell>
          <cell r="D1476" t="str">
            <v>Aphthona ?atratula</v>
          </cell>
          <cell r="E1476" t="str">
            <v>LC</v>
          </cell>
          <cell r="F1476" t="str">
            <v>Hubble, 2014</v>
          </cell>
          <cell r="G1476" t="str">
            <v>NHMSYS0001744226</v>
          </cell>
          <cell r="H1476" t="str">
            <v>Aphthona ?atratula</v>
          </cell>
        </row>
        <row r="1477">
          <cell r="A1477" t="str">
            <v>Aphthona atrocaerulea</v>
          </cell>
          <cell r="B1477" t="str">
            <v>Leaf beetles and allies</v>
          </cell>
          <cell r="C1477" t="str">
            <v>Coleoptera</v>
          </cell>
          <cell r="D1477" t="str">
            <v>Aphthona atrocaerulea</v>
          </cell>
          <cell r="E1477" t="str">
            <v>LC</v>
          </cell>
          <cell r="F1477" t="str">
            <v>Hubble, 2014</v>
          </cell>
          <cell r="G1477" t="str">
            <v>NHMSYS0020151309</v>
          </cell>
          <cell r="H1477" t="str">
            <v>Aphthona atrocaerulea</v>
          </cell>
        </row>
        <row r="1478">
          <cell r="A1478" t="str">
            <v>Aphthona euphorbiae</v>
          </cell>
          <cell r="B1478" t="str">
            <v>Leaf beetles and allies</v>
          </cell>
          <cell r="C1478" t="str">
            <v>Coleoptera</v>
          </cell>
          <cell r="D1478" t="str">
            <v>Aphthona euphorbiae</v>
          </cell>
          <cell r="E1478" t="str">
            <v>LC</v>
          </cell>
          <cell r="F1478" t="str">
            <v>Hubble, 2014</v>
          </cell>
          <cell r="G1478" t="str">
            <v>NBNSYS0000011225</v>
          </cell>
          <cell r="H1478" t="str">
            <v>Aphthona euphorbiae</v>
          </cell>
        </row>
        <row r="1479">
          <cell r="A1479" t="str">
            <v>Aphthona herbigrada</v>
          </cell>
          <cell r="B1479" t="str">
            <v>Leaf beetles and allies</v>
          </cell>
          <cell r="C1479" t="str">
            <v>Coleoptera</v>
          </cell>
          <cell r="D1479" t="str">
            <v>Aphthona herbigrada</v>
          </cell>
          <cell r="E1479" t="str">
            <v>LC</v>
          </cell>
          <cell r="F1479" t="str">
            <v>Hubble, 2014</v>
          </cell>
          <cell r="G1479" t="str">
            <v>NBNSYS0000011226</v>
          </cell>
          <cell r="H1479" t="str">
            <v>Aphthona herbigrada</v>
          </cell>
        </row>
        <row r="1480">
          <cell r="A1480" t="str">
            <v>Aphthona lutescens</v>
          </cell>
          <cell r="B1480" t="str">
            <v>Leaf beetles and allies</v>
          </cell>
          <cell r="C1480" t="str">
            <v>Coleoptera</v>
          </cell>
          <cell r="D1480" t="str">
            <v>Aphthona lutescens</v>
          </cell>
          <cell r="E1480" t="str">
            <v>LC</v>
          </cell>
          <cell r="F1480" t="str">
            <v>Hubble, 2014</v>
          </cell>
          <cell r="G1480" t="str">
            <v>NHMSYS0020151311</v>
          </cell>
          <cell r="H1480" t="str">
            <v>Aphthona lutescens</v>
          </cell>
        </row>
        <row r="1481">
          <cell r="A1481" t="str">
            <v>Aphthona melancholica</v>
          </cell>
          <cell r="B1481" t="str">
            <v>Leaf beetles and allies</v>
          </cell>
          <cell r="C1481" t="str">
            <v>Coleoptera</v>
          </cell>
          <cell r="D1481" t="str">
            <v>Aphthona melancholica</v>
          </cell>
          <cell r="E1481" t="str">
            <v>LC</v>
          </cell>
          <cell r="F1481" t="str">
            <v>Hubble, 2014</v>
          </cell>
          <cell r="G1481" t="str">
            <v>NBNSYS0000011228</v>
          </cell>
          <cell r="H1481" t="str">
            <v>Aphthona melancholica</v>
          </cell>
        </row>
        <row r="1482">
          <cell r="A1482" t="str">
            <v>Aphthona nigriceps</v>
          </cell>
          <cell r="B1482" t="str">
            <v>Leaf beetles and allies</v>
          </cell>
          <cell r="C1482" t="str">
            <v>Coleoptera</v>
          </cell>
          <cell r="D1482" t="str">
            <v>Aphthona nigriceps</v>
          </cell>
          <cell r="E1482" t="str">
            <v>LC</v>
          </cell>
          <cell r="F1482" t="str">
            <v>Hubble, 2014</v>
          </cell>
          <cell r="G1482" t="str">
            <v>NBNSYS0000011229</v>
          </cell>
          <cell r="H1482" t="str">
            <v>Aphthona nigriceps</v>
          </cell>
        </row>
        <row r="1483">
          <cell r="A1483" t="str">
            <v>Aphthona nonstriata</v>
          </cell>
          <cell r="B1483" t="str">
            <v>Leaf beetles and allies</v>
          </cell>
          <cell r="C1483" t="str">
            <v>Coleoptera</v>
          </cell>
          <cell r="D1483" t="str">
            <v>Aphthona nonstriata</v>
          </cell>
          <cell r="E1483" t="str">
            <v>LC</v>
          </cell>
          <cell r="F1483" t="str">
            <v>Hubble, 2014</v>
          </cell>
          <cell r="G1483" t="str">
            <v>NBNSYS0000011230</v>
          </cell>
          <cell r="H1483" t="str">
            <v>Aphthona nonstriata</v>
          </cell>
        </row>
        <row r="1484">
          <cell r="A1484" t="str">
            <v>Apteropeda globosa</v>
          </cell>
          <cell r="B1484" t="str">
            <v>Leaf beetles and allies</v>
          </cell>
          <cell r="C1484" t="str">
            <v>Coleoptera</v>
          </cell>
          <cell r="D1484" t="str">
            <v>Apteropeda globosa</v>
          </cell>
          <cell r="E1484" t="str">
            <v>LC</v>
          </cell>
          <cell r="F1484" t="str">
            <v>Hubble, 2014</v>
          </cell>
          <cell r="G1484" t="str">
            <v>NBNSYS0000011312</v>
          </cell>
          <cell r="H1484" t="str">
            <v>Apteropeda globosa</v>
          </cell>
        </row>
        <row r="1485">
          <cell r="A1485" t="str">
            <v>Apteropeda orbiculata</v>
          </cell>
          <cell r="B1485" t="str">
            <v>Leaf beetles and allies</v>
          </cell>
          <cell r="C1485" t="str">
            <v>Coleoptera</v>
          </cell>
          <cell r="D1485" t="str">
            <v>Apteropeda orbiculata</v>
          </cell>
          <cell r="E1485" t="str">
            <v>LC</v>
          </cell>
          <cell r="F1485" t="str">
            <v>Hubble, 2014</v>
          </cell>
          <cell r="G1485" t="str">
            <v>NBNSYS0000011313</v>
          </cell>
          <cell r="H1485" t="str">
            <v>Apteropeda orbiculata</v>
          </cell>
        </row>
        <row r="1486">
          <cell r="A1486" t="str">
            <v>Apteropeda splendida</v>
          </cell>
          <cell r="B1486" t="str">
            <v>Leaf beetles and allies</v>
          </cell>
          <cell r="C1486" t="str">
            <v>Coleoptera</v>
          </cell>
          <cell r="D1486" t="str">
            <v>Apteropeda splendida</v>
          </cell>
          <cell r="E1486" t="str">
            <v>CR(PE)</v>
          </cell>
          <cell r="F1486" t="str">
            <v>Hubble, 2014</v>
          </cell>
          <cell r="G1486" t="str">
            <v>NBNSYS0000011314</v>
          </cell>
          <cell r="H1486" t="str">
            <v>Apteropeda splendida</v>
          </cell>
        </row>
        <row r="1487">
          <cell r="A1487" t="str">
            <v>Batophila aerata</v>
          </cell>
          <cell r="B1487" t="str">
            <v>Leaf beetles and allies</v>
          </cell>
          <cell r="C1487" t="str">
            <v>Coleoptera</v>
          </cell>
          <cell r="D1487" t="str">
            <v>Batophila aerata</v>
          </cell>
          <cell r="E1487" t="str">
            <v>LC</v>
          </cell>
          <cell r="F1487" t="str">
            <v>Hubble, 2014</v>
          </cell>
          <cell r="G1487" t="str">
            <v>NBNSYS0000011279</v>
          </cell>
          <cell r="H1487" t="str">
            <v>Batophila aerata</v>
          </cell>
        </row>
        <row r="1488">
          <cell r="A1488" t="str">
            <v>Batophila rubi</v>
          </cell>
          <cell r="B1488" t="str">
            <v>Leaf beetles and allies</v>
          </cell>
          <cell r="C1488" t="str">
            <v>Coleoptera</v>
          </cell>
          <cell r="D1488" t="str">
            <v>Batophila rubi</v>
          </cell>
          <cell r="E1488" t="str">
            <v>LC</v>
          </cell>
          <cell r="F1488" t="str">
            <v>Hubble, 2014</v>
          </cell>
          <cell r="G1488" t="str">
            <v>NBNSYS0000011280</v>
          </cell>
          <cell r="H1488" t="str">
            <v>Batophila rubi</v>
          </cell>
        </row>
        <row r="1489">
          <cell r="A1489" t="str">
            <v>Bromius obscurus</v>
          </cell>
          <cell r="B1489" t="str">
            <v>Leaf beetles and allies</v>
          </cell>
          <cell r="C1489" t="str">
            <v>Coleoptera</v>
          </cell>
          <cell r="D1489" t="str">
            <v>Bromius obscurus</v>
          </cell>
          <cell r="E1489" t="str">
            <v>CR</v>
          </cell>
          <cell r="F1489" t="str">
            <v>Hubble, 2014</v>
          </cell>
          <cell r="G1489" t="str">
            <v>NBNSYS0000011143</v>
          </cell>
          <cell r="H1489" t="str">
            <v>Bromius obscurus</v>
          </cell>
        </row>
        <row r="1490">
          <cell r="A1490" t="str">
            <v>Bruchidius cisti</v>
          </cell>
          <cell r="B1490" t="str">
            <v>Leaf beetles and allies</v>
          </cell>
          <cell r="C1490" t="str">
            <v>Coleoptera</v>
          </cell>
          <cell r="D1490" t="str">
            <v>Bruchidius cisti</v>
          </cell>
          <cell r="E1490" t="str">
            <v>LC</v>
          </cell>
          <cell r="F1490" t="str">
            <v>Hubble, 2014</v>
          </cell>
          <cell r="G1490" t="str">
            <v>NHMSYS0020151532</v>
          </cell>
          <cell r="H1490" t="str">
            <v>Bruchidius cisti</v>
          </cell>
        </row>
        <row r="1491">
          <cell r="A1491" t="str">
            <v>Bruchidius olivaceus</v>
          </cell>
          <cell r="B1491" t="str">
            <v>Leaf beetles and allies</v>
          </cell>
          <cell r="C1491" t="str">
            <v>Coleoptera</v>
          </cell>
          <cell r="D1491" t="str">
            <v>Bruchidius olivaceus</v>
          </cell>
          <cell r="E1491" t="str">
            <v>CR(PE)</v>
          </cell>
          <cell r="F1491" t="str">
            <v>Hubble, 2014</v>
          </cell>
          <cell r="G1491" t="str">
            <v>NBNSYS0000011074</v>
          </cell>
          <cell r="H1491" t="str">
            <v>Bruchidius olivaceus</v>
          </cell>
        </row>
        <row r="1492">
          <cell r="A1492" t="str">
            <v>Bruchidius villosus</v>
          </cell>
          <cell r="B1492" t="str">
            <v>Leaf beetles and allies</v>
          </cell>
          <cell r="C1492" t="str">
            <v>Coleoptera</v>
          </cell>
          <cell r="D1492" t="str">
            <v>Bruchidius villosus</v>
          </cell>
          <cell r="E1492" t="str">
            <v>LC</v>
          </cell>
          <cell r="F1492" t="str">
            <v>Hubble, 2014</v>
          </cell>
          <cell r="G1492" t="str">
            <v>NHMSYS0020151537</v>
          </cell>
          <cell r="H1492" t="str">
            <v>Bruchidius villosus</v>
          </cell>
        </row>
        <row r="1493">
          <cell r="A1493" t="str">
            <v>Bruchus atomarius</v>
          </cell>
          <cell r="B1493" t="str">
            <v>Leaf beetles and allies</v>
          </cell>
          <cell r="C1493" t="str">
            <v>Coleoptera</v>
          </cell>
          <cell r="D1493" t="str">
            <v>Bruchus atomarius</v>
          </cell>
          <cell r="E1493" t="str">
            <v>LC</v>
          </cell>
          <cell r="F1493" t="str">
            <v>Hubble, 2014</v>
          </cell>
          <cell r="G1493" t="str">
            <v>NBNSYS0000011065</v>
          </cell>
          <cell r="H1493" t="str">
            <v>Bruchus atomarius</v>
          </cell>
        </row>
        <row r="1494">
          <cell r="A1494" t="str">
            <v>Bruchus loti</v>
          </cell>
          <cell r="B1494" t="str">
            <v>Leaf beetles and allies</v>
          </cell>
          <cell r="C1494" t="str">
            <v>Coleoptera</v>
          </cell>
          <cell r="D1494" t="str">
            <v>Bruchus loti</v>
          </cell>
          <cell r="E1494" t="str">
            <v>LC</v>
          </cell>
          <cell r="F1494" t="str">
            <v>Hubble, 2014</v>
          </cell>
          <cell r="G1494" t="str">
            <v>NBNSYS0000011067</v>
          </cell>
          <cell r="H1494" t="str">
            <v>Bruchus loti</v>
          </cell>
        </row>
        <row r="1495">
          <cell r="A1495" t="str">
            <v>Bruchus rufimanus</v>
          </cell>
          <cell r="B1495" t="str">
            <v>Leaf beetles and allies</v>
          </cell>
          <cell r="C1495" t="str">
            <v>Coleoptera</v>
          </cell>
          <cell r="D1495" t="str">
            <v>Bruchus rufimanus</v>
          </cell>
          <cell r="E1495" t="str">
            <v>LC</v>
          </cell>
          <cell r="F1495" t="str">
            <v>Hubble, 2014</v>
          </cell>
          <cell r="G1495" t="str">
            <v>NBNSYS0000011069</v>
          </cell>
          <cell r="H1495" t="str">
            <v>Bruchus rufimanus</v>
          </cell>
        </row>
        <row r="1496">
          <cell r="A1496" t="str">
            <v>Bruchus rufipes</v>
          </cell>
          <cell r="B1496" t="str">
            <v>Leaf beetles and allies</v>
          </cell>
          <cell r="C1496" t="str">
            <v>Coleoptera</v>
          </cell>
          <cell r="D1496" t="str">
            <v>Bruchus rufipes</v>
          </cell>
          <cell r="E1496" t="str">
            <v>LC</v>
          </cell>
          <cell r="F1496" t="str">
            <v>Hubble, 2014</v>
          </cell>
          <cell r="G1496" t="str">
            <v>NBNSYS0000011070</v>
          </cell>
          <cell r="H1496" t="str">
            <v>Bruchus rufipes</v>
          </cell>
        </row>
        <row r="1497">
          <cell r="A1497" t="str">
            <v>Calomicrus circumfusus</v>
          </cell>
          <cell r="B1497" t="str">
            <v>Leaf beetles and allies</v>
          </cell>
          <cell r="C1497" t="str">
            <v>Coleoptera</v>
          </cell>
          <cell r="D1497" t="str">
            <v>Calomicrus circumfusus</v>
          </cell>
          <cell r="E1497" t="str">
            <v>LC</v>
          </cell>
          <cell r="F1497" t="str">
            <v>Hubble, 2014</v>
          </cell>
          <cell r="G1497" t="str">
            <v>NBNSYS0000011205</v>
          </cell>
          <cell r="H1497" t="str">
            <v>Calomicrus circumfusus</v>
          </cell>
        </row>
        <row r="1498">
          <cell r="A1498" t="str">
            <v>Cassida denticollis</v>
          </cell>
          <cell r="B1498" t="str">
            <v>Leaf beetles and allies</v>
          </cell>
          <cell r="C1498" t="str">
            <v>Coleoptera</v>
          </cell>
          <cell r="D1498" t="str">
            <v>Cassida denticollis</v>
          </cell>
          <cell r="E1498" t="str">
            <v>EN</v>
          </cell>
          <cell r="F1498" t="str">
            <v>Hubble, 2014</v>
          </cell>
          <cell r="G1498" t="str">
            <v>NBNSYS0000011333</v>
          </cell>
          <cell r="H1498" t="str">
            <v>Cassida denticollis</v>
          </cell>
        </row>
        <row r="1499">
          <cell r="A1499" t="str">
            <v>Cassida flaveola</v>
          </cell>
          <cell r="B1499" t="str">
            <v>Leaf beetles and allies</v>
          </cell>
          <cell r="C1499" t="str">
            <v>Coleoptera</v>
          </cell>
          <cell r="D1499" t="str">
            <v>Cassida flaveola</v>
          </cell>
          <cell r="E1499" t="str">
            <v>LC</v>
          </cell>
          <cell r="F1499" t="str">
            <v>Hubble, 2014</v>
          </cell>
          <cell r="G1499" t="str">
            <v>NBNSYS0000011334</v>
          </cell>
          <cell r="H1499" t="str">
            <v>Cassida flaveola</v>
          </cell>
        </row>
        <row r="1500">
          <cell r="A1500" t="str">
            <v>Cassida hemisphaerica</v>
          </cell>
          <cell r="B1500" t="str">
            <v>Leaf beetles and allies</v>
          </cell>
          <cell r="C1500" t="str">
            <v>Coleoptera</v>
          </cell>
          <cell r="D1500" t="str">
            <v>Cassida hemisphaerica</v>
          </cell>
          <cell r="E1500" t="str">
            <v>LC</v>
          </cell>
          <cell r="F1500" t="str">
            <v>Hubble, 2014</v>
          </cell>
          <cell r="G1500" t="str">
            <v>NBNSYS0000011335</v>
          </cell>
          <cell r="H1500" t="str">
            <v>Cassida hemisphaerica</v>
          </cell>
        </row>
        <row r="1501">
          <cell r="A1501" t="str">
            <v>Cassida murraea</v>
          </cell>
          <cell r="B1501" t="str">
            <v>Leaf beetles and allies</v>
          </cell>
          <cell r="C1501" t="str">
            <v>Coleoptera</v>
          </cell>
          <cell r="D1501" t="str">
            <v>Cassida murraea</v>
          </cell>
          <cell r="E1501" t="str">
            <v>LC</v>
          </cell>
          <cell r="F1501" t="str">
            <v>Hubble, 2014</v>
          </cell>
          <cell r="G1501" t="str">
            <v>NBNSYS0000011336</v>
          </cell>
          <cell r="H1501" t="str">
            <v>Cassida murraea</v>
          </cell>
        </row>
        <row r="1502">
          <cell r="A1502" t="str">
            <v>Cassida nebulosa</v>
          </cell>
          <cell r="B1502" t="str">
            <v>Leaf beetles and allies</v>
          </cell>
          <cell r="C1502" t="str">
            <v>Coleoptera</v>
          </cell>
          <cell r="D1502" t="str">
            <v>Cassida nebulosa</v>
          </cell>
          <cell r="E1502" t="str">
            <v>LC</v>
          </cell>
          <cell r="F1502" t="str">
            <v>Hubble, 2014</v>
          </cell>
          <cell r="G1502" t="str">
            <v>NBNSYS0000011337</v>
          </cell>
          <cell r="H1502" t="str">
            <v>Cassida nebulosa</v>
          </cell>
        </row>
        <row r="1503">
          <cell r="A1503" t="str">
            <v>Cassida nobilis</v>
          </cell>
          <cell r="B1503" t="str">
            <v>Leaf beetles and allies</v>
          </cell>
          <cell r="C1503" t="str">
            <v>Coleoptera</v>
          </cell>
          <cell r="D1503" t="str">
            <v>Cassida nobilis</v>
          </cell>
          <cell r="E1503" t="str">
            <v>LC</v>
          </cell>
          <cell r="F1503" t="str">
            <v>Hubble, 2014</v>
          </cell>
          <cell r="G1503" t="str">
            <v>NBNSYS0000011338</v>
          </cell>
          <cell r="H1503" t="str">
            <v>Cassida nobilis</v>
          </cell>
        </row>
        <row r="1504">
          <cell r="A1504" t="str">
            <v>Cassida prasina</v>
          </cell>
          <cell r="B1504" t="str">
            <v>Leaf beetles and allies</v>
          </cell>
          <cell r="C1504" t="str">
            <v>Coleoptera</v>
          </cell>
          <cell r="D1504" t="str">
            <v>Cassida prasina</v>
          </cell>
          <cell r="E1504" t="str">
            <v>LC</v>
          </cell>
          <cell r="F1504" t="str">
            <v>Hubble, 2014</v>
          </cell>
          <cell r="G1504" t="str">
            <v>NBNSYS0000011339</v>
          </cell>
          <cell r="H1504" t="str">
            <v>Cassida prasina</v>
          </cell>
        </row>
        <row r="1505">
          <cell r="A1505" t="str">
            <v>Cassida rubiginosa</v>
          </cell>
          <cell r="B1505" t="str">
            <v>Leaf beetles and allies</v>
          </cell>
          <cell r="C1505" t="str">
            <v>Coleoptera</v>
          </cell>
          <cell r="D1505" t="str">
            <v>Cassida rubiginosa</v>
          </cell>
          <cell r="E1505" t="str">
            <v>LC</v>
          </cell>
          <cell r="F1505" t="str">
            <v>Hubble, 2014</v>
          </cell>
          <cell r="G1505" t="str">
            <v>NHMSYS0020151609</v>
          </cell>
          <cell r="H1505" t="str">
            <v>Cassida rubiginosa</v>
          </cell>
        </row>
        <row r="1506">
          <cell r="A1506" t="str">
            <v>Cassida vibex</v>
          </cell>
          <cell r="B1506" t="str">
            <v>Leaf beetles and allies</v>
          </cell>
          <cell r="C1506" t="str">
            <v>Coleoptera</v>
          </cell>
          <cell r="D1506" t="str">
            <v>Cassida vibex</v>
          </cell>
          <cell r="E1506" t="str">
            <v>LC</v>
          </cell>
          <cell r="F1506" t="str">
            <v>Hubble, 2014</v>
          </cell>
          <cell r="G1506" t="str">
            <v>NBNSYS0000011342</v>
          </cell>
          <cell r="H1506" t="str">
            <v>Cassida vibex</v>
          </cell>
        </row>
        <row r="1507">
          <cell r="A1507" t="str">
            <v>Cassida viridis</v>
          </cell>
          <cell r="B1507" t="str">
            <v>Leaf beetles and allies</v>
          </cell>
          <cell r="C1507" t="str">
            <v>Coleoptera</v>
          </cell>
          <cell r="D1507" t="str">
            <v>Cassida viridis</v>
          </cell>
          <cell r="E1507" t="str">
            <v>LC</v>
          </cell>
          <cell r="F1507" t="str">
            <v>Hubble, 2014</v>
          </cell>
          <cell r="G1507" t="str">
            <v>NBNSYS0000011343</v>
          </cell>
          <cell r="H1507" t="str">
            <v>Cassida viridis</v>
          </cell>
        </row>
        <row r="1508">
          <cell r="A1508" t="str">
            <v>Cassida vittata</v>
          </cell>
          <cell r="B1508" t="str">
            <v>Leaf beetles and allies</v>
          </cell>
          <cell r="C1508" t="str">
            <v>Coleoptera</v>
          </cell>
          <cell r="D1508" t="str">
            <v>Cassida vittata</v>
          </cell>
          <cell r="E1508" t="str">
            <v>LC</v>
          </cell>
          <cell r="F1508" t="str">
            <v>Hubble, 2014</v>
          </cell>
          <cell r="G1508" t="str">
            <v>NBNSYS0000011344</v>
          </cell>
          <cell r="H1508" t="str">
            <v>Cassida vittata</v>
          </cell>
        </row>
        <row r="1509">
          <cell r="A1509" t="str">
            <v>Chaetocnema aerosa</v>
          </cell>
          <cell r="B1509" t="str">
            <v>Leaf beetles and allies</v>
          </cell>
          <cell r="C1509" t="str">
            <v>Coleoptera</v>
          </cell>
          <cell r="D1509" t="str">
            <v>Chaetocnema aerosa</v>
          </cell>
          <cell r="E1509" t="str">
            <v>CR</v>
          </cell>
          <cell r="F1509" t="str">
            <v>Hubble, 2014</v>
          </cell>
          <cell r="G1509" t="str">
            <v>NBNSYS0000011301</v>
          </cell>
          <cell r="H1509" t="str">
            <v>Chaetocnema aerosa</v>
          </cell>
        </row>
        <row r="1510">
          <cell r="A1510" t="str">
            <v>Chaetocnema arida</v>
          </cell>
          <cell r="B1510" t="str">
            <v>Leaf beetles and allies</v>
          </cell>
          <cell r="C1510" t="str">
            <v>Coleoptera</v>
          </cell>
          <cell r="D1510" t="str">
            <v>Chaetocnema arida</v>
          </cell>
          <cell r="E1510" t="str">
            <v>LC</v>
          </cell>
          <cell r="F1510" t="str">
            <v>Hubble, 2014</v>
          </cell>
          <cell r="G1510" t="str">
            <v>NBNSYS0000011302</v>
          </cell>
          <cell r="H1510" t="str">
            <v>Chaetocnema arida</v>
          </cell>
        </row>
        <row r="1511">
          <cell r="A1511" t="str">
            <v>Chaetocnema concinna</v>
          </cell>
          <cell r="B1511" t="str">
            <v>Leaf beetles and allies</v>
          </cell>
          <cell r="C1511" t="str">
            <v>Coleoptera</v>
          </cell>
          <cell r="D1511" t="str">
            <v>Chaetocnema concinna</v>
          </cell>
          <cell r="E1511" t="str">
            <v>LC</v>
          </cell>
          <cell r="F1511" t="str">
            <v>Hubble, 2014</v>
          </cell>
          <cell r="G1511" t="str">
            <v>NBNSYS0000011304</v>
          </cell>
          <cell r="H1511" t="str">
            <v>Chaetocnema concinna</v>
          </cell>
        </row>
        <row r="1512">
          <cell r="A1512" t="str">
            <v>Chaetocnema confusa</v>
          </cell>
          <cell r="B1512" t="str">
            <v>Leaf beetles and allies</v>
          </cell>
          <cell r="C1512" t="str">
            <v>Coleoptera</v>
          </cell>
          <cell r="D1512" t="str">
            <v>Chaetocnema confusa</v>
          </cell>
          <cell r="E1512" t="str">
            <v>LC</v>
          </cell>
          <cell r="F1512" t="str">
            <v>Hubble, 2014</v>
          </cell>
          <cell r="G1512" t="str">
            <v>NBNSYS0000011306</v>
          </cell>
          <cell r="H1512" t="str">
            <v>Chaetocnema confusa</v>
          </cell>
        </row>
        <row r="1513">
          <cell r="A1513" t="str">
            <v>Chaetocnema hortensis</v>
          </cell>
          <cell r="B1513" t="str">
            <v>Leaf beetles and allies</v>
          </cell>
          <cell r="C1513" t="str">
            <v>Coleoptera</v>
          </cell>
          <cell r="D1513" t="str">
            <v>Chaetocnema hortensis</v>
          </cell>
          <cell r="E1513" t="str">
            <v>LC</v>
          </cell>
          <cell r="F1513" t="str">
            <v>Hubble, 2014</v>
          </cell>
          <cell r="G1513" t="str">
            <v>NBNSYS0000011307</v>
          </cell>
          <cell r="H1513" t="str">
            <v>Chaetocnema hortensis</v>
          </cell>
        </row>
        <row r="1514">
          <cell r="A1514" t="str">
            <v>Chaetocnema picipes</v>
          </cell>
          <cell r="B1514" t="str">
            <v>Leaf beetles and allies</v>
          </cell>
          <cell r="C1514" t="str">
            <v>Coleoptera</v>
          </cell>
          <cell r="D1514" t="str">
            <v>Chaetocnema picipes</v>
          </cell>
          <cell r="E1514" t="str">
            <v>LC</v>
          </cell>
          <cell r="F1514" t="str">
            <v>Hubble, 2014</v>
          </cell>
          <cell r="G1514" t="str">
            <v>NHMSYS0020151673</v>
          </cell>
          <cell r="H1514" t="str">
            <v>Chaetocnema picipes</v>
          </cell>
        </row>
        <row r="1515">
          <cell r="A1515" t="str">
            <v>Chaetocnema sahlbergii</v>
          </cell>
          <cell r="B1515" t="str">
            <v>Leaf beetles and allies</v>
          </cell>
          <cell r="C1515" t="str">
            <v>Coleoptera</v>
          </cell>
          <cell r="D1515" t="str">
            <v>Chaetocnema sahlbergii</v>
          </cell>
          <cell r="E1515" t="str">
            <v>VU</v>
          </cell>
          <cell r="F1515" t="str">
            <v>Hubble, 2014</v>
          </cell>
          <cell r="G1515" t="str">
            <v>NBNSYS0000144166</v>
          </cell>
          <cell r="H1515" t="str">
            <v>Chaetocnema sahlbergii</v>
          </cell>
        </row>
        <row r="1516">
          <cell r="A1516" t="str">
            <v>Chaetocnema subcoerulea</v>
          </cell>
          <cell r="B1516" t="str">
            <v>Leaf beetles and allies</v>
          </cell>
          <cell r="C1516" t="str">
            <v>Coleoptera</v>
          </cell>
          <cell r="D1516" t="str">
            <v>Chaetocnema subcoerulea</v>
          </cell>
          <cell r="E1516" t="str">
            <v>LC</v>
          </cell>
          <cell r="F1516" t="str">
            <v>Hubble, 2014</v>
          </cell>
          <cell r="G1516" t="str">
            <v>NBNSYS0000011309</v>
          </cell>
          <cell r="H1516" t="str">
            <v>Chaetocnema subcoerulea</v>
          </cell>
        </row>
        <row r="1517">
          <cell r="A1517" t="str">
            <v>Chrysolina banksii</v>
          </cell>
          <cell r="B1517" t="str">
            <v>Leaf beetles and allies</v>
          </cell>
          <cell r="C1517" t="str">
            <v>Coleoptera</v>
          </cell>
          <cell r="D1517" t="str">
            <v>Chrysolina banksii</v>
          </cell>
          <cell r="E1517" t="str">
            <v>LC</v>
          </cell>
          <cell r="F1517" t="str">
            <v>Hubble, 2014</v>
          </cell>
          <cell r="G1517" t="str">
            <v>NHMSYS0021177211</v>
          </cell>
          <cell r="H1517" t="str">
            <v>Chrysolina banksii</v>
          </cell>
        </row>
        <row r="1518">
          <cell r="A1518" t="str">
            <v>Chrysolina brunsvicensis</v>
          </cell>
          <cell r="B1518" t="str">
            <v>Leaf beetles and allies</v>
          </cell>
          <cell r="C1518" t="str">
            <v>Coleoptera</v>
          </cell>
          <cell r="D1518" t="str">
            <v>Chrysolina brunsvicensis</v>
          </cell>
          <cell r="E1518" t="str">
            <v>LC</v>
          </cell>
          <cell r="F1518" t="str">
            <v>Hubble, 2014</v>
          </cell>
          <cell r="G1518" t="str">
            <v>NBNSYS0000011149</v>
          </cell>
          <cell r="H1518" t="str">
            <v>Chrysolina brunsvicensis</v>
          </cell>
        </row>
        <row r="1519">
          <cell r="A1519" t="str">
            <v>Chrysolina fastuosa</v>
          </cell>
          <cell r="B1519" t="str">
            <v>Leaf beetles and allies</v>
          </cell>
          <cell r="C1519" t="str">
            <v>Coleoptera</v>
          </cell>
          <cell r="D1519" t="str">
            <v>Chrysolina fastuosa</v>
          </cell>
          <cell r="E1519" t="str">
            <v>LC</v>
          </cell>
          <cell r="F1519" t="str">
            <v>Hubble, 2014</v>
          </cell>
          <cell r="G1519" t="str">
            <v>NBNSYS0000011152</v>
          </cell>
          <cell r="H1519" t="str">
            <v>Chrysolina fastuosa</v>
          </cell>
        </row>
        <row r="1520">
          <cell r="A1520" t="str">
            <v>Chrysolina graminis</v>
          </cell>
          <cell r="B1520" t="str">
            <v>Leaf beetles and allies</v>
          </cell>
          <cell r="C1520" t="str">
            <v>Coleoptera</v>
          </cell>
          <cell r="D1520" t="str">
            <v>Chrysolina graminis</v>
          </cell>
          <cell r="E1520" t="str">
            <v>EN</v>
          </cell>
          <cell r="F1520" t="str">
            <v>Hubble, 2014</v>
          </cell>
          <cell r="G1520" t="str">
            <v>NBNSYS0000011153</v>
          </cell>
          <cell r="H1520" t="str">
            <v>Chrysolina graminis</v>
          </cell>
        </row>
        <row r="1521">
          <cell r="A1521" t="str">
            <v>Chrysolina haemoptera</v>
          </cell>
          <cell r="B1521" t="str">
            <v>Leaf beetles and allies</v>
          </cell>
          <cell r="C1521" t="str">
            <v>Coleoptera</v>
          </cell>
          <cell r="D1521" t="str">
            <v>Chrysolina haemoptera</v>
          </cell>
          <cell r="E1521" t="str">
            <v>LC</v>
          </cell>
          <cell r="F1521" t="str">
            <v>Hubble, 2014</v>
          </cell>
          <cell r="G1521" t="str">
            <v>NBNSYS0000011154</v>
          </cell>
          <cell r="H1521" t="str">
            <v>Chrysolina haemoptera</v>
          </cell>
        </row>
        <row r="1522">
          <cell r="A1522" t="str">
            <v>Chrysolina herbacea</v>
          </cell>
          <cell r="B1522" t="str">
            <v>Leaf beetles and allies</v>
          </cell>
          <cell r="C1522" t="str">
            <v>Coleoptera</v>
          </cell>
          <cell r="D1522" t="str">
            <v>Chrysolina herbacea</v>
          </cell>
          <cell r="E1522" t="str">
            <v>LC</v>
          </cell>
          <cell r="F1522" t="str">
            <v>Hubble, 2014</v>
          </cell>
          <cell r="G1522" t="str">
            <v>NHMSYS0001744228</v>
          </cell>
          <cell r="H1522" t="str">
            <v>Chrysolina herbacea</v>
          </cell>
        </row>
        <row r="1523">
          <cell r="A1523" t="str">
            <v>Chrysolina hyperici</v>
          </cell>
          <cell r="B1523" t="str">
            <v>Leaf beetles and allies</v>
          </cell>
          <cell r="C1523" t="str">
            <v>Coleoptera</v>
          </cell>
          <cell r="D1523" t="str">
            <v>Chrysolina hyperici</v>
          </cell>
          <cell r="E1523" t="str">
            <v>LC</v>
          </cell>
          <cell r="F1523" t="str">
            <v>Hubble, 2014</v>
          </cell>
          <cell r="G1523" t="str">
            <v>NBNSYS0000011155</v>
          </cell>
          <cell r="H1523" t="str">
            <v>Chrysolina hyperici</v>
          </cell>
        </row>
        <row r="1524">
          <cell r="A1524" t="str">
            <v>Chrysolina marginata</v>
          </cell>
          <cell r="B1524" t="str">
            <v>Leaf beetles and allies</v>
          </cell>
          <cell r="C1524" t="str">
            <v>Coleoptera</v>
          </cell>
          <cell r="D1524" t="str">
            <v>Chrysolina marginata</v>
          </cell>
          <cell r="E1524" t="str">
            <v>NT</v>
          </cell>
          <cell r="F1524" t="str">
            <v>Hubble, 2014</v>
          </cell>
          <cell r="G1524" t="str">
            <v>NBNSYS0000011157</v>
          </cell>
          <cell r="H1524" t="str">
            <v>Chrysolina marginata</v>
          </cell>
        </row>
        <row r="1525">
          <cell r="A1525" t="str">
            <v>Chrysolina oricalcia</v>
          </cell>
          <cell r="B1525" t="str">
            <v>Leaf beetles and allies</v>
          </cell>
          <cell r="C1525" t="str">
            <v>Coleoptera</v>
          </cell>
          <cell r="D1525" t="str">
            <v>Chrysolina oricalcia</v>
          </cell>
          <cell r="E1525" t="str">
            <v>LC</v>
          </cell>
          <cell r="F1525" t="str">
            <v>Hubble, 2014</v>
          </cell>
          <cell r="G1525" t="str">
            <v>NHMSYS0020151698</v>
          </cell>
          <cell r="H1525" t="str">
            <v>Chrysolina oricalcia</v>
          </cell>
        </row>
        <row r="1526">
          <cell r="A1526" t="str">
            <v>Chrysolina polita</v>
          </cell>
          <cell r="B1526" t="str">
            <v>Leaf beetles and allies</v>
          </cell>
          <cell r="C1526" t="str">
            <v>Coleoptera</v>
          </cell>
          <cell r="D1526" t="str">
            <v>Chrysolina polita</v>
          </cell>
          <cell r="E1526" t="str">
            <v>LC</v>
          </cell>
          <cell r="F1526" t="str">
            <v>Hubble, 2014</v>
          </cell>
          <cell r="G1526" t="str">
            <v>NBNSYS0000011160</v>
          </cell>
          <cell r="H1526" t="str">
            <v>Chrysolina polita</v>
          </cell>
        </row>
        <row r="1527">
          <cell r="A1527" t="str">
            <v>Chrysolina sanguinolenta</v>
          </cell>
          <cell r="B1527" t="str">
            <v>Leaf beetles and allies</v>
          </cell>
          <cell r="C1527" t="str">
            <v>Coleoptera</v>
          </cell>
          <cell r="D1527" t="str">
            <v>Chrysolina sanguinolenta</v>
          </cell>
          <cell r="E1527" t="str">
            <v>LC</v>
          </cell>
          <cell r="F1527" t="str">
            <v>Hubble, 2014</v>
          </cell>
          <cell r="G1527" t="str">
            <v>NBNSYS0000011161</v>
          </cell>
          <cell r="H1527" t="str">
            <v>Chrysolina sanguinolenta</v>
          </cell>
        </row>
        <row r="1528">
          <cell r="A1528" t="str">
            <v>Chrysolina staphylaea</v>
          </cell>
          <cell r="B1528" t="str">
            <v>Leaf beetles and allies</v>
          </cell>
          <cell r="C1528" t="str">
            <v>Coleoptera</v>
          </cell>
          <cell r="D1528" t="str">
            <v>Chrysolina staphylaea</v>
          </cell>
          <cell r="E1528" t="str">
            <v>LC</v>
          </cell>
          <cell r="F1528" t="str">
            <v>Hubble, 2014</v>
          </cell>
          <cell r="G1528" t="str">
            <v>NBNSYS0000011162</v>
          </cell>
          <cell r="H1528" t="str">
            <v>Chrysolina staphylaea</v>
          </cell>
        </row>
        <row r="1529">
          <cell r="A1529" t="str">
            <v>Chrysolina sturmi</v>
          </cell>
          <cell r="B1529" t="str">
            <v>Leaf beetles and allies</v>
          </cell>
          <cell r="C1529" t="str">
            <v>Coleoptera</v>
          </cell>
          <cell r="D1529" t="str">
            <v>Chrysolina sturmi</v>
          </cell>
          <cell r="E1529" t="str">
            <v>LC</v>
          </cell>
          <cell r="F1529" t="str">
            <v>Hubble, 2014</v>
          </cell>
          <cell r="G1529" t="str">
            <v>NHMSYS0021125730</v>
          </cell>
          <cell r="H1529" t="str">
            <v>Chrysolina sturmi</v>
          </cell>
        </row>
        <row r="1530">
          <cell r="A1530" t="str">
            <v>Chrysolina varians</v>
          </cell>
          <cell r="B1530" t="str">
            <v>Leaf beetles and allies</v>
          </cell>
          <cell r="C1530" t="str">
            <v>Coleoptera</v>
          </cell>
          <cell r="D1530" t="str">
            <v>Chrysolina varians</v>
          </cell>
          <cell r="E1530" t="str">
            <v>LC</v>
          </cell>
          <cell r="F1530" t="str">
            <v>Hubble, 2014</v>
          </cell>
          <cell r="G1530" t="str">
            <v>NBNSYS0000011163</v>
          </cell>
          <cell r="H1530" t="str">
            <v>Chrysolina varians</v>
          </cell>
        </row>
        <row r="1531">
          <cell r="A1531" t="str">
            <v>Chrysomela aenea</v>
          </cell>
          <cell r="B1531" t="str">
            <v>Leaf beetles and allies</v>
          </cell>
          <cell r="C1531" t="str">
            <v>Coleoptera</v>
          </cell>
          <cell r="D1531" t="str">
            <v>Chrysomela aenea</v>
          </cell>
          <cell r="E1531" t="str">
            <v>LC</v>
          </cell>
          <cell r="F1531" t="str">
            <v>Hubble, 2014</v>
          </cell>
          <cell r="G1531" t="str">
            <v>NHMSYS0021366969</v>
          </cell>
          <cell r="H1531" t="str">
            <v>Chrysomela aenea</v>
          </cell>
        </row>
        <row r="1532">
          <cell r="A1532" t="str">
            <v>Chrysomela populi</v>
          </cell>
          <cell r="B1532" t="str">
            <v>Leaf beetles and allies</v>
          </cell>
          <cell r="C1532" t="str">
            <v>Coleoptera</v>
          </cell>
          <cell r="D1532" t="str">
            <v>Chrysomela populi</v>
          </cell>
          <cell r="E1532" t="str">
            <v>LC</v>
          </cell>
          <cell r="F1532" t="str">
            <v>Hubble, 2014</v>
          </cell>
          <cell r="G1532" t="str">
            <v>NBNSYS0000011179</v>
          </cell>
          <cell r="H1532" t="str">
            <v>Chrysomela populi</v>
          </cell>
        </row>
        <row r="1533">
          <cell r="A1533" t="str">
            <v>Chrysomela tremula</v>
          </cell>
          <cell r="B1533" t="str">
            <v>Leaf beetles and allies</v>
          </cell>
          <cell r="C1533" t="str">
            <v>Coleoptera</v>
          </cell>
          <cell r="D1533" t="str">
            <v>Chrysomela tremula</v>
          </cell>
          <cell r="E1533" t="str">
            <v>CR(PE)</v>
          </cell>
          <cell r="F1533" t="str">
            <v>Hubble, 2014</v>
          </cell>
          <cell r="G1533" t="str">
            <v>NHMSYS0020151705</v>
          </cell>
          <cell r="H1533" t="str">
            <v>Chrysomela tremula</v>
          </cell>
        </row>
        <row r="1534">
          <cell r="A1534" t="str">
            <v>Clytra laeviuscula</v>
          </cell>
          <cell r="B1534" t="str">
            <v>Leaf beetles and allies</v>
          </cell>
          <cell r="C1534" t="str">
            <v>Coleoptera</v>
          </cell>
          <cell r="D1534" t="str">
            <v>Clytra laeviuscula</v>
          </cell>
          <cell r="E1534" t="str">
            <v>RE</v>
          </cell>
          <cell r="F1534" t="str">
            <v>Hubble, 2014</v>
          </cell>
          <cell r="G1534" t="str">
            <v>NBNSYS0000011118</v>
          </cell>
          <cell r="H1534" t="str">
            <v>Clytra laeviuscula</v>
          </cell>
        </row>
        <row r="1535">
          <cell r="A1535" t="str">
            <v>Clytra quadripunctata</v>
          </cell>
          <cell r="B1535" t="str">
            <v>Leaf beetles and allies</v>
          </cell>
          <cell r="C1535" t="str">
            <v>Coleoptera</v>
          </cell>
          <cell r="D1535" t="str">
            <v>Clytra quadripunctata</v>
          </cell>
          <cell r="E1535" t="str">
            <v>LC</v>
          </cell>
          <cell r="F1535" t="str">
            <v>Hubble, 2014</v>
          </cell>
          <cell r="G1535" t="str">
            <v>NBNSYS0000011119</v>
          </cell>
          <cell r="H1535" t="str">
            <v>Clytra quadripunctata</v>
          </cell>
        </row>
        <row r="1536">
          <cell r="A1536" t="str">
            <v>Crepidodera aurata</v>
          </cell>
          <cell r="B1536" t="str">
            <v>Leaf beetles and allies</v>
          </cell>
          <cell r="C1536" t="str">
            <v>Coleoptera</v>
          </cell>
          <cell r="D1536" t="str">
            <v>Crepidodera aurata</v>
          </cell>
          <cell r="E1536" t="str">
            <v>LC</v>
          </cell>
          <cell r="F1536" t="str">
            <v>Hubble, 2014</v>
          </cell>
          <cell r="G1536" t="str">
            <v>NHMSYS0020151838</v>
          </cell>
          <cell r="H1536" t="str">
            <v>Crepidodera aurata</v>
          </cell>
        </row>
        <row r="1537">
          <cell r="A1537" t="str">
            <v>Crepidodera aurea</v>
          </cell>
          <cell r="B1537" t="str">
            <v>Leaf beetles and allies</v>
          </cell>
          <cell r="C1537" t="str">
            <v>Coleoptera</v>
          </cell>
          <cell r="D1537" t="str">
            <v>Crepidodera aurea</v>
          </cell>
          <cell r="E1537" t="str">
            <v>LC</v>
          </cell>
          <cell r="F1537" t="str">
            <v>Hubble, 2014</v>
          </cell>
          <cell r="G1537" t="str">
            <v>NHMSYS0001744229</v>
          </cell>
          <cell r="H1537" t="str">
            <v>Crepidodera aurea</v>
          </cell>
        </row>
        <row r="1538">
          <cell r="A1538" t="str">
            <v>Crepidodera fulvicornis</v>
          </cell>
          <cell r="B1538" t="str">
            <v>Leaf beetles and allies</v>
          </cell>
          <cell r="C1538" t="str">
            <v>Coleoptera</v>
          </cell>
          <cell r="D1538" t="str">
            <v>Crepidodera fulvicornis</v>
          </cell>
          <cell r="E1538" t="str">
            <v>LC</v>
          </cell>
          <cell r="F1538" t="str">
            <v>Hubble, 2014</v>
          </cell>
          <cell r="G1538" t="str">
            <v>NHMSYS0001744230</v>
          </cell>
          <cell r="H1538" t="str">
            <v>Crepidodera fulvicornis</v>
          </cell>
        </row>
        <row r="1539">
          <cell r="A1539" t="str">
            <v>Crepidodera nitidula</v>
          </cell>
          <cell r="B1539" t="str">
            <v>Leaf beetles and allies</v>
          </cell>
          <cell r="C1539" t="str">
            <v>Coleoptera</v>
          </cell>
          <cell r="D1539" t="str">
            <v>Crepidodera nitidula</v>
          </cell>
          <cell r="E1539" t="str">
            <v>LC</v>
          </cell>
          <cell r="F1539" t="str">
            <v>Hubble, 2014</v>
          </cell>
          <cell r="G1539" t="str">
            <v>NHMSYS0020151841</v>
          </cell>
          <cell r="H1539" t="str">
            <v>Crepidodera nitidula</v>
          </cell>
        </row>
        <row r="1540">
          <cell r="A1540" t="str">
            <v>Crepidodera plutus</v>
          </cell>
          <cell r="B1540" t="str">
            <v>Leaf beetles and allies</v>
          </cell>
          <cell r="C1540" t="str">
            <v>Coleoptera</v>
          </cell>
          <cell r="D1540" t="str">
            <v>Crepidodera plutus</v>
          </cell>
          <cell r="E1540" t="str">
            <v>LC</v>
          </cell>
          <cell r="F1540" t="str">
            <v>Hubble, 2014</v>
          </cell>
          <cell r="G1540" t="str">
            <v>NHMSYS0001744231</v>
          </cell>
          <cell r="H1540" t="str">
            <v>Crepidodera plutus</v>
          </cell>
        </row>
        <row r="1541">
          <cell r="A1541" t="str">
            <v>Crioceris asparagi</v>
          </cell>
          <cell r="B1541" t="str">
            <v>Leaf beetles and allies</v>
          </cell>
          <cell r="C1541" t="str">
            <v>Coleoptera</v>
          </cell>
          <cell r="D1541" t="str">
            <v>Crioceris asparagi</v>
          </cell>
          <cell r="E1541" t="str">
            <v>LC</v>
          </cell>
          <cell r="F1541" t="str">
            <v>Hubble, 2014</v>
          </cell>
          <cell r="G1541" t="str">
            <v>NBNSYS0000011114</v>
          </cell>
          <cell r="H1541" t="str">
            <v>Crioceris asparagi</v>
          </cell>
        </row>
        <row r="1542">
          <cell r="A1542" t="str">
            <v>Cryptocephalus aureolus</v>
          </cell>
          <cell r="B1542" t="str">
            <v>Leaf beetles and allies</v>
          </cell>
          <cell r="C1542" t="str">
            <v>Coleoptera</v>
          </cell>
          <cell r="D1542" t="str">
            <v>Cryptocephalus aureolus</v>
          </cell>
          <cell r="E1542" t="str">
            <v>LC</v>
          </cell>
          <cell r="F1542" t="str">
            <v>Hubble, 2014</v>
          </cell>
          <cell r="G1542" t="str">
            <v>NBNSYS0000011121</v>
          </cell>
          <cell r="H1542" t="str">
            <v>Cryptocephalus aureolus</v>
          </cell>
        </row>
        <row r="1543">
          <cell r="A1543" t="str">
            <v>Cryptocephalus biguttatus</v>
          </cell>
          <cell r="B1543" t="str">
            <v>Leaf beetles and allies</v>
          </cell>
          <cell r="C1543" t="str">
            <v>Coleoptera</v>
          </cell>
          <cell r="D1543" t="str">
            <v>Cryptocephalus biguttatus</v>
          </cell>
          <cell r="E1543" t="str">
            <v>VU</v>
          </cell>
          <cell r="F1543" t="str">
            <v>Hubble, 2014</v>
          </cell>
          <cell r="G1543" t="str">
            <v>NBNSYS0000011122</v>
          </cell>
          <cell r="H1543" t="str">
            <v>Cryptocephalus biguttatus</v>
          </cell>
        </row>
        <row r="1544">
          <cell r="A1544" t="str">
            <v>Cryptocephalus bilineatus</v>
          </cell>
          <cell r="B1544" t="str">
            <v>Leaf beetles and allies</v>
          </cell>
          <cell r="C1544" t="str">
            <v>Coleoptera</v>
          </cell>
          <cell r="D1544" t="str">
            <v>Cryptocephalus bilineatus</v>
          </cell>
          <cell r="E1544" t="str">
            <v>LC</v>
          </cell>
          <cell r="F1544" t="str">
            <v>Hubble, 2014</v>
          </cell>
          <cell r="G1544" t="str">
            <v>NBNSYS0000011123</v>
          </cell>
          <cell r="H1544" t="str">
            <v>Cryptocephalus bilineatus</v>
          </cell>
        </row>
        <row r="1545">
          <cell r="A1545" t="str">
            <v>Cryptocephalus bipunctatus</v>
          </cell>
          <cell r="B1545" t="str">
            <v>Leaf beetles and allies</v>
          </cell>
          <cell r="C1545" t="str">
            <v>Coleoptera</v>
          </cell>
          <cell r="D1545" t="str">
            <v>Cryptocephalus bipunctatus</v>
          </cell>
          <cell r="E1545" t="str">
            <v>LC</v>
          </cell>
          <cell r="F1545" t="str">
            <v>Hubble, 2014</v>
          </cell>
          <cell r="G1545" t="str">
            <v>NBNSYS0000011124</v>
          </cell>
          <cell r="H1545" t="str">
            <v>Cryptocephalus bipunctatus</v>
          </cell>
        </row>
        <row r="1546">
          <cell r="A1546" t="str">
            <v>Cryptocephalus coryli</v>
          </cell>
          <cell r="B1546" t="str">
            <v>Leaf beetles and allies</v>
          </cell>
          <cell r="C1546" t="str">
            <v>Coleoptera</v>
          </cell>
          <cell r="D1546" t="str">
            <v>Cryptocephalus coryli</v>
          </cell>
          <cell r="E1546" t="str">
            <v>EN</v>
          </cell>
          <cell r="F1546" t="str">
            <v>Hubble, 2014</v>
          </cell>
          <cell r="G1546" t="str">
            <v>NBNSYS0000011125</v>
          </cell>
          <cell r="H1546" t="str">
            <v>Cryptocephalus coryli</v>
          </cell>
        </row>
        <row r="1547">
          <cell r="A1547" t="str">
            <v>Cryptocephalus decemmaculatus</v>
          </cell>
          <cell r="B1547" t="str">
            <v>Leaf beetles and allies</v>
          </cell>
          <cell r="C1547" t="str">
            <v>Coleoptera</v>
          </cell>
          <cell r="D1547" t="str">
            <v>Cryptocephalus decemmaculatus</v>
          </cell>
          <cell r="E1547" t="str">
            <v>EN</v>
          </cell>
          <cell r="F1547" t="str">
            <v>Hubble, 2014</v>
          </cell>
          <cell r="G1547" t="str">
            <v>NBNSYS0000011126</v>
          </cell>
          <cell r="H1547" t="str">
            <v>Cryptocephalus decemmaculatus</v>
          </cell>
        </row>
        <row r="1548">
          <cell r="A1548" t="str">
            <v>Cryptocephalus exiguus</v>
          </cell>
          <cell r="B1548" t="str">
            <v>Leaf beetles and allies</v>
          </cell>
          <cell r="C1548" t="str">
            <v>Coleoptera</v>
          </cell>
          <cell r="D1548" t="str">
            <v>Cryptocephalus exiguus</v>
          </cell>
          <cell r="E1548" t="str">
            <v>CR(PE)</v>
          </cell>
          <cell r="F1548" t="str">
            <v>Hubble, 2014</v>
          </cell>
          <cell r="G1548" t="str">
            <v>NBNSYS0000011127</v>
          </cell>
          <cell r="H1548" t="str">
            <v>Cryptocephalus exiguus</v>
          </cell>
        </row>
        <row r="1549">
          <cell r="A1549" t="str">
            <v>Cryptocephalus frontalis</v>
          </cell>
          <cell r="B1549" t="str">
            <v>Leaf beetles and allies</v>
          </cell>
          <cell r="C1549" t="str">
            <v>Coleoptera</v>
          </cell>
          <cell r="D1549" t="str">
            <v>Cryptocephalus frontalis</v>
          </cell>
          <cell r="E1549" t="str">
            <v>NT</v>
          </cell>
          <cell r="F1549" t="str">
            <v>Hubble, 2014</v>
          </cell>
          <cell r="G1549" t="str">
            <v>NBNSYS0000011128</v>
          </cell>
          <cell r="H1549" t="str">
            <v>Cryptocephalus frontalis</v>
          </cell>
        </row>
        <row r="1550">
          <cell r="A1550" t="str">
            <v>Cryptocephalus fulvus</v>
          </cell>
          <cell r="B1550" t="str">
            <v>Leaf beetles and allies</v>
          </cell>
          <cell r="C1550" t="str">
            <v>Coleoptera</v>
          </cell>
          <cell r="D1550" t="str">
            <v>Cryptocephalus fulvus</v>
          </cell>
          <cell r="E1550" t="str">
            <v>LC</v>
          </cell>
          <cell r="F1550" t="str">
            <v>Hubble, 2014</v>
          </cell>
          <cell r="G1550" t="str">
            <v>NHMSYS0020151865</v>
          </cell>
          <cell r="H1550" t="str">
            <v>Cryptocephalus fulvus</v>
          </cell>
        </row>
        <row r="1551">
          <cell r="A1551" t="str">
            <v>Cryptocephalus hypochaeridis</v>
          </cell>
          <cell r="B1551" t="str">
            <v>Leaf beetles and allies</v>
          </cell>
          <cell r="C1551" t="str">
            <v>Coleoptera</v>
          </cell>
          <cell r="D1551" t="str">
            <v>Cryptocephalus hypochaeridis</v>
          </cell>
          <cell r="E1551" t="str">
            <v>LC</v>
          </cell>
          <cell r="F1551" t="str">
            <v>Hubble, 2014</v>
          </cell>
          <cell r="G1551" t="str">
            <v>NBNSYS0000011130</v>
          </cell>
          <cell r="H1551" t="str">
            <v>Cryptocephalus hypochaeridis</v>
          </cell>
        </row>
        <row r="1552">
          <cell r="A1552" t="str">
            <v>Cryptocephalus labiatus</v>
          </cell>
          <cell r="B1552" t="str">
            <v>Leaf beetles and allies</v>
          </cell>
          <cell r="C1552" t="str">
            <v>Coleoptera</v>
          </cell>
          <cell r="D1552" t="str">
            <v>Cryptocephalus labiatus</v>
          </cell>
          <cell r="E1552" t="str">
            <v>LC</v>
          </cell>
          <cell r="F1552" t="str">
            <v>Hubble, 2014</v>
          </cell>
          <cell r="G1552" t="str">
            <v>NBNSYS0000011131</v>
          </cell>
          <cell r="H1552" t="str">
            <v>Cryptocephalus labiatus</v>
          </cell>
        </row>
        <row r="1553">
          <cell r="A1553" t="str">
            <v>Cryptocephalus moraei</v>
          </cell>
          <cell r="B1553" t="str">
            <v>Leaf beetles and allies</v>
          </cell>
          <cell r="C1553" t="str">
            <v>Coleoptera</v>
          </cell>
          <cell r="D1553" t="str">
            <v>Cryptocephalus moraei</v>
          </cell>
          <cell r="E1553" t="str">
            <v>LC</v>
          </cell>
          <cell r="F1553" t="str">
            <v>Hubble, 2014</v>
          </cell>
          <cell r="G1553" t="str">
            <v>NBNSYS0000011132</v>
          </cell>
          <cell r="H1553" t="str">
            <v>Cryptocephalus moraei</v>
          </cell>
        </row>
        <row r="1554">
          <cell r="A1554" t="str">
            <v>Cryptocephalus nitidulus</v>
          </cell>
          <cell r="B1554" t="str">
            <v>Leaf beetles and allies</v>
          </cell>
          <cell r="C1554" t="str">
            <v>Coleoptera</v>
          </cell>
          <cell r="D1554" t="str">
            <v>Cryptocephalus nitidulus</v>
          </cell>
          <cell r="E1554" t="str">
            <v>EN</v>
          </cell>
          <cell r="F1554" t="str">
            <v>Hubble, 2014</v>
          </cell>
          <cell r="G1554" t="str">
            <v>NHMSYS0020151867</v>
          </cell>
          <cell r="H1554" t="str">
            <v>Cryptocephalus nitidulus</v>
          </cell>
        </row>
        <row r="1555">
          <cell r="A1555" t="str">
            <v>Cryptocephalus parvulus</v>
          </cell>
          <cell r="B1555" t="str">
            <v>Leaf beetles and allies</v>
          </cell>
          <cell r="C1555" t="str">
            <v>Coleoptera</v>
          </cell>
          <cell r="D1555" t="str">
            <v>Cryptocephalus parvulus</v>
          </cell>
          <cell r="E1555" t="str">
            <v>LC</v>
          </cell>
          <cell r="F1555" t="str">
            <v>Hubble, 2014</v>
          </cell>
          <cell r="G1555" t="str">
            <v>NHMSYS0020151868</v>
          </cell>
          <cell r="H1555" t="str">
            <v>Cryptocephalus parvulus</v>
          </cell>
        </row>
        <row r="1556">
          <cell r="A1556" t="str">
            <v>Cryptocephalus primarius</v>
          </cell>
          <cell r="B1556" t="str">
            <v>Leaf beetles and allies</v>
          </cell>
          <cell r="C1556" t="str">
            <v>Coleoptera</v>
          </cell>
          <cell r="D1556" t="str">
            <v>Cryptocephalus primarius</v>
          </cell>
          <cell r="E1556" t="str">
            <v>EN</v>
          </cell>
          <cell r="F1556" t="str">
            <v>Hubble, 2014</v>
          </cell>
          <cell r="G1556" t="str">
            <v>NBNSYS0000011135</v>
          </cell>
          <cell r="H1556" t="str">
            <v>Cryptocephalus primarius</v>
          </cell>
        </row>
        <row r="1557">
          <cell r="A1557" t="str">
            <v>Cryptocephalus punctiger</v>
          </cell>
          <cell r="B1557" t="str">
            <v>Leaf beetles and allies</v>
          </cell>
          <cell r="C1557" t="str">
            <v>Coleoptera</v>
          </cell>
          <cell r="D1557" t="str">
            <v>Cryptocephalus punctiger</v>
          </cell>
          <cell r="E1557" t="str">
            <v>VU</v>
          </cell>
          <cell r="F1557" t="str">
            <v>Hubble, 2014</v>
          </cell>
          <cell r="G1557" t="str">
            <v>NBNSYS0000011136</v>
          </cell>
          <cell r="H1557" t="str">
            <v>Cryptocephalus punctiger</v>
          </cell>
        </row>
        <row r="1558">
          <cell r="A1558" t="str">
            <v>Cryptocephalus pusillus</v>
          </cell>
          <cell r="B1558" t="str">
            <v>Leaf beetles and allies</v>
          </cell>
          <cell r="C1558" t="str">
            <v>Coleoptera</v>
          </cell>
          <cell r="D1558" t="str">
            <v>Cryptocephalus pusillus</v>
          </cell>
          <cell r="E1558" t="str">
            <v>LC</v>
          </cell>
          <cell r="F1558" t="str">
            <v>Hubble, 2014</v>
          </cell>
          <cell r="G1558" t="str">
            <v>NHMSYS0020151869</v>
          </cell>
          <cell r="H1558" t="str">
            <v>Cryptocephalus pusillus</v>
          </cell>
        </row>
        <row r="1559">
          <cell r="A1559" t="str">
            <v>Cryptocephalus querceti</v>
          </cell>
          <cell r="B1559" t="str">
            <v>Leaf beetles and allies</v>
          </cell>
          <cell r="C1559" t="str">
            <v>Coleoptera</v>
          </cell>
          <cell r="D1559" t="str">
            <v>Cryptocephalus querceti</v>
          </cell>
          <cell r="E1559" t="str">
            <v>EN</v>
          </cell>
          <cell r="F1559" t="str">
            <v>Hubble, 2014</v>
          </cell>
          <cell r="G1559" t="str">
            <v>NBNSYS0000011138</v>
          </cell>
          <cell r="H1559" t="str">
            <v>Cryptocephalus querceti</v>
          </cell>
        </row>
        <row r="1560">
          <cell r="A1560" t="str">
            <v>Cryptocephalus sexpunctatus</v>
          </cell>
          <cell r="B1560" t="str">
            <v>Leaf beetles and allies</v>
          </cell>
          <cell r="C1560" t="str">
            <v>Coleoptera</v>
          </cell>
          <cell r="D1560" t="str">
            <v>Cryptocephalus sexpunctatus</v>
          </cell>
          <cell r="E1560" t="str">
            <v>EN</v>
          </cell>
          <cell r="F1560" t="str">
            <v>Hubble, 2014</v>
          </cell>
          <cell r="G1560" t="str">
            <v>NBNSYS0000011140</v>
          </cell>
          <cell r="H1560" t="str">
            <v>Cryptocephalus sexpunctatus</v>
          </cell>
        </row>
        <row r="1561">
          <cell r="A1561" t="str">
            <v>Cryptocephalus violaceus</v>
          </cell>
          <cell r="B1561" t="str">
            <v>Leaf beetles and allies</v>
          </cell>
          <cell r="C1561" t="str">
            <v>Coleoptera</v>
          </cell>
          <cell r="D1561" t="str">
            <v>Cryptocephalus violaceus</v>
          </cell>
          <cell r="E1561" t="str">
            <v>RE</v>
          </cell>
          <cell r="F1561" t="str">
            <v>Hubble, 2014</v>
          </cell>
          <cell r="G1561" t="str">
            <v>NBNSYS0000011141</v>
          </cell>
          <cell r="H1561" t="str">
            <v>Cryptocephalus violaceus</v>
          </cell>
        </row>
        <row r="1562">
          <cell r="A1562" t="str">
            <v>Derocrepis rufipes</v>
          </cell>
          <cell r="B1562" t="str">
            <v>Leaf beetles and allies</v>
          </cell>
          <cell r="C1562" t="str">
            <v>Coleoptera</v>
          </cell>
          <cell r="D1562" t="str">
            <v>Derocrepis rufipes</v>
          </cell>
          <cell r="E1562" t="str">
            <v>LC</v>
          </cell>
          <cell r="F1562" t="str">
            <v>Hubble, 2014</v>
          </cell>
          <cell r="G1562" t="str">
            <v>NBNSYS0000011286</v>
          </cell>
          <cell r="H1562" t="str">
            <v>Derocrepis rufipes</v>
          </cell>
        </row>
        <row r="1563">
          <cell r="A1563" t="str">
            <v>Dibolia cynoglossi</v>
          </cell>
          <cell r="B1563" t="str">
            <v>Leaf beetles and allies</v>
          </cell>
          <cell r="C1563" t="str">
            <v>Coleoptera</v>
          </cell>
          <cell r="D1563" t="str">
            <v>Dibolia cynoglossi</v>
          </cell>
          <cell r="E1563" t="str">
            <v>EN</v>
          </cell>
          <cell r="F1563" t="str">
            <v>Hubble, 2014</v>
          </cell>
          <cell r="G1563" t="str">
            <v>NHMSYS0020152009</v>
          </cell>
          <cell r="H1563" t="str">
            <v>Dibolia cynoglossi</v>
          </cell>
        </row>
        <row r="1564">
          <cell r="A1564" t="str">
            <v>Donacia aquatica</v>
          </cell>
          <cell r="B1564" t="str">
            <v>Leaf beetles and allies</v>
          </cell>
          <cell r="C1564" t="str">
            <v>Coleoptera</v>
          </cell>
          <cell r="D1564" t="str">
            <v>Donacia aquatica</v>
          </cell>
          <cell r="E1564" t="str">
            <v>VU</v>
          </cell>
          <cell r="F1564" t="str">
            <v>Hubble, 2014</v>
          </cell>
          <cell r="G1564" t="str">
            <v>NBNSYS0000011085</v>
          </cell>
          <cell r="H1564" t="str">
            <v>Donacia aquatica</v>
          </cell>
        </row>
        <row r="1565">
          <cell r="A1565" t="str">
            <v>Donacia bicolora</v>
          </cell>
          <cell r="B1565" t="str">
            <v>Leaf beetles and allies</v>
          </cell>
          <cell r="C1565" t="str">
            <v>Coleoptera</v>
          </cell>
          <cell r="D1565" t="str">
            <v>Donacia bicolora</v>
          </cell>
          <cell r="E1565" t="str">
            <v>LC</v>
          </cell>
          <cell r="F1565" t="str">
            <v>Hubble, 2014</v>
          </cell>
          <cell r="G1565" t="str">
            <v>NBNSYS0000011086</v>
          </cell>
          <cell r="H1565" t="str">
            <v>Donacia bicolora</v>
          </cell>
        </row>
        <row r="1566">
          <cell r="A1566" t="str">
            <v>Donacia cinerea</v>
          </cell>
          <cell r="B1566" t="str">
            <v>Leaf beetles and allies</v>
          </cell>
          <cell r="C1566" t="str">
            <v>Coleoptera</v>
          </cell>
          <cell r="D1566" t="str">
            <v>Donacia cinerea</v>
          </cell>
          <cell r="E1566" t="str">
            <v>LC</v>
          </cell>
          <cell r="F1566" t="str">
            <v>Hubble, 2014</v>
          </cell>
          <cell r="G1566" t="str">
            <v>NBNSYS0000011087</v>
          </cell>
          <cell r="H1566" t="str">
            <v>Donacia cinerea</v>
          </cell>
        </row>
        <row r="1567">
          <cell r="A1567" t="str">
            <v>Donacia clavipes</v>
          </cell>
          <cell r="B1567" t="str">
            <v>Leaf beetles and allies</v>
          </cell>
          <cell r="C1567" t="str">
            <v>Coleoptera</v>
          </cell>
          <cell r="D1567" t="str">
            <v>Donacia clavipes</v>
          </cell>
          <cell r="E1567" t="str">
            <v>LC</v>
          </cell>
          <cell r="F1567" t="str">
            <v>Hubble, 2014</v>
          </cell>
          <cell r="G1567" t="str">
            <v>NBNSYS0000011088</v>
          </cell>
          <cell r="H1567" t="str">
            <v>Donacia clavipes</v>
          </cell>
        </row>
        <row r="1568">
          <cell r="A1568" t="str">
            <v>Donacia crassipes</v>
          </cell>
          <cell r="B1568" t="str">
            <v>Leaf beetles and allies</v>
          </cell>
          <cell r="C1568" t="str">
            <v>Coleoptera</v>
          </cell>
          <cell r="D1568" t="str">
            <v>Donacia crassipes</v>
          </cell>
          <cell r="E1568" t="str">
            <v>LC</v>
          </cell>
          <cell r="F1568" t="str">
            <v>Hubble, 2014</v>
          </cell>
          <cell r="G1568" t="str">
            <v>NHMSYS0020152031</v>
          </cell>
          <cell r="H1568" t="str">
            <v>Donacia crassipes</v>
          </cell>
        </row>
        <row r="1569">
          <cell r="A1569" t="str">
            <v>Donacia dentata</v>
          </cell>
          <cell r="B1569" t="str">
            <v>Leaf beetles and allies</v>
          </cell>
          <cell r="C1569" t="str">
            <v>Coleoptera</v>
          </cell>
          <cell r="D1569" t="str">
            <v>Donacia dentata</v>
          </cell>
          <cell r="E1569" t="str">
            <v>VU</v>
          </cell>
          <cell r="F1569" t="str">
            <v>Hubble, 2014</v>
          </cell>
          <cell r="G1569" t="str">
            <v>NBNSYS0000011090</v>
          </cell>
          <cell r="H1569" t="str">
            <v>Donacia dentata</v>
          </cell>
        </row>
        <row r="1570">
          <cell r="A1570" t="str">
            <v>Donacia impressa</v>
          </cell>
          <cell r="B1570" t="str">
            <v>Leaf beetles and allies</v>
          </cell>
          <cell r="C1570" t="str">
            <v>Coleoptera</v>
          </cell>
          <cell r="D1570" t="str">
            <v>Donacia impressa</v>
          </cell>
          <cell r="E1570" t="str">
            <v>LC</v>
          </cell>
          <cell r="F1570" t="str">
            <v>Hubble, 2014</v>
          </cell>
          <cell r="G1570" t="str">
            <v>NBNSYS0000011091</v>
          </cell>
          <cell r="H1570" t="str">
            <v>Donacia impressa</v>
          </cell>
        </row>
        <row r="1571">
          <cell r="A1571" t="str">
            <v>Donacia marginata</v>
          </cell>
          <cell r="B1571" t="str">
            <v>Leaf beetles and allies</v>
          </cell>
          <cell r="C1571" t="str">
            <v>Coleoptera</v>
          </cell>
          <cell r="D1571" t="str">
            <v>Donacia marginata</v>
          </cell>
          <cell r="E1571" t="str">
            <v>LC</v>
          </cell>
          <cell r="F1571" t="str">
            <v>Hubble, 2014</v>
          </cell>
          <cell r="G1571" t="str">
            <v>NBNSYS0000011092</v>
          </cell>
          <cell r="H1571" t="str">
            <v>Donacia marginata</v>
          </cell>
        </row>
        <row r="1572">
          <cell r="A1572" t="str">
            <v>Donacia obscura</v>
          </cell>
          <cell r="B1572" t="str">
            <v>Leaf beetles and allies</v>
          </cell>
          <cell r="C1572" t="str">
            <v>Coleoptera</v>
          </cell>
          <cell r="D1572" t="str">
            <v>Donacia obscura</v>
          </cell>
          <cell r="E1572" t="str">
            <v>LC</v>
          </cell>
          <cell r="F1572" t="str">
            <v>Hubble, 2014</v>
          </cell>
          <cell r="G1572" t="str">
            <v>NBNSYS0000011093</v>
          </cell>
          <cell r="H1572" t="str">
            <v>Donacia obscura</v>
          </cell>
        </row>
        <row r="1573">
          <cell r="A1573" t="str">
            <v>Donacia semicuprea</v>
          </cell>
          <cell r="B1573" t="str">
            <v>Leaf beetles and allies</v>
          </cell>
          <cell r="C1573" t="str">
            <v>Coleoptera</v>
          </cell>
          <cell r="D1573" t="str">
            <v>Donacia semicuprea</v>
          </cell>
          <cell r="E1573" t="str">
            <v>LC</v>
          </cell>
          <cell r="F1573" t="str">
            <v>Hubble, 2014</v>
          </cell>
          <cell r="G1573" t="str">
            <v>NBNSYS0000011094</v>
          </cell>
          <cell r="H1573" t="str">
            <v>Donacia semicuprea</v>
          </cell>
        </row>
        <row r="1574">
          <cell r="A1574" t="str">
            <v>Donacia simplex</v>
          </cell>
          <cell r="B1574" t="str">
            <v>Leaf beetles and allies</v>
          </cell>
          <cell r="C1574" t="str">
            <v>Coleoptera</v>
          </cell>
          <cell r="D1574" t="str">
            <v>Donacia simplex</v>
          </cell>
          <cell r="E1574" t="str">
            <v>LC</v>
          </cell>
          <cell r="F1574" t="str">
            <v>Hubble, 2014</v>
          </cell>
          <cell r="G1574" t="str">
            <v>NHMSYS0020152036</v>
          </cell>
          <cell r="H1574" t="str">
            <v>Donacia simplex</v>
          </cell>
        </row>
        <row r="1575">
          <cell r="A1575" t="str">
            <v>Donacia sparganii</v>
          </cell>
          <cell r="B1575" t="str">
            <v>Leaf beetles and allies</v>
          </cell>
          <cell r="C1575" t="str">
            <v>Coleoptera</v>
          </cell>
          <cell r="D1575" t="str">
            <v>Donacia sparganii</v>
          </cell>
          <cell r="E1575" t="str">
            <v>VU</v>
          </cell>
          <cell r="F1575" t="str">
            <v>Hubble, 2014</v>
          </cell>
          <cell r="G1575" t="str">
            <v>NBNSYS0000011096</v>
          </cell>
          <cell r="H1575" t="str">
            <v>Donacia sparganii</v>
          </cell>
        </row>
        <row r="1576">
          <cell r="A1576" t="str">
            <v>Donacia thalassina</v>
          </cell>
          <cell r="B1576" t="str">
            <v>Leaf beetles and allies</v>
          </cell>
          <cell r="C1576" t="str">
            <v>Coleoptera</v>
          </cell>
          <cell r="D1576" t="str">
            <v>Donacia thalassina</v>
          </cell>
          <cell r="E1576" t="str">
            <v>LC</v>
          </cell>
          <cell r="F1576" t="str">
            <v>Hubble, 2014</v>
          </cell>
          <cell r="G1576" t="str">
            <v>NBNSYS0000011097</v>
          </cell>
          <cell r="H1576" t="str">
            <v>Donacia thalassina</v>
          </cell>
        </row>
        <row r="1577">
          <cell r="A1577" t="str">
            <v>Donacia versicolorea</v>
          </cell>
          <cell r="B1577" t="str">
            <v>Leaf beetles and allies</v>
          </cell>
          <cell r="C1577" t="str">
            <v>Coleoptera</v>
          </cell>
          <cell r="D1577" t="str">
            <v>Donacia versicolorea</v>
          </cell>
          <cell r="E1577" t="str">
            <v>LC</v>
          </cell>
          <cell r="F1577" t="str">
            <v>Hubble, 2014</v>
          </cell>
          <cell r="G1577" t="str">
            <v>NBNSYS0000011098</v>
          </cell>
          <cell r="H1577" t="str">
            <v>Donacia versicolorea</v>
          </cell>
        </row>
        <row r="1578">
          <cell r="A1578" t="str">
            <v>Donacia vulgaris</v>
          </cell>
          <cell r="B1578" t="str">
            <v>Leaf beetles and allies</v>
          </cell>
          <cell r="C1578" t="str">
            <v>Coleoptera</v>
          </cell>
          <cell r="D1578" t="str">
            <v>Donacia vulgaris</v>
          </cell>
          <cell r="E1578" t="str">
            <v>LC</v>
          </cell>
          <cell r="F1578" t="str">
            <v>Hubble, 2014</v>
          </cell>
          <cell r="G1578" t="str">
            <v>NBNSYS0000011099</v>
          </cell>
          <cell r="H1578" t="str">
            <v>Donacia vulgaris</v>
          </cell>
        </row>
        <row r="1579">
          <cell r="A1579" t="str">
            <v>Epitrix atropae</v>
          </cell>
          <cell r="B1579" t="str">
            <v>Leaf beetles and allies</v>
          </cell>
          <cell r="C1579" t="str">
            <v>Coleoptera</v>
          </cell>
          <cell r="D1579" t="str">
            <v>Epitrix atropae</v>
          </cell>
          <cell r="E1579" t="str">
            <v>LC</v>
          </cell>
          <cell r="F1579" t="str">
            <v>Hubble, 2014</v>
          </cell>
          <cell r="G1579" t="str">
            <v>NBNSYS0000011293</v>
          </cell>
          <cell r="H1579" t="str">
            <v>Epitrix atropae</v>
          </cell>
        </row>
        <row r="1580">
          <cell r="A1580" t="str">
            <v>Epitrix pubescens</v>
          </cell>
          <cell r="B1580" t="str">
            <v>Leaf beetles and allies</v>
          </cell>
          <cell r="C1580" t="str">
            <v>Coleoptera</v>
          </cell>
          <cell r="D1580" t="str">
            <v>Epitrix pubescens</v>
          </cell>
          <cell r="E1580" t="str">
            <v>LC</v>
          </cell>
          <cell r="F1580" t="str">
            <v>Hubble, 2014</v>
          </cell>
          <cell r="G1580" t="str">
            <v>NHMSYS0020152092</v>
          </cell>
          <cell r="H1580" t="str">
            <v>Epitrix pubescens</v>
          </cell>
        </row>
        <row r="1581">
          <cell r="A1581" t="str">
            <v>Galeruca laticollis</v>
          </cell>
          <cell r="B1581" t="str">
            <v>Leaf beetles and allies</v>
          </cell>
          <cell r="C1581" t="str">
            <v>Coleoptera</v>
          </cell>
          <cell r="D1581" t="str">
            <v>Galeruca laticollis</v>
          </cell>
          <cell r="E1581" t="str">
            <v>CR</v>
          </cell>
          <cell r="F1581" t="str">
            <v>Hubble, 2014</v>
          </cell>
          <cell r="G1581" t="str">
            <v>NHMSYS0001744232</v>
          </cell>
          <cell r="H1581" t="str">
            <v>Galeruca laticollis</v>
          </cell>
        </row>
        <row r="1582">
          <cell r="A1582" t="str">
            <v>Galeruca tanaceti</v>
          </cell>
          <cell r="B1582" t="str">
            <v>Leaf beetles and allies</v>
          </cell>
          <cell r="C1582" t="str">
            <v>Coleoptera</v>
          </cell>
          <cell r="D1582" t="str">
            <v>Galeruca tanaceti</v>
          </cell>
          <cell r="E1582" t="str">
            <v>LC</v>
          </cell>
          <cell r="F1582" t="str">
            <v>Hubble, 2014</v>
          </cell>
          <cell r="G1582" t="str">
            <v>NBNSYS0000011198</v>
          </cell>
          <cell r="H1582" t="str">
            <v>Galeruca tanaceti</v>
          </cell>
        </row>
        <row r="1583">
          <cell r="A1583" t="str">
            <v>Galerucella calmariensis</v>
          </cell>
          <cell r="B1583" t="str">
            <v>Leaf beetles and allies</v>
          </cell>
          <cell r="C1583" t="str">
            <v>Coleoptera</v>
          </cell>
          <cell r="D1583" t="str">
            <v>Galerucella calmariensis</v>
          </cell>
          <cell r="E1583" t="str">
            <v>LC</v>
          </cell>
          <cell r="F1583" t="str">
            <v>Hubble, 2014</v>
          </cell>
          <cell r="G1583" t="str">
            <v>NBNSYS0000011189</v>
          </cell>
          <cell r="H1583" t="str">
            <v>Galerucella calmariensis</v>
          </cell>
        </row>
        <row r="1584">
          <cell r="A1584" t="str">
            <v>Galerucella lineola</v>
          </cell>
          <cell r="B1584" t="str">
            <v>Leaf beetles and allies</v>
          </cell>
          <cell r="C1584" t="str">
            <v>Coleoptera</v>
          </cell>
          <cell r="D1584" t="str">
            <v>Galerucella lineola</v>
          </cell>
          <cell r="E1584" t="str">
            <v>LC</v>
          </cell>
          <cell r="F1584" t="str">
            <v>Hubble, 2014</v>
          </cell>
          <cell r="G1584" t="str">
            <v>NHMSYS0020152175</v>
          </cell>
          <cell r="H1584" t="str">
            <v>Galerucella lineola</v>
          </cell>
        </row>
        <row r="1585">
          <cell r="A1585" t="str">
            <v>Galerucella nymphaeae</v>
          </cell>
          <cell r="B1585" t="str">
            <v>Leaf beetles and allies</v>
          </cell>
          <cell r="C1585" t="str">
            <v>Coleoptera</v>
          </cell>
          <cell r="D1585" t="str">
            <v>Galerucella nymphaeae</v>
          </cell>
          <cell r="E1585" t="str">
            <v>LC</v>
          </cell>
          <cell r="F1585" t="str">
            <v>Hubble, 2014</v>
          </cell>
          <cell r="G1585" t="str">
            <v>NBNSYS0000011192</v>
          </cell>
          <cell r="H1585" t="str">
            <v>Galerucella nymphaeae</v>
          </cell>
        </row>
        <row r="1586">
          <cell r="A1586" t="str">
            <v>Galerucella pusilla</v>
          </cell>
          <cell r="B1586" t="str">
            <v>Leaf beetles and allies</v>
          </cell>
          <cell r="C1586" t="str">
            <v>Coleoptera</v>
          </cell>
          <cell r="D1586" t="str">
            <v>Galerucella pusilla</v>
          </cell>
          <cell r="E1586" t="str">
            <v>LC</v>
          </cell>
          <cell r="F1586" t="str">
            <v>Hubble, 2014</v>
          </cell>
          <cell r="G1586" t="str">
            <v>NBNSYS0000011193</v>
          </cell>
          <cell r="H1586" t="str">
            <v>Galerucella pusilla</v>
          </cell>
        </row>
        <row r="1587">
          <cell r="A1587" t="str">
            <v>Galerucella sagittariae</v>
          </cell>
          <cell r="B1587" t="str">
            <v>Leaf beetles and allies</v>
          </cell>
          <cell r="C1587" t="str">
            <v>Coleoptera</v>
          </cell>
          <cell r="D1587" t="str">
            <v>Galerucella sagittariae</v>
          </cell>
          <cell r="E1587" t="str">
            <v>LC</v>
          </cell>
          <cell r="F1587" t="str">
            <v>Hubble, 2014</v>
          </cell>
          <cell r="G1587" t="str">
            <v>NBNSYS0000011194</v>
          </cell>
          <cell r="H1587" t="str">
            <v>Galerucella sagittariae</v>
          </cell>
        </row>
        <row r="1588">
          <cell r="A1588" t="str">
            <v>Galerucella tenella</v>
          </cell>
          <cell r="B1588" t="str">
            <v>Leaf beetles and allies</v>
          </cell>
          <cell r="C1588" t="str">
            <v>Coleoptera</v>
          </cell>
          <cell r="D1588" t="str">
            <v>Galerucella tenella</v>
          </cell>
          <cell r="E1588" t="str">
            <v>LC</v>
          </cell>
          <cell r="F1588" t="str">
            <v>Hubble, 2014</v>
          </cell>
          <cell r="G1588" t="str">
            <v>NBNSYS0000011195</v>
          </cell>
          <cell r="H1588" t="str">
            <v>Galerucella tenella</v>
          </cell>
        </row>
        <row r="1589">
          <cell r="A1589" t="str">
            <v>Gastrophysa polygoni</v>
          </cell>
          <cell r="B1589" t="str">
            <v>Leaf beetles and allies</v>
          </cell>
          <cell r="C1589" t="str">
            <v>Coleoptera</v>
          </cell>
          <cell r="D1589" t="str">
            <v>Gastrophysa polygoni</v>
          </cell>
          <cell r="E1589" t="str">
            <v>LC</v>
          </cell>
          <cell r="F1589" t="str">
            <v>Hubble, 2014</v>
          </cell>
          <cell r="G1589" t="str">
            <v>NBNSYS0000011166</v>
          </cell>
          <cell r="H1589" t="str">
            <v>Gastrophysa polygoni</v>
          </cell>
        </row>
        <row r="1590">
          <cell r="A1590" t="str">
            <v>Gastrophysa viridula</v>
          </cell>
          <cell r="B1590" t="str">
            <v>Leaf beetles and allies</v>
          </cell>
          <cell r="C1590" t="str">
            <v>Coleoptera</v>
          </cell>
          <cell r="D1590" t="str">
            <v>Gastrophysa viridula</v>
          </cell>
          <cell r="E1590" t="str">
            <v>LC</v>
          </cell>
          <cell r="F1590" t="str">
            <v>Hubble, 2014</v>
          </cell>
          <cell r="G1590" t="str">
            <v>NHMSYS0020152181</v>
          </cell>
          <cell r="H1590" t="str">
            <v>Gastrophysa viridula</v>
          </cell>
        </row>
        <row r="1591">
          <cell r="A1591" t="str">
            <v>Gonioctena decemnotata</v>
          </cell>
          <cell r="B1591" t="str">
            <v>Leaf beetles and allies</v>
          </cell>
          <cell r="C1591" t="str">
            <v>Coleoptera</v>
          </cell>
          <cell r="D1591" t="str">
            <v>Gonioctena decemnotata</v>
          </cell>
          <cell r="E1591" t="str">
            <v>LC</v>
          </cell>
          <cell r="F1591" t="str">
            <v>Hubble, 2014</v>
          </cell>
          <cell r="G1591" t="str">
            <v>NHMSYS0001744233</v>
          </cell>
          <cell r="H1591" t="str">
            <v>Gonioctena decemnotata</v>
          </cell>
        </row>
        <row r="1592">
          <cell r="A1592" t="str">
            <v>Gonioctena olivacea</v>
          </cell>
          <cell r="B1592" t="str">
            <v>Leaf beetles and allies</v>
          </cell>
          <cell r="C1592" t="str">
            <v>Coleoptera</v>
          </cell>
          <cell r="D1592" t="str">
            <v>Gonioctena olivacea</v>
          </cell>
          <cell r="E1592" t="str">
            <v>LC</v>
          </cell>
          <cell r="F1592" t="str">
            <v>Hubble, 2014</v>
          </cell>
          <cell r="G1592" t="str">
            <v>NHMSYS0020152208</v>
          </cell>
          <cell r="H1592" t="str">
            <v>Gonioctena olivacea</v>
          </cell>
        </row>
        <row r="1593">
          <cell r="A1593" t="str">
            <v>Gonioctena pallida</v>
          </cell>
          <cell r="B1593" t="str">
            <v>Leaf beetles and allies</v>
          </cell>
          <cell r="C1593" t="str">
            <v>Coleoptera</v>
          </cell>
          <cell r="D1593" t="str">
            <v>Gonioctena pallida</v>
          </cell>
          <cell r="E1593" t="str">
            <v>LC</v>
          </cell>
          <cell r="F1593" t="str">
            <v>Hubble, 2014</v>
          </cell>
          <cell r="G1593" t="str">
            <v>NHMSYS0020152209</v>
          </cell>
          <cell r="H1593" t="str">
            <v>Gonioctena pallida</v>
          </cell>
        </row>
        <row r="1594">
          <cell r="A1594" t="str">
            <v>Gonioctena viminalis</v>
          </cell>
          <cell r="B1594" t="str">
            <v>Leaf beetles and allies</v>
          </cell>
          <cell r="C1594" t="str">
            <v>Coleoptera</v>
          </cell>
          <cell r="D1594" t="str">
            <v>Gonioctena viminalis</v>
          </cell>
          <cell r="E1594" t="str">
            <v>LC</v>
          </cell>
          <cell r="F1594" t="str">
            <v>Hubble, 2014</v>
          </cell>
          <cell r="G1594" t="str">
            <v>NHMSYS0001744234</v>
          </cell>
          <cell r="H1594" t="str">
            <v>Gonioctena viminalis</v>
          </cell>
        </row>
        <row r="1595">
          <cell r="A1595" t="str">
            <v>Hermaeophaga mercurialis</v>
          </cell>
          <cell r="B1595" t="str">
            <v>Leaf beetles and allies</v>
          </cell>
          <cell r="C1595" t="str">
            <v>Coleoptera</v>
          </cell>
          <cell r="D1595" t="str">
            <v>Hermaeophaga mercurialis</v>
          </cell>
          <cell r="E1595" t="str">
            <v>LC</v>
          </cell>
          <cell r="F1595" t="str">
            <v>Hubble, 2014</v>
          </cell>
          <cell r="G1595" t="str">
            <v>NHMSYS0020109259</v>
          </cell>
          <cell r="H1595" t="str">
            <v>Hermaeophaga mercurialis</v>
          </cell>
        </row>
        <row r="1596">
          <cell r="A1596" t="str">
            <v>Hippuriphila modeeri</v>
          </cell>
          <cell r="B1596" t="str">
            <v>Leaf beetles and allies</v>
          </cell>
          <cell r="C1596" t="str">
            <v>Coleoptera</v>
          </cell>
          <cell r="D1596" t="str">
            <v>Hippuriphila modeeri</v>
          </cell>
          <cell r="E1596" t="str">
            <v>LC</v>
          </cell>
          <cell r="F1596" t="str">
            <v>Hubble, 2014</v>
          </cell>
          <cell r="G1596" t="str">
            <v>NBNSYS0000011287</v>
          </cell>
          <cell r="H1596" t="str">
            <v>Hippuriphila modeeri</v>
          </cell>
        </row>
        <row r="1597">
          <cell r="A1597" t="str">
            <v>Hydrothassa glabra</v>
          </cell>
          <cell r="B1597" t="str">
            <v>Leaf beetles and allies</v>
          </cell>
          <cell r="C1597" t="str">
            <v>Coleoptera</v>
          </cell>
          <cell r="D1597" t="str">
            <v>Hydrothassa glabra</v>
          </cell>
          <cell r="E1597" t="str">
            <v>LC</v>
          </cell>
          <cell r="F1597" t="str">
            <v>Hubble, 2014</v>
          </cell>
          <cell r="G1597" t="str">
            <v>NHMSYS0021366724</v>
          </cell>
          <cell r="H1597" t="str">
            <v>Hydrothassa glabra</v>
          </cell>
        </row>
        <row r="1598">
          <cell r="A1598" t="str">
            <v>Hydrothassa hannoveriana</v>
          </cell>
          <cell r="B1598" t="str">
            <v>Leaf beetles and allies</v>
          </cell>
          <cell r="C1598" t="str">
            <v>Coleoptera</v>
          </cell>
          <cell r="D1598" t="str">
            <v>Hydrothassa hannoveriana</v>
          </cell>
          <cell r="E1598" t="str">
            <v>VU</v>
          </cell>
          <cell r="F1598" t="str">
            <v>Hubble, 2014</v>
          </cell>
          <cell r="G1598" t="str">
            <v>NHMSYS0021366729</v>
          </cell>
          <cell r="H1598" t="str">
            <v>Hydrothassa hannoveriana</v>
          </cell>
        </row>
        <row r="1599">
          <cell r="A1599" t="str">
            <v>Hydrothassa marginella</v>
          </cell>
          <cell r="B1599" t="str">
            <v>Leaf beetles and allies</v>
          </cell>
          <cell r="C1599" t="str">
            <v>Coleoptera</v>
          </cell>
          <cell r="D1599" t="str">
            <v>Hydrothassa marginella</v>
          </cell>
          <cell r="E1599" t="str">
            <v>LC</v>
          </cell>
          <cell r="F1599" t="str">
            <v>Hubble, 2014</v>
          </cell>
          <cell r="G1599" t="str">
            <v>NHMSYS0021366734</v>
          </cell>
          <cell r="H1599" t="str">
            <v>Hydrothassa marginella</v>
          </cell>
        </row>
        <row r="1600">
          <cell r="A1600" t="str">
            <v>Hypocassida subferruginea</v>
          </cell>
          <cell r="B1600" t="str">
            <v>Leaf beetles and allies</v>
          </cell>
          <cell r="C1600" t="str">
            <v>Coleoptera</v>
          </cell>
          <cell r="D1600" t="str">
            <v>Hypocassida subferruginea</v>
          </cell>
          <cell r="E1600" t="str">
            <v>RE</v>
          </cell>
          <cell r="F1600" t="str">
            <v>Hubble, 2014</v>
          </cell>
          <cell r="G1600" t="str">
            <v>NBNSYS0000011332</v>
          </cell>
          <cell r="H1600" t="str">
            <v>Hypocassida subferruginea</v>
          </cell>
        </row>
        <row r="1601">
          <cell r="A1601" t="str">
            <v>Labidostomis tridentata</v>
          </cell>
          <cell r="B1601" t="str">
            <v>Leaf beetles and allies</v>
          </cell>
          <cell r="C1601" t="str">
            <v>Coleoptera</v>
          </cell>
          <cell r="D1601" t="str">
            <v>Labidostomis tridentata</v>
          </cell>
          <cell r="E1601" t="str">
            <v>CR(PE)</v>
          </cell>
          <cell r="F1601" t="str">
            <v>Hubble, 2014</v>
          </cell>
          <cell r="G1601" t="str">
            <v>NBNSYS0000011117</v>
          </cell>
          <cell r="H1601" t="str">
            <v>Labidostomis tridentata</v>
          </cell>
        </row>
        <row r="1602">
          <cell r="A1602" t="str">
            <v>Lema cyanella</v>
          </cell>
          <cell r="B1602" t="str">
            <v>Leaf beetles and allies</v>
          </cell>
          <cell r="C1602" t="str">
            <v>Coleoptera</v>
          </cell>
          <cell r="D1602" t="str">
            <v>Lema cyanella</v>
          </cell>
          <cell r="E1602" t="str">
            <v>LC</v>
          </cell>
          <cell r="F1602" t="str">
            <v>Hubble, 2014</v>
          </cell>
          <cell r="G1602" t="str">
            <v>NBNSYS0000011109</v>
          </cell>
          <cell r="H1602" t="str">
            <v>Lema cyanella</v>
          </cell>
        </row>
        <row r="1603">
          <cell r="A1603" t="str">
            <v>Lochmaea caprea</v>
          </cell>
          <cell r="B1603" t="str">
            <v>Leaf beetles and allies</v>
          </cell>
          <cell r="C1603" t="str">
            <v>Coleoptera</v>
          </cell>
          <cell r="D1603" t="str">
            <v>Lochmaea caprea</v>
          </cell>
          <cell r="E1603" t="str">
            <v>LC</v>
          </cell>
          <cell r="F1603" t="str">
            <v>Hubble, 2014</v>
          </cell>
          <cell r="G1603" t="str">
            <v>NBNSYS0000011199</v>
          </cell>
          <cell r="H1603" t="str">
            <v>Lochmaea caprea</v>
          </cell>
        </row>
        <row r="1604">
          <cell r="A1604" t="str">
            <v>Lochmaea crataegi</v>
          </cell>
          <cell r="B1604" t="str">
            <v>Leaf beetles and allies</v>
          </cell>
          <cell r="C1604" t="str">
            <v>Coleoptera</v>
          </cell>
          <cell r="D1604" t="str">
            <v>Lochmaea crataegi</v>
          </cell>
          <cell r="E1604" t="str">
            <v>LC</v>
          </cell>
          <cell r="F1604" t="str">
            <v>Hubble, 2014</v>
          </cell>
          <cell r="G1604" t="str">
            <v>NBNSYS0000011200</v>
          </cell>
          <cell r="H1604" t="str">
            <v>Lochmaea crataegi</v>
          </cell>
        </row>
        <row r="1605">
          <cell r="A1605" t="str">
            <v>Lochmaea suturalis</v>
          </cell>
          <cell r="B1605" t="str">
            <v>Leaf beetles and allies</v>
          </cell>
          <cell r="C1605" t="str">
            <v>Coleoptera</v>
          </cell>
          <cell r="D1605" t="str">
            <v>Lochmaea suturalis</v>
          </cell>
          <cell r="E1605" t="str">
            <v>LC</v>
          </cell>
          <cell r="F1605" t="str">
            <v>Hubble, 2014</v>
          </cell>
          <cell r="G1605" t="str">
            <v>NHMSYS0020152461</v>
          </cell>
          <cell r="H1605" t="str">
            <v>Lochmaea suturalis</v>
          </cell>
        </row>
        <row r="1606">
          <cell r="A1606" t="str">
            <v>Longitarsus absynthii</v>
          </cell>
          <cell r="B1606" t="str">
            <v>Leaf beetles and allies</v>
          </cell>
          <cell r="C1606" t="str">
            <v>Coleoptera</v>
          </cell>
          <cell r="D1606" t="str">
            <v>Longitarsus absynthii</v>
          </cell>
          <cell r="E1606" t="str">
            <v>VU</v>
          </cell>
          <cell r="F1606" t="str">
            <v>Hubble, 2014</v>
          </cell>
          <cell r="G1606" t="str">
            <v>NBNSYS0000011231</v>
          </cell>
          <cell r="H1606" t="str">
            <v>Longitarsus absynthii</v>
          </cell>
        </row>
        <row r="1607">
          <cell r="A1607" t="str">
            <v>Longitarsus aeneicollis</v>
          </cell>
          <cell r="B1607" t="str">
            <v>Leaf beetles and allies</v>
          </cell>
          <cell r="C1607" t="str">
            <v>Coleoptera</v>
          </cell>
          <cell r="D1607" t="str">
            <v>Longitarsus aeneicollis</v>
          </cell>
          <cell r="E1607" t="str">
            <v>LC</v>
          </cell>
          <cell r="F1607" t="str">
            <v>Hubble, 2014</v>
          </cell>
          <cell r="G1607" t="str">
            <v>NHMSYS0001744235</v>
          </cell>
          <cell r="H1607" t="str">
            <v>Longitarsus aeneicollis</v>
          </cell>
        </row>
        <row r="1608">
          <cell r="A1608" t="str">
            <v>Longitarsus aeruginosus</v>
          </cell>
          <cell r="B1608" t="str">
            <v>Leaf beetles and allies</v>
          </cell>
          <cell r="C1608" t="str">
            <v>Coleoptera</v>
          </cell>
          <cell r="D1608" t="str">
            <v>Longitarsus aeruginosus</v>
          </cell>
          <cell r="E1608" t="str">
            <v>CR(PE)</v>
          </cell>
          <cell r="F1608" t="str">
            <v>Hubble, 2014</v>
          </cell>
          <cell r="G1608" t="str">
            <v>NBNSYS0000011232</v>
          </cell>
          <cell r="H1608" t="str">
            <v>Longitarsus aeruginosus</v>
          </cell>
        </row>
        <row r="1609">
          <cell r="A1609" t="str">
            <v>Longitarsus agilis</v>
          </cell>
          <cell r="B1609" t="str">
            <v>Leaf beetles and allies</v>
          </cell>
          <cell r="C1609" t="str">
            <v>Coleoptera</v>
          </cell>
          <cell r="D1609" t="str">
            <v>Longitarsus agilis</v>
          </cell>
          <cell r="E1609" t="str">
            <v>LC</v>
          </cell>
          <cell r="F1609" t="str">
            <v>Hubble, 2014</v>
          </cell>
          <cell r="G1609" t="str">
            <v>NBNSYS0000011233</v>
          </cell>
          <cell r="H1609" t="str">
            <v>Longitarsus agilis</v>
          </cell>
        </row>
        <row r="1610">
          <cell r="A1610" t="str">
            <v>Longitarsus anchusae</v>
          </cell>
          <cell r="B1610" t="str">
            <v>Leaf beetles and allies</v>
          </cell>
          <cell r="C1610" t="str">
            <v>Coleoptera</v>
          </cell>
          <cell r="D1610" t="str">
            <v>Longitarsus anchusae</v>
          </cell>
          <cell r="E1610" t="str">
            <v>LC</v>
          </cell>
          <cell r="F1610" t="str">
            <v>Hubble, 2014</v>
          </cell>
          <cell r="G1610" t="str">
            <v>NBNSYS0000011234</v>
          </cell>
          <cell r="H1610" t="str">
            <v>Longitarsus anchusae</v>
          </cell>
        </row>
        <row r="1611">
          <cell r="A1611" t="str">
            <v>Longitarsus atricillus</v>
          </cell>
          <cell r="B1611" t="str">
            <v>Leaf beetles and allies</v>
          </cell>
          <cell r="C1611" t="str">
            <v>Coleoptera</v>
          </cell>
          <cell r="D1611" t="str">
            <v>Longitarsus atricillus</v>
          </cell>
          <cell r="E1611" t="str">
            <v>LC</v>
          </cell>
          <cell r="F1611" t="str">
            <v>Hubble, 2014</v>
          </cell>
          <cell r="G1611" t="str">
            <v>NBNSYS0000024971</v>
          </cell>
          <cell r="H1611" t="str">
            <v>Longitarsus atricillus</v>
          </cell>
        </row>
        <row r="1612">
          <cell r="A1612" t="str">
            <v>Longitarsus ballotae</v>
          </cell>
          <cell r="B1612" t="str">
            <v>Leaf beetles and allies</v>
          </cell>
          <cell r="C1612" t="str">
            <v>Coleoptera</v>
          </cell>
          <cell r="D1612" t="str">
            <v>Longitarsus ballotae</v>
          </cell>
          <cell r="E1612" t="str">
            <v>LC</v>
          </cell>
          <cell r="F1612" t="str">
            <v>Hubble, 2014</v>
          </cell>
          <cell r="G1612" t="str">
            <v>NBNSYS0000011235</v>
          </cell>
          <cell r="H1612" t="str">
            <v>Longitarsus ballotae</v>
          </cell>
        </row>
        <row r="1613">
          <cell r="A1613" t="str">
            <v>Longitarsus brunneus</v>
          </cell>
          <cell r="B1613" t="str">
            <v>Leaf beetles and allies</v>
          </cell>
          <cell r="C1613" t="str">
            <v>Coleoptera</v>
          </cell>
          <cell r="D1613" t="str">
            <v>Longitarsus brunneus</v>
          </cell>
          <cell r="E1613" t="str">
            <v>LC</v>
          </cell>
          <cell r="F1613" t="str">
            <v>Hubble, 2014</v>
          </cell>
          <cell r="G1613" t="str">
            <v>NBNSYS0000011237</v>
          </cell>
          <cell r="H1613" t="str">
            <v>Longitarsus brunneus</v>
          </cell>
        </row>
        <row r="1614">
          <cell r="A1614" t="str">
            <v>Longitarsus curtus</v>
          </cell>
          <cell r="B1614" t="str">
            <v>Leaf beetles and allies</v>
          </cell>
          <cell r="C1614" t="str">
            <v>Coleoptera</v>
          </cell>
          <cell r="D1614" t="str">
            <v>Longitarsus curtus</v>
          </cell>
          <cell r="E1614" t="str">
            <v>LC</v>
          </cell>
          <cell r="F1614" t="str">
            <v>Hubble, 2014</v>
          </cell>
          <cell r="G1614" t="str">
            <v>NBNSYS0000011239</v>
          </cell>
          <cell r="H1614" t="str">
            <v>Longitarsus curtus</v>
          </cell>
        </row>
        <row r="1615">
          <cell r="A1615" t="str">
            <v>Longitarsus dorsalis</v>
          </cell>
          <cell r="B1615" t="str">
            <v>Leaf beetles and allies</v>
          </cell>
          <cell r="C1615" t="str">
            <v>Coleoptera</v>
          </cell>
          <cell r="D1615" t="str">
            <v>Longitarsus dorsalis</v>
          </cell>
          <cell r="E1615" t="str">
            <v>LC</v>
          </cell>
          <cell r="F1615" t="str">
            <v>Hubble, 2014</v>
          </cell>
          <cell r="G1615" t="str">
            <v>NHMSYS0020152473</v>
          </cell>
          <cell r="H1615" t="str">
            <v>Longitarsus dorsalis</v>
          </cell>
        </row>
        <row r="1616">
          <cell r="A1616" t="str">
            <v>Longitarsus exoletus</v>
          </cell>
          <cell r="B1616" t="str">
            <v>Leaf beetles and allies</v>
          </cell>
          <cell r="C1616" t="str">
            <v>Coleoptera</v>
          </cell>
          <cell r="D1616" t="str">
            <v>Longitarsus exoletus</v>
          </cell>
          <cell r="E1616" t="str">
            <v>LC</v>
          </cell>
          <cell r="F1616" t="str">
            <v>Hubble, 2014</v>
          </cell>
          <cell r="G1616" t="str">
            <v>NHMSYS0021366979</v>
          </cell>
          <cell r="H1616" t="str">
            <v>Longitarsus exoletus</v>
          </cell>
        </row>
        <row r="1617">
          <cell r="A1617" t="str">
            <v>Longitarsus ferrugineus</v>
          </cell>
          <cell r="B1617" t="str">
            <v>Leaf beetles and allies</v>
          </cell>
          <cell r="C1617" t="str">
            <v>Coleoptera</v>
          </cell>
          <cell r="D1617" t="str">
            <v>Longitarsus ferrugineus</v>
          </cell>
          <cell r="E1617" t="str">
            <v>EN</v>
          </cell>
          <cell r="F1617" t="str">
            <v>Hubble, 2014</v>
          </cell>
          <cell r="G1617" t="str">
            <v>NBNSYS0000011242</v>
          </cell>
          <cell r="H1617" t="str">
            <v>Longitarsus ferrugineus</v>
          </cell>
        </row>
        <row r="1618">
          <cell r="A1618" t="str">
            <v>Longitarsus flavicornis</v>
          </cell>
          <cell r="B1618" t="str">
            <v>Leaf beetles and allies</v>
          </cell>
          <cell r="C1618" t="str">
            <v>Coleoptera</v>
          </cell>
          <cell r="D1618" t="str">
            <v>Longitarsus flavicornis</v>
          </cell>
          <cell r="E1618" t="str">
            <v>LC</v>
          </cell>
          <cell r="F1618" t="str">
            <v>Hubble, 2014</v>
          </cell>
          <cell r="G1618" t="str">
            <v>NBNSYS0000011243</v>
          </cell>
          <cell r="H1618" t="str">
            <v>Longitarsus flavicornis</v>
          </cell>
        </row>
        <row r="1619">
          <cell r="A1619" t="str">
            <v>Longitarsus fowleri</v>
          </cell>
          <cell r="B1619" t="str">
            <v>Leaf beetles and allies</v>
          </cell>
          <cell r="C1619" t="str">
            <v>Coleoptera</v>
          </cell>
          <cell r="D1619" t="str">
            <v>Longitarsus fowleri</v>
          </cell>
          <cell r="E1619" t="str">
            <v>LC</v>
          </cell>
          <cell r="F1619" t="str">
            <v>Hubble, 2014</v>
          </cell>
          <cell r="G1619" t="str">
            <v>NHMSYS0021366984</v>
          </cell>
          <cell r="H1619" t="str">
            <v>Longitarsus fowleri</v>
          </cell>
        </row>
        <row r="1620">
          <cell r="A1620" t="str">
            <v>Longitarsus ganglbaueri</v>
          </cell>
          <cell r="B1620" t="str">
            <v>Leaf beetles and allies</v>
          </cell>
          <cell r="C1620" t="str">
            <v>Coleoptera</v>
          </cell>
          <cell r="D1620" t="str">
            <v>Longitarsus ganglbaueri</v>
          </cell>
          <cell r="E1620" t="str">
            <v>LC</v>
          </cell>
          <cell r="F1620" t="str">
            <v>Hubble, 2014</v>
          </cell>
          <cell r="G1620" t="str">
            <v>NBNSYS0000011245</v>
          </cell>
          <cell r="H1620" t="str">
            <v>Longitarsus ganglbaueri</v>
          </cell>
        </row>
        <row r="1621">
          <cell r="A1621" t="str">
            <v>Longitarsus gracilis</v>
          </cell>
          <cell r="B1621" t="str">
            <v>Leaf beetles and allies</v>
          </cell>
          <cell r="C1621" t="str">
            <v>Coleoptera</v>
          </cell>
          <cell r="D1621" t="str">
            <v>Longitarsus gracilis</v>
          </cell>
          <cell r="E1621" t="str">
            <v>LC</v>
          </cell>
          <cell r="F1621" t="str">
            <v>Hubble, 2014</v>
          </cell>
          <cell r="G1621" t="str">
            <v>NBNSYS0000011246</v>
          </cell>
          <cell r="H1621" t="str">
            <v>Longitarsus gracilis</v>
          </cell>
        </row>
        <row r="1622">
          <cell r="A1622" t="str">
            <v>Longitarsus holsaticus</v>
          </cell>
          <cell r="B1622" t="str">
            <v>Leaf beetles and allies</v>
          </cell>
          <cell r="C1622" t="str">
            <v>Coleoptera</v>
          </cell>
          <cell r="D1622" t="str">
            <v>Longitarsus holsaticus</v>
          </cell>
          <cell r="E1622" t="str">
            <v>LC</v>
          </cell>
          <cell r="F1622" t="str">
            <v>Hubble, 2014</v>
          </cell>
          <cell r="G1622" t="str">
            <v>NBNSYS0000011247</v>
          </cell>
          <cell r="H1622" t="str">
            <v>Longitarsus holsaticus</v>
          </cell>
        </row>
        <row r="1623">
          <cell r="A1623" t="str">
            <v>Longitarsus jacobaeae</v>
          </cell>
          <cell r="B1623" t="str">
            <v>Leaf beetles and allies</v>
          </cell>
          <cell r="C1623" t="str">
            <v>Coleoptera</v>
          </cell>
          <cell r="D1623" t="str">
            <v>Longitarsus jacobaeae</v>
          </cell>
          <cell r="E1623" t="str">
            <v>LC</v>
          </cell>
          <cell r="F1623" t="str">
            <v>Hubble, 2014</v>
          </cell>
          <cell r="G1623" t="str">
            <v>NHMSYS0020152477</v>
          </cell>
          <cell r="H1623" t="str">
            <v>Longitarsus jacobaeae</v>
          </cell>
        </row>
        <row r="1624">
          <cell r="A1624" t="str">
            <v>Longitarsus kutscherae</v>
          </cell>
          <cell r="B1624" t="str">
            <v>Leaf beetles and allies</v>
          </cell>
          <cell r="C1624" t="str">
            <v>Coleoptera</v>
          </cell>
          <cell r="D1624" t="str">
            <v>Longitarsus kutscherae</v>
          </cell>
          <cell r="E1624" t="str">
            <v>LC</v>
          </cell>
          <cell r="F1624" t="str">
            <v>Hubble, 2014</v>
          </cell>
          <cell r="G1624" t="str">
            <v>NBNSYS0000011249</v>
          </cell>
          <cell r="H1624" t="str">
            <v>Longitarsus kutscherae</v>
          </cell>
        </row>
        <row r="1625">
          <cell r="A1625" t="str">
            <v>Longitarsus longiseta</v>
          </cell>
          <cell r="B1625" t="str">
            <v>Leaf beetles and allies</v>
          </cell>
          <cell r="C1625" t="str">
            <v>Coleoptera</v>
          </cell>
          <cell r="D1625" t="str">
            <v>Longitarsus longiseta</v>
          </cell>
          <cell r="E1625" t="str">
            <v>CR</v>
          </cell>
          <cell r="F1625" t="str">
            <v>Hubble, 2014</v>
          </cell>
          <cell r="G1625" t="str">
            <v>NBNSYS0000011238</v>
          </cell>
          <cell r="H1625" t="str">
            <v>Longitarsus longiseta</v>
          </cell>
        </row>
        <row r="1626">
          <cell r="A1626" t="str">
            <v>Longitarsus luridus</v>
          </cell>
          <cell r="B1626" t="str">
            <v>Leaf beetles and allies</v>
          </cell>
          <cell r="C1626" t="str">
            <v>Coleoptera</v>
          </cell>
          <cell r="D1626" t="str">
            <v>Longitarsus luridus</v>
          </cell>
          <cell r="E1626" t="str">
            <v>LC</v>
          </cell>
          <cell r="F1626" t="str">
            <v>Hubble, 2014</v>
          </cell>
          <cell r="G1626" t="str">
            <v>NBNSYS0000011250</v>
          </cell>
          <cell r="H1626" t="str">
            <v>Longitarsus luridus</v>
          </cell>
        </row>
        <row r="1627">
          <cell r="A1627" t="str">
            <v>Longitarsus lycopi</v>
          </cell>
          <cell r="B1627" t="str">
            <v>Leaf beetles and allies</v>
          </cell>
          <cell r="C1627" t="str">
            <v>Coleoptera</v>
          </cell>
          <cell r="D1627" t="str">
            <v>Longitarsus lycopi</v>
          </cell>
          <cell r="E1627" t="str">
            <v>LC</v>
          </cell>
          <cell r="F1627" t="str">
            <v>Hubble, 2014</v>
          </cell>
          <cell r="G1627" t="str">
            <v>NBNSYS0000011251</v>
          </cell>
          <cell r="H1627" t="str">
            <v>Longitarsus lycopi</v>
          </cell>
        </row>
        <row r="1628">
          <cell r="A1628" t="str">
            <v>Longitarsus melanocephalus</v>
          </cell>
          <cell r="B1628" t="str">
            <v>Leaf beetles and allies</v>
          </cell>
          <cell r="C1628" t="str">
            <v>Coleoptera</v>
          </cell>
          <cell r="D1628" t="str">
            <v>Longitarsus melanocephalus</v>
          </cell>
          <cell r="E1628" t="str">
            <v>LC</v>
          </cell>
          <cell r="F1628" t="str">
            <v>Hubble, 2014</v>
          </cell>
          <cell r="G1628" t="str">
            <v>NHMSYS0020152479</v>
          </cell>
          <cell r="H1628" t="str">
            <v>Longitarsus melanocephalus</v>
          </cell>
        </row>
        <row r="1629">
          <cell r="A1629" t="str">
            <v>Longitarsus membranaceus</v>
          </cell>
          <cell r="B1629" t="str">
            <v>Leaf beetles and allies</v>
          </cell>
          <cell r="C1629" t="str">
            <v>Coleoptera</v>
          </cell>
          <cell r="D1629" t="str">
            <v>Longitarsus membranaceus</v>
          </cell>
          <cell r="E1629" t="str">
            <v>LC</v>
          </cell>
          <cell r="F1629" t="str">
            <v>Hubble, 2014</v>
          </cell>
          <cell r="G1629" t="str">
            <v>NBNSYS0000011253</v>
          </cell>
          <cell r="H1629" t="str">
            <v>Longitarsus membranaceus</v>
          </cell>
        </row>
        <row r="1630">
          <cell r="A1630" t="str">
            <v>Longitarsus nasturtii</v>
          </cell>
          <cell r="B1630" t="str">
            <v>Leaf beetles and allies</v>
          </cell>
          <cell r="C1630" t="str">
            <v>Coleoptera</v>
          </cell>
          <cell r="D1630" t="str">
            <v>Longitarsus nasturtii</v>
          </cell>
          <cell r="E1630" t="str">
            <v>LC</v>
          </cell>
          <cell r="F1630" t="str">
            <v>Hubble, 2014</v>
          </cell>
          <cell r="G1630" t="str">
            <v>NHMSYS0020152480</v>
          </cell>
          <cell r="H1630" t="str">
            <v>Longitarsus nasturtii</v>
          </cell>
        </row>
        <row r="1631">
          <cell r="A1631" t="str">
            <v>Longitarsus nigerrimus</v>
          </cell>
          <cell r="B1631" t="str">
            <v>Leaf beetles and allies</v>
          </cell>
          <cell r="C1631" t="str">
            <v>Coleoptera</v>
          </cell>
          <cell r="D1631" t="str">
            <v>Longitarsus nigerrimus</v>
          </cell>
          <cell r="E1631" t="str">
            <v>VU</v>
          </cell>
          <cell r="F1631" t="str">
            <v>Hubble, 2014</v>
          </cell>
          <cell r="G1631" t="str">
            <v>NBNSYS0000011255</v>
          </cell>
          <cell r="H1631" t="str">
            <v>Longitarsus nigerrimus</v>
          </cell>
        </row>
        <row r="1632">
          <cell r="A1632" t="str">
            <v>Longitarsus nigrofasciatus</v>
          </cell>
          <cell r="B1632" t="str">
            <v>Leaf beetles and allies</v>
          </cell>
          <cell r="C1632" t="str">
            <v>Coleoptera</v>
          </cell>
          <cell r="D1632" t="str">
            <v>Longitarsus nigrofasciatus</v>
          </cell>
          <cell r="E1632" t="str">
            <v>NT</v>
          </cell>
          <cell r="F1632" t="str">
            <v>Hubble, 2014</v>
          </cell>
          <cell r="G1632" t="str">
            <v>NBNSYS0000011256</v>
          </cell>
          <cell r="H1632" t="str">
            <v>Longitarsus nigrofasciatus</v>
          </cell>
        </row>
        <row r="1633">
          <cell r="A1633" t="str">
            <v>Longitarsus obliteratus</v>
          </cell>
          <cell r="B1633" t="str">
            <v>Leaf beetles and allies</v>
          </cell>
          <cell r="C1633" t="str">
            <v>Coleoptera</v>
          </cell>
          <cell r="D1633" t="str">
            <v>Longitarsus obliteratus</v>
          </cell>
          <cell r="E1633" t="str">
            <v>LC</v>
          </cell>
          <cell r="F1633" t="str">
            <v>Hubble, 2014</v>
          </cell>
          <cell r="G1633" t="str">
            <v>NBNSYS0000011257</v>
          </cell>
          <cell r="H1633" t="str">
            <v>Longitarsus obliteratus</v>
          </cell>
        </row>
        <row r="1634">
          <cell r="A1634" t="str">
            <v>Longitarsus ochroleucus</v>
          </cell>
          <cell r="B1634" t="str">
            <v>Leaf beetles and allies</v>
          </cell>
          <cell r="C1634" t="str">
            <v>Coleoptera</v>
          </cell>
          <cell r="D1634" t="str">
            <v>Longitarsus ochroleucus</v>
          </cell>
          <cell r="E1634" t="str">
            <v>LC</v>
          </cell>
          <cell r="F1634" t="str">
            <v>Hubble, 2014</v>
          </cell>
          <cell r="G1634" t="str">
            <v>NBNSYS0000011258</v>
          </cell>
          <cell r="H1634" t="str">
            <v>Longitarsus ochroleucus</v>
          </cell>
        </row>
        <row r="1635">
          <cell r="A1635" t="str">
            <v>Longitarsus parvulus</v>
          </cell>
          <cell r="B1635" t="str">
            <v>Leaf beetles and allies</v>
          </cell>
          <cell r="C1635" t="str">
            <v>Coleoptera</v>
          </cell>
          <cell r="D1635" t="str">
            <v>Longitarsus parvulus</v>
          </cell>
          <cell r="E1635" t="str">
            <v>LC</v>
          </cell>
          <cell r="F1635" t="str">
            <v>Hubble, 2014</v>
          </cell>
          <cell r="G1635" t="str">
            <v>NBNSYS0000011259</v>
          </cell>
          <cell r="H1635" t="str">
            <v>Longitarsus parvulus</v>
          </cell>
        </row>
        <row r="1636">
          <cell r="A1636" t="str">
            <v>Longitarsus pellucidus</v>
          </cell>
          <cell r="B1636" t="str">
            <v>Leaf beetles and allies</v>
          </cell>
          <cell r="C1636" t="str">
            <v>Coleoptera</v>
          </cell>
          <cell r="D1636" t="str">
            <v>Longitarsus pellucidus</v>
          </cell>
          <cell r="E1636" t="str">
            <v>LC</v>
          </cell>
          <cell r="F1636" t="str">
            <v>Hubble, 2014</v>
          </cell>
          <cell r="G1636" t="str">
            <v>NBNSYS0000011260</v>
          </cell>
          <cell r="H1636" t="str">
            <v>Longitarsus pellucidus</v>
          </cell>
        </row>
        <row r="1637">
          <cell r="A1637" t="str">
            <v>Longitarsus plantagomaritimus</v>
          </cell>
          <cell r="B1637" t="str">
            <v>Leaf beetles and allies</v>
          </cell>
          <cell r="C1637" t="str">
            <v>Coleoptera</v>
          </cell>
          <cell r="D1637" t="str">
            <v>Longitarsus plantagomaritimus</v>
          </cell>
          <cell r="E1637" t="str">
            <v>LC</v>
          </cell>
          <cell r="F1637" t="str">
            <v>Hubble, 2014</v>
          </cell>
          <cell r="G1637" t="str">
            <v>NBNSYS0000011261</v>
          </cell>
          <cell r="H1637" t="str">
            <v>Longitarsus plantagomaritimus</v>
          </cell>
        </row>
        <row r="1638">
          <cell r="A1638" t="str">
            <v>Longitarsus pratensis</v>
          </cell>
          <cell r="B1638" t="str">
            <v>Leaf beetles and allies</v>
          </cell>
          <cell r="C1638" t="str">
            <v>Coleoptera</v>
          </cell>
          <cell r="D1638" t="str">
            <v>Longitarsus pratensis</v>
          </cell>
          <cell r="E1638" t="str">
            <v>LC</v>
          </cell>
          <cell r="F1638" t="str">
            <v>Hubble, 2014</v>
          </cell>
          <cell r="G1638" t="str">
            <v>NBNSYS0000011262</v>
          </cell>
          <cell r="H1638" t="str">
            <v>Longitarsus pratensis</v>
          </cell>
        </row>
        <row r="1639">
          <cell r="A1639" t="str">
            <v>Longitarsus quadriguttatus</v>
          </cell>
          <cell r="B1639" t="str">
            <v>Leaf beetles and allies</v>
          </cell>
          <cell r="C1639" t="str">
            <v>Coleoptera</v>
          </cell>
          <cell r="D1639" t="str">
            <v>Longitarsus quadriguttatus</v>
          </cell>
          <cell r="E1639" t="str">
            <v>LC</v>
          </cell>
          <cell r="F1639" t="str">
            <v>Hubble, 2014</v>
          </cell>
          <cell r="G1639" t="str">
            <v>NBNSYS0000011263</v>
          </cell>
          <cell r="H1639" t="str">
            <v>Longitarsus quadriguttatus</v>
          </cell>
        </row>
        <row r="1640">
          <cell r="A1640" t="str">
            <v>Longitarsus reichei</v>
          </cell>
          <cell r="B1640" t="str">
            <v>Leaf beetles and allies</v>
          </cell>
          <cell r="C1640" t="str">
            <v>Coleoptera</v>
          </cell>
          <cell r="D1640" t="str">
            <v>Longitarsus reichei</v>
          </cell>
          <cell r="E1640" t="str">
            <v>LC</v>
          </cell>
          <cell r="F1640" t="str">
            <v>Hubble, 2014</v>
          </cell>
          <cell r="G1640" t="str">
            <v>NBNSYS0000011264</v>
          </cell>
          <cell r="H1640" t="str">
            <v>Longitarsus reichei</v>
          </cell>
        </row>
        <row r="1641">
          <cell r="A1641" t="str">
            <v>Longitarsus rubiginosus</v>
          </cell>
          <cell r="B1641" t="str">
            <v>Leaf beetles and allies</v>
          </cell>
          <cell r="C1641" t="str">
            <v>Coleoptera</v>
          </cell>
          <cell r="D1641" t="str">
            <v>Longitarsus rubiginosus</v>
          </cell>
          <cell r="E1641" t="str">
            <v>LC</v>
          </cell>
          <cell r="F1641" t="str">
            <v>Hubble, 2014</v>
          </cell>
          <cell r="G1641" t="str">
            <v>NBNSYS0000011265</v>
          </cell>
          <cell r="H1641" t="str">
            <v>Longitarsus rubiginosus</v>
          </cell>
        </row>
        <row r="1642">
          <cell r="A1642" t="str">
            <v>Longitarsus rutilus</v>
          </cell>
          <cell r="B1642" t="str">
            <v>Leaf beetles and allies</v>
          </cell>
          <cell r="C1642" t="str">
            <v>Coleoptera</v>
          </cell>
          <cell r="D1642" t="str">
            <v>Longitarsus rutilus</v>
          </cell>
          <cell r="E1642" t="str">
            <v>LC</v>
          </cell>
          <cell r="F1642" t="str">
            <v>Hubble, 2014</v>
          </cell>
          <cell r="G1642" t="str">
            <v>NBNSYS0000011266</v>
          </cell>
          <cell r="H1642" t="str">
            <v>Longitarsus rutilus</v>
          </cell>
        </row>
        <row r="1643">
          <cell r="A1643" t="str">
            <v>Longitarsus succineus</v>
          </cell>
          <cell r="B1643" t="str">
            <v>Leaf beetles and allies</v>
          </cell>
          <cell r="C1643" t="str">
            <v>Coleoptera</v>
          </cell>
          <cell r="D1643" t="str">
            <v>Longitarsus succineus</v>
          </cell>
          <cell r="E1643" t="str">
            <v>LC</v>
          </cell>
          <cell r="F1643" t="str">
            <v>Hubble, 2014</v>
          </cell>
          <cell r="G1643" t="str">
            <v>NBNSYS0000011267</v>
          </cell>
          <cell r="H1643" t="str">
            <v>Longitarsus succineus</v>
          </cell>
        </row>
        <row r="1644">
          <cell r="A1644" t="str">
            <v>Longitarsus suturellus</v>
          </cell>
          <cell r="B1644" t="str">
            <v>Leaf beetles and allies</v>
          </cell>
          <cell r="C1644" t="str">
            <v>Coleoptera</v>
          </cell>
          <cell r="D1644" t="str">
            <v>Longitarsus suturellus</v>
          </cell>
          <cell r="E1644" t="str">
            <v>LC</v>
          </cell>
          <cell r="F1644" t="str">
            <v>Hubble, 2014</v>
          </cell>
          <cell r="G1644" t="str">
            <v>NBNSYS0000011269</v>
          </cell>
          <cell r="H1644" t="str">
            <v>Longitarsus suturellus</v>
          </cell>
        </row>
        <row r="1645">
          <cell r="A1645" t="str">
            <v>Longitarsus tabidus</v>
          </cell>
          <cell r="B1645" t="str">
            <v>Leaf beetles and allies</v>
          </cell>
          <cell r="C1645" t="str">
            <v>Coleoptera</v>
          </cell>
          <cell r="D1645" t="str">
            <v>Longitarsus tabidus</v>
          </cell>
          <cell r="E1645" t="str">
            <v>LC</v>
          </cell>
          <cell r="F1645" t="str">
            <v>Hubble, 2014</v>
          </cell>
          <cell r="G1645" t="str">
            <v>NHMSYS0020148456</v>
          </cell>
          <cell r="H1645" t="str">
            <v>Longitarsus tabidus</v>
          </cell>
        </row>
        <row r="1646">
          <cell r="A1646" t="str">
            <v>Luperus flavipes</v>
          </cell>
          <cell r="B1646" t="str">
            <v>Leaf beetles and allies</v>
          </cell>
          <cell r="C1646" t="str">
            <v>Coleoptera</v>
          </cell>
          <cell r="D1646" t="str">
            <v>Luperus flavipes</v>
          </cell>
          <cell r="E1646" t="str">
            <v>LC</v>
          </cell>
          <cell r="F1646" t="str">
            <v>Hubble, 2014</v>
          </cell>
          <cell r="G1646" t="str">
            <v>NBNSYS0000011203</v>
          </cell>
          <cell r="H1646" t="str">
            <v>Luperus flavipes</v>
          </cell>
        </row>
        <row r="1647">
          <cell r="A1647" t="str">
            <v>Luperus longicornis</v>
          </cell>
          <cell r="B1647" t="str">
            <v>Leaf beetles and allies</v>
          </cell>
          <cell r="C1647" t="str">
            <v>Coleoptera</v>
          </cell>
          <cell r="D1647" t="str">
            <v>Luperus longicornis</v>
          </cell>
          <cell r="E1647" t="str">
            <v>LC</v>
          </cell>
          <cell r="F1647" t="str">
            <v>Hubble, 2014</v>
          </cell>
          <cell r="G1647" t="str">
            <v>NHMSYS0020152495</v>
          </cell>
          <cell r="H1647" t="str">
            <v>Luperus longicornis</v>
          </cell>
        </row>
        <row r="1648">
          <cell r="A1648" t="str">
            <v>Lythraria salicariae</v>
          </cell>
          <cell r="B1648" t="str">
            <v>Leaf beetles and allies</v>
          </cell>
          <cell r="C1648" t="str">
            <v>Coleoptera</v>
          </cell>
          <cell r="D1648" t="str">
            <v>Lythraria salicariae</v>
          </cell>
          <cell r="E1648" t="str">
            <v>LC</v>
          </cell>
          <cell r="F1648" t="str">
            <v>Hubble, 2014</v>
          </cell>
          <cell r="G1648" t="str">
            <v>NBNSYS0000011281</v>
          </cell>
          <cell r="H1648" t="str">
            <v>Lythraria salicariae</v>
          </cell>
        </row>
        <row r="1649">
          <cell r="A1649" t="str">
            <v>Macroplea appendiculata</v>
          </cell>
          <cell r="B1649" t="str">
            <v>Leaf beetles and allies</v>
          </cell>
          <cell r="C1649" t="str">
            <v>Coleoptera</v>
          </cell>
          <cell r="D1649" t="str">
            <v>Macroplea appendiculata</v>
          </cell>
          <cell r="E1649" t="str">
            <v>LC</v>
          </cell>
          <cell r="F1649" t="str">
            <v>Hubble, 2014</v>
          </cell>
          <cell r="G1649" t="str">
            <v>NBNSYS0000011083</v>
          </cell>
          <cell r="H1649" t="str">
            <v>Macroplea appendiculata</v>
          </cell>
        </row>
        <row r="1650">
          <cell r="A1650" t="str">
            <v>Macroplea mutica</v>
          </cell>
          <cell r="B1650" t="str">
            <v>Leaf beetles and allies</v>
          </cell>
          <cell r="C1650" t="str">
            <v>Coleoptera</v>
          </cell>
          <cell r="D1650" t="str">
            <v>Macroplea mutica</v>
          </cell>
          <cell r="E1650" t="str">
            <v>EN</v>
          </cell>
          <cell r="F1650" t="str">
            <v>Hubble, 2014</v>
          </cell>
          <cell r="G1650" t="str">
            <v>NHMSYS0020152508</v>
          </cell>
          <cell r="H1650" t="str">
            <v>Macroplea mutica</v>
          </cell>
        </row>
        <row r="1651">
          <cell r="A1651" t="str">
            <v>Mantura chrysanthemi</v>
          </cell>
          <cell r="B1651" t="str">
            <v>Leaf beetles and allies</v>
          </cell>
          <cell r="C1651" t="str">
            <v>Coleoptera</v>
          </cell>
          <cell r="D1651" t="str">
            <v>Mantura chrysanthemi</v>
          </cell>
          <cell r="E1651" t="str">
            <v>LC</v>
          </cell>
          <cell r="F1651" t="str">
            <v>Hubble, 2014</v>
          </cell>
          <cell r="G1651" t="str">
            <v>NHMSYS0020152533</v>
          </cell>
          <cell r="H1651" t="str">
            <v>Mantura chrysanthemi</v>
          </cell>
        </row>
        <row r="1652">
          <cell r="A1652" t="str">
            <v>Mantura matthewsii</v>
          </cell>
          <cell r="B1652" t="str">
            <v>Leaf beetles and allies</v>
          </cell>
          <cell r="C1652" t="str">
            <v>Coleoptera</v>
          </cell>
          <cell r="D1652" t="str">
            <v>Mantura matthewsii</v>
          </cell>
          <cell r="E1652" t="str">
            <v>LC</v>
          </cell>
          <cell r="F1652" t="str">
            <v>Hubble, 2014</v>
          </cell>
          <cell r="G1652" t="str">
            <v>NBNSYS0000151042</v>
          </cell>
          <cell r="H1652" t="str">
            <v>Mantura matthewsii</v>
          </cell>
        </row>
        <row r="1653">
          <cell r="A1653" t="str">
            <v>Mantura obtusata</v>
          </cell>
          <cell r="B1653" t="str">
            <v>Leaf beetles and allies</v>
          </cell>
          <cell r="C1653" t="str">
            <v>Coleoptera</v>
          </cell>
          <cell r="D1653" t="str">
            <v>Mantura obtusata</v>
          </cell>
          <cell r="E1653" t="str">
            <v>LC</v>
          </cell>
          <cell r="F1653" t="str">
            <v>Hubble, 2014</v>
          </cell>
          <cell r="G1653" t="str">
            <v>NBNSYS0000011299</v>
          </cell>
          <cell r="H1653" t="str">
            <v>Mantura obtusata</v>
          </cell>
        </row>
        <row r="1654">
          <cell r="A1654" t="str">
            <v>Mantura rustica</v>
          </cell>
          <cell r="B1654" t="str">
            <v>Leaf beetles and allies</v>
          </cell>
          <cell r="C1654" t="str">
            <v>Coleoptera</v>
          </cell>
          <cell r="D1654" t="str">
            <v>Mantura rustica</v>
          </cell>
          <cell r="E1654" t="str">
            <v>LC</v>
          </cell>
          <cell r="F1654" t="str">
            <v>Hubble, 2014</v>
          </cell>
          <cell r="G1654" t="str">
            <v>NBNSYS0000011300</v>
          </cell>
          <cell r="H1654" t="str">
            <v>Mantura rustica</v>
          </cell>
        </row>
        <row r="1655">
          <cell r="A1655" t="str">
            <v>Mniophila muscorum</v>
          </cell>
          <cell r="B1655" t="str">
            <v>Leaf beetles and allies</v>
          </cell>
          <cell r="C1655" t="str">
            <v>Coleoptera</v>
          </cell>
          <cell r="D1655" t="str">
            <v>Mniophila muscorum</v>
          </cell>
          <cell r="E1655" t="str">
            <v>LC</v>
          </cell>
          <cell r="F1655" t="str">
            <v>Hubble, 2014</v>
          </cell>
          <cell r="G1655" t="str">
            <v>NHMSYS0020152656</v>
          </cell>
          <cell r="H1655" t="str">
            <v>Mniophila muscorum</v>
          </cell>
        </row>
        <row r="1656">
          <cell r="A1656" t="str">
            <v>Neocrepidodera ferruginea</v>
          </cell>
          <cell r="B1656" t="str">
            <v>Leaf beetles and allies</v>
          </cell>
          <cell r="C1656" t="str">
            <v>Coleoptera</v>
          </cell>
          <cell r="D1656" t="str">
            <v>Neocrepidodera ferruginea</v>
          </cell>
          <cell r="E1656" t="str">
            <v>LC</v>
          </cell>
          <cell r="F1656" t="str">
            <v>Hubble, 2014</v>
          </cell>
          <cell r="G1656" t="str">
            <v>NHMSYS0001744236</v>
          </cell>
          <cell r="H1656" t="str">
            <v>Neocrepidodera ferruginea</v>
          </cell>
        </row>
        <row r="1657">
          <cell r="A1657" t="str">
            <v>Neocrepidodera impressa</v>
          </cell>
          <cell r="B1657" t="str">
            <v>Leaf beetles and allies</v>
          </cell>
          <cell r="C1657" t="str">
            <v>Coleoptera</v>
          </cell>
          <cell r="D1657" t="str">
            <v>Neocrepidodera impressa</v>
          </cell>
          <cell r="E1657" t="str">
            <v>LC</v>
          </cell>
          <cell r="F1657" t="str">
            <v>Hubble, 2014</v>
          </cell>
          <cell r="G1657" t="str">
            <v>NHMSYS0001744237</v>
          </cell>
          <cell r="H1657" t="str">
            <v>Neocrepidodera impressa</v>
          </cell>
        </row>
        <row r="1658">
          <cell r="A1658" t="str">
            <v>Neocrepidodera transversa</v>
          </cell>
          <cell r="B1658" t="str">
            <v>Leaf beetles and allies</v>
          </cell>
          <cell r="C1658" t="str">
            <v>Coleoptera</v>
          </cell>
          <cell r="D1658" t="str">
            <v>Neocrepidodera transversa</v>
          </cell>
          <cell r="E1658" t="str">
            <v>LC</v>
          </cell>
          <cell r="F1658" t="str">
            <v>Hubble, 2014</v>
          </cell>
          <cell r="G1658" t="str">
            <v>NHMSYS0001744238</v>
          </cell>
          <cell r="H1658" t="str">
            <v>Neocrepidodera transversa</v>
          </cell>
        </row>
        <row r="1659">
          <cell r="A1659" t="str">
            <v>Ochrosis ventralis</v>
          </cell>
          <cell r="B1659" t="str">
            <v>Leaf beetles and allies</v>
          </cell>
          <cell r="C1659" t="str">
            <v>Coleoptera</v>
          </cell>
          <cell r="D1659" t="str">
            <v>Ochrosis ventralis</v>
          </cell>
          <cell r="E1659" t="str">
            <v>VU</v>
          </cell>
          <cell r="F1659" t="str">
            <v>Hubble, 2014</v>
          </cell>
          <cell r="G1659" t="str">
            <v>NBNSYS0000011282</v>
          </cell>
          <cell r="H1659" t="str">
            <v>Ochrosis ventralis</v>
          </cell>
        </row>
        <row r="1660">
          <cell r="A1660" t="str">
            <v>Oomorphus concolor</v>
          </cell>
          <cell r="B1660" t="str">
            <v>Leaf beetles and allies</v>
          </cell>
          <cell r="C1660" t="str">
            <v>Coleoptera</v>
          </cell>
          <cell r="D1660" t="str">
            <v>Oomorphus concolor</v>
          </cell>
          <cell r="E1660" t="str">
            <v>LC</v>
          </cell>
          <cell r="F1660" t="str">
            <v>Hubble, 2014</v>
          </cell>
          <cell r="G1660" t="str">
            <v>NHMSYS0001744239</v>
          </cell>
          <cell r="H1660" t="str">
            <v>Oomorphus concolor</v>
          </cell>
        </row>
        <row r="1661">
          <cell r="A1661" t="str">
            <v>Orsodacne cerasi</v>
          </cell>
          <cell r="B1661" t="str">
            <v>Leaf beetles and allies</v>
          </cell>
          <cell r="C1661" t="str">
            <v>Coleoptera</v>
          </cell>
          <cell r="D1661" t="str">
            <v>Orsodacne cerasi</v>
          </cell>
          <cell r="E1661" t="str">
            <v>LC</v>
          </cell>
          <cell r="F1661" t="str">
            <v>Hubble, 2014</v>
          </cell>
          <cell r="G1661" t="str">
            <v>NBNSYS0000011104</v>
          </cell>
          <cell r="H1661" t="str">
            <v>Orsodacne cerasi</v>
          </cell>
        </row>
        <row r="1662">
          <cell r="A1662" t="str">
            <v>Orsodacne humeralis</v>
          </cell>
          <cell r="B1662" t="str">
            <v>Leaf beetles and allies</v>
          </cell>
          <cell r="C1662" t="str">
            <v>Coleoptera</v>
          </cell>
          <cell r="D1662" t="str">
            <v>Orsodacne humeralis</v>
          </cell>
          <cell r="E1662" t="str">
            <v>LC</v>
          </cell>
          <cell r="F1662" t="str">
            <v>Hubble, 2014</v>
          </cell>
          <cell r="G1662" t="str">
            <v>NHMSYS0001744240</v>
          </cell>
          <cell r="H1662" t="str">
            <v>Orsodacne humeralis</v>
          </cell>
        </row>
        <row r="1663">
          <cell r="A1663" t="str">
            <v>Oulema erichsoni</v>
          </cell>
          <cell r="B1663" t="str">
            <v>Leaf beetles and allies</v>
          </cell>
          <cell r="C1663" t="str">
            <v>Coleoptera</v>
          </cell>
          <cell r="D1663" t="str">
            <v>Oulema erichsoni</v>
          </cell>
          <cell r="E1663" t="str">
            <v>EN</v>
          </cell>
          <cell r="F1663" t="str">
            <v>Hubble, 2014</v>
          </cell>
          <cell r="G1663" t="str">
            <v>NHMSYS0021422234</v>
          </cell>
          <cell r="H1663" t="str">
            <v>Oulema erichsoni</v>
          </cell>
        </row>
        <row r="1664">
          <cell r="A1664" t="str">
            <v>Oulema melanopus</v>
          </cell>
          <cell r="B1664" t="str">
            <v>Leaf beetles and allies</v>
          </cell>
          <cell r="C1664" t="str">
            <v>Coleoptera</v>
          </cell>
          <cell r="D1664" t="str">
            <v>Oulema melanopus</v>
          </cell>
          <cell r="E1664" t="str">
            <v>LC</v>
          </cell>
          <cell r="F1664" t="str">
            <v>Hubble, 2014</v>
          </cell>
          <cell r="G1664" t="str">
            <v>NHMSYS0021486732</v>
          </cell>
          <cell r="H1664" t="str">
            <v>Oulema melanopus</v>
          </cell>
        </row>
        <row r="1665">
          <cell r="A1665" t="str">
            <v>Oulema obscura</v>
          </cell>
          <cell r="B1665" t="str">
            <v>Leaf beetles and allies</v>
          </cell>
          <cell r="C1665" t="str">
            <v>Coleoptera</v>
          </cell>
          <cell r="D1665" t="str">
            <v>Oulema obscura</v>
          </cell>
          <cell r="E1665" t="str">
            <v>LC</v>
          </cell>
          <cell r="F1665" t="str">
            <v>Hubble, 2014</v>
          </cell>
          <cell r="G1665" t="str">
            <v>NHMSYS0001744243</v>
          </cell>
          <cell r="H1665" t="str">
            <v>Oulema obscura</v>
          </cell>
        </row>
        <row r="1666">
          <cell r="A1666" t="str">
            <v>Oulema rufocyanea</v>
          </cell>
          <cell r="B1666" t="str">
            <v>Leaf beetles and allies</v>
          </cell>
          <cell r="C1666" t="str">
            <v>Coleoptera</v>
          </cell>
          <cell r="D1666" t="str">
            <v>Oulema rufocyanea</v>
          </cell>
          <cell r="E1666" t="str">
            <v>LC</v>
          </cell>
          <cell r="F1666" t="str">
            <v>Hubble, 2014</v>
          </cell>
          <cell r="G1666" t="str">
            <v>NBNSYS0000152996</v>
          </cell>
          <cell r="H1666" t="str">
            <v>Oulema rufocyanea</v>
          </cell>
        </row>
        <row r="1667">
          <cell r="A1667" t="str">
            <v>Phaedon armoraciae</v>
          </cell>
          <cell r="B1667" t="str">
            <v>Leaf beetles and allies</v>
          </cell>
          <cell r="C1667" t="str">
            <v>Coleoptera</v>
          </cell>
          <cell r="D1667" t="str">
            <v>Phaedon armoraciae</v>
          </cell>
          <cell r="E1667" t="str">
            <v>LC</v>
          </cell>
          <cell r="F1667" t="str">
            <v>Hubble, 2014</v>
          </cell>
          <cell r="G1667" t="str">
            <v>NBNSYS0000011168</v>
          </cell>
          <cell r="H1667" t="str">
            <v>Phaedon armoraciae</v>
          </cell>
        </row>
        <row r="1668">
          <cell r="A1668" t="str">
            <v>Phaedon cochleariae</v>
          </cell>
          <cell r="B1668" t="str">
            <v>Leaf beetles and allies</v>
          </cell>
          <cell r="C1668" t="str">
            <v>Coleoptera</v>
          </cell>
          <cell r="D1668" t="str">
            <v>Phaedon cochleariae</v>
          </cell>
          <cell r="E1668" t="str">
            <v>LC</v>
          </cell>
          <cell r="F1668" t="str">
            <v>Hubble, 2014</v>
          </cell>
          <cell r="G1668" t="str">
            <v>NHMSYS0020153024</v>
          </cell>
          <cell r="H1668" t="str">
            <v>Phaedon cochleariae</v>
          </cell>
        </row>
        <row r="1669">
          <cell r="A1669" t="str">
            <v>Phaedon concinnus</v>
          </cell>
          <cell r="B1669" t="str">
            <v>Leaf beetles and allies</v>
          </cell>
          <cell r="C1669" t="str">
            <v>Coleoptera</v>
          </cell>
          <cell r="D1669" t="str">
            <v>Phaedon concinnus</v>
          </cell>
          <cell r="E1669" t="str">
            <v>LC</v>
          </cell>
          <cell r="F1669" t="str">
            <v>Hubble, 2014</v>
          </cell>
          <cell r="G1669" t="str">
            <v>NBNSYS0000011170</v>
          </cell>
          <cell r="H1669" t="str">
            <v>Phaedon concinnus</v>
          </cell>
        </row>
        <row r="1670">
          <cell r="A1670" t="str">
            <v>Phaedon tumidulus</v>
          </cell>
          <cell r="B1670" t="str">
            <v>Leaf beetles and allies</v>
          </cell>
          <cell r="C1670" t="str">
            <v>Coleoptera</v>
          </cell>
          <cell r="D1670" t="str">
            <v>Phaedon tumidulus</v>
          </cell>
          <cell r="E1670" t="str">
            <v>LC</v>
          </cell>
          <cell r="F1670" t="str">
            <v>Hubble, 2014</v>
          </cell>
          <cell r="G1670" t="str">
            <v>NBNSYS0000011171</v>
          </cell>
          <cell r="H1670" t="str">
            <v>Phaedon tumidulus</v>
          </cell>
        </row>
        <row r="1671">
          <cell r="A1671" t="str">
            <v>Phratora laticollis</v>
          </cell>
          <cell r="B1671" t="str">
            <v>Leaf beetles and allies</v>
          </cell>
          <cell r="C1671" t="str">
            <v>Coleoptera</v>
          </cell>
          <cell r="D1671" t="str">
            <v>Phratora laticollis</v>
          </cell>
          <cell r="E1671" t="str">
            <v>LC</v>
          </cell>
          <cell r="F1671" t="str">
            <v>Hubble, 2014</v>
          </cell>
          <cell r="G1671" t="str">
            <v>NHMSYS0020153053</v>
          </cell>
          <cell r="H1671" t="str">
            <v>Phratora laticollis</v>
          </cell>
        </row>
        <row r="1672">
          <cell r="A1672" t="str">
            <v>Phratora vitellinae</v>
          </cell>
          <cell r="B1672" t="str">
            <v>Leaf beetles and allies</v>
          </cell>
          <cell r="C1672" t="str">
            <v>Coleoptera</v>
          </cell>
          <cell r="D1672" t="str">
            <v>Phratora vitellinae</v>
          </cell>
          <cell r="E1672" t="str">
            <v>LC</v>
          </cell>
          <cell r="F1672" t="str">
            <v>Hubble, 2014</v>
          </cell>
          <cell r="G1672" t="str">
            <v>NHMSYS0020153055</v>
          </cell>
          <cell r="H1672" t="str">
            <v>Phratora vitellinae</v>
          </cell>
        </row>
        <row r="1673">
          <cell r="A1673" t="str">
            <v>Phratora vulgatissima</v>
          </cell>
          <cell r="B1673" t="str">
            <v>Leaf beetles and allies</v>
          </cell>
          <cell r="C1673" t="str">
            <v>Coleoptera</v>
          </cell>
          <cell r="D1673" t="str">
            <v>Phratora vulgatissima</v>
          </cell>
          <cell r="E1673" t="str">
            <v>LC</v>
          </cell>
          <cell r="F1673" t="str">
            <v>Hubble, 2014</v>
          </cell>
          <cell r="G1673" t="str">
            <v>NHMSYS0020153056</v>
          </cell>
          <cell r="H1673" t="str">
            <v>Phratora vulgatissima</v>
          </cell>
        </row>
        <row r="1674">
          <cell r="A1674" t="str">
            <v>Phyllobrotica quadrimaculata</v>
          </cell>
          <cell r="B1674" t="str">
            <v>Leaf beetles and allies</v>
          </cell>
          <cell r="C1674" t="str">
            <v>Coleoptera</v>
          </cell>
          <cell r="D1674" t="str">
            <v>Phyllobrotica quadrimaculata</v>
          </cell>
          <cell r="E1674" t="str">
            <v>LC</v>
          </cell>
          <cell r="F1674" t="str">
            <v>Hubble, 2014</v>
          </cell>
          <cell r="G1674" t="str">
            <v>NBNSYS0000011202</v>
          </cell>
          <cell r="H1674" t="str">
            <v>Phyllobrotica quadrimaculata</v>
          </cell>
        </row>
        <row r="1675">
          <cell r="A1675" t="str">
            <v>Phyllotreta atra</v>
          </cell>
          <cell r="B1675" t="str">
            <v>Leaf beetles and allies</v>
          </cell>
          <cell r="C1675" t="str">
            <v>Coleoptera</v>
          </cell>
          <cell r="D1675" t="str">
            <v>Phyllotreta atra</v>
          </cell>
          <cell r="E1675" t="str">
            <v>LC</v>
          </cell>
          <cell r="F1675" t="str">
            <v>Hubble, 2014</v>
          </cell>
          <cell r="G1675" t="str">
            <v>NHMSYS0020153088</v>
          </cell>
          <cell r="H1675" t="str">
            <v>Phyllotreta atra</v>
          </cell>
        </row>
        <row r="1676">
          <cell r="A1676" t="str">
            <v>Phyllotreta consobrina</v>
          </cell>
          <cell r="B1676" t="str">
            <v>Leaf beetles and allies</v>
          </cell>
          <cell r="C1676" t="str">
            <v>Coleoptera</v>
          </cell>
          <cell r="D1676" t="str">
            <v>Phyllotreta consobrina</v>
          </cell>
          <cell r="E1676" t="str">
            <v>LC</v>
          </cell>
          <cell r="F1676" t="str">
            <v>Hubble, 2014</v>
          </cell>
          <cell r="G1676" t="str">
            <v>NBNSYS0000011210</v>
          </cell>
          <cell r="H1676" t="str">
            <v>Phyllotreta consobrina</v>
          </cell>
        </row>
        <row r="1677">
          <cell r="A1677" t="str">
            <v>Phyllotreta cruciferae</v>
          </cell>
          <cell r="B1677" t="str">
            <v>Leaf beetles and allies</v>
          </cell>
          <cell r="C1677" t="str">
            <v>Coleoptera</v>
          </cell>
          <cell r="D1677" t="str">
            <v>Phyllotreta cruciferae</v>
          </cell>
          <cell r="E1677" t="str">
            <v>LC</v>
          </cell>
          <cell r="F1677" t="str">
            <v>Hubble, 2014</v>
          </cell>
          <cell r="G1677" t="str">
            <v>NBNSYS0000011211</v>
          </cell>
          <cell r="H1677" t="str">
            <v>Phyllotreta cruciferae</v>
          </cell>
        </row>
        <row r="1678">
          <cell r="A1678" t="str">
            <v>Phyllotreta diademata</v>
          </cell>
          <cell r="B1678" t="str">
            <v>Leaf beetles and allies</v>
          </cell>
          <cell r="C1678" t="str">
            <v>Coleoptera</v>
          </cell>
          <cell r="D1678" t="str">
            <v>Phyllotreta diademata</v>
          </cell>
          <cell r="E1678" t="str">
            <v>LC</v>
          </cell>
          <cell r="F1678" t="str">
            <v>Hubble, 2014</v>
          </cell>
          <cell r="G1678" t="str">
            <v>NHMSYS0021366989</v>
          </cell>
          <cell r="H1678" t="str">
            <v>Phyllotreta diademata</v>
          </cell>
        </row>
        <row r="1679">
          <cell r="A1679" t="str">
            <v>Phyllotreta exclamationis</v>
          </cell>
          <cell r="B1679" t="str">
            <v>Leaf beetles and allies</v>
          </cell>
          <cell r="C1679" t="str">
            <v>Coleoptera</v>
          </cell>
          <cell r="D1679" t="str">
            <v>Phyllotreta exclamationis</v>
          </cell>
          <cell r="E1679" t="str">
            <v>LC</v>
          </cell>
          <cell r="F1679" t="str">
            <v>Hubble, 2014</v>
          </cell>
          <cell r="G1679" t="str">
            <v>NBNSYS0000011213</v>
          </cell>
          <cell r="H1679" t="str">
            <v>Phyllotreta exclamationis</v>
          </cell>
        </row>
        <row r="1680">
          <cell r="A1680" t="str">
            <v>Phyllotreta flexuosa</v>
          </cell>
          <cell r="B1680" t="str">
            <v>Leaf beetles and allies</v>
          </cell>
          <cell r="C1680" t="str">
            <v>Coleoptera</v>
          </cell>
          <cell r="D1680" t="str">
            <v>Phyllotreta flexuosa</v>
          </cell>
          <cell r="E1680" t="str">
            <v>LC</v>
          </cell>
          <cell r="F1680" t="str">
            <v>Hubble, 2014</v>
          </cell>
          <cell r="G1680" t="str">
            <v>NBNSYS0000011214</v>
          </cell>
          <cell r="H1680" t="str">
            <v>Phyllotreta flexuosa</v>
          </cell>
        </row>
        <row r="1681">
          <cell r="A1681" t="str">
            <v>Phyllotreta nemorum</v>
          </cell>
          <cell r="B1681" t="str">
            <v>Leaf beetles and allies</v>
          </cell>
          <cell r="C1681" t="str">
            <v>Coleoptera</v>
          </cell>
          <cell r="D1681" t="str">
            <v>Phyllotreta nemorum</v>
          </cell>
          <cell r="E1681" t="str">
            <v>LC</v>
          </cell>
          <cell r="F1681" t="str">
            <v>Hubble, 2014</v>
          </cell>
          <cell r="G1681" t="str">
            <v>NBNSYS0000011215</v>
          </cell>
          <cell r="H1681" t="str">
            <v>Phyllotreta nemorum</v>
          </cell>
        </row>
        <row r="1682">
          <cell r="A1682" t="str">
            <v>Phyllotreta nigripes</v>
          </cell>
          <cell r="B1682" t="str">
            <v>Leaf beetles and allies</v>
          </cell>
          <cell r="C1682" t="str">
            <v>Coleoptera</v>
          </cell>
          <cell r="D1682" t="str">
            <v>Phyllotreta nigripes</v>
          </cell>
          <cell r="E1682" t="str">
            <v>LC</v>
          </cell>
          <cell r="F1682" t="str">
            <v>Hubble, 2014</v>
          </cell>
          <cell r="G1682" t="str">
            <v>NHMSYS0020153089</v>
          </cell>
          <cell r="H1682" t="str">
            <v>Phyllotreta nigripes</v>
          </cell>
        </row>
        <row r="1683">
          <cell r="A1683" t="str">
            <v>Phyllotreta nodicornis</v>
          </cell>
          <cell r="B1683" t="str">
            <v>Leaf beetles and allies</v>
          </cell>
          <cell r="C1683" t="str">
            <v>Coleoptera</v>
          </cell>
          <cell r="D1683" t="str">
            <v>Phyllotreta nodicornis</v>
          </cell>
          <cell r="E1683" t="str">
            <v>LC</v>
          </cell>
          <cell r="F1683" t="str">
            <v>Hubble, 2014</v>
          </cell>
          <cell r="G1683" t="str">
            <v>NBNSYS0000011217</v>
          </cell>
          <cell r="H1683" t="str">
            <v>Phyllotreta nodicornis</v>
          </cell>
        </row>
        <row r="1684">
          <cell r="A1684" t="str">
            <v>Phyllotreta ochripes</v>
          </cell>
          <cell r="B1684" t="str">
            <v>Leaf beetles and allies</v>
          </cell>
          <cell r="C1684" t="str">
            <v>Coleoptera</v>
          </cell>
          <cell r="D1684" t="str">
            <v>Phyllotreta ochripes</v>
          </cell>
          <cell r="E1684" t="str">
            <v>LC</v>
          </cell>
          <cell r="F1684" t="str">
            <v>Hubble, 2014</v>
          </cell>
          <cell r="G1684" t="str">
            <v>NBNSYS0000011218</v>
          </cell>
          <cell r="H1684" t="str">
            <v>Phyllotreta ochripes</v>
          </cell>
        </row>
        <row r="1685">
          <cell r="A1685" t="str">
            <v>Phyllotreta punctulata</v>
          </cell>
          <cell r="B1685" t="str">
            <v>Leaf beetles and allies</v>
          </cell>
          <cell r="C1685" t="str">
            <v>Coleoptera</v>
          </cell>
          <cell r="D1685" t="str">
            <v>Phyllotreta punctulata</v>
          </cell>
          <cell r="E1685" t="str">
            <v>LC</v>
          </cell>
          <cell r="F1685" t="str">
            <v>Hubble, 2014</v>
          </cell>
          <cell r="G1685" t="str">
            <v>NHMSYS0020153090</v>
          </cell>
          <cell r="H1685" t="str">
            <v>Phyllotreta punctulata</v>
          </cell>
        </row>
        <row r="1686">
          <cell r="A1686" t="str">
            <v>Phyllotreta striolata</v>
          </cell>
          <cell r="B1686" t="str">
            <v>Leaf beetles and allies</v>
          </cell>
          <cell r="C1686" t="str">
            <v>Coleoptera</v>
          </cell>
          <cell r="D1686" t="str">
            <v>Phyllotreta striolata</v>
          </cell>
          <cell r="E1686" t="str">
            <v>VU</v>
          </cell>
          <cell r="F1686" t="str">
            <v>Hubble, 2014</v>
          </cell>
          <cell r="G1686" t="str">
            <v>NHMSYS0001744246</v>
          </cell>
          <cell r="H1686" t="str">
            <v>Phyllotreta striolata</v>
          </cell>
        </row>
        <row r="1687">
          <cell r="A1687" t="str">
            <v>Phyllotreta tetrastigma</v>
          </cell>
          <cell r="B1687" t="str">
            <v>Leaf beetles and allies</v>
          </cell>
          <cell r="C1687" t="str">
            <v>Coleoptera</v>
          </cell>
          <cell r="D1687" t="str">
            <v>Phyllotreta tetrastigma</v>
          </cell>
          <cell r="E1687" t="str">
            <v>LC</v>
          </cell>
          <cell r="F1687" t="str">
            <v>Hubble, 2014</v>
          </cell>
          <cell r="G1687" t="str">
            <v>NBNSYS0000011219</v>
          </cell>
          <cell r="H1687" t="str">
            <v>Phyllotreta tetrastigma</v>
          </cell>
        </row>
        <row r="1688">
          <cell r="A1688" t="str">
            <v>Phyllotreta undulata</v>
          </cell>
          <cell r="B1688" t="str">
            <v>Leaf beetles and allies</v>
          </cell>
          <cell r="C1688" t="str">
            <v>Coleoptera</v>
          </cell>
          <cell r="D1688" t="str">
            <v>Phyllotreta undulata</v>
          </cell>
          <cell r="E1688" t="str">
            <v>LC</v>
          </cell>
          <cell r="F1688" t="str">
            <v>Hubble, 2014</v>
          </cell>
          <cell r="G1688" t="str">
            <v>NBNSYS0000011220</v>
          </cell>
          <cell r="H1688" t="str">
            <v>Phyllotreta undulata</v>
          </cell>
        </row>
        <row r="1689">
          <cell r="A1689" t="str">
            <v>Phyllotreta vittula</v>
          </cell>
          <cell r="B1689" t="str">
            <v>Leaf beetles and allies</v>
          </cell>
          <cell r="C1689" t="str">
            <v>Coleoptera</v>
          </cell>
          <cell r="D1689" t="str">
            <v>Phyllotreta vittula</v>
          </cell>
          <cell r="E1689" t="str">
            <v>LC</v>
          </cell>
          <cell r="F1689" t="str">
            <v>Hubble, 2014</v>
          </cell>
          <cell r="G1689" t="str">
            <v>NBNSYS0000011222</v>
          </cell>
          <cell r="H1689" t="str">
            <v>Phyllotreta vittula</v>
          </cell>
        </row>
        <row r="1690">
          <cell r="A1690" t="str">
            <v>Pilemostoma fastuosa</v>
          </cell>
          <cell r="B1690" t="str">
            <v>Leaf beetles and allies</v>
          </cell>
          <cell r="C1690" t="str">
            <v>Coleoptera</v>
          </cell>
          <cell r="D1690" t="str">
            <v>Pilemostoma fastuosa</v>
          </cell>
          <cell r="E1690" t="str">
            <v>NT</v>
          </cell>
          <cell r="F1690" t="str">
            <v>Hubble, 2014</v>
          </cell>
          <cell r="G1690" t="str">
            <v>NHMSYS0021422239</v>
          </cell>
          <cell r="H1690" t="str">
            <v>Pilemostoma fastuosa</v>
          </cell>
        </row>
        <row r="1691">
          <cell r="A1691" t="str">
            <v>Plagiodera versicolora</v>
          </cell>
          <cell r="B1691" t="str">
            <v>Leaf beetles and allies</v>
          </cell>
          <cell r="C1691" t="str">
            <v>Coleoptera</v>
          </cell>
          <cell r="D1691" t="str">
            <v>Plagiodera versicolora</v>
          </cell>
          <cell r="E1691" t="str">
            <v>LC</v>
          </cell>
          <cell r="F1691" t="str">
            <v>Hubble, 2014</v>
          </cell>
          <cell r="G1691" t="str">
            <v>NBNSYS0000011177</v>
          </cell>
          <cell r="H1691" t="str">
            <v>Plagiodera versicolora</v>
          </cell>
        </row>
        <row r="1692">
          <cell r="A1692" t="str">
            <v>Plateumaris bracata</v>
          </cell>
          <cell r="B1692" t="str">
            <v>Leaf beetles and allies</v>
          </cell>
          <cell r="C1692" t="str">
            <v>Coleoptera</v>
          </cell>
          <cell r="D1692" t="str">
            <v>Plateumaris bracata</v>
          </cell>
          <cell r="E1692" t="str">
            <v>LC</v>
          </cell>
          <cell r="F1692" t="str">
            <v>Hubble, 2014</v>
          </cell>
          <cell r="G1692" t="str">
            <v>NHMSYS0021125724</v>
          </cell>
          <cell r="H1692" t="str">
            <v>Plateumaris bracata</v>
          </cell>
        </row>
        <row r="1693">
          <cell r="A1693" t="str">
            <v>Plateumaris discolor</v>
          </cell>
          <cell r="B1693" t="str">
            <v>Leaf beetles and allies</v>
          </cell>
          <cell r="C1693" t="str">
            <v>Coleoptera</v>
          </cell>
          <cell r="D1693" t="str">
            <v>Plateumaris discolor</v>
          </cell>
          <cell r="E1693" t="str">
            <v>LC</v>
          </cell>
          <cell r="F1693" t="str">
            <v>Hubble, 2014</v>
          </cell>
          <cell r="G1693" t="str">
            <v>NBNSYS0000011102</v>
          </cell>
          <cell r="H1693" t="str">
            <v>Plateumaris discolor</v>
          </cell>
        </row>
        <row r="1694">
          <cell r="A1694" t="str">
            <v>Plateumaris rustica</v>
          </cell>
          <cell r="B1694" t="str">
            <v>Leaf beetles and allies</v>
          </cell>
          <cell r="C1694" t="str">
            <v>Coleoptera</v>
          </cell>
          <cell r="D1694" t="str">
            <v>Plateumaris rustica</v>
          </cell>
          <cell r="E1694" t="str">
            <v>LC</v>
          </cell>
          <cell r="F1694" t="str">
            <v>Hubble, 2014</v>
          </cell>
          <cell r="G1694" t="str">
            <v>NHMSYS0001596573</v>
          </cell>
          <cell r="H1694" t="str">
            <v>Plateumaris rustica</v>
          </cell>
        </row>
        <row r="1695">
          <cell r="A1695" t="str">
            <v>Plateumaris sericea</v>
          </cell>
          <cell r="B1695" t="str">
            <v>Leaf beetles and allies</v>
          </cell>
          <cell r="C1695" t="str">
            <v>Coleoptera</v>
          </cell>
          <cell r="D1695" t="str">
            <v>Plateumaris sericea</v>
          </cell>
          <cell r="E1695" t="str">
            <v>LC</v>
          </cell>
          <cell r="F1695" t="str">
            <v>Hubble, 2014</v>
          </cell>
          <cell r="G1695" t="str">
            <v>NBNSYS0000011103</v>
          </cell>
          <cell r="H1695" t="str">
            <v>Plateumaris sericea</v>
          </cell>
        </row>
        <row r="1696">
          <cell r="A1696" t="str">
            <v>Podagrica fuscicornis</v>
          </cell>
          <cell r="B1696" t="str">
            <v>Leaf beetles and allies</v>
          </cell>
          <cell r="C1696" t="str">
            <v>Coleoptera</v>
          </cell>
          <cell r="D1696" t="str">
            <v>Podagrica fuscicornis</v>
          </cell>
          <cell r="E1696" t="str">
            <v>LC</v>
          </cell>
          <cell r="F1696" t="str">
            <v>Hubble, 2014</v>
          </cell>
          <cell r="G1696" t="str">
            <v>NBNSYS0000011295</v>
          </cell>
          <cell r="H1696" t="str">
            <v>Podagrica fuscicornis</v>
          </cell>
        </row>
        <row r="1697">
          <cell r="A1697" t="str">
            <v>Podagrica fuscipes</v>
          </cell>
          <cell r="B1697" t="str">
            <v>Leaf beetles and allies</v>
          </cell>
          <cell r="C1697" t="str">
            <v>Coleoptera</v>
          </cell>
          <cell r="D1697" t="str">
            <v>Podagrica fuscipes</v>
          </cell>
          <cell r="E1697" t="str">
            <v>LC</v>
          </cell>
          <cell r="F1697" t="str">
            <v>Hubble, 2014</v>
          </cell>
          <cell r="G1697" t="str">
            <v>NHMSYS0020153144</v>
          </cell>
          <cell r="H1697" t="str">
            <v>Podagrica fuscipes</v>
          </cell>
        </row>
        <row r="1698">
          <cell r="A1698" t="str">
            <v>Prasocuris junci</v>
          </cell>
          <cell r="B1698" t="str">
            <v>Leaf beetles and allies</v>
          </cell>
          <cell r="C1698" t="str">
            <v>Coleoptera</v>
          </cell>
          <cell r="D1698" t="str">
            <v>Prasocuris junci</v>
          </cell>
          <cell r="E1698" t="str">
            <v>LC</v>
          </cell>
          <cell r="F1698" t="str">
            <v>Hubble, 2014</v>
          </cell>
          <cell r="G1698" t="str">
            <v>NBNSYS0000011175</v>
          </cell>
          <cell r="H1698" t="str">
            <v>Prasocuris junci</v>
          </cell>
        </row>
        <row r="1699">
          <cell r="A1699" t="str">
            <v>Prasocuris phellandrii</v>
          </cell>
          <cell r="B1699" t="str">
            <v>Leaf beetles and allies</v>
          </cell>
          <cell r="C1699" t="str">
            <v>Coleoptera</v>
          </cell>
          <cell r="D1699" t="str">
            <v>Prasocuris phellandrii</v>
          </cell>
          <cell r="E1699" t="str">
            <v>LC</v>
          </cell>
          <cell r="F1699" t="str">
            <v>Hubble, 2014</v>
          </cell>
          <cell r="G1699" t="str">
            <v>NBNSYS0000011176</v>
          </cell>
          <cell r="H1699" t="str">
            <v>Prasocuris phellandrii</v>
          </cell>
        </row>
        <row r="1700">
          <cell r="A1700" t="str">
            <v>Psylliodes affinis</v>
          </cell>
          <cell r="B1700" t="str">
            <v>Leaf beetles and allies</v>
          </cell>
          <cell r="C1700" t="str">
            <v>Coleoptera</v>
          </cell>
          <cell r="D1700" t="str">
            <v>Psylliodes affinis</v>
          </cell>
          <cell r="E1700" t="str">
            <v>LC</v>
          </cell>
          <cell r="F1700" t="str">
            <v>Hubble, 2014</v>
          </cell>
          <cell r="G1700" t="str">
            <v>NBNSYS0000011318</v>
          </cell>
          <cell r="H1700" t="str">
            <v>Psylliodes affinis</v>
          </cell>
        </row>
        <row r="1701">
          <cell r="A1701" t="str">
            <v>Psylliodes attenuata</v>
          </cell>
          <cell r="B1701" t="str">
            <v>Leaf beetles and allies</v>
          </cell>
          <cell r="C1701" t="str">
            <v>Coleoptera</v>
          </cell>
          <cell r="D1701" t="str">
            <v>Psylliodes attenuata</v>
          </cell>
          <cell r="E1701" t="str">
            <v>EN</v>
          </cell>
          <cell r="F1701" t="str">
            <v>Hubble, 2014</v>
          </cell>
          <cell r="G1701" t="str">
            <v>NHMSYS0020153233</v>
          </cell>
          <cell r="H1701" t="str">
            <v>Psylliodes attenuata</v>
          </cell>
        </row>
        <row r="1702">
          <cell r="A1702" t="str">
            <v>Psylliodes chalcomera</v>
          </cell>
          <cell r="B1702" t="str">
            <v>Leaf beetles and allies</v>
          </cell>
          <cell r="C1702" t="str">
            <v>Coleoptera</v>
          </cell>
          <cell r="D1702" t="str">
            <v>Psylliodes chalcomera</v>
          </cell>
          <cell r="E1702" t="str">
            <v>LC</v>
          </cell>
          <cell r="F1702" t="str">
            <v>Hubble, 2014</v>
          </cell>
          <cell r="G1702" t="str">
            <v>NBNSYS0000011320</v>
          </cell>
          <cell r="H1702" t="str">
            <v>Psylliodes chalcomera</v>
          </cell>
        </row>
        <row r="1703">
          <cell r="A1703" t="str">
            <v>Psylliodes chrysocephala</v>
          </cell>
          <cell r="B1703" t="str">
            <v>Leaf beetles and allies</v>
          </cell>
          <cell r="C1703" t="str">
            <v>Coleoptera</v>
          </cell>
          <cell r="D1703" t="str">
            <v>Psylliodes chrysocephala</v>
          </cell>
          <cell r="E1703" t="str">
            <v>LC</v>
          </cell>
          <cell r="F1703" t="str">
            <v>Hubble, 2014</v>
          </cell>
          <cell r="G1703" t="str">
            <v>NBNSYS0000011321</v>
          </cell>
          <cell r="H1703" t="str">
            <v>Psylliodes chrysocephala</v>
          </cell>
        </row>
        <row r="1704">
          <cell r="A1704" t="str">
            <v>Psylliodes cuprea</v>
          </cell>
          <cell r="B1704" t="str">
            <v>Leaf beetles and allies</v>
          </cell>
          <cell r="C1704" t="str">
            <v>Coleoptera</v>
          </cell>
          <cell r="D1704" t="str">
            <v>Psylliodes cuprea</v>
          </cell>
          <cell r="E1704" t="str">
            <v>LC</v>
          </cell>
          <cell r="F1704" t="str">
            <v>Hubble, 2014</v>
          </cell>
          <cell r="G1704" t="str">
            <v>NHMSYS0020153235</v>
          </cell>
          <cell r="H1704" t="str">
            <v>Psylliodes cuprea</v>
          </cell>
        </row>
        <row r="1705">
          <cell r="A1705" t="str">
            <v>Psylliodes dulcamarae</v>
          </cell>
          <cell r="B1705" t="str">
            <v>Leaf beetles and allies</v>
          </cell>
          <cell r="C1705" t="str">
            <v>Coleoptera</v>
          </cell>
          <cell r="D1705" t="str">
            <v>Psylliodes dulcamarae</v>
          </cell>
          <cell r="E1705" t="str">
            <v>LC</v>
          </cell>
          <cell r="F1705" t="str">
            <v>Hubble, 2014</v>
          </cell>
          <cell r="G1705" t="str">
            <v>NHMSYS0020153237</v>
          </cell>
          <cell r="H1705" t="str">
            <v>Psylliodes dulcamarae</v>
          </cell>
        </row>
        <row r="1706">
          <cell r="A1706" t="str">
            <v>Psylliodes hyoscyami</v>
          </cell>
          <cell r="B1706" t="str">
            <v>Leaf beetles and allies</v>
          </cell>
          <cell r="C1706" t="str">
            <v>Coleoptera</v>
          </cell>
          <cell r="D1706" t="str">
            <v>Psylliodes hyoscyami</v>
          </cell>
          <cell r="E1706" t="str">
            <v>CR(PE)</v>
          </cell>
          <cell r="F1706" t="str">
            <v>Hubble, 2014</v>
          </cell>
          <cell r="G1706" t="str">
            <v>NBNSYS0000024972</v>
          </cell>
          <cell r="H1706" t="str">
            <v>Psylliodes hyoscyami</v>
          </cell>
        </row>
        <row r="1707">
          <cell r="A1707" t="str">
            <v>Psylliodes laticollis</v>
          </cell>
          <cell r="B1707" t="str">
            <v>Leaf beetles and allies</v>
          </cell>
          <cell r="C1707" t="str">
            <v>Coleoptera</v>
          </cell>
          <cell r="D1707" t="str">
            <v>Psylliodes laticollis</v>
          </cell>
          <cell r="E1707" t="str">
            <v>LC</v>
          </cell>
          <cell r="F1707" t="str">
            <v>Hubble, 2014</v>
          </cell>
          <cell r="G1707" t="str">
            <v>NHMSYS0020153240</v>
          </cell>
          <cell r="H1707" t="str">
            <v>Psylliodes laticollis</v>
          </cell>
        </row>
        <row r="1708">
          <cell r="A1708" t="str">
            <v>Psylliodes luridipennis</v>
          </cell>
          <cell r="B1708" t="str">
            <v>Leaf beetles and allies</v>
          </cell>
          <cell r="C1708" t="str">
            <v>Coleoptera</v>
          </cell>
          <cell r="D1708" t="str">
            <v>Psylliodes luridipennis</v>
          </cell>
          <cell r="E1708" t="str">
            <v>CR</v>
          </cell>
          <cell r="F1708" t="str">
            <v>Hubble, 2014</v>
          </cell>
          <cell r="G1708" t="str">
            <v>NBNSYS0000011324</v>
          </cell>
          <cell r="H1708" t="str">
            <v>Psylliodes luridipennis</v>
          </cell>
        </row>
        <row r="1709">
          <cell r="A1709" t="str">
            <v>Psylliodes luteola</v>
          </cell>
          <cell r="B1709" t="str">
            <v>Leaf beetles and allies</v>
          </cell>
          <cell r="C1709" t="str">
            <v>Coleoptera</v>
          </cell>
          <cell r="D1709" t="str">
            <v>Psylliodes luteola</v>
          </cell>
          <cell r="E1709" t="str">
            <v>LC</v>
          </cell>
          <cell r="F1709" t="str">
            <v>Hubble, 2014</v>
          </cell>
          <cell r="G1709" t="str">
            <v>NHMSYS0020153242</v>
          </cell>
          <cell r="H1709" t="str">
            <v>Psylliodes luteola</v>
          </cell>
        </row>
        <row r="1710">
          <cell r="A1710" t="str">
            <v>Psylliodes marcida</v>
          </cell>
          <cell r="B1710" t="str">
            <v>Leaf beetles and allies</v>
          </cell>
          <cell r="C1710" t="str">
            <v>Coleoptera</v>
          </cell>
          <cell r="D1710" t="str">
            <v>Psylliodes marcida</v>
          </cell>
          <cell r="E1710" t="str">
            <v>LC</v>
          </cell>
          <cell r="F1710" t="str">
            <v>Hubble, 2014</v>
          </cell>
          <cell r="G1710" t="str">
            <v>NBNSYS0000011326</v>
          </cell>
          <cell r="H1710" t="str">
            <v>Psylliodes marcida</v>
          </cell>
        </row>
        <row r="1711">
          <cell r="A1711" t="str">
            <v>Psylliodes napi</v>
          </cell>
          <cell r="B1711" t="str">
            <v>Leaf beetles and allies</v>
          </cell>
          <cell r="C1711" t="str">
            <v>Coleoptera</v>
          </cell>
          <cell r="D1711" t="str">
            <v>Psylliodes napi</v>
          </cell>
          <cell r="E1711" t="str">
            <v>LC</v>
          </cell>
          <cell r="F1711" t="str">
            <v>Hubble, 2014</v>
          </cell>
          <cell r="G1711" t="str">
            <v>NHMSYS0020153243</v>
          </cell>
          <cell r="H1711" t="str">
            <v>Psylliodes napi</v>
          </cell>
        </row>
        <row r="1712">
          <cell r="A1712" t="str">
            <v>Psylliodes picina</v>
          </cell>
          <cell r="B1712" t="str">
            <v>Leaf beetles and allies</v>
          </cell>
          <cell r="C1712" t="str">
            <v>Coleoptera</v>
          </cell>
          <cell r="D1712" t="str">
            <v>Psylliodes picina</v>
          </cell>
          <cell r="E1712" t="str">
            <v>LC</v>
          </cell>
          <cell r="F1712" t="str">
            <v>Hubble, 2014</v>
          </cell>
          <cell r="G1712" t="str">
            <v>NBNSYS0000011328</v>
          </cell>
          <cell r="H1712" t="str">
            <v>Psylliodes picina</v>
          </cell>
        </row>
        <row r="1713">
          <cell r="A1713" t="str">
            <v>Psylliodes sophiae</v>
          </cell>
          <cell r="B1713" t="str">
            <v>Leaf beetles and allies</v>
          </cell>
          <cell r="C1713" t="str">
            <v>Coleoptera</v>
          </cell>
          <cell r="D1713" t="str">
            <v>Psylliodes sophiae</v>
          </cell>
          <cell r="E1713" t="str">
            <v>EN</v>
          </cell>
          <cell r="F1713" t="str">
            <v>Hubble, 2014</v>
          </cell>
          <cell r="G1713" t="str">
            <v>NHMSYS0021366974</v>
          </cell>
          <cell r="H1713" t="str">
            <v>Psylliodes sophiae</v>
          </cell>
        </row>
        <row r="1714">
          <cell r="A1714" t="str">
            <v>Pyrrhalta viburni</v>
          </cell>
          <cell r="B1714" t="str">
            <v>Leaf beetles and allies</v>
          </cell>
          <cell r="C1714" t="str">
            <v>Coleoptera</v>
          </cell>
          <cell r="D1714" t="str">
            <v>Pyrrhalta viburni</v>
          </cell>
          <cell r="E1714" t="str">
            <v>LC</v>
          </cell>
          <cell r="F1714" t="str">
            <v>Hubble, 2014</v>
          </cell>
          <cell r="G1714" t="str">
            <v>NBNSYS0000011196</v>
          </cell>
          <cell r="H1714" t="str">
            <v>Pyrrhalta viburni</v>
          </cell>
        </row>
        <row r="1715">
          <cell r="A1715" t="str">
            <v>Sermylassa halensis</v>
          </cell>
          <cell r="B1715" t="str">
            <v>Leaf beetles and allies</v>
          </cell>
          <cell r="C1715" t="str">
            <v>Coleoptera</v>
          </cell>
          <cell r="D1715" t="str">
            <v>Sermylassa halensis</v>
          </cell>
          <cell r="E1715" t="str">
            <v>LC</v>
          </cell>
          <cell r="F1715" t="str">
            <v>Hubble, 2014</v>
          </cell>
          <cell r="G1715" t="str">
            <v>NBNSYS0000011207</v>
          </cell>
          <cell r="H1715" t="str">
            <v>Sermylassa halensis</v>
          </cell>
        </row>
        <row r="1716">
          <cell r="A1716" t="str">
            <v>Smaragdina affinis</v>
          </cell>
          <cell r="B1716" t="str">
            <v>Leaf beetles and allies</v>
          </cell>
          <cell r="C1716" t="str">
            <v>Coleoptera</v>
          </cell>
          <cell r="D1716" t="str">
            <v>Smaragdina affinis</v>
          </cell>
          <cell r="E1716" t="str">
            <v>CR</v>
          </cell>
          <cell r="F1716" t="str">
            <v>Hubble, 2014</v>
          </cell>
          <cell r="G1716" t="str">
            <v>NHMSYS0001744248</v>
          </cell>
          <cell r="H1716" t="str">
            <v>Smaragdina affinis</v>
          </cell>
        </row>
        <row r="1717">
          <cell r="A1717" t="str">
            <v>Sphaeroderma rubidum</v>
          </cell>
          <cell r="B1717" t="str">
            <v>Leaf beetles and allies</v>
          </cell>
          <cell r="C1717" t="str">
            <v>Coleoptera</v>
          </cell>
          <cell r="D1717" t="str">
            <v>Sphaeroderma rubidum</v>
          </cell>
          <cell r="E1717" t="str">
            <v>LC</v>
          </cell>
          <cell r="F1717" t="str">
            <v>Hubble, 2014</v>
          </cell>
          <cell r="G1717" t="str">
            <v>NHMSYS0020153484</v>
          </cell>
          <cell r="H1717" t="str">
            <v>Sphaeroderma rubidum</v>
          </cell>
        </row>
        <row r="1718">
          <cell r="A1718" t="str">
            <v>Sphaeroderma testaceum</v>
          </cell>
          <cell r="B1718" t="str">
            <v>Leaf beetles and allies</v>
          </cell>
          <cell r="C1718" t="str">
            <v>Coleoptera</v>
          </cell>
          <cell r="D1718" t="str">
            <v>Sphaeroderma testaceum</v>
          </cell>
          <cell r="E1718" t="str">
            <v>LC</v>
          </cell>
          <cell r="F1718" t="str">
            <v>Hubble, 2014</v>
          </cell>
          <cell r="G1718" t="str">
            <v>NHMSYS0020153486</v>
          </cell>
          <cell r="H1718" t="str">
            <v>Sphaeroderma testaceum</v>
          </cell>
        </row>
        <row r="1719">
          <cell r="A1719" t="str">
            <v>Timarcha goettingensis</v>
          </cell>
          <cell r="B1719" t="str">
            <v>Leaf beetles and allies</v>
          </cell>
          <cell r="C1719" t="str">
            <v>Coleoptera</v>
          </cell>
          <cell r="D1719" t="str">
            <v>Timarcha goettingensis</v>
          </cell>
          <cell r="E1719" t="str">
            <v>LC</v>
          </cell>
          <cell r="F1719" t="str">
            <v>Hubble, 2014</v>
          </cell>
          <cell r="G1719" t="str">
            <v>NHMSYS0020109274</v>
          </cell>
          <cell r="H1719" t="str">
            <v>Timarcha goettingensis</v>
          </cell>
        </row>
        <row r="1720">
          <cell r="A1720" t="str">
            <v>Timarcha tenebricosa</v>
          </cell>
          <cell r="B1720" t="str">
            <v>Leaf beetles and allies</v>
          </cell>
          <cell r="C1720" t="str">
            <v>Coleoptera</v>
          </cell>
          <cell r="D1720" t="str">
            <v>Timarcha tenebricosa</v>
          </cell>
          <cell r="E1720" t="str">
            <v>LC</v>
          </cell>
          <cell r="F1720" t="str">
            <v>Hubble, 2014</v>
          </cell>
          <cell r="G1720" t="str">
            <v>NHMSYS0020153626</v>
          </cell>
          <cell r="H1720" t="str">
            <v>Timarcha tenebricosa</v>
          </cell>
        </row>
        <row r="1721">
          <cell r="A1721" t="str">
            <v>Zeugophora flavicollis</v>
          </cell>
          <cell r="B1721" t="str">
            <v>Leaf beetles and allies</v>
          </cell>
          <cell r="C1721" t="str">
            <v>Coleoptera</v>
          </cell>
          <cell r="D1721" t="str">
            <v>Zeugophora flavicollis</v>
          </cell>
          <cell r="E1721" t="str">
            <v>EN</v>
          </cell>
          <cell r="F1721" t="str">
            <v>Hubble, 2014</v>
          </cell>
          <cell r="G1721" t="str">
            <v>NBNSYS0000011106</v>
          </cell>
          <cell r="H1721" t="str">
            <v>Zeugophora flavicollis</v>
          </cell>
        </row>
        <row r="1722">
          <cell r="A1722" t="str">
            <v>Zeugophora subspinosa</v>
          </cell>
          <cell r="B1722" t="str">
            <v>Leaf beetles and allies</v>
          </cell>
          <cell r="C1722" t="str">
            <v>Coleoptera</v>
          </cell>
          <cell r="D1722" t="str">
            <v>Zeugophora subspinosa</v>
          </cell>
          <cell r="E1722" t="str">
            <v>LC</v>
          </cell>
          <cell r="F1722" t="str">
            <v>Hubble, 2014</v>
          </cell>
          <cell r="G1722" t="str">
            <v>NHMSYS0020153747</v>
          </cell>
          <cell r="H1722" t="str">
            <v>Zeugophora subspinosa</v>
          </cell>
        </row>
        <row r="1723">
          <cell r="A1723" t="str">
            <v>Abrothallus bertianus</v>
          </cell>
          <cell r="B1723" t="str">
            <v>Lichens</v>
          </cell>
          <cell r="C1723" t="str">
            <v>Mycophycophyta</v>
          </cell>
          <cell r="D1723" t="str">
            <v>Abrothallus bertianus</v>
          </cell>
          <cell r="E1723" t="str">
            <v>LC</v>
          </cell>
          <cell r="F1723" t="str">
            <v>Woods &amp; Coppins, 2012</v>
          </cell>
          <cell r="G1723" t="str">
            <v>NBNSYS0000015870</v>
          </cell>
          <cell r="H1723" t="str">
            <v>Abrothallus bertianus</v>
          </cell>
        </row>
        <row r="1724">
          <cell r="A1724" t="str">
            <v>Abrothallus caerulescens</v>
          </cell>
          <cell r="B1724" t="str">
            <v>Lichens</v>
          </cell>
          <cell r="C1724" t="str">
            <v>Mycophycophyta</v>
          </cell>
          <cell r="D1724" t="str">
            <v>Abrothallus caerulescens</v>
          </cell>
          <cell r="E1724" t="str">
            <v>LC</v>
          </cell>
          <cell r="F1724" t="str">
            <v>Woods &amp; Coppins, 2012</v>
          </cell>
          <cell r="G1724" t="str">
            <v>NHMSYS0001472729</v>
          </cell>
          <cell r="H1724" t="str">
            <v>Abrothallus caerulescens</v>
          </cell>
        </row>
        <row r="1725">
          <cell r="A1725" t="str">
            <v>Abrothallus cladoniae</v>
          </cell>
          <cell r="B1725" t="str">
            <v>Lichens</v>
          </cell>
          <cell r="C1725" t="str">
            <v>Mycophycophyta</v>
          </cell>
          <cell r="D1725" t="str">
            <v>Abrothallus cladoniae</v>
          </cell>
          <cell r="E1725" t="str">
            <v>LC</v>
          </cell>
          <cell r="F1725" t="str">
            <v>Woods &amp; Coppins, 2012</v>
          </cell>
          <cell r="G1725" t="str">
            <v>NHMSYS0000361125</v>
          </cell>
          <cell r="H1725" t="str">
            <v>Abrothallus cladoniae</v>
          </cell>
        </row>
        <row r="1726">
          <cell r="A1726" t="str">
            <v>Abrothallus microspermus</v>
          </cell>
          <cell r="B1726" t="str">
            <v>Lichens</v>
          </cell>
          <cell r="C1726" t="str">
            <v>Mycophycophyta</v>
          </cell>
          <cell r="D1726" t="str">
            <v>Abrothallus microspermus</v>
          </cell>
          <cell r="E1726" t="str">
            <v>LC</v>
          </cell>
          <cell r="F1726" t="str">
            <v>Woods &amp; Coppins, 2012</v>
          </cell>
          <cell r="G1726" t="str">
            <v>NBNSYS0000015872</v>
          </cell>
          <cell r="H1726" t="str">
            <v>Abrothallus microspermus</v>
          </cell>
        </row>
        <row r="1727">
          <cell r="A1727" t="str">
            <v>Abrothallus parmeliarum</v>
          </cell>
          <cell r="B1727" t="str">
            <v>Lichens</v>
          </cell>
          <cell r="C1727" t="str">
            <v>Mycophycophyta</v>
          </cell>
          <cell r="D1727" t="str">
            <v>Abrothallus parmeliarum</v>
          </cell>
          <cell r="E1727" t="str">
            <v>LC</v>
          </cell>
          <cell r="F1727" t="str">
            <v>Woods &amp; Coppins, 2012</v>
          </cell>
          <cell r="G1727" t="str">
            <v>NHMSYS0001472731</v>
          </cell>
          <cell r="H1727" t="str">
            <v>Abrothallus parmeliarum</v>
          </cell>
        </row>
        <row r="1728">
          <cell r="A1728" t="str">
            <v>Abrothallus usneae</v>
          </cell>
          <cell r="B1728" t="str">
            <v>Lichens</v>
          </cell>
          <cell r="C1728" t="str">
            <v>Mycophycophyta</v>
          </cell>
          <cell r="D1728" t="str">
            <v>Abrothallus usneae</v>
          </cell>
          <cell r="E1728" t="str">
            <v>LC</v>
          </cell>
          <cell r="F1728" t="str">
            <v>Woods &amp; Coppins, 2012</v>
          </cell>
          <cell r="G1728" t="str">
            <v>NBNSYS0000015875</v>
          </cell>
          <cell r="H1728" t="str">
            <v>Abrothallus usneae</v>
          </cell>
        </row>
        <row r="1729">
          <cell r="A1729" t="str">
            <v>Abrothallus welwitschii</v>
          </cell>
          <cell r="B1729" t="str">
            <v>Lichens</v>
          </cell>
          <cell r="C1729" t="str">
            <v>Mycophycophyta</v>
          </cell>
          <cell r="D1729" t="str">
            <v>Abrothallus welwitschii</v>
          </cell>
          <cell r="E1729" t="str">
            <v>LC</v>
          </cell>
          <cell r="F1729" t="str">
            <v>Woods &amp; Coppins, 2012</v>
          </cell>
          <cell r="G1729" t="str">
            <v>NHMSYS0000361132</v>
          </cell>
          <cell r="H1729" t="str">
            <v>Abrothallus welwitschii</v>
          </cell>
        </row>
        <row r="1730">
          <cell r="A1730" t="str">
            <v>Absconditella annexa</v>
          </cell>
          <cell r="B1730" t="str">
            <v>Lichens</v>
          </cell>
          <cell r="C1730" t="str">
            <v>Mycophycophyta</v>
          </cell>
          <cell r="D1730" t="str">
            <v>Absconditella annexa</v>
          </cell>
          <cell r="E1730" t="str">
            <v>LC</v>
          </cell>
          <cell r="F1730" t="str">
            <v>Woods &amp; Coppins, 2012</v>
          </cell>
          <cell r="G1730" t="str">
            <v>NHMSYS0001472735</v>
          </cell>
          <cell r="H1730" t="str">
            <v>Absconditella annexa</v>
          </cell>
        </row>
        <row r="1731">
          <cell r="A1731" t="str">
            <v>Absconditella celata</v>
          </cell>
          <cell r="B1731" t="str">
            <v>Lichens</v>
          </cell>
          <cell r="C1731" t="str">
            <v>Mycophycophyta</v>
          </cell>
          <cell r="D1731" t="str">
            <v>Absconditella celata</v>
          </cell>
          <cell r="E1731" t="str">
            <v>LC</v>
          </cell>
          <cell r="F1731" t="str">
            <v>Woods &amp; Coppins, 2012</v>
          </cell>
          <cell r="G1731" t="str">
            <v>NHMSYS0001472736</v>
          </cell>
          <cell r="H1731" t="str">
            <v>Absconditella celata</v>
          </cell>
        </row>
        <row r="1732">
          <cell r="A1732" t="str">
            <v>Absconditella delutula</v>
          </cell>
          <cell r="B1732" t="str">
            <v>Lichens</v>
          </cell>
          <cell r="C1732" t="str">
            <v>Mycophycophyta</v>
          </cell>
          <cell r="D1732" t="str">
            <v>Absconditella delutula</v>
          </cell>
          <cell r="E1732" t="str">
            <v>LC</v>
          </cell>
          <cell r="F1732" t="str">
            <v>Woods &amp; Coppins, 2012</v>
          </cell>
          <cell r="G1732" t="str">
            <v>NHMSYS0001472737</v>
          </cell>
          <cell r="H1732" t="str">
            <v>Absconditella delutula</v>
          </cell>
        </row>
        <row r="1733">
          <cell r="A1733" t="str">
            <v>Absconditella lignicola</v>
          </cell>
          <cell r="B1733" t="str">
            <v>Lichens</v>
          </cell>
          <cell r="C1733" t="str">
            <v>Mycophycophyta</v>
          </cell>
          <cell r="D1733" t="str">
            <v>Absconditella lignicola</v>
          </cell>
          <cell r="E1733" t="str">
            <v>LC</v>
          </cell>
          <cell r="F1733" t="str">
            <v>Woods &amp; Coppins, 2012</v>
          </cell>
          <cell r="G1733" t="str">
            <v>NHMSYS0001472738</v>
          </cell>
          <cell r="H1733" t="str">
            <v>Absconditella lignicola</v>
          </cell>
        </row>
        <row r="1734">
          <cell r="A1734" t="str">
            <v>Absconditella pauxilla</v>
          </cell>
          <cell r="B1734" t="str">
            <v>Lichens</v>
          </cell>
          <cell r="C1734" t="str">
            <v>Mycophycophyta</v>
          </cell>
          <cell r="D1734" t="str">
            <v>Absconditella pauxilla</v>
          </cell>
          <cell r="E1734" t="str">
            <v>LC</v>
          </cell>
          <cell r="F1734" t="str">
            <v>Woods &amp; Coppins, 2012</v>
          </cell>
          <cell r="G1734" t="str">
            <v>NHMSYS0001472740</v>
          </cell>
          <cell r="H1734" t="str">
            <v>Absconditella pauxilla</v>
          </cell>
        </row>
        <row r="1735">
          <cell r="A1735" t="str">
            <v>Absconditella sphagnorum</v>
          </cell>
          <cell r="B1735" t="str">
            <v>Lichens</v>
          </cell>
          <cell r="C1735" t="str">
            <v>Mycophycophyta</v>
          </cell>
          <cell r="D1735" t="str">
            <v>Absconditella sphagnorum</v>
          </cell>
          <cell r="E1735" t="str">
            <v>NT</v>
          </cell>
          <cell r="F1735" t="str">
            <v>Woods &amp; Coppins, 2012</v>
          </cell>
          <cell r="G1735" t="str">
            <v>NHMSYS0001472741</v>
          </cell>
          <cell r="H1735" t="str">
            <v>Absconditella sphagnorum</v>
          </cell>
        </row>
        <row r="1736">
          <cell r="A1736" t="str">
            <v>Absconditella trivialis</v>
          </cell>
          <cell r="B1736" t="str">
            <v>Lichens</v>
          </cell>
          <cell r="C1736" t="str">
            <v>Mycophycophyta</v>
          </cell>
          <cell r="D1736" t="str">
            <v>Absconditella trivialis</v>
          </cell>
          <cell r="E1736" t="str">
            <v>LC</v>
          </cell>
          <cell r="F1736" t="str">
            <v>Woods &amp; Coppins, 2012</v>
          </cell>
          <cell r="G1736" t="str">
            <v>NHMSYS0001472742</v>
          </cell>
          <cell r="H1736" t="str">
            <v>Absconditella trivialis</v>
          </cell>
        </row>
        <row r="1737">
          <cell r="A1737" t="str">
            <v>Acarospora cervina</v>
          </cell>
          <cell r="B1737" t="str">
            <v>Lichens</v>
          </cell>
          <cell r="C1737" t="str">
            <v>Mycophycophyta</v>
          </cell>
          <cell r="D1737" t="str">
            <v>Acarospora cervina</v>
          </cell>
          <cell r="E1737" t="str">
            <v>LC</v>
          </cell>
          <cell r="F1737" t="str">
            <v>Woods &amp; Coppins, 2012</v>
          </cell>
          <cell r="G1737" t="str">
            <v>NHMSYS0001472772</v>
          </cell>
          <cell r="H1737" t="str">
            <v>Acarospora cervina</v>
          </cell>
        </row>
        <row r="1738">
          <cell r="A1738" t="str">
            <v>Acarospora fuscata</v>
          </cell>
          <cell r="B1738" t="str">
            <v>Lichens</v>
          </cell>
          <cell r="C1738" t="str">
            <v>Mycophycophyta</v>
          </cell>
          <cell r="D1738" t="str">
            <v>Acarospora fuscata</v>
          </cell>
          <cell r="E1738" t="str">
            <v>LC</v>
          </cell>
          <cell r="F1738" t="str">
            <v>Woods &amp; Coppins, 2012</v>
          </cell>
          <cell r="G1738" t="str">
            <v>BMSSYS0000042064</v>
          </cell>
          <cell r="H1738" t="str">
            <v>Acarospora fuscata</v>
          </cell>
        </row>
        <row r="1739">
          <cell r="A1739" t="str">
            <v>Acarospora glaucocarpa</v>
          </cell>
          <cell r="B1739" t="str">
            <v>Lichens</v>
          </cell>
          <cell r="C1739" t="str">
            <v>Mycophycophyta</v>
          </cell>
          <cell r="D1739" t="str">
            <v>Acarospora glaucocarpa</v>
          </cell>
          <cell r="E1739" t="str">
            <v>LC</v>
          </cell>
          <cell r="F1739" t="str">
            <v>Woods &amp; Coppins, 2012</v>
          </cell>
          <cell r="G1739" t="str">
            <v>NBNSYS0000018151</v>
          </cell>
          <cell r="H1739" t="str">
            <v>Acarospora glaucocarpa</v>
          </cell>
        </row>
        <row r="1740">
          <cell r="A1740" t="str">
            <v>Acarospora impressula</v>
          </cell>
          <cell r="B1740" t="str">
            <v>Lichens</v>
          </cell>
          <cell r="C1740" t="str">
            <v>Mycophycophyta</v>
          </cell>
          <cell r="D1740" t="str">
            <v>Acarospora impressula</v>
          </cell>
          <cell r="E1740" t="str">
            <v>LC</v>
          </cell>
          <cell r="F1740" t="str">
            <v>Woods &amp; Coppins, 2012</v>
          </cell>
          <cell r="G1740" t="str">
            <v>NBNSYS0000018154</v>
          </cell>
          <cell r="H1740" t="str">
            <v>Acarospora impressula</v>
          </cell>
        </row>
        <row r="1741">
          <cell r="A1741" t="str">
            <v>Acarospora macrospora subsp. macrospora</v>
          </cell>
          <cell r="B1741" t="str">
            <v>Lichens</v>
          </cell>
          <cell r="C1741" t="str">
            <v>Mycophycophyta</v>
          </cell>
          <cell r="D1741" t="str">
            <v>Acarospora macrospora (subsp.) macrospora</v>
          </cell>
          <cell r="E1741" t="str">
            <v>NT</v>
          </cell>
          <cell r="F1741" t="str">
            <v>Woods &amp; Coppins, 2012</v>
          </cell>
          <cell r="G1741" t="str">
            <v>NHMSYS0001472781</v>
          </cell>
          <cell r="H1741" t="str">
            <v>Acarospora macrospora subsp. macrospora</v>
          </cell>
        </row>
        <row r="1742">
          <cell r="A1742" t="str">
            <v>Acarospora moenium</v>
          </cell>
          <cell r="B1742" t="str">
            <v>Lichens</v>
          </cell>
          <cell r="C1742" t="str">
            <v>Mycophycophyta</v>
          </cell>
          <cell r="D1742" t="str">
            <v>Acarospora moenium</v>
          </cell>
          <cell r="E1742" t="str">
            <v>LC</v>
          </cell>
          <cell r="F1742" t="str">
            <v>Woods &amp; Coppins, 2012</v>
          </cell>
          <cell r="G1742" t="str">
            <v>NHMSYS0020989682</v>
          </cell>
          <cell r="H1742" t="str">
            <v>Acarospora moenium</v>
          </cell>
        </row>
        <row r="1743">
          <cell r="A1743" t="str">
            <v>Acarospora nitrophila</v>
          </cell>
          <cell r="B1743" t="str">
            <v>Lichens</v>
          </cell>
          <cell r="C1743" t="str">
            <v>Mycophycophyta</v>
          </cell>
          <cell r="D1743" t="str">
            <v>Acarospora nitrophila</v>
          </cell>
          <cell r="E1743" t="str">
            <v>LC</v>
          </cell>
          <cell r="F1743" t="str">
            <v>Woods &amp; Coppins, 2012</v>
          </cell>
          <cell r="G1743" t="str">
            <v>NBNSYS0000018156</v>
          </cell>
          <cell r="H1743" t="str">
            <v>Acarospora nitrophila</v>
          </cell>
        </row>
        <row r="1744">
          <cell r="A1744" t="str">
            <v>Acarospora rufescens</v>
          </cell>
          <cell r="B1744" t="str">
            <v>Lichens</v>
          </cell>
          <cell r="C1744" t="str">
            <v>Mycophycophyta</v>
          </cell>
          <cell r="D1744" t="str">
            <v>Acarospora rufescens</v>
          </cell>
          <cell r="E1744" t="str">
            <v>LC</v>
          </cell>
          <cell r="F1744" t="str">
            <v>Woods &amp; Coppins, 2012</v>
          </cell>
          <cell r="G1744" t="str">
            <v>BMSSYS0000048308</v>
          </cell>
          <cell r="H1744" t="str">
            <v>Acarospora rufescens</v>
          </cell>
        </row>
        <row r="1745">
          <cell r="A1745" t="str">
            <v>Acarospora sinopica</v>
          </cell>
          <cell r="B1745" t="str">
            <v>Lichens</v>
          </cell>
          <cell r="C1745" t="str">
            <v>Mycophycophyta</v>
          </cell>
          <cell r="D1745" t="str">
            <v>Acarospora sinopica</v>
          </cell>
          <cell r="E1745" t="str">
            <v>LC</v>
          </cell>
          <cell r="F1745" t="str">
            <v>Woods &amp; Coppins, 2012</v>
          </cell>
          <cell r="G1745" t="str">
            <v>NHMSYS0001472793</v>
          </cell>
          <cell r="H1745" t="str">
            <v>Acarospora sinopica</v>
          </cell>
        </row>
        <row r="1746">
          <cell r="A1746" t="str">
            <v>Acarospora smaragdula</v>
          </cell>
          <cell r="B1746" t="str">
            <v>Lichens</v>
          </cell>
          <cell r="C1746" t="str">
            <v>Mycophycophyta</v>
          </cell>
          <cell r="D1746" t="str">
            <v>Acarospora smaragdula</v>
          </cell>
          <cell r="E1746" t="str">
            <v>LC</v>
          </cell>
          <cell r="F1746" t="str">
            <v>Woods &amp; Coppins, 2012</v>
          </cell>
          <cell r="G1746" t="str">
            <v>BMSSYS0000048310</v>
          </cell>
          <cell r="H1746" t="str">
            <v>Acarospora smaragdula</v>
          </cell>
        </row>
        <row r="1747">
          <cell r="A1747" t="str">
            <v>Acarospora subrufula</v>
          </cell>
          <cell r="B1747" t="str">
            <v>Lichens</v>
          </cell>
          <cell r="C1747" t="str">
            <v>Mycophycophyta</v>
          </cell>
          <cell r="D1747" t="str">
            <v>Acarospora subrufula</v>
          </cell>
          <cell r="E1747" t="str">
            <v>VU</v>
          </cell>
          <cell r="F1747" t="str">
            <v>Woods &amp; Coppins, 2012</v>
          </cell>
          <cell r="G1747" t="str">
            <v>NBNSYS0000018162</v>
          </cell>
          <cell r="H1747" t="str">
            <v>Acarospora subrufula</v>
          </cell>
        </row>
        <row r="1748">
          <cell r="A1748" t="str">
            <v>Acarospora umbilicata f. congredians</v>
          </cell>
          <cell r="B1748" t="str">
            <v>Lichens</v>
          </cell>
          <cell r="C1748" t="str">
            <v>Mycophycophyta</v>
          </cell>
          <cell r="D1748" t="str">
            <v>Acarospora umbilicata (f. congredians)</v>
          </cell>
          <cell r="E1748" t="str">
            <v>LC</v>
          </cell>
          <cell r="F1748" t="str">
            <v>Woods &amp; Coppins, 2012</v>
          </cell>
          <cell r="G1748" t="str">
            <v>BMSSYS0000000071</v>
          </cell>
          <cell r="H1748" t="str">
            <v>Acarospora umbilicata f. congredians</v>
          </cell>
        </row>
        <row r="1749">
          <cell r="A1749" t="str">
            <v>Acarospora veronensis</v>
          </cell>
          <cell r="B1749" t="str">
            <v>Lichens</v>
          </cell>
          <cell r="C1749" t="str">
            <v>Mycophycophyta</v>
          </cell>
          <cell r="D1749" t="str">
            <v>Acarospora veronensis</v>
          </cell>
          <cell r="E1749" t="str">
            <v>LC</v>
          </cell>
          <cell r="F1749" t="str">
            <v>Woods &amp; Coppins, 2012</v>
          </cell>
          <cell r="G1749" t="str">
            <v>NHMSYS0001472799</v>
          </cell>
          <cell r="H1749" t="str">
            <v>Acarospora veronensis</v>
          </cell>
        </row>
        <row r="1750">
          <cell r="A1750" t="str">
            <v>Acrocordia conoidea</v>
          </cell>
          <cell r="B1750" t="str">
            <v>Lichens</v>
          </cell>
          <cell r="C1750" t="str">
            <v>Mycophycophyta</v>
          </cell>
          <cell r="D1750" t="str">
            <v>Acrocordia conoidea</v>
          </cell>
          <cell r="E1750" t="str">
            <v>LC</v>
          </cell>
          <cell r="F1750" t="str">
            <v>Woods &amp; Coppins, 2012</v>
          </cell>
          <cell r="G1750" t="str">
            <v>NHMSYS0001472853</v>
          </cell>
          <cell r="H1750" t="str">
            <v>Acrocordia conoidea</v>
          </cell>
        </row>
        <row r="1751">
          <cell r="A1751" t="str">
            <v>Acrocordia gemmata</v>
          </cell>
          <cell r="B1751" t="str">
            <v>Lichens</v>
          </cell>
          <cell r="C1751" t="str">
            <v>Mycophycophyta</v>
          </cell>
          <cell r="D1751" t="str">
            <v>Acrocordia gemmata</v>
          </cell>
          <cell r="E1751" t="str">
            <v>LC</v>
          </cell>
          <cell r="F1751" t="str">
            <v>Woods &amp; Coppins, 2012</v>
          </cell>
          <cell r="G1751" t="str">
            <v>NHMSYS0001472854</v>
          </cell>
          <cell r="H1751" t="str">
            <v>Acrocordia gemmata</v>
          </cell>
        </row>
        <row r="1752">
          <cell r="A1752" t="str">
            <v>Acrocordia macrospora</v>
          </cell>
          <cell r="B1752" t="str">
            <v>Lichens</v>
          </cell>
          <cell r="C1752" t="str">
            <v>Mycophycophyta</v>
          </cell>
          <cell r="D1752" t="str">
            <v>Acrocordia macrospora</v>
          </cell>
          <cell r="E1752" t="str">
            <v>LC</v>
          </cell>
          <cell r="F1752" t="str">
            <v>Woods &amp; Coppins, 2012</v>
          </cell>
          <cell r="G1752" t="str">
            <v>NBNSYS0000019876</v>
          </cell>
          <cell r="H1752" t="str">
            <v>Acrocordia macrospora</v>
          </cell>
        </row>
        <row r="1753">
          <cell r="A1753" t="str">
            <v>Acrocordia salweyi</v>
          </cell>
          <cell r="B1753" t="str">
            <v>Lichens</v>
          </cell>
          <cell r="C1753" t="str">
            <v>Mycophycophyta</v>
          </cell>
          <cell r="D1753" t="str">
            <v>Acrocordia salweyi</v>
          </cell>
          <cell r="E1753" t="str">
            <v>LC</v>
          </cell>
          <cell r="F1753" t="str">
            <v>Woods &amp; Coppins, 2012</v>
          </cell>
          <cell r="G1753" t="str">
            <v>NBNSYS0000019877</v>
          </cell>
          <cell r="H1753" t="str">
            <v>Acrocordia salweyi</v>
          </cell>
        </row>
        <row r="1754">
          <cell r="A1754" t="str">
            <v>Agonimia allobata</v>
          </cell>
          <cell r="B1754" t="str">
            <v>Lichens</v>
          </cell>
          <cell r="C1754" t="str">
            <v>Mycophycophyta</v>
          </cell>
          <cell r="D1754" t="str">
            <v>Agonimia allobata</v>
          </cell>
          <cell r="E1754" t="str">
            <v>LC</v>
          </cell>
          <cell r="F1754" t="str">
            <v>Woods &amp; Coppins, 2012</v>
          </cell>
          <cell r="G1754" t="str">
            <v>NBNSYS0000020618</v>
          </cell>
          <cell r="H1754" t="str">
            <v>Agonimia allobata</v>
          </cell>
        </row>
        <row r="1755">
          <cell r="A1755" t="str">
            <v>Agonimia gelatinosa</v>
          </cell>
          <cell r="B1755" t="str">
            <v>Lichens</v>
          </cell>
          <cell r="C1755" t="str">
            <v>Mycophycophyta</v>
          </cell>
          <cell r="D1755" t="str">
            <v>Agonimia gelatinosa</v>
          </cell>
          <cell r="E1755" t="str">
            <v>LC</v>
          </cell>
          <cell r="F1755" t="str">
            <v>Woods &amp; Coppins, 2012</v>
          </cell>
          <cell r="G1755" t="str">
            <v>BMSSYS0000001190</v>
          </cell>
          <cell r="H1755" t="str">
            <v>Agonimia gelatinosa</v>
          </cell>
        </row>
        <row r="1756">
          <cell r="A1756" t="str">
            <v>Agonimia globulifera</v>
          </cell>
          <cell r="B1756" t="str">
            <v>Lichens</v>
          </cell>
          <cell r="C1756" t="str">
            <v>Mycophycophyta</v>
          </cell>
          <cell r="D1756" t="str">
            <v>Agonimia globulifera</v>
          </cell>
          <cell r="E1756" t="str">
            <v>LC</v>
          </cell>
          <cell r="F1756" t="str">
            <v>Woods &amp; Coppins, 2012</v>
          </cell>
          <cell r="G1756" t="str">
            <v>NHMSYS0001474230</v>
          </cell>
          <cell r="H1756" t="str">
            <v>Agonimia globulifera</v>
          </cell>
        </row>
        <row r="1757">
          <cell r="A1757" t="str">
            <v>Agonimia octospora</v>
          </cell>
          <cell r="B1757" t="str">
            <v>Lichens</v>
          </cell>
          <cell r="C1757" t="str">
            <v>Mycophycophyta</v>
          </cell>
          <cell r="D1757" t="str">
            <v>Agonimia octospora</v>
          </cell>
          <cell r="E1757" t="str">
            <v>NT</v>
          </cell>
          <cell r="F1757" t="str">
            <v>Woods &amp; Coppins, 2012</v>
          </cell>
          <cell r="G1757" t="str">
            <v>NBNSYS0000020586</v>
          </cell>
          <cell r="H1757" t="str">
            <v>Agonimia octospora</v>
          </cell>
        </row>
        <row r="1758">
          <cell r="A1758" t="str">
            <v>Agonimia tristicula</v>
          </cell>
          <cell r="B1758" t="str">
            <v>Lichens</v>
          </cell>
          <cell r="C1758" t="str">
            <v>Mycophycophyta</v>
          </cell>
          <cell r="D1758" t="str">
            <v>Agonimia tristicula</v>
          </cell>
          <cell r="E1758" t="str">
            <v>LC</v>
          </cell>
          <cell r="F1758" t="str">
            <v>Woods &amp; Coppins, 2012</v>
          </cell>
          <cell r="G1758" t="str">
            <v>NBNSYS0000020587</v>
          </cell>
          <cell r="H1758" t="str">
            <v>Agonimia tristicula</v>
          </cell>
        </row>
        <row r="1759">
          <cell r="A1759" t="str">
            <v>Agyrium rufum</v>
          </cell>
          <cell r="B1759" t="str">
            <v>Lichens</v>
          </cell>
          <cell r="C1759" t="str">
            <v>Mycophycophyta</v>
          </cell>
          <cell r="D1759" t="str">
            <v>Agyrium rufum</v>
          </cell>
          <cell r="E1759" t="str">
            <v>LC</v>
          </cell>
          <cell r="F1759" t="str">
            <v>Woods &amp; Coppins, 2012</v>
          </cell>
          <cell r="G1759" t="str">
            <v>NBNSYS0000018166</v>
          </cell>
          <cell r="H1759" t="str">
            <v>Agyrium rufum</v>
          </cell>
        </row>
        <row r="1760">
          <cell r="A1760" t="str">
            <v>Ainoa mooreana</v>
          </cell>
          <cell r="B1760" t="str">
            <v>Lichens</v>
          </cell>
          <cell r="C1760" t="str">
            <v>Mycophycophyta</v>
          </cell>
          <cell r="D1760" t="str">
            <v>Ainoa mooreana</v>
          </cell>
          <cell r="E1760" t="str">
            <v>LC</v>
          </cell>
          <cell r="F1760" t="str">
            <v>Woods &amp; Coppins, 2012</v>
          </cell>
          <cell r="G1760" t="str">
            <v>NHMSYS0001474269</v>
          </cell>
          <cell r="H1760" t="str">
            <v>Ainoa mooreana</v>
          </cell>
        </row>
        <row r="1761">
          <cell r="A1761" t="str">
            <v>Alectoria nigricans</v>
          </cell>
          <cell r="B1761" t="str">
            <v>Lichens</v>
          </cell>
          <cell r="C1761" t="str">
            <v>Mycophycophyta</v>
          </cell>
          <cell r="D1761" t="str">
            <v>Alectoria nigricans</v>
          </cell>
          <cell r="E1761" t="str">
            <v>LC</v>
          </cell>
          <cell r="F1761" t="str">
            <v>Woods &amp; Coppins, 2012</v>
          </cell>
          <cell r="G1761" t="str">
            <v>NBNSYS0000018167</v>
          </cell>
          <cell r="H1761" t="str">
            <v>Alectoria nigricans</v>
          </cell>
        </row>
        <row r="1762">
          <cell r="A1762" t="str">
            <v>Alectoria sarmentosa subsp. sarmentosa</v>
          </cell>
          <cell r="B1762" t="str">
            <v>Lichens</v>
          </cell>
          <cell r="C1762" t="str">
            <v>Mycophycophyta</v>
          </cell>
          <cell r="D1762" t="str">
            <v>Alectoria sarmentosa (subsp.) sarmentosa</v>
          </cell>
          <cell r="E1762" t="str">
            <v>NT</v>
          </cell>
          <cell r="F1762" t="str">
            <v>Woods &amp; Coppins, 2012</v>
          </cell>
          <cell r="G1762" t="str">
            <v>NHMSYS0001474319</v>
          </cell>
          <cell r="H1762" t="str">
            <v>Alectoria sarmentosa subsp. sarmentosa</v>
          </cell>
        </row>
        <row r="1763">
          <cell r="A1763" t="str">
            <v>Alectoria sarmentosa subsp. vexillifera</v>
          </cell>
          <cell r="B1763" t="str">
            <v>Lichens</v>
          </cell>
          <cell r="C1763" t="str">
            <v>Mycophycophyta</v>
          </cell>
          <cell r="D1763" t="str">
            <v>Alectoria sarmentosa (subsp.) vexillifera</v>
          </cell>
          <cell r="E1763" t="str">
            <v>LC</v>
          </cell>
          <cell r="F1763" t="str">
            <v>Woods &amp; Coppins, 2012</v>
          </cell>
          <cell r="G1763" t="str">
            <v>NBNSYS0000018170</v>
          </cell>
          <cell r="H1763" t="str">
            <v>Alectoria sarmentosa subsp. vexillifera</v>
          </cell>
        </row>
        <row r="1764">
          <cell r="A1764" t="str">
            <v>Allantoparmelia alpicola</v>
          </cell>
          <cell r="B1764" t="str">
            <v>Lichens</v>
          </cell>
          <cell r="C1764" t="str">
            <v>Mycophycophyta</v>
          </cell>
          <cell r="D1764" t="str">
            <v>Allantoparmelia alpicola</v>
          </cell>
          <cell r="E1764" t="str">
            <v>LC</v>
          </cell>
          <cell r="F1764" t="str">
            <v>Woods &amp; Coppins, 2012</v>
          </cell>
          <cell r="G1764" t="str">
            <v>NBNSYS0000018171</v>
          </cell>
          <cell r="H1764" t="str">
            <v>Allantoparmelia alpicola</v>
          </cell>
        </row>
        <row r="1765">
          <cell r="A1765" t="str">
            <v>Amandinea coniops</v>
          </cell>
          <cell r="B1765" t="str">
            <v>Lichens</v>
          </cell>
          <cell r="C1765" t="str">
            <v>Mycophycophyta</v>
          </cell>
          <cell r="D1765" t="str">
            <v>Amandinea coniops</v>
          </cell>
          <cell r="E1765" t="str">
            <v>LC</v>
          </cell>
          <cell r="F1765" t="str">
            <v>Woods &amp; Coppins, 2012</v>
          </cell>
          <cell r="G1765" t="str">
            <v>BMSSYS0000001355</v>
          </cell>
          <cell r="H1765" t="str">
            <v>Amandinea coniops</v>
          </cell>
        </row>
        <row r="1766">
          <cell r="A1766" t="str">
            <v>Amandinea lecideina</v>
          </cell>
          <cell r="B1766" t="str">
            <v>Lichens</v>
          </cell>
          <cell r="C1766" t="str">
            <v>Mycophycophyta</v>
          </cell>
          <cell r="D1766" t="str">
            <v>Amandinea lecideina</v>
          </cell>
          <cell r="E1766" t="str">
            <v>LC</v>
          </cell>
          <cell r="F1766" t="str">
            <v>Woods &amp; Coppins, 2012</v>
          </cell>
          <cell r="G1766" t="str">
            <v>NHMSYS0020989709</v>
          </cell>
          <cell r="H1766" t="str">
            <v>Amandinea lecideina</v>
          </cell>
        </row>
        <row r="1767">
          <cell r="A1767" t="str">
            <v>Amandinea punctata</v>
          </cell>
          <cell r="B1767" t="str">
            <v>Lichens</v>
          </cell>
          <cell r="C1767" t="str">
            <v>Mycophycophyta</v>
          </cell>
          <cell r="D1767" t="str">
            <v>Amandinea punctata</v>
          </cell>
          <cell r="E1767" t="str">
            <v>LC</v>
          </cell>
          <cell r="F1767" t="str">
            <v>Woods &amp; Coppins, 2012</v>
          </cell>
          <cell r="G1767" t="str">
            <v>BMSSYS0000001357</v>
          </cell>
          <cell r="H1767" t="str">
            <v>Amandinea punctata</v>
          </cell>
        </row>
        <row r="1768">
          <cell r="A1768" t="str">
            <v>Amygdalaria consentiens</v>
          </cell>
          <cell r="B1768" t="str">
            <v>Lichens</v>
          </cell>
          <cell r="C1768" t="str">
            <v>Mycophycophyta</v>
          </cell>
          <cell r="D1768" t="str">
            <v>Amygdalaria consentiens</v>
          </cell>
          <cell r="E1768" t="str">
            <v>LC</v>
          </cell>
          <cell r="F1768" t="str">
            <v>Woods &amp; Coppins, 2012</v>
          </cell>
          <cell r="G1768" t="str">
            <v>NHMSYS0001474587</v>
          </cell>
          <cell r="H1768" t="str">
            <v>Amygdalaria consentiens</v>
          </cell>
        </row>
        <row r="1769">
          <cell r="A1769" t="str">
            <v>Amygdalaria pelobotryon</v>
          </cell>
          <cell r="B1769" t="str">
            <v>Lichens</v>
          </cell>
          <cell r="C1769" t="str">
            <v>Mycophycophyta</v>
          </cell>
          <cell r="D1769" t="str">
            <v>Amygdalaria pelobotryon</v>
          </cell>
          <cell r="E1769" t="str">
            <v>LC</v>
          </cell>
          <cell r="F1769" t="str">
            <v>Woods &amp; Coppins, 2012</v>
          </cell>
          <cell r="G1769" t="str">
            <v>NBNSYS0000018172</v>
          </cell>
          <cell r="H1769" t="str">
            <v>Amygdalaria pelobotryon</v>
          </cell>
        </row>
        <row r="1770">
          <cell r="A1770" t="str">
            <v>Anaptychia ciliaris subsp. ciliaris</v>
          </cell>
          <cell r="B1770" t="str">
            <v>Lichens</v>
          </cell>
          <cell r="C1770" t="str">
            <v>Mycophycophyta</v>
          </cell>
          <cell r="D1770" t="str">
            <v>Anaptychia ciliaris (subsp.) ciliaris</v>
          </cell>
          <cell r="E1770" t="str">
            <v>EN</v>
          </cell>
          <cell r="F1770" t="str">
            <v>Woods &amp; Coppins, 2012</v>
          </cell>
          <cell r="G1770" t="str">
            <v>NHMSYS0001474601</v>
          </cell>
          <cell r="H1770" t="str">
            <v>Anaptychia ciliaris subsp. ciliaris</v>
          </cell>
        </row>
        <row r="1771">
          <cell r="A1771" t="str">
            <v>Anaptychia ciliaris subsp. mamillata</v>
          </cell>
          <cell r="B1771" t="str">
            <v>Lichens</v>
          </cell>
          <cell r="C1771" t="str">
            <v>Mycophycophyta</v>
          </cell>
          <cell r="D1771" t="str">
            <v>Anaptychia ciliaris (subsp.) mamillata</v>
          </cell>
          <cell r="E1771" t="str">
            <v>NT</v>
          </cell>
          <cell r="F1771" t="str">
            <v>Woods &amp; Coppins, 2012</v>
          </cell>
          <cell r="G1771" t="str">
            <v>NBNSYS0000018174</v>
          </cell>
          <cell r="H1771" t="str">
            <v>Anaptychia ciliaris subsp. mamillata</v>
          </cell>
        </row>
        <row r="1772">
          <cell r="A1772" t="str">
            <v>Anaptychia runcinata</v>
          </cell>
          <cell r="B1772" t="str">
            <v>Lichens</v>
          </cell>
          <cell r="C1772" t="str">
            <v>Mycophycophyta</v>
          </cell>
          <cell r="D1772" t="str">
            <v>Anaptychia runcinata</v>
          </cell>
          <cell r="E1772" t="str">
            <v>LC</v>
          </cell>
          <cell r="F1772" t="str">
            <v>Woods &amp; Coppins, 2012</v>
          </cell>
          <cell r="G1772" t="str">
            <v>NHMSYS0001474607</v>
          </cell>
          <cell r="H1772" t="str">
            <v>Anaptychia runcinata</v>
          </cell>
        </row>
        <row r="1773">
          <cell r="A1773" t="str">
            <v>Anisomeridium biforme</v>
          </cell>
          <cell r="B1773" t="str">
            <v>Lichens</v>
          </cell>
          <cell r="C1773" t="str">
            <v>Mycophycophyta</v>
          </cell>
          <cell r="D1773" t="str">
            <v>Anisomeridium biforme</v>
          </cell>
          <cell r="E1773" t="str">
            <v>LC</v>
          </cell>
          <cell r="F1773" t="str">
            <v>Woods &amp; Coppins, 2012</v>
          </cell>
          <cell r="G1773" t="str">
            <v>NHMSYS0001474641</v>
          </cell>
          <cell r="H1773" t="str">
            <v>Anisomeridium biforme</v>
          </cell>
        </row>
        <row r="1774">
          <cell r="A1774" t="str">
            <v>Anisomeridium polypori</v>
          </cell>
          <cell r="B1774" t="str">
            <v>Lichens</v>
          </cell>
          <cell r="C1774" t="str">
            <v>Mycophycophyta</v>
          </cell>
          <cell r="D1774" t="str">
            <v>Anisomeridium polypori</v>
          </cell>
          <cell r="E1774" t="str">
            <v>LC</v>
          </cell>
          <cell r="F1774" t="str">
            <v>Woods &amp; Coppins, 2012</v>
          </cell>
          <cell r="G1774" t="str">
            <v>BMSSYS0000001474</v>
          </cell>
          <cell r="H1774" t="str">
            <v>Anisomeridium polypori</v>
          </cell>
        </row>
        <row r="1775">
          <cell r="A1775" t="str">
            <v>Anisomeridium ranunculosporum</v>
          </cell>
          <cell r="B1775" t="str">
            <v>Lichens</v>
          </cell>
          <cell r="C1775" t="str">
            <v>Mycophycophyta</v>
          </cell>
          <cell r="D1775" t="str">
            <v>Anisomeridium ranunculosporum</v>
          </cell>
          <cell r="E1775" t="str">
            <v>LC</v>
          </cell>
          <cell r="F1775" t="str">
            <v>Woods &amp; Coppins, 2012</v>
          </cell>
          <cell r="G1775" t="str">
            <v>NHMSYS0001474644</v>
          </cell>
          <cell r="H1775" t="str">
            <v>Anisomeridium ranunculosporum</v>
          </cell>
        </row>
        <row r="1776">
          <cell r="A1776" t="str">
            <v>Anisomeridium robustum</v>
          </cell>
          <cell r="B1776" t="str">
            <v>Lichens</v>
          </cell>
          <cell r="C1776" t="str">
            <v>Mycophycophyta</v>
          </cell>
          <cell r="D1776" t="str">
            <v>Anisomeridium robustum</v>
          </cell>
          <cell r="E1776" t="str">
            <v>LC</v>
          </cell>
          <cell r="F1776" t="str">
            <v>Woods &amp; Coppins, 2012</v>
          </cell>
          <cell r="G1776" t="str">
            <v>NHMSYS0020534994</v>
          </cell>
          <cell r="H1776" t="str">
            <v>Anisomeridium robustum</v>
          </cell>
        </row>
        <row r="1777">
          <cell r="A1777" t="str">
            <v>Anisomeridium viridescens</v>
          </cell>
          <cell r="B1777" t="str">
            <v>Lichens</v>
          </cell>
          <cell r="C1777" t="str">
            <v>Mycophycophyta</v>
          </cell>
          <cell r="D1777" t="str">
            <v>Anisomeridium viridescens</v>
          </cell>
          <cell r="E1777" t="str">
            <v>LC</v>
          </cell>
          <cell r="F1777" t="str">
            <v>Woods &amp; Coppins, 2012</v>
          </cell>
          <cell r="G1777" t="str">
            <v>BMSSYS0000001475</v>
          </cell>
          <cell r="H1777" t="str">
            <v>Anisomeridium viridescens</v>
          </cell>
        </row>
        <row r="1778">
          <cell r="A1778" t="str">
            <v>Antennulariella lichenisata</v>
          </cell>
          <cell r="B1778" t="str">
            <v>Lichens</v>
          </cell>
          <cell r="C1778" t="str">
            <v>Mycophycophyta</v>
          </cell>
          <cell r="D1778" t="str">
            <v>Antennulariella lichenisata</v>
          </cell>
          <cell r="E1778" t="str">
            <v>LC</v>
          </cell>
          <cell r="F1778" t="str">
            <v>Woods &amp; Coppins, 2012</v>
          </cell>
          <cell r="G1778" t="str">
            <v>NHMSYS0020535000</v>
          </cell>
          <cell r="H1778" t="str">
            <v>Antennulariella lichenisata</v>
          </cell>
        </row>
        <row r="1779">
          <cell r="A1779" t="str">
            <v>Arctoparmelia incurva</v>
          </cell>
          <cell r="B1779" t="str">
            <v>Lichens</v>
          </cell>
          <cell r="C1779" t="str">
            <v>Mycophycophyta</v>
          </cell>
          <cell r="D1779" t="str">
            <v>Arctoparmelia incurva</v>
          </cell>
          <cell r="E1779" t="str">
            <v>LC</v>
          </cell>
          <cell r="F1779" t="str">
            <v>Woods &amp; Coppins, 2012</v>
          </cell>
          <cell r="G1779" t="str">
            <v>NBNSYS0000142224</v>
          </cell>
          <cell r="H1779" t="str">
            <v>Arctoparmelia incurva</v>
          </cell>
        </row>
        <row r="1780">
          <cell r="A1780" t="str">
            <v>Arthonia anglica</v>
          </cell>
          <cell r="B1780" t="str">
            <v>Lichens</v>
          </cell>
          <cell r="C1780" t="str">
            <v>Mycophycophyta</v>
          </cell>
          <cell r="D1780" t="str">
            <v>Arthonia anglica</v>
          </cell>
          <cell r="E1780" t="str">
            <v>EN</v>
          </cell>
          <cell r="F1780" t="str">
            <v>Woods &amp; Coppins, 2012</v>
          </cell>
          <cell r="G1780" t="str">
            <v>NBNSYS0000039558</v>
          </cell>
          <cell r="H1780" t="str">
            <v>Arthonia anglica</v>
          </cell>
        </row>
        <row r="1781">
          <cell r="A1781" t="str">
            <v>Arthonia anombrophila</v>
          </cell>
          <cell r="B1781" t="str">
            <v>Lichens</v>
          </cell>
          <cell r="C1781" t="str">
            <v>Mycophycophyta</v>
          </cell>
          <cell r="D1781" t="str">
            <v>Arthonia anombrophila</v>
          </cell>
          <cell r="E1781" t="str">
            <v>LC</v>
          </cell>
          <cell r="F1781" t="str">
            <v>Woods &amp; Coppins, 2012</v>
          </cell>
          <cell r="G1781" t="str">
            <v>NHMSYS0001474923</v>
          </cell>
          <cell r="H1781" t="str">
            <v>Arthonia anombrophila</v>
          </cell>
        </row>
        <row r="1782">
          <cell r="A1782" t="str">
            <v>Arthonia apotheciorum</v>
          </cell>
          <cell r="B1782" t="str">
            <v>Lichens</v>
          </cell>
          <cell r="C1782" t="str">
            <v>Mycophycophyta</v>
          </cell>
          <cell r="D1782" t="str">
            <v>Arthonia apotheciorum</v>
          </cell>
          <cell r="E1782" t="str">
            <v>LC</v>
          </cell>
          <cell r="F1782" t="str">
            <v>Woods &amp; Coppins, 2012</v>
          </cell>
          <cell r="G1782" t="str">
            <v>BMSSYS0000001639</v>
          </cell>
          <cell r="H1782" t="str">
            <v>Arthonia apotheciorum</v>
          </cell>
        </row>
        <row r="1783">
          <cell r="A1783" t="str">
            <v>Arthonia arthonioides</v>
          </cell>
          <cell r="B1783" t="str">
            <v>Lichens</v>
          </cell>
          <cell r="C1783" t="str">
            <v>Mycophycophyta</v>
          </cell>
          <cell r="D1783" t="str">
            <v>Arthonia arthonioides</v>
          </cell>
          <cell r="E1783" t="str">
            <v>LC</v>
          </cell>
          <cell r="F1783" t="str">
            <v>Woods &amp; Coppins, 2012</v>
          </cell>
          <cell r="G1783" t="str">
            <v>NBNSYS0000015487</v>
          </cell>
          <cell r="H1783" t="str">
            <v>Arthonia arthonioides</v>
          </cell>
        </row>
        <row r="1784">
          <cell r="A1784" t="str">
            <v>Arthonia astroidestera</v>
          </cell>
          <cell r="B1784" t="str">
            <v>Lichens</v>
          </cell>
          <cell r="C1784" t="str">
            <v>Mycophycophyta</v>
          </cell>
          <cell r="D1784" t="str">
            <v>Arthonia astroidestera</v>
          </cell>
          <cell r="E1784" t="str">
            <v>NT</v>
          </cell>
          <cell r="F1784" t="str">
            <v>Woods &amp; Coppins, 2012</v>
          </cell>
          <cell r="G1784" t="str">
            <v>BMSSYS0000730633</v>
          </cell>
          <cell r="H1784" t="str">
            <v>Arthonia astroidestera</v>
          </cell>
        </row>
        <row r="1785">
          <cell r="A1785" t="str">
            <v>Arthonia atlantica</v>
          </cell>
          <cell r="B1785" t="str">
            <v>Lichens</v>
          </cell>
          <cell r="C1785" t="str">
            <v>Mycophycophyta</v>
          </cell>
          <cell r="D1785" t="str">
            <v>Arthonia atlantica</v>
          </cell>
          <cell r="E1785" t="str">
            <v>NT</v>
          </cell>
          <cell r="F1785" t="str">
            <v>Woods &amp; Coppins, 2012</v>
          </cell>
          <cell r="G1785" t="str">
            <v>NHMSYS0021576853</v>
          </cell>
          <cell r="H1785" t="str">
            <v>Arthonia atlantica</v>
          </cell>
        </row>
        <row r="1786">
          <cell r="A1786" t="str">
            <v>Arthonia byssacea</v>
          </cell>
          <cell r="B1786" t="str">
            <v>Lichens</v>
          </cell>
          <cell r="C1786" t="str">
            <v>Mycophycophyta</v>
          </cell>
          <cell r="D1786" t="str">
            <v>Arthonia byssacea</v>
          </cell>
          <cell r="E1786" t="str">
            <v>VU</v>
          </cell>
          <cell r="F1786" t="str">
            <v>Woods &amp; Coppins, 2012</v>
          </cell>
          <cell r="G1786" t="str">
            <v>BMSSYS0000046689</v>
          </cell>
          <cell r="H1786" t="str">
            <v>Arthonia byssacea</v>
          </cell>
        </row>
        <row r="1787">
          <cell r="A1787" t="str">
            <v>Arthonia cinnabarina</v>
          </cell>
          <cell r="B1787" t="str">
            <v>Lichens</v>
          </cell>
          <cell r="C1787" t="str">
            <v>Mycophycophyta</v>
          </cell>
          <cell r="D1787" t="str">
            <v>Arthonia cinnabarina</v>
          </cell>
          <cell r="E1787" t="str">
            <v>LC</v>
          </cell>
          <cell r="F1787" t="str">
            <v>Woods &amp; Coppins, 2012</v>
          </cell>
          <cell r="G1787" t="str">
            <v>NBNSYS0000015516</v>
          </cell>
          <cell r="H1787" t="str">
            <v>Arthonia cinnabarina</v>
          </cell>
        </row>
        <row r="1788">
          <cell r="A1788" t="str">
            <v>Arthonia didyma</v>
          </cell>
          <cell r="B1788" t="str">
            <v>Lichens</v>
          </cell>
          <cell r="C1788" t="str">
            <v>Mycophycophyta</v>
          </cell>
          <cell r="D1788" t="str">
            <v>Arthonia didyma</v>
          </cell>
          <cell r="E1788" t="str">
            <v>LC</v>
          </cell>
          <cell r="F1788" t="str">
            <v>Woods &amp; Coppins, 2012</v>
          </cell>
          <cell r="G1788" t="str">
            <v>NHMSYS0001474939</v>
          </cell>
          <cell r="H1788" t="str">
            <v>Arthonia didyma</v>
          </cell>
        </row>
        <row r="1789">
          <cell r="A1789" t="str">
            <v>Arthonia digitatae</v>
          </cell>
          <cell r="B1789" t="str">
            <v>Lichens</v>
          </cell>
          <cell r="C1789" t="str">
            <v>Mycophycophyta</v>
          </cell>
          <cell r="D1789" t="str">
            <v>Arthonia digitatae</v>
          </cell>
          <cell r="E1789" t="str">
            <v>LC</v>
          </cell>
          <cell r="F1789" t="str">
            <v>Woods &amp; Coppins, 2012</v>
          </cell>
          <cell r="G1789" t="str">
            <v>NHMSYS0001474940</v>
          </cell>
          <cell r="H1789" t="str">
            <v>Arthonia digitatae</v>
          </cell>
        </row>
        <row r="1790">
          <cell r="A1790" t="str">
            <v>Arthonia elegans</v>
          </cell>
          <cell r="B1790" t="str">
            <v>Lichens</v>
          </cell>
          <cell r="C1790" t="str">
            <v>Mycophycophyta</v>
          </cell>
          <cell r="D1790" t="str">
            <v>Arthonia elegans</v>
          </cell>
          <cell r="E1790" t="str">
            <v>LC</v>
          </cell>
          <cell r="F1790" t="str">
            <v>Woods &amp; Coppins, 2012</v>
          </cell>
          <cell r="G1790" t="str">
            <v>NHMSYS0021576568</v>
          </cell>
          <cell r="H1790" t="str">
            <v>Arthonia elegans</v>
          </cell>
        </row>
        <row r="1791">
          <cell r="A1791" t="str">
            <v>Arthonia endlicheri</v>
          </cell>
          <cell r="B1791" t="str">
            <v>Lichens</v>
          </cell>
          <cell r="C1791" t="str">
            <v>Mycophycophyta</v>
          </cell>
          <cell r="D1791" t="str">
            <v>Arthonia endlicheri</v>
          </cell>
          <cell r="E1791" t="str">
            <v>LC</v>
          </cell>
          <cell r="F1791" t="str">
            <v>Woods &amp; Coppins, 2012</v>
          </cell>
          <cell r="G1791" t="str">
            <v>NHMSYS0020990871</v>
          </cell>
          <cell r="H1791" t="str">
            <v>Arthonia endlicheri</v>
          </cell>
        </row>
        <row r="1792">
          <cell r="A1792" t="str">
            <v>Arthonia epiphyscia</v>
          </cell>
          <cell r="B1792" t="str">
            <v>Lichens</v>
          </cell>
          <cell r="C1792" t="str">
            <v>Mycophycophyta</v>
          </cell>
          <cell r="D1792" t="str">
            <v>Arthonia epiphyscia</v>
          </cell>
          <cell r="E1792" t="str">
            <v>LC</v>
          </cell>
          <cell r="F1792" t="str">
            <v>Woods &amp; Coppins, 2012</v>
          </cell>
          <cell r="G1792" t="str">
            <v>NBNSYS0000015497</v>
          </cell>
          <cell r="H1792" t="str">
            <v>Arthonia epiphyscia</v>
          </cell>
        </row>
        <row r="1793">
          <cell r="A1793" t="str">
            <v>Arthonia fuscopurpurea</v>
          </cell>
          <cell r="B1793" t="str">
            <v>Lichens</v>
          </cell>
          <cell r="C1793" t="str">
            <v>Mycophycophyta</v>
          </cell>
          <cell r="D1793" t="str">
            <v>Arthonia fuscopurpurea</v>
          </cell>
          <cell r="E1793" t="str">
            <v>LC</v>
          </cell>
          <cell r="F1793" t="str">
            <v>Woods &amp; Coppins, 2012</v>
          </cell>
          <cell r="G1793" t="str">
            <v>NHMSYS0001474945</v>
          </cell>
          <cell r="H1793" t="str">
            <v>Arthonia fuscopurpurea</v>
          </cell>
        </row>
        <row r="1794">
          <cell r="A1794" t="str">
            <v>Arthonia galactites</v>
          </cell>
          <cell r="B1794" t="str">
            <v>Lichens</v>
          </cell>
          <cell r="C1794" t="str">
            <v>Mycophycophyta</v>
          </cell>
          <cell r="D1794" t="str">
            <v>Arthonia galactites</v>
          </cell>
          <cell r="E1794" t="str">
            <v>EX</v>
          </cell>
          <cell r="F1794" t="str">
            <v>Woods &amp; Coppins, 2012</v>
          </cell>
          <cell r="G1794" t="str">
            <v>NBNSYS0000015500</v>
          </cell>
          <cell r="H1794" t="str">
            <v>Arthonia galactites</v>
          </cell>
        </row>
        <row r="1795">
          <cell r="A1795" t="str">
            <v>Arthonia graphidicola</v>
          </cell>
          <cell r="B1795" t="str">
            <v>Lichens</v>
          </cell>
          <cell r="C1795" t="str">
            <v>Mycophycophyta</v>
          </cell>
          <cell r="D1795" t="str">
            <v>Arthonia graphidicola</v>
          </cell>
          <cell r="E1795" t="str">
            <v>LC</v>
          </cell>
          <cell r="F1795" t="str">
            <v>Woods &amp; Coppins, 2012</v>
          </cell>
          <cell r="G1795" t="str">
            <v>NBNSYS0000039561</v>
          </cell>
          <cell r="H1795" t="str">
            <v>Arthonia graphidicola</v>
          </cell>
        </row>
        <row r="1796">
          <cell r="A1796" t="str">
            <v>Arthonia ilicina</v>
          </cell>
          <cell r="B1796" t="str">
            <v>Lichens</v>
          </cell>
          <cell r="C1796" t="str">
            <v>Mycophycophyta</v>
          </cell>
          <cell r="D1796" t="str">
            <v>Arthonia ilicina</v>
          </cell>
          <cell r="E1796" t="str">
            <v>LC</v>
          </cell>
          <cell r="F1796" t="str">
            <v>Woods &amp; Coppins, 2012</v>
          </cell>
          <cell r="G1796" t="str">
            <v>NBNSYS0000015520</v>
          </cell>
          <cell r="H1796" t="str">
            <v>Arthonia ilicina</v>
          </cell>
        </row>
        <row r="1797">
          <cell r="A1797" t="str">
            <v>Arthonia ilicinella</v>
          </cell>
          <cell r="B1797" t="str">
            <v>Lichens</v>
          </cell>
          <cell r="C1797" t="str">
            <v>Mycophycophyta</v>
          </cell>
          <cell r="D1797" t="str">
            <v>Arthonia ilicinella</v>
          </cell>
          <cell r="E1797" t="str">
            <v>NT</v>
          </cell>
          <cell r="F1797" t="str">
            <v>Woods &amp; Coppins, 2012</v>
          </cell>
          <cell r="G1797" t="str">
            <v>NBNSYS0000015502</v>
          </cell>
          <cell r="H1797" t="str">
            <v>Arthonia ilicinella</v>
          </cell>
        </row>
        <row r="1798">
          <cell r="A1798" t="str">
            <v>Arthonia invadens</v>
          </cell>
          <cell r="B1798" t="str">
            <v>Lichens</v>
          </cell>
          <cell r="C1798" t="str">
            <v>Mycophycophyta</v>
          </cell>
          <cell r="D1798" t="str">
            <v>Arthonia invadens</v>
          </cell>
          <cell r="E1798" t="str">
            <v>NT</v>
          </cell>
          <cell r="F1798" t="str">
            <v>Woods &amp; Coppins, 2012</v>
          </cell>
          <cell r="G1798" t="str">
            <v>NBNSYS0000039562</v>
          </cell>
          <cell r="H1798" t="str">
            <v>Arthonia invadens</v>
          </cell>
        </row>
        <row r="1799">
          <cell r="A1799" t="str">
            <v>Arthonia lapidicola</v>
          </cell>
          <cell r="B1799" t="str">
            <v>Lichens</v>
          </cell>
          <cell r="C1799" t="str">
            <v>Mycophycophyta</v>
          </cell>
          <cell r="D1799" t="str">
            <v>Arthonia lapidicola</v>
          </cell>
          <cell r="E1799" t="str">
            <v>LC</v>
          </cell>
          <cell r="F1799" t="str">
            <v>Woods &amp; Coppins, 2012</v>
          </cell>
          <cell r="G1799" t="str">
            <v>NHMSYS0021576548</v>
          </cell>
          <cell r="H1799" t="str">
            <v>Arthonia lapidicola</v>
          </cell>
        </row>
        <row r="1800">
          <cell r="A1800" t="str">
            <v>Arthonia leucopellaea</v>
          </cell>
          <cell r="B1800" t="str">
            <v>Lichens</v>
          </cell>
          <cell r="C1800" t="str">
            <v>Mycophycophyta</v>
          </cell>
          <cell r="D1800" t="str">
            <v>Arthonia leucopellaea</v>
          </cell>
          <cell r="E1800" t="str">
            <v>LC</v>
          </cell>
          <cell r="F1800" t="str">
            <v>Woods &amp; Coppins, 2012</v>
          </cell>
          <cell r="G1800" t="str">
            <v>BMSSYS0000045458</v>
          </cell>
          <cell r="H1800" t="str">
            <v>Arthonia leucopellaea</v>
          </cell>
        </row>
        <row r="1801">
          <cell r="A1801" t="str">
            <v>Arthonia ligniaria</v>
          </cell>
          <cell r="B1801" t="str">
            <v>Lichens</v>
          </cell>
          <cell r="C1801" t="str">
            <v>Mycophycophyta</v>
          </cell>
          <cell r="D1801" t="str">
            <v>Arthonia ligniaria</v>
          </cell>
          <cell r="E1801" t="str">
            <v>LC</v>
          </cell>
          <cell r="F1801" t="str">
            <v>Woods &amp; Coppins, 2012</v>
          </cell>
          <cell r="G1801" t="str">
            <v>NHMSYS0001474954</v>
          </cell>
          <cell r="H1801" t="str">
            <v>Arthonia ligniaria</v>
          </cell>
        </row>
        <row r="1802">
          <cell r="A1802" t="str">
            <v>Arthonia ligniariella</v>
          </cell>
          <cell r="B1802" t="str">
            <v>Lichens</v>
          </cell>
          <cell r="C1802" t="str">
            <v>Mycophycophyta</v>
          </cell>
          <cell r="D1802" t="str">
            <v>Arthonia ligniariella</v>
          </cell>
          <cell r="E1802" t="str">
            <v>LC</v>
          </cell>
          <cell r="F1802" t="str">
            <v>Woods &amp; Coppins, 2012</v>
          </cell>
          <cell r="G1802" t="str">
            <v>NBNSYS0000039564</v>
          </cell>
          <cell r="H1802" t="str">
            <v>Arthonia ligniariella</v>
          </cell>
        </row>
        <row r="1803">
          <cell r="A1803" t="str">
            <v>Arthonia mediella</v>
          </cell>
          <cell r="B1803" t="str">
            <v>Lichens</v>
          </cell>
          <cell r="C1803" t="str">
            <v>Mycophycophyta</v>
          </cell>
          <cell r="D1803" t="str">
            <v>Arthonia mediella</v>
          </cell>
          <cell r="E1803" t="str">
            <v>LC</v>
          </cell>
          <cell r="F1803" t="str">
            <v>Woods &amp; Coppins, 2012</v>
          </cell>
          <cell r="G1803" t="str">
            <v>NBNSYS0000041602</v>
          </cell>
          <cell r="H1803" t="str">
            <v>Arthonia mediella</v>
          </cell>
        </row>
        <row r="1804">
          <cell r="A1804" t="str">
            <v>Arthonia meridionalis</v>
          </cell>
          <cell r="B1804" t="str">
            <v>Lichens</v>
          </cell>
          <cell r="C1804" t="str">
            <v>Mycophycophyta</v>
          </cell>
          <cell r="D1804" t="str">
            <v>Arthonia meridionalis</v>
          </cell>
          <cell r="E1804" t="str">
            <v>VU</v>
          </cell>
          <cell r="F1804" t="str">
            <v>Woods &amp; Coppins, 2012</v>
          </cell>
          <cell r="G1804" t="str">
            <v>NHMSYS0020038996</v>
          </cell>
          <cell r="H1804" t="str">
            <v>Arthonia meridionalis</v>
          </cell>
        </row>
        <row r="1805">
          <cell r="A1805" t="str">
            <v>Arthonia molendoi</v>
          </cell>
          <cell r="B1805" t="str">
            <v>Lichens</v>
          </cell>
          <cell r="C1805" t="str">
            <v>Mycophycophyta</v>
          </cell>
          <cell r="D1805" t="str">
            <v>Arthonia molendoi</v>
          </cell>
          <cell r="E1805" t="str">
            <v>LC</v>
          </cell>
          <cell r="F1805" t="str">
            <v>Woods &amp; Coppins, 2012</v>
          </cell>
          <cell r="G1805" t="str">
            <v>BMSSYS0000001679</v>
          </cell>
          <cell r="H1805" t="str">
            <v>Arthonia molendoi</v>
          </cell>
        </row>
        <row r="1806">
          <cell r="A1806" t="str">
            <v>Arthonia muscigena</v>
          </cell>
          <cell r="B1806" t="str">
            <v>Lichens</v>
          </cell>
          <cell r="C1806" t="str">
            <v>Mycophycophyta</v>
          </cell>
          <cell r="D1806" t="str">
            <v>Arthonia muscigena</v>
          </cell>
          <cell r="E1806" t="str">
            <v>LC</v>
          </cell>
          <cell r="F1806" t="str">
            <v>Woods &amp; Coppins, 2012</v>
          </cell>
          <cell r="G1806" t="str">
            <v>BMSSYS0000001680</v>
          </cell>
          <cell r="H1806" t="str">
            <v>Arthonia muscigena</v>
          </cell>
        </row>
        <row r="1807">
          <cell r="A1807" t="str">
            <v>Arthonia phaeobaea</v>
          </cell>
          <cell r="B1807" t="str">
            <v>Lichens</v>
          </cell>
          <cell r="C1807" t="str">
            <v>Mycophycophyta</v>
          </cell>
          <cell r="D1807" t="str">
            <v>Arthonia phaeobaea</v>
          </cell>
          <cell r="E1807" t="str">
            <v>LC</v>
          </cell>
          <cell r="F1807" t="str">
            <v>Woods &amp; Coppins, 2012</v>
          </cell>
          <cell r="G1807" t="str">
            <v>NBNSYS0000015509</v>
          </cell>
          <cell r="H1807" t="str">
            <v>Arthonia phaeobaea</v>
          </cell>
        </row>
        <row r="1808">
          <cell r="A1808" t="str">
            <v>Arthonia phaeophysciae</v>
          </cell>
          <cell r="B1808" t="str">
            <v>Lichens</v>
          </cell>
          <cell r="C1808" t="str">
            <v>Mycophycophyta</v>
          </cell>
          <cell r="D1808" t="str">
            <v>Arthonia phaeophysciae</v>
          </cell>
          <cell r="E1808" t="str">
            <v>LC</v>
          </cell>
          <cell r="F1808" t="str">
            <v>Woods &amp; Coppins, 2012</v>
          </cell>
          <cell r="G1808" t="str">
            <v>BMSSYS0000001682</v>
          </cell>
          <cell r="H1808" t="str">
            <v>Arthonia phaeophysciae</v>
          </cell>
        </row>
        <row r="1809">
          <cell r="A1809" t="str">
            <v>Arthonia pruinata</v>
          </cell>
          <cell r="B1809" t="str">
            <v>Lichens</v>
          </cell>
          <cell r="C1809" t="str">
            <v>Mycophycophyta</v>
          </cell>
          <cell r="D1809" t="str">
            <v>Arthonia pruinata</v>
          </cell>
          <cell r="E1809" t="str">
            <v>LC</v>
          </cell>
          <cell r="F1809" t="str">
            <v>Woods &amp; Coppins, 2012</v>
          </cell>
          <cell r="G1809" t="str">
            <v>BMSSYS0000048756</v>
          </cell>
          <cell r="H1809" t="str">
            <v>Arthonia pruinata</v>
          </cell>
        </row>
        <row r="1810">
          <cell r="A1810" t="str">
            <v>Arthonia punctella</v>
          </cell>
          <cell r="B1810" t="str">
            <v>Lichens</v>
          </cell>
          <cell r="C1810" t="str">
            <v>Mycophycophyta</v>
          </cell>
          <cell r="D1810" t="str">
            <v>Arthonia punctella</v>
          </cell>
          <cell r="E1810" t="str">
            <v>LC</v>
          </cell>
          <cell r="F1810" t="str">
            <v>Woods &amp; Coppins, 2012</v>
          </cell>
          <cell r="G1810" t="str">
            <v>NBNSYS0000015510</v>
          </cell>
          <cell r="H1810" t="str">
            <v>Arthonia punctella</v>
          </cell>
        </row>
        <row r="1811">
          <cell r="A1811" t="str">
            <v>Arthonia punctiformis</v>
          </cell>
          <cell r="B1811" t="str">
            <v>Lichens</v>
          </cell>
          <cell r="C1811" t="str">
            <v>Mycophycophyta</v>
          </cell>
          <cell r="D1811" t="str">
            <v>Arthonia punctiformis</v>
          </cell>
          <cell r="E1811" t="str">
            <v>LC</v>
          </cell>
          <cell r="F1811" t="str">
            <v>Woods &amp; Coppins, 2012</v>
          </cell>
          <cell r="G1811" t="str">
            <v>NHMSYS0021576753</v>
          </cell>
          <cell r="H1811" t="str">
            <v>Arthonia punctiformis</v>
          </cell>
        </row>
        <row r="1812">
          <cell r="A1812" t="str">
            <v>Arthonia radiata</v>
          </cell>
          <cell r="B1812" t="str">
            <v>Lichens</v>
          </cell>
          <cell r="C1812" t="str">
            <v>Mycophycophyta</v>
          </cell>
          <cell r="D1812" t="str">
            <v>Arthonia radiata</v>
          </cell>
          <cell r="E1812" t="str">
            <v>LC</v>
          </cell>
          <cell r="F1812" t="str">
            <v>Woods &amp; Coppins, 2012</v>
          </cell>
          <cell r="G1812" t="str">
            <v>NBNSYS0000015513</v>
          </cell>
          <cell r="H1812" t="str">
            <v>Arthonia radiata</v>
          </cell>
        </row>
        <row r="1813">
          <cell r="A1813" t="str">
            <v>Arthonia spadicea</v>
          </cell>
          <cell r="B1813" t="str">
            <v>Lichens</v>
          </cell>
          <cell r="C1813" t="str">
            <v>Mycophycophyta</v>
          </cell>
          <cell r="D1813" t="str">
            <v>Arthonia spadicea</v>
          </cell>
          <cell r="E1813" t="str">
            <v>LC</v>
          </cell>
          <cell r="F1813" t="str">
            <v>Woods &amp; Coppins, 2012</v>
          </cell>
          <cell r="G1813" t="str">
            <v>NHMSYS0021576638</v>
          </cell>
          <cell r="H1813" t="str">
            <v>Arthonia spadicea</v>
          </cell>
        </row>
        <row r="1814">
          <cell r="A1814" t="str">
            <v>Arthonia stellaris</v>
          </cell>
          <cell r="B1814" t="str">
            <v>Lichens</v>
          </cell>
          <cell r="C1814" t="str">
            <v>Mycophycophyta</v>
          </cell>
          <cell r="D1814" t="str">
            <v>Arthonia stellaris</v>
          </cell>
          <cell r="E1814" t="str">
            <v>LC</v>
          </cell>
          <cell r="F1814" t="str">
            <v>Woods &amp; Coppins, 2012</v>
          </cell>
          <cell r="G1814" t="str">
            <v>NBNSYS0000015515</v>
          </cell>
          <cell r="H1814" t="str">
            <v>Arthonia stellaris</v>
          </cell>
        </row>
        <row r="1815">
          <cell r="A1815" t="str">
            <v>Arthonia thelotrematis</v>
          </cell>
          <cell r="B1815" t="str">
            <v>Lichens</v>
          </cell>
          <cell r="C1815" t="str">
            <v>Mycophycophyta</v>
          </cell>
          <cell r="D1815" t="str">
            <v>Arthonia thelotrematis</v>
          </cell>
          <cell r="E1815" t="str">
            <v>LC</v>
          </cell>
          <cell r="F1815" t="str">
            <v>Woods &amp; Coppins, 2012</v>
          </cell>
          <cell r="G1815" t="str">
            <v>NBNSYS0000039566</v>
          </cell>
          <cell r="H1815" t="str">
            <v>Arthonia thelotrematis</v>
          </cell>
        </row>
        <row r="1816">
          <cell r="A1816" t="str">
            <v>Arthonia varians</v>
          </cell>
          <cell r="B1816" t="str">
            <v>Lichens</v>
          </cell>
          <cell r="C1816" t="str">
            <v>Mycophycophyta</v>
          </cell>
          <cell r="D1816" t="str">
            <v>Arthonia varians</v>
          </cell>
          <cell r="E1816" t="str">
            <v>LC</v>
          </cell>
          <cell r="F1816" t="str">
            <v>Woods &amp; Coppins, 2012</v>
          </cell>
          <cell r="G1816" t="str">
            <v>NBNSYS0000015501</v>
          </cell>
          <cell r="H1816" t="str">
            <v>Arthonia varians</v>
          </cell>
        </row>
        <row r="1817">
          <cell r="A1817" t="str">
            <v>Arthonia vinosa</v>
          </cell>
          <cell r="B1817" t="str">
            <v>Lichens</v>
          </cell>
          <cell r="C1817" t="str">
            <v>Mycophycophyta</v>
          </cell>
          <cell r="D1817" t="str">
            <v>Arthonia vinosa</v>
          </cell>
          <cell r="E1817" t="str">
            <v>LC</v>
          </cell>
          <cell r="F1817" t="str">
            <v>Woods &amp; Coppins, 2012</v>
          </cell>
          <cell r="G1817" t="str">
            <v>NBNSYS0000015517</v>
          </cell>
          <cell r="H1817" t="str">
            <v>Arthonia vinosa</v>
          </cell>
        </row>
        <row r="1818">
          <cell r="A1818" t="str">
            <v>Arthonia zwackhii</v>
          </cell>
          <cell r="B1818" t="str">
            <v>Lichens</v>
          </cell>
          <cell r="C1818" t="str">
            <v>Mycophycophyta</v>
          </cell>
          <cell r="D1818" t="str">
            <v>Arthonia zwackhii</v>
          </cell>
          <cell r="E1818" t="str">
            <v>NT</v>
          </cell>
          <cell r="F1818" t="str">
            <v>Woods &amp; Coppins, 2012</v>
          </cell>
          <cell r="G1818" t="str">
            <v>NBNSYS0000015518</v>
          </cell>
          <cell r="H1818" t="str">
            <v>Arthonia zwackhii</v>
          </cell>
        </row>
        <row r="1819">
          <cell r="A1819" t="str">
            <v>Arthopyrenia analepta</v>
          </cell>
          <cell r="B1819" t="str">
            <v>Lichens</v>
          </cell>
          <cell r="C1819" t="str">
            <v>Mycophycophyta</v>
          </cell>
          <cell r="D1819" t="str">
            <v>Arthopyrenia analepta</v>
          </cell>
          <cell r="E1819" t="str">
            <v>LC</v>
          </cell>
          <cell r="F1819" t="str">
            <v>Woods &amp; Coppins, 2012</v>
          </cell>
          <cell r="G1819" t="str">
            <v>NHMSYS0001474984</v>
          </cell>
          <cell r="H1819" t="str">
            <v>Arthopyrenia analepta</v>
          </cell>
        </row>
        <row r="1820">
          <cell r="A1820" t="str">
            <v>Arthopyrenia atractospora</v>
          </cell>
          <cell r="B1820" t="str">
            <v>Lichens</v>
          </cell>
          <cell r="C1820" t="str">
            <v>Mycophycophyta</v>
          </cell>
          <cell r="D1820" t="str">
            <v>Arthopyrenia atractospora</v>
          </cell>
          <cell r="E1820" t="str">
            <v>NT</v>
          </cell>
          <cell r="F1820" t="str">
            <v>Woods &amp; Coppins, 2012</v>
          </cell>
          <cell r="G1820" t="str">
            <v>BMSSYS0000001703</v>
          </cell>
          <cell r="H1820" t="str">
            <v>Arthopyrenia atractospora</v>
          </cell>
        </row>
        <row r="1821">
          <cell r="A1821" t="str">
            <v>Arthopyrenia carneobrunneola</v>
          </cell>
          <cell r="B1821" t="str">
            <v>Lichens</v>
          </cell>
          <cell r="C1821" t="str">
            <v>Mycophycophyta</v>
          </cell>
          <cell r="D1821" t="str">
            <v>Arthopyrenia carneobrunneola</v>
          </cell>
          <cell r="E1821" t="str">
            <v>LC</v>
          </cell>
          <cell r="F1821" t="str">
            <v>Woods &amp; Coppins, 2012</v>
          </cell>
          <cell r="G1821" t="str">
            <v>NBNSYS0000039568</v>
          </cell>
          <cell r="H1821" t="str">
            <v>Arthopyrenia carneobrunneola</v>
          </cell>
        </row>
        <row r="1822">
          <cell r="A1822" t="str">
            <v>Arthopyrenia cerasi</v>
          </cell>
          <cell r="B1822" t="str">
            <v>Lichens</v>
          </cell>
          <cell r="C1822" t="str">
            <v>Mycophycophyta</v>
          </cell>
          <cell r="D1822" t="str">
            <v>Arthopyrenia cerasi</v>
          </cell>
          <cell r="E1822" t="str">
            <v>LC</v>
          </cell>
          <cell r="F1822" t="str">
            <v>Woods &amp; Coppins, 2012</v>
          </cell>
          <cell r="G1822" t="str">
            <v>NBNSYS0000015897</v>
          </cell>
          <cell r="H1822" t="str">
            <v>Arthopyrenia cerasi</v>
          </cell>
        </row>
        <row r="1823">
          <cell r="A1823" t="str">
            <v>Arthopyrenia cinereopruinosa</v>
          </cell>
          <cell r="B1823" t="str">
            <v>Lichens</v>
          </cell>
          <cell r="C1823" t="str">
            <v>Mycophycophyta</v>
          </cell>
          <cell r="D1823" t="str">
            <v>Arthopyrenia cinereopruinosa</v>
          </cell>
          <cell r="E1823" t="str">
            <v>LC</v>
          </cell>
          <cell r="F1823" t="str">
            <v>Woods &amp; Coppins, 2012</v>
          </cell>
          <cell r="G1823" t="str">
            <v>NHMSYS0001442482</v>
          </cell>
          <cell r="H1823" t="str">
            <v>Arthopyrenia cinereopruinosa</v>
          </cell>
        </row>
        <row r="1824">
          <cell r="A1824" t="str">
            <v>Arthopyrenia fraxini</v>
          </cell>
          <cell r="B1824" t="str">
            <v>Lichens</v>
          </cell>
          <cell r="C1824" t="str">
            <v>Mycophycophyta</v>
          </cell>
          <cell r="D1824" t="str">
            <v>Arthopyrenia fraxini</v>
          </cell>
          <cell r="E1824" t="str">
            <v>LC</v>
          </cell>
          <cell r="F1824" t="str">
            <v>Woods &amp; Coppins, 2012</v>
          </cell>
          <cell r="G1824" t="str">
            <v>NHMSYS0001474993</v>
          </cell>
          <cell r="H1824" t="str">
            <v>Arthopyrenia fraxini</v>
          </cell>
        </row>
        <row r="1825">
          <cell r="A1825" t="str">
            <v>Arthopyrenia nitescens</v>
          </cell>
          <cell r="B1825" t="str">
            <v>Lichens</v>
          </cell>
          <cell r="C1825" t="str">
            <v>Mycophycophyta</v>
          </cell>
          <cell r="D1825" t="str">
            <v>Arthopyrenia nitescens</v>
          </cell>
          <cell r="E1825" t="str">
            <v>LC</v>
          </cell>
          <cell r="F1825" t="str">
            <v>Woods &amp; Coppins, 2012</v>
          </cell>
          <cell r="G1825" t="str">
            <v>NBNSYS0000039567</v>
          </cell>
          <cell r="H1825" t="str">
            <v>Arthopyrenia nitescens</v>
          </cell>
        </row>
        <row r="1826">
          <cell r="A1826" t="str">
            <v>Arthopyrenia punctiformis</v>
          </cell>
          <cell r="B1826" t="str">
            <v>Lichens</v>
          </cell>
          <cell r="C1826" t="str">
            <v>Mycophycophyta</v>
          </cell>
          <cell r="D1826" t="str">
            <v>Arthopyrenia punctiformis</v>
          </cell>
          <cell r="E1826" t="str">
            <v>LC</v>
          </cell>
          <cell r="F1826" t="str">
            <v>Woods &amp; Coppins, 2012</v>
          </cell>
          <cell r="G1826" t="str">
            <v>NHMSYS0001475001</v>
          </cell>
          <cell r="H1826" t="str">
            <v>Arthopyrenia punctiformis</v>
          </cell>
        </row>
        <row r="1827">
          <cell r="A1827" t="str">
            <v>Arthopyrenia salicis</v>
          </cell>
          <cell r="B1827" t="str">
            <v>Lichens</v>
          </cell>
          <cell r="C1827" t="str">
            <v>Mycophycophyta</v>
          </cell>
          <cell r="D1827" t="str">
            <v>Arthopyrenia salicis</v>
          </cell>
          <cell r="E1827" t="str">
            <v>LC</v>
          </cell>
          <cell r="F1827" t="str">
            <v>Woods &amp; Coppins, 2012</v>
          </cell>
          <cell r="G1827" t="str">
            <v>NHMSYS0001475005</v>
          </cell>
          <cell r="H1827" t="str">
            <v>Arthopyrenia salicis</v>
          </cell>
        </row>
        <row r="1828">
          <cell r="A1828" t="str">
            <v>Arthopyrenia saxicola</v>
          </cell>
          <cell r="B1828" t="str">
            <v>Lichens</v>
          </cell>
          <cell r="C1828" t="str">
            <v>Mycophycophyta</v>
          </cell>
          <cell r="D1828" t="str">
            <v>Arthopyrenia saxicola</v>
          </cell>
          <cell r="E1828" t="str">
            <v>LC</v>
          </cell>
          <cell r="F1828" t="str">
            <v>Woods &amp; Coppins, 2012</v>
          </cell>
          <cell r="G1828" t="str">
            <v>NBNSYS0000142338</v>
          </cell>
          <cell r="H1828" t="str">
            <v>Arthopyrenia saxicola</v>
          </cell>
        </row>
        <row r="1829">
          <cell r="A1829" t="str">
            <v>Arthopyrenia subcerasi</v>
          </cell>
          <cell r="B1829" t="str">
            <v>Lichens</v>
          </cell>
          <cell r="C1829" t="str">
            <v>Mycophycophyta</v>
          </cell>
          <cell r="D1829" t="str">
            <v>Arthopyrenia subcerasi</v>
          </cell>
          <cell r="E1829" t="str">
            <v>NT</v>
          </cell>
          <cell r="F1829" t="str">
            <v>Woods &amp; Coppins, 2012</v>
          </cell>
          <cell r="G1829" t="str">
            <v>NBNSYS0000039572</v>
          </cell>
          <cell r="H1829" t="str">
            <v>Arthopyrenia subcerasi</v>
          </cell>
        </row>
        <row r="1830">
          <cell r="A1830" t="str">
            <v>Arthothelium dictyosporum</v>
          </cell>
          <cell r="B1830" t="str">
            <v>Lichens</v>
          </cell>
          <cell r="C1830" t="str">
            <v>Mycophycophyta</v>
          </cell>
          <cell r="D1830" t="str">
            <v>Arthothelium dictyosporum</v>
          </cell>
          <cell r="E1830" t="str">
            <v>NT</v>
          </cell>
          <cell r="F1830" t="str">
            <v>Woods &amp; Coppins, 2012</v>
          </cell>
          <cell r="G1830" t="str">
            <v>NBNSYS0000015521</v>
          </cell>
          <cell r="H1830" t="str">
            <v>Arthothelium dictyosporum</v>
          </cell>
        </row>
        <row r="1831">
          <cell r="A1831" t="str">
            <v>Arthothelium lirellans</v>
          </cell>
          <cell r="B1831" t="str">
            <v>Lichens</v>
          </cell>
          <cell r="C1831" t="str">
            <v>Mycophycophyta</v>
          </cell>
          <cell r="D1831" t="str">
            <v>Arthothelium lirellans</v>
          </cell>
          <cell r="E1831" t="str">
            <v>LC</v>
          </cell>
          <cell r="F1831" t="str">
            <v>Woods &amp; Coppins, 2012</v>
          </cell>
          <cell r="G1831" t="str">
            <v>NBNSYS0000015522</v>
          </cell>
          <cell r="H1831" t="str">
            <v>Arthothelium lirellans</v>
          </cell>
        </row>
        <row r="1832">
          <cell r="A1832" t="str">
            <v>Arthothelium orbilliferum</v>
          </cell>
          <cell r="B1832" t="str">
            <v>Lichens</v>
          </cell>
          <cell r="C1832" t="str">
            <v>Mycophycophyta</v>
          </cell>
          <cell r="D1832" t="str">
            <v>Arthothelium orbilliferum</v>
          </cell>
          <cell r="E1832" t="str">
            <v>LC</v>
          </cell>
          <cell r="F1832" t="str">
            <v>Woods &amp; Coppins, 2012</v>
          </cell>
          <cell r="G1832" t="str">
            <v>NHMSYS0001475016</v>
          </cell>
          <cell r="H1832" t="str">
            <v>Arthothelium orbilliferum</v>
          </cell>
        </row>
        <row r="1833">
          <cell r="A1833" t="str">
            <v>Arthothelium ruanum</v>
          </cell>
          <cell r="B1833" t="str">
            <v>Lichens</v>
          </cell>
          <cell r="C1833" t="str">
            <v>Mycophycophyta</v>
          </cell>
          <cell r="D1833" t="str">
            <v>Arthothelium ruanum</v>
          </cell>
          <cell r="E1833" t="str">
            <v>LC</v>
          </cell>
          <cell r="F1833" t="str">
            <v>Woods &amp; Coppins, 2012</v>
          </cell>
          <cell r="G1833" t="str">
            <v>NBNSYS0000015525</v>
          </cell>
          <cell r="H1833" t="str">
            <v>Arthothelium ruanum</v>
          </cell>
        </row>
        <row r="1834">
          <cell r="A1834" t="str">
            <v>Arthothelium spectabile</v>
          </cell>
          <cell r="B1834" t="str">
            <v>Lichens</v>
          </cell>
          <cell r="C1834" t="str">
            <v>Mycophycophyta</v>
          </cell>
          <cell r="D1834" t="str">
            <v>Arthothelium spectabile</v>
          </cell>
          <cell r="E1834" t="str">
            <v>EX</v>
          </cell>
          <cell r="F1834" t="str">
            <v>Woods &amp; Coppins, 2012</v>
          </cell>
          <cell r="G1834" t="str">
            <v>NBNSYS0000015526</v>
          </cell>
          <cell r="H1834" t="str">
            <v>Arthothelium spectabile</v>
          </cell>
        </row>
        <row r="1835">
          <cell r="A1835" t="str">
            <v>Arthrorhaphis aeruginosa</v>
          </cell>
          <cell r="B1835" t="str">
            <v>Lichens</v>
          </cell>
          <cell r="C1835" t="str">
            <v>Mycophycophyta</v>
          </cell>
          <cell r="D1835" t="str">
            <v>Arthrorhaphis aeruginosa</v>
          </cell>
          <cell r="E1835" t="str">
            <v>LC</v>
          </cell>
          <cell r="F1835" t="str">
            <v>Woods &amp; Coppins, 2012</v>
          </cell>
          <cell r="G1835" t="str">
            <v>BMSSYS0000001775</v>
          </cell>
          <cell r="H1835" t="str">
            <v>Arthrorhaphis aeruginosa</v>
          </cell>
        </row>
        <row r="1836">
          <cell r="A1836" t="str">
            <v>Arthrorhaphis citrinella</v>
          </cell>
          <cell r="B1836" t="str">
            <v>Lichens</v>
          </cell>
          <cell r="C1836" t="str">
            <v>Mycophycophyta</v>
          </cell>
          <cell r="D1836" t="str">
            <v>Arthrorhaphis citrinella</v>
          </cell>
          <cell r="E1836" t="str">
            <v>LC</v>
          </cell>
          <cell r="F1836" t="str">
            <v>Woods &amp; Coppins, 2012</v>
          </cell>
          <cell r="G1836" t="str">
            <v>NBNSYS0000018179</v>
          </cell>
          <cell r="H1836" t="str">
            <v>Arthrorhaphis citrinella</v>
          </cell>
        </row>
        <row r="1837">
          <cell r="A1837" t="str">
            <v>Arthrorhaphis grisea</v>
          </cell>
          <cell r="B1837" t="str">
            <v>Lichens</v>
          </cell>
          <cell r="C1837" t="str">
            <v>Mycophycophyta</v>
          </cell>
          <cell r="D1837" t="str">
            <v>Arthrorhaphis grisea</v>
          </cell>
          <cell r="E1837" t="str">
            <v>LC</v>
          </cell>
          <cell r="F1837" t="str">
            <v>Woods &amp; Coppins, 2012</v>
          </cell>
          <cell r="G1837" t="str">
            <v>NHMSYS0001475037</v>
          </cell>
          <cell r="H1837" t="str">
            <v>Arthrorhaphis grisea</v>
          </cell>
        </row>
        <row r="1838">
          <cell r="A1838" t="str">
            <v>Aspicilia caesiocinerea</v>
          </cell>
          <cell r="B1838" t="str">
            <v>Lichens</v>
          </cell>
          <cell r="C1838" t="str">
            <v>Mycophycophyta</v>
          </cell>
          <cell r="D1838" t="str">
            <v>Aspicilia caesiocinerea</v>
          </cell>
          <cell r="E1838" t="str">
            <v>LC</v>
          </cell>
          <cell r="F1838" t="str">
            <v>Woods &amp; Coppins, 2012</v>
          </cell>
          <cell r="G1838" t="str">
            <v>NBNSYS0000018181</v>
          </cell>
          <cell r="H1838" t="str">
            <v>Aspicilia caesiocinerea</v>
          </cell>
        </row>
        <row r="1839">
          <cell r="A1839" t="str">
            <v>Aspicilia calcarea</v>
          </cell>
          <cell r="B1839" t="str">
            <v>Lichens</v>
          </cell>
          <cell r="C1839" t="str">
            <v>Mycophycophyta</v>
          </cell>
          <cell r="D1839" t="str">
            <v>Aspicilia calcarea</v>
          </cell>
          <cell r="E1839" t="str">
            <v>LC</v>
          </cell>
          <cell r="F1839" t="str">
            <v>Woods &amp; Coppins, 2012</v>
          </cell>
          <cell r="G1839" t="str">
            <v>NHMSYS0000361491</v>
          </cell>
          <cell r="H1839" t="str">
            <v>Aspicilia calcarea</v>
          </cell>
        </row>
        <row r="1840">
          <cell r="A1840" t="str">
            <v>Aspicilia cinerea s. str.</v>
          </cell>
          <cell r="B1840" t="str">
            <v>Lichens</v>
          </cell>
          <cell r="C1840" t="str">
            <v>Mycophycophyta</v>
          </cell>
          <cell r="D1840" t="str">
            <v>Aspicilia cinerea s. str.</v>
          </cell>
          <cell r="E1840" t="str">
            <v>LC</v>
          </cell>
          <cell r="F1840" t="str">
            <v>Woods &amp; Coppins, 2012</v>
          </cell>
          <cell r="G1840" t="str">
            <v>NHMSYS0000364601</v>
          </cell>
          <cell r="H1840" t="str">
            <v>Aspicilia cinerea s. str.</v>
          </cell>
        </row>
        <row r="1841">
          <cell r="A1841" t="str">
            <v>Aspicilia contorta subsp. contorta</v>
          </cell>
          <cell r="B1841" t="str">
            <v>Lichens</v>
          </cell>
          <cell r="C1841" t="str">
            <v>Mycophycophyta</v>
          </cell>
          <cell r="D1841" t="str">
            <v>Aspicilia contorta (subsp.) contorta</v>
          </cell>
          <cell r="E1841" t="str">
            <v>LC</v>
          </cell>
          <cell r="F1841" t="str">
            <v>Woods &amp; Coppins, 2012</v>
          </cell>
          <cell r="G1841" t="str">
            <v>NHMSYS0001475254</v>
          </cell>
          <cell r="H1841" t="str">
            <v>Aspicilia contorta subsp. contorta</v>
          </cell>
        </row>
        <row r="1842">
          <cell r="A1842" t="str">
            <v>Aspicilia contorta subsp. hoffmanniana</v>
          </cell>
          <cell r="B1842" t="str">
            <v>Lichens</v>
          </cell>
          <cell r="C1842" t="str">
            <v>Mycophycophyta</v>
          </cell>
          <cell r="D1842" t="str">
            <v>Aspicilia contorta (subsp.) hoffmanniana</v>
          </cell>
          <cell r="E1842" t="str">
            <v>LC</v>
          </cell>
          <cell r="F1842" t="str">
            <v>Woods &amp; Coppins, 2012</v>
          </cell>
          <cell r="G1842" t="str">
            <v>NHMSYS0020989755</v>
          </cell>
          <cell r="H1842" t="str">
            <v>Aspicilia contorta subsp. hoffmanniana</v>
          </cell>
        </row>
        <row r="1843">
          <cell r="A1843" t="str">
            <v>Aspicilia epiglypta</v>
          </cell>
          <cell r="B1843" t="str">
            <v>Lichens</v>
          </cell>
          <cell r="C1843" t="str">
            <v>Mycophycophyta</v>
          </cell>
          <cell r="D1843" t="str">
            <v>Aspicilia epiglypta</v>
          </cell>
          <cell r="E1843" t="str">
            <v>LC</v>
          </cell>
          <cell r="F1843" t="str">
            <v>Woods &amp; Coppins, 2012</v>
          </cell>
          <cell r="G1843" t="str">
            <v>NBNSYS0000018188</v>
          </cell>
          <cell r="H1843" t="str">
            <v>Aspicilia epiglypta</v>
          </cell>
        </row>
        <row r="1844">
          <cell r="A1844" t="str">
            <v>Aspicilia grisea</v>
          </cell>
          <cell r="B1844" t="str">
            <v>Lichens</v>
          </cell>
          <cell r="C1844" t="str">
            <v>Mycophycophyta</v>
          </cell>
          <cell r="D1844" t="str">
            <v>Aspicilia grisea</v>
          </cell>
          <cell r="E1844" t="str">
            <v>LC</v>
          </cell>
          <cell r="F1844" t="str">
            <v>Woods &amp; Coppins, 2012</v>
          </cell>
          <cell r="G1844" t="str">
            <v>NBNSYS0000018191</v>
          </cell>
          <cell r="H1844" t="str">
            <v>Aspicilia grisea</v>
          </cell>
        </row>
        <row r="1845">
          <cell r="A1845" t="str">
            <v>Aspicilia intermutans</v>
          </cell>
          <cell r="B1845" t="str">
            <v>Lichens</v>
          </cell>
          <cell r="C1845" t="str">
            <v>Mycophycophyta</v>
          </cell>
          <cell r="D1845" t="str">
            <v>Aspicilia intermutans</v>
          </cell>
          <cell r="E1845" t="str">
            <v>LC</v>
          </cell>
          <cell r="F1845" t="str">
            <v>Woods &amp; Coppins, 2012</v>
          </cell>
          <cell r="G1845" t="str">
            <v>NBNSYS0000018193</v>
          </cell>
          <cell r="H1845" t="str">
            <v>Aspicilia intermutans</v>
          </cell>
        </row>
        <row r="1846">
          <cell r="A1846" t="str">
            <v>Aspicilia laevata</v>
          </cell>
          <cell r="B1846" t="str">
            <v>Lichens</v>
          </cell>
          <cell r="C1846" t="str">
            <v>Mycophycophyta</v>
          </cell>
          <cell r="D1846" t="str">
            <v>Aspicilia laevata</v>
          </cell>
          <cell r="E1846" t="str">
            <v>LC</v>
          </cell>
          <cell r="F1846" t="str">
            <v>Woods &amp; Coppins, 2012</v>
          </cell>
          <cell r="G1846" t="str">
            <v>NBNSYS0000018194</v>
          </cell>
          <cell r="H1846" t="str">
            <v>Aspicilia laevata</v>
          </cell>
        </row>
        <row r="1847">
          <cell r="A1847" t="str">
            <v>Aspicilia leprosescens</v>
          </cell>
          <cell r="B1847" t="str">
            <v>Lichens</v>
          </cell>
          <cell r="C1847" t="str">
            <v>Mycophycophyta</v>
          </cell>
          <cell r="D1847" t="str">
            <v>Aspicilia leprosescens</v>
          </cell>
          <cell r="E1847" t="str">
            <v>LC</v>
          </cell>
          <cell r="F1847" t="str">
            <v>Woods &amp; Coppins, 2012</v>
          </cell>
          <cell r="G1847" t="str">
            <v>NBNSYS0000018195</v>
          </cell>
          <cell r="H1847" t="str">
            <v>Aspicilia leprosescens</v>
          </cell>
        </row>
        <row r="1848">
          <cell r="A1848" t="str">
            <v>Aspicilia radiosa</v>
          </cell>
          <cell r="B1848" t="str">
            <v>Lichens</v>
          </cell>
          <cell r="C1848" t="str">
            <v>Mycophycophyta</v>
          </cell>
          <cell r="D1848" t="str">
            <v>Aspicilia radiosa</v>
          </cell>
          <cell r="E1848" t="str">
            <v>LC</v>
          </cell>
          <cell r="F1848" t="str">
            <v>Woods &amp; Coppins, 2012</v>
          </cell>
          <cell r="G1848" t="str">
            <v>BMSSYS0000002006</v>
          </cell>
          <cell r="H1848" t="str">
            <v>Aspicilia radiosa</v>
          </cell>
        </row>
        <row r="1849">
          <cell r="A1849" t="str">
            <v>Aspicilia tuberculosa</v>
          </cell>
          <cell r="B1849" t="str">
            <v>Lichens</v>
          </cell>
          <cell r="C1849" t="str">
            <v>Mycophycophyta</v>
          </cell>
          <cell r="D1849" t="str">
            <v>Aspicilia tuberculosa</v>
          </cell>
          <cell r="E1849" t="str">
            <v>EX</v>
          </cell>
          <cell r="F1849" t="str">
            <v>Woods &amp; Coppins, 2012</v>
          </cell>
          <cell r="G1849" t="str">
            <v>NBNSYS0000039577</v>
          </cell>
          <cell r="H1849" t="str">
            <v>Aspicilia tuberculosa</v>
          </cell>
        </row>
        <row r="1850">
          <cell r="A1850" t="str">
            <v>Athelia arachnoidea</v>
          </cell>
          <cell r="B1850" t="str">
            <v>Lichens</v>
          </cell>
          <cell r="C1850" t="str">
            <v>Mycophycophyta</v>
          </cell>
          <cell r="D1850" t="str">
            <v>Athelia arachnoidea</v>
          </cell>
          <cell r="E1850" t="str">
            <v>LC</v>
          </cell>
          <cell r="F1850" t="str">
            <v>Woods &amp; Coppins, 2012</v>
          </cell>
          <cell r="G1850" t="str">
            <v>NHMSYS0001475331</v>
          </cell>
          <cell r="H1850" t="str">
            <v>Athelia arachnoidea</v>
          </cell>
        </row>
        <row r="1851">
          <cell r="A1851" t="str">
            <v>Atla alpina</v>
          </cell>
          <cell r="B1851" t="str">
            <v>Lichens</v>
          </cell>
          <cell r="C1851" t="str">
            <v>Mycophycophyta</v>
          </cell>
          <cell r="D1851" t="str">
            <v>Atla alpina</v>
          </cell>
          <cell r="E1851" t="str">
            <v>LC</v>
          </cell>
          <cell r="F1851" t="str">
            <v>Woods &amp; Coppins, 2012</v>
          </cell>
          <cell r="G1851" t="str">
            <v>NHMSYS0020989767</v>
          </cell>
          <cell r="H1851" t="str">
            <v>Atla alpina</v>
          </cell>
        </row>
        <row r="1852">
          <cell r="A1852" t="str">
            <v>Atla wheldonii</v>
          </cell>
          <cell r="B1852" t="str">
            <v>Lichens</v>
          </cell>
          <cell r="C1852" t="str">
            <v>Mycophycophyta</v>
          </cell>
          <cell r="D1852" t="str">
            <v>Atla wheldonii</v>
          </cell>
          <cell r="E1852" t="str">
            <v>NT</v>
          </cell>
          <cell r="F1852" t="str">
            <v>Woods &amp; Coppins, 2012</v>
          </cell>
          <cell r="G1852" t="str">
            <v>NHMSYS0020989768</v>
          </cell>
          <cell r="H1852" t="str">
            <v>Atla wheldonii</v>
          </cell>
        </row>
        <row r="1853">
          <cell r="A1853" t="str">
            <v>Bachmanniomyces uncialicola</v>
          </cell>
          <cell r="B1853" t="str">
            <v>Lichens</v>
          </cell>
          <cell r="C1853" t="str">
            <v>Mycophycophyta</v>
          </cell>
          <cell r="D1853" t="str">
            <v>Bachmanniomyces uncialicola</v>
          </cell>
          <cell r="E1853" t="str">
            <v>LC</v>
          </cell>
          <cell r="F1853" t="str">
            <v>Woods &amp; Coppins, 2012</v>
          </cell>
          <cell r="G1853" t="str">
            <v>BMSSYS0000731145</v>
          </cell>
          <cell r="H1853" t="str">
            <v>Bachmanniomyces uncialicola</v>
          </cell>
        </row>
        <row r="1854">
          <cell r="A1854" t="str">
            <v>Bacidia absistens</v>
          </cell>
          <cell r="B1854" t="str">
            <v>Lichens</v>
          </cell>
          <cell r="C1854" t="str">
            <v>Mycophycophyta</v>
          </cell>
          <cell r="D1854" t="str">
            <v>Bacidia absistens</v>
          </cell>
          <cell r="E1854" t="str">
            <v>LC</v>
          </cell>
          <cell r="F1854" t="str">
            <v>Woods &amp; Coppins, 2012</v>
          </cell>
          <cell r="G1854" t="str">
            <v>NBNSYS0000018207</v>
          </cell>
          <cell r="H1854" t="str">
            <v>Bacidia absistens</v>
          </cell>
        </row>
        <row r="1855">
          <cell r="A1855" t="str">
            <v>Bacidia adastra</v>
          </cell>
          <cell r="B1855" t="str">
            <v>Lichens</v>
          </cell>
          <cell r="C1855" t="str">
            <v>Mycophycophyta</v>
          </cell>
          <cell r="D1855" t="str">
            <v>Bacidia adastra</v>
          </cell>
          <cell r="E1855" t="str">
            <v>LC</v>
          </cell>
          <cell r="F1855" t="str">
            <v>Woods &amp; Coppins, 2012</v>
          </cell>
          <cell r="G1855" t="str">
            <v>BMSSYS0000042814</v>
          </cell>
          <cell r="H1855" t="str">
            <v>Bacidia adastra</v>
          </cell>
        </row>
        <row r="1856">
          <cell r="A1856" t="str">
            <v>Bacidia arceutina</v>
          </cell>
          <cell r="B1856" t="str">
            <v>Lichens</v>
          </cell>
          <cell r="C1856" t="str">
            <v>Mycophycophyta</v>
          </cell>
          <cell r="D1856" t="str">
            <v>Bacidia arceutina</v>
          </cell>
          <cell r="E1856" t="str">
            <v>LC</v>
          </cell>
          <cell r="F1856" t="str">
            <v>Woods &amp; Coppins, 2012</v>
          </cell>
          <cell r="G1856" t="str">
            <v>NBNSYS0000019028</v>
          </cell>
          <cell r="H1856" t="str">
            <v>Bacidia arceutina</v>
          </cell>
        </row>
        <row r="1857">
          <cell r="A1857" t="str">
            <v>Bacidia arnoldiana</v>
          </cell>
          <cell r="B1857" t="str">
            <v>Lichens</v>
          </cell>
          <cell r="C1857" t="str">
            <v>Mycophycophyta</v>
          </cell>
          <cell r="D1857" t="str">
            <v>Bacidia arnoldiana</v>
          </cell>
          <cell r="E1857" t="str">
            <v>LC</v>
          </cell>
          <cell r="F1857" t="str">
            <v>Woods &amp; Coppins, 2012</v>
          </cell>
          <cell r="G1857" t="str">
            <v>NHMSYS0001475453</v>
          </cell>
          <cell r="H1857" t="str">
            <v>Bacidia arnoldiana</v>
          </cell>
        </row>
        <row r="1858">
          <cell r="A1858" t="str">
            <v>Bacidia bagliettoana</v>
          </cell>
          <cell r="B1858" t="str">
            <v>Lichens</v>
          </cell>
          <cell r="C1858" t="str">
            <v>Mycophycophyta</v>
          </cell>
          <cell r="D1858" t="str">
            <v>Bacidia bagliettoana</v>
          </cell>
          <cell r="E1858" t="str">
            <v>LC</v>
          </cell>
          <cell r="F1858" t="str">
            <v>Woods &amp; Coppins, 2012</v>
          </cell>
          <cell r="G1858" t="str">
            <v>NHMSYS0021576883</v>
          </cell>
          <cell r="H1858" t="str">
            <v>Bacidia bagliettoana</v>
          </cell>
        </row>
        <row r="1859">
          <cell r="A1859" t="str">
            <v>Bacidia beckhausii</v>
          </cell>
          <cell r="B1859" t="str">
            <v>Lichens</v>
          </cell>
          <cell r="C1859" t="str">
            <v>Mycophycophyta</v>
          </cell>
          <cell r="D1859" t="str">
            <v>Bacidia beckhausii</v>
          </cell>
          <cell r="E1859" t="str">
            <v>LC</v>
          </cell>
          <cell r="F1859" t="str">
            <v>Woods &amp; Coppins, 2012</v>
          </cell>
          <cell r="G1859" t="str">
            <v>BMSSYS0000042906</v>
          </cell>
          <cell r="H1859" t="str">
            <v>Bacidia beckhausii</v>
          </cell>
        </row>
        <row r="1860">
          <cell r="A1860" t="str">
            <v>Bacidia biatorina</v>
          </cell>
          <cell r="B1860" t="str">
            <v>Lichens</v>
          </cell>
          <cell r="C1860" t="str">
            <v>Mycophycophyta</v>
          </cell>
          <cell r="D1860" t="str">
            <v>Bacidia biatorina</v>
          </cell>
          <cell r="E1860" t="str">
            <v>LC</v>
          </cell>
          <cell r="F1860" t="str">
            <v>Woods &amp; Coppins, 2012</v>
          </cell>
          <cell r="G1860" t="str">
            <v>NHMSYS0001475416</v>
          </cell>
          <cell r="H1860" t="str">
            <v>Bacidia biatorina</v>
          </cell>
        </row>
        <row r="1861">
          <cell r="A1861" t="str">
            <v>Bacidia brandii</v>
          </cell>
          <cell r="B1861" t="str">
            <v>Lichens</v>
          </cell>
          <cell r="C1861" t="str">
            <v>Mycophycophyta</v>
          </cell>
          <cell r="D1861" t="str">
            <v>Bacidia brandii</v>
          </cell>
          <cell r="E1861" t="str">
            <v>LC</v>
          </cell>
          <cell r="F1861" t="str">
            <v>Woods &amp; Coppins, 2012</v>
          </cell>
          <cell r="G1861" t="str">
            <v>BMSSYS0000042815</v>
          </cell>
          <cell r="H1861" t="str">
            <v>Bacidia brandii</v>
          </cell>
        </row>
        <row r="1862">
          <cell r="A1862" t="str">
            <v>Bacidia caligans</v>
          </cell>
          <cell r="B1862" t="str">
            <v>Lichens</v>
          </cell>
          <cell r="C1862" t="str">
            <v>Mycophycophyta</v>
          </cell>
          <cell r="D1862" t="str">
            <v>Bacidia caligans</v>
          </cell>
          <cell r="E1862" t="str">
            <v>LC</v>
          </cell>
          <cell r="F1862" t="str">
            <v>Woods &amp; Coppins, 2012</v>
          </cell>
          <cell r="G1862" t="str">
            <v>BMSSYS0000042816</v>
          </cell>
          <cell r="H1862" t="str">
            <v>Bacidia caligans</v>
          </cell>
        </row>
        <row r="1863">
          <cell r="A1863" t="str">
            <v>Bacidia carneoglauca</v>
          </cell>
          <cell r="B1863" t="str">
            <v>Lichens</v>
          </cell>
          <cell r="C1863" t="str">
            <v>Mycophycophyta</v>
          </cell>
          <cell r="D1863" t="str">
            <v>Bacidia carneoglauca</v>
          </cell>
          <cell r="E1863" t="str">
            <v>LC</v>
          </cell>
          <cell r="F1863" t="str">
            <v>Woods &amp; Coppins, 2012</v>
          </cell>
          <cell r="G1863" t="str">
            <v>BMSSYS0000731139</v>
          </cell>
          <cell r="H1863" t="str">
            <v>Bacidia carneoglauca</v>
          </cell>
        </row>
        <row r="1864">
          <cell r="A1864" t="str">
            <v>Bacidia chloroticula</v>
          </cell>
          <cell r="B1864" t="str">
            <v>Lichens</v>
          </cell>
          <cell r="C1864" t="str">
            <v>Mycophycophyta</v>
          </cell>
          <cell r="D1864" t="str">
            <v>Bacidia chloroticula</v>
          </cell>
          <cell r="E1864" t="str">
            <v>LC</v>
          </cell>
          <cell r="F1864" t="str">
            <v>Woods &amp; Coppins, 2012</v>
          </cell>
          <cell r="G1864" t="str">
            <v>NHMSYS0001475454</v>
          </cell>
          <cell r="H1864" t="str">
            <v>Bacidia chloroticula</v>
          </cell>
        </row>
        <row r="1865">
          <cell r="A1865" t="str">
            <v>Bacidia circumspecta</v>
          </cell>
          <cell r="B1865" t="str">
            <v>Lichens</v>
          </cell>
          <cell r="C1865" t="str">
            <v>Mycophycophyta</v>
          </cell>
          <cell r="D1865" t="str">
            <v>Bacidia circumspecta</v>
          </cell>
          <cell r="E1865" t="str">
            <v>VU</v>
          </cell>
          <cell r="F1865" t="str">
            <v>Woods &amp; Coppins, 2012</v>
          </cell>
          <cell r="G1865" t="str">
            <v>NBNSYS0000018220</v>
          </cell>
          <cell r="H1865" t="str">
            <v>Bacidia circumspecta</v>
          </cell>
        </row>
        <row r="1866">
          <cell r="A1866" t="str">
            <v>Bacidia delicata</v>
          </cell>
          <cell r="B1866" t="str">
            <v>Lichens</v>
          </cell>
          <cell r="C1866" t="str">
            <v>Mycophycophyta</v>
          </cell>
          <cell r="D1866" t="str">
            <v>Bacidia delicata</v>
          </cell>
          <cell r="E1866" t="str">
            <v>LC</v>
          </cell>
          <cell r="F1866" t="str">
            <v>Woods &amp; Coppins, 2012</v>
          </cell>
          <cell r="G1866" t="str">
            <v>NHMSYS0001475455</v>
          </cell>
          <cell r="H1866" t="str">
            <v>Bacidia delicata</v>
          </cell>
        </row>
        <row r="1867">
          <cell r="A1867" t="str">
            <v>Bacidia egenula</v>
          </cell>
          <cell r="B1867" t="str">
            <v>Lichens</v>
          </cell>
          <cell r="C1867" t="str">
            <v>Mycophycophyta</v>
          </cell>
          <cell r="D1867" t="str">
            <v>Bacidia egenula</v>
          </cell>
          <cell r="E1867" t="str">
            <v>LC</v>
          </cell>
          <cell r="F1867" t="str">
            <v>Woods &amp; Coppins, 2012</v>
          </cell>
          <cell r="G1867" t="str">
            <v>NHMSYS0001475456</v>
          </cell>
          <cell r="H1867" t="str">
            <v>Bacidia egenula</v>
          </cell>
        </row>
        <row r="1868">
          <cell r="A1868" t="str">
            <v>Bacidia friesiana</v>
          </cell>
          <cell r="B1868" t="str">
            <v>Lichens</v>
          </cell>
          <cell r="C1868" t="str">
            <v>Mycophycophyta</v>
          </cell>
          <cell r="D1868" t="str">
            <v>Bacidia friesiana</v>
          </cell>
          <cell r="E1868" t="str">
            <v>LC</v>
          </cell>
          <cell r="F1868" t="str">
            <v>Woods &amp; Coppins, 2012</v>
          </cell>
          <cell r="G1868" t="str">
            <v>NBNSYS0000018225</v>
          </cell>
          <cell r="H1868" t="str">
            <v>Bacidia friesiana</v>
          </cell>
        </row>
        <row r="1869">
          <cell r="A1869" t="str">
            <v>Bacidia fuscoviridis</v>
          </cell>
          <cell r="B1869" t="str">
            <v>Lichens</v>
          </cell>
          <cell r="C1869" t="str">
            <v>Mycophycophyta</v>
          </cell>
          <cell r="D1869" t="str">
            <v>Bacidia fuscoviridis</v>
          </cell>
          <cell r="E1869" t="str">
            <v>LC</v>
          </cell>
          <cell r="F1869" t="str">
            <v>Woods &amp; Coppins, 2012</v>
          </cell>
          <cell r="G1869" t="str">
            <v>NBNSYS0000018227</v>
          </cell>
          <cell r="H1869" t="str">
            <v>Bacidia fuscoviridis</v>
          </cell>
        </row>
        <row r="1870">
          <cell r="A1870" t="str">
            <v>Bacidia incompta</v>
          </cell>
          <cell r="B1870" t="str">
            <v>Lichens</v>
          </cell>
          <cell r="C1870" t="str">
            <v>Mycophycophyta</v>
          </cell>
          <cell r="D1870" t="str">
            <v>Bacidia incompta</v>
          </cell>
          <cell r="E1870" t="str">
            <v>VU</v>
          </cell>
          <cell r="F1870" t="str">
            <v>Woods &amp; Coppins, 2012</v>
          </cell>
          <cell r="G1870" t="str">
            <v>NHMSYS0001475427</v>
          </cell>
          <cell r="H1870" t="str">
            <v>Bacidia incompta</v>
          </cell>
        </row>
        <row r="1871">
          <cell r="A1871" t="str">
            <v>Bacidia inundata</v>
          </cell>
          <cell r="B1871" t="str">
            <v>Lichens</v>
          </cell>
          <cell r="C1871" t="str">
            <v>Mycophycophyta</v>
          </cell>
          <cell r="D1871" t="str">
            <v>Bacidia inundata</v>
          </cell>
          <cell r="E1871" t="str">
            <v>LC</v>
          </cell>
          <cell r="F1871" t="str">
            <v>Woods &amp; Coppins, 2012</v>
          </cell>
          <cell r="G1871" t="str">
            <v>NHMSYS0001475457</v>
          </cell>
          <cell r="H1871" t="str">
            <v>Bacidia inundata</v>
          </cell>
        </row>
        <row r="1872">
          <cell r="A1872" t="str">
            <v>Bacidia laurocerasi</v>
          </cell>
          <cell r="B1872" t="str">
            <v>Lichens</v>
          </cell>
          <cell r="C1872" t="str">
            <v>Mycophycophyta</v>
          </cell>
          <cell r="D1872" t="str">
            <v>Bacidia laurocerasi</v>
          </cell>
          <cell r="E1872" t="str">
            <v>LC</v>
          </cell>
          <cell r="F1872" t="str">
            <v>Woods &amp; Coppins, 2012</v>
          </cell>
          <cell r="G1872" t="str">
            <v>NBNSYS0000018233</v>
          </cell>
          <cell r="H1872" t="str">
            <v>Bacidia laurocerasi</v>
          </cell>
        </row>
        <row r="1873">
          <cell r="A1873" t="str">
            <v>Bacidia neosquamulosa</v>
          </cell>
          <cell r="B1873" t="str">
            <v>Lichens</v>
          </cell>
          <cell r="C1873" t="str">
            <v>Mycophycophyta</v>
          </cell>
          <cell r="D1873" t="str">
            <v>Bacidia neosquamulosa</v>
          </cell>
          <cell r="E1873" t="str">
            <v>LC</v>
          </cell>
          <cell r="F1873" t="str">
            <v>Woods &amp; Coppins, 2012</v>
          </cell>
          <cell r="G1873" t="str">
            <v>BMSSYS0000042817</v>
          </cell>
          <cell r="H1873" t="str">
            <v>Bacidia neosquamulosa</v>
          </cell>
        </row>
        <row r="1874">
          <cell r="A1874" t="str">
            <v>Bacidia phacodes</v>
          </cell>
          <cell r="B1874" t="str">
            <v>Lichens</v>
          </cell>
          <cell r="C1874" t="str">
            <v>Mycophycophyta</v>
          </cell>
          <cell r="D1874" t="str">
            <v>Bacidia phacodes</v>
          </cell>
          <cell r="E1874" t="str">
            <v>LC</v>
          </cell>
          <cell r="F1874" t="str">
            <v>Woods &amp; Coppins, 2012</v>
          </cell>
          <cell r="G1874" t="str">
            <v>NHMSYS0001475458</v>
          </cell>
          <cell r="H1874" t="str">
            <v>Bacidia phacodes</v>
          </cell>
        </row>
        <row r="1875">
          <cell r="A1875" t="str">
            <v>Bacidia polychroa</v>
          </cell>
          <cell r="B1875" t="str">
            <v>Lichens</v>
          </cell>
          <cell r="C1875" t="str">
            <v>Mycophycophyta</v>
          </cell>
          <cell r="D1875" t="str">
            <v>Bacidia polychroa</v>
          </cell>
          <cell r="E1875" t="str">
            <v>EX</v>
          </cell>
          <cell r="F1875" t="str">
            <v>Woods &amp; Coppins, 2012</v>
          </cell>
          <cell r="G1875" t="str">
            <v>NBNSYS0000018239</v>
          </cell>
          <cell r="H1875" t="str">
            <v>Bacidia polychroa</v>
          </cell>
        </row>
        <row r="1876">
          <cell r="A1876" t="str">
            <v>Bacidia rubella</v>
          </cell>
          <cell r="B1876" t="str">
            <v>Lichens</v>
          </cell>
          <cell r="C1876" t="str">
            <v>Mycophycophyta</v>
          </cell>
          <cell r="D1876" t="str">
            <v>Bacidia rubella</v>
          </cell>
          <cell r="E1876" t="str">
            <v>LC</v>
          </cell>
          <cell r="F1876" t="str">
            <v>Woods &amp; Coppins, 2012</v>
          </cell>
          <cell r="G1876" t="str">
            <v>NHMSYS0001475440</v>
          </cell>
          <cell r="H1876" t="str">
            <v>Bacidia rubella</v>
          </cell>
        </row>
        <row r="1877">
          <cell r="A1877" t="str">
            <v>Bacidia saxenii</v>
          </cell>
          <cell r="B1877" t="str">
            <v>Lichens</v>
          </cell>
          <cell r="C1877" t="str">
            <v>Mycophycophyta</v>
          </cell>
          <cell r="D1877" t="str">
            <v>Bacidia saxenii</v>
          </cell>
          <cell r="E1877" t="str">
            <v>LC</v>
          </cell>
          <cell r="F1877" t="str">
            <v>Woods &amp; Coppins, 2012</v>
          </cell>
          <cell r="G1877" t="str">
            <v>BMSSYS0000042818</v>
          </cell>
          <cell r="H1877" t="str">
            <v>Bacidia saxenii</v>
          </cell>
        </row>
        <row r="1878">
          <cell r="A1878" t="str">
            <v>Bacidia scopulicola</v>
          </cell>
          <cell r="B1878" t="str">
            <v>Lichens</v>
          </cell>
          <cell r="C1878" t="str">
            <v>Mycophycophyta</v>
          </cell>
          <cell r="D1878" t="str">
            <v>Bacidia scopulicola</v>
          </cell>
          <cell r="E1878" t="str">
            <v>LC</v>
          </cell>
          <cell r="F1878" t="str">
            <v>Woods &amp; Coppins, 2012</v>
          </cell>
          <cell r="G1878" t="str">
            <v>NBNSYS0000018242</v>
          </cell>
          <cell r="H1878" t="str">
            <v>Bacidia scopulicola</v>
          </cell>
        </row>
        <row r="1879">
          <cell r="A1879" t="str">
            <v>Bacidia squamellosa</v>
          </cell>
          <cell r="B1879" t="str">
            <v>Lichens</v>
          </cell>
          <cell r="C1879" t="str">
            <v>Mycophycophyta</v>
          </cell>
          <cell r="D1879" t="str">
            <v>Bacidia squamellosa</v>
          </cell>
          <cell r="E1879" t="str">
            <v>LC</v>
          </cell>
          <cell r="F1879" t="str">
            <v>Woods &amp; Coppins, 2012</v>
          </cell>
          <cell r="G1879" t="str">
            <v>BMSSYS0000042819</v>
          </cell>
          <cell r="H1879" t="str">
            <v>Bacidia squamellosa</v>
          </cell>
        </row>
        <row r="1880">
          <cell r="A1880" t="str">
            <v>Bacidia subincompta</v>
          </cell>
          <cell r="B1880" t="str">
            <v>Lichens</v>
          </cell>
          <cell r="C1880" t="str">
            <v>Mycophycophyta</v>
          </cell>
          <cell r="D1880" t="str">
            <v>Bacidia subincompta</v>
          </cell>
          <cell r="E1880" t="str">
            <v>VU</v>
          </cell>
          <cell r="F1880" t="str">
            <v>Woods &amp; Coppins, 2012</v>
          </cell>
          <cell r="G1880" t="str">
            <v>NHMSYS0021576888</v>
          </cell>
          <cell r="H1880" t="str">
            <v>Bacidia subincompta</v>
          </cell>
        </row>
        <row r="1881">
          <cell r="A1881" t="str">
            <v>Bacidia subturgidula</v>
          </cell>
          <cell r="B1881" t="str">
            <v>Lichens</v>
          </cell>
          <cell r="C1881" t="str">
            <v>Mycophycophyta</v>
          </cell>
          <cell r="D1881" t="str">
            <v>Bacidia subturgidula</v>
          </cell>
          <cell r="E1881" t="str">
            <v>CR</v>
          </cell>
          <cell r="F1881" t="str">
            <v>Woods &amp; Coppins, 2012</v>
          </cell>
          <cell r="G1881" t="str">
            <v>NBNSYS0000018245</v>
          </cell>
          <cell r="H1881" t="str">
            <v>Bacidia subturgidula</v>
          </cell>
        </row>
        <row r="1882">
          <cell r="A1882" t="str">
            <v>Bacidia sulphurella</v>
          </cell>
          <cell r="B1882" t="str">
            <v>Lichens</v>
          </cell>
          <cell r="C1882" t="str">
            <v>Mycophycophyta</v>
          </cell>
          <cell r="D1882" t="str">
            <v>Bacidia sulphurella</v>
          </cell>
          <cell r="E1882" t="str">
            <v>LC</v>
          </cell>
          <cell r="F1882" t="str">
            <v>Woods &amp; Coppins, 2012</v>
          </cell>
          <cell r="G1882" t="str">
            <v>NHMSYS0021576518</v>
          </cell>
          <cell r="H1882" t="str">
            <v>Bacidia sulphurella</v>
          </cell>
        </row>
        <row r="1883">
          <cell r="A1883" t="str">
            <v>Bacidia trachona</v>
          </cell>
          <cell r="B1883" t="str">
            <v>Lichens</v>
          </cell>
          <cell r="C1883" t="str">
            <v>Mycophycophyta</v>
          </cell>
          <cell r="D1883" t="str">
            <v>Bacidia trachona</v>
          </cell>
          <cell r="E1883" t="str">
            <v>LC</v>
          </cell>
          <cell r="F1883" t="str">
            <v>Woods &amp; Coppins, 2012</v>
          </cell>
          <cell r="G1883" t="str">
            <v>BMSSYS0000731140</v>
          </cell>
          <cell r="H1883" t="str">
            <v>Bacidia trachona</v>
          </cell>
        </row>
        <row r="1884">
          <cell r="A1884" t="str">
            <v>Bacidia viridescens</v>
          </cell>
          <cell r="B1884" t="str">
            <v>Lichens</v>
          </cell>
          <cell r="C1884" t="str">
            <v>Mycophycophyta</v>
          </cell>
          <cell r="D1884" t="str">
            <v>Bacidia viridescens</v>
          </cell>
          <cell r="E1884" t="str">
            <v>LC</v>
          </cell>
          <cell r="F1884" t="str">
            <v>Woods &amp; Coppins, 2012</v>
          </cell>
          <cell r="G1884" t="str">
            <v>NHMSYS0021576513</v>
          </cell>
          <cell r="H1884" t="str">
            <v>Bacidia viridescens</v>
          </cell>
        </row>
        <row r="1885">
          <cell r="A1885" t="str">
            <v>Bacidia viridifarinosa</v>
          </cell>
          <cell r="B1885" t="str">
            <v>Lichens</v>
          </cell>
          <cell r="C1885" t="str">
            <v>Mycophycophyta</v>
          </cell>
          <cell r="D1885" t="str">
            <v>Bacidia viridifarinosa</v>
          </cell>
          <cell r="E1885" t="str">
            <v>LC</v>
          </cell>
          <cell r="F1885" t="str">
            <v>Woods &amp; Coppins, 2012</v>
          </cell>
          <cell r="G1885" t="str">
            <v>BMSSYS0000731141</v>
          </cell>
          <cell r="H1885" t="str">
            <v>Bacidia viridifarinosa</v>
          </cell>
        </row>
        <row r="1886">
          <cell r="A1886" t="str">
            <v>Bactrospora corticola</v>
          </cell>
          <cell r="B1886" t="str">
            <v>Lichens</v>
          </cell>
          <cell r="C1886" t="str">
            <v>Mycophycophyta</v>
          </cell>
          <cell r="D1886" t="str">
            <v>Bactrospora corticola</v>
          </cell>
          <cell r="E1886" t="str">
            <v>LC</v>
          </cell>
          <cell r="F1886" t="str">
            <v>Woods &amp; Coppins, 2012</v>
          </cell>
          <cell r="G1886" t="str">
            <v>NBNSYS0000019170</v>
          </cell>
          <cell r="H1886" t="str">
            <v>Bactrospora corticola</v>
          </cell>
        </row>
        <row r="1887">
          <cell r="A1887" t="str">
            <v>Baeomyces placophyllus</v>
          </cell>
          <cell r="B1887" t="str">
            <v>Lichens</v>
          </cell>
          <cell r="C1887" t="str">
            <v>Mycophycophyta</v>
          </cell>
          <cell r="D1887" t="str">
            <v>Baeomyces placophyllus</v>
          </cell>
          <cell r="E1887" t="str">
            <v>LC</v>
          </cell>
          <cell r="F1887" t="str">
            <v>Woods &amp; Coppins, 2012</v>
          </cell>
          <cell r="G1887" t="str">
            <v>NBNSYS0000017046</v>
          </cell>
          <cell r="H1887" t="str">
            <v>Baeomyces placophyllus</v>
          </cell>
        </row>
        <row r="1888">
          <cell r="A1888" t="str">
            <v>Baeomyces rufus</v>
          </cell>
          <cell r="B1888" t="str">
            <v>Lichens</v>
          </cell>
          <cell r="C1888" t="str">
            <v>Mycophycophyta</v>
          </cell>
          <cell r="D1888" t="str">
            <v>Baeomyces rufus</v>
          </cell>
          <cell r="E1888" t="str">
            <v>LC</v>
          </cell>
          <cell r="F1888" t="str">
            <v>Woods &amp; Coppins, 2012</v>
          </cell>
          <cell r="G1888" t="str">
            <v>NBNSYS0000017048</v>
          </cell>
          <cell r="H1888" t="str">
            <v>Baeomyces rufus</v>
          </cell>
        </row>
        <row r="1889">
          <cell r="A1889" t="str">
            <v>Belonia incarnata</v>
          </cell>
          <cell r="B1889" t="str">
            <v>Lichens</v>
          </cell>
          <cell r="C1889" t="str">
            <v>Mycophycophyta</v>
          </cell>
          <cell r="D1889" t="str">
            <v>Belonia incarnata</v>
          </cell>
          <cell r="E1889" t="str">
            <v>LC</v>
          </cell>
          <cell r="F1889" t="str">
            <v>Woods &amp; Coppins, 2012</v>
          </cell>
          <cell r="G1889" t="str">
            <v>NHMSYS0001475570</v>
          </cell>
          <cell r="H1889" t="str">
            <v>Belonia incarnata</v>
          </cell>
        </row>
        <row r="1890">
          <cell r="A1890" t="str">
            <v>Belonia nidarosiensis</v>
          </cell>
          <cell r="B1890" t="str">
            <v>Lichens</v>
          </cell>
          <cell r="C1890" t="str">
            <v>Mycophycophyta</v>
          </cell>
          <cell r="D1890" t="str">
            <v>Belonia nidarosiensis</v>
          </cell>
          <cell r="E1890" t="str">
            <v>LC</v>
          </cell>
          <cell r="F1890" t="str">
            <v>Woods &amp; Coppins, 2012</v>
          </cell>
          <cell r="G1890" t="str">
            <v>NHMSYS0001475571</v>
          </cell>
          <cell r="H1890" t="str">
            <v>Belonia nidarosiensis</v>
          </cell>
        </row>
        <row r="1891">
          <cell r="A1891" t="str">
            <v>Biatora britannica</v>
          </cell>
          <cell r="B1891" t="str">
            <v>Lichens</v>
          </cell>
          <cell r="C1891" t="str">
            <v>Mycophycophyta</v>
          </cell>
          <cell r="D1891" t="str">
            <v>Biatora britannica</v>
          </cell>
          <cell r="E1891" t="str">
            <v>LC</v>
          </cell>
          <cell r="F1891" t="str">
            <v>Woods &amp; Coppins, 2012</v>
          </cell>
          <cell r="G1891" t="str">
            <v>NHMSYS0001475631</v>
          </cell>
          <cell r="H1891" t="str">
            <v>Biatora britannica</v>
          </cell>
        </row>
        <row r="1892">
          <cell r="A1892" t="str">
            <v>Biatora chrysantha</v>
          </cell>
          <cell r="B1892" t="str">
            <v>Lichens</v>
          </cell>
          <cell r="C1892" t="str">
            <v>Mycophycophyta</v>
          </cell>
          <cell r="D1892" t="str">
            <v>Biatora chrysantha</v>
          </cell>
          <cell r="E1892" t="str">
            <v>LC</v>
          </cell>
          <cell r="F1892" t="str">
            <v>Woods &amp; Coppins, 2012</v>
          </cell>
          <cell r="G1892" t="str">
            <v>BMSSYS0000002351</v>
          </cell>
          <cell r="H1892" t="str">
            <v>Biatora chrysantha</v>
          </cell>
        </row>
        <row r="1893">
          <cell r="A1893" t="str">
            <v>Biatora globulosa</v>
          </cell>
          <cell r="B1893" t="str">
            <v>Lichens</v>
          </cell>
          <cell r="C1893" t="str">
            <v>Mycophycophyta</v>
          </cell>
          <cell r="D1893" t="str">
            <v>Biatora globulosa</v>
          </cell>
          <cell r="E1893" t="str">
            <v>NT</v>
          </cell>
          <cell r="F1893" t="str">
            <v>Woods &amp; Coppins, 2012</v>
          </cell>
          <cell r="G1893" t="str">
            <v>NHMSYS0020535076</v>
          </cell>
          <cell r="H1893" t="str">
            <v>Biatora globulosa</v>
          </cell>
        </row>
        <row r="1894">
          <cell r="A1894" t="str">
            <v>Biatora vernalis</v>
          </cell>
          <cell r="B1894" t="str">
            <v>Lichens</v>
          </cell>
          <cell r="C1894" t="str">
            <v>Mycophycophyta</v>
          </cell>
          <cell r="D1894" t="str">
            <v>Biatora vernalis</v>
          </cell>
          <cell r="E1894" t="str">
            <v>LC</v>
          </cell>
          <cell r="F1894" t="str">
            <v>Woods &amp; Coppins, 2012</v>
          </cell>
          <cell r="G1894" t="str">
            <v>NBNSYS0000018736</v>
          </cell>
          <cell r="H1894" t="str">
            <v>Biatora vernalis</v>
          </cell>
        </row>
        <row r="1895">
          <cell r="A1895" t="str">
            <v>Biatora veteranorum</v>
          </cell>
          <cell r="B1895" t="str">
            <v>Lichens</v>
          </cell>
          <cell r="C1895" t="str">
            <v>Mycophycophyta</v>
          </cell>
          <cell r="D1895" t="str">
            <v>Biatora veteranorum</v>
          </cell>
          <cell r="E1895" t="str">
            <v>VU</v>
          </cell>
          <cell r="F1895" t="str">
            <v>Woods &amp; Coppins, 2012</v>
          </cell>
          <cell r="G1895" t="str">
            <v>NHMSYS0020989803</v>
          </cell>
          <cell r="H1895" t="str">
            <v>Biatora veteranorum</v>
          </cell>
        </row>
        <row r="1896">
          <cell r="A1896" t="str">
            <v>Biatorella fossarum</v>
          </cell>
          <cell r="B1896" t="str">
            <v>Lichens</v>
          </cell>
          <cell r="C1896" t="str">
            <v>Mycophycophyta</v>
          </cell>
          <cell r="D1896" t="str">
            <v>Biatorella fossarum</v>
          </cell>
          <cell r="E1896" t="str">
            <v>EN</v>
          </cell>
          <cell r="F1896" t="str">
            <v>Woods &amp; Coppins, 2012</v>
          </cell>
          <cell r="G1896" t="str">
            <v>NHMSYS0001475685</v>
          </cell>
          <cell r="H1896" t="str">
            <v>Biatorella fossarum</v>
          </cell>
        </row>
        <row r="1897">
          <cell r="A1897" t="str">
            <v>Biatorella hemisphaerica</v>
          </cell>
          <cell r="B1897" t="str">
            <v>Lichens</v>
          </cell>
          <cell r="C1897" t="str">
            <v>Mycophycophyta</v>
          </cell>
          <cell r="D1897" t="str">
            <v>Biatorella hemisphaerica</v>
          </cell>
          <cell r="E1897" t="str">
            <v>VU</v>
          </cell>
          <cell r="F1897" t="str">
            <v>Woods &amp; Coppins, 2012</v>
          </cell>
          <cell r="G1897" t="str">
            <v>NBNSYS0000018248</v>
          </cell>
          <cell r="H1897" t="str">
            <v>Biatorella hemisphaerica</v>
          </cell>
        </row>
        <row r="1898">
          <cell r="A1898" t="str">
            <v>Biatoridium delitescens</v>
          </cell>
          <cell r="B1898" t="str">
            <v>Lichens</v>
          </cell>
          <cell r="C1898" t="str">
            <v>Mycophycophyta</v>
          </cell>
          <cell r="D1898" t="str">
            <v>Biatoridium delitescens</v>
          </cell>
          <cell r="E1898" t="str">
            <v>VU</v>
          </cell>
          <cell r="F1898" t="str">
            <v>Woods &amp; Coppins, 2012</v>
          </cell>
          <cell r="G1898" t="str">
            <v>NBNSYS0000019069</v>
          </cell>
          <cell r="H1898" t="str">
            <v>Biatoridium delitescens</v>
          </cell>
        </row>
        <row r="1899">
          <cell r="A1899" t="str">
            <v>Biatoridium monasteriense</v>
          </cell>
          <cell r="B1899" t="str">
            <v>Lichens</v>
          </cell>
          <cell r="C1899" t="str">
            <v>Mycophycophyta</v>
          </cell>
          <cell r="D1899" t="str">
            <v>Biatoridium monasteriense</v>
          </cell>
          <cell r="E1899" t="str">
            <v>EN</v>
          </cell>
          <cell r="F1899" t="str">
            <v>Woods &amp; Coppins, 2012</v>
          </cell>
          <cell r="G1899" t="str">
            <v>NBNSYS0000018249</v>
          </cell>
          <cell r="H1899" t="str">
            <v>Biatoridium monasteriense</v>
          </cell>
        </row>
        <row r="1900">
          <cell r="A1900" t="str">
            <v>Biatoropsis usnearum</v>
          </cell>
          <cell r="B1900" t="str">
            <v>Lichens</v>
          </cell>
          <cell r="C1900" t="str">
            <v>Mycophycophyta</v>
          </cell>
          <cell r="D1900" t="str">
            <v>Biatoropsis usnearum</v>
          </cell>
          <cell r="E1900" t="str">
            <v>LC</v>
          </cell>
          <cell r="F1900" t="str">
            <v>Woods &amp; Coppins, 2012</v>
          </cell>
          <cell r="G1900" t="str">
            <v>BMSSYS0000002503</v>
          </cell>
          <cell r="H1900" t="str">
            <v>Biatoropsis usnearum</v>
          </cell>
        </row>
        <row r="1901">
          <cell r="A1901" t="str">
            <v>Bilimbia lobulata</v>
          </cell>
          <cell r="B1901" t="str">
            <v>Lichens</v>
          </cell>
          <cell r="C1901" t="str">
            <v>Mycophycophyta</v>
          </cell>
          <cell r="D1901" t="str">
            <v>Bilimbia lobulata</v>
          </cell>
          <cell r="E1901" t="str">
            <v>LC</v>
          </cell>
          <cell r="F1901" t="str">
            <v>Woods &amp; Coppins, 2012</v>
          </cell>
          <cell r="G1901" t="str">
            <v>NHMSYS0001475735</v>
          </cell>
          <cell r="H1901" t="str">
            <v>Bilimbia lobulata</v>
          </cell>
        </row>
        <row r="1902">
          <cell r="A1902" t="str">
            <v>Bilimbia sabuletorum</v>
          </cell>
          <cell r="B1902" t="str">
            <v>Lichens</v>
          </cell>
          <cell r="C1902" t="str">
            <v>Mycophycophyta</v>
          </cell>
          <cell r="D1902" t="str">
            <v>Bilimbia sabuletorum</v>
          </cell>
          <cell r="E1902" t="str">
            <v>LC</v>
          </cell>
          <cell r="F1902" t="str">
            <v>Woods &amp; Coppins, 2012</v>
          </cell>
          <cell r="G1902" t="str">
            <v>BMSSYS0000002547</v>
          </cell>
          <cell r="H1902" t="str">
            <v>Bilimbia sabuletorum</v>
          </cell>
        </row>
        <row r="1903">
          <cell r="A1903" t="str">
            <v>Botryolepraria lesdainii</v>
          </cell>
          <cell r="B1903" t="str">
            <v>Lichens</v>
          </cell>
          <cell r="C1903" t="str">
            <v>Mycophycophyta</v>
          </cell>
          <cell r="D1903" t="str">
            <v>Botryolepraria lesdainii</v>
          </cell>
          <cell r="E1903" t="str">
            <v>LC</v>
          </cell>
          <cell r="F1903" t="str">
            <v>Woods &amp; Coppins, 2012</v>
          </cell>
          <cell r="G1903" t="str">
            <v>NHMSYS0001476162</v>
          </cell>
          <cell r="H1903" t="str">
            <v>Botryolepraria lesdainii</v>
          </cell>
        </row>
        <row r="1904">
          <cell r="A1904" t="str">
            <v>Briancoppinsia cytospora</v>
          </cell>
          <cell r="B1904" t="str">
            <v>Lichens</v>
          </cell>
          <cell r="C1904" t="str">
            <v>Mycophycophyta</v>
          </cell>
          <cell r="D1904" t="str">
            <v>Briancoppinsia cytospora</v>
          </cell>
          <cell r="E1904" t="str">
            <v>LC</v>
          </cell>
          <cell r="F1904" t="str">
            <v>Woods &amp; Coppins, 2012</v>
          </cell>
          <cell r="G1904" t="str">
            <v>BMSSYS0000043179</v>
          </cell>
          <cell r="H1904" t="str">
            <v>Briancoppinsia cytospora</v>
          </cell>
        </row>
        <row r="1905">
          <cell r="A1905" t="str">
            <v>Brigantiaea fuscolutea</v>
          </cell>
          <cell r="B1905" t="str">
            <v>Lichens</v>
          </cell>
          <cell r="C1905" t="str">
            <v>Mycophycophyta</v>
          </cell>
          <cell r="D1905" t="str">
            <v>Brigantiaea fuscolutea</v>
          </cell>
          <cell r="E1905" t="str">
            <v>NT</v>
          </cell>
          <cell r="F1905" t="str">
            <v>Woods &amp; Coppins, 2012</v>
          </cell>
          <cell r="G1905" t="str">
            <v>NBNSYS0000018253</v>
          </cell>
          <cell r="H1905" t="str">
            <v>Brigantiaea fuscolutea</v>
          </cell>
        </row>
        <row r="1906">
          <cell r="A1906" t="str">
            <v>Bryophagus gloeocapsa</v>
          </cell>
          <cell r="B1906" t="str">
            <v>Lichens</v>
          </cell>
          <cell r="C1906" t="str">
            <v>Mycophycophyta</v>
          </cell>
          <cell r="D1906" t="str">
            <v>Bryophagus gloeocapsa</v>
          </cell>
          <cell r="E1906" t="str">
            <v>LC</v>
          </cell>
          <cell r="F1906" t="str">
            <v>Woods &amp; Coppins, 2012</v>
          </cell>
          <cell r="G1906" t="str">
            <v>BMSSYS0000044541</v>
          </cell>
          <cell r="H1906" t="str">
            <v>Bryophagus gloeocapsa</v>
          </cell>
        </row>
        <row r="1907">
          <cell r="A1907" t="str">
            <v>Bryoria bicolor</v>
          </cell>
          <cell r="B1907" t="str">
            <v>Lichens</v>
          </cell>
          <cell r="C1907" t="str">
            <v>Mycophycophyta</v>
          </cell>
          <cell r="D1907" t="str">
            <v>Bryoria bicolor</v>
          </cell>
          <cell r="E1907" t="str">
            <v>LC</v>
          </cell>
          <cell r="F1907" t="str">
            <v>Woods &amp; Coppins, 2012</v>
          </cell>
          <cell r="G1907" t="str">
            <v>NHMSYS0001476288</v>
          </cell>
          <cell r="H1907" t="str">
            <v>Bryoria bicolor</v>
          </cell>
        </row>
        <row r="1908">
          <cell r="A1908" t="str">
            <v>Bryoria capillaris</v>
          </cell>
          <cell r="B1908" t="str">
            <v>Lichens</v>
          </cell>
          <cell r="C1908" t="str">
            <v>Mycophycophyta</v>
          </cell>
          <cell r="D1908" t="str">
            <v>Bryoria capillaris</v>
          </cell>
          <cell r="E1908" t="str">
            <v>LC</v>
          </cell>
          <cell r="F1908" t="str">
            <v>Woods &amp; Coppins, 2012</v>
          </cell>
          <cell r="G1908" t="str">
            <v>NHMSYS0001476289</v>
          </cell>
          <cell r="H1908" t="str">
            <v>Bryoria capillaris</v>
          </cell>
        </row>
        <row r="1909">
          <cell r="A1909" t="str">
            <v>Bryoria chalybeiformis</v>
          </cell>
          <cell r="B1909" t="str">
            <v>Lichens</v>
          </cell>
          <cell r="C1909" t="str">
            <v>Mycophycophyta</v>
          </cell>
          <cell r="D1909" t="str">
            <v>Bryoria chalybeiformis</v>
          </cell>
          <cell r="E1909" t="str">
            <v>LC</v>
          </cell>
          <cell r="F1909" t="str">
            <v>Woods &amp; Coppins, 2012</v>
          </cell>
          <cell r="G1909" t="str">
            <v>NBNSYS0000018257</v>
          </cell>
          <cell r="H1909" t="str">
            <v>Bryoria chalybeiformis</v>
          </cell>
        </row>
        <row r="1910">
          <cell r="A1910" t="str">
            <v>Bryoria fuscescens</v>
          </cell>
          <cell r="B1910" t="str">
            <v>Lichens</v>
          </cell>
          <cell r="C1910" t="str">
            <v>Mycophycophyta</v>
          </cell>
          <cell r="D1910" t="str">
            <v>Bryoria fuscescens</v>
          </cell>
          <cell r="E1910" t="str">
            <v>LC</v>
          </cell>
          <cell r="F1910" t="str">
            <v>Woods &amp; Coppins, 2012</v>
          </cell>
          <cell r="G1910" t="str">
            <v>NBNSYS0000018259</v>
          </cell>
          <cell r="H1910" t="str">
            <v>Bryoria fuscescens</v>
          </cell>
        </row>
        <row r="1911">
          <cell r="A1911" t="str">
            <v>Bryoria lanestris</v>
          </cell>
          <cell r="B1911" t="str">
            <v>Lichens</v>
          </cell>
          <cell r="C1911" t="str">
            <v>Mycophycophyta</v>
          </cell>
          <cell r="D1911" t="str">
            <v>Bryoria lanestris</v>
          </cell>
          <cell r="E1911" t="str">
            <v>LC</v>
          </cell>
          <cell r="F1911" t="str">
            <v>Woods &amp; Coppins, 2012</v>
          </cell>
          <cell r="G1911" t="str">
            <v>NBNSYS0000018261</v>
          </cell>
          <cell r="H1911" t="str">
            <v>Bryoria lanestris</v>
          </cell>
        </row>
        <row r="1912">
          <cell r="A1912" t="str">
            <v>Bryoria nadvornikiana</v>
          </cell>
          <cell r="B1912" t="str">
            <v>Lichens</v>
          </cell>
          <cell r="C1912" t="str">
            <v>Mycophycophyta</v>
          </cell>
          <cell r="D1912" t="str">
            <v>Bryoria nadvornikiana</v>
          </cell>
          <cell r="E1912" t="str">
            <v>VU</v>
          </cell>
          <cell r="F1912" t="str">
            <v>Woods &amp; Coppins, 2012</v>
          </cell>
          <cell r="G1912" t="str">
            <v>NBNSYS0000018262</v>
          </cell>
          <cell r="H1912" t="str">
            <v>Bryoria nadvornikiana</v>
          </cell>
        </row>
        <row r="1913">
          <cell r="A1913" t="str">
            <v>Bryoria smithii</v>
          </cell>
          <cell r="B1913" t="str">
            <v>Lichens</v>
          </cell>
          <cell r="C1913" t="str">
            <v>Mycophycophyta</v>
          </cell>
          <cell r="D1913" t="str">
            <v>Bryoria smithii</v>
          </cell>
          <cell r="E1913" t="str">
            <v>CR</v>
          </cell>
          <cell r="F1913" t="str">
            <v>Woods &amp; Coppins, 2012</v>
          </cell>
          <cell r="G1913" t="str">
            <v>NBNSYS0000018265</v>
          </cell>
          <cell r="H1913" t="str">
            <v>Bryoria smithii</v>
          </cell>
        </row>
        <row r="1914">
          <cell r="A1914" t="str">
            <v>Bryoria subcana</v>
          </cell>
          <cell r="B1914" t="str">
            <v>Lichens</v>
          </cell>
          <cell r="C1914" t="str">
            <v>Mycophycophyta</v>
          </cell>
          <cell r="D1914" t="str">
            <v>Bryoria subcana</v>
          </cell>
          <cell r="E1914" t="str">
            <v>LC</v>
          </cell>
          <cell r="F1914" t="str">
            <v>Woods &amp; Coppins, 2012</v>
          </cell>
          <cell r="G1914" t="str">
            <v>NHMSYS0001476291</v>
          </cell>
          <cell r="H1914" t="str">
            <v>Bryoria subcana</v>
          </cell>
        </row>
        <row r="1915">
          <cell r="A1915" t="str">
            <v>Buellia abstracta</v>
          </cell>
          <cell r="B1915" t="str">
            <v>Lichens</v>
          </cell>
          <cell r="C1915" t="str">
            <v>Mycophycophyta</v>
          </cell>
          <cell r="D1915" t="str">
            <v>Buellia abstracta</v>
          </cell>
          <cell r="E1915" t="str">
            <v>LC</v>
          </cell>
          <cell r="F1915" t="str">
            <v>Woods &amp; Coppins, 2012</v>
          </cell>
          <cell r="G1915" t="str">
            <v>NHMSYS0001476302</v>
          </cell>
          <cell r="H1915" t="str">
            <v>Buellia abstracta</v>
          </cell>
        </row>
        <row r="1916">
          <cell r="A1916" t="str">
            <v>Buellia aethalea</v>
          </cell>
          <cell r="B1916" t="str">
            <v>Lichens</v>
          </cell>
          <cell r="C1916" t="str">
            <v>Mycophycophyta</v>
          </cell>
          <cell r="D1916" t="str">
            <v>Buellia aethalea</v>
          </cell>
          <cell r="E1916" t="str">
            <v>LC</v>
          </cell>
          <cell r="F1916" t="str">
            <v>Woods &amp; Coppins, 2012</v>
          </cell>
          <cell r="G1916" t="str">
            <v>NHMSYS0001476303</v>
          </cell>
          <cell r="H1916" t="str">
            <v>Buellia aethalea</v>
          </cell>
        </row>
        <row r="1917">
          <cell r="A1917" t="str">
            <v>Buellia asterella</v>
          </cell>
          <cell r="B1917" t="str">
            <v>Lichens</v>
          </cell>
          <cell r="C1917" t="str">
            <v>Mycophycophyta</v>
          </cell>
          <cell r="D1917" t="str">
            <v>Buellia asterella</v>
          </cell>
          <cell r="E1917" t="str">
            <v>CR</v>
          </cell>
          <cell r="F1917" t="str">
            <v>Woods &amp; Coppins, 2012</v>
          </cell>
          <cell r="G1917" t="str">
            <v>NHMSYS0001476310</v>
          </cell>
          <cell r="H1917" t="str">
            <v>Buellia asterella</v>
          </cell>
        </row>
        <row r="1918">
          <cell r="A1918" t="str">
            <v>Buellia badia</v>
          </cell>
          <cell r="B1918" t="str">
            <v>Lichens</v>
          </cell>
          <cell r="C1918" t="str">
            <v>Mycophycophyta</v>
          </cell>
          <cell r="D1918" t="str">
            <v>Buellia badia</v>
          </cell>
          <cell r="E1918" t="str">
            <v>LC</v>
          </cell>
          <cell r="F1918" t="str">
            <v>Woods &amp; Coppins, 2012</v>
          </cell>
          <cell r="G1918" t="str">
            <v>BMSSYS0000002938</v>
          </cell>
          <cell r="H1918" t="str">
            <v>Buellia badia</v>
          </cell>
        </row>
        <row r="1919">
          <cell r="A1919" t="str">
            <v>Buellia disciformis</v>
          </cell>
          <cell r="B1919" t="str">
            <v>Lichens</v>
          </cell>
          <cell r="C1919" t="str">
            <v>Mycophycophyta</v>
          </cell>
          <cell r="D1919" t="str">
            <v>Buellia disciformis</v>
          </cell>
          <cell r="E1919" t="str">
            <v>LC</v>
          </cell>
          <cell r="F1919" t="str">
            <v>Woods &amp; Coppins, 2012</v>
          </cell>
          <cell r="G1919" t="str">
            <v>NBNSYS0000018272</v>
          </cell>
          <cell r="H1919" t="str">
            <v>Buellia disciformis</v>
          </cell>
        </row>
        <row r="1920">
          <cell r="A1920" t="str">
            <v>Buellia erubescens</v>
          </cell>
          <cell r="B1920" t="str">
            <v>Lichens</v>
          </cell>
          <cell r="C1920" t="str">
            <v>Mycophycophyta</v>
          </cell>
          <cell r="D1920" t="str">
            <v>Buellia erubescens</v>
          </cell>
          <cell r="E1920" t="str">
            <v>LC</v>
          </cell>
          <cell r="F1920" t="str">
            <v>Woods &amp; Coppins, 2012</v>
          </cell>
          <cell r="G1920" t="str">
            <v>NBNSYS0000018273</v>
          </cell>
          <cell r="H1920" t="str">
            <v>Buellia erubescens</v>
          </cell>
        </row>
        <row r="1921">
          <cell r="A1921" t="str">
            <v>Buellia griseovirens</v>
          </cell>
          <cell r="B1921" t="str">
            <v>Lichens</v>
          </cell>
          <cell r="C1921" t="str">
            <v>Mycophycophyta</v>
          </cell>
          <cell r="D1921" t="str">
            <v>Buellia griseovirens</v>
          </cell>
          <cell r="E1921" t="str">
            <v>LC</v>
          </cell>
          <cell r="F1921" t="str">
            <v>Woods &amp; Coppins, 2012</v>
          </cell>
          <cell r="G1921" t="str">
            <v>NBNSYS0000018275</v>
          </cell>
          <cell r="H1921" t="str">
            <v>Buellia griseovirens</v>
          </cell>
        </row>
        <row r="1922">
          <cell r="A1922" t="str">
            <v>Buellia hyperbolica</v>
          </cell>
          <cell r="B1922" t="str">
            <v>Lichens</v>
          </cell>
          <cell r="C1922" t="str">
            <v>Mycophycophyta</v>
          </cell>
          <cell r="D1922" t="str">
            <v>Buellia hyperbolica</v>
          </cell>
          <cell r="E1922" t="str">
            <v>VU</v>
          </cell>
          <cell r="F1922" t="str">
            <v>Woods &amp; Coppins, 2012</v>
          </cell>
          <cell r="G1922" t="str">
            <v>BMSSYS0000002968</v>
          </cell>
          <cell r="H1922" t="str">
            <v>Buellia hyperbolica</v>
          </cell>
        </row>
        <row r="1923">
          <cell r="A1923" t="str">
            <v>Buellia leptocline</v>
          </cell>
          <cell r="B1923" t="str">
            <v>Lichens</v>
          </cell>
          <cell r="C1923" t="str">
            <v>Mycophycophyta</v>
          </cell>
          <cell r="D1923" t="str">
            <v>Buellia leptocline</v>
          </cell>
          <cell r="E1923" t="str">
            <v>LC</v>
          </cell>
          <cell r="F1923" t="str">
            <v>Woods &amp; Coppins, 2012</v>
          </cell>
          <cell r="G1923" t="str">
            <v>NBNSYS0000018277</v>
          </cell>
          <cell r="H1923" t="str">
            <v>Buellia leptocline</v>
          </cell>
        </row>
        <row r="1924">
          <cell r="A1924" t="str">
            <v>Buellia leptoclinoides</v>
          </cell>
          <cell r="B1924" t="str">
            <v>Lichens</v>
          </cell>
          <cell r="C1924" t="str">
            <v>Mycophycophyta</v>
          </cell>
          <cell r="D1924" t="str">
            <v>Buellia leptoclinoides</v>
          </cell>
          <cell r="E1924" t="str">
            <v>LC</v>
          </cell>
          <cell r="F1924" t="str">
            <v>Woods &amp; Coppins, 2012</v>
          </cell>
          <cell r="G1924" t="str">
            <v>NHMSYS0001476322</v>
          </cell>
          <cell r="H1924" t="str">
            <v>Buellia leptoclinoides</v>
          </cell>
        </row>
        <row r="1925">
          <cell r="A1925" t="str">
            <v>Buellia ocellata</v>
          </cell>
          <cell r="B1925" t="str">
            <v>Lichens</v>
          </cell>
          <cell r="C1925" t="str">
            <v>Mycophycophyta</v>
          </cell>
          <cell r="D1925" t="str">
            <v>Buellia ocellata</v>
          </cell>
          <cell r="E1925" t="str">
            <v>LC</v>
          </cell>
          <cell r="F1925" t="str">
            <v>Woods &amp; Coppins, 2012</v>
          </cell>
          <cell r="G1925" t="str">
            <v>NHMSYS0001476332</v>
          </cell>
          <cell r="H1925" t="str">
            <v>Buellia ocellata</v>
          </cell>
        </row>
        <row r="1926">
          <cell r="A1926" t="str">
            <v>Buellia pulverea</v>
          </cell>
          <cell r="B1926" t="str">
            <v>Lichens</v>
          </cell>
          <cell r="C1926" t="str">
            <v>Mycophycophyta</v>
          </cell>
          <cell r="D1926" t="str">
            <v>Buellia pulverea</v>
          </cell>
          <cell r="E1926" t="str">
            <v>LC</v>
          </cell>
          <cell r="F1926" t="str">
            <v>Woods &amp; Coppins, 2012</v>
          </cell>
          <cell r="G1926" t="str">
            <v>NHMSYS0001476336</v>
          </cell>
          <cell r="H1926" t="str">
            <v>Buellia pulverea</v>
          </cell>
        </row>
        <row r="1927">
          <cell r="A1927" t="str">
            <v>Buellia saxorum</v>
          </cell>
          <cell r="B1927" t="str">
            <v>Lichens</v>
          </cell>
          <cell r="C1927" t="str">
            <v>Mycophycophyta</v>
          </cell>
          <cell r="D1927" t="str">
            <v>Buellia saxorum</v>
          </cell>
          <cell r="E1927" t="str">
            <v>NT</v>
          </cell>
          <cell r="F1927" t="str">
            <v>Woods &amp; Coppins, 2012</v>
          </cell>
          <cell r="G1927" t="str">
            <v>NBNSYS0000018284</v>
          </cell>
          <cell r="H1927" t="str">
            <v>Buellia saxorum</v>
          </cell>
        </row>
        <row r="1928">
          <cell r="A1928" t="str">
            <v>Buellia schaereri</v>
          </cell>
          <cell r="B1928" t="str">
            <v>Lichens</v>
          </cell>
          <cell r="C1928" t="str">
            <v>Mycophycophyta</v>
          </cell>
          <cell r="D1928" t="str">
            <v>Buellia schaereri</v>
          </cell>
          <cell r="E1928" t="str">
            <v>LC</v>
          </cell>
          <cell r="F1928" t="str">
            <v>Woods &amp; Coppins, 2012</v>
          </cell>
          <cell r="G1928" t="str">
            <v>NBNSYS0000018285</v>
          </cell>
          <cell r="H1928" t="str">
            <v>Buellia schaereri</v>
          </cell>
        </row>
        <row r="1929">
          <cell r="A1929" t="str">
            <v>Buellia stellulata</v>
          </cell>
          <cell r="B1929" t="str">
            <v>Lichens</v>
          </cell>
          <cell r="C1929" t="str">
            <v>Mycophycophyta</v>
          </cell>
          <cell r="D1929" t="str">
            <v>Buellia stellulata</v>
          </cell>
          <cell r="E1929" t="str">
            <v>LC</v>
          </cell>
          <cell r="F1929" t="str">
            <v>Woods &amp; Coppins, 2012</v>
          </cell>
          <cell r="G1929" t="str">
            <v>NBNSYS0000018286</v>
          </cell>
          <cell r="H1929" t="str">
            <v>Buellia stellulata</v>
          </cell>
        </row>
        <row r="1930">
          <cell r="A1930" t="str">
            <v>Buellia subdisciformis</v>
          </cell>
          <cell r="B1930" t="str">
            <v>Lichens</v>
          </cell>
          <cell r="C1930" t="str">
            <v>Mycophycophyta</v>
          </cell>
          <cell r="D1930" t="str">
            <v>Buellia subdisciformis</v>
          </cell>
          <cell r="E1930" t="str">
            <v>LC</v>
          </cell>
          <cell r="F1930" t="str">
            <v>Woods &amp; Coppins, 2012</v>
          </cell>
          <cell r="G1930" t="str">
            <v>NBNSYS0000018287</v>
          </cell>
          <cell r="H1930" t="str">
            <v>Buellia subdisciformis</v>
          </cell>
        </row>
        <row r="1931">
          <cell r="A1931" t="str">
            <v>Buellia violaceofusca</v>
          </cell>
          <cell r="B1931" t="str">
            <v>Lichens</v>
          </cell>
          <cell r="C1931" t="str">
            <v>Mycophycophyta</v>
          </cell>
          <cell r="D1931" t="str">
            <v>Buellia violaceofusca</v>
          </cell>
          <cell r="E1931" t="str">
            <v>NT</v>
          </cell>
          <cell r="F1931" t="str">
            <v>Woods &amp; Coppins, 2012</v>
          </cell>
          <cell r="G1931" t="str">
            <v>NHMSYS0001476346</v>
          </cell>
          <cell r="H1931" t="str">
            <v>Buellia violaceofusca</v>
          </cell>
        </row>
        <row r="1932">
          <cell r="A1932" t="str">
            <v>Buelliella physciicola</v>
          </cell>
          <cell r="B1932" t="str">
            <v>Lichens</v>
          </cell>
          <cell r="C1932" t="str">
            <v>Mycophycophyta</v>
          </cell>
          <cell r="D1932" t="str">
            <v>Buelliella physciicola</v>
          </cell>
          <cell r="E1932" t="str">
            <v>LC</v>
          </cell>
          <cell r="F1932" t="str">
            <v>Woods &amp; Coppins, 2012</v>
          </cell>
          <cell r="G1932" t="str">
            <v>NBNSYS0000015941</v>
          </cell>
          <cell r="H1932" t="str">
            <v>Buelliella physciicola</v>
          </cell>
        </row>
        <row r="1933">
          <cell r="A1933" t="str">
            <v>Bunodophoron melanocarpum</v>
          </cell>
          <cell r="B1933" t="str">
            <v>Lichens</v>
          </cell>
          <cell r="C1933" t="str">
            <v>Mycophycophyta</v>
          </cell>
          <cell r="D1933" t="str">
            <v>Bunodophoron melanocarpum</v>
          </cell>
          <cell r="E1933" t="str">
            <v>LC</v>
          </cell>
          <cell r="F1933" t="str">
            <v>Woods &amp; Coppins, 2012</v>
          </cell>
          <cell r="G1933" t="str">
            <v>NHMSYS0001476375</v>
          </cell>
          <cell r="H1933" t="str">
            <v>Bunodophoron melanocarpum</v>
          </cell>
        </row>
        <row r="1934">
          <cell r="A1934" t="str">
            <v>Byssoloma diederichii</v>
          </cell>
          <cell r="B1934" t="str">
            <v>Lichens</v>
          </cell>
          <cell r="C1934" t="str">
            <v>Mycophycophyta</v>
          </cell>
          <cell r="D1934" t="str">
            <v>Byssoloma diederichii</v>
          </cell>
          <cell r="E1934" t="str">
            <v>LC</v>
          </cell>
          <cell r="F1934" t="str">
            <v>Woods &amp; Coppins, 2012</v>
          </cell>
          <cell r="G1934" t="str">
            <v>NHMSYS0020535103</v>
          </cell>
          <cell r="H1934" t="str">
            <v>Byssoloma diederichii</v>
          </cell>
        </row>
        <row r="1935">
          <cell r="A1935" t="str">
            <v>Byssoloma leucoblepharum</v>
          </cell>
          <cell r="B1935" t="str">
            <v>Lichens</v>
          </cell>
          <cell r="C1935" t="str">
            <v>Mycophycophyta</v>
          </cell>
          <cell r="D1935" t="str">
            <v>Byssoloma leucoblepharum</v>
          </cell>
          <cell r="E1935" t="str">
            <v>NT</v>
          </cell>
          <cell r="F1935" t="str">
            <v>Woods &amp; Coppins, 2012</v>
          </cell>
          <cell r="G1935" t="str">
            <v>NBNSYS0000039590</v>
          </cell>
          <cell r="H1935" t="str">
            <v>Byssoloma leucoblepharum</v>
          </cell>
        </row>
        <row r="1936">
          <cell r="A1936" t="str">
            <v>Byssoloma marginatum</v>
          </cell>
          <cell r="B1936" t="str">
            <v>Lichens</v>
          </cell>
          <cell r="C1936" t="str">
            <v>Mycophycophyta</v>
          </cell>
          <cell r="D1936" t="str">
            <v>Byssoloma marginatum</v>
          </cell>
          <cell r="E1936" t="str">
            <v>LC</v>
          </cell>
          <cell r="F1936" t="str">
            <v>Woods &amp; Coppins, 2012</v>
          </cell>
          <cell r="G1936" t="str">
            <v>NHMSYS0001476395</v>
          </cell>
          <cell r="H1936" t="str">
            <v>Byssoloma marginatum</v>
          </cell>
        </row>
        <row r="1937">
          <cell r="A1937" t="str">
            <v>Byssoloma subdiscordans</v>
          </cell>
          <cell r="B1937" t="str">
            <v>Lichens</v>
          </cell>
          <cell r="C1937" t="str">
            <v>Mycophycophyta</v>
          </cell>
          <cell r="D1937" t="str">
            <v>Byssoloma subdiscordans</v>
          </cell>
          <cell r="E1937" t="str">
            <v>NT</v>
          </cell>
          <cell r="F1937" t="str">
            <v>Woods &amp; Coppins, 2012</v>
          </cell>
          <cell r="G1937" t="str">
            <v>NHMSYS0001476396</v>
          </cell>
          <cell r="H1937" t="str">
            <v>Byssoloma subdiscordans</v>
          </cell>
        </row>
        <row r="1938">
          <cell r="A1938" t="str">
            <v>Calicium adspersum</v>
          </cell>
          <cell r="B1938" t="str">
            <v>Lichens</v>
          </cell>
          <cell r="C1938" t="str">
            <v>Mycophycophyta</v>
          </cell>
          <cell r="D1938" t="str">
            <v>Calicium adspersum</v>
          </cell>
          <cell r="E1938" t="str">
            <v>CR</v>
          </cell>
          <cell r="F1938" t="str">
            <v>Woods &amp; Coppins, 2012</v>
          </cell>
          <cell r="G1938" t="str">
            <v>NBNSYS0000015534</v>
          </cell>
          <cell r="H1938" t="str">
            <v>Calicium adspersum</v>
          </cell>
        </row>
        <row r="1939">
          <cell r="A1939" t="str">
            <v>Calicium diploellum</v>
          </cell>
          <cell r="B1939" t="str">
            <v>Lichens</v>
          </cell>
          <cell r="C1939" t="str">
            <v>Mycophycophyta</v>
          </cell>
          <cell r="D1939" t="str">
            <v>Calicium diploellum</v>
          </cell>
          <cell r="E1939" t="str">
            <v>CR</v>
          </cell>
          <cell r="F1939" t="str">
            <v>Woods &amp; Coppins, 2012</v>
          </cell>
          <cell r="G1939" t="str">
            <v>NBNSYS0000015536</v>
          </cell>
          <cell r="H1939" t="str">
            <v>Calicium diploellum</v>
          </cell>
        </row>
        <row r="1940">
          <cell r="A1940" t="str">
            <v>Calicium glaucellum</v>
          </cell>
          <cell r="B1940" t="str">
            <v>Lichens</v>
          </cell>
          <cell r="C1940" t="str">
            <v>Mycophycophyta</v>
          </cell>
          <cell r="D1940" t="str">
            <v>Calicium glaucellum</v>
          </cell>
          <cell r="E1940" t="str">
            <v>LC</v>
          </cell>
          <cell r="F1940" t="str">
            <v>Woods &amp; Coppins, 2012</v>
          </cell>
          <cell r="G1940" t="str">
            <v>NBNSYS0000015537</v>
          </cell>
          <cell r="H1940" t="str">
            <v>Calicium glaucellum</v>
          </cell>
        </row>
        <row r="1941">
          <cell r="A1941" t="str">
            <v>Calicium hyperelloides</v>
          </cell>
          <cell r="B1941" t="str">
            <v>Lichens</v>
          </cell>
          <cell r="C1941" t="str">
            <v>Mycophycophyta</v>
          </cell>
          <cell r="D1941" t="str">
            <v>Calicium hyperelloides</v>
          </cell>
          <cell r="E1941" t="str">
            <v>CR</v>
          </cell>
          <cell r="F1941" t="str">
            <v>Woods &amp; Coppins, 2012</v>
          </cell>
          <cell r="G1941" t="str">
            <v>NHMSYS0001476499</v>
          </cell>
          <cell r="H1941" t="str">
            <v>Calicium hyperelloides</v>
          </cell>
        </row>
        <row r="1942">
          <cell r="A1942" t="str">
            <v>Calicium lenticulare</v>
          </cell>
          <cell r="B1942" t="str">
            <v>Lichens</v>
          </cell>
          <cell r="C1942" t="str">
            <v>Mycophycophyta</v>
          </cell>
          <cell r="D1942" t="str">
            <v>Calicium lenticulare</v>
          </cell>
          <cell r="E1942" t="str">
            <v>LC</v>
          </cell>
          <cell r="F1942" t="str">
            <v>Woods &amp; Coppins, 2012</v>
          </cell>
          <cell r="G1942" t="str">
            <v>NBNSYS0000015542</v>
          </cell>
          <cell r="H1942" t="str">
            <v>Calicium lenticulare</v>
          </cell>
        </row>
        <row r="1943">
          <cell r="A1943" t="str">
            <v>Calicium parvum</v>
          </cell>
          <cell r="B1943" t="str">
            <v>Lichens</v>
          </cell>
          <cell r="C1943" t="str">
            <v>Mycophycophyta</v>
          </cell>
          <cell r="D1943" t="str">
            <v>Calicium parvum</v>
          </cell>
          <cell r="E1943" t="str">
            <v>NT</v>
          </cell>
          <cell r="F1943" t="str">
            <v>Woods &amp; Coppins, 2012</v>
          </cell>
          <cell r="G1943" t="str">
            <v>NBNSYS0000015538</v>
          </cell>
          <cell r="H1943" t="str">
            <v>Calicium parvum</v>
          </cell>
        </row>
        <row r="1944">
          <cell r="A1944" t="str">
            <v>Calicium quercinum</v>
          </cell>
          <cell r="B1944" t="str">
            <v>Lichens</v>
          </cell>
          <cell r="C1944" t="str">
            <v>Mycophycophyta</v>
          </cell>
          <cell r="D1944" t="str">
            <v>Calicium quercinum</v>
          </cell>
          <cell r="E1944" t="str">
            <v>EX</v>
          </cell>
          <cell r="F1944" t="str">
            <v>Woods &amp; Coppins, 2012</v>
          </cell>
          <cell r="G1944" t="str">
            <v>NBNSYS0000015540</v>
          </cell>
          <cell r="H1944" t="str">
            <v>Calicium quercinum</v>
          </cell>
        </row>
        <row r="1945">
          <cell r="A1945" t="str">
            <v>Calicium salicinum</v>
          </cell>
          <cell r="B1945" t="str">
            <v>Lichens</v>
          </cell>
          <cell r="C1945" t="str">
            <v>Mycophycophyta</v>
          </cell>
          <cell r="D1945" t="str">
            <v>Calicium salicinum</v>
          </cell>
          <cell r="E1945" t="str">
            <v>LC</v>
          </cell>
          <cell r="F1945" t="str">
            <v>Woods &amp; Coppins, 2012</v>
          </cell>
          <cell r="G1945" t="str">
            <v>NBNSYS0000015541</v>
          </cell>
          <cell r="H1945" t="str">
            <v>Calicium salicinum</v>
          </cell>
        </row>
        <row r="1946">
          <cell r="A1946" t="str">
            <v>Calicium viride</v>
          </cell>
          <cell r="B1946" t="str">
            <v>Lichens</v>
          </cell>
          <cell r="C1946" t="str">
            <v>Mycophycophyta</v>
          </cell>
          <cell r="D1946" t="str">
            <v>Calicium viride</v>
          </cell>
          <cell r="E1946" t="str">
            <v>LC</v>
          </cell>
          <cell r="F1946" t="str">
            <v>Woods &amp; Coppins, 2012</v>
          </cell>
          <cell r="G1946" t="str">
            <v>NBNSYS0000015544</v>
          </cell>
          <cell r="H1946" t="str">
            <v>Calicium viride</v>
          </cell>
        </row>
        <row r="1947">
          <cell r="A1947" t="str">
            <v>Caloplaca albolutescens</v>
          </cell>
          <cell r="B1947" t="str">
            <v>Lichens</v>
          </cell>
          <cell r="C1947" t="str">
            <v>Mycophycophyta</v>
          </cell>
          <cell r="D1947" t="str">
            <v>Caloplaca albolutescens</v>
          </cell>
          <cell r="E1947" t="str">
            <v>LC</v>
          </cell>
          <cell r="F1947" t="str">
            <v>Woods &amp; Coppins, 2012</v>
          </cell>
          <cell r="G1947" t="str">
            <v>NHMSYS0001476620</v>
          </cell>
          <cell r="H1947" t="str">
            <v>Caloplaca albolutescens</v>
          </cell>
        </row>
        <row r="1948">
          <cell r="A1948" t="str">
            <v>Caloplaca alociza</v>
          </cell>
          <cell r="B1948" t="str">
            <v>Lichens</v>
          </cell>
          <cell r="C1948" t="str">
            <v>Mycophycophyta</v>
          </cell>
          <cell r="D1948" t="str">
            <v>Caloplaca alociza</v>
          </cell>
          <cell r="E1948" t="str">
            <v>LC</v>
          </cell>
          <cell r="F1948" t="str">
            <v>Woods &amp; Coppins, 2012</v>
          </cell>
          <cell r="G1948" t="str">
            <v>NHMSYS0001476621</v>
          </cell>
          <cell r="H1948" t="str">
            <v>Caloplaca alociza</v>
          </cell>
        </row>
        <row r="1949">
          <cell r="A1949" t="str">
            <v>Caloplaca aractina</v>
          </cell>
          <cell r="B1949" t="str">
            <v>Lichens</v>
          </cell>
          <cell r="C1949" t="str">
            <v>Mycophycophyta</v>
          </cell>
          <cell r="D1949" t="str">
            <v>Caloplaca aractina</v>
          </cell>
          <cell r="E1949" t="str">
            <v>VU</v>
          </cell>
          <cell r="F1949" t="str">
            <v>Woods &amp; Coppins, 2012</v>
          </cell>
          <cell r="G1949" t="str">
            <v>NBNSYS0000020512</v>
          </cell>
          <cell r="H1949" t="str">
            <v>Caloplaca aractina</v>
          </cell>
        </row>
        <row r="1950">
          <cell r="A1950" t="str">
            <v>Caloplaca arcis</v>
          </cell>
          <cell r="B1950" t="str">
            <v>Lichens</v>
          </cell>
          <cell r="C1950" t="str">
            <v>Mycophycophyta</v>
          </cell>
          <cell r="D1950" t="str">
            <v>Caloplaca arcis</v>
          </cell>
          <cell r="E1950" t="str">
            <v>LC</v>
          </cell>
          <cell r="F1950" t="str">
            <v>Woods &amp; Coppins, 2012</v>
          </cell>
          <cell r="G1950" t="str">
            <v>NHMSYS0020039002</v>
          </cell>
          <cell r="H1950" t="str">
            <v>Caloplaca arcis</v>
          </cell>
        </row>
        <row r="1951">
          <cell r="A1951" t="str">
            <v>Caloplaca arenaria</v>
          </cell>
          <cell r="B1951" t="str">
            <v>Lichens</v>
          </cell>
          <cell r="C1951" t="str">
            <v>Mycophycophyta</v>
          </cell>
          <cell r="D1951" t="str">
            <v>Caloplaca arenaria</v>
          </cell>
          <cell r="E1951" t="str">
            <v>LC</v>
          </cell>
          <cell r="F1951" t="str">
            <v>Woods &amp; Coppins, 2012</v>
          </cell>
          <cell r="G1951" t="str">
            <v>NHMSYS0001476623</v>
          </cell>
          <cell r="H1951" t="str">
            <v>Caloplaca arenaria</v>
          </cell>
        </row>
        <row r="1952">
          <cell r="A1952" t="str">
            <v>Caloplaca arnoldii subsp. obliterata</v>
          </cell>
          <cell r="B1952" t="str">
            <v>Lichens</v>
          </cell>
          <cell r="C1952" t="str">
            <v>Mycophycophyta</v>
          </cell>
          <cell r="D1952" t="str">
            <v>Caloplaca arnoldii (subsp.) obliterata</v>
          </cell>
          <cell r="E1952" t="str">
            <v>LC</v>
          </cell>
          <cell r="F1952" t="str">
            <v>Woods &amp; Coppins, 2012</v>
          </cell>
          <cell r="G1952" t="str">
            <v>NHMSYS0020989880</v>
          </cell>
          <cell r="H1952" t="str">
            <v>Caloplaca arnoldii subsp. obliterata</v>
          </cell>
        </row>
        <row r="1953">
          <cell r="A1953" t="str">
            <v>Caloplaca asserigena</v>
          </cell>
          <cell r="B1953" t="str">
            <v>Lichens</v>
          </cell>
          <cell r="C1953" t="str">
            <v>Mycophycophyta</v>
          </cell>
          <cell r="D1953" t="str">
            <v>Caloplaca asserigena</v>
          </cell>
          <cell r="E1953" t="str">
            <v>LC</v>
          </cell>
          <cell r="F1953" t="str">
            <v>Woods &amp; Coppins, 2012</v>
          </cell>
          <cell r="G1953" t="str">
            <v>NHMSYS0020989881</v>
          </cell>
          <cell r="H1953" t="str">
            <v>Caloplaca asserigena</v>
          </cell>
        </row>
        <row r="1954">
          <cell r="A1954" t="str">
            <v>Caloplaca atroflava</v>
          </cell>
          <cell r="B1954" t="str">
            <v>Lichens</v>
          </cell>
          <cell r="C1954" t="str">
            <v>Mycophycophyta</v>
          </cell>
          <cell r="D1954" t="str">
            <v>Caloplaca atroflava</v>
          </cell>
          <cell r="E1954" t="str">
            <v>CR</v>
          </cell>
          <cell r="F1954" t="str">
            <v>Woods &amp; Coppins, 2012</v>
          </cell>
          <cell r="G1954" t="str">
            <v>NBNSYS0000020515</v>
          </cell>
          <cell r="H1954" t="str">
            <v>Caloplaca atroflava</v>
          </cell>
        </row>
        <row r="1955">
          <cell r="A1955" t="str">
            <v>Caloplaca aurantia</v>
          </cell>
          <cell r="B1955" t="str">
            <v>Lichens</v>
          </cell>
          <cell r="C1955" t="str">
            <v>Mycophycophyta</v>
          </cell>
          <cell r="D1955" t="str">
            <v>Caloplaca aurantia</v>
          </cell>
          <cell r="E1955" t="str">
            <v>LC</v>
          </cell>
          <cell r="F1955" t="str">
            <v>Woods &amp; Coppins, 2012</v>
          </cell>
          <cell r="G1955" t="str">
            <v>NHMSYS0000361648</v>
          </cell>
          <cell r="H1955" t="str">
            <v>Caloplaca aurantia</v>
          </cell>
        </row>
        <row r="1956">
          <cell r="A1956" t="str">
            <v>Caloplaca borreri</v>
          </cell>
          <cell r="B1956" t="str">
            <v>Lichens</v>
          </cell>
          <cell r="C1956" t="str">
            <v>Mycophycophyta</v>
          </cell>
          <cell r="D1956" t="str">
            <v>Caloplaca borreri</v>
          </cell>
          <cell r="E1956" t="str">
            <v>EX</v>
          </cell>
          <cell r="F1956" t="str">
            <v>Woods &amp; Coppins, 2012</v>
          </cell>
          <cell r="G1956" t="str">
            <v>NHMSYS0019999443</v>
          </cell>
          <cell r="H1956" t="str">
            <v>Caloplaca borreri</v>
          </cell>
        </row>
        <row r="1957">
          <cell r="A1957" t="str">
            <v>Caloplaca britannica</v>
          </cell>
          <cell r="B1957" t="str">
            <v>Lichens</v>
          </cell>
          <cell r="C1957" t="str">
            <v>Mycophycophyta</v>
          </cell>
          <cell r="D1957" t="str">
            <v>Caloplaca britannica</v>
          </cell>
          <cell r="E1957" t="str">
            <v>LC</v>
          </cell>
          <cell r="F1957" t="str">
            <v>Woods &amp; Coppins, 2012</v>
          </cell>
          <cell r="G1957" t="str">
            <v>NHMSYS0001476629</v>
          </cell>
          <cell r="H1957" t="str">
            <v>Caloplaca britannica</v>
          </cell>
        </row>
        <row r="1958">
          <cell r="A1958" t="str">
            <v>Caloplaca ceracea</v>
          </cell>
          <cell r="B1958" t="str">
            <v>Lichens</v>
          </cell>
          <cell r="C1958" t="str">
            <v>Mycophycophyta</v>
          </cell>
          <cell r="D1958" t="str">
            <v>Caloplaca ceracea</v>
          </cell>
          <cell r="E1958" t="str">
            <v>LC</v>
          </cell>
          <cell r="F1958" t="str">
            <v>Woods &amp; Coppins, 2012</v>
          </cell>
          <cell r="G1958" t="str">
            <v>NHMSYS0001476631</v>
          </cell>
          <cell r="H1958" t="str">
            <v>Caloplaca ceracea</v>
          </cell>
        </row>
        <row r="1959">
          <cell r="A1959" t="str">
            <v>Caloplaca cerina var. cerina, Caloplaca cerina var. chloroleuca</v>
          </cell>
          <cell r="B1959" t="str">
            <v>Lichens</v>
          </cell>
          <cell r="C1959" t="str">
            <v>Mycophycophyta</v>
          </cell>
          <cell r="D1959" t="str">
            <v>Caloplaca cerina (var. cerina/var. chloroleuca)</v>
          </cell>
          <cell r="E1959" t="str">
            <v>LC</v>
          </cell>
          <cell r="F1959" t="str">
            <v>Woods &amp; Coppins, 2012</v>
          </cell>
          <cell r="G1959" t="str">
            <v>NHMSYS0000361653</v>
          </cell>
          <cell r="H1959" t="str">
            <v>Caloplaca cerina var. cerina, Caloplaca cerina var. chloroleuca</v>
          </cell>
        </row>
        <row r="1960">
          <cell r="A1960" t="str">
            <v>Caloplaca cerinella</v>
          </cell>
          <cell r="B1960" t="str">
            <v>Lichens</v>
          </cell>
          <cell r="C1960" t="str">
            <v>Mycophycophyta</v>
          </cell>
          <cell r="D1960" t="str">
            <v>Caloplaca cerinella</v>
          </cell>
          <cell r="E1960" t="str">
            <v>LC</v>
          </cell>
          <cell r="F1960" t="str">
            <v>Woods &amp; Coppins, 2012</v>
          </cell>
          <cell r="G1960" t="str">
            <v>NBNSYS0000020520</v>
          </cell>
          <cell r="H1960" t="str">
            <v>Caloplaca cerinella</v>
          </cell>
        </row>
        <row r="1961">
          <cell r="A1961" t="str">
            <v>Caloplaca cerinelloides</v>
          </cell>
          <cell r="B1961" t="str">
            <v>Lichens</v>
          </cell>
          <cell r="C1961" t="str">
            <v>Mycophycophyta</v>
          </cell>
          <cell r="D1961" t="str">
            <v>Caloplaca cerinelloides</v>
          </cell>
          <cell r="E1961" t="str">
            <v>LC</v>
          </cell>
          <cell r="F1961" t="str">
            <v>Woods &amp; Coppins, 2012</v>
          </cell>
          <cell r="G1961" t="str">
            <v>NHMSYS0001442574</v>
          </cell>
          <cell r="H1961" t="str">
            <v>Caloplaca cerinelloides</v>
          </cell>
        </row>
        <row r="1962">
          <cell r="A1962" t="str">
            <v>Caloplaca chalybaea</v>
          </cell>
          <cell r="B1962" t="str">
            <v>Lichens</v>
          </cell>
          <cell r="C1962" t="str">
            <v>Mycophycophyta</v>
          </cell>
          <cell r="D1962" t="str">
            <v>Caloplaca chalybaea</v>
          </cell>
          <cell r="E1962" t="str">
            <v>LC</v>
          </cell>
          <cell r="F1962" t="str">
            <v>Woods &amp; Coppins, 2012</v>
          </cell>
          <cell r="G1962" t="str">
            <v>NBNSYS0000020521</v>
          </cell>
          <cell r="H1962" t="str">
            <v>Caloplaca chalybaea</v>
          </cell>
        </row>
        <row r="1963">
          <cell r="A1963" t="str">
            <v>Caloplaca chlorina</v>
          </cell>
          <cell r="B1963" t="str">
            <v>Lichens</v>
          </cell>
          <cell r="C1963" t="str">
            <v>Mycophycophyta</v>
          </cell>
          <cell r="D1963" t="str">
            <v>Caloplaca chlorina</v>
          </cell>
          <cell r="E1963" t="str">
            <v>LC</v>
          </cell>
          <cell r="F1963" t="str">
            <v>Woods &amp; Coppins, 2012</v>
          </cell>
          <cell r="G1963" t="str">
            <v>NHMSYS0000361660</v>
          </cell>
          <cell r="H1963" t="str">
            <v>Caloplaca chlorina</v>
          </cell>
        </row>
        <row r="1964">
          <cell r="A1964" t="str">
            <v>Caloplaca chrysodeta</v>
          </cell>
          <cell r="B1964" t="str">
            <v>Lichens</v>
          </cell>
          <cell r="C1964" t="str">
            <v>Mycophycophyta</v>
          </cell>
          <cell r="D1964" t="str">
            <v>Caloplaca chrysodeta</v>
          </cell>
          <cell r="E1964" t="str">
            <v>LC</v>
          </cell>
          <cell r="F1964" t="str">
            <v>Woods &amp; Coppins, 2012</v>
          </cell>
          <cell r="G1964" t="str">
            <v>BMSSYS0000003127</v>
          </cell>
          <cell r="H1964" t="str">
            <v>Caloplaca chrysodeta</v>
          </cell>
        </row>
        <row r="1965">
          <cell r="A1965" t="str">
            <v>Caloplaca cirrochroa</v>
          </cell>
          <cell r="B1965" t="str">
            <v>Lichens</v>
          </cell>
          <cell r="C1965" t="str">
            <v>Mycophycophyta</v>
          </cell>
          <cell r="D1965" t="str">
            <v>Caloplaca cirrochroa</v>
          </cell>
          <cell r="E1965" t="str">
            <v>LC</v>
          </cell>
          <cell r="F1965" t="str">
            <v>Woods &amp; Coppins, 2012</v>
          </cell>
          <cell r="G1965" t="str">
            <v>NHMSYS0001476634</v>
          </cell>
          <cell r="H1965" t="str">
            <v>Caloplaca cirrochroa</v>
          </cell>
        </row>
        <row r="1966">
          <cell r="A1966" t="str">
            <v>Caloplaca citrina s. str.</v>
          </cell>
          <cell r="B1966" t="str">
            <v>Lichens</v>
          </cell>
          <cell r="C1966" t="str">
            <v>Mycophycophyta</v>
          </cell>
          <cell r="D1966" t="str">
            <v>Caloplaca citrina s. str.</v>
          </cell>
          <cell r="E1966" t="str">
            <v>LC</v>
          </cell>
          <cell r="F1966" t="str">
            <v>Woods &amp; Coppins, 2012</v>
          </cell>
          <cell r="G1966" t="str">
            <v>NHMSYS0020105990</v>
          </cell>
          <cell r="H1966" t="str">
            <v>Caloplaca citrina s. str.</v>
          </cell>
        </row>
        <row r="1967">
          <cell r="A1967" t="str">
            <v>Caloplaca crenularia</v>
          </cell>
          <cell r="B1967" t="str">
            <v>Lichens</v>
          </cell>
          <cell r="C1967" t="str">
            <v>Mycophycophyta</v>
          </cell>
          <cell r="D1967" t="str">
            <v>Caloplaca crenularia</v>
          </cell>
          <cell r="E1967" t="str">
            <v>LC</v>
          </cell>
          <cell r="F1967" t="str">
            <v>Woods &amp; Coppins, 2012</v>
          </cell>
          <cell r="G1967" t="str">
            <v>NBNSYS0000020528</v>
          </cell>
          <cell r="H1967" t="str">
            <v>Caloplaca crenularia</v>
          </cell>
        </row>
        <row r="1968">
          <cell r="A1968" t="str">
            <v>Caloplaca crenulatella</v>
          </cell>
          <cell r="B1968" t="str">
            <v>Lichens</v>
          </cell>
          <cell r="C1968" t="str">
            <v>Mycophycophyta</v>
          </cell>
          <cell r="D1968" t="str">
            <v>Caloplaca crenulatella</v>
          </cell>
          <cell r="E1968" t="str">
            <v>LC</v>
          </cell>
          <cell r="F1968" t="str">
            <v>Woods &amp; Coppins, 2012</v>
          </cell>
          <cell r="G1968" t="str">
            <v>NBNSYS0000020529</v>
          </cell>
          <cell r="H1968" t="str">
            <v>Caloplaca crenulatella</v>
          </cell>
        </row>
        <row r="1969">
          <cell r="A1969" t="str">
            <v>Caloplaca dalmatica</v>
          </cell>
          <cell r="B1969" t="str">
            <v>Lichens</v>
          </cell>
          <cell r="C1969" t="str">
            <v>Mycophycophyta</v>
          </cell>
          <cell r="D1969" t="str">
            <v>Caloplaca dalmatica</v>
          </cell>
          <cell r="E1969" t="str">
            <v>LC</v>
          </cell>
          <cell r="F1969" t="str">
            <v>Woods &amp; Coppins, 2012</v>
          </cell>
          <cell r="G1969" t="str">
            <v>NHMSYS0001476640</v>
          </cell>
          <cell r="H1969" t="str">
            <v>Caloplaca dalmatica</v>
          </cell>
        </row>
        <row r="1970">
          <cell r="A1970" t="str">
            <v>Caloplaca decipiens</v>
          </cell>
          <cell r="B1970" t="str">
            <v>Lichens</v>
          </cell>
          <cell r="C1970" t="str">
            <v>Mycophycophyta</v>
          </cell>
          <cell r="D1970" t="str">
            <v>Caloplaca decipiens</v>
          </cell>
          <cell r="E1970" t="str">
            <v>LC</v>
          </cell>
          <cell r="F1970" t="str">
            <v>Woods &amp; Coppins, 2012</v>
          </cell>
          <cell r="G1970" t="str">
            <v>NBNSYS0000020530</v>
          </cell>
          <cell r="H1970" t="str">
            <v>Caloplaca decipiens</v>
          </cell>
        </row>
        <row r="1971">
          <cell r="A1971" t="str">
            <v>Caloplaca dichroa</v>
          </cell>
          <cell r="B1971" t="str">
            <v>Lichens</v>
          </cell>
          <cell r="C1971" t="str">
            <v>Mycophycophyta</v>
          </cell>
          <cell r="D1971" t="str">
            <v>Caloplaca dichroa</v>
          </cell>
          <cell r="E1971" t="str">
            <v>LC</v>
          </cell>
          <cell r="F1971" t="str">
            <v>Woods &amp; Coppins, 2012</v>
          </cell>
          <cell r="G1971" t="str">
            <v>NHMSYS0001596576</v>
          </cell>
          <cell r="H1971" t="str">
            <v>Caloplaca dichroa</v>
          </cell>
        </row>
        <row r="1972">
          <cell r="A1972" t="str">
            <v>Caloplaca ferruginea</v>
          </cell>
          <cell r="B1972" t="str">
            <v>Lichens</v>
          </cell>
          <cell r="C1972" t="str">
            <v>Mycophycophyta</v>
          </cell>
          <cell r="D1972" t="str">
            <v>Caloplaca ferruginea</v>
          </cell>
          <cell r="E1972" t="str">
            <v>LC</v>
          </cell>
          <cell r="F1972" t="str">
            <v>Woods &amp; Coppins, 2012</v>
          </cell>
          <cell r="G1972" t="str">
            <v>NHMSYS0020987548</v>
          </cell>
          <cell r="H1972" t="str">
            <v>Caloplaca ferruginea</v>
          </cell>
        </row>
        <row r="1973">
          <cell r="A1973" t="str">
            <v>Caloplaca flavescens</v>
          </cell>
          <cell r="B1973" t="str">
            <v>Lichens</v>
          </cell>
          <cell r="C1973" t="str">
            <v>Mycophycophyta</v>
          </cell>
          <cell r="D1973" t="str">
            <v>Caloplaca flavescens</v>
          </cell>
          <cell r="E1973" t="str">
            <v>LC</v>
          </cell>
          <cell r="F1973" t="str">
            <v>Woods &amp; Coppins, 2012</v>
          </cell>
          <cell r="G1973" t="str">
            <v>NHMSYS0001476645</v>
          </cell>
          <cell r="H1973" t="str">
            <v>Caloplaca flavescens</v>
          </cell>
        </row>
        <row r="1974">
          <cell r="A1974" t="str">
            <v>Caloplaca flavocitrina</v>
          </cell>
          <cell r="B1974" t="str">
            <v>Lichens</v>
          </cell>
          <cell r="C1974" t="str">
            <v>Mycophycophyta</v>
          </cell>
          <cell r="D1974" t="str">
            <v>Caloplaca flavocitrina</v>
          </cell>
          <cell r="E1974" t="str">
            <v>LC</v>
          </cell>
          <cell r="F1974" t="str">
            <v>Woods &amp; Coppins, 2012</v>
          </cell>
          <cell r="G1974" t="str">
            <v>BMSSYS0000003136</v>
          </cell>
          <cell r="H1974" t="str">
            <v>Caloplaca flavocitrina</v>
          </cell>
        </row>
        <row r="1975">
          <cell r="A1975" t="str">
            <v>Caloplaca flavorubescens</v>
          </cell>
          <cell r="B1975" t="str">
            <v>Lichens</v>
          </cell>
          <cell r="C1975" t="str">
            <v>Mycophycophyta</v>
          </cell>
          <cell r="D1975" t="str">
            <v>Caloplaca flavorubescens</v>
          </cell>
          <cell r="E1975" t="str">
            <v>EN</v>
          </cell>
          <cell r="F1975" t="str">
            <v>Woods &amp; Coppins, 2012</v>
          </cell>
          <cell r="G1975" t="str">
            <v>NBNSYS0000020534</v>
          </cell>
          <cell r="H1975" t="str">
            <v>Caloplaca flavorubescens</v>
          </cell>
        </row>
        <row r="1976">
          <cell r="A1976" t="str">
            <v>Caloplaca flavovirescens</v>
          </cell>
          <cell r="B1976" t="str">
            <v>Lichens</v>
          </cell>
          <cell r="C1976" t="str">
            <v>Mycophycophyta</v>
          </cell>
          <cell r="D1976" t="str">
            <v>Caloplaca flavovirescens</v>
          </cell>
          <cell r="E1976" t="str">
            <v>LC</v>
          </cell>
          <cell r="F1976" t="str">
            <v>Woods &amp; Coppins, 2012</v>
          </cell>
          <cell r="G1976" t="str">
            <v>NBNSYS0000020535</v>
          </cell>
          <cell r="H1976" t="str">
            <v>Caloplaca flavovirescens</v>
          </cell>
        </row>
        <row r="1977">
          <cell r="A1977" t="str">
            <v>Caloplaca granulosa</v>
          </cell>
          <cell r="B1977" t="str">
            <v>Lichens</v>
          </cell>
          <cell r="C1977" t="str">
            <v>Mycophycophyta</v>
          </cell>
          <cell r="D1977" t="str">
            <v>Caloplaca granulosa</v>
          </cell>
          <cell r="E1977" t="str">
            <v>NT</v>
          </cell>
          <cell r="F1977" t="str">
            <v>Woods &amp; Coppins, 2012</v>
          </cell>
          <cell r="G1977" t="str">
            <v>NBNSYS0000020537</v>
          </cell>
          <cell r="H1977" t="str">
            <v>Caloplaca granulosa</v>
          </cell>
        </row>
        <row r="1978">
          <cell r="A1978" t="str">
            <v>Caloplaca herbidella</v>
          </cell>
          <cell r="B1978" t="str">
            <v>Lichens</v>
          </cell>
          <cell r="C1978" t="str">
            <v>Mycophycophyta</v>
          </cell>
          <cell r="D1978" t="str">
            <v>Caloplaca herbidella</v>
          </cell>
          <cell r="E1978" t="str">
            <v>VU</v>
          </cell>
          <cell r="F1978" t="str">
            <v>Woods &amp; Coppins, 2012</v>
          </cell>
          <cell r="G1978" t="str">
            <v>BMSSYS0000043345</v>
          </cell>
          <cell r="H1978" t="str">
            <v>Caloplaca herbidella</v>
          </cell>
        </row>
        <row r="1979">
          <cell r="A1979" t="str">
            <v>Caloplaca holocarpa s. str.</v>
          </cell>
          <cell r="B1979" t="str">
            <v>Lichens</v>
          </cell>
          <cell r="C1979" t="str">
            <v>Mycophycophyta</v>
          </cell>
          <cell r="D1979" t="str">
            <v>Caloplaca holocarpa s. str.</v>
          </cell>
          <cell r="E1979" t="str">
            <v>LC</v>
          </cell>
          <cell r="F1979" t="str">
            <v>Woods &amp; Coppins, 2012</v>
          </cell>
          <cell r="G1979" t="str">
            <v>NHMSYS0020987564</v>
          </cell>
          <cell r="H1979" t="str">
            <v>Caloplaca holocarpa s. str.</v>
          </cell>
        </row>
        <row r="1980">
          <cell r="A1980" t="str">
            <v>Caloplaca lactea</v>
          </cell>
          <cell r="B1980" t="str">
            <v>Lichens</v>
          </cell>
          <cell r="C1980" t="str">
            <v>Mycophycophyta</v>
          </cell>
          <cell r="D1980" t="str">
            <v>Caloplaca lactea</v>
          </cell>
          <cell r="E1980" t="str">
            <v>LC</v>
          </cell>
          <cell r="F1980" t="str">
            <v>Woods &amp; Coppins, 2012</v>
          </cell>
          <cell r="G1980" t="str">
            <v>NHMSYS0020989896</v>
          </cell>
          <cell r="H1980" t="str">
            <v>Caloplaca lactea</v>
          </cell>
        </row>
        <row r="1981">
          <cell r="A1981" t="str">
            <v>Caloplaca littorea</v>
          </cell>
          <cell r="B1981" t="str">
            <v>Lichens</v>
          </cell>
          <cell r="C1981" t="str">
            <v>Mycophycophyta</v>
          </cell>
          <cell r="D1981" t="str">
            <v>Caloplaca littorea</v>
          </cell>
          <cell r="E1981" t="str">
            <v>LC</v>
          </cell>
          <cell r="F1981" t="str">
            <v>Woods &amp; Coppins, 2012</v>
          </cell>
          <cell r="G1981" t="str">
            <v>NHMSYS0001476651</v>
          </cell>
          <cell r="H1981" t="str">
            <v>Caloplaca littorea</v>
          </cell>
        </row>
        <row r="1982">
          <cell r="A1982" t="str">
            <v>Caloplaca lucifuga</v>
          </cell>
          <cell r="B1982" t="str">
            <v>Lichens</v>
          </cell>
          <cell r="C1982" t="str">
            <v>Mycophycophyta</v>
          </cell>
          <cell r="D1982" t="str">
            <v>Caloplaca lucifuga</v>
          </cell>
          <cell r="E1982" t="str">
            <v>VU</v>
          </cell>
          <cell r="F1982" t="str">
            <v>Woods &amp; Coppins, 2012</v>
          </cell>
          <cell r="G1982" t="str">
            <v>NBNSYS0000039596</v>
          </cell>
          <cell r="H1982" t="str">
            <v>Caloplaca lucifuga</v>
          </cell>
        </row>
        <row r="1983">
          <cell r="A1983" t="str">
            <v>Caloplaca luteoalba</v>
          </cell>
          <cell r="B1983" t="str">
            <v>Lichens</v>
          </cell>
          <cell r="C1983" t="str">
            <v>Mycophycophyta</v>
          </cell>
          <cell r="D1983" t="str">
            <v>Caloplaca luteoalba</v>
          </cell>
          <cell r="E1983" t="str">
            <v>EN</v>
          </cell>
          <cell r="F1983" t="str">
            <v>Woods &amp; Coppins, 2012</v>
          </cell>
          <cell r="G1983" t="str">
            <v>NBNSYS0000020545</v>
          </cell>
          <cell r="H1983" t="str">
            <v>Caloplaca luteoalba</v>
          </cell>
        </row>
        <row r="1984">
          <cell r="A1984" t="str">
            <v>Caloplaca marina</v>
          </cell>
          <cell r="B1984" t="str">
            <v>Lichens</v>
          </cell>
          <cell r="C1984" t="str">
            <v>Mycophycophyta</v>
          </cell>
          <cell r="D1984" t="str">
            <v>Caloplaca marina</v>
          </cell>
          <cell r="E1984" t="str">
            <v>LC</v>
          </cell>
          <cell r="F1984" t="str">
            <v>Woods &amp; Coppins, 2012</v>
          </cell>
          <cell r="G1984" t="str">
            <v>NHMSYS0001476653</v>
          </cell>
          <cell r="H1984" t="str">
            <v>Caloplaca marina</v>
          </cell>
        </row>
        <row r="1985">
          <cell r="A1985" t="str">
            <v>Caloplaca maritima</v>
          </cell>
          <cell r="B1985" t="str">
            <v>Lichens</v>
          </cell>
          <cell r="C1985" t="str">
            <v>Mycophycophyta</v>
          </cell>
          <cell r="D1985" t="str">
            <v>Caloplaca maritima</v>
          </cell>
          <cell r="E1985" t="str">
            <v>LC</v>
          </cell>
          <cell r="F1985" t="str">
            <v>Woods &amp; Coppins, 2012</v>
          </cell>
          <cell r="G1985" t="str">
            <v>NHMSYS0020989895</v>
          </cell>
          <cell r="H1985" t="str">
            <v>Caloplaca maritima</v>
          </cell>
        </row>
        <row r="1986">
          <cell r="A1986" t="str">
            <v>Caloplaca microthallina</v>
          </cell>
          <cell r="B1986" t="str">
            <v>Lichens</v>
          </cell>
          <cell r="C1986" t="str">
            <v>Mycophycophyta</v>
          </cell>
          <cell r="D1986" t="str">
            <v>Caloplaca microthallina</v>
          </cell>
          <cell r="E1986" t="str">
            <v>LC</v>
          </cell>
          <cell r="F1986" t="str">
            <v>Woods &amp; Coppins, 2012</v>
          </cell>
          <cell r="G1986" t="str">
            <v>NBNSYS0000020547</v>
          </cell>
          <cell r="H1986" t="str">
            <v>Caloplaca microthallina</v>
          </cell>
        </row>
        <row r="1987">
          <cell r="A1987" t="str">
            <v>Caloplaca oasis</v>
          </cell>
          <cell r="B1987" t="str">
            <v>Lichens</v>
          </cell>
          <cell r="C1987" t="str">
            <v>Mycophycophyta</v>
          </cell>
          <cell r="D1987" t="str">
            <v>Caloplaca oasis</v>
          </cell>
          <cell r="E1987" t="str">
            <v>LC</v>
          </cell>
          <cell r="F1987" t="str">
            <v>Woods &amp; Coppins, 2012</v>
          </cell>
          <cell r="G1987" t="str">
            <v>NHMSYS0020535109</v>
          </cell>
          <cell r="H1987" t="str">
            <v>Caloplaca oasis</v>
          </cell>
        </row>
        <row r="1988">
          <cell r="A1988" t="str">
            <v>Caloplaca obscurella</v>
          </cell>
          <cell r="B1988" t="str">
            <v>Lichens</v>
          </cell>
          <cell r="C1988" t="str">
            <v>Mycophycophyta</v>
          </cell>
          <cell r="D1988" t="str">
            <v>Caloplaca obscurella</v>
          </cell>
          <cell r="E1988" t="str">
            <v>LC</v>
          </cell>
          <cell r="F1988" t="str">
            <v>Woods &amp; Coppins, 2012</v>
          </cell>
          <cell r="G1988" t="str">
            <v>NHMSYS0001476657</v>
          </cell>
          <cell r="H1988" t="str">
            <v>Caloplaca obscurella</v>
          </cell>
        </row>
        <row r="1989">
          <cell r="A1989" t="str">
            <v>Caloplaca ochracea</v>
          </cell>
          <cell r="B1989" t="str">
            <v>Lichens</v>
          </cell>
          <cell r="C1989" t="str">
            <v>Mycophycophyta</v>
          </cell>
          <cell r="D1989" t="str">
            <v>Caloplaca ochracea</v>
          </cell>
          <cell r="E1989" t="str">
            <v>LC</v>
          </cell>
          <cell r="F1989" t="str">
            <v>Woods &amp; Coppins, 2012</v>
          </cell>
          <cell r="G1989" t="str">
            <v>NBNSYS0000020551</v>
          </cell>
          <cell r="H1989" t="str">
            <v>Caloplaca ochracea</v>
          </cell>
        </row>
        <row r="1990">
          <cell r="A1990" t="str">
            <v>Caloplaca pyracea</v>
          </cell>
          <cell r="B1990" t="str">
            <v>Lichens</v>
          </cell>
          <cell r="C1990" t="str">
            <v>Mycophycophyta</v>
          </cell>
          <cell r="D1990" t="str">
            <v>Caloplaca pyracea</v>
          </cell>
          <cell r="E1990" t="str">
            <v>LC</v>
          </cell>
          <cell r="F1990" t="str">
            <v>Woods &amp; Coppins, 2012</v>
          </cell>
          <cell r="G1990" t="str">
            <v>BMSSYS0000003153</v>
          </cell>
          <cell r="H1990" t="str">
            <v>Caloplaca pyracea</v>
          </cell>
        </row>
        <row r="1991">
          <cell r="A1991" t="str">
            <v>Caloplaca ruderum</v>
          </cell>
          <cell r="B1991" t="str">
            <v>Lichens</v>
          </cell>
          <cell r="C1991" t="str">
            <v>Mycophycophyta</v>
          </cell>
          <cell r="D1991" t="str">
            <v>Caloplaca ruderum</v>
          </cell>
          <cell r="E1991" t="str">
            <v>LC</v>
          </cell>
          <cell r="F1991" t="str">
            <v>Woods &amp; Coppins, 2012</v>
          </cell>
          <cell r="G1991" t="str">
            <v>NHMSYS0001476658</v>
          </cell>
          <cell r="H1991" t="str">
            <v>Caloplaca ruderum</v>
          </cell>
        </row>
        <row r="1992">
          <cell r="A1992" t="str">
            <v>Caloplaca saxicola</v>
          </cell>
          <cell r="B1992" t="str">
            <v>Lichens</v>
          </cell>
          <cell r="C1992" t="str">
            <v>Mycophycophyta</v>
          </cell>
          <cell r="D1992" t="str">
            <v>Caloplaca saxicola</v>
          </cell>
          <cell r="E1992" t="str">
            <v>LC</v>
          </cell>
          <cell r="F1992" t="str">
            <v>Woods &amp; Coppins, 2012</v>
          </cell>
          <cell r="G1992" t="str">
            <v>NBNSYS0000020556</v>
          </cell>
          <cell r="H1992" t="str">
            <v>Caloplaca saxicola</v>
          </cell>
        </row>
        <row r="1993">
          <cell r="A1993" t="str">
            <v>Caloplaca sorediella</v>
          </cell>
          <cell r="B1993" t="str">
            <v>Lichens</v>
          </cell>
          <cell r="C1993" t="str">
            <v>Mycophycophyta</v>
          </cell>
          <cell r="D1993" t="str">
            <v>Caloplaca sorediella</v>
          </cell>
          <cell r="E1993" t="str">
            <v>LC</v>
          </cell>
          <cell r="F1993" t="str">
            <v>Woods &amp; Coppins, 2012</v>
          </cell>
          <cell r="G1993" t="str">
            <v>NHMSYS0020039008</v>
          </cell>
          <cell r="H1993" t="str">
            <v>Caloplaca sorediella</v>
          </cell>
        </row>
        <row r="1994">
          <cell r="A1994" t="str">
            <v>Caloplaca suaedae</v>
          </cell>
          <cell r="B1994" t="str">
            <v>Lichens</v>
          </cell>
          <cell r="C1994" t="str">
            <v>Mycophycophyta</v>
          </cell>
          <cell r="D1994" t="str">
            <v>Caloplaca suaedae</v>
          </cell>
          <cell r="E1994" t="str">
            <v>NT</v>
          </cell>
          <cell r="F1994" t="str">
            <v>Woods &amp; Coppins, 2012</v>
          </cell>
          <cell r="G1994" t="str">
            <v>NHMSYS0001476661</v>
          </cell>
          <cell r="H1994" t="str">
            <v>Caloplaca suaedae</v>
          </cell>
        </row>
        <row r="1995">
          <cell r="A1995" t="str">
            <v>Caloplaca teicholyta</v>
          </cell>
          <cell r="B1995" t="str">
            <v>Lichens</v>
          </cell>
          <cell r="C1995" t="str">
            <v>Mycophycophyta</v>
          </cell>
          <cell r="D1995" t="str">
            <v>Caloplaca teicholyta</v>
          </cell>
          <cell r="E1995" t="str">
            <v>LC</v>
          </cell>
          <cell r="F1995" t="str">
            <v>Woods &amp; Coppins, 2012</v>
          </cell>
          <cell r="G1995" t="str">
            <v>NBNSYS0000020560</v>
          </cell>
          <cell r="H1995" t="str">
            <v>Caloplaca teicholyta</v>
          </cell>
        </row>
        <row r="1996">
          <cell r="A1996" t="str">
            <v>Caloplaca thallincola</v>
          </cell>
          <cell r="B1996" t="str">
            <v>Lichens</v>
          </cell>
          <cell r="C1996" t="str">
            <v>Mycophycophyta</v>
          </cell>
          <cell r="D1996" t="str">
            <v>Caloplaca thallincola</v>
          </cell>
          <cell r="E1996" t="str">
            <v>LC</v>
          </cell>
          <cell r="F1996" t="str">
            <v>Woods &amp; Coppins, 2012</v>
          </cell>
          <cell r="G1996" t="str">
            <v>NBNSYS0000020561</v>
          </cell>
          <cell r="H1996" t="str">
            <v>Caloplaca thallincola</v>
          </cell>
        </row>
        <row r="1997">
          <cell r="A1997" t="str">
            <v>Caloplaca ulcerosa</v>
          </cell>
          <cell r="B1997" t="str">
            <v>Lichens</v>
          </cell>
          <cell r="C1997" t="str">
            <v>Mycophycophyta</v>
          </cell>
          <cell r="D1997" t="str">
            <v>Caloplaca ulcerosa</v>
          </cell>
          <cell r="E1997" t="str">
            <v>LC</v>
          </cell>
          <cell r="F1997" t="str">
            <v>Woods &amp; Coppins, 2012</v>
          </cell>
          <cell r="G1997" t="str">
            <v>NHMSYS0001476662</v>
          </cell>
          <cell r="H1997" t="str">
            <v>Caloplaca ulcerosa</v>
          </cell>
        </row>
        <row r="1998">
          <cell r="A1998" t="str">
            <v>Caloplaca variabilis</v>
          </cell>
          <cell r="B1998" t="str">
            <v>Lichens</v>
          </cell>
          <cell r="C1998" t="str">
            <v>Mycophycophyta</v>
          </cell>
          <cell r="D1998" t="str">
            <v>Caloplaca variabilis</v>
          </cell>
          <cell r="E1998" t="str">
            <v>LC</v>
          </cell>
          <cell r="F1998" t="str">
            <v>Woods &amp; Coppins, 2012</v>
          </cell>
          <cell r="G1998" t="str">
            <v>NHMSYS0001476663</v>
          </cell>
          <cell r="H1998" t="str">
            <v>Caloplaca variabilis</v>
          </cell>
        </row>
        <row r="1999">
          <cell r="A1999" t="str">
            <v>Caloplaca verruculifera</v>
          </cell>
          <cell r="B1999" t="str">
            <v>Lichens</v>
          </cell>
          <cell r="C1999" t="str">
            <v>Mycophycophyta</v>
          </cell>
          <cell r="D1999" t="str">
            <v>Caloplaca verruculifera</v>
          </cell>
          <cell r="E1999" t="str">
            <v>LC</v>
          </cell>
          <cell r="F1999" t="str">
            <v>Woods &amp; Coppins, 2012</v>
          </cell>
          <cell r="G1999" t="str">
            <v>NBNSYS0000020565</v>
          </cell>
          <cell r="H1999" t="str">
            <v>Caloplaca verruculifera</v>
          </cell>
        </row>
        <row r="2000">
          <cell r="A2000" t="str">
            <v>Caloplaca virescens</v>
          </cell>
          <cell r="B2000" t="str">
            <v>Lichens</v>
          </cell>
          <cell r="C2000" t="str">
            <v>Mycophycophyta</v>
          </cell>
          <cell r="D2000" t="str">
            <v>Caloplaca virescens</v>
          </cell>
          <cell r="E2000" t="str">
            <v>EN</v>
          </cell>
          <cell r="F2000" t="str">
            <v>Woods &amp; Coppins, 2012</v>
          </cell>
          <cell r="G2000" t="str">
            <v>NBNSYS0000020566</v>
          </cell>
          <cell r="H2000" t="str">
            <v>Caloplaca virescens</v>
          </cell>
        </row>
        <row r="2001">
          <cell r="A2001" t="str">
            <v>Caloplaca xantholyta</v>
          </cell>
          <cell r="B2001" t="str">
            <v>Lichens</v>
          </cell>
          <cell r="C2001" t="str">
            <v>Mycophycophyta</v>
          </cell>
          <cell r="D2001" t="str">
            <v>Caloplaca xantholyta</v>
          </cell>
          <cell r="E2001" t="str">
            <v>LC</v>
          </cell>
          <cell r="F2001" t="str">
            <v>Woods &amp; Coppins, 2012</v>
          </cell>
          <cell r="G2001" t="str">
            <v>BMSSYS0000003160</v>
          </cell>
          <cell r="H2001" t="str">
            <v>Caloplaca xantholyta</v>
          </cell>
        </row>
        <row r="2002">
          <cell r="A2002" t="str">
            <v>Calvitimela aglaea</v>
          </cell>
          <cell r="B2002" t="str">
            <v>Lichens</v>
          </cell>
          <cell r="C2002" t="str">
            <v>Mycophycophyta</v>
          </cell>
          <cell r="D2002" t="str">
            <v>Calvitimela aglaea</v>
          </cell>
          <cell r="E2002" t="str">
            <v>LC</v>
          </cell>
          <cell r="F2002" t="str">
            <v>Woods &amp; Coppins, 2012</v>
          </cell>
          <cell r="G2002" t="str">
            <v>NHMSYS0001476700</v>
          </cell>
          <cell r="H2002" t="str">
            <v>Calvitimela aglaea</v>
          </cell>
        </row>
        <row r="2003">
          <cell r="A2003" t="str">
            <v>Candelaria concolor</v>
          </cell>
          <cell r="B2003" t="str">
            <v>Lichens</v>
          </cell>
          <cell r="C2003" t="str">
            <v>Mycophycophyta</v>
          </cell>
          <cell r="D2003" t="str">
            <v>Candelaria concolor</v>
          </cell>
          <cell r="E2003" t="str">
            <v>LC</v>
          </cell>
          <cell r="F2003" t="str">
            <v>Woods &amp; Coppins, 2012</v>
          </cell>
          <cell r="G2003" t="str">
            <v>NHMSYS0001476782</v>
          </cell>
          <cell r="H2003" t="str">
            <v>Candelaria concolor</v>
          </cell>
        </row>
        <row r="2004">
          <cell r="A2004" t="str">
            <v>Candelariella aurella f. aurella, Candelariella aurella f. smaragdula</v>
          </cell>
          <cell r="B2004" t="str">
            <v>Lichens</v>
          </cell>
          <cell r="C2004" t="str">
            <v>Mycophycophyta</v>
          </cell>
          <cell r="D2004" t="str">
            <v>Candelariella aurella (f. aurella/f. smaragdula)</v>
          </cell>
          <cell r="E2004" t="str">
            <v>LC</v>
          </cell>
          <cell r="F2004" t="str">
            <v>Woods &amp; Coppins, 2012</v>
          </cell>
          <cell r="G2004" t="str">
            <v>NBNSYS0000018294</v>
          </cell>
          <cell r="H2004" t="str">
            <v>Candelariella aurella f. aurella, Candelariella aurella f. smaragdula</v>
          </cell>
        </row>
        <row r="2005">
          <cell r="A2005" t="str">
            <v>Candelariella coralliza</v>
          </cell>
          <cell r="B2005" t="str">
            <v>Lichens</v>
          </cell>
          <cell r="C2005" t="str">
            <v>Mycophycophyta</v>
          </cell>
          <cell r="D2005" t="str">
            <v>Candelariella coralliza</v>
          </cell>
          <cell r="E2005" t="str">
            <v>LC</v>
          </cell>
          <cell r="F2005" t="str">
            <v>Woods &amp; Coppins, 2012</v>
          </cell>
          <cell r="G2005" t="str">
            <v>NBNSYS0000018296</v>
          </cell>
          <cell r="H2005" t="str">
            <v>Candelariella coralliza</v>
          </cell>
        </row>
        <row r="2006">
          <cell r="A2006" t="str">
            <v>Candelariella medians f. medians, Candelariella medians f. steepholmensis</v>
          </cell>
          <cell r="B2006" t="str">
            <v>Lichens</v>
          </cell>
          <cell r="C2006" t="str">
            <v>Mycophycophyta</v>
          </cell>
          <cell r="D2006" t="str">
            <v>Candelariella medians (f. medians/f. steepholmensis)</v>
          </cell>
          <cell r="E2006" t="str">
            <v>LC</v>
          </cell>
          <cell r="F2006" t="str">
            <v>Woods &amp; Coppins, 2012</v>
          </cell>
          <cell r="G2006" t="str">
            <v>NBNSYS0000018298</v>
          </cell>
          <cell r="H2006" t="str">
            <v>Candelariella medians f. medians, Candelariella medians f. steepholmensis</v>
          </cell>
        </row>
        <row r="2007">
          <cell r="A2007" t="str">
            <v>Candelariella reflexa</v>
          </cell>
          <cell r="B2007" t="str">
            <v>Lichens</v>
          </cell>
          <cell r="C2007" t="str">
            <v>Mycophycophyta</v>
          </cell>
          <cell r="D2007" t="str">
            <v>Candelariella reflexa</v>
          </cell>
          <cell r="E2007" t="str">
            <v>LC</v>
          </cell>
          <cell r="F2007" t="str">
            <v>Woods &amp; Coppins, 2012</v>
          </cell>
          <cell r="G2007" t="str">
            <v>NBNSYS0000018300</v>
          </cell>
          <cell r="H2007" t="str">
            <v>Candelariella reflexa</v>
          </cell>
        </row>
        <row r="2008">
          <cell r="A2008" t="str">
            <v>Candelariella vitellina f. flavovirella, Candelariella vitellina f. vitellina</v>
          </cell>
          <cell r="B2008" t="str">
            <v>Lichens</v>
          </cell>
          <cell r="C2008" t="str">
            <v>Mycophycophyta</v>
          </cell>
          <cell r="D2008" t="str">
            <v>Candelariella vitellina (f. flavovirella/f. vitellina)</v>
          </cell>
          <cell r="E2008" t="str">
            <v>LC</v>
          </cell>
          <cell r="F2008" t="str">
            <v>Woods &amp; Coppins, 2012</v>
          </cell>
          <cell r="G2008" t="str">
            <v>NHMSYS0001476797</v>
          </cell>
          <cell r="H2008" t="str">
            <v>Candelariella vitellina f. flavovirella, Candelariella vitellina f. vitellina</v>
          </cell>
        </row>
        <row r="2009">
          <cell r="A2009" t="str">
            <v>Candelariella xanthostigma</v>
          </cell>
          <cell r="B2009" t="str">
            <v>Lichens</v>
          </cell>
          <cell r="C2009" t="str">
            <v>Mycophycophyta</v>
          </cell>
          <cell r="D2009" t="str">
            <v>Candelariella xanthostigma</v>
          </cell>
          <cell r="E2009" t="str">
            <v>LC</v>
          </cell>
          <cell r="F2009" t="str">
            <v>Woods &amp; Coppins, 2012</v>
          </cell>
          <cell r="G2009" t="str">
            <v>NHMSYS0001476802</v>
          </cell>
          <cell r="H2009" t="str">
            <v>Candelariella xanthostigma</v>
          </cell>
        </row>
        <row r="2010">
          <cell r="A2010" t="str">
            <v>Capronia normandinae</v>
          </cell>
          <cell r="B2010" t="str">
            <v>Lichens</v>
          </cell>
          <cell r="C2010" t="str">
            <v>Mycophycophyta</v>
          </cell>
          <cell r="D2010" t="str">
            <v>Capronia normandinae</v>
          </cell>
          <cell r="E2010" t="str">
            <v>LC</v>
          </cell>
          <cell r="F2010" t="str">
            <v>Woods &amp; Coppins, 2012</v>
          </cell>
          <cell r="G2010" t="str">
            <v>NHMSYS0001476880</v>
          </cell>
          <cell r="H2010" t="str">
            <v>Capronia normandinae</v>
          </cell>
        </row>
        <row r="2011">
          <cell r="A2011" t="str">
            <v>Carbonea vitellinaria</v>
          </cell>
          <cell r="B2011" t="str">
            <v>Lichens</v>
          </cell>
          <cell r="C2011" t="str">
            <v>Mycophycophyta</v>
          </cell>
          <cell r="D2011" t="str">
            <v>Carbonea vitellinaria</v>
          </cell>
          <cell r="E2011" t="str">
            <v>LC</v>
          </cell>
          <cell r="F2011" t="str">
            <v>Woods &amp; Coppins, 2012</v>
          </cell>
          <cell r="G2011" t="str">
            <v>NBNSYS0000018305</v>
          </cell>
          <cell r="H2011" t="str">
            <v>Carbonea vitellinaria</v>
          </cell>
        </row>
        <row r="2012">
          <cell r="A2012" t="str">
            <v>Carbonea vorticosa</v>
          </cell>
          <cell r="B2012" t="str">
            <v>Lichens</v>
          </cell>
          <cell r="C2012" t="str">
            <v>Mycophycophyta</v>
          </cell>
          <cell r="D2012" t="str">
            <v>Carbonea vorticosa</v>
          </cell>
          <cell r="E2012" t="str">
            <v>LC</v>
          </cell>
          <cell r="F2012" t="str">
            <v>Woods &amp; Coppins, 2012</v>
          </cell>
          <cell r="G2012" t="str">
            <v>NHMSYS0001476887</v>
          </cell>
          <cell r="H2012" t="str">
            <v>Carbonea vorticosa</v>
          </cell>
        </row>
        <row r="2013">
          <cell r="A2013" t="str">
            <v>Catapyrenium cinereum</v>
          </cell>
          <cell r="B2013" t="str">
            <v>Lichens</v>
          </cell>
          <cell r="C2013" t="str">
            <v>Mycophycophyta</v>
          </cell>
          <cell r="D2013" t="str">
            <v>Catapyrenium cinereum</v>
          </cell>
          <cell r="E2013" t="str">
            <v>LC</v>
          </cell>
          <cell r="F2013" t="str">
            <v>Woods &amp; Coppins, 2012</v>
          </cell>
          <cell r="G2013" t="str">
            <v>NBNSYS0000020588</v>
          </cell>
          <cell r="H2013" t="str">
            <v>Catapyrenium cinereum</v>
          </cell>
        </row>
        <row r="2014">
          <cell r="A2014" t="str">
            <v>Catapyrenium psoromoides</v>
          </cell>
          <cell r="B2014" t="str">
            <v>Lichens</v>
          </cell>
          <cell r="C2014" t="str">
            <v>Mycophycophyta</v>
          </cell>
          <cell r="D2014" t="str">
            <v>Catapyrenium psoromoides</v>
          </cell>
          <cell r="E2014" t="str">
            <v>CR</v>
          </cell>
          <cell r="F2014" t="str">
            <v>Woods &amp; Coppins, 2012</v>
          </cell>
          <cell r="G2014" t="str">
            <v>NHMSYS0001476897</v>
          </cell>
          <cell r="H2014" t="str">
            <v>Catapyrenium psoromoides</v>
          </cell>
        </row>
        <row r="2015">
          <cell r="A2015" t="str">
            <v>Catillaria aphana</v>
          </cell>
          <cell r="B2015" t="str">
            <v>Lichens</v>
          </cell>
          <cell r="C2015" t="str">
            <v>Mycophycophyta</v>
          </cell>
          <cell r="D2015" t="str">
            <v>Catillaria aphana</v>
          </cell>
          <cell r="E2015" t="str">
            <v>NT</v>
          </cell>
          <cell r="F2015" t="str">
            <v>Woods &amp; Coppins, 2012</v>
          </cell>
          <cell r="G2015" t="str">
            <v>NBNSYS0000018639</v>
          </cell>
          <cell r="H2015" t="str">
            <v>Catillaria aphana</v>
          </cell>
        </row>
        <row r="2016">
          <cell r="A2016" t="str">
            <v>Catillaria atomarioides</v>
          </cell>
          <cell r="B2016" t="str">
            <v>Lichens</v>
          </cell>
          <cell r="C2016" t="str">
            <v>Mycophycophyta</v>
          </cell>
          <cell r="D2016" t="str">
            <v>Catillaria atomarioides</v>
          </cell>
          <cell r="E2016" t="str">
            <v>LC</v>
          </cell>
          <cell r="F2016" t="str">
            <v>Woods &amp; Coppins, 2012</v>
          </cell>
          <cell r="G2016" t="str">
            <v>NHMSYS0001476908</v>
          </cell>
          <cell r="H2016" t="str">
            <v>Catillaria atomarioides</v>
          </cell>
        </row>
        <row r="2017">
          <cell r="A2017" t="str">
            <v>Catillaria contristans</v>
          </cell>
          <cell r="B2017" t="str">
            <v>Lichens</v>
          </cell>
          <cell r="C2017" t="str">
            <v>Mycophycophyta</v>
          </cell>
          <cell r="D2017" t="str">
            <v>Catillaria contristans</v>
          </cell>
          <cell r="E2017" t="str">
            <v>LC</v>
          </cell>
          <cell r="F2017" t="str">
            <v>Woods &amp; Coppins, 2012</v>
          </cell>
          <cell r="G2017" t="str">
            <v>NBNSYS0000018313</v>
          </cell>
          <cell r="H2017" t="str">
            <v>Catillaria contristans</v>
          </cell>
        </row>
        <row r="2018">
          <cell r="A2018" t="str">
            <v>Catillaria lenticularis</v>
          </cell>
          <cell r="B2018" t="str">
            <v>Lichens</v>
          </cell>
          <cell r="C2018" t="str">
            <v>Mycophycophyta</v>
          </cell>
          <cell r="D2018" t="str">
            <v>Catillaria lenticularis</v>
          </cell>
          <cell r="E2018" t="str">
            <v>LC</v>
          </cell>
          <cell r="F2018" t="str">
            <v>Woods &amp; Coppins, 2012</v>
          </cell>
          <cell r="G2018" t="str">
            <v>NHMSYS0001476928</v>
          </cell>
          <cell r="H2018" t="str">
            <v>Catillaria lenticularis</v>
          </cell>
        </row>
        <row r="2019">
          <cell r="A2019" t="str">
            <v>Catillaria modesta</v>
          </cell>
          <cell r="B2019" t="str">
            <v>Lichens</v>
          </cell>
          <cell r="C2019" t="str">
            <v>Mycophycophyta</v>
          </cell>
          <cell r="D2019" t="str">
            <v>Catillaria modesta</v>
          </cell>
          <cell r="E2019" t="str">
            <v>VU</v>
          </cell>
          <cell r="F2019" t="str">
            <v>Woods &amp; Coppins, 2012</v>
          </cell>
          <cell r="G2019" t="str">
            <v>NBNSYS0000018694</v>
          </cell>
          <cell r="H2019" t="str">
            <v>Catillaria modesta</v>
          </cell>
        </row>
        <row r="2020">
          <cell r="A2020" t="str">
            <v>Catillaria nigroclavata</v>
          </cell>
          <cell r="B2020" t="str">
            <v>Lichens</v>
          </cell>
          <cell r="C2020" t="str">
            <v>Mycophycophyta</v>
          </cell>
          <cell r="D2020" t="str">
            <v>Catillaria nigroclavata</v>
          </cell>
          <cell r="E2020" t="str">
            <v>LC</v>
          </cell>
          <cell r="F2020" t="str">
            <v>Woods &amp; Coppins, 2012</v>
          </cell>
          <cell r="G2020" t="str">
            <v>NBNSYS0000018320</v>
          </cell>
          <cell r="H2020" t="str">
            <v>Catillaria nigroclavata</v>
          </cell>
        </row>
        <row r="2021">
          <cell r="A2021" t="str">
            <v>Catillaria scotinodes</v>
          </cell>
          <cell r="B2021" t="str">
            <v>Lichens</v>
          </cell>
          <cell r="C2021" t="str">
            <v>Mycophycophyta</v>
          </cell>
          <cell r="D2021" t="str">
            <v>Catillaria scotinodes</v>
          </cell>
          <cell r="E2021" t="str">
            <v>LC</v>
          </cell>
          <cell r="F2021" t="str">
            <v>Woods &amp; Coppins, 2012</v>
          </cell>
          <cell r="G2021" t="str">
            <v>NBNSYS0000018714</v>
          </cell>
          <cell r="H2021" t="str">
            <v>Catillaria scotinodes</v>
          </cell>
        </row>
        <row r="2022">
          <cell r="A2022" t="str">
            <v>Catillaria subviridis</v>
          </cell>
          <cell r="B2022" t="str">
            <v>Lichens</v>
          </cell>
          <cell r="C2022" t="str">
            <v>Mycophycophyta</v>
          </cell>
          <cell r="D2022" t="str">
            <v>Catillaria subviridis</v>
          </cell>
          <cell r="E2022" t="str">
            <v>VU</v>
          </cell>
          <cell r="F2022" t="str">
            <v>Woods &amp; Coppins, 2012</v>
          </cell>
          <cell r="G2022" t="str">
            <v>NBNSYS0000018325</v>
          </cell>
          <cell r="H2022" t="str">
            <v>Catillaria subviridis</v>
          </cell>
        </row>
        <row r="2023">
          <cell r="A2023" t="str">
            <v>Catinaria atropurpurea</v>
          </cell>
          <cell r="B2023" t="str">
            <v>Lichens</v>
          </cell>
          <cell r="C2023" t="str">
            <v>Mycophycophyta</v>
          </cell>
          <cell r="D2023" t="str">
            <v>Catinaria atropurpurea</v>
          </cell>
          <cell r="E2023" t="str">
            <v>LC</v>
          </cell>
          <cell r="F2023" t="str">
            <v>Woods &amp; Coppins, 2012</v>
          </cell>
          <cell r="G2023" t="str">
            <v>NHMSYS0001476940</v>
          </cell>
          <cell r="H2023" t="str">
            <v>Catinaria atropurpurea</v>
          </cell>
        </row>
        <row r="2024">
          <cell r="A2024" t="str">
            <v>Cecidonia umbonella</v>
          </cell>
          <cell r="B2024" t="str">
            <v>Lichens</v>
          </cell>
          <cell r="C2024" t="str">
            <v>Mycophycophyta</v>
          </cell>
          <cell r="D2024" t="str">
            <v>Cecidonia umbonella</v>
          </cell>
          <cell r="E2024" t="str">
            <v>LC</v>
          </cell>
          <cell r="F2024" t="str">
            <v>Woods &amp; Coppins, 2012</v>
          </cell>
          <cell r="G2024" t="str">
            <v>NBNSYS0000018733</v>
          </cell>
          <cell r="H2024" t="str">
            <v>Cecidonia umbonella</v>
          </cell>
        </row>
        <row r="2025">
          <cell r="A2025" t="str">
            <v>Cecidonia xenophana</v>
          </cell>
          <cell r="B2025" t="str">
            <v>Lichens</v>
          </cell>
          <cell r="C2025" t="str">
            <v>Mycophycophyta</v>
          </cell>
          <cell r="D2025" t="str">
            <v>Cecidonia xenophana</v>
          </cell>
          <cell r="E2025" t="str">
            <v>LC</v>
          </cell>
          <cell r="F2025" t="str">
            <v>Woods &amp; Coppins, 2012</v>
          </cell>
          <cell r="G2025" t="str">
            <v>NHMSYS0001476955</v>
          </cell>
          <cell r="H2025" t="str">
            <v>Cecidonia xenophana</v>
          </cell>
        </row>
        <row r="2026">
          <cell r="A2026" t="str">
            <v>Celothelium ischnobelum</v>
          </cell>
          <cell r="B2026" t="str">
            <v>Lichens</v>
          </cell>
          <cell r="C2026" t="str">
            <v>Mycophycophyta</v>
          </cell>
          <cell r="D2026" t="str">
            <v>Celothelium ischnobelum</v>
          </cell>
          <cell r="E2026" t="str">
            <v>LC</v>
          </cell>
          <cell r="F2026" t="str">
            <v>Woods &amp; Coppins, 2012</v>
          </cell>
          <cell r="G2026" t="str">
            <v>NBNSYS0000016155</v>
          </cell>
          <cell r="H2026" t="str">
            <v>Celothelium ischnobelum</v>
          </cell>
        </row>
        <row r="2027">
          <cell r="A2027" t="str">
            <v>Cercidospora epipolytropa</v>
          </cell>
          <cell r="B2027" t="str">
            <v>Lichens</v>
          </cell>
          <cell r="C2027" t="str">
            <v>Mycophycophyta</v>
          </cell>
          <cell r="D2027" t="str">
            <v>Cercidospora epipolytropa</v>
          </cell>
          <cell r="E2027" t="str">
            <v>LC</v>
          </cell>
          <cell r="F2027" t="str">
            <v>Woods &amp; Coppins, 2012</v>
          </cell>
          <cell r="G2027" t="str">
            <v>NBNSYS0000015956</v>
          </cell>
          <cell r="H2027" t="str">
            <v>Cercidospora epipolytropa</v>
          </cell>
        </row>
        <row r="2028">
          <cell r="A2028" t="str">
            <v>Cetraria aculeata</v>
          </cell>
          <cell r="B2028" t="str">
            <v>Lichens</v>
          </cell>
          <cell r="C2028" t="str">
            <v>Mycophycophyta</v>
          </cell>
          <cell r="D2028" t="str">
            <v>Cetraria aculeata</v>
          </cell>
          <cell r="E2028" t="str">
            <v>LC</v>
          </cell>
          <cell r="F2028" t="str">
            <v>Woods &amp; Coppins, 2012</v>
          </cell>
          <cell r="G2028" t="str">
            <v>BMSSYS0000003564</v>
          </cell>
          <cell r="H2028" t="str">
            <v>Cetraria aculeata</v>
          </cell>
        </row>
        <row r="2029">
          <cell r="A2029" t="str">
            <v>Cetraria ericetorum</v>
          </cell>
          <cell r="B2029" t="str">
            <v>Lichens</v>
          </cell>
          <cell r="C2029" t="str">
            <v>Mycophycophyta</v>
          </cell>
          <cell r="D2029" t="str">
            <v>Cetraria ericetorum</v>
          </cell>
          <cell r="E2029" t="str">
            <v>LC</v>
          </cell>
          <cell r="F2029" t="str">
            <v>Woods &amp; Coppins, 2012</v>
          </cell>
          <cell r="G2029" t="str">
            <v>NBNSYS0000018332</v>
          </cell>
          <cell r="H2029" t="str">
            <v>Cetraria ericetorum</v>
          </cell>
        </row>
        <row r="2030">
          <cell r="A2030" t="str">
            <v>Cetraria islandica subsp. islandica</v>
          </cell>
          <cell r="B2030" t="str">
            <v>Lichens</v>
          </cell>
          <cell r="C2030" t="str">
            <v>Mycophycophyta</v>
          </cell>
          <cell r="D2030" t="str">
            <v>Cetraria islandica (subsp.) islandica</v>
          </cell>
          <cell r="E2030" t="str">
            <v>LC</v>
          </cell>
          <cell r="F2030" t="str">
            <v>Woods &amp; Coppins, 2012</v>
          </cell>
          <cell r="G2030" t="str">
            <v>NHMSYS0001477209</v>
          </cell>
          <cell r="H2030" t="str">
            <v>Cetraria islandica subsp. islandica</v>
          </cell>
        </row>
        <row r="2031">
          <cell r="A2031" t="str">
            <v>Cetraria muricata</v>
          </cell>
          <cell r="B2031" t="str">
            <v>Lichens</v>
          </cell>
          <cell r="C2031" t="str">
            <v>Mycophycophyta</v>
          </cell>
          <cell r="D2031" t="str">
            <v>Cetraria muricata</v>
          </cell>
          <cell r="E2031" t="str">
            <v>LC</v>
          </cell>
          <cell r="F2031" t="str">
            <v>Woods &amp; Coppins, 2012</v>
          </cell>
          <cell r="G2031" t="str">
            <v>BMSSYS0000003585</v>
          </cell>
          <cell r="H2031" t="str">
            <v>Cetraria muricata</v>
          </cell>
        </row>
        <row r="2032">
          <cell r="A2032" t="str">
            <v>Cetraria sepincola</v>
          </cell>
          <cell r="B2032" t="str">
            <v>Lichens</v>
          </cell>
          <cell r="C2032" t="str">
            <v>Mycophycophyta</v>
          </cell>
          <cell r="D2032" t="str">
            <v>Cetraria sepincola</v>
          </cell>
          <cell r="E2032" t="str">
            <v>LC</v>
          </cell>
          <cell r="F2032" t="str">
            <v>Woods &amp; Coppins, 2012</v>
          </cell>
          <cell r="G2032" t="str">
            <v>NBNSYS0000018339</v>
          </cell>
          <cell r="H2032" t="str">
            <v>Cetraria sepincola</v>
          </cell>
        </row>
        <row r="2033">
          <cell r="A2033" t="str">
            <v>Cetrariella commixta</v>
          </cell>
          <cell r="B2033" t="str">
            <v>Lichens</v>
          </cell>
          <cell r="C2033" t="str">
            <v>Mycophycophyta</v>
          </cell>
          <cell r="D2033" t="str">
            <v>Cetrariella commixta</v>
          </cell>
          <cell r="E2033" t="str">
            <v>LC</v>
          </cell>
          <cell r="F2033" t="str">
            <v>Woods &amp; Coppins, 2012</v>
          </cell>
          <cell r="G2033" t="str">
            <v>NHMSYS0020990055</v>
          </cell>
          <cell r="H2033" t="str">
            <v>Cetrariella commixta</v>
          </cell>
        </row>
        <row r="2034">
          <cell r="A2034" t="str">
            <v>Cetrelia cetrarioides</v>
          </cell>
          <cell r="B2034" t="str">
            <v>Lichens</v>
          </cell>
          <cell r="C2034" t="str">
            <v>Mycophycophyta</v>
          </cell>
          <cell r="D2034" t="str">
            <v>Cetrelia cetrarioides</v>
          </cell>
          <cell r="E2034" t="str">
            <v>LC</v>
          </cell>
          <cell r="F2034" t="str">
            <v>Woods &amp; Coppins, 2012</v>
          </cell>
          <cell r="G2034" t="str">
            <v>BMSSYS0000003593</v>
          </cell>
          <cell r="H2034" t="str">
            <v>Cetrelia cetrarioides</v>
          </cell>
        </row>
        <row r="2035">
          <cell r="A2035" t="str">
            <v>Cetrelia monachorum</v>
          </cell>
          <cell r="B2035" t="str">
            <v>Lichens</v>
          </cell>
          <cell r="C2035" t="str">
            <v>Mycophycophyta</v>
          </cell>
          <cell r="D2035" t="str">
            <v>Cetrelia monachorum</v>
          </cell>
          <cell r="E2035" t="str">
            <v>LC</v>
          </cell>
          <cell r="F2035" t="str">
            <v>Woods &amp; Coppins, 2012</v>
          </cell>
          <cell r="G2035" t="str">
            <v>NHMSYS0001477219</v>
          </cell>
          <cell r="H2035" t="str">
            <v>Cetrelia monachorum</v>
          </cell>
        </row>
        <row r="2036">
          <cell r="A2036" t="str">
            <v>Cetrelia olivetorum s. lat.</v>
          </cell>
          <cell r="B2036" t="str">
            <v>Lichens</v>
          </cell>
          <cell r="C2036" t="str">
            <v>Mycophycophyta</v>
          </cell>
          <cell r="D2036" t="str">
            <v>Cetrelia olivetorum s. lat.</v>
          </cell>
          <cell r="E2036" t="str">
            <v>LC</v>
          </cell>
          <cell r="F2036" t="str">
            <v>Woods &amp; Coppins, 2012</v>
          </cell>
          <cell r="G2036" t="str">
            <v>BMSSYS0000533644</v>
          </cell>
          <cell r="H2036" t="str">
            <v>Cetrelia olivetorum s. lat.</v>
          </cell>
        </row>
        <row r="2037">
          <cell r="A2037" t="str">
            <v>Chaenotheca brachypoda</v>
          </cell>
          <cell r="B2037" t="str">
            <v>Lichens</v>
          </cell>
          <cell r="C2037" t="str">
            <v>Mycophycophyta</v>
          </cell>
          <cell r="D2037" t="str">
            <v>Chaenotheca brachypoda</v>
          </cell>
          <cell r="E2037" t="str">
            <v>LC</v>
          </cell>
          <cell r="F2037" t="str">
            <v>Woods &amp; Coppins, 2012</v>
          </cell>
          <cell r="G2037" t="str">
            <v>NBNSYS0000015567</v>
          </cell>
          <cell r="H2037" t="str">
            <v>Chaenotheca brachypoda</v>
          </cell>
        </row>
        <row r="2038">
          <cell r="A2038" t="str">
            <v>Chaenotheca brunneola</v>
          </cell>
          <cell r="B2038" t="str">
            <v>Lichens</v>
          </cell>
          <cell r="C2038" t="str">
            <v>Mycophycophyta</v>
          </cell>
          <cell r="D2038" t="str">
            <v>Chaenotheca brunneola</v>
          </cell>
          <cell r="E2038" t="str">
            <v>LC</v>
          </cell>
          <cell r="F2038" t="str">
            <v>Woods &amp; Coppins, 2012</v>
          </cell>
          <cell r="G2038" t="str">
            <v>NHMSYS0001477234</v>
          </cell>
          <cell r="H2038" t="str">
            <v>Chaenotheca brunneola</v>
          </cell>
        </row>
        <row r="2039">
          <cell r="A2039" t="str">
            <v>Chaenotheca chlorella</v>
          </cell>
          <cell r="B2039" t="str">
            <v>Lichens</v>
          </cell>
          <cell r="C2039" t="str">
            <v>Mycophycophyta</v>
          </cell>
          <cell r="D2039" t="str">
            <v>Chaenotheca chlorella</v>
          </cell>
          <cell r="E2039" t="str">
            <v>NT</v>
          </cell>
          <cell r="F2039" t="str">
            <v>Woods &amp; Coppins, 2012</v>
          </cell>
          <cell r="G2039" t="str">
            <v>NHMSYS0001477235</v>
          </cell>
          <cell r="H2039" t="str">
            <v>Chaenotheca chlorella</v>
          </cell>
        </row>
        <row r="2040">
          <cell r="A2040" t="str">
            <v>Chaenotheca chrysocephala</v>
          </cell>
          <cell r="B2040" t="str">
            <v>Lichens</v>
          </cell>
          <cell r="C2040" t="str">
            <v>Mycophycophyta</v>
          </cell>
          <cell r="D2040" t="str">
            <v>Chaenotheca chrysocephala</v>
          </cell>
          <cell r="E2040" t="str">
            <v>LC</v>
          </cell>
          <cell r="F2040" t="str">
            <v>Woods &amp; Coppins, 2012</v>
          </cell>
          <cell r="G2040" t="str">
            <v>NHMSYS0001477236</v>
          </cell>
          <cell r="H2040" t="str">
            <v>Chaenotheca chrysocephala</v>
          </cell>
        </row>
        <row r="2041">
          <cell r="A2041" t="str">
            <v>Chaenotheca ferruginea</v>
          </cell>
          <cell r="B2041" t="str">
            <v>Lichens</v>
          </cell>
          <cell r="C2041" t="str">
            <v>Mycophycophyta</v>
          </cell>
          <cell r="D2041" t="str">
            <v>Chaenotheca ferruginea</v>
          </cell>
          <cell r="E2041" t="str">
            <v>LC</v>
          </cell>
          <cell r="F2041" t="str">
            <v>Woods &amp; Coppins, 2012</v>
          </cell>
          <cell r="G2041" t="str">
            <v>NHMSYS0001477239</v>
          </cell>
          <cell r="H2041" t="str">
            <v>Chaenotheca ferruginea</v>
          </cell>
        </row>
        <row r="2042">
          <cell r="A2042" t="str">
            <v>Chaenotheca furfuracea</v>
          </cell>
          <cell r="B2042" t="str">
            <v>Lichens</v>
          </cell>
          <cell r="C2042" t="str">
            <v>Mycophycophyta</v>
          </cell>
          <cell r="D2042" t="str">
            <v>Chaenotheca furfuracea</v>
          </cell>
          <cell r="E2042" t="str">
            <v>LC</v>
          </cell>
          <cell r="F2042" t="str">
            <v>Woods &amp; Coppins, 2012</v>
          </cell>
          <cell r="G2042" t="str">
            <v>NBNSYS0000015563</v>
          </cell>
          <cell r="H2042" t="str">
            <v>Chaenotheca furfuracea</v>
          </cell>
        </row>
        <row r="2043">
          <cell r="A2043" t="str">
            <v>Chaenotheca gracilenta</v>
          </cell>
          <cell r="B2043" t="str">
            <v>Lichens</v>
          </cell>
          <cell r="C2043" t="str">
            <v>Mycophycophyta</v>
          </cell>
          <cell r="D2043" t="str">
            <v>Chaenotheca gracilenta</v>
          </cell>
          <cell r="E2043" t="str">
            <v>EN</v>
          </cell>
          <cell r="F2043" t="str">
            <v>Woods &amp; Coppins, 2012</v>
          </cell>
          <cell r="G2043" t="str">
            <v>NHMSYS0001477240</v>
          </cell>
          <cell r="H2043" t="str">
            <v>Chaenotheca gracilenta</v>
          </cell>
        </row>
        <row r="2044">
          <cell r="A2044" t="str">
            <v>Chaenotheca hispidula</v>
          </cell>
          <cell r="B2044" t="str">
            <v>Lichens</v>
          </cell>
          <cell r="C2044" t="str">
            <v>Mycophycophyta</v>
          </cell>
          <cell r="D2044" t="str">
            <v>Chaenotheca hispidula</v>
          </cell>
          <cell r="E2044" t="str">
            <v>LC</v>
          </cell>
          <cell r="F2044" t="str">
            <v>Woods &amp; Coppins, 2012</v>
          </cell>
          <cell r="G2044" t="str">
            <v>NBNSYS0000015549</v>
          </cell>
          <cell r="H2044" t="str">
            <v>Chaenotheca hispidula</v>
          </cell>
        </row>
        <row r="2045">
          <cell r="A2045" t="str">
            <v>Chaenotheca phaeocephala</v>
          </cell>
          <cell r="B2045" t="str">
            <v>Lichens</v>
          </cell>
          <cell r="C2045" t="str">
            <v>Mycophycophyta</v>
          </cell>
          <cell r="D2045" t="str">
            <v>Chaenotheca phaeocephala</v>
          </cell>
          <cell r="E2045" t="str">
            <v>CR</v>
          </cell>
          <cell r="F2045" t="str">
            <v>Woods &amp; Coppins, 2012</v>
          </cell>
          <cell r="G2045" t="str">
            <v>NBNSYS0000015551</v>
          </cell>
          <cell r="H2045" t="str">
            <v>Chaenotheca phaeocephala</v>
          </cell>
        </row>
        <row r="2046">
          <cell r="A2046" t="str">
            <v>Chaenotheca stemonea</v>
          </cell>
          <cell r="B2046" t="str">
            <v>Lichens</v>
          </cell>
          <cell r="C2046" t="str">
            <v>Mycophycophyta</v>
          </cell>
          <cell r="D2046" t="str">
            <v>Chaenotheca stemonea</v>
          </cell>
          <cell r="E2046" t="str">
            <v>LC</v>
          </cell>
          <cell r="F2046" t="str">
            <v>Woods &amp; Coppins, 2012</v>
          </cell>
          <cell r="G2046" t="str">
            <v>NBNSYS0000015552</v>
          </cell>
          <cell r="H2046" t="str">
            <v>Chaenotheca stemonea</v>
          </cell>
        </row>
        <row r="2047">
          <cell r="A2047" t="str">
            <v>Chaenotheca trichialis</v>
          </cell>
          <cell r="B2047" t="str">
            <v>Lichens</v>
          </cell>
          <cell r="C2047" t="str">
            <v>Mycophycophyta</v>
          </cell>
          <cell r="D2047" t="str">
            <v>Chaenotheca trichialis</v>
          </cell>
          <cell r="E2047" t="str">
            <v>LC</v>
          </cell>
          <cell r="F2047" t="str">
            <v>Woods &amp; Coppins, 2012</v>
          </cell>
          <cell r="G2047" t="str">
            <v>NHMSYS0001477244</v>
          </cell>
          <cell r="H2047" t="str">
            <v>Chaenotheca trichialis</v>
          </cell>
        </row>
        <row r="2048">
          <cell r="A2048" t="str">
            <v>Chaenothecopsis caespitosa</v>
          </cell>
          <cell r="B2048" t="str">
            <v>Lichens</v>
          </cell>
          <cell r="C2048" t="str">
            <v>Mycophycophyta</v>
          </cell>
          <cell r="D2048" t="str">
            <v>Chaenothecopsis caespitosa</v>
          </cell>
          <cell r="E2048" t="str">
            <v>NT</v>
          </cell>
          <cell r="F2048" t="str">
            <v>Woods &amp; Coppins, 2012</v>
          </cell>
          <cell r="G2048" t="str">
            <v>NBNSYS0000015555</v>
          </cell>
          <cell r="H2048" t="str">
            <v>Chaenothecopsis caespitosa</v>
          </cell>
        </row>
        <row r="2049">
          <cell r="A2049" t="str">
            <v>Chaenothecopsis debilis</v>
          </cell>
          <cell r="B2049" t="str">
            <v>Lichens</v>
          </cell>
          <cell r="C2049" t="str">
            <v>Mycophycophyta</v>
          </cell>
          <cell r="D2049" t="str">
            <v>Chaenothecopsis debilis</v>
          </cell>
          <cell r="E2049" t="str">
            <v>EX</v>
          </cell>
          <cell r="F2049" t="str">
            <v>Woods &amp; Coppins, 2012</v>
          </cell>
          <cell r="G2049" t="str">
            <v>NBNSYS0000015556</v>
          </cell>
          <cell r="H2049" t="str">
            <v>Chaenothecopsis debilis</v>
          </cell>
        </row>
        <row r="2050">
          <cell r="A2050" t="str">
            <v>Chaenothecopsis nigra</v>
          </cell>
          <cell r="B2050" t="str">
            <v>Lichens</v>
          </cell>
          <cell r="C2050" t="str">
            <v>Mycophycophyta</v>
          </cell>
          <cell r="D2050" t="str">
            <v>Chaenothecopsis nigra</v>
          </cell>
          <cell r="E2050" t="str">
            <v>LC</v>
          </cell>
          <cell r="F2050" t="str">
            <v>Woods &amp; Coppins, 2012</v>
          </cell>
          <cell r="G2050" t="str">
            <v>NBNSYS0000039604</v>
          </cell>
          <cell r="H2050" t="str">
            <v>Chaenothecopsis nigra</v>
          </cell>
        </row>
        <row r="2051">
          <cell r="A2051" t="str">
            <v>Chaenothecopsis parasitaster</v>
          </cell>
          <cell r="B2051" t="str">
            <v>Lichens</v>
          </cell>
          <cell r="C2051" t="str">
            <v>Mycophycophyta</v>
          </cell>
          <cell r="D2051" t="str">
            <v>Chaenothecopsis parasitaster</v>
          </cell>
          <cell r="E2051" t="str">
            <v>LC</v>
          </cell>
          <cell r="F2051" t="str">
            <v>Woods &amp; Coppins, 2012</v>
          </cell>
          <cell r="G2051" t="str">
            <v>NHMSYS0001477248</v>
          </cell>
          <cell r="H2051" t="str">
            <v>Chaenothecopsis parasitaster</v>
          </cell>
        </row>
        <row r="2052">
          <cell r="A2052" t="str">
            <v>Chaenothecopsis pusilla</v>
          </cell>
          <cell r="B2052" t="str">
            <v>Lichens</v>
          </cell>
          <cell r="C2052" t="str">
            <v>Mycophycophyta</v>
          </cell>
          <cell r="D2052" t="str">
            <v>Chaenothecopsis pusilla</v>
          </cell>
          <cell r="E2052" t="str">
            <v>LC</v>
          </cell>
          <cell r="F2052" t="str">
            <v>Woods &amp; Coppins, 2012</v>
          </cell>
          <cell r="G2052" t="str">
            <v>NBNSYS0000015560</v>
          </cell>
          <cell r="H2052" t="str">
            <v>Chaenothecopsis pusilla</v>
          </cell>
        </row>
        <row r="2053">
          <cell r="A2053" t="str">
            <v>Chaenothecopsis pusiola</v>
          </cell>
          <cell r="B2053" t="str">
            <v>Lichens</v>
          </cell>
          <cell r="C2053" t="str">
            <v>Mycophycophyta</v>
          </cell>
          <cell r="D2053" t="str">
            <v>Chaenothecopsis pusiola</v>
          </cell>
          <cell r="E2053" t="str">
            <v>NT</v>
          </cell>
          <cell r="F2053" t="str">
            <v>Woods &amp; Coppins, 2012</v>
          </cell>
          <cell r="G2053" t="str">
            <v>NBNSYS0000015558</v>
          </cell>
          <cell r="H2053" t="str">
            <v>Chaenothecopsis pusiola</v>
          </cell>
        </row>
        <row r="2054">
          <cell r="A2054" t="str">
            <v>Chaenothecopsis savonica</v>
          </cell>
          <cell r="B2054" t="str">
            <v>Lichens</v>
          </cell>
          <cell r="C2054" t="str">
            <v>Mycophycophyta</v>
          </cell>
          <cell r="D2054" t="str">
            <v>Chaenothecopsis savonica</v>
          </cell>
          <cell r="E2054" t="str">
            <v>NT</v>
          </cell>
          <cell r="F2054" t="str">
            <v>Woods &amp; Coppins, 2012</v>
          </cell>
          <cell r="G2054" t="str">
            <v>NHMSYS0001477249</v>
          </cell>
          <cell r="H2054" t="str">
            <v>Chaenothecopsis savonica</v>
          </cell>
        </row>
        <row r="2055">
          <cell r="A2055" t="str">
            <v>Chaenothecopsis viridireagens</v>
          </cell>
          <cell r="B2055" t="str">
            <v>Lichens</v>
          </cell>
          <cell r="C2055" t="str">
            <v>Mycophycophyta</v>
          </cell>
          <cell r="D2055" t="str">
            <v>Chaenothecopsis viridireagens</v>
          </cell>
          <cell r="E2055" t="str">
            <v>NT</v>
          </cell>
          <cell r="F2055" t="str">
            <v>Woods &amp; Coppins, 2012</v>
          </cell>
          <cell r="G2055" t="str">
            <v>NHMSYS0001477253</v>
          </cell>
          <cell r="H2055" t="str">
            <v>Chaenothecopsis viridireagens</v>
          </cell>
        </row>
        <row r="2056">
          <cell r="A2056" t="str">
            <v>Chrysothrix candelaris</v>
          </cell>
          <cell r="B2056" t="str">
            <v>Lichens</v>
          </cell>
          <cell r="C2056" t="str">
            <v>Mycophycophyta</v>
          </cell>
          <cell r="D2056" t="str">
            <v>Chrysothrix candelaris</v>
          </cell>
          <cell r="E2056" t="str">
            <v>LC</v>
          </cell>
          <cell r="F2056" t="str">
            <v>Woods &amp; Coppins, 2012</v>
          </cell>
          <cell r="G2056" t="str">
            <v>NHMSYS0001477463</v>
          </cell>
          <cell r="H2056" t="str">
            <v>Chrysothrix candelaris</v>
          </cell>
        </row>
        <row r="2057">
          <cell r="A2057" t="str">
            <v>Chrysothrix chlorina</v>
          </cell>
          <cell r="B2057" t="str">
            <v>Lichens</v>
          </cell>
          <cell r="C2057" t="str">
            <v>Mycophycophyta</v>
          </cell>
          <cell r="D2057" t="str">
            <v>Chrysothrix chlorina</v>
          </cell>
          <cell r="E2057" t="str">
            <v>LC</v>
          </cell>
          <cell r="F2057" t="str">
            <v>Woods &amp; Coppins, 2012</v>
          </cell>
          <cell r="G2057" t="str">
            <v>NBNSYS0000018342</v>
          </cell>
          <cell r="H2057" t="str">
            <v>Chrysothrix chlorina</v>
          </cell>
        </row>
        <row r="2058">
          <cell r="A2058" t="str">
            <v>Chrysothrix chrysophthalma</v>
          </cell>
          <cell r="B2058" t="str">
            <v>Lichens</v>
          </cell>
          <cell r="C2058" t="str">
            <v>Mycophycophyta</v>
          </cell>
          <cell r="D2058" t="str">
            <v>Chrysothrix chrysophthalma</v>
          </cell>
          <cell r="E2058" t="str">
            <v>NT</v>
          </cell>
          <cell r="F2058" t="str">
            <v>Woods &amp; Coppins, 2012</v>
          </cell>
          <cell r="G2058" t="str">
            <v>NHMSYS0001477464</v>
          </cell>
          <cell r="H2058" t="str">
            <v>Chrysothrix chrysophthalma</v>
          </cell>
        </row>
        <row r="2059">
          <cell r="A2059" t="str">
            <v>Chrysothrix flavovirens</v>
          </cell>
          <cell r="B2059" t="str">
            <v>Lichens</v>
          </cell>
          <cell r="C2059" t="str">
            <v>Mycophycophyta</v>
          </cell>
          <cell r="D2059" t="str">
            <v>Chrysothrix flavovirens</v>
          </cell>
          <cell r="E2059" t="str">
            <v>LC</v>
          </cell>
          <cell r="F2059" t="str">
            <v>Woods &amp; Coppins, 2012</v>
          </cell>
          <cell r="G2059" t="str">
            <v>BMSSYS0000003784</v>
          </cell>
          <cell r="H2059" t="str">
            <v>Chrysothrix flavovirens</v>
          </cell>
        </row>
        <row r="2060">
          <cell r="A2060" t="str">
            <v>Cladonia arbuscula subsp. squarrosa</v>
          </cell>
          <cell r="B2060" t="str">
            <v>Lichens</v>
          </cell>
          <cell r="C2060" t="str">
            <v>Mycophycophyta</v>
          </cell>
          <cell r="D2060" t="str">
            <v>Cladonia arbuscula (subsp.) squarrosa</v>
          </cell>
          <cell r="E2060" t="str">
            <v>LC</v>
          </cell>
          <cell r="F2060" t="str">
            <v>Woods &amp; Coppins, 2012</v>
          </cell>
          <cell r="G2060" t="str">
            <v>NBNSYS0000100702</v>
          </cell>
          <cell r="H2060" t="str">
            <v>Cladonia arbuscula subsp. squarrosa</v>
          </cell>
        </row>
        <row r="2061">
          <cell r="A2061" t="str">
            <v>Cladonia azorica</v>
          </cell>
          <cell r="B2061" t="str">
            <v>Lichens</v>
          </cell>
          <cell r="C2061" t="str">
            <v>Mycophycophyta</v>
          </cell>
          <cell r="D2061" t="str">
            <v>Cladonia azorica</v>
          </cell>
          <cell r="E2061" t="str">
            <v>LC</v>
          </cell>
          <cell r="F2061" t="str">
            <v>Woods &amp; Coppins, 2012</v>
          </cell>
          <cell r="G2061" t="str">
            <v>NBNSYS0000039612</v>
          </cell>
          <cell r="H2061" t="str">
            <v>Cladonia azorica</v>
          </cell>
        </row>
        <row r="2062">
          <cell r="A2062" t="str">
            <v>Cladonia bellidiflora</v>
          </cell>
          <cell r="B2062" t="str">
            <v>Lichens</v>
          </cell>
          <cell r="C2062" t="str">
            <v>Mycophycophyta</v>
          </cell>
          <cell r="D2062" t="str">
            <v>Cladonia bellidiflora</v>
          </cell>
          <cell r="E2062" t="str">
            <v>LC</v>
          </cell>
          <cell r="F2062" t="str">
            <v>Woods &amp; Coppins, 2012</v>
          </cell>
          <cell r="G2062" t="str">
            <v>NBNSYS0000018348</v>
          </cell>
          <cell r="H2062" t="str">
            <v>Cladonia bellidiflora</v>
          </cell>
        </row>
        <row r="2063">
          <cell r="A2063" t="str">
            <v>Cladonia caespiticia</v>
          </cell>
          <cell r="B2063" t="str">
            <v>Lichens</v>
          </cell>
          <cell r="C2063" t="str">
            <v>Mycophycophyta</v>
          </cell>
          <cell r="D2063" t="str">
            <v>Cladonia caespiticia</v>
          </cell>
          <cell r="E2063" t="str">
            <v>LC</v>
          </cell>
          <cell r="F2063" t="str">
            <v>Woods &amp; Coppins, 2012</v>
          </cell>
          <cell r="G2063" t="str">
            <v>NHMSYS0001477602</v>
          </cell>
          <cell r="H2063" t="str">
            <v>Cladonia caespiticia</v>
          </cell>
        </row>
        <row r="2064">
          <cell r="A2064" t="str">
            <v>Cladonia callosa</v>
          </cell>
          <cell r="B2064" t="str">
            <v>Lichens</v>
          </cell>
          <cell r="C2064" t="str">
            <v>Mycophycophyta</v>
          </cell>
          <cell r="D2064" t="str">
            <v>Cladonia callosa</v>
          </cell>
          <cell r="E2064" t="str">
            <v>LC</v>
          </cell>
          <cell r="F2064" t="str">
            <v>Woods &amp; Coppins, 2012</v>
          </cell>
          <cell r="G2064" t="str">
            <v>NHMSYS0001477603</v>
          </cell>
          <cell r="H2064" t="str">
            <v>Cladonia callosa</v>
          </cell>
        </row>
        <row r="2065">
          <cell r="A2065" t="str">
            <v>Cladonia cariosa</v>
          </cell>
          <cell r="B2065" t="str">
            <v>Lichens</v>
          </cell>
          <cell r="C2065" t="str">
            <v>Mycophycophyta</v>
          </cell>
          <cell r="D2065" t="str">
            <v>Cladonia cariosa</v>
          </cell>
          <cell r="E2065" t="str">
            <v>LC</v>
          </cell>
          <cell r="F2065" t="str">
            <v>Woods &amp; Coppins, 2012</v>
          </cell>
          <cell r="G2065" t="str">
            <v>NBNSYS0000018351</v>
          </cell>
          <cell r="H2065" t="str">
            <v>Cladonia cariosa</v>
          </cell>
        </row>
        <row r="2066">
          <cell r="A2066" t="str">
            <v>Cladonia carneola</v>
          </cell>
          <cell r="B2066" t="str">
            <v>Lichens</v>
          </cell>
          <cell r="C2066" t="str">
            <v>Mycophycophyta</v>
          </cell>
          <cell r="D2066" t="str">
            <v>Cladonia carneola</v>
          </cell>
          <cell r="E2066" t="str">
            <v>LC</v>
          </cell>
          <cell r="F2066" t="str">
            <v>Woods &amp; Coppins, 2012</v>
          </cell>
          <cell r="G2066" t="str">
            <v>NBNSYS0000018352</v>
          </cell>
          <cell r="H2066" t="str">
            <v>Cladonia carneola</v>
          </cell>
        </row>
        <row r="2067">
          <cell r="A2067" t="str">
            <v>Cladonia cenotea</v>
          </cell>
          <cell r="B2067" t="str">
            <v>Lichens</v>
          </cell>
          <cell r="C2067" t="str">
            <v>Mycophycophyta</v>
          </cell>
          <cell r="D2067" t="str">
            <v>Cladonia cenotea</v>
          </cell>
          <cell r="E2067" t="str">
            <v>NT</v>
          </cell>
          <cell r="F2067" t="str">
            <v>Woods &amp; Coppins, 2012</v>
          </cell>
          <cell r="G2067" t="str">
            <v>NBNSYS0000018353</v>
          </cell>
          <cell r="H2067" t="str">
            <v>Cladonia cenotea</v>
          </cell>
        </row>
        <row r="2068">
          <cell r="A2068" t="str">
            <v>Cladonia cervicornis subsp. cervicornis</v>
          </cell>
          <cell r="B2068" t="str">
            <v>Lichens</v>
          </cell>
          <cell r="C2068" t="str">
            <v>Mycophycophyta</v>
          </cell>
          <cell r="D2068" t="str">
            <v>Cladonia cervicornis (subsp.) cervicornis</v>
          </cell>
          <cell r="E2068" t="str">
            <v>LC</v>
          </cell>
          <cell r="F2068" t="str">
            <v>Woods &amp; Coppins, 2012</v>
          </cell>
          <cell r="G2068" t="str">
            <v>NBNSYS0000018354</v>
          </cell>
          <cell r="H2068" t="str">
            <v>Cladonia cervicornis subsp. cervicornis</v>
          </cell>
        </row>
        <row r="2069">
          <cell r="A2069" t="str">
            <v>Cladonia cervicornis subsp. verticillata</v>
          </cell>
          <cell r="B2069" t="str">
            <v>Lichens</v>
          </cell>
          <cell r="C2069" t="str">
            <v>Mycophycophyta</v>
          </cell>
          <cell r="D2069" t="str">
            <v>Cladonia cervicornis (subsp.) verticillata</v>
          </cell>
          <cell r="E2069" t="str">
            <v>LC</v>
          </cell>
          <cell r="F2069" t="str">
            <v>Woods &amp; Coppins, 2012</v>
          </cell>
          <cell r="G2069" t="str">
            <v>BMSSYS0000003992</v>
          </cell>
          <cell r="H2069" t="str">
            <v>Cladonia cervicornis subsp. verticillata</v>
          </cell>
        </row>
        <row r="2070">
          <cell r="A2070" t="str">
            <v>Cladonia chlorophaea s. str.</v>
          </cell>
          <cell r="B2070" t="str">
            <v>Lichens</v>
          </cell>
          <cell r="C2070" t="str">
            <v>Mycophycophyta</v>
          </cell>
          <cell r="D2070" t="str">
            <v>Cladonia chlorophaea s. str.</v>
          </cell>
          <cell r="E2070" t="str">
            <v>LC</v>
          </cell>
          <cell r="F2070" t="str">
            <v>Woods &amp; Coppins, 2012</v>
          </cell>
          <cell r="G2070" t="str">
            <v>NHMSYS0020105992</v>
          </cell>
          <cell r="H2070" t="str">
            <v>Cladonia chlorophaea s. str.</v>
          </cell>
        </row>
        <row r="2071">
          <cell r="A2071" t="str">
            <v>Cladonia ciliata var. ciliata, Cladonia ciliata var. tenuis</v>
          </cell>
          <cell r="B2071" t="str">
            <v>Lichens</v>
          </cell>
          <cell r="C2071" t="str">
            <v>Mycophycophyta</v>
          </cell>
          <cell r="D2071" t="str">
            <v>Cladonia ciliata (var. ciliata/var. tenuis)</v>
          </cell>
          <cell r="E2071" t="str">
            <v>LC</v>
          </cell>
          <cell r="F2071" t="str">
            <v>Woods &amp; Coppins, 2012</v>
          </cell>
          <cell r="G2071" t="str">
            <v>NBNSYS0000018357</v>
          </cell>
          <cell r="H2071" t="str">
            <v>Cladonia ciliata var. ciliata, Cladonia ciliata var. tenuis</v>
          </cell>
        </row>
        <row r="2072">
          <cell r="A2072" t="str">
            <v>Cladonia coniocraea</v>
          </cell>
          <cell r="B2072" t="str">
            <v>Lichens</v>
          </cell>
          <cell r="C2072" t="str">
            <v>Mycophycophyta</v>
          </cell>
          <cell r="D2072" t="str">
            <v>Cladonia coniocraea</v>
          </cell>
          <cell r="E2072" t="str">
            <v>LC</v>
          </cell>
          <cell r="F2072" t="str">
            <v>Woods &amp; Coppins, 2012</v>
          </cell>
          <cell r="G2072" t="str">
            <v>NHMSYS0001477618</v>
          </cell>
          <cell r="H2072" t="str">
            <v>Cladonia coniocraea</v>
          </cell>
        </row>
        <row r="2073">
          <cell r="A2073" t="str">
            <v>Cladonia convoluta</v>
          </cell>
          <cell r="B2073" t="str">
            <v>Lichens</v>
          </cell>
          <cell r="C2073" t="str">
            <v>Mycophycophyta</v>
          </cell>
          <cell r="D2073" t="str">
            <v>Cladonia convoluta</v>
          </cell>
          <cell r="E2073" t="str">
            <v>VU</v>
          </cell>
          <cell r="F2073" t="str">
            <v>Woods &amp; Coppins, 2012</v>
          </cell>
          <cell r="G2073" t="str">
            <v>NBNSYS0000018361</v>
          </cell>
          <cell r="H2073" t="str">
            <v>Cladonia convoluta</v>
          </cell>
        </row>
        <row r="2074">
          <cell r="A2074" t="str">
            <v>Cladonia cornuta</v>
          </cell>
          <cell r="B2074" t="str">
            <v>Lichens</v>
          </cell>
          <cell r="C2074" t="str">
            <v>Mycophycophyta</v>
          </cell>
          <cell r="D2074" t="str">
            <v>Cladonia cornuta</v>
          </cell>
          <cell r="E2074" t="str">
            <v>LC</v>
          </cell>
          <cell r="F2074" t="str">
            <v>Woods &amp; Coppins, 2012</v>
          </cell>
          <cell r="G2074" t="str">
            <v>NBNSYS0000018362</v>
          </cell>
          <cell r="H2074" t="str">
            <v>Cladonia cornuta</v>
          </cell>
        </row>
        <row r="2075">
          <cell r="A2075" t="str">
            <v>Cladonia cryptochlorophaea</v>
          </cell>
          <cell r="B2075" t="str">
            <v>Lichens</v>
          </cell>
          <cell r="C2075" t="str">
            <v>Mycophycophyta</v>
          </cell>
          <cell r="D2075" t="str">
            <v>Cladonia cryptochlorophaea</v>
          </cell>
          <cell r="E2075" t="str">
            <v>LC</v>
          </cell>
          <cell r="F2075" t="str">
            <v>Woods &amp; Coppins, 2012</v>
          </cell>
          <cell r="G2075" t="str">
            <v>NBNSYS0000018365</v>
          </cell>
          <cell r="H2075" t="str">
            <v>Cladonia cryptochlorophaea</v>
          </cell>
        </row>
        <row r="2076">
          <cell r="A2076" t="str">
            <v>Cladonia cyathomorpha</v>
          </cell>
          <cell r="B2076" t="str">
            <v>Lichens</v>
          </cell>
          <cell r="C2076" t="str">
            <v>Mycophycophyta</v>
          </cell>
          <cell r="D2076" t="str">
            <v>Cladonia cyathomorpha</v>
          </cell>
          <cell r="E2076" t="str">
            <v>LC</v>
          </cell>
          <cell r="F2076" t="str">
            <v>Woods &amp; Coppins, 2012</v>
          </cell>
          <cell r="G2076" t="str">
            <v>NBNSYS0000018366</v>
          </cell>
          <cell r="H2076" t="str">
            <v>Cladonia cyathomorpha</v>
          </cell>
        </row>
        <row r="2077">
          <cell r="A2077" t="str">
            <v>Cladonia digitata</v>
          </cell>
          <cell r="B2077" t="str">
            <v>Lichens</v>
          </cell>
          <cell r="C2077" t="str">
            <v>Mycophycophyta</v>
          </cell>
          <cell r="D2077" t="str">
            <v>Cladonia digitata</v>
          </cell>
          <cell r="E2077" t="str">
            <v>LC</v>
          </cell>
          <cell r="F2077" t="str">
            <v>Woods &amp; Coppins, 2012</v>
          </cell>
          <cell r="G2077" t="str">
            <v>NBNSYS0000018368</v>
          </cell>
          <cell r="H2077" t="str">
            <v>Cladonia digitata</v>
          </cell>
        </row>
        <row r="2078">
          <cell r="A2078" t="str">
            <v>Cladonia diversa</v>
          </cell>
          <cell r="B2078" t="str">
            <v>Lichens</v>
          </cell>
          <cell r="C2078" t="str">
            <v>Mycophycophyta</v>
          </cell>
          <cell r="D2078" t="str">
            <v>Cladonia diversa</v>
          </cell>
          <cell r="E2078" t="str">
            <v>LC</v>
          </cell>
          <cell r="F2078" t="str">
            <v>Woods &amp; Coppins, 2012</v>
          </cell>
          <cell r="G2078" t="str">
            <v>BMSSYS0000003914</v>
          </cell>
          <cell r="H2078" t="str">
            <v>Cladonia diversa</v>
          </cell>
        </row>
        <row r="2079">
          <cell r="A2079" t="str">
            <v>Cladonia fimbriata</v>
          </cell>
          <cell r="B2079" t="str">
            <v>Lichens</v>
          </cell>
          <cell r="C2079" t="str">
            <v>Mycophycophyta</v>
          </cell>
          <cell r="D2079" t="str">
            <v>Cladonia fimbriata</v>
          </cell>
          <cell r="E2079" t="str">
            <v>LC</v>
          </cell>
          <cell r="F2079" t="str">
            <v>Woods &amp; Coppins, 2012</v>
          </cell>
          <cell r="G2079" t="str">
            <v>NBNSYS0000018369</v>
          </cell>
          <cell r="H2079" t="str">
            <v>Cladonia fimbriata</v>
          </cell>
        </row>
        <row r="2080">
          <cell r="A2080" t="str">
            <v>Cladonia firma</v>
          </cell>
          <cell r="B2080" t="str">
            <v>Lichens</v>
          </cell>
          <cell r="C2080" t="str">
            <v>Mycophycophyta</v>
          </cell>
          <cell r="D2080" t="str">
            <v>Cladonia firma</v>
          </cell>
          <cell r="E2080" t="str">
            <v>LC</v>
          </cell>
          <cell r="F2080" t="str">
            <v>Woods &amp; Coppins, 2012</v>
          </cell>
          <cell r="G2080" t="str">
            <v>NBNSYS0000018370</v>
          </cell>
          <cell r="H2080" t="str">
            <v>Cladonia firma</v>
          </cell>
        </row>
        <row r="2081">
          <cell r="A2081" t="str">
            <v>Cladonia floerkeana</v>
          </cell>
          <cell r="B2081" t="str">
            <v>Lichens</v>
          </cell>
          <cell r="C2081" t="str">
            <v>Mycophycophyta</v>
          </cell>
          <cell r="D2081" t="str">
            <v>Cladonia floerkeana</v>
          </cell>
          <cell r="E2081" t="str">
            <v>LC</v>
          </cell>
          <cell r="F2081" t="str">
            <v>Woods &amp; Coppins, 2012</v>
          </cell>
          <cell r="G2081" t="str">
            <v>NHMSYS0001477632</v>
          </cell>
          <cell r="H2081" t="str">
            <v>Cladonia floerkeana</v>
          </cell>
        </row>
        <row r="2082">
          <cell r="A2082" t="str">
            <v>Cladonia foliacea</v>
          </cell>
          <cell r="B2082" t="str">
            <v>Lichens</v>
          </cell>
          <cell r="C2082" t="str">
            <v>Mycophycophyta</v>
          </cell>
          <cell r="D2082" t="str">
            <v>Cladonia foliacea</v>
          </cell>
          <cell r="E2082" t="str">
            <v>LC</v>
          </cell>
          <cell r="F2082" t="str">
            <v>Woods &amp; Coppins, 2012</v>
          </cell>
          <cell r="G2082" t="str">
            <v>NBNSYS0000018372</v>
          </cell>
          <cell r="H2082" t="str">
            <v>Cladonia foliacea</v>
          </cell>
        </row>
        <row r="2083">
          <cell r="A2083" t="str">
            <v>Cladonia furcata subsp. furcata</v>
          </cell>
          <cell r="B2083" t="str">
            <v>Lichens</v>
          </cell>
          <cell r="C2083" t="str">
            <v>Mycophycophyta</v>
          </cell>
          <cell r="D2083" t="str">
            <v>Cladonia furcata (subsp.) furcata</v>
          </cell>
          <cell r="E2083" t="str">
            <v>LC</v>
          </cell>
          <cell r="F2083" t="str">
            <v>Woods &amp; Coppins, 2012</v>
          </cell>
          <cell r="G2083" t="str">
            <v>NHMSYS0001477638</v>
          </cell>
          <cell r="H2083" t="str">
            <v>Cladonia furcata subsp. furcata</v>
          </cell>
        </row>
        <row r="2084">
          <cell r="A2084" t="str">
            <v>Cladonia furcata subsp. subrangiformis</v>
          </cell>
          <cell r="B2084" t="str">
            <v>Lichens</v>
          </cell>
          <cell r="C2084" t="str">
            <v>Mycophycophyta</v>
          </cell>
          <cell r="D2084" t="str">
            <v>Cladonia furcata (subsp.) subrangiformis</v>
          </cell>
          <cell r="E2084" t="str">
            <v>LC</v>
          </cell>
          <cell r="F2084" t="str">
            <v>Woods &amp; Coppins, 2012</v>
          </cell>
          <cell r="G2084" t="str">
            <v>NHMSYS0001477639</v>
          </cell>
          <cell r="H2084" t="str">
            <v>Cladonia furcata subsp. subrangiformis</v>
          </cell>
        </row>
        <row r="2085">
          <cell r="A2085" t="str">
            <v>Cladonia glauca</v>
          </cell>
          <cell r="B2085" t="str">
            <v>Lichens</v>
          </cell>
          <cell r="C2085" t="str">
            <v>Mycophycophyta</v>
          </cell>
          <cell r="D2085" t="str">
            <v>Cladonia glauca</v>
          </cell>
          <cell r="E2085" t="str">
            <v>LC</v>
          </cell>
          <cell r="F2085" t="str">
            <v>Woods &amp; Coppins, 2012</v>
          </cell>
          <cell r="G2085" t="str">
            <v>NHMSYS0001477642</v>
          </cell>
          <cell r="H2085" t="str">
            <v>Cladonia glauca</v>
          </cell>
        </row>
        <row r="2086">
          <cell r="A2086" t="str">
            <v>Cladonia gracilis</v>
          </cell>
          <cell r="B2086" t="str">
            <v>Lichens</v>
          </cell>
          <cell r="C2086" t="str">
            <v>Mycophycophyta</v>
          </cell>
          <cell r="D2086" t="str">
            <v>Cladonia gracilis</v>
          </cell>
          <cell r="E2086" t="str">
            <v>LC</v>
          </cell>
          <cell r="F2086" t="str">
            <v>Woods &amp; Coppins, 2012</v>
          </cell>
          <cell r="G2086" t="str">
            <v>NBNSYS0000018377</v>
          </cell>
          <cell r="H2086" t="str">
            <v>Cladonia gracilis</v>
          </cell>
        </row>
        <row r="2087">
          <cell r="A2087" t="str">
            <v>Cladonia humilis</v>
          </cell>
          <cell r="B2087" t="str">
            <v>Lichens</v>
          </cell>
          <cell r="C2087" t="str">
            <v>Mycophycophyta</v>
          </cell>
          <cell r="D2087" t="str">
            <v>Cladonia humilis</v>
          </cell>
          <cell r="E2087" t="str">
            <v>LC</v>
          </cell>
          <cell r="F2087" t="str">
            <v>Woods &amp; Coppins, 2012</v>
          </cell>
          <cell r="G2087" t="str">
            <v>NHMSYS0001477644</v>
          </cell>
          <cell r="H2087" t="str">
            <v>Cladonia humilis</v>
          </cell>
        </row>
        <row r="2088">
          <cell r="A2088" t="str">
            <v>Cladonia incrassata</v>
          </cell>
          <cell r="B2088" t="str">
            <v>Lichens</v>
          </cell>
          <cell r="C2088" t="str">
            <v>Mycophycophyta</v>
          </cell>
          <cell r="D2088" t="str">
            <v>Cladonia incrassata</v>
          </cell>
          <cell r="E2088" t="str">
            <v>LC</v>
          </cell>
          <cell r="F2088" t="str">
            <v>Woods &amp; Coppins, 2012</v>
          </cell>
          <cell r="G2088" t="str">
            <v>NHMSYS0001477646</v>
          </cell>
          <cell r="H2088" t="str">
            <v>Cladonia incrassata</v>
          </cell>
        </row>
        <row r="2089">
          <cell r="A2089" t="str">
            <v>Cladonia luteoalba</v>
          </cell>
          <cell r="B2089" t="str">
            <v>Lichens</v>
          </cell>
          <cell r="C2089" t="str">
            <v>Mycophycophyta</v>
          </cell>
          <cell r="D2089" t="str">
            <v>Cladonia luteoalba</v>
          </cell>
          <cell r="E2089" t="str">
            <v>LC</v>
          </cell>
          <cell r="F2089" t="str">
            <v>Woods &amp; Coppins, 2012</v>
          </cell>
          <cell r="G2089" t="str">
            <v>NHMSYS0001477648</v>
          </cell>
          <cell r="H2089" t="str">
            <v>Cladonia luteoalba</v>
          </cell>
        </row>
        <row r="2090">
          <cell r="A2090" t="str">
            <v>Cladonia macilenta</v>
          </cell>
          <cell r="B2090" t="str">
            <v>Lichens</v>
          </cell>
          <cell r="C2090" t="str">
            <v>Mycophycophyta</v>
          </cell>
          <cell r="D2090" t="str">
            <v>Cladonia macilenta</v>
          </cell>
          <cell r="E2090" t="str">
            <v>LC</v>
          </cell>
          <cell r="F2090" t="str">
            <v>Woods &amp; Coppins, 2012</v>
          </cell>
          <cell r="G2090" t="str">
            <v>NBNSYS0000018382</v>
          </cell>
          <cell r="H2090" t="str">
            <v>Cladonia macilenta</v>
          </cell>
        </row>
        <row r="2091">
          <cell r="A2091" t="str">
            <v>Cladonia macrophylla</v>
          </cell>
          <cell r="B2091" t="str">
            <v>Lichens</v>
          </cell>
          <cell r="C2091" t="str">
            <v>Mycophycophyta</v>
          </cell>
          <cell r="D2091" t="str">
            <v>Cladonia macrophylla</v>
          </cell>
          <cell r="E2091" t="str">
            <v>LC</v>
          </cell>
          <cell r="F2091" t="str">
            <v>Woods &amp; Coppins, 2012</v>
          </cell>
          <cell r="G2091" t="str">
            <v>NBNSYS0000018383</v>
          </cell>
          <cell r="H2091" t="str">
            <v>Cladonia macrophylla</v>
          </cell>
        </row>
        <row r="2092">
          <cell r="A2092" t="str">
            <v>Cladonia mediterranea</v>
          </cell>
          <cell r="B2092" t="str">
            <v>Lichens</v>
          </cell>
          <cell r="C2092" t="str">
            <v>Mycophycophyta</v>
          </cell>
          <cell r="D2092" t="str">
            <v>Cladonia mediterranea</v>
          </cell>
          <cell r="E2092" t="str">
            <v>CR</v>
          </cell>
          <cell r="F2092" t="str">
            <v>Woods &amp; Coppins, 2012</v>
          </cell>
          <cell r="G2092" t="str">
            <v>NBNSYS0000018385</v>
          </cell>
          <cell r="H2092" t="str">
            <v>Cladonia mediterranea</v>
          </cell>
        </row>
        <row r="2093">
          <cell r="A2093" t="str">
            <v>Cladonia merochlorophaea</v>
          </cell>
          <cell r="B2093" t="str">
            <v>Lichens</v>
          </cell>
          <cell r="C2093" t="str">
            <v>Mycophycophyta</v>
          </cell>
          <cell r="D2093" t="str">
            <v>Cladonia merochlorophaea</v>
          </cell>
          <cell r="E2093" t="str">
            <v>LC</v>
          </cell>
          <cell r="F2093" t="str">
            <v>Woods &amp; Coppins, 2012</v>
          </cell>
          <cell r="G2093" t="str">
            <v>NBNSYS0000018386</v>
          </cell>
          <cell r="H2093" t="str">
            <v>Cladonia merochlorophaea</v>
          </cell>
        </row>
        <row r="2094">
          <cell r="A2094" t="str">
            <v>Cladonia mitis</v>
          </cell>
          <cell r="B2094" t="str">
            <v>Lichens</v>
          </cell>
          <cell r="C2094" t="str">
            <v>Mycophycophyta</v>
          </cell>
          <cell r="D2094" t="str">
            <v>Cladonia mitis</v>
          </cell>
          <cell r="E2094" t="str">
            <v>NT</v>
          </cell>
          <cell r="F2094" t="str">
            <v>Woods &amp; Coppins, 2012</v>
          </cell>
          <cell r="G2094" t="str">
            <v>NBNSYS0000162240</v>
          </cell>
          <cell r="H2094" t="str">
            <v>Cladonia mitis</v>
          </cell>
        </row>
        <row r="2095">
          <cell r="A2095" t="str">
            <v>Cladonia ochrochlora</v>
          </cell>
          <cell r="B2095" t="str">
            <v>Lichens</v>
          </cell>
          <cell r="C2095" t="str">
            <v>Mycophycophyta</v>
          </cell>
          <cell r="D2095" t="str">
            <v>Cladonia ochrochlora</v>
          </cell>
          <cell r="E2095" t="str">
            <v>LC</v>
          </cell>
          <cell r="F2095" t="str">
            <v>Woods &amp; Coppins, 2012</v>
          </cell>
          <cell r="G2095" t="str">
            <v>NHMSYS0001477656</v>
          </cell>
          <cell r="H2095" t="str">
            <v>Cladonia ochrochlora</v>
          </cell>
        </row>
        <row r="2096">
          <cell r="A2096" t="str">
            <v>Cladonia parasitica</v>
          </cell>
          <cell r="B2096" t="str">
            <v>Lichens</v>
          </cell>
          <cell r="C2096" t="str">
            <v>Mycophycophyta</v>
          </cell>
          <cell r="D2096" t="str">
            <v>Cladonia parasitica</v>
          </cell>
          <cell r="E2096" t="str">
            <v>LC</v>
          </cell>
          <cell r="F2096" t="str">
            <v>Woods &amp; Coppins, 2012</v>
          </cell>
          <cell r="G2096" t="str">
            <v>NBNSYS0000018390</v>
          </cell>
          <cell r="H2096" t="str">
            <v>Cladonia parasitica</v>
          </cell>
        </row>
        <row r="2097">
          <cell r="A2097" t="str">
            <v>Cladonia peziziformis</v>
          </cell>
          <cell r="B2097" t="str">
            <v>Lichens</v>
          </cell>
          <cell r="C2097" t="str">
            <v>Mycophycophyta</v>
          </cell>
          <cell r="D2097" t="str">
            <v>Cladonia peziziformis</v>
          </cell>
          <cell r="E2097" t="str">
            <v>CR</v>
          </cell>
          <cell r="F2097" t="str">
            <v>Woods &amp; Coppins, 2012</v>
          </cell>
          <cell r="G2097" t="str">
            <v>NBNSYS0000018391</v>
          </cell>
          <cell r="H2097" t="str">
            <v>Cladonia peziziformis</v>
          </cell>
        </row>
        <row r="2098">
          <cell r="A2098" t="str">
            <v>Cladonia phyllophora</v>
          </cell>
          <cell r="B2098" t="str">
            <v>Lichens</v>
          </cell>
          <cell r="C2098" t="str">
            <v>Mycophycophyta</v>
          </cell>
          <cell r="D2098" t="str">
            <v>Cladonia phyllophora</v>
          </cell>
          <cell r="E2098" t="str">
            <v>NT</v>
          </cell>
          <cell r="F2098" t="str">
            <v>Woods &amp; Coppins, 2012</v>
          </cell>
          <cell r="G2098" t="str">
            <v>NBNSYS0000018392</v>
          </cell>
          <cell r="H2098" t="str">
            <v>Cladonia phyllophora</v>
          </cell>
        </row>
        <row r="2099">
          <cell r="A2099" t="str">
            <v>Cladonia pocillum</v>
          </cell>
          <cell r="B2099" t="str">
            <v>Lichens</v>
          </cell>
          <cell r="C2099" t="str">
            <v>Mycophycophyta</v>
          </cell>
          <cell r="D2099" t="str">
            <v>Cladonia pocillum</v>
          </cell>
          <cell r="E2099" t="str">
            <v>LC</v>
          </cell>
          <cell r="F2099" t="str">
            <v>Woods &amp; Coppins, 2012</v>
          </cell>
          <cell r="G2099" t="str">
            <v>NHMSYS0000362105</v>
          </cell>
          <cell r="H2099" t="str">
            <v>Cladonia pocillum</v>
          </cell>
        </row>
        <row r="2100">
          <cell r="A2100" t="str">
            <v>Cladonia portentosa</v>
          </cell>
          <cell r="B2100" t="str">
            <v>Lichens</v>
          </cell>
          <cell r="C2100" t="str">
            <v>Mycophycophyta</v>
          </cell>
          <cell r="D2100" t="str">
            <v>Cladonia portentosa</v>
          </cell>
          <cell r="E2100" t="str">
            <v>LC</v>
          </cell>
          <cell r="F2100" t="str">
            <v>Woods &amp; Coppins, 2012</v>
          </cell>
          <cell r="G2100" t="str">
            <v>NBNSYS0000018396</v>
          </cell>
          <cell r="H2100" t="str">
            <v>Cladonia portentosa</v>
          </cell>
        </row>
        <row r="2101">
          <cell r="A2101" t="str">
            <v>Cladonia pyxidata</v>
          </cell>
          <cell r="B2101" t="str">
            <v>Lichens</v>
          </cell>
          <cell r="C2101" t="str">
            <v>Mycophycophyta</v>
          </cell>
          <cell r="D2101" t="str">
            <v>Cladonia pyxidata</v>
          </cell>
          <cell r="E2101" t="str">
            <v>LC</v>
          </cell>
          <cell r="F2101" t="str">
            <v>Woods &amp; Coppins, 2012</v>
          </cell>
          <cell r="G2101" t="str">
            <v>NBNSYS0000018398</v>
          </cell>
          <cell r="H2101" t="str">
            <v>Cladonia pyxidata</v>
          </cell>
        </row>
        <row r="2102">
          <cell r="A2102" t="str">
            <v>Cladonia ramulosa</v>
          </cell>
          <cell r="B2102" t="str">
            <v>Lichens</v>
          </cell>
          <cell r="C2102" t="str">
            <v>Mycophycophyta</v>
          </cell>
          <cell r="D2102" t="str">
            <v>Cladonia ramulosa</v>
          </cell>
          <cell r="E2102" t="str">
            <v>LC</v>
          </cell>
          <cell r="F2102" t="str">
            <v>Woods &amp; Coppins, 2012</v>
          </cell>
          <cell r="G2102" t="str">
            <v>NHMSYS0001477667</v>
          </cell>
          <cell r="H2102" t="str">
            <v>Cladonia ramulosa</v>
          </cell>
        </row>
        <row r="2103">
          <cell r="A2103" t="str">
            <v>Cladonia rangiferina</v>
          </cell>
          <cell r="B2103" t="str">
            <v>Lichens</v>
          </cell>
          <cell r="C2103" t="str">
            <v>Mycophycophyta</v>
          </cell>
          <cell r="D2103" t="str">
            <v>Cladonia rangiferina</v>
          </cell>
          <cell r="E2103" t="str">
            <v>LC</v>
          </cell>
          <cell r="F2103" t="str">
            <v>Woods &amp; Coppins, 2012</v>
          </cell>
          <cell r="G2103" t="str">
            <v>NHMSYS0001442627</v>
          </cell>
          <cell r="H2103" t="str">
            <v>Cladonia rangiferina</v>
          </cell>
        </row>
        <row r="2104">
          <cell r="A2104" t="str">
            <v>Cladonia rangiformis</v>
          </cell>
          <cell r="B2104" t="str">
            <v>Lichens</v>
          </cell>
          <cell r="C2104" t="str">
            <v>Mycophycophyta</v>
          </cell>
          <cell r="D2104" t="str">
            <v>Cladonia rangiformis</v>
          </cell>
          <cell r="E2104" t="str">
            <v>LC</v>
          </cell>
          <cell r="F2104" t="str">
            <v>Woods &amp; Coppins, 2012</v>
          </cell>
          <cell r="G2104" t="str">
            <v>NBNSYS0000018401</v>
          </cell>
          <cell r="H2104" t="str">
            <v>Cladonia rangiformis</v>
          </cell>
        </row>
        <row r="2105">
          <cell r="A2105" t="str">
            <v>Cladonia rei</v>
          </cell>
          <cell r="B2105" t="str">
            <v>Lichens</v>
          </cell>
          <cell r="C2105" t="str">
            <v>Mycophycophyta</v>
          </cell>
          <cell r="D2105" t="str">
            <v>Cladonia rei</v>
          </cell>
          <cell r="E2105" t="str">
            <v>NT</v>
          </cell>
          <cell r="F2105" t="str">
            <v>Woods &amp; Coppins, 2012</v>
          </cell>
          <cell r="G2105" t="str">
            <v>NBNSYS0000018403</v>
          </cell>
          <cell r="H2105" t="str">
            <v>Cladonia rei</v>
          </cell>
        </row>
        <row r="2106">
          <cell r="A2106" t="str">
            <v>Cladonia scabriuscula</v>
          </cell>
          <cell r="B2106" t="str">
            <v>Lichens</v>
          </cell>
          <cell r="C2106" t="str">
            <v>Mycophycophyta</v>
          </cell>
          <cell r="D2106" t="str">
            <v>Cladonia scabriuscula</v>
          </cell>
          <cell r="E2106" t="str">
            <v>LC</v>
          </cell>
          <cell r="F2106" t="str">
            <v>Woods &amp; Coppins, 2012</v>
          </cell>
          <cell r="G2106" t="str">
            <v>NHMSYS0001477671</v>
          </cell>
          <cell r="H2106" t="str">
            <v>Cladonia scabriuscula</v>
          </cell>
        </row>
        <row r="2107">
          <cell r="A2107" t="str">
            <v>Cladonia squamosa var. squamosa, Cladonia squamosa var. subsquamosa</v>
          </cell>
          <cell r="B2107" t="str">
            <v>Lichens</v>
          </cell>
          <cell r="C2107" t="str">
            <v>Mycophycophyta</v>
          </cell>
          <cell r="D2107" t="str">
            <v>Cladonia squamosa (var. squamosa/var. subsquamosa)</v>
          </cell>
          <cell r="E2107" t="str">
            <v>LC</v>
          </cell>
          <cell r="F2107" t="str">
            <v>Woods &amp; Coppins, 2012</v>
          </cell>
          <cell r="G2107" t="str">
            <v>NBNSYS0000018405</v>
          </cell>
          <cell r="H2107" t="str">
            <v>Cladonia squamosa var. squamosa, Cladonia squamosa var. subsquamosa</v>
          </cell>
        </row>
        <row r="2108">
          <cell r="A2108" t="str">
            <v>Cladonia strepsilis</v>
          </cell>
          <cell r="B2108" t="str">
            <v>Lichens</v>
          </cell>
          <cell r="C2108" t="str">
            <v>Mycophycophyta</v>
          </cell>
          <cell r="D2108" t="str">
            <v>Cladonia strepsilis</v>
          </cell>
          <cell r="E2108" t="str">
            <v>LC</v>
          </cell>
          <cell r="F2108" t="str">
            <v>Woods &amp; Coppins, 2012</v>
          </cell>
          <cell r="G2108" t="str">
            <v>NHMSYS0000362124</v>
          </cell>
          <cell r="H2108" t="str">
            <v>Cladonia strepsilis</v>
          </cell>
        </row>
        <row r="2109">
          <cell r="A2109" t="str">
            <v>Cladonia subcervicornis</v>
          </cell>
          <cell r="B2109" t="str">
            <v>Lichens</v>
          </cell>
          <cell r="C2109" t="str">
            <v>Mycophycophyta</v>
          </cell>
          <cell r="D2109" t="str">
            <v>Cladonia subcervicornis</v>
          </cell>
          <cell r="E2109" t="str">
            <v>LC</v>
          </cell>
          <cell r="F2109" t="str">
            <v>Woods &amp; Coppins, 2012</v>
          </cell>
          <cell r="G2109" t="str">
            <v>NBNSYS0000018411</v>
          </cell>
          <cell r="H2109" t="str">
            <v>Cladonia subcervicornis</v>
          </cell>
        </row>
        <row r="2110">
          <cell r="A2110" t="str">
            <v>Cladonia subulata</v>
          </cell>
          <cell r="B2110" t="str">
            <v>Lichens</v>
          </cell>
          <cell r="C2110" t="str">
            <v>Mycophycophyta</v>
          </cell>
          <cell r="D2110" t="str">
            <v>Cladonia subulata</v>
          </cell>
          <cell r="E2110" t="str">
            <v>LC</v>
          </cell>
          <cell r="F2110" t="str">
            <v>Woods &amp; Coppins, 2012</v>
          </cell>
          <cell r="G2110" t="str">
            <v>NHMSYS0001477679</v>
          </cell>
          <cell r="H2110" t="str">
            <v>Cladonia subulata</v>
          </cell>
        </row>
        <row r="2111">
          <cell r="A2111" t="str">
            <v>Cladonia sulphurina</v>
          </cell>
          <cell r="B2111" t="str">
            <v>Lichens</v>
          </cell>
          <cell r="C2111" t="str">
            <v>Mycophycophyta</v>
          </cell>
          <cell r="D2111" t="str">
            <v>Cladonia sulphurina</v>
          </cell>
          <cell r="E2111" t="str">
            <v>LC</v>
          </cell>
          <cell r="F2111" t="str">
            <v>Woods &amp; Coppins, 2012</v>
          </cell>
          <cell r="G2111" t="str">
            <v>NBNSYS0000018413</v>
          </cell>
          <cell r="H2111" t="str">
            <v>Cladonia sulphurina</v>
          </cell>
        </row>
        <row r="2112">
          <cell r="A2112" t="str">
            <v>Cladonia symphycarpa</v>
          </cell>
          <cell r="B2112" t="str">
            <v>Lichens</v>
          </cell>
          <cell r="C2112" t="str">
            <v>Mycophycophyta</v>
          </cell>
          <cell r="D2112" t="str">
            <v>Cladonia symphycarpa</v>
          </cell>
          <cell r="E2112" t="str">
            <v>LC</v>
          </cell>
          <cell r="F2112" t="str">
            <v>Woods &amp; Coppins, 2012</v>
          </cell>
          <cell r="G2112" t="str">
            <v>NHMSYS0000364640</v>
          </cell>
          <cell r="H2112" t="str">
            <v>Cladonia symphycarpa</v>
          </cell>
        </row>
        <row r="2113">
          <cell r="A2113" t="str">
            <v>Cladonia uncialis subsp. biuncialis</v>
          </cell>
          <cell r="B2113" t="str">
            <v>Lichens</v>
          </cell>
          <cell r="C2113" t="str">
            <v>Mycophycophyta</v>
          </cell>
          <cell r="D2113" t="str">
            <v>Cladonia uncialis (subsp.) biuncialis</v>
          </cell>
          <cell r="E2113" t="str">
            <v>LC</v>
          </cell>
          <cell r="F2113" t="str">
            <v>Woods &amp; Coppins, 2012</v>
          </cell>
          <cell r="G2113" t="str">
            <v>NHMSYS0001477684</v>
          </cell>
          <cell r="H2113" t="str">
            <v>Cladonia uncialis subsp. biuncialis</v>
          </cell>
        </row>
        <row r="2114">
          <cell r="A2114" t="str">
            <v>Cladonia uncialis subsp. uncialis</v>
          </cell>
          <cell r="B2114" t="str">
            <v>Lichens</v>
          </cell>
          <cell r="C2114" t="str">
            <v>Mycophycophyta</v>
          </cell>
          <cell r="D2114" t="str">
            <v>Cladonia uncialis (subsp.) uncialis</v>
          </cell>
          <cell r="E2114" t="str">
            <v>NT</v>
          </cell>
          <cell r="F2114" t="str">
            <v>Woods &amp; Coppins, 2012</v>
          </cell>
          <cell r="G2114" t="str">
            <v>NHMSYS0001477685</v>
          </cell>
          <cell r="H2114" t="str">
            <v>Cladonia uncialis subsp. uncialis</v>
          </cell>
        </row>
        <row r="2115">
          <cell r="A2115" t="str">
            <v>Cladonia zopfii</v>
          </cell>
          <cell r="B2115" t="str">
            <v>Lichens</v>
          </cell>
          <cell r="C2115" t="str">
            <v>Mycophycophyta</v>
          </cell>
          <cell r="D2115" t="str">
            <v>Cladonia zopfii</v>
          </cell>
          <cell r="E2115" t="str">
            <v>LC</v>
          </cell>
          <cell r="F2115" t="str">
            <v>Woods &amp; Coppins, 2012</v>
          </cell>
          <cell r="G2115" t="str">
            <v>NBNSYS0000018419</v>
          </cell>
          <cell r="H2115" t="str">
            <v>Cladonia zopfii</v>
          </cell>
        </row>
        <row r="2116">
          <cell r="A2116" t="str">
            <v>Cladoniicola staurospora</v>
          </cell>
          <cell r="B2116" t="str">
            <v>Lichens</v>
          </cell>
          <cell r="C2116" t="str">
            <v>Mycophycophyta</v>
          </cell>
          <cell r="D2116" t="str">
            <v>Cladoniicola staurospora</v>
          </cell>
          <cell r="E2116" t="str">
            <v>LC</v>
          </cell>
          <cell r="F2116" t="str">
            <v>Woods &amp; Coppins, 2012</v>
          </cell>
          <cell r="G2116" t="str">
            <v>NHMSYS0020990098</v>
          </cell>
          <cell r="H2116" t="str">
            <v>Cladoniicola staurospora</v>
          </cell>
        </row>
        <row r="2117">
          <cell r="A2117" t="str">
            <v>Claurouxia chalybeioides</v>
          </cell>
          <cell r="B2117" t="str">
            <v>Lichens</v>
          </cell>
          <cell r="C2117" t="str">
            <v>Mycophycophyta</v>
          </cell>
          <cell r="D2117" t="str">
            <v>Claurouxia chalybeioides</v>
          </cell>
          <cell r="E2117" t="str">
            <v>LC</v>
          </cell>
          <cell r="F2117" t="str">
            <v>Woods &amp; Coppins, 2012</v>
          </cell>
          <cell r="G2117" t="str">
            <v>NHMSYS0001477740</v>
          </cell>
          <cell r="H2117" t="str">
            <v>Claurouxia chalybeioides</v>
          </cell>
        </row>
        <row r="2118">
          <cell r="A2118" t="str">
            <v>Clauzadea immersa</v>
          </cell>
          <cell r="B2118" t="str">
            <v>Lichens</v>
          </cell>
          <cell r="C2118" t="str">
            <v>Mycophycophyta</v>
          </cell>
          <cell r="D2118" t="str">
            <v>Clauzadea immersa</v>
          </cell>
          <cell r="E2118" t="str">
            <v>LC</v>
          </cell>
          <cell r="F2118" t="str">
            <v>Woods &amp; Coppins, 2012</v>
          </cell>
          <cell r="G2118" t="str">
            <v>NBNSYS0000018675</v>
          </cell>
          <cell r="H2118" t="str">
            <v>Clauzadea immersa</v>
          </cell>
        </row>
        <row r="2119">
          <cell r="A2119" t="str">
            <v>Clauzadea metzleri</v>
          </cell>
          <cell r="B2119" t="str">
            <v>Lichens</v>
          </cell>
          <cell r="C2119" t="str">
            <v>Mycophycophyta</v>
          </cell>
          <cell r="D2119" t="str">
            <v>Clauzadea metzleri</v>
          </cell>
          <cell r="E2119" t="str">
            <v>LC</v>
          </cell>
          <cell r="F2119" t="str">
            <v>Woods &amp; Coppins, 2012</v>
          </cell>
          <cell r="G2119" t="str">
            <v>NBNSYS0000018693</v>
          </cell>
          <cell r="H2119" t="str">
            <v>Clauzadea metzleri</v>
          </cell>
        </row>
        <row r="2120">
          <cell r="A2120" t="str">
            <v>Clauzadea monticola</v>
          </cell>
          <cell r="B2120" t="str">
            <v>Lichens</v>
          </cell>
          <cell r="C2120" t="str">
            <v>Mycophycophyta</v>
          </cell>
          <cell r="D2120" t="str">
            <v>Clauzadea monticola</v>
          </cell>
          <cell r="E2120" t="str">
            <v>LC</v>
          </cell>
          <cell r="F2120" t="str">
            <v>Woods &amp; Coppins, 2012</v>
          </cell>
          <cell r="G2120" t="str">
            <v>NHMSYS0001477745</v>
          </cell>
          <cell r="H2120" t="str">
            <v>Clauzadea monticola</v>
          </cell>
        </row>
        <row r="2121">
          <cell r="A2121" t="str">
            <v>Clauzadeana macula</v>
          </cell>
          <cell r="B2121" t="str">
            <v>Lichens</v>
          </cell>
          <cell r="C2121" t="str">
            <v>Mycophycophyta</v>
          </cell>
          <cell r="D2121" t="str">
            <v>Clauzadeana macula</v>
          </cell>
          <cell r="E2121" t="str">
            <v>LC</v>
          </cell>
          <cell r="F2121" t="str">
            <v>Woods &amp; Coppins, 2012</v>
          </cell>
          <cell r="G2121" t="str">
            <v>NBNSYS0000018690</v>
          </cell>
          <cell r="H2121" t="str">
            <v>Clauzadeana macula</v>
          </cell>
        </row>
        <row r="2122">
          <cell r="A2122" t="str">
            <v>Cliostomum corrugatum</v>
          </cell>
          <cell r="B2122" t="str">
            <v>Lichens</v>
          </cell>
          <cell r="C2122" t="str">
            <v>Mycophycophyta</v>
          </cell>
          <cell r="D2122" t="str">
            <v>Cliostomum corrugatum</v>
          </cell>
          <cell r="E2122" t="str">
            <v>VU</v>
          </cell>
          <cell r="F2122" t="str">
            <v>Woods &amp; Coppins, 2012</v>
          </cell>
          <cell r="G2122" t="str">
            <v>NBNSYS0000018420</v>
          </cell>
          <cell r="H2122" t="str">
            <v>Cliostomum corrugatum</v>
          </cell>
        </row>
        <row r="2123">
          <cell r="A2123" t="str">
            <v>Cliostomum flavidulum</v>
          </cell>
          <cell r="B2123" t="str">
            <v>Lichens</v>
          </cell>
          <cell r="C2123" t="str">
            <v>Mycophycophyta</v>
          </cell>
          <cell r="D2123" t="str">
            <v>Cliostomum flavidulum</v>
          </cell>
          <cell r="E2123" t="str">
            <v>LC</v>
          </cell>
          <cell r="F2123" t="str">
            <v>Woods &amp; Coppins, 2012</v>
          </cell>
          <cell r="G2123" t="str">
            <v>BMSSYS0000004205</v>
          </cell>
          <cell r="H2123" t="str">
            <v>Cliostomum flavidulum</v>
          </cell>
        </row>
        <row r="2124">
          <cell r="A2124" t="str">
            <v>Cliostomum griffithii</v>
          </cell>
          <cell r="B2124" t="str">
            <v>Lichens</v>
          </cell>
          <cell r="C2124" t="str">
            <v>Mycophycophyta</v>
          </cell>
          <cell r="D2124" t="str">
            <v>Cliostomum griffithii</v>
          </cell>
          <cell r="E2124" t="str">
            <v>LC</v>
          </cell>
          <cell r="F2124" t="str">
            <v>Woods &amp; Coppins, 2012</v>
          </cell>
          <cell r="G2124" t="str">
            <v>NBNSYS0000018421</v>
          </cell>
          <cell r="H2124" t="str">
            <v>Cliostomum griffithii</v>
          </cell>
        </row>
        <row r="2125">
          <cell r="A2125" t="str">
            <v>Cliostomum tenerum</v>
          </cell>
          <cell r="B2125" t="str">
            <v>Lichens</v>
          </cell>
          <cell r="C2125" t="str">
            <v>Mycophycophyta</v>
          </cell>
          <cell r="D2125" t="str">
            <v>Cliostomum tenerum</v>
          </cell>
          <cell r="E2125" t="str">
            <v>LC</v>
          </cell>
          <cell r="F2125" t="str">
            <v>Woods &amp; Coppins, 2012</v>
          </cell>
          <cell r="G2125" t="str">
            <v>BMSSYS0000004206</v>
          </cell>
          <cell r="H2125" t="str">
            <v>Cliostomum tenerum</v>
          </cell>
        </row>
        <row r="2126">
          <cell r="A2126" t="str">
            <v>Clypeococcum hypocenomycis</v>
          </cell>
          <cell r="B2126" t="str">
            <v>Lichens</v>
          </cell>
          <cell r="C2126" t="str">
            <v>Mycophycophyta</v>
          </cell>
          <cell r="D2126" t="str">
            <v>Clypeococcum hypocenomycis</v>
          </cell>
          <cell r="E2126" t="str">
            <v>LC</v>
          </cell>
          <cell r="F2126" t="str">
            <v>Woods &amp; Coppins, 2012</v>
          </cell>
          <cell r="G2126" t="str">
            <v>NHMSYS0001478149</v>
          </cell>
          <cell r="H2126" t="str">
            <v>Clypeococcum hypocenomycis</v>
          </cell>
        </row>
        <row r="2127">
          <cell r="A2127" t="str">
            <v>Collema auriforme</v>
          </cell>
          <cell r="B2127" t="str">
            <v>Lichens</v>
          </cell>
          <cell r="C2127" t="str">
            <v>Mycophycophyta</v>
          </cell>
          <cell r="D2127" t="str">
            <v>Collema auriforme</v>
          </cell>
          <cell r="E2127" t="str">
            <v>LC</v>
          </cell>
          <cell r="F2127" t="str">
            <v>Woods &amp; Coppins, 2012</v>
          </cell>
          <cell r="G2127" t="str">
            <v>NHMSYS0001478230</v>
          </cell>
          <cell r="H2127" t="str">
            <v>Collema auriforme</v>
          </cell>
        </row>
        <row r="2128">
          <cell r="A2128" t="str">
            <v>Collema bachmanianum</v>
          </cell>
          <cell r="B2128" t="str">
            <v>Lichens</v>
          </cell>
          <cell r="C2128" t="str">
            <v>Mycophycophyta</v>
          </cell>
          <cell r="D2128" t="str">
            <v>Collema bachmanianum</v>
          </cell>
          <cell r="E2128" t="str">
            <v>NT</v>
          </cell>
          <cell r="F2128" t="str">
            <v>Woods &amp; Coppins, 2012</v>
          </cell>
          <cell r="G2128" t="str">
            <v>NBNSYS0000018427</v>
          </cell>
          <cell r="H2128" t="str">
            <v>Collema bachmanianum</v>
          </cell>
        </row>
        <row r="2129">
          <cell r="A2129" t="str">
            <v>Collema conglomeratum</v>
          </cell>
          <cell r="B2129" t="str">
            <v>Lichens</v>
          </cell>
          <cell r="C2129" t="str">
            <v>Mycophycophyta</v>
          </cell>
          <cell r="D2129" t="str">
            <v>Collema conglomeratum</v>
          </cell>
          <cell r="E2129" t="str">
            <v>EX</v>
          </cell>
          <cell r="F2129" t="str">
            <v>Woods &amp; Coppins, 2012</v>
          </cell>
          <cell r="G2129" t="str">
            <v>NBNSYS0000018432</v>
          </cell>
          <cell r="H2129" t="str">
            <v>Collema conglomeratum</v>
          </cell>
        </row>
        <row r="2130">
          <cell r="A2130" t="str">
            <v>Collema cristatum var. cristatum, Collema cristatum var. marginale</v>
          </cell>
          <cell r="B2130" t="str">
            <v>Lichens</v>
          </cell>
          <cell r="C2130" t="str">
            <v>Mycophycophyta</v>
          </cell>
          <cell r="D2130" t="str">
            <v>Collema cristatum (var. cristatum/var. marginale)</v>
          </cell>
          <cell r="E2130" t="str">
            <v>LC</v>
          </cell>
          <cell r="F2130" t="str">
            <v>Woods &amp; Coppins, 2012</v>
          </cell>
          <cell r="G2130" t="str">
            <v>NHMSYS0001478251</v>
          </cell>
          <cell r="H2130" t="str">
            <v>Collema cristatum var. cristatum, Collema cristatum var. marginale</v>
          </cell>
        </row>
        <row r="2131">
          <cell r="A2131" t="str">
            <v>Collema dichotomum</v>
          </cell>
          <cell r="B2131" t="str">
            <v>Lichens</v>
          </cell>
          <cell r="C2131" t="str">
            <v>Mycophycophyta</v>
          </cell>
          <cell r="D2131" t="str">
            <v>Collema dichotomum</v>
          </cell>
          <cell r="E2131" t="str">
            <v>VU</v>
          </cell>
          <cell r="F2131" t="str">
            <v>Woods &amp; Coppins, 2012</v>
          </cell>
          <cell r="G2131" t="str">
            <v>NBNSYS0000018437</v>
          </cell>
          <cell r="H2131" t="str">
            <v>Collema dichotomum</v>
          </cell>
        </row>
        <row r="2132">
          <cell r="A2132" t="str">
            <v>Collema fasciculare</v>
          </cell>
          <cell r="B2132" t="str">
            <v>Lichens</v>
          </cell>
          <cell r="C2132" t="str">
            <v>Mycophycophyta</v>
          </cell>
          <cell r="D2132" t="str">
            <v>Collema fasciculare</v>
          </cell>
          <cell r="E2132" t="str">
            <v>NT</v>
          </cell>
          <cell r="F2132" t="str">
            <v>Woods &amp; Coppins, 2012</v>
          </cell>
          <cell r="G2132" t="str">
            <v>BMSSYS0000045618</v>
          </cell>
          <cell r="H2132" t="str">
            <v>Collema fasciculare</v>
          </cell>
        </row>
        <row r="2133">
          <cell r="A2133" t="str">
            <v>Collema flaccidum</v>
          </cell>
          <cell r="B2133" t="str">
            <v>Lichens</v>
          </cell>
          <cell r="C2133" t="str">
            <v>Mycophycophyta</v>
          </cell>
          <cell r="D2133" t="str">
            <v>Collema flaccidum</v>
          </cell>
          <cell r="E2133" t="str">
            <v>LC</v>
          </cell>
          <cell r="F2133" t="str">
            <v>Woods &amp; Coppins, 2012</v>
          </cell>
          <cell r="G2133" t="str">
            <v>NBNSYS0000018439</v>
          </cell>
          <cell r="H2133" t="str">
            <v>Collema flaccidum</v>
          </cell>
        </row>
        <row r="2134">
          <cell r="A2134" t="str">
            <v>Collema fragile</v>
          </cell>
          <cell r="B2134" t="str">
            <v>Lichens</v>
          </cell>
          <cell r="C2134" t="str">
            <v>Mycophycophyta</v>
          </cell>
          <cell r="D2134" t="str">
            <v>Collema fragile</v>
          </cell>
          <cell r="E2134" t="str">
            <v>VU</v>
          </cell>
          <cell r="F2134" t="str">
            <v>Woods &amp; Coppins, 2012</v>
          </cell>
          <cell r="G2134" t="str">
            <v>NBNSYS0000018440</v>
          </cell>
          <cell r="H2134" t="str">
            <v>Collema fragile</v>
          </cell>
        </row>
        <row r="2135">
          <cell r="A2135" t="str">
            <v>Collema fragrans</v>
          </cell>
          <cell r="B2135" t="str">
            <v>Lichens</v>
          </cell>
          <cell r="C2135" t="str">
            <v>Mycophycophyta</v>
          </cell>
          <cell r="D2135" t="str">
            <v>Collema fragrans</v>
          </cell>
          <cell r="E2135" t="str">
            <v>EN</v>
          </cell>
          <cell r="F2135" t="str">
            <v>Woods &amp; Coppins, 2012</v>
          </cell>
          <cell r="G2135" t="str">
            <v>NBNSYS0000018441</v>
          </cell>
          <cell r="H2135" t="str">
            <v>Collema fragrans</v>
          </cell>
        </row>
        <row r="2136">
          <cell r="A2136" t="str">
            <v>Collema furfuraceum</v>
          </cell>
          <cell r="B2136" t="str">
            <v>Lichens</v>
          </cell>
          <cell r="C2136" t="str">
            <v>Mycophycophyta</v>
          </cell>
          <cell r="D2136" t="str">
            <v>Collema furfuraceum</v>
          </cell>
          <cell r="E2136" t="str">
            <v>LC</v>
          </cell>
          <cell r="F2136" t="str">
            <v>Woods &amp; Coppins, 2012</v>
          </cell>
          <cell r="G2136" t="str">
            <v>NHMSYS0001478260</v>
          </cell>
          <cell r="H2136" t="str">
            <v>Collema furfuraceum</v>
          </cell>
        </row>
        <row r="2137">
          <cell r="A2137" t="str">
            <v>Collema fuscovirens</v>
          </cell>
          <cell r="B2137" t="str">
            <v>Lichens</v>
          </cell>
          <cell r="C2137" t="str">
            <v>Mycophycophyta</v>
          </cell>
          <cell r="D2137" t="str">
            <v>Collema fuscovirens</v>
          </cell>
          <cell r="E2137" t="str">
            <v>LC</v>
          </cell>
          <cell r="F2137" t="str">
            <v>Woods &amp; Coppins, 2012</v>
          </cell>
          <cell r="G2137" t="str">
            <v>NBNSYS0000018443</v>
          </cell>
          <cell r="H2137" t="str">
            <v>Collema fuscovirens</v>
          </cell>
        </row>
        <row r="2138">
          <cell r="A2138" t="str">
            <v>Collema glebulentum</v>
          </cell>
          <cell r="B2138" t="str">
            <v>Lichens</v>
          </cell>
          <cell r="C2138" t="str">
            <v>Mycophycophyta</v>
          </cell>
          <cell r="D2138" t="str">
            <v>Collema glebulentum</v>
          </cell>
          <cell r="E2138" t="str">
            <v>LC</v>
          </cell>
          <cell r="F2138" t="str">
            <v>Woods &amp; Coppins, 2012</v>
          </cell>
          <cell r="G2138" t="str">
            <v>NBNSYS0000018444</v>
          </cell>
          <cell r="H2138" t="str">
            <v>Collema glebulentum</v>
          </cell>
        </row>
        <row r="2139">
          <cell r="A2139" t="str">
            <v>Collema latzelii</v>
          </cell>
          <cell r="B2139" t="str">
            <v>Lichens</v>
          </cell>
          <cell r="C2139" t="str">
            <v>Mycophycophyta</v>
          </cell>
          <cell r="D2139" t="str">
            <v>Collema latzelii</v>
          </cell>
          <cell r="E2139" t="str">
            <v>VU</v>
          </cell>
          <cell r="F2139" t="str">
            <v>Woods &amp; Coppins, 2012</v>
          </cell>
          <cell r="G2139" t="str">
            <v>NBNSYS0000039620</v>
          </cell>
          <cell r="H2139" t="str">
            <v>Collema latzelii</v>
          </cell>
        </row>
        <row r="2140">
          <cell r="A2140" t="str">
            <v>Collema limosum</v>
          </cell>
          <cell r="B2140" t="str">
            <v>Lichens</v>
          </cell>
          <cell r="C2140" t="str">
            <v>Mycophycophyta</v>
          </cell>
          <cell r="D2140" t="str">
            <v>Collema limosum</v>
          </cell>
          <cell r="E2140" t="str">
            <v>LC</v>
          </cell>
          <cell r="F2140" t="str">
            <v>Woods &amp; Coppins, 2012</v>
          </cell>
          <cell r="G2140" t="str">
            <v>NBNSYS0000018445</v>
          </cell>
          <cell r="H2140" t="str">
            <v>Collema limosum</v>
          </cell>
        </row>
        <row r="2141">
          <cell r="A2141" t="str">
            <v>Collema multipartitum</v>
          </cell>
          <cell r="B2141" t="str">
            <v>Lichens</v>
          </cell>
          <cell r="C2141" t="str">
            <v>Mycophycophyta</v>
          </cell>
          <cell r="D2141" t="str">
            <v>Collema multipartitum</v>
          </cell>
          <cell r="E2141" t="str">
            <v>LC</v>
          </cell>
          <cell r="F2141" t="str">
            <v>Woods &amp; Coppins, 2012</v>
          </cell>
          <cell r="G2141" t="str">
            <v>NBNSYS0000018446</v>
          </cell>
          <cell r="H2141" t="str">
            <v>Collema multipartitum</v>
          </cell>
        </row>
        <row r="2142">
          <cell r="A2142" t="str">
            <v>Collema nigrescens</v>
          </cell>
          <cell r="B2142" t="str">
            <v>Lichens</v>
          </cell>
          <cell r="C2142" t="str">
            <v>Mycophycophyta</v>
          </cell>
          <cell r="D2142" t="str">
            <v>Collema nigrescens</v>
          </cell>
          <cell r="E2142" t="str">
            <v>NT</v>
          </cell>
          <cell r="F2142" t="str">
            <v>Woods &amp; Coppins, 2012</v>
          </cell>
          <cell r="G2142" t="str">
            <v>NBNSYS0000018447</v>
          </cell>
          <cell r="H2142" t="str">
            <v>Collema nigrescens</v>
          </cell>
        </row>
        <row r="2143">
          <cell r="A2143" t="str">
            <v>Collema occultatum</v>
          </cell>
          <cell r="B2143" t="str">
            <v>Lichens</v>
          </cell>
          <cell r="C2143" t="str">
            <v>Mycophycophyta</v>
          </cell>
          <cell r="D2143" t="str">
            <v>Collema occultatum</v>
          </cell>
          <cell r="E2143" t="str">
            <v>NT</v>
          </cell>
          <cell r="F2143" t="str">
            <v>Woods &amp; Coppins, 2012</v>
          </cell>
          <cell r="G2143" t="str">
            <v>NBNSYS0000018448</v>
          </cell>
          <cell r="H2143" t="str">
            <v>Collema occultatum</v>
          </cell>
        </row>
        <row r="2144">
          <cell r="A2144" t="str">
            <v>Collema parvum</v>
          </cell>
          <cell r="B2144" t="str">
            <v>Lichens</v>
          </cell>
          <cell r="C2144" t="str">
            <v>Mycophycophyta</v>
          </cell>
          <cell r="D2144" t="str">
            <v>Collema parvum</v>
          </cell>
          <cell r="E2144" t="str">
            <v>VU</v>
          </cell>
          <cell r="F2144" t="str">
            <v>Woods &amp; Coppins, 2012</v>
          </cell>
          <cell r="G2144" t="str">
            <v>NBNSYS0000039621</v>
          </cell>
          <cell r="H2144" t="str">
            <v>Collema parvum</v>
          </cell>
        </row>
        <row r="2145">
          <cell r="A2145" t="str">
            <v>Collema polycarpon</v>
          </cell>
          <cell r="B2145" t="str">
            <v>Lichens</v>
          </cell>
          <cell r="C2145" t="str">
            <v>Mycophycophyta</v>
          </cell>
          <cell r="D2145" t="str">
            <v>Collema polycarpon</v>
          </cell>
          <cell r="E2145" t="str">
            <v>LC</v>
          </cell>
          <cell r="F2145" t="str">
            <v>Woods &amp; Coppins, 2012</v>
          </cell>
          <cell r="G2145" t="str">
            <v>NBNSYS0000018449</v>
          </cell>
          <cell r="H2145" t="str">
            <v>Collema polycarpon</v>
          </cell>
        </row>
        <row r="2146">
          <cell r="A2146" t="str">
            <v>Collema subflaccidum</v>
          </cell>
          <cell r="B2146" t="str">
            <v>Lichens</v>
          </cell>
          <cell r="C2146" t="str">
            <v>Mycophycophyta</v>
          </cell>
          <cell r="D2146" t="str">
            <v>Collema subflaccidum</v>
          </cell>
          <cell r="E2146" t="str">
            <v>LC</v>
          </cell>
          <cell r="F2146" t="str">
            <v>Woods &amp; Coppins, 2012</v>
          </cell>
          <cell r="G2146" t="str">
            <v>NBNSYS0000018451</v>
          </cell>
          <cell r="H2146" t="str">
            <v>Collema subflaccidum</v>
          </cell>
        </row>
        <row r="2147">
          <cell r="A2147" t="str">
            <v>Collemopsidium angermannicum</v>
          </cell>
          <cell r="B2147" t="str">
            <v>Lichens</v>
          </cell>
          <cell r="C2147" t="str">
            <v>Mycophycophyta</v>
          </cell>
          <cell r="D2147" t="str">
            <v>Collemopsidium angermannicum</v>
          </cell>
          <cell r="E2147" t="str">
            <v>NT</v>
          </cell>
          <cell r="F2147" t="str">
            <v>Woods &amp; Coppins, 2012</v>
          </cell>
          <cell r="G2147" t="str">
            <v>NHMSYS0001478334</v>
          </cell>
          <cell r="H2147" t="str">
            <v>Collemopsidium angermannicum</v>
          </cell>
        </row>
        <row r="2148">
          <cell r="A2148" t="str">
            <v>Collemopsidium arenisedum</v>
          </cell>
          <cell r="B2148" t="str">
            <v>Lichens</v>
          </cell>
          <cell r="C2148" t="str">
            <v>Mycophycophyta</v>
          </cell>
          <cell r="D2148" t="str">
            <v>Collemopsidium arenisedum</v>
          </cell>
          <cell r="E2148" t="str">
            <v>NT</v>
          </cell>
          <cell r="F2148" t="str">
            <v>Woods &amp; Coppins, 2012</v>
          </cell>
          <cell r="G2148" t="str">
            <v>NHMSYS0020535232</v>
          </cell>
          <cell r="H2148" t="str">
            <v>Collemopsidium arenisedum</v>
          </cell>
        </row>
        <row r="2149">
          <cell r="A2149" t="str">
            <v>Collemopsidium caesium</v>
          </cell>
          <cell r="B2149" t="str">
            <v>Lichens</v>
          </cell>
          <cell r="C2149" t="str">
            <v>Mycophycophyta</v>
          </cell>
          <cell r="D2149" t="str">
            <v>Collemopsidium caesium</v>
          </cell>
          <cell r="E2149" t="str">
            <v>NT</v>
          </cell>
          <cell r="F2149" t="str">
            <v>Woods &amp; Coppins, 2012</v>
          </cell>
          <cell r="G2149" t="str">
            <v>NHMSYS0020535234</v>
          </cell>
          <cell r="H2149" t="str">
            <v>Collemopsidium caesium</v>
          </cell>
        </row>
        <row r="2150">
          <cell r="A2150" t="str">
            <v>Collemopsidium elegans</v>
          </cell>
          <cell r="B2150" t="str">
            <v>Lichens</v>
          </cell>
          <cell r="C2150" t="str">
            <v>Mycophycophyta</v>
          </cell>
          <cell r="D2150" t="str">
            <v>Collemopsidium elegans</v>
          </cell>
          <cell r="E2150" t="str">
            <v>LC</v>
          </cell>
          <cell r="F2150" t="str">
            <v>Woods &amp; Coppins, 2012</v>
          </cell>
          <cell r="G2150" t="str">
            <v>NHMSYS0001478336</v>
          </cell>
          <cell r="H2150" t="str">
            <v>Collemopsidium elegans</v>
          </cell>
        </row>
        <row r="2151">
          <cell r="A2151" t="str">
            <v>Collemopsidium foveolatum</v>
          </cell>
          <cell r="B2151" t="str">
            <v>Lichens</v>
          </cell>
          <cell r="C2151" t="str">
            <v>Mycophycophyta</v>
          </cell>
          <cell r="D2151" t="str">
            <v>Collemopsidium foveolatum</v>
          </cell>
          <cell r="E2151" t="str">
            <v>LC</v>
          </cell>
          <cell r="F2151" t="str">
            <v>Woods &amp; Coppins, 2012</v>
          </cell>
          <cell r="G2151" t="str">
            <v>NHMSYS0001478337</v>
          </cell>
          <cell r="H2151" t="str">
            <v>Collemopsidium foveolatum</v>
          </cell>
        </row>
        <row r="2152">
          <cell r="A2152" t="str">
            <v>Collemopsidium halodytes</v>
          </cell>
          <cell r="B2152" t="str">
            <v>Lichens</v>
          </cell>
          <cell r="C2152" t="str">
            <v>Mycophycophyta</v>
          </cell>
          <cell r="D2152" t="str">
            <v>Collemopsidium halodytes</v>
          </cell>
          <cell r="E2152" t="str">
            <v>LC</v>
          </cell>
          <cell r="F2152" t="str">
            <v>Woods &amp; Coppins, 2012</v>
          </cell>
          <cell r="G2152" t="str">
            <v>NHMSYS0001478338</v>
          </cell>
          <cell r="H2152" t="str">
            <v>Collemopsidium halodytes</v>
          </cell>
        </row>
        <row r="2153">
          <cell r="A2153" t="str">
            <v>Collemopsidium monense</v>
          </cell>
          <cell r="B2153" t="str">
            <v>Lichens</v>
          </cell>
          <cell r="C2153" t="str">
            <v>Mycophycophyta</v>
          </cell>
          <cell r="D2153" t="str">
            <v>Collemopsidium monense</v>
          </cell>
          <cell r="E2153" t="str">
            <v>LC</v>
          </cell>
          <cell r="F2153" t="str">
            <v>Woods &amp; Coppins, 2012</v>
          </cell>
          <cell r="G2153" t="str">
            <v>NHMSYS0020535235</v>
          </cell>
          <cell r="H2153" t="str">
            <v>Collemopsidium monense</v>
          </cell>
        </row>
        <row r="2154">
          <cell r="A2154" t="str">
            <v>Collemopsidium sublitorale</v>
          </cell>
          <cell r="B2154" t="str">
            <v>Lichens</v>
          </cell>
          <cell r="C2154" t="str">
            <v>Mycophycophyta</v>
          </cell>
          <cell r="D2154" t="str">
            <v>Collemopsidium sublitorale</v>
          </cell>
          <cell r="E2154" t="str">
            <v>LC</v>
          </cell>
          <cell r="F2154" t="str">
            <v>Woods &amp; Coppins, 2012</v>
          </cell>
          <cell r="G2154" t="str">
            <v>NHMSYS0001478340</v>
          </cell>
          <cell r="H2154" t="str">
            <v>Collemopsidium sublitorale</v>
          </cell>
        </row>
        <row r="2155">
          <cell r="A2155" t="str">
            <v>Coppinsia minutissima</v>
          </cell>
          <cell r="B2155" t="str">
            <v>Lichens</v>
          </cell>
          <cell r="C2155" t="str">
            <v>Mycophycophyta</v>
          </cell>
          <cell r="D2155" t="str">
            <v>Coppinsia minutissima</v>
          </cell>
          <cell r="E2155" t="str">
            <v>LC</v>
          </cell>
          <cell r="F2155" t="str">
            <v>Woods &amp; Coppins, 2012</v>
          </cell>
          <cell r="G2155" t="str">
            <v>BMSSYS0000004650</v>
          </cell>
          <cell r="H2155" t="str">
            <v>Coppinsia minutissima</v>
          </cell>
        </row>
        <row r="2156">
          <cell r="A2156" t="str">
            <v>Cornicularia normoerica</v>
          </cell>
          <cell r="B2156" t="str">
            <v>Lichens</v>
          </cell>
          <cell r="C2156" t="str">
            <v>Mycophycophyta</v>
          </cell>
          <cell r="D2156" t="str">
            <v>Cornicularia normoerica</v>
          </cell>
          <cell r="E2156" t="str">
            <v>LC</v>
          </cell>
          <cell r="F2156" t="str">
            <v>Woods &amp; Coppins, 2012</v>
          </cell>
          <cell r="G2156" t="str">
            <v>NHMSYS0001479049</v>
          </cell>
          <cell r="H2156" t="str">
            <v>Cornicularia normoerica</v>
          </cell>
        </row>
        <row r="2157">
          <cell r="A2157" t="str">
            <v>Cornutispora lichenicola</v>
          </cell>
          <cell r="B2157" t="str">
            <v>Lichens</v>
          </cell>
          <cell r="C2157" t="str">
            <v>Mycophycophyta</v>
          </cell>
          <cell r="D2157" t="str">
            <v>Cornutispora lichenicola</v>
          </cell>
          <cell r="E2157" t="str">
            <v>LC</v>
          </cell>
          <cell r="F2157" t="str">
            <v>Woods &amp; Coppins, 2012</v>
          </cell>
          <cell r="G2157" t="str">
            <v>BMSSYS0000004779</v>
          </cell>
          <cell r="H2157" t="str">
            <v>Cornutispora lichenicola</v>
          </cell>
        </row>
        <row r="2158">
          <cell r="A2158" t="str">
            <v>Corticifraga fuckelii</v>
          </cell>
          <cell r="B2158" t="str">
            <v>Lichens</v>
          </cell>
          <cell r="C2158" t="str">
            <v>Mycophycophyta</v>
          </cell>
          <cell r="D2158" t="str">
            <v>Corticifraga fuckelii</v>
          </cell>
          <cell r="E2158" t="str">
            <v>LC</v>
          </cell>
          <cell r="F2158" t="str">
            <v>Woods &amp; Coppins, 2012</v>
          </cell>
          <cell r="G2158" t="str">
            <v>NBNSYS0000019276</v>
          </cell>
          <cell r="H2158" t="str">
            <v>Corticifraga fuckelii</v>
          </cell>
        </row>
        <row r="2159">
          <cell r="A2159" t="str">
            <v>Corticifraga peltigerae</v>
          </cell>
          <cell r="B2159" t="str">
            <v>Lichens</v>
          </cell>
          <cell r="C2159" t="str">
            <v>Mycophycophyta</v>
          </cell>
          <cell r="D2159" t="str">
            <v>Corticifraga peltigerae</v>
          </cell>
          <cell r="E2159" t="str">
            <v>LC</v>
          </cell>
          <cell r="F2159" t="str">
            <v>Woods &amp; Coppins, 2012</v>
          </cell>
          <cell r="G2159" t="str">
            <v>NBNSYS0000019278</v>
          </cell>
          <cell r="H2159" t="str">
            <v>Corticifraga peltigerae</v>
          </cell>
        </row>
        <row r="2160">
          <cell r="A2160" t="str">
            <v>Cresponea premnea</v>
          </cell>
          <cell r="B2160" t="str">
            <v>Lichens</v>
          </cell>
          <cell r="C2160" t="str">
            <v>Mycophycophyta</v>
          </cell>
          <cell r="D2160" t="str">
            <v>Cresponea premnea</v>
          </cell>
          <cell r="E2160" t="str">
            <v>LC</v>
          </cell>
          <cell r="F2160" t="str">
            <v>Woods &amp; Coppins, 2012</v>
          </cell>
          <cell r="G2160" t="str">
            <v>BMSSYS0000005245</v>
          </cell>
          <cell r="H2160" t="str">
            <v>Cresponea premnea</v>
          </cell>
        </row>
        <row r="2161">
          <cell r="A2161" t="str">
            <v>Cresporhaphis wienkampii</v>
          </cell>
          <cell r="B2161" t="str">
            <v>Lichens</v>
          </cell>
          <cell r="C2161" t="str">
            <v>Mycophycophyta</v>
          </cell>
          <cell r="D2161" t="str">
            <v>Cresporhaphis wienkampii</v>
          </cell>
          <cell r="E2161" t="str">
            <v>LC</v>
          </cell>
          <cell r="F2161" t="str">
            <v>Woods &amp; Coppins, 2012</v>
          </cell>
          <cell r="G2161" t="str">
            <v>NHMSYS0001479690</v>
          </cell>
          <cell r="H2161" t="str">
            <v>Cresporhaphis wienkampii</v>
          </cell>
        </row>
        <row r="2162">
          <cell r="A2162" t="str">
            <v>Cryptolechia carneolutea</v>
          </cell>
          <cell r="B2162" t="str">
            <v>Lichens</v>
          </cell>
          <cell r="C2162" t="str">
            <v>Mycophycophyta</v>
          </cell>
          <cell r="D2162" t="str">
            <v>Cryptolechia carneolutea</v>
          </cell>
          <cell r="E2162" t="str">
            <v>EN</v>
          </cell>
          <cell r="F2162" t="str">
            <v>Woods &amp; Coppins, 2012</v>
          </cell>
          <cell r="G2162" t="str">
            <v>NBNSYS0000016961</v>
          </cell>
          <cell r="H2162" t="str">
            <v>Cryptolechia carneolutea</v>
          </cell>
        </row>
        <row r="2163">
          <cell r="A2163" t="str">
            <v>Cyphelium inquinans</v>
          </cell>
          <cell r="B2163" t="str">
            <v>Lichens</v>
          </cell>
          <cell r="C2163" t="str">
            <v>Mycophycophyta</v>
          </cell>
          <cell r="D2163" t="str">
            <v>Cyphelium inquinans</v>
          </cell>
          <cell r="E2163" t="str">
            <v>LC</v>
          </cell>
          <cell r="F2163" t="str">
            <v>Woods &amp; Coppins, 2012</v>
          </cell>
          <cell r="G2163" t="str">
            <v>BMSSYS0000731130</v>
          </cell>
          <cell r="H2163" t="str">
            <v>Cyphelium inquinans</v>
          </cell>
        </row>
        <row r="2164">
          <cell r="A2164" t="str">
            <v>Cyphelium notarisii</v>
          </cell>
          <cell r="B2164" t="str">
            <v>Lichens</v>
          </cell>
          <cell r="C2164" t="str">
            <v>Mycophycophyta</v>
          </cell>
          <cell r="D2164" t="str">
            <v>Cyphelium notarisii</v>
          </cell>
          <cell r="E2164" t="str">
            <v>NT</v>
          </cell>
          <cell r="F2164" t="str">
            <v>Woods &amp; Coppins, 2012</v>
          </cell>
          <cell r="G2164" t="str">
            <v>BMSSYS0000731152</v>
          </cell>
          <cell r="H2164" t="str">
            <v>Cyphelium notarisii</v>
          </cell>
        </row>
        <row r="2165">
          <cell r="A2165" t="str">
            <v>Cyphelium sessile</v>
          </cell>
          <cell r="B2165" t="str">
            <v>Lichens</v>
          </cell>
          <cell r="C2165" t="str">
            <v>Mycophycophyta</v>
          </cell>
          <cell r="D2165" t="str">
            <v>Cyphelium sessile</v>
          </cell>
          <cell r="E2165" t="str">
            <v>LC</v>
          </cell>
          <cell r="F2165" t="str">
            <v>Woods &amp; Coppins, 2012</v>
          </cell>
          <cell r="G2165" t="str">
            <v>BMSSYS0000731132</v>
          </cell>
          <cell r="H2165" t="str">
            <v>Cyphelium sessile</v>
          </cell>
        </row>
        <row r="2166">
          <cell r="A2166" t="str">
            <v>Cyphelium tigillare</v>
          </cell>
          <cell r="B2166" t="str">
            <v>Lichens</v>
          </cell>
          <cell r="C2166" t="str">
            <v>Mycophycophyta</v>
          </cell>
          <cell r="D2166" t="str">
            <v>Cyphelium tigillare</v>
          </cell>
          <cell r="E2166" t="str">
            <v>NT</v>
          </cell>
          <cell r="F2166" t="str">
            <v>Woods &amp; Coppins, 2012</v>
          </cell>
          <cell r="G2166" t="str">
            <v>BMSSYS0000043292</v>
          </cell>
          <cell r="H2166" t="str">
            <v>Cyphelium tigillare</v>
          </cell>
        </row>
        <row r="2167">
          <cell r="A2167" t="str">
            <v>Cyrtidula hippocastani</v>
          </cell>
          <cell r="B2167" t="str">
            <v>Lichens</v>
          </cell>
          <cell r="C2167" t="str">
            <v>Mycophycophyta</v>
          </cell>
          <cell r="D2167" t="str">
            <v>Cyrtidula hippocastani</v>
          </cell>
          <cell r="E2167" t="str">
            <v>LC</v>
          </cell>
          <cell r="F2167" t="str">
            <v>Woods &amp; Coppins, 2012</v>
          </cell>
          <cell r="G2167" t="str">
            <v>BMSSYS0000005502</v>
          </cell>
          <cell r="H2167" t="str">
            <v>Cyrtidula hippocastani</v>
          </cell>
        </row>
        <row r="2168">
          <cell r="A2168" t="str">
            <v>Cyrtidula quercus</v>
          </cell>
          <cell r="B2168" t="str">
            <v>Lichens</v>
          </cell>
          <cell r="C2168" t="str">
            <v>Mycophycophyta</v>
          </cell>
          <cell r="D2168" t="str">
            <v>Cyrtidula quercus</v>
          </cell>
          <cell r="E2168" t="str">
            <v>LC</v>
          </cell>
          <cell r="F2168" t="str">
            <v>Woods &amp; Coppins, 2012</v>
          </cell>
          <cell r="G2168" t="str">
            <v>BMSSYS0000005503</v>
          </cell>
          <cell r="H2168" t="str">
            <v>Cyrtidula quercus</v>
          </cell>
        </row>
        <row r="2169">
          <cell r="A2169" t="str">
            <v>Cystocoleus ebeneus</v>
          </cell>
          <cell r="B2169" t="str">
            <v>Lichens</v>
          </cell>
          <cell r="C2169" t="str">
            <v>Mycophycophyta</v>
          </cell>
          <cell r="D2169" t="str">
            <v>Cystocoleus ebeneus</v>
          </cell>
          <cell r="E2169" t="str">
            <v>LC</v>
          </cell>
          <cell r="F2169" t="str">
            <v>Woods &amp; Coppins, 2012</v>
          </cell>
          <cell r="G2169" t="str">
            <v>NBNSYS0000039622</v>
          </cell>
          <cell r="H2169" t="str">
            <v>Cystocoleus ebeneus</v>
          </cell>
        </row>
        <row r="2170">
          <cell r="A2170" t="str">
            <v>Dactylospora lobariella</v>
          </cell>
          <cell r="B2170" t="str">
            <v>Lichens</v>
          </cell>
          <cell r="C2170" t="str">
            <v>Mycophycophyta</v>
          </cell>
          <cell r="D2170" t="str">
            <v>Dactylospora lobariella</v>
          </cell>
          <cell r="E2170" t="str">
            <v>LC</v>
          </cell>
          <cell r="F2170" t="str">
            <v>Woods &amp; Coppins, 2012</v>
          </cell>
          <cell r="G2170" t="str">
            <v>NBNSYS0000018465</v>
          </cell>
          <cell r="H2170" t="str">
            <v>Dactylospora lobariella</v>
          </cell>
        </row>
        <row r="2171">
          <cell r="A2171" t="str">
            <v>Dactylospora parasitica</v>
          </cell>
          <cell r="B2171" t="str">
            <v>Lichens</v>
          </cell>
          <cell r="C2171" t="str">
            <v>Mycophycophyta</v>
          </cell>
          <cell r="D2171" t="str">
            <v>Dactylospora parasitica</v>
          </cell>
          <cell r="E2171" t="str">
            <v>LC</v>
          </cell>
          <cell r="F2171" t="str">
            <v>Woods &amp; Coppins, 2012</v>
          </cell>
          <cell r="G2171" t="str">
            <v>NHMSYS0001480212</v>
          </cell>
          <cell r="H2171" t="str">
            <v>Dactylospora parasitica</v>
          </cell>
        </row>
        <row r="2172">
          <cell r="A2172" t="str">
            <v>Dactylospora parellaria</v>
          </cell>
          <cell r="B2172" t="str">
            <v>Lichens</v>
          </cell>
          <cell r="C2172" t="str">
            <v>Mycophycophyta</v>
          </cell>
          <cell r="D2172" t="str">
            <v>Dactylospora parellaria</v>
          </cell>
          <cell r="E2172" t="str">
            <v>LC</v>
          </cell>
          <cell r="F2172" t="str">
            <v>Woods &amp; Coppins, 2012</v>
          </cell>
          <cell r="G2172" t="str">
            <v>NBNSYS0000018468</v>
          </cell>
          <cell r="H2172" t="str">
            <v>Dactylospora parellaria</v>
          </cell>
        </row>
        <row r="2173">
          <cell r="A2173" t="str">
            <v>Degelia atlantica</v>
          </cell>
          <cell r="B2173" t="str">
            <v>Lichens</v>
          </cell>
          <cell r="C2173" t="str">
            <v>Mycophycophyta</v>
          </cell>
          <cell r="D2173" t="str">
            <v>Degelia atlantica</v>
          </cell>
          <cell r="E2173" t="str">
            <v>LC</v>
          </cell>
          <cell r="F2173" t="str">
            <v>Woods &amp; Coppins, 2012</v>
          </cell>
          <cell r="G2173" t="str">
            <v>BMSSYS0000048974</v>
          </cell>
          <cell r="H2173" t="str">
            <v>Degelia atlantica</v>
          </cell>
        </row>
        <row r="2174">
          <cell r="A2174" t="str">
            <v>Degelia cyanoloma</v>
          </cell>
          <cell r="B2174" t="str">
            <v>Lichens</v>
          </cell>
          <cell r="C2174" t="str">
            <v>Mycophycophyta</v>
          </cell>
          <cell r="D2174" t="str">
            <v>Degelia cyanoloma</v>
          </cell>
          <cell r="E2174" t="str">
            <v>LC</v>
          </cell>
          <cell r="F2174" t="str">
            <v>Woods &amp; Coppins, 2012</v>
          </cell>
          <cell r="G2174" t="str">
            <v>BMSSYS0000048975</v>
          </cell>
          <cell r="H2174" t="str">
            <v>Degelia cyanoloma</v>
          </cell>
        </row>
        <row r="2175">
          <cell r="A2175" t="str">
            <v>Degelia ligulata</v>
          </cell>
          <cell r="B2175" t="str">
            <v>Lichens</v>
          </cell>
          <cell r="C2175" t="str">
            <v>Mycophycophyta</v>
          </cell>
          <cell r="D2175" t="str">
            <v>Degelia ligulata</v>
          </cell>
          <cell r="E2175" t="str">
            <v>VU</v>
          </cell>
          <cell r="F2175" t="str">
            <v>Woods &amp; Coppins, 2012</v>
          </cell>
          <cell r="G2175" t="str">
            <v>BMSSYS0000048976</v>
          </cell>
          <cell r="H2175" t="str">
            <v>Degelia ligulata</v>
          </cell>
        </row>
        <row r="2176">
          <cell r="A2176" t="str">
            <v>Degelia plumbea s. str.</v>
          </cell>
          <cell r="B2176" t="str">
            <v>Lichens</v>
          </cell>
          <cell r="C2176" t="str">
            <v>Mycophycophyta</v>
          </cell>
          <cell r="D2176" t="str">
            <v>Degelia plumbea s. str.</v>
          </cell>
          <cell r="E2176" t="str">
            <v>LC</v>
          </cell>
          <cell r="F2176" t="str">
            <v>Woods &amp; Coppins, 2012</v>
          </cell>
          <cell r="G2176" t="str">
            <v>BMSSYS0000534061</v>
          </cell>
          <cell r="H2176" t="str">
            <v>Degelia plumbea s. str.</v>
          </cell>
        </row>
        <row r="2177">
          <cell r="A2177" t="str">
            <v>Dermatocarpon intestiniforme</v>
          </cell>
          <cell r="B2177" t="str">
            <v>Lichens</v>
          </cell>
          <cell r="C2177" t="str">
            <v>Mycophycophyta</v>
          </cell>
          <cell r="D2177" t="str">
            <v>Dermatocarpon intestiniforme</v>
          </cell>
          <cell r="E2177" t="str">
            <v>LC</v>
          </cell>
          <cell r="F2177" t="str">
            <v>Woods &amp; Coppins, 2012</v>
          </cell>
          <cell r="G2177" t="str">
            <v>NHMSYS0001480498</v>
          </cell>
          <cell r="H2177" t="str">
            <v>Dermatocarpon intestiniforme</v>
          </cell>
        </row>
        <row r="2178">
          <cell r="A2178" t="str">
            <v>Dermatocarpon leptophyllodes</v>
          </cell>
          <cell r="B2178" t="str">
            <v>Lichens</v>
          </cell>
          <cell r="C2178" t="str">
            <v>Mycophycophyta</v>
          </cell>
          <cell r="D2178" t="str">
            <v>Dermatocarpon leptophyllodes</v>
          </cell>
          <cell r="E2178" t="str">
            <v>LC</v>
          </cell>
          <cell r="F2178" t="str">
            <v>Woods &amp; Coppins, 2012</v>
          </cell>
          <cell r="G2178" t="str">
            <v>NHMSYS0001480500</v>
          </cell>
          <cell r="H2178" t="str">
            <v>Dermatocarpon leptophyllodes</v>
          </cell>
        </row>
        <row r="2179">
          <cell r="A2179" t="str">
            <v>Dermatocarpon luridum</v>
          </cell>
          <cell r="B2179" t="str">
            <v>Lichens</v>
          </cell>
          <cell r="C2179" t="str">
            <v>Mycophycophyta</v>
          </cell>
          <cell r="D2179" t="str">
            <v>Dermatocarpon luridum</v>
          </cell>
          <cell r="E2179" t="str">
            <v>LC</v>
          </cell>
          <cell r="F2179" t="str">
            <v>Woods &amp; Coppins, 2012</v>
          </cell>
          <cell r="G2179" t="str">
            <v>NHMSYS0001480502</v>
          </cell>
          <cell r="H2179" t="str">
            <v>Dermatocarpon luridum</v>
          </cell>
        </row>
        <row r="2180">
          <cell r="A2180" t="str">
            <v>Dermatocarpon meiophyllizum</v>
          </cell>
          <cell r="B2180" t="str">
            <v>Lichens</v>
          </cell>
          <cell r="C2180" t="str">
            <v>Mycophycophyta</v>
          </cell>
          <cell r="D2180" t="str">
            <v>Dermatocarpon meiophyllizum</v>
          </cell>
          <cell r="E2180" t="str">
            <v>LC</v>
          </cell>
          <cell r="F2180" t="str">
            <v>Woods &amp; Coppins, 2012</v>
          </cell>
          <cell r="G2180" t="str">
            <v>NHMSYS0001480503</v>
          </cell>
          <cell r="H2180" t="str">
            <v>Dermatocarpon meiophyllizum</v>
          </cell>
        </row>
        <row r="2181">
          <cell r="A2181" t="str">
            <v>Dermatocarpon miniatum</v>
          </cell>
          <cell r="B2181" t="str">
            <v>Lichens</v>
          </cell>
          <cell r="C2181" t="str">
            <v>Mycophycophyta</v>
          </cell>
          <cell r="D2181" t="str">
            <v>Dermatocarpon miniatum</v>
          </cell>
          <cell r="E2181" t="str">
            <v>LC</v>
          </cell>
          <cell r="F2181" t="str">
            <v>Woods &amp; Coppins, 2012</v>
          </cell>
          <cell r="G2181" t="str">
            <v>NHMSYS0001480504</v>
          </cell>
          <cell r="H2181" t="str">
            <v>Dermatocarpon miniatum</v>
          </cell>
        </row>
        <row r="2182">
          <cell r="A2182" t="str">
            <v>Dibaeis baeomyces</v>
          </cell>
          <cell r="B2182" t="str">
            <v>Lichens</v>
          </cell>
          <cell r="C2182" t="str">
            <v>Mycophycophyta</v>
          </cell>
          <cell r="D2182" t="str">
            <v>Dibaeis baeomyces</v>
          </cell>
          <cell r="E2182" t="str">
            <v>LC</v>
          </cell>
          <cell r="F2182" t="str">
            <v>Woods &amp; Coppins, 2012</v>
          </cell>
          <cell r="G2182" t="str">
            <v>NHMSYS0001480684</v>
          </cell>
          <cell r="H2182" t="str">
            <v>Dibaeis baeomyces</v>
          </cell>
        </row>
        <row r="2183">
          <cell r="A2183" t="str">
            <v>Dimerella lutea</v>
          </cell>
          <cell r="B2183" t="str">
            <v>Lichens</v>
          </cell>
          <cell r="C2183" t="str">
            <v>Mycophycophyta</v>
          </cell>
          <cell r="D2183" t="str">
            <v>Dimerella lutea</v>
          </cell>
          <cell r="E2183" t="str">
            <v>LC</v>
          </cell>
          <cell r="F2183" t="str">
            <v>Woods &amp; Coppins, 2012</v>
          </cell>
          <cell r="G2183" t="str">
            <v>NHMSYS0001480879</v>
          </cell>
          <cell r="H2183" t="str">
            <v>Dimerella lutea</v>
          </cell>
        </row>
        <row r="2184">
          <cell r="A2184" t="str">
            <v>Dimerella pineti</v>
          </cell>
          <cell r="B2184" t="str">
            <v>Lichens</v>
          </cell>
          <cell r="C2184" t="str">
            <v>Mycophycophyta</v>
          </cell>
          <cell r="D2184" t="str">
            <v>Dimerella pineti</v>
          </cell>
          <cell r="E2184" t="str">
            <v>LC</v>
          </cell>
          <cell r="F2184" t="str">
            <v>Woods &amp; Coppins, 2012</v>
          </cell>
          <cell r="G2184" t="str">
            <v>NHMSYS0001480880</v>
          </cell>
          <cell r="H2184" t="str">
            <v>Dimerella pineti</v>
          </cell>
        </row>
        <row r="2185">
          <cell r="A2185" t="str">
            <v>Diploicia canescens</v>
          </cell>
          <cell r="B2185" t="str">
            <v>Lichens</v>
          </cell>
          <cell r="C2185" t="str">
            <v>Mycophycophyta</v>
          </cell>
          <cell r="D2185" t="str">
            <v>Diploicia canescens</v>
          </cell>
          <cell r="E2185" t="str">
            <v>LC</v>
          </cell>
          <cell r="F2185" t="str">
            <v>Woods &amp; Coppins, 2012</v>
          </cell>
          <cell r="G2185" t="str">
            <v>NHMSYS0001480937</v>
          </cell>
          <cell r="H2185" t="str">
            <v>Diploicia canescens</v>
          </cell>
        </row>
        <row r="2186">
          <cell r="A2186" t="str">
            <v>Diploschistes actinostomus</v>
          </cell>
          <cell r="B2186" t="str">
            <v>Lichens</v>
          </cell>
          <cell r="C2186" t="str">
            <v>Mycophycophyta</v>
          </cell>
          <cell r="D2186" t="str">
            <v>Diploschistes actinostomus</v>
          </cell>
          <cell r="E2186" t="str">
            <v>CR</v>
          </cell>
          <cell r="F2186" t="str">
            <v>Woods &amp; Coppins, 2012</v>
          </cell>
          <cell r="G2186" t="str">
            <v>NHMSYS0001480946</v>
          </cell>
          <cell r="H2186" t="str">
            <v>Diploschistes actinostomus</v>
          </cell>
        </row>
        <row r="2187">
          <cell r="A2187" t="str">
            <v>Diploschistes caesioplumbeus</v>
          </cell>
          <cell r="B2187" t="str">
            <v>Lichens</v>
          </cell>
          <cell r="C2187" t="str">
            <v>Mycophycophyta</v>
          </cell>
          <cell r="D2187" t="str">
            <v>Diploschistes caesioplumbeus</v>
          </cell>
          <cell r="E2187" t="str">
            <v>LC</v>
          </cell>
          <cell r="F2187" t="str">
            <v>Woods &amp; Coppins, 2012</v>
          </cell>
          <cell r="G2187" t="str">
            <v>NBNSYS0000016927</v>
          </cell>
          <cell r="H2187" t="str">
            <v>Diploschistes caesioplumbeus</v>
          </cell>
        </row>
        <row r="2188">
          <cell r="A2188" t="str">
            <v>Diploschistes gypsaceus</v>
          </cell>
          <cell r="B2188" t="str">
            <v>Lichens</v>
          </cell>
          <cell r="C2188" t="str">
            <v>Mycophycophyta</v>
          </cell>
          <cell r="D2188" t="str">
            <v>Diploschistes gypsaceus</v>
          </cell>
          <cell r="E2188" t="str">
            <v>LC</v>
          </cell>
          <cell r="F2188" t="str">
            <v>Woods &amp; Coppins, 2012</v>
          </cell>
          <cell r="G2188" t="str">
            <v>NBNSYS0000016928</v>
          </cell>
          <cell r="H2188" t="str">
            <v>Diploschistes gypsaceus</v>
          </cell>
        </row>
        <row r="2189">
          <cell r="A2189" t="str">
            <v>Diploschistes muscorum</v>
          </cell>
          <cell r="B2189" t="str">
            <v>Lichens</v>
          </cell>
          <cell r="C2189" t="str">
            <v>Mycophycophyta</v>
          </cell>
          <cell r="D2189" t="str">
            <v>Diploschistes muscorum</v>
          </cell>
          <cell r="E2189" t="str">
            <v>LC</v>
          </cell>
          <cell r="F2189" t="str">
            <v>Woods &amp; Coppins, 2012</v>
          </cell>
          <cell r="G2189" t="str">
            <v>NHMSYS0001480947</v>
          </cell>
          <cell r="H2189" t="str">
            <v>Diploschistes muscorum</v>
          </cell>
        </row>
        <row r="2190">
          <cell r="A2190" t="str">
            <v>Diploschistes scruposus</v>
          </cell>
          <cell r="B2190" t="str">
            <v>Lichens</v>
          </cell>
          <cell r="C2190" t="str">
            <v>Mycophycophyta</v>
          </cell>
          <cell r="D2190" t="str">
            <v>Diploschistes scruposus</v>
          </cell>
          <cell r="E2190" t="str">
            <v>LC</v>
          </cell>
          <cell r="F2190" t="str">
            <v>Woods &amp; Coppins, 2012</v>
          </cell>
          <cell r="G2190" t="str">
            <v>NBNSYS0000016930</v>
          </cell>
          <cell r="H2190" t="str">
            <v>Diploschistes scruposus</v>
          </cell>
        </row>
        <row r="2191">
          <cell r="A2191" t="str">
            <v>Diplotomma alboatrum</v>
          </cell>
          <cell r="B2191" t="str">
            <v>Lichens</v>
          </cell>
          <cell r="C2191" t="str">
            <v>Mycophycophyta</v>
          </cell>
          <cell r="D2191" t="str">
            <v>Diplotomma alboatrum</v>
          </cell>
          <cell r="E2191" t="str">
            <v>LC</v>
          </cell>
          <cell r="F2191" t="str">
            <v>Woods &amp; Coppins, 2012</v>
          </cell>
          <cell r="G2191" t="str">
            <v>NBNSYS0000018473</v>
          </cell>
          <cell r="H2191" t="str">
            <v>Diplotomma alboatrum</v>
          </cell>
        </row>
        <row r="2192">
          <cell r="A2192" t="str">
            <v>Diplotomma chlorophaeum</v>
          </cell>
          <cell r="B2192" t="str">
            <v>Lichens</v>
          </cell>
          <cell r="C2192" t="str">
            <v>Mycophycophyta</v>
          </cell>
          <cell r="D2192" t="str">
            <v>Diplotomma chlorophaeum</v>
          </cell>
          <cell r="E2192" t="str">
            <v>LC</v>
          </cell>
          <cell r="F2192" t="str">
            <v>Woods &amp; Coppins, 2012</v>
          </cell>
          <cell r="G2192" t="str">
            <v>NHMSYS0001480952</v>
          </cell>
          <cell r="H2192" t="str">
            <v>Diplotomma chlorophaeum</v>
          </cell>
        </row>
        <row r="2193">
          <cell r="A2193" t="str">
            <v>Diplotomma hedinii</v>
          </cell>
          <cell r="B2193" t="str">
            <v>Lichens</v>
          </cell>
          <cell r="C2193" t="str">
            <v>Mycophycophyta</v>
          </cell>
          <cell r="D2193" t="str">
            <v>Diplotomma hedinii</v>
          </cell>
          <cell r="E2193" t="str">
            <v>LC</v>
          </cell>
          <cell r="F2193" t="str">
            <v>Woods &amp; Coppins, 2012</v>
          </cell>
          <cell r="G2193" t="str">
            <v>NHMSYS0020535385</v>
          </cell>
          <cell r="H2193" t="str">
            <v>Diplotomma hedinii</v>
          </cell>
        </row>
        <row r="2194">
          <cell r="A2194" t="str">
            <v>Dirina massiliensis f. sorediata, Dirina massiliensis f. massiliensis</v>
          </cell>
          <cell r="B2194" t="str">
            <v>Lichens</v>
          </cell>
          <cell r="C2194" t="str">
            <v>Mycophycophyta</v>
          </cell>
          <cell r="D2194" t="str">
            <v>Dirina massiliensis (f. sorediata/f. massiliensis)</v>
          </cell>
          <cell r="E2194" t="str">
            <v>LC</v>
          </cell>
          <cell r="F2194" t="str">
            <v>Woods &amp; Coppins, 2012</v>
          </cell>
          <cell r="G2194" t="str">
            <v>NBNSYS0000102288</v>
          </cell>
          <cell r="H2194" t="str">
            <v>Dirina massiliensis f. sorediata, Dirina massiliensis f. massiliensis</v>
          </cell>
        </row>
        <row r="2195">
          <cell r="A2195" t="str">
            <v>Eiglera flavida</v>
          </cell>
          <cell r="B2195" t="str">
            <v>Lichens</v>
          </cell>
          <cell r="C2195" t="str">
            <v>Mycophycophyta</v>
          </cell>
          <cell r="D2195" t="str">
            <v>Eiglera flavida</v>
          </cell>
          <cell r="E2195" t="str">
            <v>LC</v>
          </cell>
          <cell r="F2195" t="str">
            <v>Woods &amp; Coppins, 2012</v>
          </cell>
          <cell r="G2195" t="str">
            <v>NHMSYS0001481281</v>
          </cell>
          <cell r="H2195" t="str">
            <v>Eiglera flavida</v>
          </cell>
        </row>
        <row r="2196">
          <cell r="A2196" t="str">
            <v>Elixia flexella</v>
          </cell>
          <cell r="B2196" t="str">
            <v>Lichens</v>
          </cell>
          <cell r="C2196" t="str">
            <v>Mycophycophyta</v>
          </cell>
          <cell r="D2196" t="str">
            <v>Elixia flexella</v>
          </cell>
          <cell r="E2196" t="str">
            <v>NT</v>
          </cell>
          <cell r="F2196" t="str">
            <v>Woods &amp; Coppins, 2012</v>
          </cell>
          <cell r="G2196" t="str">
            <v>BMSSYS0000006326</v>
          </cell>
          <cell r="H2196" t="str">
            <v>Elixia flexella</v>
          </cell>
        </row>
        <row r="2197">
          <cell r="A2197" t="str">
            <v>Endocarpon adscendens</v>
          </cell>
          <cell r="B2197" t="str">
            <v>Lichens</v>
          </cell>
          <cell r="C2197" t="str">
            <v>Mycophycophyta</v>
          </cell>
          <cell r="D2197" t="str">
            <v>Endocarpon adscendens</v>
          </cell>
          <cell r="E2197" t="str">
            <v>EN</v>
          </cell>
          <cell r="F2197" t="str">
            <v>Woods &amp; Coppins, 2012</v>
          </cell>
          <cell r="G2197" t="str">
            <v>NBNSYS0000020600</v>
          </cell>
          <cell r="H2197" t="str">
            <v>Endocarpon adscendens</v>
          </cell>
        </row>
        <row r="2198">
          <cell r="A2198" t="str">
            <v>Endocarpon pallidulum</v>
          </cell>
          <cell r="B2198" t="str">
            <v>Lichens</v>
          </cell>
          <cell r="C2198" t="str">
            <v>Mycophycophyta</v>
          </cell>
          <cell r="D2198" t="str">
            <v>Endocarpon pallidulum</v>
          </cell>
          <cell r="E2198" t="str">
            <v>CR</v>
          </cell>
          <cell r="F2198" t="str">
            <v>Woods &amp; Coppins, 2012</v>
          </cell>
          <cell r="G2198" t="str">
            <v>NHMSYS0020327862</v>
          </cell>
          <cell r="H2198" t="str">
            <v>Endocarpon pallidulum</v>
          </cell>
        </row>
        <row r="2199">
          <cell r="A2199" t="str">
            <v>Endococcus propinquus</v>
          </cell>
          <cell r="B2199" t="str">
            <v>Lichens</v>
          </cell>
          <cell r="C2199" t="str">
            <v>Mycophycophyta</v>
          </cell>
          <cell r="D2199" t="str">
            <v>Endococcus propinquus</v>
          </cell>
          <cell r="E2199" t="str">
            <v>LC</v>
          </cell>
          <cell r="F2199" t="str">
            <v>Woods &amp; Coppins, 2012</v>
          </cell>
          <cell r="G2199" t="str">
            <v>NHMSYS0001481388</v>
          </cell>
          <cell r="H2199" t="str">
            <v>Endococcus propinquus</v>
          </cell>
        </row>
        <row r="2200">
          <cell r="A2200" t="str">
            <v>Enterographa brezhonega</v>
          </cell>
          <cell r="B2200" t="str">
            <v>Lichens</v>
          </cell>
          <cell r="C2200" t="str">
            <v>Mycophycophyta</v>
          </cell>
          <cell r="D2200" t="str">
            <v>Enterographa brezhonega</v>
          </cell>
          <cell r="E2200" t="str">
            <v>VU</v>
          </cell>
          <cell r="F2200" t="str">
            <v>Woods &amp; Coppins, 2012</v>
          </cell>
          <cell r="G2200" t="str">
            <v>NHMSYS0020535404</v>
          </cell>
          <cell r="H2200" t="str">
            <v>Enterographa brezhonega</v>
          </cell>
        </row>
        <row r="2201">
          <cell r="A2201" t="str">
            <v>Enterographa crassa</v>
          </cell>
          <cell r="B2201" t="str">
            <v>Lichens</v>
          </cell>
          <cell r="C2201" t="str">
            <v>Mycophycophyta</v>
          </cell>
          <cell r="D2201" t="str">
            <v>Enterographa crassa</v>
          </cell>
          <cell r="E2201" t="str">
            <v>LC</v>
          </cell>
          <cell r="F2201" t="str">
            <v>Woods &amp; Coppins, 2012</v>
          </cell>
          <cell r="G2201" t="str">
            <v>NHMSYS0001481444</v>
          </cell>
          <cell r="H2201" t="str">
            <v>Enterographa crassa</v>
          </cell>
        </row>
        <row r="2202">
          <cell r="A2202" t="str">
            <v>Enterographa elaborata</v>
          </cell>
          <cell r="B2202" t="str">
            <v>Lichens</v>
          </cell>
          <cell r="C2202" t="str">
            <v>Mycophycophyta</v>
          </cell>
          <cell r="D2202" t="str">
            <v>Enterographa elaborata</v>
          </cell>
          <cell r="E2202" t="str">
            <v>CR</v>
          </cell>
          <cell r="F2202" t="str">
            <v>Woods &amp; Coppins, 2012</v>
          </cell>
          <cell r="G2202" t="str">
            <v>NBNSYS0000019179</v>
          </cell>
          <cell r="H2202" t="str">
            <v>Enterographa elaborata</v>
          </cell>
        </row>
        <row r="2203">
          <cell r="A2203" t="str">
            <v>Enterographa hutchinsiae</v>
          </cell>
          <cell r="B2203" t="str">
            <v>Lichens</v>
          </cell>
          <cell r="C2203" t="str">
            <v>Mycophycophyta</v>
          </cell>
          <cell r="D2203" t="str">
            <v>Enterographa hutchinsiae</v>
          </cell>
          <cell r="E2203" t="str">
            <v>LC</v>
          </cell>
          <cell r="F2203" t="str">
            <v>Woods &amp; Coppins, 2012</v>
          </cell>
          <cell r="G2203" t="str">
            <v>NBNSYS0000019180</v>
          </cell>
          <cell r="H2203" t="str">
            <v>Enterographa hutchinsiae</v>
          </cell>
        </row>
        <row r="2204">
          <cell r="A2204" t="str">
            <v>Enterographa pitardii</v>
          </cell>
          <cell r="B2204" t="str">
            <v>Lichens</v>
          </cell>
          <cell r="C2204" t="str">
            <v>Mycophycophyta</v>
          </cell>
          <cell r="D2204" t="str">
            <v>Enterographa pitardii</v>
          </cell>
          <cell r="E2204" t="str">
            <v>NT</v>
          </cell>
          <cell r="F2204" t="str">
            <v>Woods &amp; Coppins, 2012</v>
          </cell>
          <cell r="G2204" t="str">
            <v>NHMSYS0020990195</v>
          </cell>
          <cell r="H2204" t="str">
            <v>Enterographa pitardii</v>
          </cell>
        </row>
        <row r="2205">
          <cell r="A2205" t="str">
            <v>Enterographa sorediata</v>
          </cell>
          <cell r="B2205" t="str">
            <v>Lichens</v>
          </cell>
          <cell r="C2205" t="str">
            <v>Mycophycophyta</v>
          </cell>
          <cell r="D2205" t="str">
            <v>Enterographa sorediata</v>
          </cell>
          <cell r="E2205" t="str">
            <v>NT</v>
          </cell>
          <cell r="F2205" t="str">
            <v>Woods &amp; Coppins, 2012</v>
          </cell>
          <cell r="G2205" t="str">
            <v>NBNSYS0000019181</v>
          </cell>
          <cell r="H2205" t="str">
            <v>Enterographa sorediata</v>
          </cell>
        </row>
        <row r="2206">
          <cell r="A2206" t="str">
            <v>Eopyrenula avellanae</v>
          </cell>
          <cell r="B2206" t="str">
            <v>Lichens</v>
          </cell>
          <cell r="C2206" t="str">
            <v>Mycophycophyta</v>
          </cell>
          <cell r="D2206" t="str">
            <v>Eopyrenula avellanae</v>
          </cell>
          <cell r="E2206" t="str">
            <v>LC</v>
          </cell>
          <cell r="F2206" t="str">
            <v>Woods &amp; Coppins, 2012</v>
          </cell>
          <cell r="G2206" t="str">
            <v>NBNSYS0000039624</v>
          </cell>
          <cell r="H2206" t="str">
            <v>Eopyrenula avellanae</v>
          </cell>
        </row>
        <row r="2207">
          <cell r="A2207" t="str">
            <v>Eopyrenula grandicula</v>
          </cell>
          <cell r="B2207" t="str">
            <v>Lichens</v>
          </cell>
          <cell r="C2207" t="str">
            <v>Mycophycophyta</v>
          </cell>
          <cell r="D2207" t="str">
            <v>Eopyrenula grandicula</v>
          </cell>
          <cell r="E2207" t="str">
            <v>LC</v>
          </cell>
          <cell r="F2207" t="str">
            <v>Woods &amp; Coppins, 2012</v>
          </cell>
          <cell r="G2207" t="str">
            <v>BMSSYS0000006596</v>
          </cell>
          <cell r="H2207" t="str">
            <v>Eopyrenula grandicula</v>
          </cell>
        </row>
        <row r="2208">
          <cell r="A2208" t="str">
            <v>Ephebe hispidula</v>
          </cell>
          <cell r="B2208" t="str">
            <v>Lichens</v>
          </cell>
          <cell r="C2208" t="str">
            <v>Mycophycophyta</v>
          </cell>
          <cell r="D2208" t="str">
            <v>Ephebe hispidula</v>
          </cell>
          <cell r="E2208" t="str">
            <v>NT</v>
          </cell>
          <cell r="F2208" t="str">
            <v>Woods &amp; Coppins, 2012</v>
          </cell>
          <cell r="G2208" t="str">
            <v>NBNSYS0000018478</v>
          </cell>
          <cell r="H2208" t="str">
            <v>Ephebe hispidula</v>
          </cell>
        </row>
        <row r="2209">
          <cell r="A2209" t="str">
            <v>Ephebe lanata</v>
          </cell>
          <cell r="B2209" t="str">
            <v>Lichens</v>
          </cell>
          <cell r="C2209" t="str">
            <v>Mycophycophyta</v>
          </cell>
          <cell r="D2209" t="str">
            <v>Ephebe lanata</v>
          </cell>
          <cell r="E2209" t="str">
            <v>LC</v>
          </cell>
          <cell r="F2209" t="str">
            <v>Woods &amp; Coppins, 2012</v>
          </cell>
          <cell r="G2209" t="str">
            <v>NBNSYS0000018479</v>
          </cell>
          <cell r="H2209" t="str">
            <v>Ephebe lanata</v>
          </cell>
        </row>
        <row r="2210">
          <cell r="A2210" t="str">
            <v>Epicladonia sandstedei</v>
          </cell>
          <cell r="B2210" t="str">
            <v>Lichens</v>
          </cell>
          <cell r="C2210" t="str">
            <v>Mycophycophyta</v>
          </cell>
          <cell r="D2210" t="str">
            <v>Epicladonia sandstedei</v>
          </cell>
          <cell r="E2210" t="str">
            <v>LC</v>
          </cell>
          <cell r="F2210" t="str">
            <v>Woods &amp; Coppins, 2012</v>
          </cell>
          <cell r="G2210" t="str">
            <v>BMSSYS0000006607</v>
          </cell>
          <cell r="H2210" t="str">
            <v>Epicladonia sandstedei</v>
          </cell>
        </row>
        <row r="2211">
          <cell r="A2211" t="str">
            <v>Epicladonia simplex</v>
          </cell>
          <cell r="B2211" t="str">
            <v>Lichens</v>
          </cell>
          <cell r="C2211" t="str">
            <v>Mycophycophyta</v>
          </cell>
          <cell r="D2211" t="str">
            <v>Epicladonia simplex</v>
          </cell>
          <cell r="E2211" t="str">
            <v>LC</v>
          </cell>
          <cell r="F2211" t="str">
            <v>Woods &amp; Coppins, 2012</v>
          </cell>
          <cell r="G2211" t="str">
            <v>NHMSYS0020990197</v>
          </cell>
          <cell r="H2211" t="str">
            <v>Epicladonia simplex</v>
          </cell>
        </row>
        <row r="2212">
          <cell r="A2212" t="str">
            <v>Epicladonia stenospora</v>
          </cell>
          <cell r="B2212" t="str">
            <v>Lichens</v>
          </cell>
          <cell r="C2212" t="str">
            <v>Mycophycophyta</v>
          </cell>
          <cell r="D2212" t="str">
            <v>Epicladonia stenospora</v>
          </cell>
          <cell r="E2212" t="str">
            <v>LC</v>
          </cell>
          <cell r="F2212" t="str">
            <v>Woods &amp; Coppins, 2012</v>
          </cell>
          <cell r="G2212" t="str">
            <v>BMSSYS0000006608</v>
          </cell>
          <cell r="H2212" t="str">
            <v>Epicladonia stenospora</v>
          </cell>
        </row>
        <row r="2213">
          <cell r="A2213" t="str">
            <v>Epigloea bactrospora</v>
          </cell>
          <cell r="B2213" t="str">
            <v>Lichens</v>
          </cell>
          <cell r="C2213" t="str">
            <v>Mycophycophyta</v>
          </cell>
          <cell r="D2213" t="str">
            <v>Epigloea bactrospora</v>
          </cell>
          <cell r="E2213" t="str">
            <v>LC</v>
          </cell>
          <cell r="F2213" t="str">
            <v>Woods &amp; Coppins, 2012</v>
          </cell>
          <cell r="G2213" t="str">
            <v>NHMSYS0001481832</v>
          </cell>
          <cell r="H2213" t="str">
            <v>Epigloea bactrospora</v>
          </cell>
        </row>
        <row r="2214">
          <cell r="A2214" t="str">
            <v>Epigloea medioincrassata</v>
          </cell>
          <cell r="B2214" t="str">
            <v>Lichens</v>
          </cell>
          <cell r="C2214" t="str">
            <v>Mycophycophyta</v>
          </cell>
          <cell r="D2214" t="str">
            <v>Epigloea medioincrassata</v>
          </cell>
          <cell r="E2214" t="str">
            <v>LC</v>
          </cell>
          <cell r="F2214" t="str">
            <v>Woods &amp; Coppins, 2012</v>
          </cell>
          <cell r="G2214" t="str">
            <v>NHMSYS0001481834</v>
          </cell>
          <cell r="H2214" t="str">
            <v>Epigloea medioincrassata</v>
          </cell>
        </row>
        <row r="2215">
          <cell r="A2215" t="str">
            <v>Epigloea soleiformis</v>
          </cell>
          <cell r="B2215" t="str">
            <v>Lichens</v>
          </cell>
          <cell r="C2215" t="str">
            <v>Mycophycophyta</v>
          </cell>
          <cell r="D2215" t="str">
            <v>Epigloea soleiformis</v>
          </cell>
          <cell r="E2215" t="str">
            <v>LC</v>
          </cell>
          <cell r="F2215" t="str">
            <v>Woods &amp; Coppins, 2012</v>
          </cell>
          <cell r="G2215" t="str">
            <v>BMSSYS0000006625</v>
          </cell>
          <cell r="H2215" t="str">
            <v>Epigloea soleiformis</v>
          </cell>
        </row>
        <row r="2216">
          <cell r="A2216" t="str">
            <v>Epigloea urosperma</v>
          </cell>
          <cell r="B2216" t="str">
            <v>Lichens</v>
          </cell>
          <cell r="C2216" t="str">
            <v>Mycophycophyta</v>
          </cell>
          <cell r="D2216" t="str">
            <v>Epigloea urosperma</v>
          </cell>
          <cell r="E2216" t="str">
            <v>LC</v>
          </cell>
          <cell r="F2216" t="str">
            <v>Woods &amp; Coppins, 2012</v>
          </cell>
          <cell r="G2216" t="str">
            <v>NHMSYS0020327864</v>
          </cell>
          <cell r="H2216" t="str">
            <v>Epigloea urosperma</v>
          </cell>
        </row>
        <row r="2217">
          <cell r="A2217" t="str">
            <v>Epilichen scabrosus</v>
          </cell>
          <cell r="B2217" t="str">
            <v>Lichens</v>
          </cell>
          <cell r="C2217" t="str">
            <v>Mycophycophyta</v>
          </cell>
          <cell r="D2217" t="str">
            <v>Epilichen scabrosus</v>
          </cell>
          <cell r="E2217" t="str">
            <v>LC</v>
          </cell>
          <cell r="F2217" t="str">
            <v>Woods &amp; Coppins, 2012</v>
          </cell>
          <cell r="G2217" t="str">
            <v>NBNSYS0000039627</v>
          </cell>
          <cell r="H2217" t="str">
            <v>Epilichen scabrosus</v>
          </cell>
        </row>
        <row r="2218">
          <cell r="A2218" t="str">
            <v>Epiphloea byssina</v>
          </cell>
          <cell r="B2218" t="str">
            <v>Lichens</v>
          </cell>
          <cell r="C2218" t="str">
            <v>Mycophycophyta</v>
          </cell>
          <cell r="D2218" t="str">
            <v>Epiphloea byssina</v>
          </cell>
          <cell r="E2218" t="str">
            <v>LC</v>
          </cell>
          <cell r="F2218" t="str">
            <v>Woods &amp; Coppins, 2012</v>
          </cell>
          <cell r="G2218" t="str">
            <v>NBNSYS0000018772</v>
          </cell>
          <cell r="H2218" t="str">
            <v>Epiphloea byssina</v>
          </cell>
        </row>
        <row r="2219">
          <cell r="A2219" t="str">
            <v>Evernia prunastri</v>
          </cell>
          <cell r="B2219" t="str">
            <v>Lichens</v>
          </cell>
          <cell r="C2219" t="str">
            <v>Mycophycophyta</v>
          </cell>
          <cell r="D2219" t="str">
            <v>Evernia prunastri</v>
          </cell>
          <cell r="E2219" t="str">
            <v>LC</v>
          </cell>
          <cell r="F2219" t="str">
            <v>Woods &amp; Coppins, 2012</v>
          </cell>
          <cell r="G2219" t="str">
            <v>NBNSYS0000018480</v>
          </cell>
          <cell r="H2219" t="str">
            <v>Evernia prunastri</v>
          </cell>
        </row>
        <row r="2220">
          <cell r="A2220" t="str">
            <v>Everniicola flexispora</v>
          </cell>
          <cell r="B2220" t="str">
            <v>Lichens</v>
          </cell>
          <cell r="C2220" t="str">
            <v>Mycophycophyta</v>
          </cell>
          <cell r="D2220" t="str">
            <v>Everniicola flexispora</v>
          </cell>
          <cell r="E2220" t="str">
            <v>LC</v>
          </cell>
          <cell r="F2220" t="str">
            <v>Woods &amp; Coppins, 2012</v>
          </cell>
          <cell r="G2220" t="str">
            <v>BMSSYS0000006689</v>
          </cell>
          <cell r="H2220" t="str">
            <v>Everniicola flexispora</v>
          </cell>
        </row>
        <row r="2221">
          <cell r="A2221" t="str">
            <v>Farnoldia jurana</v>
          </cell>
          <cell r="B2221" t="str">
            <v>Lichens</v>
          </cell>
          <cell r="C2221" t="str">
            <v>Mycophycophyta</v>
          </cell>
          <cell r="D2221" t="str">
            <v>Farnoldia jurana</v>
          </cell>
          <cell r="E2221" t="str">
            <v>LC</v>
          </cell>
          <cell r="F2221" t="str">
            <v>Woods &amp; Coppins, 2012</v>
          </cell>
          <cell r="G2221" t="str">
            <v>NBNSYS0000018482</v>
          </cell>
          <cell r="H2221" t="str">
            <v>Farnoldia jurana</v>
          </cell>
        </row>
        <row r="2222">
          <cell r="A2222" t="str">
            <v>Fellhanera bouteillei</v>
          </cell>
          <cell r="B2222" t="str">
            <v>Lichens</v>
          </cell>
          <cell r="C2222" t="str">
            <v>Mycophycophyta</v>
          </cell>
          <cell r="D2222" t="str">
            <v>Fellhanera bouteillei</v>
          </cell>
          <cell r="E2222" t="str">
            <v>LC</v>
          </cell>
          <cell r="F2222" t="str">
            <v>Woods &amp; Coppins, 2012</v>
          </cell>
          <cell r="G2222" t="str">
            <v>NHMSYS0001482173</v>
          </cell>
          <cell r="H2222" t="str">
            <v>Fellhanera bouteillei</v>
          </cell>
        </row>
        <row r="2223">
          <cell r="A2223" t="str">
            <v>Fellhanera ochracea</v>
          </cell>
          <cell r="B2223" t="str">
            <v>Lichens</v>
          </cell>
          <cell r="C2223" t="str">
            <v>Mycophycophyta</v>
          </cell>
          <cell r="D2223" t="str">
            <v>Fellhanera ochracea</v>
          </cell>
          <cell r="E2223" t="str">
            <v>LC</v>
          </cell>
          <cell r="F2223" t="str">
            <v>Woods &amp; Coppins, 2012</v>
          </cell>
          <cell r="G2223" t="str">
            <v>BMSSYS0000006753</v>
          </cell>
          <cell r="H2223" t="str">
            <v>Fellhanera ochracea</v>
          </cell>
        </row>
        <row r="2224">
          <cell r="A2224" t="str">
            <v>Fellhanera subtilis</v>
          </cell>
          <cell r="B2224" t="str">
            <v>Lichens</v>
          </cell>
          <cell r="C2224" t="str">
            <v>Mycophycophyta</v>
          </cell>
          <cell r="D2224" t="str">
            <v>Fellhanera subtilis</v>
          </cell>
          <cell r="E2224" t="str">
            <v>LC</v>
          </cell>
          <cell r="F2224" t="str">
            <v>Woods &amp; Coppins, 2012</v>
          </cell>
          <cell r="G2224" t="str">
            <v>NHMSYS0001482175</v>
          </cell>
          <cell r="H2224" t="str">
            <v>Fellhanera subtilis</v>
          </cell>
        </row>
        <row r="2225">
          <cell r="A2225" t="str">
            <v>Fellhanera viridisorediata</v>
          </cell>
          <cell r="B2225" t="str">
            <v>Lichens</v>
          </cell>
          <cell r="C2225" t="str">
            <v>Mycophycophyta</v>
          </cell>
          <cell r="D2225" t="str">
            <v>Fellhanera viridisorediata</v>
          </cell>
          <cell r="E2225" t="str">
            <v>LC</v>
          </cell>
          <cell r="F2225" t="str">
            <v>Woods &amp; Coppins, 2012</v>
          </cell>
          <cell r="G2225" t="str">
            <v>BMSSYS0000006755</v>
          </cell>
          <cell r="H2225" t="str">
            <v>Fellhanera viridisorediata</v>
          </cell>
        </row>
        <row r="2226">
          <cell r="A2226" t="str">
            <v>Fellhaneropsis myrtillicola</v>
          </cell>
          <cell r="B2226" t="str">
            <v>Lichens</v>
          </cell>
          <cell r="C2226" t="str">
            <v>Mycophycophyta</v>
          </cell>
          <cell r="D2226" t="str">
            <v>Fellhaneropsis myrtillicola</v>
          </cell>
          <cell r="E2226" t="str">
            <v>LC</v>
          </cell>
          <cell r="F2226" t="str">
            <v>Woods &amp; Coppins, 2012</v>
          </cell>
          <cell r="G2226" t="str">
            <v>BMSSYS0000006757</v>
          </cell>
          <cell r="H2226" t="str">
            <v>Fellhaneropsis myrtillicola</v>
          </cell>
        </row>
        <row r="2227">
          <cell r="A2227" t="str">
            <v>Fellhaneropsis vezdae</v>
          </cell>
          <cell r="B2227" t="str">
            <v>Lichens</v>
          </cell>
          <cell r="C2227" t="str">
            <v>Mycophycophyta</v>
          </cell>
          <cell r="D2227" t="str">
            <v>Fellhaneropsis vezdae</v>
          </cell>
          <cell r="E2227" t="str">
            <v>LC</v>
          </cell>
          <cell r="F2227" t="str">
            <v>Woods &amp; Coppins, 2012</v>
          </cell>
          <cell r="G2227" t="str">
            <v>BMSSYS0000006758</v>
          </cell>
          <cell r="H2227" t="str">
            <v>Fellhaneropsis vezdae</v>
          </cell>
        </row>
        <row r="2228">
          <cell r="A2228" t="str">
            <v>Flavoparmelia caperata</v>
          </cell>
          <cell r="B2228" t="str">
            <v>Lichens</v>
          </cell>
          <cell r="C2228" t="str">
            <v>Mycophycophyta</v>
          </cell>
          <cell r="D2228" t="str">
            <v>Flavoparmelia caperata</v>
          </cell>
          <cell r="E2228" t="str">
            <v>LC</v>
          </cell>
          <cell r="F2228" t="str">
            <v>Woods &amp; Coppins, 2012</v>
          </cell>
          <cell r="G2228" t="str">
            <v>NBNSYS0000147457</v>
          </cell>
          <cell r="H2228" t="str">
            <v>Flavoparmelia caperata</v>
          </cell>
        </row>
        <row r="2229">
          <cell r="A2229" t="str">
            <v>Flavoparmelia soredians</v>
          </cell>
          <cell r="B2229" t="str">
            <v>Lichens</v>
          </cell>
          <cell r="C2229" t="str">
            <v>Mycophycophyta</v>
          </cell>
          <cell r="D2229" t="str">
            <v>Flavoparmelia soredians</v>
          </cell>
          <cell r="E2229" t="str">
            <v>LC</v>
          </cell>
          <cell r="F2229" t="str">
            <v>Woods &amp; Coppins, 2012</v>
          </cell>
          <cell r="G2229" t="str">
            <v>NBNSYS0000147458</v>
          </cell>
          <cell r="H2229" t="str">
            <v>Flavoparmelia soredians</v>
          </cell>
        </row>
        <row r="2230">
          <cell r="A2230" t="str">
            <v>Frutidella caesioatra</v>
          </cell>
          <cell r="B2230" t="str">
            <v>Lichens</v>
          </cell>
          <cell r="C2230" t="str">
            <v>Mycophycophyta</v>
          </cell>
          <cell r="D2230" t="str">
            <v>Frutidella caesioatra</v>
          </cell>
          <cell r="E2230" t="str">
            <v>LC</v>
          </cell>
          <cell r="F2230" t="str">
            <v>Woods &amp; Coppins, 2012</v>
          </cell>
          <cell r="G2230" t="str">
            <v>BMSSYS0000006885</v>
          </cell>
          <cell r="H2230" t="str">
            <v>Frutidella caesioatra</v>
          </cell>
        </row>
        <row r="2231">
          <cell r="A2231" t="str">
            <v>Fulgensia fulgens</v>
          </cell>
          <cell r="B2231" t="str">
            <v>Lichens</v>
          </cell>
          <cell r="C2231" t="str">
            <v>Mycophycophyta</v>
          </cell>
          <cell r="D2231" t="str">
            <v>Fulgensia fulgens</v>
          </cell>
          <cell r="E2231" t="str">
            <v>EN</v>
          </cell>
          <cell r="F2231" t="str">
            <v>Woods &amp; Coppins, 2012</v>
          </cell>
          <cell r="G2231" t="str">
            <v>NBNSYS0000020569</v>
          </cell>
          <cell r="H2231" t="str">
            <v>Fulgensia fulgens</v>
          </cell>
        </row>
        <row r="2232">
          <cell r="A2232" t="str">
            <v>Fuscidea austera</v>
          </cell>
          <cell r="B2232" t="str">
            <v>Lichens</v>
          </cell>
          <cell r="C2232" t="str">
            <v>Mycophycophyta</v>
          </cell>
          <cell r="D2232" t="str">
            <v>Fuscidea austera</v>
          </cell>
          <cell r="E2232" t="str">
            <v>NT</v>
          </cell>
          <cell r="F2232" t="str">
            <v>Woods &amp; Coppins, 2012</v>
          </cell>
          <cell r="G2232" t="str">
            <v>NBNSYS0000018485</v>
          </cell>
          <cell r="H2232" t="str">
            <v>Fuscidea austera</v>
          </cell>
        </row>
        <row r="2233">
          <cell r="A2233" t="str">
            <v>Fuscidea gothoburgensis</v>
          </cell>
          <cell r="B2233" t="str">
            <v>Lichens</v>
          </cell>
          <cell r="C2233" t="str">
            <v>Mycophycophyta</v>
          </cell>
          <cell r="D2233" t="str">
            <v>Fuscidea gothoburgensis</v>
          </cell>
          <cell r="E2233" t="str">
            <v>LC</v>
          </cell>
          <cell r="F2233" t="str">
            <v>Woods &amp; Coppins, 2012</v>
          </cell>
          <cell r="G2233" t="str">
            <v>NHMSYS0001482506</v>
          </cell>
          <cell r="H2233" t="str">
            <v>Fuscidea gothoburgensis</v>
          </cell>
        </row>
        <row r="2234">
          <cell r="A2234" t="str">
            <v>Fuscidea intercincta</v>
          </cell>
          <cell r="B2234" t="str">
            <v>Lichens</v>
          </cell>
          <cell r="C2234" t="str">
            <v>Mycophycophyta</v>
          </cell>
          <cell r="D2234" t="str">
            <v>Fuscidea intercincta</v>
          </cell>
          <cell r="E2234" t="str">
            <v>LC</v>
          </cell>
          <cell r="F2234" t="str">
            <v>Woods &amp; Coppins, 2012</v>
          </cell>
          <cell r="G2234" t="str">
            <v>NBNSYS0000018491</v>
          </cell>
          <cell r="H2234" t="str">
            <v>Fuscidea intercincta</v>
          </cell>
        </row>
        <row r="2235">
          <cell r="A2235" t="str">
            <v>Fuscidea kochiana</v>
          </cell>
          <cell r="B2235" t="str">
            <v>Lichens</v>
          </cell>
          <cell r="C2235" t="str">
            <v>Mycophycophyta</v>
          </cell>
          <cell r="D2235" t="str">
            <v>Fuscidea kochiana</v>
          </cell>
          <cell r="E2235" t="str">
            <v>LC</v>
          </cell>
          <cell r="F2235" t="str">
            <v>Woods &amp; Coppins, 2012</v>
          </cell>
          <cell r="G2235" t="str">
            <v>NHMSYS0001482508</v>
          </cell>
          <cell r="H2235" t="str">
            <v>Fuscidea kochiana</v>
          </cell>
        </row>
        <row r="2236">
          <cell r="A2236" t="str">
            <v>Fuscidea lightfootii</v>
          </cell>
          <cell r="B2236" t="str">
            <v>Lichens</v>
          </cell>
          <cell r="C2236" t="str">
            <v>Mycophycophyta</v>
          </cell>
          <cell r="D2236" t="str">
            <v>Fuscidea lightfootii</v>
          </cell>
          <cell r="E2236" t="str">
            <v>LC</v>
          </cell>
          <cell r="F2236" t="str">
            <v>Woods &amp; Coppins, 2012</v>
          </cell>
          <cell r="G2236" t="str">
            <v>NHMSYS0001482509</v>
          </cell>
          <cell r="H2236" t="str">
            <v>Fuscidea lightfootii</v>
          </cell>
        </row>
        <row r="2237">
          <cell r="A2237" t="str">
            <v>Fuscidea lygaea</v>
          </cell>
          <cell r="B2237" t="str">
            <v>Lichens</v>
          </cell>
          <cell r="C2237" t="str">
            <v>Mycophycophyta</v>
          </cell>
          <cell r="D2237" t="str">
            <v>Fuscidea lygaea</v>
          </cell>
          <cell r="E2237" t="str">
            <v>LC</v>
          </cell>
          <cell r="F2237" t="str">
            <v>Woods &amp; Coppins, 2012</v>
          </cell>
          <cell r="G2237" t="str">
            <v>NHMSYS0001482512</v>
          </cell>
          <cell r="H2237" t="str">
            <v>Fuscidea lygaea</v>
          </cell>
        </row>
        <row r="2238">
          <cell r="A2238" t="str">
            <v>Fuscidea praeruptorum</v>
          </cell>
          <cell r="B2238" t="str">
            <v>Lichens</v>
          </cell>
          <cell r="C2238" t="str">
            <v>Mycophycophyta</v>
          </cell>
          <cell r="D2238" t="str">
            <v>Fuscidea praeruptorum</v>
          </cell>
          <cell r="E2238" t="str">
            <v>LC</v>
          </cell>
          <cell r="F2238" t="str">
            <v>Woods &amp; Coppins, 2012</v>
          </cell>
          <cell r="G2238" t="str">
            <v>NHMSYS0001482516</v>
          </cell>
          <cell r="H2238" t="str">
            <v>Fuscidea praeruptorum</v>
          </cell>
        </row>
        <row r="2239">
          <cell r="A2239" t="str">
            <v>Fuscidea recensa</v>
          </cell>
          <cell r="B2239" t="str">
            <v>Lichens</v>
          </cell>
          <cell r="C2239" t="str">
            <v>Mycophycophyta</v>
          </cell>
          <cell r="D2239" t="str">
            <v>Fuscidea recensa</v>
          </cell>
          <cell r="E2239" t="str">
            <v>LC</v>
          </cell>
          <cell r="F2239" t="str">
            <v>Woods &amp; Coppins, 2012</v>
          </cell>
          <cell r="G2239" t="str">
            <v>NHMSYS0001482518</v>
          </cell>
          <cell r="H2239" t="str">
            <v>Fuscidea recensa</v>
          </cell>
        </row>
        <row r="2240">
          <cell r="A2240" t="str">
            <v>Fuscopannaria ignobilis</v>
          </cell>
          <cell r="B2240" t="str">
            <v>Lichens</v>
          </cell>
          <cell r="C2240" t="str">
            <v>Mycophycophyta</v>
          </cell>
          <cell r="D2240" t="str">
            <v>Fuscopannaria ignobilis</v>
          </cell>
          <cell r="E2240" t="str">
            <v>VU</v>
          </cell>
          <cell r="F2240" t="str">
            <v>Woods &amp; Coppins, 2012</v>
          </cell>
          <cell r="G2240" t="str">
            <v>BMSSYS0000006970</v>
          </cell>
          <cell r="H2240" t="str">
            <v>Fuscopannaria ignobilis</v>
          </cell>
        </row>
        <row r="2241">
          <cell r="A2241" t="str">
            <v>Fuscopannaria mediterranea</v>
          </cell>
          <cell r="B2241" t="str">
            <v>Lichens</v>
          </cell>
          <cell r="C2241" t="str">
            <v>Mycophycophyta</v>
          </cell>
          <cell r="D2241" t="str">
            <v>Fuscopannaria mediterranea</v>
          </cell>
          <cell r="E2241" t="str">
            <v>LC</v>
          </cell>
          <cell r="F2241" t="str">
            <v>Woods &amp; Coppins, 2012</v>
          </cell>
          <cell r="G2241" t="str">
            <v>BMSSYS0000006972</v>
          </cell>
          <cell r="H2241" t="str">
            <v>Fuscopannaria mediterranea</v>
          </cell>
        </row>
        <row r="2242">
          <cell r="A2242" t="str">
            <v>Fuscopannaria praetermissa</v>
          </cell>
          <cell r="B2242" t="str">
            <v>Lichens</v>
          </cell>
          <cell r="C2242" t="str">
            <v>Mycophycophyta</v>
          </cell>
          <cell r="D2242" t="str">
            <v>Fuscopannaria praetermissa</v>
          </cell>
          <cell r="E2242" t="str">
            <v>NT</v>
          </cell>
          <cell r="F2242" t="str">
            <v>Woods &amp; Coppins, 2012</v>
          </cell>
          <cell r="G2242" t="str">
            <v>BMSSYS0000006973</v>
          </cell>
          <cell r="H2242" t="str">
            <v>Fuscopannaria praetermissa</v>
          </cell>
        </row>
        <row r="2243">
          <cell r="A2243" t="str">
            <v>Fuscopannaria sampaiana</v>
          </cell>
          <cell r="B2243" t="str">
            <v>Lichens</v>
          </cell>
          <cell r="C2243" t="str">
            <v>Mycophycophyta</v>
          </cell>
          <cell r="D2243" t="str">
            <v>Fuscopannaria sampaiana</v>
          </cell>
          <cell r="E2243" t="str">
            <v>NT</v>
          </cell>
          <cell r="F2243" t="str">
            <v>Woods &amp; Coppins, 2012</v>
          </cell>
          <cell r="G2243" t="str">
            <v>BMSSYS0000048486</v>
          </cell>
          <cell r="H2243" t="str">
            <v>Fuscopannaria sampaiana</v>
          </cell>
        </row>
        <row r="2244">
          <cell r="A2244" t="str">
            <v>Geltingia associata</v>
          </cell>
          <cell r="B2244" t="str">
            <v>Lichens</v>
          </cell>
          <cell r="C2244" t="str">
            <v>Mycophycophyta</v>
          </cell>
          <cell r="D2244" t="str">
            <v>Geltingia associata</v>
          </cell>
          <cell r="E2244" t="str">
            <v>LC</v>
          </cell>
          <cell r="F2244" t="str">
            <v>Woods &amp; Coppins, 2012</v>
          </cell>
          <cell r="G2244" t="str">
            <v>NHMSYS0001482854</v>
          </cell>
          <cell r="H2244" t="str">
            <v>Geltingia associata</v>
          </cell>
        </row>
        <row r="2245">
          <cell r="A2245" t="str">
            <v>Graphina anguina</v>
          </cell>
          <cell r="B2245" t="str">
            <v>Lichens</v>
          </cell>
          <cell r="C2245" t="str">
            <v>Mycophycophyta</v>
          </cell>
          <cell r="D2245" t="str">
            <v>Graphina anguina</v>
          </cell>
          <cell r="E2245" t="str">
            <v>LC</v>
          </cell>
          <cell r="F2245" t="str">
            <v>Woods &amp; Coppins, 2012</v>
          </cell>
          <cell r="G2245" t="str">
            <v>BMSSYS0000045884</v>
          </cell>
          <cell r="H2245" t="str">
            <v>Graphina anguina</v>
          </cell>
        </row>
        <row r="2246">
          <cell r="A2246" t="str">
            <v>Graphina pauciloculata</v>
          </cell>
          <cell r="B2246" t="str">
            <v>Lichens</v>
          </cell>
          <cell r="C2246" t="str">
            <v>Mycophycophyta</v>
          </cell>
          <cell r="D2246" t="str">
            <v>Graphina pauciloculata</v>
          </cell>
          <cell r="E2246" t="str">
            <v>VU</v>
          </cell>
          <cell r="F2246" t="str">
            <v>Woods &amp; Coppins, 2012</v>
          </cell>
          <cell r="G2246" t="str">
            <v>NBNSYS0000016932</v>
          </cell>
          <cell r="H2246" t="str">
            <v>Graphina pauciloculata</v>
          </cell>
        </row>
        <row r="2247">
          <cell r="A2247" t="str">
            <v>Graphina ruiziana</v>
          </cell>
          <cell r="B2247" t="str">
            <v>Lichens</v>
          </cell>
          <cell r="C2247" t="str">
            <v>Mycophycophyta</v>
          </cell>
          <cell r="D2247" t="str">
            <v>Graphina ruiziana</v>
          </cell>
          <cell r="E2247" t="str">
            <v>LC</v>
          </cell>
          <cell r="F2247" t="str">
            <v>Woods &amp; Coppins, 2012</v>
          </cell>
          <cell r="G2247" t="str">
            <v>NHMSYS0001483182</v>
          </cell>
          <cell r="H2247" t="str">
            <v>Graphina ruiziana</v>
          </cell>
        </row>
        <row r="2248">
          <cell r="A2248" t="str">
            <v>Graphis elegans</v>
          </cell>
          <cell r="B2248" t="str">
            <v>Lichens</v>
          </cell>
          <cell r="C2248" t="str">
            <v>Mycophycophyta</v>
          </cell>
          <cell r="D2248" t="str">
            <v>Graphis elegans</v>
          </cell>
          <cell r="E2248" t="str">
            <v>LC</v>
          </cell>
          <cell r="F2248" t="str">
            <v>Woods &amp; Coppins, 2012</v>
          </cell>
          <cell r="G2248" t="str">
            <v>NBNSYS0000016934</v>
          </cell>
          <cell r="H2248" t="str">
            <v>Graphis elegans</v>
          </cell>
        </row>
        <row r="2249">
          <cell r="A2249" t="str">
            <v>Graphis scripta</v>
          </cell>
          <cell r="B2249" t="str">
            <v>Lichens</v>
          </cell>
          <cell r="C2249" t="str">
            <v>Mycophycophyta</v>
          </cell>
          <cell r="D2249" t="str">
            <v>Graphis scripta</v>
          </cell>
          <cell r="E2249" t="str">
            <v>LC</v>
          </cell>
          <cell r="F2249" t="str">
            <v>Woods &amp; Coppins, 2012</v>
          </cell>
          <cell r="G2249" t="str">
            <v>NBNSYS0000016935</v>
          </cell>
          <cell r="H2249" t="str">
            <v>Graphis scripta</v>
          </cell>
        </row>
        <row r="2250">
          <cell r="A2250" t="str">
            <v>Gregorella humida</v>
          </cell>
          <cell r="B2250" t="str">
            <v>Lichens</v>
          </cell>
          <cell r="C2250" t="str">
            <v>Mycophycophyta</v>
          </cell>
          <cell r="D2250" t="str">
            <v>Gregorella humida</v>
          </cell>
          <cell r="E2250" t="str">
            <v>LC</v>
          </cell>
          <cell r="F2250" t="str">
            <v>Woods &amp; Coppins, 2012</v>
          </cell>
          <cell r="G2250" t="str">
            <v>NHMSYS0019999601</v>
          </cell>
          <cell r="H2250" t="str">
            <v>Gregorella humida</v>
          </cell>
        </row>
        <row r="2251">
          <cell r="A2251" t="str">
            <v>Gyalecta derivata</v>
          </cell>
          <cell r="B2251" t="str">
            <v>Lichens</v>
          </cell>
          <cell r="C2251" t="str">
            <v>Mycophycophyta</v>
          </cell>
          <cell r="D2251" t="str">
            <v>Gyalecta derivata</v>
          </cell>
          <cell r="E2251" t="str">
            <v>LC</v>
          </cell>
          <cell r="F2251" t="str">
            <v>Woods &amp; Coppins, 2012</v>
          </cell>
          <cell r="G2251" t="str">
            <v>NBNSYS0000016965</v>
          </cell>
          <cell r="H2251" t="str">
            <v>Gyalecta derivata</v>
          </cell>
        </row>
        <row r="2252">
          <cell r="A2252" t="str">
            <v>Gyalecta flotowii</v>
          </cell>
          <cell r="B2252" t="str">
            <v>Lichens</v>
          </cell>
          <cell r="C2252" t="str">
            <v>Mycophycophyta</v>
          </cell>
          <cell r="D2252" t="str">
            <v>Gyalecta flotowii</v>
          </cell>
          <cell r="E2252" t="str">
            <v>NT</v>
          </cell>
          <cell r="F2252" t="str">
            <v>Woods &amp; Coppins, 2012</v>
          </cell>
          <cell r="G2252" t="str">
            <v>NBNSYS0000016966</v>
          </cell>
          <cell r="H2252" t="str">
            <v>Gyalecta flotowii</v>
          </cell>
        </row>
        <row r="2253">
          <cell r="A2253" t="str">
            <v>Gyalecta foveolaris</v>
          </cell>
          <cell r="B2253" t="str">
            <v>Lichens</v>
          </cell>
          <cell r="C2253" t="str">
            <v>Mycophycophyta</v>
          </cell>
          <cell r="D2253" t="str">
            <v>Gyalecta foveolaris</v>
          </cell>
          <cell r="E2253" t="str">
            <v>NT</v>
          </cell>
          <cell r="F2253" t="str">
            <v>Woods &amp; Coppins, 2012</v>
          </cell>
          <cell r="G2253" t="str">
            <v>NBNSYS0000016967</v>
          </cell>
          <cell r="H2253" t="str">
            <v>Gyalecta foveolaris</v>
          </cell>
        </row>
        <row r="2254">
          <cell r="A2254" t="str">
            <v>Gyalecta geoica</v>
          </cell>
          <cell r="B2254" t="str">
            <v>Lichens</v>
          </cell>
          <cell r="C2254" t="str">
            <v>Mycophycophyta</v>
          </cell>
          <cell r="D2254" t="str">
            <v>Gyalecta geoica</v>
          </cell>
          <cell r="E2254" t="str">
            <v>LC</v>
          </cell>
          <cell r="F2254" t="str">
            <v>Woods &amp; Coppins, 2012</v>
          </cell>
          <cell r="G2254" t="str">
            <v>NBNSYS0000016968</v>
          </cell>
          <cell r="H2254" t="str">
            <v>Gyalecta geoica</v>
          </cell>
        </row>
        <row r="2255">
          <cell r="A2255" t="str">
            <v>Gyalecta hypoleuca</v>
          </cell>
          <cell r="B2255" t="str">
            <v>Lichens</v>
          </cell>
          <cell r="C2255" t="str">
            <v>Mycophycophyta</v>
          </cell>
          <cell r="D2255" t="str">
            <v>Gyalecta hypoleuca</v>
          </cell>
          <cell r="E2255" t="str">
            <v>VU</v>
          </cell>
          <cell r="F2255" t="str">
            <v>Woods &amp; Coppins, 2012</v>
          </cell>
          <cell r="G2255" t="str">
            <v>NHMSYS0020990253</v>
          </cell>
          <cell r="H2255" t="str">
            <v>Gyalecta hypoleuca</v>
          </cell>
        </row>
        <row r="2256">
          <cell r="A2256" t="str">
            <v>Gyalecta truncigena</v>
          </cell>
          <cell r="B2256" t="str">
            <v>Lichens</v>
          </cell>
          <cell r="C2256" t="str">
            <v>Mycophycophyta</v>
          </cell>
          <cell r="D2256" t="str">
            <v>Gyalecta truncigena</v>
          </cell>
          <cell r="E2256" t="str">
            <v>LC</v>
          </cell>
          <cell r="F2256" t="str">
            <v>Woods &amp; Coppins, 2012</v>
          </cell>
          <cell r="G2256" t="str">
            <v>NBNSYS0000016971</v>
          </cell>
          <cell r="H2256" t="str">
            <v>Gyalecta truncigena</v>
          </cell>
        </row>
        <row r="2257">
          <cell r="A2257" t="str">
            <v>Gyalecta ulmi</v>
          </cell>
          <cell r="B2257" t="str">
            <v>Lichens</v>
          </cell>
          <cell r="C2257" t="str">
            <v>Mycophycophyta</v>
          </cell>
          <cell r="D2257" t="str">
            <v>Gyalecta ulmi</v>
          </cell>
          <cell r="E2257" t="str">
            <v>EN</v>
          </cell>
          <cell r="F2257" t="str">
            <v>Woods &amp; Coppins, 2012</v>
          </cell>
          <cell r="G2257" t="str">
            <v>NBNSYS0000016972</v>
          </cell>
          <cell r="H2257" t="str">
            <v>Gyalecta ulmi</v>
          </cell>
        </row>
        <row r="2258">
          <cell r="A2258" t="str">
            <v>Gyalidea fritzei</v>
          </cell>
          <cell r="B2258" t="str">
            <v>Lichens</v>
          </cell>
          <cell r="C2258" t="str">
            <v>Mycophycophyta</v>
          </cell>
          <cell r="D2258" t="str">
            <v>Gyalidea fritzei</v>
          </cell>
          <cell r="E2258" t="str">
            <v>NT</v>
          </cell>
          <cell r="F2258" t="str">
            <v>Woods &amp; Coppins, 2012</v>
          </cell>
          <cell r="G2258" t="str">
            <v>NHMSYS0001483316</v>
          </cell>
          <cell r="H2258" t="str">
            <v>Gyalidea fritzei</v>
          </cell>
        </row>
        <row r="2259">
          <cell r="A2259" t="str">
            <v>Gyalidea subscutellaris</v>
          </cell>
          <cell r="B2259" t="str">
            <v>Lichens</v>
          </cell>
          <cell r="C2259" t="str">
            <v>Mycophycophyta</v>
          </cell>
          <cell r="D2259" t="str">
            <v>Gyalidea subscutellaris</v>
          </cell>
          <cell r="E2259" t="str">
            <v>NT</v>
          </cell>
          <cell r="F2259" t="str">
            <v>Woods &amp; Coppins, 2012</v>
          </cell>
          <cell r="G2259" t="str">
            <v>NHMSYS0001483322</v>
          </cell>
          <cell r="H2259" t="str">
            <v>Gyalidea subscutellaris</v>
          </cell>
        </row>
        <row r="2260">
          <cell r="A2260" t="str">
            <v>Gyalideopsis muscicola</v>
          </cell>
          <cell r="B2260" t="str">
            <v>Lichens</v>
          </cell>
          <cell r="C2260" t="str">
            <v>Mycophycophyta</v>
          </cell>
          <cell r="D2260" t="str">
            <v>Gyalideopsis muscicola</v>
          </cell>
          <cell r="E2260" t="str">
            <v>LC</v>
          </cell>
          <cell r="F2260" t="str">
            <v>Woods &amp; Coppins, 2012</v>
          </cell>
          <cell r="G2260" t="str">
            <v>NHMSYS0001483325</v>
          </cell>
          <cell r="H2260" t="str">
            <v>Gyalideopsis muscicola</v>
          </cell>
        </row>
        <row r="2261">
          <cell r="A2261" t="str">
            <v>Haematomma ochroleucum var. ochroleucum, Haematomma ochroleucum var. porphyrium</v>
          </cell>
          <cell r="B2261" t="str">
            <v>Lichens</v>
          </cell>
          <cell r="C2261" t="str">
            <v>Mycophycophyta</v>
          </cell>
          <cell r="D2261" t="str">
            <v>Haematomma ochroleucum (var. ochroleucum/var. porphyrium)</v>
          </cell>
          <cell r="E2261" t="str">
            <v>LC</v>
          </cell>
          <cell r="F2261" t="str">
            <v>Woods &amp; Coppins, 2012</v>
          </cell>
          <cell r="G2261" t="str">
            <v>NHMSYS0001483484</v>
          </cell>
          <cell r="H2261" t="str">
            <v>Haematomma ochroleucum var. ochroleucum, Haematomma ochroleucum var. porphyrium</v>
          </cell>
        </row>
        <row r="2262">
          <cell r="A2262" t="str">
            <v>Halecania ralfsii</v>
          </cell>
          <cell r="B2262" t="str">
            <v>Lichens</v>
          </cell>
          <cell r="C2262" t="str">
            <v>Mycophycophyta</v>
          </cell>
          <cell r="D2262" t="str">
            <v>Halecania ralfsii</v>
          </cell>
          <cell r="E2262" t="str">
            <v>LC</v>
          </cell>
          <cell r="F2262" t="str">
            <v>Woods &amp; Coppins, 2012</v>
          </cell>
          <cell r="G2262" t="str">
            <v>NBNSYS0000018527</v>
          </cell>
          <cell r="H2262" t="str">
            <v>Halecania ralfsii</v>
          </cell>
        </row>
        <row r="2263">
          <cell r="A2263" t="str">
            <v>Halecania spodomela</v>
          </cell>
          <cell r="B2263" t="str">
            <v>Lichens</v>
          </cell>
          <cell r="C2263" t="str">
            <v>Mycophycophyta</v>
          </cell>
          <cell r="D2263" t="str">
            <v>Halecania spodomela</v>
          </cell>
          <cell r="E2263" t="str">
            <v>LC</v>
          </cell>
          <cell r="F2263" t="str">
            <v>Woods &amp; Coppins, 2012</v>
          </cell>
          <cell r="G2263" t="str">
            <v>NHMSYS0001483509</v>
          </cell>
          <cell r="H2263" t="str">
            <v>Halecania spodomela</v>
          </cell>
        </row>
        <row r="2264">
          <cell r="A2264" t="str">
            <v>Halecania viridescens</v>
          </cell>
          <cell r="B2264" t="str">
            <v>Lichens</v>
          </cell>
          <cell r="C2264" t="str">
            <v>Mycophycophyta</v>
          </cell>
          <cell r="D2264" t="str">
            <v>Halecania viridescens</v>
          </cell>
          <cell r="E2264" t="str">
            <v>LC</v>
          </cell>
          <cell r="F2264" t="str">
            <v>Woods &amp; Coppins, 2012</v>
          </cell>
          <cell r="G2264" t="str">
            <v>NHMSYS0001483510</v>
          </cell>
          <cell r="H2264" t="str">
            <v>Halecania viridescens</v>
          </cell>
        </row>
        <row r="2265">
          <cell r="A2265" t="str">
            <v>Herteliana gagei</v>
          </cell>
          <cell r="B2265" t="str">
            <v>Lichens</v>
          </cell>
          <cell r="C2265" t="str">
            <v>Mycophycophyta</v>
          </cell>
          <cell r="D2265" t="str">
            <v>Herteliana gagei</v>
          </cell>
          <cell r="E2265" t="str">
            <v>LC</v>
          </cell>
          <cell r="F2265" t="str">
            <v>Woods &amp; Coppins, 2012</v>
          </cell>
          <cell r="G2265" t="str">
            <v>NHMSYS0019999615</v>
          </cell>
          <cell r="H2265" t="str">
            <v>Herteliana gagei</v>
          </cell>
        </row>
        <row r="2266">
          <cell r="A2266" t="str">
            <v>Hertelidea botryosa</v>
          </cell>
          <cell r="B2266" t="str">
            <v>Lichens</v>
          </cell>
          <cell r="C2266" t="str">
            <v>Mycophycophyta</v>
          </cell>
          <cell r="D2266" t="str">
            <v>Hertelidea botryosa</v>
          </cell>
          <cell r="E2266" t="str">
            <v>NT</v>
          </cell>
          <cell r="F2266" t="str">
            <v>Woods &amp; Coppins, 2012</v>
          </cell>
          <cell r="G2266" t="str">
            <v>NHMSYS0001484063</v>
          </cell>
          <cell r="H2266" t="str">
            <v>Hertelidea botryosa</v>
          </cell>
        </row>
        <row r="2267">
          <cell r="A2267" t="str">
            <v>Heterodermia leucomela</v>
          </cell>
          <cell r="B2267" t="str">
            <v>Lichens</v>
          </cell>
          <cell r="C2267" t="str">
            <v>Mycophycophyta</v>
          </cell>
          <cell r="D2267" t="str">
            <v>Heterodermia leucomela</v>
          </cell>
          <cell r="E2267" t="str">
            <v>EN</v>
          </cell>
          <cell r="F2267" t="str">
            <v>Woods &amp; Coppins, 2012</v>
          </cell>
          <cell r="G2267" t="str">
            <v>NBNSYS0000018509</v>
          </cell>
          <cell r="H2267" t="str">
            <v>Heterodermia leucomela</v>
          </cell>
        </row>
        <row r="2268">
          <cell r="A2268" t="str">
            <v>Heterodermia obscurata</v>
          </cell>
          <cell r="B2268" t="str">
            <v>Lichens</v>
          </cell>
          <cell r="C2268" t="str">
            <v>Mycophycophyta</v>
          </cell>
          <cell r="D2268" t="str">
            <v>Heterodermia obscurata</v>
          </cell>
          <cell r="E2268" t="str">
            <v>NT</v>
          </cell>
          <cell r="F2268" t="str">
            <v>Woods &amp; Coppins, 2012</v>
          </cell>
          <cell r="G2268" t="str">
            <v>NBNSYS0000018510</v>
          </cell>
          <cell r="H2268" t="str">
            <v>Heterodermia obscurata</v>
          </cell>
        </row>
        <row r="2269">
          <cell r="A2269" t="str">
            <v>Heterodermia propagulifera</v>
          </cell>
          <cell r="B2269" t="str">
            <v>Lichens</v>
          </cell>
          <cell r="C2269" t="str">
            <v>Mycophycophyta</v>
          </cell>
          <cell r="D2269" t="str">
            <v>Heterodermia propagulifera</v>
          </cell>
          <cell r="E2269" t="str">
            <v>VU</v>
          </cell>
          <cell r="F2269" t="str">
            <v>Woods &amp; Coppins, 2012</v>
          </cell>
          <cell r="G2269" t="str">
            <v>BMSSYS0000046243</v>
          </cell>
          <cell r="H2269" t="str">
            <v>Heterodermia propagulifera</v>
          </cell>
        </row>
        <row r="2270">
          <cell r="A2270" t="str">
            <v>Heterodermia speciosa</v>
          </cell>
          <cell r="B2270" t="str">
            <v>Lichens</v>
          </cell>
          <cell r="C2270" t="str">
            <v>Mycophycophyta</v>
          </cell>
          <cell r="D2270" t="str">
            <v>Heterodermia speciosa</v>
          </cell>
          <cell r="E2270" t="str">
            <v>CR</v>
          </cell>
          <cell r="F2270" t="str">
            <v>Woods &amp; Coppins, 2012</v>
          </cell>
          <cell r="G2270" t="str">
            <v>NHMSYS0001484076</v>
          </cell>
          <cell r="H2270" t="str">
            <v>Heterodermia speciosa</v>
          </cell>
        </row>
        <row r="2271">
          <cell r="A2271" t="str">
            <v>Homostegia piggotii</v>
          </cell>
          <cell r="B2271" t="str">
            <v>Lichens</v>
          </cell>
          <cell r="C2271" t="str">
            <v>Mycophycophyta</v>
          </cell>
          <cell r="D2271" t="str">
            <v>Homostegia piggotii</v>
          </cell>
          <cell r="E2271" t="str">
            <v>LC</v>
          </cell>
          <cell r="F2271" t="str">
            <v>Woods &amp; Coppins, 2012</v>
          </cell>
          <cell r="G2271" t="str">
            <v>NBNSYS0000016113</v>
          </cell>
          <cell r="H2271" t="str">
            <v>Homostegia piggotii</v>
          </cell>
        </row>
        <row r="2272">
          <cell r="A2272" t="str">
            <v>Hymenelia epulotica</v>
          </cell>
          <cell r="B2272" t="str">
            <v>Lichens</v>
          </cell>
          <cell r="C2272" t="str">
            <v>Mycophycophyta</v>
          </cell>
          <cell r="D2272" t="str">
            <v>Hymenelia epulotica</v>
          </cell>
          <cell r="E2272" t="str">
            <v>LC</v>
          </cell>
          <cell r="F2272" t="str">
            <v>Woods &amp; Coppins, 2012</v>
          </cell>
          <cell r="G2272" t="str">
            <v>BMSSYS0000008467</v>
          </cell>
          <cell r="H2272" t="str">
            <v>Hymenelia epulotica</v>
          </cell>
        </row>
        <row r="2273">
          <cell r="A2273" t="str">
            <v>Hymenelia heteromorpha</v>
          </cell>
          <cell r="B2273" t="str">
            <v>Lichens</v>
          </cell>
          <cell r="C2273" t="str">
            <v>Mycophycophyta</v>
          </cell>
          <cell r="D2273" t="str">
            <v>Hymenelia heteromorpha</v>
          </cell>
          <cell r="E2273" t="str">
            <v>VU</v>
          </cell>
          <cell r="F2273" t="str">
            <v>Woods &amp; Coppins, 2012</v>
          </cell>
          <cell r="G2273" t="str">
            <v>BMSSYS0000008469</v>
          </cell>
          <cell r="H2273" t="str">
            <v>Hymenelia heteromorpha</v>
          </cell>
        </row>
        <row r="2274">
          <cell r="A2274" t="str">
            <v>Hymenelia melanocarpa</v>
          </cell>
          <cell r="B2274" t="str">
            <v>Lichens</v>
          </cell>
          <cell r="C2274" t="str">
            <v>Mycophycophyta</v>
          </cell>
          <cell r="D2274" t="str">
            <v>Hymenelia melanocarpa</v>
          </cell>
          <cell r="E2274" t="str">
            <v>VU</v>
          </cell>
          <cell r="F2274" t="str">
            <v>Woods &amp; Coppins, 2012</v>
          </cell>
          <cell r="G2274" t="str">
            <v>BMSSYS0000008470</v>
          </cell>
          <cell r="H2274" t="str">
            <v>Hymenelia melanocarpa</v>
          </cell>
        </row>
        <row r="2275">
          <cell r="A2275" t="str">
            <v>Hymenelia prevostii</v>
          </cell>
          <cell r="B2275" t="str">
            <v>Lichens</v>
          </cell>
          <cell r="C2275" t="str">
            <v>Mycophycophyta</v>
          </cell>
          <cell r="D2275" t="str">
            <v>Hymenelia prevostii</v>
          </cell>
          <cell r="E2275" t="str">
            <v>LC</v>
          </cell>
          <cell r="F2275" t="str">
            <v>Woods &amp; Coppins, 2012</v>
          </cell>
          <cell r="G2275" t="str">
            <v>NBNSYS0000018526</v>
          </cell>
          <cell r="H2275" t="str">
            <v>Hymenelia prevostii</v>
          </cell>
        </row>
        <row r="2276">
          <cell r="A2276" t="str">
            <v>Hyperphyscia adglutinata</v>
          </cell>
          <cell r="B2276" t="str">
            <v>Lichens</v>
          </cell>
          <cell r="C2276" t="str">
            <v>Mycophycophyta</v>
          </cell>
          <cell r="D2276" t="str">
            <v>Hyperphyscia adglutinata</v>
          </cell>
          <cell r="E2276" t="str">
            <v>LC</v>
          </cell>
          <cell r="F2276" t="str">
            <v>Woods &amp; Coppins, 2012</v>
          </cell>
          <cell r="G2276" t="str">
            <v>NHMSYS0001484847</v>
          </cell>
          <cell r="H2276" t="str">
            <v>Hyperphyscia adglutinata</v>
          </cell>
        </row>
        <row r="2277">
          <cell r="A2277" t="str">
            <v>Hypocenomyce caradocensis</v>
          </cell>
          <cell r="B2277" t="str">
            <v>Lichens</v>
          </cell>
          <cell r="C2277" t="str">
            <v>Mycophycophyta</v>
          </cell>
          <cell r="D2277" t="str">
            <v>Hypocenomyce caradocensis</v>
          </cell>
          <cell r="E2277" t="str">
            <v>LC</v>
          </cell>
          <cell r="F2277" t="str">
            <v>Woods &amp; Coppins, 2012</v>
          </cell>
          <cell r="G2277" t="str">
            <v>BMSSYS0000052659</v>
          </cell>
          <cell r="H2277" t="str">
            <v>Hypocenomyce caradocensis</v>
          </cell>
        </row>
        <row r="2278">
          <cell r="A2278" t="str">
            <v>Hypocenomyce friesii</v>
          </cell>
          <cell r="B2278" t="str">
            <v>Lichens</v>
          </cell>
          <cell r="C2278" t="str">
            <v>Mycophycophyta</v>
          </cell>
          <cell r="D2278" t="str">
            <v>Hypocenomyce friesii</v>
          </cell>
          <cell r="E2278" t="str">
            <v>LC</v>
          </cell>
          <cell r="F2278" t="str">
            <v>Woods &amp; Coppins, 2012</v>
          </cell>
          <cell r="G2278" t="str">
            <v>BMSSYS0000052660</v>
          </cell>
          <cell r="H2278" t="str">
            <v>Hypocenomyce friesii</v>
          </cell>
        </row>
        <row r="2279">
          <cell r="A2279" t="str">
            <v>Hypocenomyce scalaris</v>
          </cell>
          <cell r="B2279" t="str">
            <v>Lichens</v>
          </cell>
          <cell r="C2279" t="str">
            <v>Mycophycophyta</v>
          </cell>
          <cell r="D2279" t="str">
            <v>Hypocenomyce scalaris</v>
          </cell>
          <cell r="E2279" t="str">
            <v>LC</v>
          </cell>
          <cell r="F2279" t="str">
            <v>Woods &amp; Coppins, 2012</v>
          </cell>
          <cell r="G2279" t="str">
            <v>NHMSYS0001484977</v>
          </cell>
          <cell r="H2279" t="str">
            <v>Hypocenomyce scalaris</v>
          </cell>
        </row>
        <row r="2280">
          <cell r="A2280" t="str">
            <v>Hypogymnia farinacea</v>
          </cell>
          <cell r="B2280" t="str">
            <v>Lichens</v>
          </cell>
          <cell r="C2280" t="str">
            <v>Mycophycophyta</v>
          </cell>
          <cell r="D2280" t="str">
            <v>Hypogymnia farinacea</v>
          </cell>
          <cell r="E2280" t="str">
            <v>NT</v>
          </cell>
          <cell r="F2280" t="str">
            <v>Woods &amp; Coppins, 2012</v>
          </cell>
          <cell r="G2280" t="str">
            <v>NBNSYS0000018534</v>
          </cell>
          <cell r="H2280" t="str">
            <v>Hypogymnia farinacea</v>
          </cell>
        </row>
        <row r="2281">
          <cell r="A2281" t="str">
            <v>Hypogymnia physodes</v>
          </cell>
          <cell r="B2281" t="str">
            <v>Lichens</v>
          </cell>
          <cell r="C2281" t="str">
            <v>Mycophycophyta</v>
          </cell>
          <cell r="D2281" t="str">
            <v>Hypogymnia physodes</v>
          </cell>
          <cell r="E2281" t="str">
            <v>LC</v>
          </cell>
          <cell r="F2281" t="str">
            <v>Woods &amp; Coppins, 2012</v>
          </cell>
          <cell r="G2281" t="str">
            <v>NBNSYS0000018536</v>
          </cell>
          <cell r="H2281" t="str">
            <v>Hypogymnia physodes</v>
          </cell>
        </row>
        <row r="2282">
          <cell r="A2282" t="str">
            <v>Hypogymnia tubulosa</v>
          </cell>
          <cell r="B2282" t="str">
            <v>Lichens</v>
          </cell>
          <cell r="C2282" t="str">
            <v>Mycophycophyta</v>
          </cell>
          <cell r="D2282" t="str">
            <v>Hypogymnia tubulosa</v>
          </cell>
          <cell r="E2282" t="str">
            <v>LC</v>
          </cell>
          <cell r="F2282" t="str">
            <v>Woods &amp; Coppins, 2012</v>
          </cell>
          <cell r="G2282" t="str">
            <v>NHMSYS0001485079</v>
          </cell>
          <cell r="H2282" t="str">
            <v>Hypogymnia tubulosa</v>
          </cell>
        </row>
        <row r="2283">
          <cell r="A2283" t="str">
            <v>Hypotrachyna afrorevoluta</v>
          </cell>
          <cell r="B2283" t="str">
            <v>Lichens</v>
          </cell>
          <cell r="C2283" t="str">
            <v>Mycophycophyta</v>
          </cell>
          <cell r="D2283" t="str">
            <v>Hypotrachyna afrorevoluta</v>
          </cell>
          <cell r="E2283" t="str">
            <v>LC</v>
          </cell>
          <cell r="F2283" t="str">
            <v>Woods &amp; Coppins, 2012</v>
          </cell>
          <cell r="G2283" t="str">
            <v>NHMSYS0001485112</v>
          </cell>
          <cell r="H2283" t="str">
            <v>Hypotrachyna afrorevoluta</v>
          </cell>
        </row>
        <row r="2284">
          <cell r="A2284" t="str">
            <v>Hypotrachyna britannica</v>
          </cell>
          <cell r="B2284" t="str">
            <v>Lichens</v>
          </cell>
          <cell r="C2284" t="str">
            <v>Mycophycophyta</v>
          </cell>
          <cell r="D2284" t="str">
            <v>Hypotrachyna britannica</v>
          </cell>
          <cell r="E2284" t="str">
            <v>LC</v>
          </cell>
          <cell r="F2284" t="str">
            <v>Woods &amp; Coppins, 2012</v>
          </cell>
          <cell r="G2284" t="str">
            <v>NHMSYS0001485113</v>
          </cell>
          <cell r="H2284" t="str">
            <v>Hypotrachyna britannica</v>
          </cell>
        </row>
        <row r="2285">
          <cell r="A2285" t="str">
            <v>Hypotrachyna endochlora</v>
          </cell>
          <cell r="B2285" t="str">
            <v>Lichens</v>
          </cell>
          <cell r="C2285" t="str">
            <v>Mycophycophyta</v>
          </cell>
          <cell r="D2285" t="str">
            <v>Hypotrachyna endochlora</v>
          </cell>
          <cell r="E2285" t="str">
            <v>LC</v>
          </cell>
          <cell r="F2285" t="str">
            <v>Woods &amp; Coppins, 2012</v>
          </cell>
          <cell r="G2285" t="str">
            <v>NHMSYS0001485114</v>
          </cell>
          <cell r="H2285" t="str">
            <v>Hypotrachyna endochlora</v>
          </cell>
        </row>
        <row r="2286">
          <cell r="A2286" t="str">
            <v>Hypotrachyna laevigata</v>
          </cell>
          <cell r="B2286" t="str">
            <v>Lichens</v>
          </cell>
          <cell r="C2286" t="str">
            <v>Mycophycophyta</v>
          </cell>
          <cell r="D2286" t="str">
            <v>Hypotrachyna laevigata</v>
          </cell>
          <cell r="E2286" t="str">
            <v>LC</v>
          </cell>
          <cell r="F2286" t="str">
            <v>Woods &amp; Coppins, 2012</v>
          </cell>
          <cell r="G2286" t="str">
            <v>NBNSYS0000018884</v>
          </cell>
          <cell r="H2286" t="str">
            <v>Hypotrachyna laevigata</v>
          </cell>
        </row>
        <row r="2287">
          <cell r="A2287" t="str">
            <v>Hypotrachyna revoluta</v>
          </cell>
          <cell r="B2287" t="str">
            <v>Lichens</v>
          </cell>
          <cell r="C2287" t="str">
            <v>Mycophycophyta</v>
          </cell>
          <cell r="D2287" t="str">
            <v>Hypotrachyna revoluta</v>
          </cell>
          <cell r="E2287" t="str">
            <v>LC</v>
          </cell>
          <cell r="F2287" t="str">
            <v>Woods &amp; Coppins, 2012</v>
          </cell>
          <cell r="G2287" t="str">
            <v>NHMSYS0020987692</v>
          </cell>
          <cell r="H2287" t="str">
            <v>Hypotrachyna revoluta</v>
          </cell>
        </row>
        <row r="2288">
          <cell r="A2288" t="str">
            <v>Hypotrachyna sinuosa</v>
          </cell>
          <cell r="B2288" t="str">
            <v>Lichens</v>
          </cell>
          <cell r="C2288" t="str">
            <v>Mycophycophyta</v>
          </cell>
          <cell r="D2288" t="str">
            <v>Hypotrachyna sinuosa</v>
          </cell>
          <cell r="E2288" t="str">
            <v>LC</v>
          </cell>
          <cell r="F2288" t="str">
            <v>Woods &amp; Coppins, 2012</v>
          </cell>
          <cell r="G2288" t="str">
            <v>NBNSYS0000018899</v>
          </cell>
          <cell r="H2288" t="str">
            <v>Hypotrachyna sinuosa</v>
          </cell>
        </row>
        <row r="2289">
          <cell r="A2289" t="str">
            <v>Hypotrachyna taylorensis</v>
          </cell>
          <cell r="B2289" t="str">
            <v>Lichens</v>
          </cell>
          <cell r="C2289" t="str">
            <v>Mycophycophyta</v>
          </cell>
          <cell r="D2289" t="str">
            <v>Hypotrachyna taylorensis</v>
          </cell>
          <cell r="E2289" t="str">
            <v>LC</v>
          </cell>
          <cell r="F2289" t="str">
            <v>Woods &amp; Coppins, 2012</v>
          </cell>
          <cell r="G2289" t="str">
            <v>NHMSYS0001485116</v>
          </cell>
          <cell r="H2289" t="str">
            <v>Hypotrachyna taylorensis</v>
          </cell>
        </row>
        <row r="2290">
          <cell r="A2290" t="str">
            <v>Icmadophila ericetorum</v>
          </cell>
          <cell r="B2290" t="str">
            <v>Lichens</v>
          </cell>
          <cell r="C2290" t="str">
            <v>Mycophycophyta</v>
          </cell>
          <cell r="D2290" t="str">
            <v>Icmadophila ericetorum</v>
          </cell>
          <cell r="E2290" t="str">
            <v>LC</v>
          </cell>
          <cell r="F2290" t="str">
            <v>Woods &amp; Coppins, 2012</v>
          </cell>
          <cell r="G2290" t="str">
            <v>NBNSYS0000017478</v>
          </cell>
          <cell r="H2290" t="str">
            <v>Icmadophila ericetorum</v>
          </cell>
        </row>
        <row r="2291">
          <cell r="A2291" t="str">
            <v>Illosporiopsis christiansenii</v>
          </cell>
          <cell r="B2291" t="str">
            <v>Lichens</v>
          </cell>
          <cell r="C2291" t="str">
            <v>Mycophycophyta</v>
          </cell>
          <cell r="D2291" t="str">
            <v>Illosporiopsis christiansenii</v>
          </cell>
          <cell r="E2291" t="str">
            <v>LC</v>
          </cell>
          <cell r="F2291" t="str">
            <v>Woods &amp; Coppins, 2012</v>
          </cell>
          <cell r="G2291" t="str">
            <v>NHMSYS0001485215</v>
          </cell>
          <cell r="H2291" t="str">
            <v>Illosporiopsis christiansenii</v>
          </cell>
        </row>
        <row r="2292">
          <cell r="A2292" t="str">
            <v>Immersaria athroocarpa</v>
          </cell>
          <cell r="B2292" t="str">
            <v>Lichens</v>
          </cell>
          <cell r="C2292" t="str">
            <v>Mycophycophyta</v>
          </cell>
          <cell r="D2292" t="str">
            <v>Immersaria athroocarpa</v>
          </cell>
          <cell r="E2292" t="str">
            <v>LC</v>
          </cell>
          <cell r="F2292" t="str">
            <v>Woods &amp; Coppins, 2012</v>
          </cell>
          <cell r="G2292" t="str">
            <v>NBNSYS0000149501</v>
          </cell>
          <cell r="H2292" t="str">
            <v>Immersaria athroocarpa</v>
          </cell>
        </row>
        <row r="2293">
          <cell r="A2293" t="str">
            <v>Imshaugia aleurites</v>
          </cell>
          <cell r="B2293" t="str">
            <v>Lichens</v>
          </cell>
          <cell r="C2293" t="str">
            <v>Mycophycophyta</v>
          </cell>
          <cell r="D2293" t="str">
            <v>Imshaugia aleurites</v>
          </cell>
          <cell r="E2293" t="str">
            <v>LC</v>
          </cell>
          <cell r="F2293" t="str">
            <v>Woods &amp; Coppins, 2012</v>
          </cell>
          <cell r="G2293" t="str">
            <v>NHMSYS0001485229</v>
          </cell>
          <cell r="H2293" t="str">
            <v>Imshaugia aleurites</v>
          </cell>
        </row>
        <row r="2294">
          <cell r="A2294" t="str">
            <v>Intralichen christiansenii</v>
          </cell>
          <cell r="B2294" t="str">
            <v>Lichens</v>
          </cell>
          <cell r="C2294" t="str">
            <v>Mycophycophyta</v>
          </cell>
          <cell r="D2294" t="str">
            <v>Intralichen christiansenii</v>
          </cell>
          <cell r="E2294" t="str">
            <v>LC</v>
          </cell>
          <cell r="F2294" t="str">
            <v>Woods &amp; Coppins, 2012</v>
          </cell>
          <cell r="G2294" t="str">
            <v>NHMSYS0001485510</v>
          </cell>
          <cell r="H2294" t="str">
            <v>Intralichen christiansenii</v>
          </cell>
        </row>
        <row r="2295">
          <cell r="A2295" t="str">
            <v>Ionaspis lacustris</v>
          </cell>
          <cell r="B2295" t="str">
            <v>Lichens</v>
          </cell>
          <cell r="C2295" t="str">
            <v>Mycophycophyta</v>
          </cell>
          <cell r="D2295" t="str">
            <v>Ionaspis lacustris</v>
          </cell>
          <cell r="E2295" t="str">
            <v>LC</v>
          </cell>
          <cell r="F2295" t="str">
            <v>Woods &amp; Coppins, 2012</v>
          </cell>
          <cell r="G2295" t="str">
            <v>NHMSYS0001485520</v>
          </cell>
          <cell r="H2295" t="str">
            <v>Ionaspis lacustris</v>
          </cell>
        </row>
        <row r="2296">
          <cell r="A2296" t="str">
            <v>Ionaspis odora</v>
          </cell>
          <cell r="B2296" t="str">
            <v>Lichens</v>
          </cell>
          <cell r="C2296" t="str">
            <v>Mycophycophyta</v>
          </cell>
          <cell r="D2296" t="str">
            <v>Ionaspis odora</v>
          </cell>
          <cell r="E2296" t="str">
            <v>LC</v>
          </cell>
          <cell r="F2296" t="str">
            <v>Woods &amp; Coppins, 2012</v>
          </cell>
          <cell r="G2296" t="str">
            <v>NHMSYS0001485522</v>
          </cell>
          <cell r="H2296" t="str">
            <v>Ionaspis odora</v>
          </cell>
        </row>
        <row r="2297">
          <cell r="A2297" t="str">
            <v>Jamesiella anastomosans</v>
          </cell>
          <cell r="B2297" t="str">
            <v>Lichens</v>
          </cell>
          <cell r="C2297" t="str">
            <v>Mycophycophyta</v>
          </cell>
          <cell r="D2297" t="str">
            <v>Jamesiella anastomosans</v>
          </cell>
          <cell r="E2297" t="str">
            <v>LC</v>
          </cell>
          <cell r="F2297" t="str">
            <v>Woods &amp; Coppins, 2012</v>
          </cell>
          <cell r="G2297" t="str">
            <v>NHMSYS0020535583</v>
          </cell>
          <cell r="H2297" t="str">
            <v>Jamesiella anastomosans</v>
          </cell>
        </row>
        <row r="2298">
          <cell r="A2298" t="str">
            <v>Jamesiella scotica</v>
          </cell>
          <cell r="B2298" t="str">
            <v>Lichens</v>
          </cell>
          <cell r="C2298" t="str">
            <v>Mycophycophyta</v>
          </cell>
          <cell r="D2298" t="str">
            <v>Jamesiella scotica</v>
          </cell>
          <cell r="E2298" t="str">
            <v>NT</v>
          </cell>
          <cell r="F2298" t="str">
            <v>Woods &amp; Coppins, 2012</v>
          </cell>
          <cell r="G2298" t="str">
            <v>NHMSYS0020535584</v>
          </cell>
          <cell r="H2298" t="str">
            <v>Jamesiella scotica</v>
          </cell>
        </row>
        <row r="2299">
          <cell r="A2299" t="str">
            <v>Japewiella tavaresiana</v>
          </cell>
          <cell r="B2299" t="str">
            <v>Lichens</v>
          </cell>
          <cell r="C2299" t="str">
            <v>Mycophycophyta</v>
          </cell>
          <cell r="D2299" t="str">
            <v>Japewiella tavaresiana</v>
          </cell>
          <cell r="E2299" t="str">
            <v>LC</v>
          </cell>
          <cell r="F2299" t="str">
            <v>Woods &amp; Coppins, 2012</v>
          </cell>
          <cell r="G2299" t="str">
            <v>NHMSYS0001485585</v>
          </cell>
          <cell r="H2299" t="str">
            <v>Japewiella tavaresiana</v>
          </cell>
        </row>
        <row r="2300">
          <cell r="A2300" t="str">
            <v>Kalaallia reactiva</v>
          </cell>
          <cell r="B2300" t="str">
            <v>Lichens</v>
          </cell>
          <cell r="C2300" t="str">
            <v>Mycophycophyta</v>
          </cell>
          <cell r="D2300" t="str">
            <v>Kalaallia reactiva</v>
          </cell>
          <cell r="E2300" t="str">
            <v>LC</v>
          </cell>
          <cell r="F2300" t="str">
            <v>Woods &amp; Coppins, 2012</v>
          </cell>
          <cell r="G2300" t="str">
            <v>BMSSYS0000009057</v>
          </cell>
          <cell r="H2300" t="str">
            <v>Kalaallia reactiva</v>
          </cell>
        </row>
        <row r="2301">
          <cell r="A2301" t="str">
            <v>Kalchbrenneriella cyanescens</v>
          </cell>
          <cell r="B2301" t="str">
            <v>Lichens</v>
          </cell>
          <cell r="C2301" t="str">
            <v>Mycophycophyta</v>
          </cell>
          <cell r="D2301" t="str">
            <v>Kalchbrenneriella cyanescens</v>
          </cell>
          <cell r="E2301" t="str">
            <v>LC</v>
          </cell>
          <cell r="F2301" t="str">
            <v>Woods &amp; Coppins, 2012</v>
          </cell>
          <cell r="G2301" t="str">
            <v>NHMSYS0001485601</v>
          </cell>
          <cell r="H2301" t="str">
            <v>Kalchbrenneriella cyanescens</v>
          </cell>
        </row>
        <row r="2302">
          <cell r="A2302" t="str">
            <v>Koerberiella wimmeriana</v>
          </cell>
          <cell r="B2302" t="str">
            <v>Lichens</v>
          </cell>
          <cell r="C2302" t="str">
            <v>Mycophycophyta</v>
          </cell>
          <cell r="D2302" t="str">
            <v>Koerberiella wimmeriana</v>
          </cell>
          <cell r="E2302" t="str">
            <v>LC</v>
          </cell>
          <cell r="F2302" t="str">
            <v>Woods &amp; Coppins, 2012</v>
          </cell>
          <cell r="G2302" t="str">
            <v>NBNSYS0000018196</v>
          </cell>
          <cell r="H2302" t="str">
            <v>Koerberiella wimmeriana</v>
          </cell>
        </row>
        <row r="2303">
          <cell r="A2303" t="str">
            <v>Laeviomyces opegraphae</v>
          </cell>
          <cell r="B2303" t="str">
            <v>Lichens</v>
          </cell>
          <cell r="C2303" t="str">
            <v>Mycophycophyta</v>
          </cell>
          <cell r="D2303" t="str">
            <v>Laeviomyces opegraphae</v>
          </cell>
          <cell r="E2303" t="str">
            <v>LC</v>
          </cell>
          <cell r="F2303" t="str">
            <v>Woods &amp; Coppins, 2012</v>
          </cell>
          <cell r="G2303" t="str">
            <v>NHMSYS0001488362</v>
          </cell>
          <cell r="H2303" t="str">
            <v>Laeviomyces opegraphae</v>
          </cell>
        </row>
        <row r="2304">
          <cell r="A2304" t="str">
            <v>Laeviomyces pertusariicola</v>
          </cell>
          <cell r="B2304" t="str">
            <v>Lichens</v>
          </cell>
          <cell r="C2304" t="str">
            <v>Mycophycophyta</v>
          </cell>
          <cell r="D2304" t="str">
            <v>Laeviomyces pertusariicola</v>
          </cell>
          <cell r="E2304" t="str">
            <v>LC</v>
          </cell>
          <cell r="F2304" t="str">
            <v>Woods &amp; Coppins, 2012</v>
          </cell>
          <cell r="G2304" t="str">
            <v>NHMSYS0001488363</v>
          </cell>
          <cell r="H2304" t="str">
            <v>Laeviomyces pertusariicola</v>
          </cell>
        </row>
        <row r="2305">
          <cell r="A2305" t="str">
            <v>Lasallia pustulata</v>
          </cell>
          <cell r="B2305" t="str">
            <v>Lichens</v>
          </cell>
          <cell r="C2305" t="str">
            <v>Mycophycophyta</v>
          </cell>
          <cell r="D2305" t="str">
            <v>Lasallia pustulata</v>
          </cell>
          <cell r="E2305" t="str">
            <v>LC</v>
          </cell>
          <cell r="F2305" t="str">
            <v>Woods &amp; Coppins, 2012</v>
          </cell>
          <cell r="G2305" t="str">
            <v>NHMSYS0001486193</v>
          </cell>
          <cell r="H2305" t="str">
            <v>Lasallia pustulata</v>
          </cell>
        </row>
        <row r="2306">
          <cell r="A2306" t="str">
            <v>Lecanactis abietina</v>
          </cell>
          <cell r="B2306" t="str">
            <v>Lichens</v>
          </cell>
          <cell r="C2306" t="str">
            <v>Mycophycophyta</v>
          </cell>
          <cell r="D2306" t="str">
            <v>Lecanactis abietina</v>
          </cell>
          <cell r="E2306" t="str">
            <v>LC</v>
          </cell>
          <cell r="F2306" t="str">
            <v>Woods &amp; Coppins, 2012</v>
          </cell>
          <cell r="G2306" t="str">
            <v>NHMSYS0001486261</v>
          </cell>
          <cell r="H2306" t="str">
            <v>Lecanactis abietina</v>
          </cell>
        </row>
        <row r="2307">
          <cell r="A2307" t="str">
            <v>Lecanactis dilleniana</v>
          </cell>
          <cell r="B2307" t="str">
            <v>Lichens</v>
          </cell>
          <cell r="C2307" t="str">
            <v>Mycophycophyta</v>
          </cell>
          <cell r="D2307" t="str">
            <v>Lecanactis dilleniana</v>
          </cell>
          <cell r="E2307" t="str">
            <v>LC</v>
          </cell>
          <cell r="F2307" t="str">
            <v>Woods &amp; Coppins, 2012</v>
          </cell>
          <cell r="G2307" t="str">
            <v>BMSSYS0000046983</v>
          </cell>
          <cell r="H2307" t="str">
            <v>Lecanactis dilleniana</v>
          </cell>
        </row>
        <row r="2308">
          <cell r="A2308" t="str">
            <v>Lecanactis latebrarum</v>
          </cell>
          <cell r="B2308" t="str">
            <v>Lichens</v>
          </cell>
          <cell r="C2308" t="str">
            <v>Mycophycophyta</v>
          </cell>
          <cell r="D2308" t="str">
            <v>Lecanactis latebrarum</v>
          </cell>
          <cell r="E2308" t="str">
            <v>LC</v>
          </cell>
          <cell r="F2308" t="str">
            <v>Woods &amp; Coppins, 2012</v>
          </cell>
          <cell r="G2308" t="str">
            <v>NHMSYS0020990169</v>
          </cell>
          <cell r="H2308" t="str">
            <v>Lecanactis latebrarum</v>
          </cell>
        </row>
        <row r="2309">
          <cell r="A2309" t="str">
            <v>Lecanactis subabietina</v>
          </cell>
          <cell r="B2309" t="str">
            <v>Lichens</v>
          </cell>
          <cell r="C2309" t="str">
            <v>Mycophycophyta</v>
          </cell>
          <cell r="D2309" t="str">
            <v>Lecanactis subabietina</v>
          </cell>
          <cell r="E2309" t="str">
            <v>LC</v>
          </cell>
          <cell r="F2309" t="str">
            <v>Woods &amp; Coppins, 2012</v>
          </cell>
          <cell r="G2309" t="str">
            <v>BMSSYS0000046691</v>
          </cell>
          <cell r="H2309" t="str">
            <v>Lecanactis subabietina</v>
          </cell>
        </row>
        <row r="2310">
          <cell r="A2310" t="str">
            <v>Lecania aipospila</v>
          </cell>
          <cell r="B2310" t="str">
            <v>Lichens</v>
          </cell>
          <cell r="C2310" t="str">
            <v>Mycophycophyta</v>
          </cell>
          <cell r="D2310" t="str">
            <v>Lecania aipospila</v>
          </cell>
          <cell r="E2310" t="str">
            <v>LC</v>
          </cell>
          <cell r="F2310" t="str">
            <v>Woods &amp; Coppins, 2012</v>
          </cell>
          <cell r="G2310" t="str">
            <v>NHMSYS0001486270</v>
          </cell>
          <cell r="H2310" t="str">
            <v>Lecania aipospila</v>
          </cell>
        </row>
        <row r="2311">
          <cell r="A2311" t="str">
            <v>Lecania atrynoides</v>
          </cell>
          <cell r="B2311" t="str">
            <v>Lichens</v>
          </cell>
          <cell r="C2311" t="str">
            <v>Mycophycophyta</v>
          </cell>
          <cell r="D2311" t="str">
            <v>Lecania atrynoides</v>
          </cell>
          <cell r="E2311" t="str">
            <v>LC</v>
          </cell>
          <cell r="F2311" t="str">
            <v>Woods &amp; Coppins, 2012</v>
          </cell>
          <cell r="G2311" t="str">
            <v>NBNSYS0000018549</v>
          </cell>
          <cell r="H2311" t="str">
            <v>Lecania atrynoides</v>
          </cell>
        </row>
        <row r="2312">
          <cell r="A2312" t="str">
            <v>Lecania baeomma</v>
          </cell>
          <cell r="B2312" t="str">
            <v>Lichens</v>
          </cell>
          <cell r="C2312" t="str">
            <v>Mycophycophyta</v>
          </cell>
          <cell r="D2312" t="str">
            <v>Lecania baeomma</v>
          </cell>
          <cell r="E2312" t="str">
            <v>LC</v>
          </cell>
          <cell r="F2312" t="str">
            <v>Woods &amp; Coppins, 2012</v>
          </cell>
          <cell r="G2312" t="str">
            <v>NBNSYS0000018550</v>
          </cell>
          <cell r="H2312" t="str">
            <v>Lecania baeomma</v>
          </cell>
        </row>
        <row r="2313">
          <cell r="A2313" t="str">
            <v>Lecania chlorotiza</v>
          </cell>
          <cell r="B2313" t="str">
            <v>Lichens</v>
          </cell>
          <cell r="C2313" t="str">
            <v>Mycophycophyta</v>
          </cell>
          <cell r="D2313" t="str">
            <v>Lecania chlorotiza</v>
          </cell>
          <cell r="E2313" t="str">
            <v>NT</v>
          </cell>
          <cell r="F2313" t="str">
            <v>Woods &amp; Coppins, 2012</v>
          </cell>
          <cell r="G2313" t="str">
            <v>NBNSYS0000018312</v>
          </cell>
          <cell r="H2313" t="str">
            <v>Lecania chlorotiza</v>
          </cell>
        </row>
        <row r="2314">
          <cell r="A2314" t="str">
            <v>Lecania coeruleorubella</v>
          </cell>
          <cell r="B2314" t="str">
            <v>Lichens</v>
          </cell>
          <cell r="C2314" t="str">
            <v>Mycophycophyta</v>
          </cell>
          <cell r="D2314" t="str">
            <v>Lecania coeruleorubella</v>
          </cell>
          <cell r="E2314" t="str">
            <v>EX</v>
          </cell>
          <cell r="F2314" t="str">
            <v>Woods &amp; Coppins, 2012</v>
          </cell>
          <cell r="G2314" t="str">
            <v>NBNSYS0000039643</v>
          </cell>
          <cell r="H2314" t="str">
            <v>Lecania coeruleorubella</v>
          </cell>
        </row>
        <row r="2315">
          <cell r="A2315" t="str">
            <v>Lecania cuprea</v>
          </cell>
          <cell r="B2315" t="str">
            <v>Lichens</v>
          </cell>
          <cell r="C2315" t="str">
            <v>Mycophycophyta</v>
          </cell>
          <cell r="D2315" t="str">
            <v>Lecania cuprea</v>
          </cell>
          <cell r="E2315" t="str">
            <v>LC</v>
          </cell>
          <cell r="F2315" t="str">
            <v>Woods &amp; Coppins, 2012</v>
          </cell>
          <cell r="G2315" t="str">
            <v>NHMSYS0001486274</v>
          </cell>
          <cell r="H2315" t="str">
            <v>Lecania cuprea</v>
          </cell>
        </row>
        <row r="2316">
          <cell r="A2316" t="str">
            <v>Lecania cyrtella</v>
          </cell>
          <cell r="B2316" t="str">
            <v>Lichens</v>
          </cell>
          <cell r="C2316" t="str">
            <v>Mycophycophyta</v>
          </cell>
          <cell r="D2316" t="str">
            <v>Lecania cyrtella</v>
          </cell>
          <cell r="E2316" t="str">
            <v>LC</v>
          </cell>
          <cell r="F2316" t="str">
            <v>Woods &amp; Coppins, 2012</v>
          </cell>
          <cell r="G2316" t="str">
            <v>NHMSYS0001486275</v>
          </cell>
          <cell r="H2316" t="str">
            <v>Lecania cyrtella</v>
          </cell>
        </row>
        <row r="2317">
          <cell r="A2317" t="str">
            <v>Lecania cyrtellina</v>
          </cell>
          <cell r="B2317" t="str">
            <v>Lichens</v>
          </cell>
          <cell r="C2317" t="str">
            <v>Mycophycophyta</v>
          </cell>
          <cell r="D2317" t="str">
            <v>Lecania cyrtellina</v>
          </cell>
          <cell r="E2317" t="str">
            <v>LC</v>
          </cell>
          <cell r="F2317" t="str">
            <v>Woods &amp; Coppins, 2012</v>
          </cell>
          <cell r="G2317" t="str">
            <v>NBNSYS0000018552</v>
          </cell>
          <cell r="H2317" t="str">
            <v>Lecania cyrtellina</v>
          </cell>
        </row>
        <row r="2318">
          <cell r="A2318" t="str">
            <v>Lecania erysibe</v>
          </cell>
          <cell r="B2318" t="str">
            <v>Lichens</v>
          </cell>
          <cell r="C2318" t="str">
            <v>Mycophycophyta</v>
          </cell>
          <cell r="D2318" t="str">
            <v>Lecania erysibe</v>
          </cell>
          <cell r="E2318" t="str">
            <v>LC</v>
          </cell>
          <cell r="F2318" t="str">
            <v>Woods &amp; Coppins, 2012</v>
          </cell>
          <cell r="G2318" t="str">
            <v>NHMSYS0020987696</v>
          </cell>
          <cell r="H2318" t="str">
            <v>Lecania erysibe</v>
          </cell>
        </row>
        <row r="2319">
          <cell r="A2319" t="str">
            <v>Lecania fructigena</v>
          </cell>
          <cell r="B2319" t="str">
            <v>Lichens</v>
          </cell>
          <cell r="C2319" t="str">
            <v>Mycophycophyta</v>
          </cell>
          <cell r="D2319" t="str">
            <v>Lecania fructigena</v>
          </cell>
          <cell r="E2319" t="str">
            <v>LC</v>
          </cell>
          <cell r="F2319" t="str">
            <v>Woods &amp; Coppins, 2012</v>
          </cell>
          <cell r="G2319" t="str">
            <v>NHMSYS0020039020</v>
          </cell>
          <cell r="H2319" t="str">
            <v>Lecania fructigena</v>
          </cell>
        </row>
        <row r="2320">
          <cell r="A2320" t="str">
            <v>Lecania fuscella</v>
          </cell>
          <cell r="B2320" t="str">
            <v>Lichens</v>
          </cell>
          <cell r="C2320" t="str">
            <v>Mycophycophyta</v>
          </cell>
          <cell r="D2320" t="str">
            <v>Lecania fuscella</v>
          </cell>
          <cell r="E2320" t="str">
            <v>EX</v>
          </cell>
          <cell r="F2320" t="str">
            <v>Woods &amp; Coppins, 2012</v>
          </cell>
          <cell r="G2320" t="str">
            <v>NBNSYS0000018556</v>
          </cell>
          <cell r="H2320" t="str">
            <v>Lecania fuscella</v>
          </cell>
        </row>
        <row r="2321">
          <cell r="A2321" t="str">
            <v>Lecania hutchinsiae</v>
          </cell>
          <cell r="B2321" t="str">
            <v>Lichens</v>
          </cell>
          <cell r="C2321" t="str">
            <v>Mycophycophyta</v>
          </cell>
          <cell r="D2321" t="str">
            <v>Lecania hutchinsiae</v>
          </cell>
          <cell r="E2321" t="str">
            <v>LC</v>
          </cell>
          <cell r="F2321" t="str">
            <v>Woods &amp; Coppins, 2012</v>
          </cell>
          <cell r="G2321" t="str">
            <v>NHMSYS0001486279</v>
          </cell>
          <cell r="H2321" t="str">
            <v>Lecania hutchinsiae</v>
          </cell>
        </row>
        <row r="2322">
          <cell r="A2322" t="str">
            <v>Lecania inundata</v>
          </cell>
          <cell r="B2322" t="str">
            <v>Lichens</v>
          </cell>
          <cell r="C2322" t="str">
            <v>Mycophycophyta</v>
          </cell>
          <cell r="D2322" t="str">
            <v>Lecania inundata</v>
          </cell>
          <cell r="E2322" t="str">
            <v>LC</v>
          </cell>
          <cell r="F2322" t="str">
            <v>Woods &amp; Coppins, 2012</v>
          </cell>
          <cell r="G2322" t="str">
            <v>NHMSYS0001486281</v>
          </cell>
          <cell r="H2322" t="str">
            <v>Lecania inundata</v>
          </cell>
        </row>
        <row r="2323">
          <cell r="A2323" t="str">
            <v>Lecania naegelii</v>
          </cell>
          <cell r="B2323" t="str">
            <v>Lichens</v>
          </cell>
          <cell r="C2323" t="str">
            <v>Mycophycophyta</v>
          </cell>
          <cell r="D2323" t="str">
            <v>Lecania naegelii</v>
          </cell>
          <cell r="E2323" t="str">
            <v>LC</v>
          </cell>
          <cell r="F2323" t="str">
            <v>Woods &amp; Coppins, 2012</v>
          </cell>
          <cell r="G2323" t="str">
            <v>BMSSYS0000009425</v>
          </cell>
          <cell r="H2323" t="str">
            <v>Lecania naegelii</v>
          </cell>
        </row>
        <row r="2324">
          <cell r="A2324" t="str">
            <v>Lecania olivacella</v>
          </cell>
          <cell r="B2324" t="str">
            <v>Lichens</v>
          </cell>
          <cell r="C2324" t="str">
            <v>Mycophycophyta</v>
          </cell>
          <cell r="D2324" t="str">
            <v>Lecania olivacella</v>
          </cell>
          <cell r="E2324" t="str">
            <v>EX</v>
          </cell>
          <cell r="F2324" t="str">
            <v>Woods &amp; Coppins, 2012</v>
          </cell>
          <cell r="G2324" t="str">
            <v>NBNSYS0000039647</v>
          </cell>
          <cell r="H2324" t="str">
            <v>Lecania olivacella</v>
          </cell>
        </row>
        <row r="2325">
          <cell r="A2325" t="str">
            <v>Lecania rabenhorstii</v>
          </cell>
          <cell r="B2325" t="str">
            <v>Lichens</v>
          </cell>
          <cell r="C2325" t="str">
            <v>Mycophycophyta</v>
          </cell>
          <cell r="D2325" t="str">
            <v>Lecania rabenhorstii</v>
          </cell>
          <cell r="E2325" t="str">
            <v>LC</v>
          </cell>
          <cell r="F2325" t="str">
            <v>Woods &amp; Coppins, 2012</v>
          </cell>
          <cell r="G2325" t="str">
            <v>NBNSYS0000039648</v>
          </cell>
          <cell r="H2325" t="str">
            <v>Lecania rabenhorstii</v>
          </cell>
        </row>
        <row r="2326">
          <cell r="A2326" t="str">
            <v>Lecania subfuscula</v>
          </cell>
          <cell r="B2326" t="str">
            <v>Lichens</v>
          </cell>
          <cell r="C2326" t="str">
            <v>Mycophycophyta</v>
          </cell>
          <cell r="D2326" t="str">
            <v>Lecania subfuscula</v>
          </cell>
          <cell r="E2326" t="str">
            <v>LC</v>
          </cell>
          <cell r="F2326" t="str">
            <v>Woods &amp; Coppins, 2012</v>
          </cell>
          <cell r="G2326" t="str">
            <v>NHMSYS0001486288</v>
          </cell>
          <cell r="H2326" t="str">
            <v>Lecania subfuscula</v>
          </cell>
        </row>
        <row r="2327">
          <cell r="A2327" t="str">
            <v>Lecania sylvestris</v>
          </cell>
          <cell r="B2327" t="str">
            <v>Lichens</v>
          </cell>
          <cell r="C2327" t="str">
            <v>Mycophycophyta</v>
          </cell>
          <cell r="D2327" t="str">
            <v>Lecania sylvestris</v>
          </cell>
          <cell r="E2327" t="str">
            <v>LC</v>
          </cell>
          <cell r="F2327" t="str">
            <v>Woods &amp; Coppins, 2012</v>
          </cell>
          <cell r="G2327" t="str">
            <v>NBNSYS0000039645</v>
          </cell>
          <cell r="H2327" t="str">
            <v>Lecania sylvestris</v>
          </cell>
        </row>
        <row r="2328">
          <cell r="A2328" t="str">
            <v>Lecania turicensis</v>
          </cell>
          <cell r="B2328" t="str">
            <v>Lichens</v>
          </cell>
          <cell r="C2328" t="str">
            <v>Mycophycophyta</v>
          </cell>
          <cell r="D2328" t="str">
            <v>Lecania turicensis</v>
          </cell>
          <cell r="E2328" t="str">
            <v>LC</v>
          </cell>
          <cell r="F2328" t="str">
            <v>Woods &amp; Coppins, 2012</v>
          </cell>
          <cell r="G2328" t="str">
            <v>NHMSYS0001486290</v>
          </cell>
          <cell r="H2328" t="str">
            <v>Lecania turicensis</v>
          </cell>
        </row>
        <row r="2329">
          <cell r="A2329" t="str">
            <v>Lecanographa amylacea</v>
          </cell>
          <cell r="B2329" t="str">
            <v>Lichens</v>
          </cell>
          <cell r="C2329" t="str">
            <v>Mycophycophyta</v>
          </cell>
          <cell r="D2329" t="str">
            <v>Lecanographa amylacea</v>
          </cell>
          <cell r="E2329" t="str">
            <v>VU</v>
          </cell>
          <cell r="F2329" t="str">
            <v>Woods &amp; Coppins, 2012</v>
          </cell>
          <cell r="G2329" t="str">
            <v>BMSSYS0000009442</v>
          </cell>
          <cell r="H2329" t="str">
            <v>Lecanographa amylacea</v>
          </cell>
        </row>
        <row r="2330">
          <cell r="A2330" t="str">
            <v>Lecanographa dialeuca</v>
          </cell>
          <cell r="B2330" t="str">
            <v>Lichens</v>
          </cell>
          <cell r="C2330" t="str">
            <v>Mycophycophyta</v>
          </cell>
          <cell r="D2330" t="str">
            <v>Lecanographa dialeuca</v>
          </cell>
          <cell r="E2330" t="str">
            <v>VU</v>
          </cell>
          <cell r="F2330" t="str">
            <v>Woods &amp; Coppins, 2012</v>
          </cell>
          <cell r="G2330" t="str">
            <v>NHMSYS0020039021</v>
          </cell>
          <cell r="H2330" t="str">
            <v>Lecanographa dialeuca</v>
          </cell>
        </row>
        <row r="2331">
          <cell r="A2331" t="str">
            <v>Lecanographa grumulosa</v>
          </cell>
          <cell r="B2331" t="str">
            <v>Lichens</v>
          </cell>
          <cell r="C2331" t="str">
            <v>Mycophycophyta</v>
          </cell>
          <cell r="D2331" t="str">
            <v>Lecanographa grumulosa</v>
          </cell>
          <cell r="E2331" t="str">
            <v>LC</v>
          </cell>
          <cell r="F2331" t="str">
            <v>Woods &amp; Coppins, 2012</v>
          </cell>
          <cell r="G2331" t="str">
            <v>NHMSYS0020990695</v>
          </cell>
          <cell r="H2331" t="str">
            <v>Lecanographa grumulosa</v>
          </cell>
        </row>
        <row r="2332">
          <cell r="A2332" t="str">
            <v>Lecanographa lyncea</v>
          </cell>
          <cell r="B2332" t="str">
            <v>Lichens</v>
          </cell>
          <cell r="C2332" t="str">
            <v>Mycophycophyta</v>
          </cell>
          <cell r="D2332" t="str">
            <v>Lecanographa lyncea</v>
          </cell>
          <cell r="E2332" t="str">
            <v>LC</v>
          </cell>
          <cell r="F2332" t="str">
            <v>Woods &amp; Coppins, 2012</v>
          </cell>
          <cell r="G2332" t="str">
            <v>BMSSYS0000009445</v>
          </cell>
          <cell r="H2332" t="str">
            <v>Lecanographa lyncea</v>
          </cell>
        </row>
        <row r="2333">
          <cell r="A2333" t="str">
            <v>Lecanora achariana</v>
          </cell>
          <cell r="B2333" t="str">
            <v>Lichens</v>
          </cell>
          <cell r="C2333" t="str">
            <v>Mycophycophyta</v>
          </cell>
          <cell r="D2333" t="str">
            <v>Lecanora achariana</v>
          </cell>
          <cell r="E2333" t="str">
            <v>CR</v>
          </cell>
          <cell r="F2333" t="str">
            <v>Woods &amp; Coppins, 2012</v>
          </cell>
          <cell r="G2333" t="str">
            <v>NBNSYS0000018560</v>
          </cell>
          <cell r="H2333" t="str">
            <v>Lecanora achariana</v>
          </cell>
        </row>
        <row r="2334">
          <cell r="A2334" t="str">
            <v>Lecanora actophila</v>
          </cell>
          <cell r="B2334" t="str">
            <v>Lichens</v>
          </cell>
          <cell r="C2334" t="str">
            <v>Mycophycophyta</v>
          </cell>
          <cell r="D2334" t="str">
            <v>Lecanora actophila</v>
          </cell>
          <cell r="E2334" t="str">
            <v>LC</v>
          </cell>
          <cell r="F2334" t="str">
            <v>Woods &amp; Coppins, 2012</v>
          </cell>
          <cell r="G2334" t="str">
            <v>BMSSYS0000533988</v>
          </cell>
          <cell r="H2334" t="str">
            <v>Lecanora actophila</v>
          </cell>
        </row>
        <row r="2335">
          <cell r="A2335" t="str">
            <v>Lecanora aitema</v>
          </cell>
          <cell r="B2335" t="str">
            <v>Lichens</v>
          </cell>
          <cell r="C2335" t="str">
            <v>Mycophycophyta</v>
          </cell>
          <cell r="D2335" t="str">
            <v>Lecanora aitema</v>
          </cell>
          <cell r="E2335" t="str">
            <v>LC</v>
          </cell>
          <cell r="F2335" t="str">
            <v>Woods &amp; Coppins, 2012</v>
          </cell>
          <cell r="G2335" t="str">
            <v>NBNSYS0000018563</v>
          </cell>
          <cell r="H2335" t="str">
            <v>Lecanora aitema</v>
          </cell>
        </row>
        <row r="2336">
          <cell r="A2336" t="str">
            <v>Lecanora albella</v>
          </cell>
          <cell r="B2336" t="str">
            <v>Lichens</v>
          </cell>
          <cell r="C2336" t="str">
            <v>Mycophycophyta</v>
          </cell>
          <cell r="D2336" t="str">
            <v>Lecanora albella</v>
          </cell>
          <cell r="E2336" t="str">
            <v>LC</v>
          </cell>
          <cell r="F2336" t="str">
            <v>Woods &amp; Coppins, 2012</v>
          </cell>
          <cell r="G2336" t="str">
            <v>BMSSYS0000009449</v>
          </cell>
          <cell r="H2336" t="str">
            <v>Lecanora albella</v>
          </cell>
        </row>
        <row r="2337">
          <cell r="A2337" t="str">
            <v>Lecanora albescens</v>
          </cell>
          <cell r="B2337" t="str">
            <v>Lichens</v>
          </cell>
          <cell r="C2337" t="str">
            <v>Mycophycophyta</v>
          </cell>
          <cell r="D2337" t="str">
            <v>Lecanora albescens</v>
          </cell>
          <cell r="E2337" t="str">
            <v>LC</v>
          </cell>
          <cell r="F2337" t="str">
            <v>Woods &amp; Coppins, 2012</v>
          </cell>
          <cell r="G2337" t="str">
            <v>BMSSYS0000048292</v>
          </cell>
          <cell r="H2337" t="str">
            <v>Lecanora albescens</v>
          </cell>
        </row>
        <row r="2338">
          <cell r="A2338" t="str">
            <v>Lecanora alboflavida</v>
          </cell>
          <cell r="B2338" t="str">
            <v>Lichens</v>
          </cell>
          <cell r="C2338" t="str">
            <v>Mycophycophyta</v>
          </cell>
          <cell r="D2338" t="str">
            <v>Lecanora alboflavida</v>
          </cell>
          <cell r="E2338" t="str">
            <v>LC</v>
          </cell>
          <cell r="F2338" t="str">
            <v>Woods &amp; Coppins, 2012</v>
          </cell>
          <cell r="G2338" t="str">
            <v>NBNSYS0000018565</v>
          </cell>
          <cell r="H2338" t="str">
            <v>Lecanora alboflavida</v>
          </cell>
        </row>
        <row r="2339">
          <cell r="A2339" t="str">
            <v>Lecanora andrewii</v>
          </cell>
          <cell r="B2339" t="str">
            <v>Lichens</v>
          </cell>
          <cell r="C2339" t="str">
            <v>Mycophycophyta</v>
          </cell>
          <cell r="D2339" t="str">
            <v>Lecanora andrewii</v>
          </cell>
          <cell r="E2339" t="str">
            <v>LC</v>
          </cell>
          <cell r="F2339" t="str">
            <v>Woods &amp; Coppins, 2012</v>
          </cell>
          <cell r="G2339" t="str">
            <v>BMSSYS0000048293</v>
          </cell>
          <cell r="H2339" t="str">
            <v>Lecanora andrewii</v>
          </cell>
        </row>
        <row r="2340">
          <cell r="A2340" t="str">
            <v>Lecanora antiqua</v>
          </cell>
          <cell r="B2340" t="str">
            <v>Lichens</v>
          </cell>
          <cell r="C2340" t="str">
            <v>Mycophycophyta</v>
          </cell>
          <cell r="D2340" t="str">
            <v>Lecanora antiqua</v>
          </cell>
          <cell r="E2340" t="str">
            <v>LC</v>
          </cell>
          <cell r="F2340" t="str">
            <v>Woods &amp; Coppins, 2012</v>
          </cell>
          <cell r="G2340" t="str">
            <v>BMSSYS0000048294</v>
          </cell>
          <cell r="H2340" t="str">
            <v>Lecanora antiqua</v>
          </cell>
        </row>
        <row r="2341">
          <cell r="A2341" t="str">
            <v>Lecanora argentata</v>
          </cell>
          <cell r="B2341" t="str">
            <v>Lichens</v>
          </cell>
          <cell r="C2341" t="str">
            <v>Mycophycophyta</v>
          </cell>
          <cell r="D2341" t="str">
            <v>Lecanora argentata</v>
          </cell>
          <cell r="E2341" t="str">
            <v>LC</v>
          </cell>
          <cell r="F2341" t="str">
            <v>Woods &amp; Coppins, 2012</v>
          </cell>
          <cell r="G2341" t="str">
            <v>NBNSYS0000018568</v>
          </cell>
          <cell r="H2341" t="str">
            <v>Lecanora argentata</v>
          </cell>
        </row>
        <row r="2342">
          <cell r="A2342" t="str">
            <v>Lecanora barkmaniana</v>
          </cell>
          <cell r="B2342" t="str">
            <v>Lichens</v>
          </cell>
          <cell r="C2342" t="str">
            <v>Mycophycophyta</v>
          </cell>
          <cell r="D2342" t="str">
            <v>Lecanora barkmaniana</v>
          </cell>
          <cell r="E2342" t="str">
            <v>LC</v>
          </cell>
          <cell r="F2342" t="str">
            <v>Woods &amp; Coppins, 2012</v>
          </cell>
          <cell r="G2342" t="str">
            <v>BMSSYS0000009465</v>
          </cell>
          <cell r="H2342" t="str">
            <v>Lecanora barkmaniana</v>
          </cell>
        </row>
        <row r="2343">
          <cell r="A2343" t="str">
            <v>Lecanora caesiosora</v>
          </cell>
          <cell r="B2343" t="str">
            <v>Lichens</v>
          </cell>
          <cell r="C2343" t="str">
            <v>Mycophycophyta</v>
          </cell>
          <cell r="D2343" t="str">
            <v>Lecanora caesiosora</v>
          </cell>
          <cell r="E2343" t="str">
            <v>LC</v>
          </cell>
          <cell r="F2343" t="str">
            <v>Woods &amp; Coppins, 2012</v>
          </cell>
          <cell r="G2343" t="str">
            <v>NBNSYS0000018573</v>
          </cell>
          <cell r="H2343" t="str">
            <v>Lecanora caesiosora</v>
          </cell>
        </row>
        <row r="2344">
          <cell r="A2344" t="str">
            <v>Lecanora campestris subsp. campestris</v>
          </cell>
          <cell r="B2344" t="str">
            <v>Lichens</v>
          </cell>
          <cell r="C2344" t="str">
            <v>Mycophycophyta</v>
          </cell>
          <cell r="D2344" t="str">
            <v>Lecanora campestris (subsp.) campestris</v>
          </cell>
          <cell r="E2344" t="str">
            <v>LC</v>
          </cell>
          <cell r="F2344" t="str">
            <v>Woods &amp; Coppins, 2012</v>
          </cell>
          <cell r="G2344" t="str">
            <v>NHMSYS0001486328</v>
          </cell>
          <cell r="H2344" t="str">
            <v>Lecanora campestris subsp. campestris</v>
          </cell>
        </row>
        <row r="2345">
          <cell r="A2345" t="str">
            <v>Lecanora campestris subsp. dolomitica</v>
          </cell>
          <cell r="B2345" t="str">
            <v>Lichens</v>
          </cell>
          <cell r="C2345" t="str">
            <v>Mycophycophyta</v>
          </cell>
          <cell r="D2345" t="str">
            <v>Lecanora campestris (subsp.) dolomitica</v>
          </cell>
          <cell r="E2345" t="str">
            <v>LC</v>
          </cell>
          <cell r="F2345" t="str">
            <v>Woods &amp; Coppins, 2012</v>
          </cell>
          <cell r="G2345" t="str">
            <v>NBNSYS0000018575</v>
          </cell>
          <cell r="H2345" t="str">
            <v>Lecanora campestris subsp. dolomitica</v>
          </cell>
        </row>
        <row r="2346">
          <cell r="A2346" t="str">
            <v>Lecanora carpinea</v>
          </cell>
          <cell r="B2346" t="str">
            <v>Lichens</v>
          </cell>
          <cell r="C2346" t="str">
            <v>Mycophycophyta</v>
          </cell>
          <cell r="D2346" t="str">
            <v>Lecanora carpinea</v>
          </cell>
          <cell r="E2346" t="str">
            <v>LC</v>
          </cell>
          <cell r="F2346" t="str">
            <v>Woods &amp; Coppins, 2012</v>
          </cell>
          <cell r="G2346" t="str">
            <v>NBNSYS0000018576</v>
          </cell>
          <cell r="H2346" t="str">
            <v>Lecanora carpinea</v>
          </cell>
        </row>
        <row r="2347">
          <cell r="A2347" t="str">
            <v>Lecanora cenisia</v>
          </cell>
          <cell r="B2347" t="str">
            <v>Lichens</v>
          </cell>
          <cell r="C2347" t="str">
            <v>Mycophycophyta</v>
          </cell>
          <cell r="D2347" t="str">
            <v>Lecanora cenisia</v>
          </cell>
          <cell r="E2347" t="str">
            <v>LC</v>
          </cell>
          <cell r="F2347" t="str">
            <v>Woods &amp; Coppins, 2012</v>
          </cell>
          <cell r="G2347" t="str">
            <v>NBNSYS0000018577</v>
          </cell>
          <cell r="H2347" t="str">
            <v>Lecanora cenisia</v>
          </cell>
        </row>
        <row r="2348">
          <cell r="A2348" t="str">
            <v>Lecanora chlarotera</v>
          </cell>
          <cell r="B2348" t="str">
            <v>Lichens</v>
          </cell>
          <cell r="C2348" t="str">
            <v>Mycophycophyta</v>
          </cell>
          <cell r="D2348" t="str">
            <v>Lecanora chlarotera</v>
          </cell>
          <cell r="E2348" t="str">
            <v>LC</v>
          </cell>
          <cell r="F2348" t="str">
            <v>Woods &amp; Coppins, 2012</v>
          </cell>
          <cell r="G2348" t="str">
            <v>NBNSYS0000018579</v>
          </cell>
          <cell r="H2348" t="str">
            <v>Lecanora chlarotera</v>
          </cell>
        </row>
        <row r="2349">
          <cell r="A2349" t="str">
            <v>Lecanora compallens</v>
          </cell>
          <cell r="B2349" t="str">
            <v>Lichens</v>
          </cell>
          <cell r="C2349" t="str">
            <v>Mycophycophyta</v>
          </cell>
          <cell r="D2349" t="str">
            <v>Lecanora compallens</v>
          </cell>
          <cell r="E2349" t="str">
            <v>LC</v>
          </cell>
          <cell r="F2349" t="str">
            <v>Woods &amp; Coppins, 2012</v>
          </cell>
          <cell r="G2349" t="str">
            <v>BMSSYS0000009491</v>
          </cell>
          <cell r="H2349" t="str">
            <v>Lecanora compallens</v>
          </cell>
        </row>
        <row r="2350">
          <cell r="A2350" t="str">
            <v>Lecanora confusa</v>
          </cell>
          <cell r="B2350" t="str">
            <v>Lichens</v>
          </cell>
          <cell r="C2350" t="str">
            <v>Mycophycophyta</v>
          </cell>
          <cell r="D2350" t="str">
            <v>Lecanora confusa</v>
          </cell>
          <cell r="E2350" t="str">
            <v>LC</v>
          </cell>
          <cell r="F2350" t="str">
            <v>Woods &amp; Coppins, 2012</v>
          </cell>
          <cell r="G2350" t="str">
            <v>NBNSYS0000018582</v>
          </cell>
          <cell r="H2350" t="str">
            <v>Lecanora confusa</v>
          </cell>
        </row>
        <row r="2351">
          <cell r="A2351" t="str">
            <v>Lecanora crenulata</v>
          </cell>
          <cell r="B2351" t="str">
            <v>Lichens</v>
          </cell>
          <cell r="C2351" t="str">
            <v>Mycophycophyta</v>
          </cell>
          <cell r="D2351" t="str">
            <v>Lecanora crenulata</v>
          </cell>
          <cell r="E2351" t="str">
            <v>LC</v>
          </cell>
          <cell r="F2351" t="str">
            <v>Woods &amp; Coppins, 2012</v>
          </cell>
          <cell r="G2351" t="str">
            <v>BMSSYS0000048295</v>
          </cell>
          <cell r="H2351" t="str">
            <v>Lecanora crenulata</v>
          </cell>
        </row>
        <row r="2352">
          <cell r="A2352" t="str">
            <v>Lecanora dispersa</v>
          </cell>
          <cell r="B2352" t="str">
            <v>Lichens</v>
          </cell>
          <cell r="C2352" t="str">
            <v>Mycophycophyta</v>
          </cell>
          <cell r="D2352" t="str">
            <v>Lecanora dispersa</v>
          </cell>
          <cell r="E2352" t="str">
            <v>LC</v>
          </cell>
          <cell r="F2352" t="str">
            <v>Woods &amp; Coppins, 2012</v>
          </cell>
          <cell r="G2352" t="str">
            <v>BMSSYS0000048296</v>
          </cell>
          <cell r="H2352" t="str">
            <v>Lecanora dispersa</v>
          </cell>
        </row>
        <row r="2353">
          <cell r="A2353" t="str">
            <v>Lecanora epanora</v>
          </cell>
          <cell r="B2353" t="str">
            <v>Lichens</v>
          </cell>
          <cell r="C2353" t="str">
            <v>Mycophycophyta</v>
          </cell>
          <cell r="D2353" t="str">
            <v>Lecanora epanora</v>
          </cell>
          <cell r="E2353" t="str">
            <v>LC</v>
          </cell>
          <cell r="F2353" t="str">
            <v>Woods &amp; Coppins, 2012</v>
          </cell>
          <cell r="G2353" t="str">
            <v>NBNSYS0000018587</v>
          </cell>
          <cell r="H2353" t="str">
            <v>Lecanora epanora</v>
          </cell>
        </row>
        <row r="2354">
          <cell r="A2354" t="str">
            <v>Lecanora epibryon</v>
          </cell>
          <cell r="B2354" t="str">
            <v>Lichens</v>
          </cell>
          <cell r="C2354" t="str">
            <v>Mycophycophyta</v>
          </cell>
          <cell r="D2354" t="str">
            <v>Lecanora epibryon</v>
          </cell>
          <cell r="E2354" t="str">
            <v>VU</v>
          </cell>
          <cell r="F2354" t="str">
            <v>Woods &amp; Coppins, 2012</v>
          </cell>
          <cell r="G2354" t="str">
            <v>NBNSYS0000018588</v>
          </cell>
          <cell r="H2354" t="str">
            <v>Lecanora epibryon</v>
          </cell>
        </row>
        <row r="2355">
          <cell r="A2355" t="str">
            <v>Lecanora expallens</v>
          </cell>
          <cell r="B2355" t="str">
            <v>Lichens</v>
          </cell>
          <cell r="C2355" t="str">
            <v>Mycophycophyta</v>
          </cell>
          <cell r="D2355" t="str">
            <v>Lecanora expallens</v>
          </cell>
          <cell r="E2355" t="str">
            <v>LC</v>
          </cell>
          <cell r="F2355" t="str">
            <v>Woods &amp; Coppins, 2012</v>
          </cell>
          <cell r="G2355" t="str">
            <v>NBNSYS0000018589</v>
          </cell>
          <cell r="H2355" t="str">
            <v>Lecanora expallens</v>
          </cell>
        </row>
        <row r="2356">
          <cell r="A2356" t="str">
            <v>Lecanora farinaria</v>
          </cell>
          <cell r="B2356" t="str">
            <v>Lichens</v>
          </cell>
          <cell r="C2356" t="str">
            <v>Mycophycophyta</v>
          </cell>
          <cell r="D2356" t="str">
            <v>Lecanora farinaria</v>
          </cell>
          <cell r="E2356" t="str">
            <v>LC</v>
          </cell>
          <cell r="F2356" t="str">
            <v>Woods &amp; Coppins, 2012</v>
          </cell>
          <cell r="G2356" t="str">
            <v>NBNSYS0000018590</v>
          </cell>
          <cell r="H2356" t="str">
            <v>Lecanora farinaria</v>
          </cell>
        </row>
        <row r="2357">
          <cell r="A2357" t="str">
            <v>Lecanora frustulosa</v>
          </cell>
          <cell r="B2357" t="str">
            <v>Lichens</v>
          </cell>
          <cell r="C2357" t="str">
            <v>Mycophycophyta</v>
          </cell>
          <cell r="D2357" t="str">
            <v>Lecanora frustulosa</v>
          </cell>
          <cell r="E2357" t="str">
            <v>VU</v>
          </cell>
          <cell r="F2357" t="str">
            <v>Woods &amp; Coppins, 2012</v>
          </cell>
          <cell r="G2357" t="str">
            <v>NBNSYS0000018591</v>
          </cell>
          <cell r="H2357" t="str">
            <v>Lecanora frustulosa</v>
          </cell>
        </row>
        <row r="2358">
          <cell r="A2358" t="str">
            <v>Lecanora fugiens</v>
          </cell>
          <cell r="B2358" t="str">
            <v>Lichens</v>
          </cell>
          <cell r="C2358" t="str">
            <v>Mycophycophyta</v>
          </cell>
          <cell r="D2358" t="str">
            <v>Lecanora fugiens</v>
          </cell>
          <cell r="E2358" t="str">
            <v>LC</v>
          </cell>
          <cell r="F2358" t="str">
            <v>Woods &amp; Coppins, 2012</v>
          </cell>
          <cell r="G2358" t="str">
            <v>BMSSYS0000048297</v>
          </cell>
          <cell r="H2358" t="str">
            <v>Lecanora fugiens</v>
          </cell>
        </row>
        <row r="2359">
          <cell r="A2359" t="str">
            <v>Lecanora gangaleoides</v>
          </cell>
          <cell r="B2359" t="str">
            <v>Lichens</v>
          </cell>
          <cell r="C2359" t="str">
            <v>Mycophycophyta</v>
          </cell>
          <cell r="D2359" t="str">
            <v>Lecanora gangaleoides</v>
          </cell>
          <cell r="E2359" t="str">
            <v>LC</v>
          </cell>
          <cell r="F2359" t="str">
            <v>Woods &amp; Coppins, 2012</v>
          </cell>
          <cell r="G2359" t="str">
            <v>NBNSYS0000018594</v>
          </cell>
          <cell r="H2359" t="str">
            <v>Lecanora gangaleoides</v>
          </cell>
        </row>
        <row r="2360">
          <cell r="A2360" t="str">
            <v>Lecanora handelii</v>
          </cell>
          <cell r="B2360" t="str">
            <v>Lichens</v>
          </cell>
          <cell r="C2360" t="str">
            <v>Mycophycophyta</v>
          </cell>
          <cell r="D2360" t="str">
            <v>Lecanora handelii</v>
          </cell>
          <cell r="E2360" t="str">
            <v>NT</v>
          </cell>
          <cell r="F2360" t="str">
            <v>Woods &amp; Coppins, 2012</v>
          </cell>
          <cell r="G2360" t="str">
            <v>NHMSYS0001486386</v>
          </cell>
          <cell r="H2360" t="str">
            <v>Lecanora handelii</v>
          </cell>
        </row>
        <row r="2361">
          <cell r="A2361" t="str">
            <v>Lecanora helicopis</v>
          </cell>
          <cell r="B2361" t="str">
            <v>Lichens</v>
          </cell>
          <cell r="C2361" t="str">
            <v>Mycophycophyta</v>
          </cell>
          <cell r="D2361" t="str">
            <v>Lecanora helicopis</v>
          </cell>
          <cell r="E2361" t="str">
            <v>LC</v>
          </cell>
          <cell r="F2361" t="str">
            <v>Woods &amp; Coppins, 2012</v>
          </cell>
          <cell r="G2361" t="str">
            <v>NBNSYS0000018597</v>
          </cell>
          <cell r="H2361" t="str">
            <v>Lecanora helicopis</v>
          </cell>
        </row>
        <row r="2362">
          <cell r="A2362" t="str">
            <v>Lecanora horiza</v>
          </cell>
          <cell r="B2362" t="str">
            <v>Lichens</v>
          </cell>
          <cell r="C2362" t="str">
            <v>Mycophycophyta</v>
          </cell>
          <cell r="D2362" t="str">
            <v>Lecanora horiza</v>
          </cell>
          <cell r="E2362" t="str">
            <v>NT</v>
          </cell>
          <cell r="F2362" t="str">
            <v>Woods &amp; Coppins, 2012</v>
          </cell>
          <cell r="G2362" t="str">
            <v>NHMSYS0001486389</v>
          </cell>
          <cell r="H2362" t="str">
            <v>Lecanora horiza</v>
          </cell>
        </row>
        <row r="2363">
          <cell r="A2363" t="str">
            <v>Lecanora intricata</v>
          </cell>
          <cell r="B2363" t="str">
            <v>Lichens</v>
          </cell>
          <cell r="C2363" t="str">
            <v>Mycophycophyta</v>
          </cell>
          <cell r="D2363" t="str">
            <v>Lecanora intricata</v>
          </cell>
          <cell r="E2363" t="str">
            <v>LC</v>
          </cell>
          <cell r="F2363" t="str">
            <v>Woods &amp; Coppins, 2012</v>
          </cell>
          <cell r="G2363" t="str">
            <v>NHMSYS0001486394</v>
          </cell>
          <cell r="H2363" t="str">
            <v>Lecanora intricata</v>
          </cell>
        </row>
        <row r="2364">
          <cell r="A2364" t="str">
            <v>Lecanora intumescens</v>
          </cell>
          <cell r="B2364" t="str">
            <v>Lichens</v>
          </cell>
          <cell r="C2364" t="str">
            <v>Mycophycophyta</v>
          </cell>
          <cell r="D2364" t="str">
            <v>Lecanora intumescens</v>
          </cell>
          <cell r="E2364" t="str">
            <v>LC</v>
          </cell>
          <cell r="F2364" t="str">
            <v>Woods &amp; Coppins, 2012</v>
          </cell>
          <cell r="G2364" t="str">
            <v>NBNSYS0000018600</v>
          </cell>
          <cell r="H2364" t="str">
            <v>Lecanora intumescens</v>
          </cell>
        </row>
        <row r="2365">
          <cell r="A2365" t="str">
            <v>Lecanora jamesii</v>
          </cell>
          <cell r="B2365" t="str">
            <v>Lichens</v>
          </cell>
          <cell r="C2365" t="str">
            <v>Mycophycophyta</v>
          </cell>
          <cell r="D2365" t="str">
            <v>Lecanora jamesii</v>
          </cell>
          <cell r="E2365" t="str">
            <v>LC</v>
          </cell>
          <cell r="F2365" t="str">
            <v>Woods &amp; Coppins, 2012</v>
          </cell>
          <cell r="G2365" t="str">
            <v>NHMSYS0001486398</v>
          </cell>
          <cell r="H2365" t="str">
            <v>Lecanora jamesii</v>
          </cell>
        </row>
        <row r="2366">
          <cell r="A2366" t="str">
            <v>Lecanora muralis</v>
          </cell>
          <cell r="B2366" t="str">
            <v>Lichens</v>
          </cell>
          <cell r="C2366" t="str">
            <v>Mycophycophyta</v>
          </cell>
          <cell r="D2366" t="str">
            <v>Lecanora muralis</v>
          </cell>
          <cell r="E2366" t="str">
            <v>LC</v>
          </cell>
          <cell r="F2366" t="str">
            <v>Woods &amp; Coppins, 2012</v>
          </cell>
          <cell r="G2366" t="str">
            <v>NBNSYS0000018604</v>
          </cell>
          <cell r="H2366" t="str">
            <v>Lecanora muralis</v>
          </cell>
        </row>
        <row r="2367">
          <cell r="A2367" t="str">
            <v>Lecanora orosthea</v>
          </cell>
          <cell r="B2367" t="str">
            <v>Lichens</v>
          </cell>
          <cell r="C2367" t="str">
            <v>Mycophycophyta</v>
          </cell>
          <cell r="D2367" t="str">
            <v>Lecanora orosthea</v>
          </cell>
          <cell r="E2367" t="str">
            <v>LC</v>
          </cell>
          <cell r="F2367" t="str">
            <v>Woods &amp; Coppins, 2012</v>
          </cell>
          <cell r="G2367" t="str">
            <v>NBNSYS0000018701</v>
          </cell>
          <cell r="H2367" t="str">
            <v>Lecanora orosthea</v>
          </cell>
        </row>
        <row r="2368">
          <cell r="A2368" t="str">
            <v>Lecanora pannonica</v>
          </cell>
          <cell r="B2368" t="str">
            <v>Lichens</v>
          </cell>
          <cell r="C2368" t="str">
            <v>Mycophycophyta</v>
          </cell>
          <cell r="D2368" t="str">
            <v>Lecanora pannonica</v>
          </cell>
          <cell r="E2368" t="str">
            <v>LC</v>
          </cell>
          <cell r="F2368" t="str">
            <v>Woods &amp; Coppins, 2012</v>
          </cell>
          <cell r="G2368" t="str">
            <v>NHMSYS0001486424</v>
          </cell>
          <cell r="H2368" t="str">
            <v>Lecanora pannonica</v>
          </cell>
        </row>
        <row r="2369">
          <cell r="A2369" t="str">
            <v>Lecanora persimilis</v>
          </cell>
          <cell r="B2369" t="str">
            <v>Lichens</v>
          </cell>
          <cell r="C2369" t="str">
            <v>Mycophycophyta</v>
          </cell>
          <cell r="D2369" t="str">
            <v>Lecanora persimilis</v>
          </cell>
          <cell r="E2369" t="str">
            <v>LC</v>
          </cell>
          <cell r="F2369" t="str">
            <v>Woods &amp; Coppins, 2012</v>
          </cell>
          <cell r="G2369" t="str">
            <v>BMSSYS0000048300</v>
          </cell>
          <cell r="H2369" t="str">
            <v>Lecanora persimilis</v>
          </cell>
        </row>
        <row r="2370">
          <cell r="A2370" t="str">
            <v>Lecanora poliophaea</v>
          </cell>
          <cell r="B2370" t="str">
            <v>Lichens</v>
          </cell>
          <cell r="C2370" t="str">
            <v>Mycophycophyta</v>
          </cell>
          <cell r="D2370" t="str">
            <v>Lecanora poliophaea</v>
          </cell>
          <cell r="E2370" t="str">
            <v>LC</v>
          </cell>
          <cell r="F2370" t="str">
            <v>Woods &amp; Coppins, 2012</v>
          </cell>
          <cell r="G2370" t="str">
            <v>NBNSYS0000018610</v>
          </cell>
          <cell r="H2370" t="str">
            <v>Lecanora poliophaea</v>
          </cell>
        </row>
        <row r="2371">
          <cell r="A2371" t="str">
            <v>Lecanora polytropa</v>
          </cell>
          <cell r="B2371" t="str">
            <v>Lichens</v>
          </cell>
          <cell r="C2371" t="str">
            <v>Mycophycophyta</v>
          </cell>
          <cell r="D2371" t="str">
            <v>Lecanora polytropa</v>
          </cell>
          <cell r="E2371" t="str">
            <v>LC</v>
          </cell>
          <cell r="F2371" t="str">
            <v>Woods &amp; Coppins, 2012</v>
          </cell>
          <cell r="G2371" t="str">
            <v>NHMSYS0001486431</v>
          </cell>
          <cell r="H2371" t="str">
            <v>Lecanora polytropa</v>
          </cell>
        </row>
        <row r="2372">
          <cell r="A2372" t="str">
            <v>Lecanora populicola</v>
          </cell>
          <cell r="B2372" t="str">
            <v>Lichens</v>
          </cell>
          <cell r="C2372" t="str">
            <v>Mycophycophyta</v>
          </cell>
          <cell r="D2372" t="str">
            <v>Lecanora populicola</v>
          </cell>
          <cell r="E2372" t="str">
            <v>LC</v>
          </cell>
          <cell r="F2372" t="str">
            <v>Woods &amp; Coppins, 2012</v>
          </cell>
          <cell r="G2372" t="str">
            <v>NBNSYS0000018612</v>
          </cell>
          <cell r="H2372" t="str">
            <v>Lecanora populicola</v>
          </cell>
        </row>
        <row r="2373">
          <cell r="A2373" t="str">
            <v>Lecanora praepostera</v>
          </cell>
          <cell r="B2373" t="str">
            <v>Lichens</v>
          </cell>
          <cell r="C2373" t="str">
            <v>Mycophycophyta</v>
          </cell>
          <cell r="D2373" t="str">
            <v>Lecanora praepostera</v>
          </cell>
          <cell r="E2373" t="str">
            <v>LC</v>
          </cell>
          <cell r="F2373" t="str">
            <v>Woods &amp; Coppins, 2012</v>
          </cell>
          <cell r="G2373" t="str">
            <v>NBNSYS0000018613</v>
          </cell>
          <cell r="H2373" t="str">
            <v>Lecanora praepostera</v>
          </cell>
        </row>
        <row r="2374">
          <cell r="A2374" t="str">
            <v>Lecanora pruinosa</v>
          </cell>
          <cell r="B2374" t="str">
            <v>Lichens</v>
          </cell>
          <cell r="C2374" t="str">
            <v>Mycophycophyta</v>
          </cell>
          <cell r="D2374" t="str">
            <v>Lecanora pruinosa</v>
          </cell>
          <cell r="E2374" t="str">
            <v>LC</v>
          </cell>
          <cell r="F2374" t="str">
            <v>Woods &amp; Coppins, 2012</v>
          </cell>
          <cell r="G2374" t="str">
            <v>BMSSYS0000048301</v>
          </cell>
          <cell r="H2374" t="str">
            <v>Lecanora pruinosa</v>
          </cell>
        </row>
        <row r="2375">
          <cell r="A2375" t="str">
            <v>Lecanora pulicaris</v>
          </cell>
          <cell r="B2375" t="str">
            <v>Lichens</v>
          </cell>
          <cell r="C2375" t="str">
            <v>Mycophycophyta</v>
          </cell>
          <cell r="D2375" t="str">
            <v>Lecanora pulicaris</v>
          </cell>
          <cell r="E2375" t="str">
            <v>LC</v>
          </cell>
          <cell r="F2375" t="str">
            <v>Woods &amp; Coppins, 2012</v>
          </cell>
          <cell r="G2375" t="str">
            <v>NBNSYS0000018616</v>
          </cell>
          <cell r="H2375" t="str">
            <v>Lecanora pulicaris</v>
          </cell>
        </row>
        <row r="2376">
          <cell r="A2376" t="str">
            <v>Lecanora quercicola</v>
          </cell>
          <cell r="B2376" t="str">
            <v>Lichens</v>
          </cell>
          <cell r="C2376" t="str">
            <v>Mycophycophyta</v>
          </cell>
          <cell r="D2376" t="str">
            <v>Lecanora quercicola</v>
          </cell>
          <cell r="E2376" t="str">
            <v>VU</v>
          </cell>
          <cell r="F2376" t="str">
            <v>Woods &amp; Coppins, 2012</v>
          </cell>
          <cell r="G2376" t="str">
            <v>NBNSYS0000018617</v>
          </cell>
          <cell r="H2376" t="str">
            <v>Lecanora quercicola</v>
          </cell>
        </row>
        <row r="2377">
          <cell r="A2377" t="str">
            <v>Lecanora rupicola var. efflorens, Lecanora rupicola var. rupicola</v>
          </cell>
          <cell r="B2377" t="str">
            <v>Lichens</v>
          </cell>
          <cell r="C2377" t="str">
            <v>Mycophycophyta</v>
          </cell>
          <cell r="D2377" t="str">
            <v>Lecanora rupicola (var. efflorens/var. rupicola)</v>
          </cell>
          <cell r="E2377" t="str">
            <v>LC</v>
          </cell>
          <cell r="F2377" t="str">
            <v>Woods &amp; Coppins, 2012</v>
          </cell>
          <cell r="G2377" t="str">
            <v>NBNSYS0000018619</v>
          </cell>
          <cell r="H2377" t="str">
            <v>Lecanora rupicola var. efflorens, Lecanora rupicola var. rupicola</v>
          </cell>
        </row>
        <row r="2378">
          <cell r="A2378" t="str">
            <v>Lecanora saligna</v>
          </cell>
          <cell r="B2378" t="str">
            <v>Lichens</v>
          </cell>
          <cell r="C2378" t="str">
            <v>Mycophycophyta</v>
          </cell>
          <cell r="D2378" t="str">
            <v>Lecanora saligna</v>
          </cell>
          <cell r="E2378" t="str">
            <v>LC</v>
          </cell>
          <cell r="F2378" t="str">
            <v>Woods &amp; Coppins, 2012</v>
          </cell>
          <cell r="G2378" t="str">
            <v>NBNSYS0000018621</v>
          </cell>
          <cell r="H2378" t="str">
            <v>Lecanora saligna</v>
          </cell>
        </row>
        <row r="2379">
          <cell r="A2379" t="str">
            <v>Lecanora sambuci</v>
          </cell>
          <cell r="B2379" t="str">
            <v>Lichens</v>
          </cell>
          <cell r="C2379" t="str">
            <v>Mycophycophyta</v>
          </cell>
          <cell r="D2379" t="str">
            <v>Lecanora sambuci</v>
          </cell>
          <cell r="E2379" t="str">
            <v>LC</v>
          </cell>
          <cell r="F2379" t="str">
            <v>Woods &amp; Coppins, 2012</v>
          </cell>
          <cell r="G2379" t="str">
            <v>BMSSYS0000048303</v>
          </cell>
          <cell r="H2379" t="str">
            <v>Lecanora sambuci</v>
          </cell>
        </row>
        <row r="2380">
          <cell r="A2380" t="str">
            <v>Lecanora semipallida</v>
          </cell>
          <cell r="B2380" t="str">
            <v>Lichens</v>
          </cell>
          <cell r="C2380" t="str">
            <v>Mycophycophyta</v>
          </cell>
          <cell r="D2380" t="str">
            <v>Lecanora semipallida</v>
          </cell>
          <cell r="E2380" t="str">
            <v>LC</v>
          </cell>
          <cell r="F2380" t="str">
            <v>Woods &amp; Coppins, 2012</v>
          </cell>
          <cell r="G2380" t="str">
            <v>BMSSYS0000048304</v>
          </cell>
          <cell r="H2380" t="str">
            <v>Lecanora semipallida</v>
          </cell>
        </row>
        <row r="2381">
          <cell r="A2381" t="str">
            <v>Lecanora sinuosa</v>
          </cell>
          <cell r="B2381" t="str">
            <v>Lichens</v>
          </cell>
          <cell r="C2381" t="str">
            <v>Mycophycophyta</v>
          </cell>
          <cell r="D2381" t="str">
            <v>Lecanora sinuosa</v>
          </cell>
          <cell r="E2381" t="str">
            <v>LC</v>
          </cell>
          <cell r="F2381" t="str">
            <v>Woods &amp; Coppins, 2012</v>
          </cell>
          <cell r="G2381" t="str">
            <v>NHMSYS0020989924</v>
          </cell>
          <cell r="H2381" t="str">
            <v>Lecanora sinuosa</v>
          </cell>
        </row>
        <row r="2382">
          <cell r="A2382" t="str">
            <v>Lecanora soralifera</v>
          </cell>
          <cell r="B2382" t="str">
            <v>Lichens</v>
          </cell>
          <cell r="C2382" t="str">
            <v>Mycophycophyta</v>
          </cell>
          <cell r="D2382" t="str">
            <v>Lecanora soralifera</v>
          </cell>
          <cell r="E2382" t="str">
            <v>LC</v>
          </cell>
          <cell r="F2382" t="str">
            <v>Woods &amp; Coppins, 2012</v>
          </cell>
          <cell r="G2382" t="str">
            <v>NHMSYS0001486457</v>
          </cell>
          <cell r="H2382" t="str">
            <v>Lecanora soralifera</v>
          </cell>
        </row>
        <row r="2383">
          <cell r="A2383" t="str">
            <v>Lecanora stenotropa</v>
          </cell>
          <cell r="B2383" t="str">
            <v>Lichens</v>
          </cell>
          <cell r="C2383" t="str">
            <v>Mycophycophyta</v>
          </cell>
          <cell r="D2383" t="str">
            <v>Lecanora stenotropa</v>
          </cell>
          <cell r="E2383" t="str">
            <v>LC</v>
          </cell>
          <cell r="F2383" t="str">
            <v>Woods &amp; Coppins, 2012</v>
          </cell>
          <cell r="G2383" t="str">
            <v>NBNSYS0000018626</v>
          </cell>
          <cell r="H2383" t="str">
            <v>Lecanora stenotropa</v>
          </cell>
        </row>
        <row r="2384">
          <cell r="A2384" t="str">
            <v>Lecanora strobilina</v>
          </cell>
          <cell r="B2384" t="str">
            <v>Lichens</v>
          </cell>
          <cell r="C2384" t="str">
            <v>Mycophycophyta</v>
          </cell>
          <cell r="D2384" t="str">
            <v>Lecanora strobilina</v>
          </cell>
          <cell r="E2384" t="str">
            <v>VU</v>
          </cell>
          <cell r="F2384" t="str">
            <v>Woods &amp; Coppins, 2012</v>
          </cell>
          <cell r="G2384" t="str">
            <v>NBNSYS0000018628</v>
          </cell>
          <cell r="H2384" t="str">
            <v>Lecanora strobilina</v>
          </cell>
        </row>
        <row r="2385">
          <cell r="A2385" t="str">
            <v>Lecanora subaurea</v>
          </cell>
          <cell r="B2385" t="str">
            <v>Lichens</v>
          </cell>
          <cell r="C2385" t="str">
            <v>Mycophycophyta</v>
          </cell>
          <cell r="D2385" t="str">
            <v>Lecanora subaurea</v>
          </cell>
          <cell r="E2385" t="str">
            <v>LC</v>
          </cell>
          <cell r="F2385" t="str">
            <v>Woods &amp; Coppins, 2012</v>
          </cell>
          <cell r="G2385" t="str">
            <v>NBNSYS0000018629</v>
          </cell>
          <cell r="H2385" t="str">
            <v>Lecanora subaurea</v>
          </cell>
        </row>
        <row r="2386">
          <cell r="A2386" t="str">
            <v>Lecanora subcarnea</v>
          </cell>
          <cell r="B2386" t="str">
            <v>Lichens</v>
          </cell>
          <cell r="C2386" t="str">
            <v>Mycophycophyta</v>
          </cell>
          <cell r="D2386" t="str">
            <v>Lecanora subcarnea</v>
          </cell>
          <cell r="E2386" t="str">
            <v>LC</v>
          </cell>
          <cell r="F2386" t="str">
            <v>Woods &amp; Coppins, 2012</v>
          </cell>
          <cell r="G2386" t="str">
            <v>NBNSYS0000018630</v>
          </cell>
          <cell r="H2386" t="str">
            <v>Lecanora subcarnea</v>
          </cell>
        </row>
        <row r="2387">
          <cell r="A2387" t="str">
            <v>Lecanora sublivescens</v>
          </cell>
          <cell r="B2387" t="str">
            <v>Lichens</v>
          </cell>
          <cell r="C2387" t="str">
            <v>Mycophycophyta</v>
          </cell>
          <cell r="D2387" t="str">
            <v>Lecanora sublivescens</v>
          </cell>
          <cell r="E2387" t="str">
            <v>NT</v>
          </cell>
          <cell r="F2387" t="str">
            <v>Woods &amp; Coppins, 2012</v>
          </cell>
          <cell r="G2387" t="str">
            <v>NHMSYS0001486477</v>
          </cell>
          <cell r="H2387" t="str">
            <v>Lecanora sublivescens</v>
          </cell>
        </row>
        <row r="2388">
          <cell r="A2388" t="str">
            <v>Lecanora sulphurea</v>
          </cell>
          <cell r="B2388" t="str">
            <v>Lichens</v>
          </cell>
          <cell r="C2388" t="str">
            <v>Mycophycophyta</v>
          </cell>
          <cell r="D2388" t="str">
            <v>Lecanora sulphurea</v>
          </cell>
          <cell r="E2388" t="str">
            <v>LC</v>
          </cell>
          <cell r="F2388" t="str">
            <v>Woods &amp; Coppins, 2012</v>
          </cell>
          <cell r="G2388" t="str">
            <v>NBNSYS0000018727</v>
          </cell>
          <cell r="H2388" t="str">
            <v>Lecanora sulphurea</v>
          </cell>
        </row>
        <row r="2389">
          <cell r="A2389" t="str">
            <v>Lecanora swartzii</v>
          </cell>
          <cell r="B2389" t="str">
            <v>Lichens</v>
          </cell>
          <cell r="C2389" t="str">
            <v>Mycophycophyta</v>
          </cell>
          <cell r="D2389" t="str">
            <v>Lecanora swartzii</v>
          </cell>
          <cell r="E2389" t="str">
            <v>LC</v>
          </cell>
          <cell r="F2389" t="str">
            <v>Woods &amp; Coppins, 2012</v>
          </cell>
          <cell r="G2389" t="str">
            <v>NHMSYS0001486482</v>
          </cell>
          <cell r="H2389" t="str">
            <v>Lecanora swartzii</v>
          </cell>
        </row>
        <row r="2390">
          <cell r="A2390" t="str">
            <v>Lecanora symmicta</v>
          </cell>
          <cell r="B2390" t="str">
            <v>Lichens</v>
          </cell>
          <cell r="C2390" t="str">
            <v>Mycophycophyta</v>
          </cell>
          <cell r="D2390" t="str">
            <v>Lecanora symmicta</v>
          </cell>
          <cell r="E2390" t="str">
            <v>LC</v>
          </cell>
          <cell r="F2390" t="str">
            <v>Woods &amp; Coppins, 2012</v>
          </cell>
          <cell r="G2390" t="str">
            <v>NBNSYS0000018633</v>
          </cell>
          <cell r="H2390" t="str">
            <v>Lecanora symmicta</v>
          </cell>
        </row>
        <row r="2391">
          <cell r="A2391" t="str">
            <v>Lecanora varia</v>
          </cell>
          <cell r="B2391" t="str">
            <v>Lichens</v>
          </cell>
          <cell r="C2391" t="str">
            <v>Mycophycophyta</v>
          </cell>
          <cell r="D2391" t="str">
            <v>Lecanora varia</v>
          </cell>
          <cell r="E2391" t="str">
            <v>LC</v>
          </cell>
          <cell r="F2391" t="str">
            <v>Woods &amp; Coppins, 2012</v>
          </cell>
          <cell r="G2391" t="str">
            <v>NBNSYS0000018635</v>
          </cell>
          <cell r="H2391" t="str">
            <v>Lecanora varia</v>
          </cell>
        </row>
        <row r="2392">
          <cell r="A2392" t="str">
            <v>Lecanora zosterae</v>
          </cell>
          <cell r="B2392" t="str">
            <v>Lichens</v>
          </cell>
          <cell r="C2392" t="str">
            <v>Mycophycophyta</v>
          </cell>
          <cell r="D2392" t="str">
            <v>Lecanora zosterae</v>
          </cell>
          <cell r="E2392" t="str">
            <v>LC</v>
          </cell>
          <cell r="F2392" t="str">
            <v>Woods &amp; Coppins, 2012</v>
          </cell>
          <cell r="G2392" t="str">
            <v>BMSSYS0000048306</v>
          </cell>
          <cell r="H2392" t="str">
            <v>Lecanora zosterae</v>
          </cell>
        </row>
        <row r="2393">
          <cell r="A2393" t="str">
            <v>Lecidea ahlesii</v>
          </cell>
          <cell r="B2393" t="str">
            <v>Lichens</v>
          </cell>
          <cell r="C2393" t="str">
            <v>Mycophycophyta</v>
          </cell>
          <cell r="D2393" t="str">
            <v>Lecidea ahlesii</v>
          </cell>
          <cell r="E2393" t="str">
            <v>LC</v>
          </cell>
          <cell r="F2393" t="str">
            <v>Woods &amp; Coppins, 2012</v>
          </cell>
          <cell r="G2393" t="str">
            <v>BMSSYS0000043191</v>
          </cell>
          <cell r="H2393" t="str">
            <v>Lecidea ahlesii</v>
          </cell>
        </row>
        <row r="2394">
          <cell r="A2394" t="str">
            <v>Lecidea auriculata</v>
          </cell>
          <cell r="B2394" t="str">
            <v>Lichens</v>
          </cell>
          <cell r="C2394" t="str">
            <v>Mycophycophyta</v>
          </cell>
          <cell r="D2394" t="str">
            <v>Lecidea auriculata</v>
          </cell>
          <cell r="E2394" t="str">
            <v>LC</v>
          </cell>
          <cell r="F2394" t="str">
            <v>Woods &amp; Coppins, 2012</v>
          </cell>
          <cell r="G2394" t="str">
            <v>NBNSYS0000018644</v>
          </cell>
          <cell r="H2394" t="str">
            <v>Lecidea auriculata</v>
          </cell>
        </row>
        <row r="2395">
          <cell r="A2395" t="str">
            <v>Lecidea confluens</v>
          </cell>
          <cell r="B2395" t="str">
            <v>Lichens</v>
          </cell>
          <cell r="C2395" t="str">
            <v>Mycophycophyta</v>
          </cell>
          <cell r="D2395" t="str">
            <v>Lecidea confluens</v>
          </cell>
          <cell r="E2395" t="str">
            <v>LC</v>
          </cell>
          <cell r="F2395" t="str">
            <v>Woods &amp; Coppins, 2012</v>
          </cell>
          <cell r="G2395" t="str">
            <v>NBNSYS0000018657</v>
          </cell>
          <cell r="H2395" t="str">
            <v>Lecidea confluens</v>
          </cell>
        </row>
        <row r="2396">
          <cell r="A2396" t="str">
            <v>Lecidea diducens</v>
          </cell>
          <cell r="B2396" t="str">
            <v>Lichens</v>
          </cell>
          <cell r="C2396" t="str">
            <v>Mycophycophyta</v>
          </cell>
          <cell r="D2396" t="str">
            <v>Lecidea diducens</v>
          </cell>
          <cell r="E2396" t="str">
            <v>LC</v>
          </cell>
          <cell r="F2396" t="str">
            <v>Woods &amp; Coppins, 2012</v>
          </cell>
          <cell r="G2396" t="str">
            <v>NBNSYS0000018661</v>
          </cell>
          <cell r="H2396" t="str">
            <v>Lecidea diducens</v>
          </cell>
        </row>
        <row r="2397">
          <cell r="A2397" t="str">
            <v>Lecidea erythrophaea</v>
          </cell>
          <cell r="B2397" t="str">
            <v>Lichens</v>
          </cell>
          <cell r="C2397" t="str">
            <v>Mycophycophyta</v>
          </cell>
          <cell r="D2397" t="str">
            <v>Lecidea erythrophaea</v>
          </cell>
          <cell r="E2397" t="str">
            <v>VU</v>
          </cell>
          <cell r="F2397" t="str">
            <v>Woods &amp; Coppins, 2012</v>
          </cell>
          <cell r="G2397" t="str">
            <v>NBNSYS0000018665</v>
          </cell>
          <cell r="H2397" t="str">
            <v>Lecidea erythrophaea</v>
          </cell>
        </row>
        <row r="2398">
          <cell r="A2398" t="str">
            <v>Lecidea fuliginosa</v>
          </cell>
          <cell r="B2398" t="str">
            <v>Lichens</v>
          </cell>
          <cell r="C2398" t="str">
            <v>Mycophycophyta</v>
          </cell>
          <cell r="D2398" t="str">
            <v>Lecidea fuliginosa</v>
          </cell>
          <cell r="E2398" t="str">
            <v>LC</v>
          </cell>
          <cell r="F2398" t="str">
            <v>Woods &amp; Coppins, 2012</v>
          </cell>
          <cell r="G2398" t="str">
            <v>NBNSYS0000018666</v>
          </cell>
          <cell r="H2398" t="str">
            <v>Lecidea fuliginosa</v>
          </cell>
        </row>
        <row r="2399">
          <cell r="A2399" t="str">
            <v>Lecidea fuscoatra</v>
          </cell>
          <cell r="B2399" t="str">
            <v>Lichens</v>
          </cell>
          <cell r="C2399" t="str">
            <v>Mycophycophyta</v>
          </cell>
          <cell r="D2399" t="str">
            <v>Lecidea fuscoatra</v>
          </cell>
          <cell r="E2399" t="str">
            <v>LC</v>
          </cell>
          <cell r="F2399" t="str">
            <v>Woods &amp; Coppins, 2012</v>
          </cell>
          <cell r="G2399" t="str">
            <v>NHMSYS0020987752</v>
          </cell>
          <cell r="H2399" t="str">
            <v>Lecidea fuscoatra</v>
          </cell>
        </row>
        <row r="2400">
          <cell r="A2400" t="str">
            <v>Lecidea grisella</v>
          </cell>
          <cell r="B2400" t="str">
            <v>Lichens</v>
          </cell>
          <cell r="C2400" t="str">
            <v>Mycophycophyta</v>
          </cell>
          <cell r="D2400" t="str">
            <v>Lecidea grisella</v>
          </cell>
          <cell r="E2400" t="str">
            <v>LC</v>
          </cell>
          <cell r="F2400" t="str">
            <v>Woods &amp; Coppins, 2012</v>
          </cell>
          <cell r="G2400" t="str">
            <v>BMSSYS0000009847</v>
          </cell>
          <cell r="H2400" t="str">
            <v>Lecidea grisella</v>
          </cell>
        </row>
        <row r="2401">
          <cell r="A2401" t="str">
            <v>Lecidea hypnorum</v>
          </cell>
          <cell r="B2401" t="str">
            <v>Lichens</v>
          </cell>
          <cell r="C2401" t="str">
            <v>Mycophycophyta</v>
          </cell>
          <cell r="D2401" t="str">
            <v>Lecidea hypnorum</v>
          </cell>
          <cell r="E2401" t="str">
            <v>LC</v>
          </cell>
          <cell r="F2401" t="str">
            <v>Woods &amp; Coppins, 2012</v>
          </cell>
          <cell r="G2401" t="str">
            <v>BMSSYS0000043192</v>
          </cell>
          <cell r="H2401" t="str">
            <v>Lecidea hypnorum</v>
          </cell>
        </row>
        <row r="2402">
          <cell r="A2402" t="str">
            <v>Lecidea hypopta</v>
          </cell>
          <cell r="B2402" t="str">
            <v>Lichens</v>
          </cell>
          <cell r="C2402" t="str">
            <v>Mycophycophyta</v>
          </cell>
          <cell r="D2402" t="str">
            <v>Lecidea hypopta</v>
          </cell>
          <cell r="E2402" t="str">
            <v>LC</v>
          </cell>
          <cell r="F2402" t="str">
            <v>Woods &amp; Coppins, 2012</v>
          </cell>
          <cell r="G2402" t="str">
            <v>BMSSYS0000731180</v>
          </cell>
          <cell r="H2402" t="str">
            <v>Lecidea hypopta</v>
          </cell>
        </row>
        <row r="2403">
          <cell r="A2403" t="str">
            <v>Lecidea inops</v>
          </cell>
          <cell r="B2403" t="str">
            <v>Lichens</v>
          </cell>
          <cell r="C2403" t="str">
            <v>Mycophycophyta</v>
          </cell>
          <cell r="D2403" t="str">
            <v>Lecidea inops</v>
          </cell>
          <cell r="E2403" t="str">
            <v>EN</v>
          </cell>
          <cell r="F2403" t="str">
            <v>Woods &amp; Coppins, 2012</v>
          </cell>
          <cell r="G2403" t="str">
            <v>NBNSYS0000018676</v>
          </cell>
          <cell r="H2403" t="str">
            <v>Lecidea inops</v>
          </cell>
        </row>
        <row r="2404">
          <cell r="A2404" t="str">
            <v>Lecidea lactea s. str.</v>
          </cell>
          <cell r="B2404" t="str">
            <v>Lichens</v>
          </cell>
          <cell r="C2404" t="str">
            <v>Mycophycophyta</v>
          </cell>
          <cell r="D2404" t="str">
            <v>Lecidea lactea s. str.</v>
          </cell>
          <cell r="E2404" t="str">
            <v>LC</v>
          </cell>
          <cell r="F2404" t="str">
            <v>Woods &amp; Coppins, 2012</v>
          </cell>
          <cell r="G2404" t="str">
            <v>NHMSYS0000364668</v>
          </cell>
          <cell r="H2404" t="str">
            <v>Lecidea lactea s. str.</v>
          </cell>
        </row>
        <row r="2405">
          <cell r="A2405" t="str">
            <v>Lecidea lapicida</v>
          </cell>
          <cell r="B2405" t="str">
            <v>Lichens</v>
          </cell>
          <cell r="C2405" t="str">
            <v>Mycophycophyta</v>
          </cell>
          <cell r="D2405" t="str">
            <v>Lecidea lapicida</v>
          </cell>
          <cell r="E2405" t="str">
            <v>LC</v>
          </cell>
          <cell r="F2405" t="str">
            <v>Woods &amp; Coppins, 2012</v>
          </cell>
          <cell r="G2405" t="str">
            <v>NBNSYS0000018682</v>
          </cell>
          <cell r="H2405" t="str">
            <v>Lecidea lapicida</v>
          </cell>
        </row>
        <row r="2406">
          <cell r="A2406" t="str">
            <v>Lecidea lichenicola</v>
          </cell>
          <cell r="B2406" t="str">
            <v>Lichens</v>
          </cell>
          <cell r="C2406" t="str">
            <v>Mycophycophyta</v>
          </cell>
          <cell r="D2406" t="str">
            <v>Lecidea lichenicola</v>
          </cell>
          <cell r="E2406" t="str">
            <v>LC</v>
          </cell>
          <cell r="F2406" t="str">
            <v>Woods &amp; Coppins, 2012</v>
          </cell>
          <cell r="G2406" t="str">
            <v>NBNSYS0000018684</v>
          </cell>
          <cell r="H2406" t="str">
            <v>Lecidea lichenicola</v>
          </cell>
        </row>
        <row r="2407">
          <cell r="A2407" t="str">
            <v>Lecidea lithophila</v>
          </cell>
          <cell r="B2407" t="str">
            <v>Lichens</v>
          </cell>
          <cell r="C2407" t="str">
            <v>Mycophycophyta</v>
          </cell>
          <cell r="D2407" t="str">
            <v>Lecidea lithophila</v>
          </cell>
          <cell r="E2407" t="str">
            <v>LC</v>
          </cell>
          <cell r="F2407" t="str">
            <v>Woods &amp; Coppins, 2012</v>
          </cell>
          <cell r="G2407" t="str">
            <v>NBNSYS0000018687</v>
          </cell>
          <cell r="H2407" t="str">
            <v>Lecidea lithophila</v>
          </cell>
        </row>
        <row r="2408">
          <cell r="A2408" t="str">
            <v>Lecidea nylanderi</v>
          </cell>
          <cell r="B2408" t="str">
            <v>Lichens</v>
          </cell>
          <cell r="C2408" t="str">
            <v>Mycophycophyta</v>
          </cell>
          <cell r="D2408" t="str">
            <v>Lecidea nylanderi</v>
          </cell>
          <cell r="E2408" t="str">
            <v>LC</v>
          </cell>
          <cell r="F2408" t="str">
            <v>Woods &amp; Coppins, 2012</v>
          </cell>
          <cell r="G2408" t="str">
            <v>BMSSYS0000009940</v>
          </cell>
          <cell r="H2408" t="str">
            <v>Lecidea nylanderi</v>
          </cell>
        </row>
        <row r="2409">
          <cell r="A2409" t="str">
            <v>Lecidea paupercula</v>
          </cell>
          <cell r="B2409" t="str">
            <v>Lichens</v>
          </cell>
          <cell r="C2409" t="str">
            <v>Mycophycophyta</v>
          </cell>
          <cell r="D2409" t="str">
            <v>Lecidea paupercula</v>
          </cell>
          <cell r="E2409" t="str">
            <v>LC</v>
          </cell>
          <cell r="F2409" t="str">
            <v>Woods &amp; Coppins, 2012</v>
          </cell>
          <cell r="G2409" t="str">
            <v>NHMSYS0001486839</v>
          </cell>
          <cell r="H2409" t="str">
            <v>Lecidea paupercula</v>
          </cell>
        </row>
        <row r="2410">
          <cell r="A2410" t="str">
            <v>Lecidea phaeops</v>
          </cell>
          <cell r="B2410" t="str">
            <v>Lichens</v>
          </cell>
          <cell r="C2410" t="str">
            <v>Mycophycophyta</v>
          </cell>
          <cell r="D2410" t="str">
            <v>Lecidea phaeops</v>
          </cell>
          <cell r="E2410" t="str">
            <v>LC</v>
          </cell>
          <cell r="F2410" t="str">
            <v>Woods &amp; Coppins, 2012</v>
          </cell>
          <cell r="G2410" t="str">
            <v>NBNSYS0000018705</v>
          </cell>
          <cell r="H2410" t="str">
            <v>Lecidea phaeops</v>
          </cell>
        </row>
        <row r="2411">
          <cell r="A2411" t="str">
            <v>Lecidea plana</v>
          </cell>
          <cell r="B2411" t="str">
            <v>Lichens</v>
          </cell>
          <cell r="C2411" t="str">
            <v>Mycophycophyta</v>
          </cell>
          <cell r="D2411" t="str">
            <v>Lecidea plana</v>
          </cell>
          <cell r="E2411" t="str">
            <v>LC</v>
          </cell>
          <cell r="F2411" t="str">
            <v>Woods &amp; Coppins, 2012</v>
          </cell>
          <cell r="G2411" t="str">
            <v>NHMSYS0001486855</v>
          </cell>
          <cell r="H2411" t="str">
            <v>Lecidea plana</v>
          </cell>
        </row>
        <row r="2412">
          <cell r="A2412" t="str">
            <v>Lecidea sanguineoatra</v>
          </cell>
          <cell r="B2412" t="str">
            <v>Lichens</v>
          </cell>
          <cell r="C2412" t="str">
            <v>Mycophycophyta</v>
          </cell>
          <cell r="D2412" t="str">
            <v>Lecidea sanguineoatra</v>
          </cell>
          <cell r="E2412" t="str">
            <v>LC</v>
          </cell>
          <cell r="F2412" t="str">
            <v>Woods &amp; Coppins, 2012</v>
          </cell>
          <cell r="G2412" t="str">
            <v>BMSSYS0000043193</v>
          </cell>
          <cell r="H2412" t="str">
            <v>Lecidea sanguineoatra</v>
          </cell>
        </row>
        <row r="2413">
          <cell r="A2413" t="str">
            <v>Lecidea sarcogynoides</v>
          </cell>
          <cell r="B2413" t="str">
            <v>Lichens</v>
          </cell>
          <cell r="C2413" t="str">
            <v>Mycophycophyta</v>
          </cell>
          <cell r="D2413" t="str">
            <v>Lecidea sarcogynoides</v>
          </cell>
          <cell r="E2413" t="str">
            <v>VU</v>
          </cell>
          <cell r="F2413" t="str">
            <v>Woods &amp; Coppins, 2012</v>
          </cell>
          <cell r="G2413" t="str">
            <v>NBNSYS0000018713</v>
          </cell>
          <cell r="H2413" t="str">
            <v>Lecidea sarcogynoides</v>
          </cell>
        </row>
        <row r="2414">
          <cell r="A2414" t="str">
            <v>Lecidea silacea</v>
          </cell>
          <cell r="B2414" t="str">
            <v>Lichens</v>
          </cell>
          <cell r="C2414" t="str">
            <v>Mycophycophyta</v>
          </cell>
          <cell r="D2414" t="str">
            <v>Lecidea silacea</v>
          </cell>
          <cell r="E2414" t="str">
            <v>LC</v>
          </cell>
          <cell r="F2414" t="str">
            <v>Woods &amp; Coppins, 2012</v>
          </cell>
          <cell r="G2414" t="str">
            <v>NHMSYS0001486913</v>
          </cell>
          <cell r="H2414" t="str">
            <v>Lecidea silacea</v>
          </cell>
        </row>
        <row r="2415">
          <cell r="A2415" t="str">
            <v>Lecidea swartzioidea</v>
          </cell>
          <cell r="B2415" t="str">
            <v>Lichens</v>
          </cell>
          <cell r="C2415" t="str">
            <v>Mycophycophyta</v>
          </cell>
          <cell r="D2415" t="str">
            <v>Lecidea swartzioidea</v>
          </cell>
          <cell r="E2415" t="str">
            <v>LC</v>
          </cell>
          <cell r="F2415" t="str">
            <v>Woods &amp; Coppins, 2012</v>
          </cell>
          <cell r="G2415" t="str">
            <v>BMSSYS0000010048</v>
          </cell>
          <cell r="H2415" t="str">
            <v>Lecidea swartzioidea</v>
          </cell>
        </row>
        <row r="2416">
          <cell r="A2416" t="str">
            <v>Lecidea turgidula</v>
          </cell>
          <cell r="B2416" t="str">
            <v>Lichens</v>
          </cell>
          <cell r="C2416" t="str">
            <v>Mycophycophyta</v>
          </cell>
          <cell r="D2416" t="str">
            <v>Lecidea turgidula</v>
          </cell>
          <cell r="E2416" t="str">
            <v>LC</v>
          </cell>
          <cell r="F2416" t="str">
            <v>Woods &amp; Coppins, 2012</v>
          </cell>
          <cell r="G2416" t="str">
            <v>NBNSYS0000018731</v>
          </cell>
          <cell r="H2416" t="str">
            <v>Lecidea turgidula</v>
          </cell>
        </row>
        <row r="2417">
          <cell r="A2417" t="str">
            <v>Lecidella anomaloides</v>
          </cell>
          <cell r="B2417" t="str">
            <v>Lichens</v>
          </cell>
          <cell r="C2417" t="str">
            <v>Mycophycophyta</v>
          </cell>
          <cell r="D2417" t="str">
            <v>Lecidella anomaloides</v>
          </cell>
          <cell r="E2417" t="str">
            <v>LC</v>
          </cell>
          <cell r="F2417" t="str">
            <v>Woods &amp; Coppins, 2012</v>
          </cell>
          <cell r="G2417" t="str">
            <v>NHMSYS0001486980</v>
          </cell>
          <cell r="H2417" t="str">
            <v>Lecidella anomaloides</v>
          </cell>
        </row>
        <row r="2418">
          <cell r="A2418" t="str">
            <v>Lecidella asema</v>
          </cell>
          <cell r="B2418" t="str">
            <v>Lichens</v>
          </cell>
          <cell r="C2418" t="str">
            <v>Mycophycophyta</v>
          </cell>
          <cell r="D2418" t="str">
            <v>Lecidella asema</v>
          </cell>
          <cell r="E2418" t="str">
            <v>LC</v>
          </cell>
          <cell r="F2418" t="str">
            <v>Woods &amp; Coppins, 2012</v>
          </cell>
          <cell r="G2418" t="str">
            <v>NHMSYS0001486981</v>
          </cell>
          <cell r="H2418" t="str">
            <v>Lecidella asema</v>
          </cell>
        </row>
        <row r="2419">
          <cell r="A2419" t="str">
            <v>Lecidella carpathica</v>
          </cell>
          <cell r="B2419" t="str">
            <v>Lichens</v>
          </cell>
          <cell r="C2419" t="str">
            <v>Mycophycophyta</v>
          </cell>
          <cell r="D2419" t="str">
            <v>Lecidella carpathica</v>
          </cell>
          <cell r="E2419" t="str">
            <v>LC</v>
          </cell>
          <cell r="F2419" t="str">
            <v>Woods &amp; Coppins, 2012</v>
          </cell>
          <cell r="G2419" t="str">
            <v>NBNSYS0000018739</v>
          </cell>
          <cell r="H2419" t="str">
            <v>Lecidella carpathica</v>
          </cell>
        </row>
        <row r="2420">
          <cell r="A2420" t="str">
            <v>Lecidella elaeochroma f. elaeochroma, Lecidella elaeochroma f. soralifera</v>
          </cell>
          <cell r="B2420" t="str">
            <v>Lichens</v>
          </cell>
          <cell r="C2420" t="str">
            <v>Mycophycophyta</v>
          </cell>
          <cell r="D2420" t="str">
            <v>Lecidella elaeochroma (f. elaeochroma/f. soralifera)</v>
          </cell>
          <cell r="E2420" t="str">
            <v>LC</v>
          </cell>
          <cell r="F2420" t="str">
            <v>Woods &amp; Coppins, 2012</v>
          </cell>
          <cell r="G2420" t="str">
            <v>NHMSYS0001486983</v>
          </cell>
          <cell r="H2420" t="str">
            <v>Lecidella elaeochroma f. elaeochroma, Lecidella elaeochroma f. soralifera</v>
          </cell>
        </row>
        <row r="2421">
          <cell r="A2421" t="str">
            <v>Lecidella meiococca</v>
          </cell>
          <cell r="B2421" t="str">
            <v>Lichens</v>
          </cell>
          <cell r="C2421" t="str">
            <v>Mycophycophyta</v>
          </cell>
          <cell r="D2421" t="str">
            <v>Lecidella meiococca</v>
          </cell>
          <cell r="E2421" t="str">
            <v>LC</v>
          </cell>
          <cell r="F2421" t="str">
            <v>Woods &amp; Coppins, 2012</v>
          </cell>
          <cell r="G2421" t="str">
            <v>BMSSYS0000010097</v>
          </cell>
          <cell r="H2421" t="str">
            <v>Lecidella meiococca</v>
          </cell>
        </row>
        <row r="2422">
          <cell r="A2422" t="str">
            <v>Lecidella pulveracea</v>
          </cell>
          <cell r="B2422" t="str">
            <v>Lichens</v>
          </cell>
          <cell r="C2422" t="str">
            <v>Mycophycophyta</v>
          </cell>
          <cell r="D2422" t="str">
            <v>Lecidella pulveracea</v>
          </cell>
          <cell r="E2422" t="str">
            <v>EX</v>
          </cell>
          <cell r="F2422" t="str">
            <v>Woods &amp; Coppins, 2012</v>
          </cell>
          <cell r="G2422" t="str">
            <v>NHMSYS0001486993</v>
          </cell>
          <cell r="H2422" t="str">
            <v>Lecidella pulveracea</v>
          </cell>
        </row>
        <row r="2423">
          <cell r="A2423" t="str">
            <v>Lecidella scabra</v>
          </cell>
          <cell r="B2423" t="str">
            <v>Lichens</v>
          </cell>
          <cell r="C2423" t="str">
            <v>Mycophycophyta</v>
          </cell>
          <cell r="D2423" t="str">
            <v>Lecidella scabra</v>
          </cell>
          <cell r="E2423" t="str">
            <v>LC</v>
          </cell>
          <cell r="F2423" t="str">
            <v>Woods &amp; Coppins, 2012</v>
          </cell>
          <cell r="G2423" t="str">
            <v>NBNSYS0000018745</v>
          </cell>
          <cell r="H2423" t="str">
            <v>Lecidella scabra</v>
          </cell>
        </row>
        <row r="2424">
          <cell r="A2424" t="str">
            <v>Lecidella stigmatea</v>
          </cell>
          <cell r="B2424" t="str">
            <v>Lichens</v>
          </cell>
          <cell r="C2424" t="str">
            <v>Mycophycophyta</v>
          </cell>
          <cell r="D2424" t="str">
            <v>Lecidella stigmatea</v>
          </cell>
          <cell r="E2424" t="str">
            <v>LC</v>
          </cell>
          <cell r="F2424" t="str">
            <v>Woods &amp; Coppins, 2012</v>
          </cell>
          <cell r="G2424" t="str">
            <v>NBNSYS0000018746</v>
          </cell>
          <cell r="H2424" t="str">
            <v>Lecidella stigmatea</v>
          </cell>
        </row>
        <row r="2425">
          <cell r="A2425" t="str">
            <v>Lecidoma demissum</v>
          </cell>
          <cell r="B2425" t="str">
            <v>Lichens</v>
          </cell>
          <cell r="C2425" t="str">
            <v>Mycophycophyta</v>
          </cell>
          <cell r="D2425" t="str">
            <v>Lecidoma demissum</v>
          </cell>
          <cell r="E2425" t="str">
            <v>LC</v>
          </cell>
          <cell r="F2425" t="str">
            <v>Woods &amp; Coppins, 2012</v>
          </cell>
          <cell r="G2425" t="str">
            <v>NBNSYS0000018750</v>
          </cell>
          <cell r="H2425" t="str">
            <v>Lecidoma demissum</v>
          </cell>
        </row>
        <row r="2426">
          <cell r="A2426" t="str">
            <v>Lemmopsis arnoldiana</v>
          </cell>
          <cell r="B2426" t="str">
            <v>Lichens</v>
          </cell>
          <cell r="C2426" t="str">
            <v>Mycophycophyta</v>
          </cell>
          <cell r="D2426" t="str">
            <v>Lemmopsis arnoldiana</v>
          </cell>
          <cell r="E2426" t="str">
            <v>NT</v>
          </cell>
          <cell r="F2426" t="str">
            <v>Woods &amp; Coppins, 2012</v>
          </cell>
          <cell r="G2426" t="str">
            <v>NBNSYS0000018751</v>
          </cell>
          <cell r="H2426" t="str">
            <v>Lemmopsis arnoldiana</v>
          </cell>
        </row>
        <row r="2427">
          <cell r="A2427" t="str">
            <v>Lempholemma botryosum</v>
          </cell>
          <cell r="B2427" t="str">
            <v>Lichens</v>
          </cell>
          <cell r="C2427" t="str">
            <v>Mycophycophyta</v>
          </cell>
          <cell r="D2427" t="str">
            <v>Lempholemma botryosum</v>
          </cell>
          <cell r="E2427" t="str">
            <v>LC</v>
          </cell>
          <cell r="F2427" t="str">
            <v>Woods &amp; Coppins, 2012</v>
          </cell>
          <cell r="G2427" t="str">
            <v>NBNSYS0000018753</v>
          </cell>
          <cell r="H2427" t="str">
            <v>Lempholemma botryosum</v>
          </cell>
        </row>
        <row r="2428">
          <cell r="A2428" t="str">
            <v>Lempholemma chalazanellum</v>
          </cell>
          <cell r="B2428" t="str">
            <v>Lichens</v>
          </cell>
          <cell r="C2428" t="str">
            <v>Mycophycophyta</v>
          </cell>
          <cell r="D2428" t="str">
            <v>Lempholemma chalazanellum</v>
          </cell>
          <cell r="E2428" t="str">
            <v>LC</v>
          </cell>
          <cell r="F2428" t="str">
            <v>Woods &amp; Coppins, 2012</v>
          </cell>
          <cell r="G2428" t="str">
            <v>NBNSYS0000018754</v>
          </cell>
          <cell r="H2428" t="str">
            <v>Lempholemma chalazanellum</v>
          </cell>
        </row>
        <row r="2429">
          <cell r="A2429" t="str">
            <v>Lempholemma cladodes</v>
          </cell>
          <cell r="B2429" t="str">
            <v>Lichens</v>
          </cell>
          <cell r="C2429" t="str">
            <v>Mycophycophyta</v>
          </cell>
          <cell r="D2429" t="str">
            <v>Lempholemma cladodes</v>
          </cell>
          <cell r="E2429" t="str">
            <v>NT</v>
          </cell>
          <cell r="F2429" t="str">
            <v>Woods &amp; Coppins, 2012</v>
          </cell>
          <cell r="G2429" t="str">
            <v>NBNSYS0000018757</v>
          </cell>
          <cell r="H2429" t="str">
            <v>Lempholemma cladodes</v>
          </cell>
        </row>
        <row r="2430">
          <cell r="A2430" t="str">
            <v>Lempholemma polyanthes</v>
          </cell>
          <cell r="B2430" t="str">
            <v>Lichens</v>
          </cell>
          <cell r="C2430" t="str">
            <v>Mycophycophyta</v>
          </cell>
          <cell r="D2430" t="str">
            <v>Lempholemma polyanthes</v>
          </cell>
          <cell r="E2430" t="str">
            <v>LC</v>
          </cell>
          <cell r="F2430" t="str">
            <v>Woods &amp; Coppins, 2012</v>
          </cell>
          <cell r="G2430" t="str">
            <v>BMSSYS0000010126</v>
          </cell>
          <cell r="H2430" t="str">
            <v>Lempholemma polyanthes</v>
          </cell>
        </row>
        <row r="2431">
          <cell r="A2431" t="str">
            <v>Lepraria alpina</v>
          </cell>
          <cell r="B2431" t="str">
            <v>Lichens</v>
          </cell>
          <cell r="C2431" t="str">
            <v>Mycophycophyta</v>
          </cell>
          <cell r="D2431" t="str">
            <v>Lepraria alpina</v>
          </cell>
          <cell r="E2431" t="str">
            <v>LC</v>
          </cell>
          <cell r="F2431" t="str">
            <v>Woods &amp; Coppins, 2012</v>
          </cell>
          <cell r="G2431" t="str">
            <v>NHMSYS0020535618</v>
          </cell>
          <cell r="H2431" t="str">
            <v>Lepraria alpina</v>
          </cell>
        </row>
        <row r="2432">
          <cell r="A2432" t="str">
            <v>Lepraria atlantica</v>
          </cell>
          <cell r="B2432" t="str">
            <v>Lichens</v>
          </cell>
          <cell r="C2432" t="str">
            <v>Mycophycophyta</v>
          </cell>
          <cell r="D2432" t="str">
            <v>Lepraria atlantica</v>
          </cell>
          <cell r="E2432" t="str">
            <v>LC</v>
          </cell>
          <cell r="F2432" t="str">
            <v>Woods &amp; Coppins, 2012</v>
          </cell>
          <cell r="G2432" t="str">
            <v>NHMSYS0001487369</v>
          </cell>
          <cell r="H2432" t="str">
            <v>Lepraria atlantica</v>
          </cell>
        </row>
        <row r="2433">
          <cell r="A2433" t="str">
            <v>Lepraria borealis</v>
          </cell>
          <cell r="B2433" t="str">
            <v>Lichens</v>
          </cell>
          <cell r="C2433" t="str">
            <v>Mycophycophyta</v>
          </cell>
          <cell r="D2433" t="str">
            <v>Lepraria borealis</v>
          </cell>
          <cell r="E2433" t="str">
            <v>LC</v>
          </cell>
          <cell r="F2433" t="str">
            <v>Woods &amp; Coppins, 2012</v>
          </cell>
          <cell r="G2433" t="str">
            <v>BMSSYS0000010275</v>
          </cell>
          <cell r="H2433" t="str">
            <v>Lepraria borealis</v>
          </cell>
        </row>
        <row r="2434">
          <cell r="A2434" t="str">
            <v>Lepraria caesioalba</v>
          </cell>
          <cell r="B2434" t="str">
            <v>Lichens</v>
          </cell>
          <cell r="C2434" t="str">
            <v>Mycophycophyta</v>
          </cell>
          <cell r="D2434" t="str">
            <v>Lepraria caesioalba</v>
          </cell>
          <cell r="E2434" t="str">
            <v>LC</v>
          </cell>
          <cell r="F2434" t="str">
            <v>Woods &amp; Coppins, 2012</v>
          </cell>
          <cell r="G2434" t="str">
            <v>NHMSYS0020990493</v>
          </cell>
          <cell r="H2434" t="str">
            <v>Lepraria caesioalba</v>
          </cell>
        </row>
        <row r="2435">
          <cell r="A2435" t="str">
            <v>Lepraria crassissima</v>
          </cell>
          <cell r="B2435" t="str">
            <v>Lichens</v>
          </cell>
          <cell r="C2435" t="str">
            <v>Mycophycophyta</v>
          </cell>
          <cell r="D2435" t="str">
            <v>Lepraria crassissima</v>
          </cell>
          <cell r="E2435" t="str">
            <v>LC</v>
          </cell>
          <cell r="F2435" t="str">
            <v>Woods &amp; Coppins, 2012</v>
          </cell>
          <cell r="G2435" t="str">
            <v>NHMSYS0001487378</v>
          </cell>
          <cell r="H2435" t="str">
            <v>Lepraria crassissima</v>
          </cell>
        </row>
        <row r="2436">
          <cell r="A2436" t="str">
            <v>Lepraria diffusa var. chrysodetoides, Lepraria diffusa var. diffusa</v>
          </cell>
          <cell r="B2436" t="str">
            <v>Lichens</v>
          </cell>
          <cell r="C2436" t="str">
            <v>Mycophycophyta</v>
          </cell>
          <cell r="D2436" t="str">
            <v>Lepraria diffusa (var. chrysodetoides/var. diffusa)</v>
          </cell>
          <cell r="E2436" t="str">
            <v>LC</v>
          </cell>
          <cell r="F2436" t="str">
            <v>Woods &amp; Coppins, 2012</v>
          </cell>
          <cell r="G2436" t="str">
            <v>NHMSYS0000363086</v>
          </cell>
          <cell r="H2436" t="str">
            <v>Lepraria diffusa var. chrysodetoides, Lepraria diffusa var. diffusa</v>
          </cell>
        </row>
        <row r="2437">
          <cell r="A2437" t="str">
            <v>Lepraria eburnea</v>
          </cell>
          <cell r="B2437" t="str">
            <v>Lichens</v>
          </cell>
          <cell r="C2437" t="str">
            <v>Mycophycophyta</v>
          </cell>
          <cell r="D2437" t="str">
            <v>Lepraria eburnea</v>
          </cell>
          <cell r="E2437" t="str">
            <v>LC</v>
          </cell>
          <cell r="F2437" t="str">
            <v>Woods &amp; Coppins, 2012</v>
          </cell>
          <cell r="G2437" t="str">
            <v>NHMSYS0001487381</v>
          </cell>
          <cell r="H2437" t="str">
            <v>Lepraria eburnea</v>
          </cell>
        </row>
        <row r="2438">
          <cell r="A2438" t="str">
            <v>Lepraria ecorticata</v>
          </cell>
          <cell r="B2438" t="str">
            <v>Lichens</v>
          </cell>
          <cell r="C2438" t="str">
            <v>Mycophycophyta</v>
          </cell>
          <cell r="D2438" t="str">
            <v>Lepraria ecorticata</v>
          </cell>
          <cell r="E2438" t="str">
            <v>LC</v>
          </cell>
          <cell r="F2438" t="str">
            <v>Woods &amp; Coppins, 2012</v>
          </cell>
          <cell r="G2438" t="str">
            <v>NHMSYS0021576743</v>
          </cell>
          <cell r="H2438" t="str">
            <v>Lepraria ecorticata</v>
          </cell>
        </row>
        <row r="2439">
          <cell r="A2439" t="str">
            <v>Lepraria elobata</v>
          </cell>
          <cell r="B2439" t="str">
            <v>Lichens</v>
          </cell>
          <cell r="C2439" t="str">
            <v>Mycophycophyta</v>
          </cell>
          <cell r="D2439" t="str">
            <v>Lepraria elobata</v>
          </cell>
          <cell r="E2439" t="str">
            <v>LC</v>
          </cell>
          <cell r="F2439" t="str">
            <v>Woods &amp; Coppins, 2012</v>
          </cell>
          <cell r="G2439" t="str">
            <v>BMSSYS0000010284</v>
          </cell>
          <cell r="H2439" t="str">
            <v>Lepraria elobata</v>
          </cell>
        </row>
        <row r="2440">
          <cell r="A2440" t="str">
            <v>Lepraria humida</v>
          </cell>
          <cell r="B2440" t="str">
            <v>Lichens</v>
          </cell>
          <cell r="C2440" t="str">
            <v>Mycophycophyta</v>
          </cell>
          <cell r="D2440" t="str">
            <v>Lepraria humida</v>
          </cell>
          <cell r="E2440" t="str">
            <v>LC</v>
          </cell>
          <cell r="F2440" t="str">
            <v>Woods &amp; Coppins, 2012</v>
          </cell>
          <cell r="G2440" t="str">
            <v>BMSSYS0000047367</v>
          </cell>
          <cell r="H2440" t="str">
            <v>Lepraria humida</v>
          </cell>
        </row>
        <row r="2441">
          <cell r="A2441" t="str">
            <v>Lepraria incana</v>
          </cell>
          <cell r="B2441" t="str">
            <v>Lichens</v>
          </cell>
          <cell r="C2441" t="str">
            <v>Mycophycophyta</v>
          </cell>
          <cell r="D2441" t="str">
            <v>Lepraria incana</v>
          </cell>
          <cell r="E2441" t="str">
            <v>LC</v>
          </cell>
          <cell r="F2441" t="str">
            <v>Woods &amp; Coppins, 2012</v>
          </cell>
          <cell r="G2441" t="str">
            <v>NHMSYS0000364677</v>
          </cell>
          <cell r="H2441" t="str">
            <v>Lepraria incana</v>
          </cell>
        </row>
        <row r="2442">
          <cell r="A2442" t="str">
            <v>Lepraria jackii</v>
          </cell>
          <cell r="B2442" t="str">
            <v>Lichens</v>
          </cell>
          <cell r="C2442" t="str">
            <v>Mycophycophyta</v>
          </cell>
          <cell r="D2442" t="str">
            <v>Lepraria jackii</v>
          </cell>
          <cell r="E2442" t="str">
            <v>LC</v>
          </cell>
          <cell r="F2442" t="str">
            <v>Woods &amp; Coppins, 2012</v>
          </cell>
          <cell r="G2442" t="str">
            <v>NHMSYS0001487384</v>
          </cell>
          <cell r="H2442" t="str">
            <v>Lepraria jackii</v>
          </cell>
        </row>
        <row r="2443">
          <cell r="A2443" t="str">
            <v>Lepraria lobificans</v>
          </cell>
          <cell r="B2443" t="str">
            <v>Lichens</v>
          </cell>
          <cell r="C2443" t="str">
            <v>Mycophycophyta</v>
          </cell>
          <cell r="D2443" t="str">
            <v>Lepraria lobificans</v>
          </cell>
          <cell r="E2443" t="str">
            <v>LC</v>
          </cell>
          <cell r="F2443" t="str">
            <v>Woods &amp; Coppins, 2012</v>
          </cell>
          <cell r="G2443" t="str">
            <v>NHMSYS0001487382</v>
          </cell>
          <cell r="H2443" t="str">
            <v>Lepraria lobificans</v>
          </cell>
        </row>
        <row r="2444">
          <cell r="A2444" t="str">
            <v>Lepraria membranacea</v>
          </cell>
          <cell r="B2444" t="str">
            <v>Lichens</v>
          </cell>
          <cell r="C2444" t="str">
            <v>Mycophycophyta</v>
          </cell>
          <cell r="D2444" t="str">
            <v>Lepraria membranacea</v>
          </cell>
          <cell r="E2444" t="str">
            <v>LC</v>
          </cell>
          <cell r="F2444" t="str">
            <v>Woods &amp; Coppins, 2012</v>
          </cell>
          <cell r="G2444" t="str">
            <v>NHMSYS0001487390</v>
          </cell>
          <cell r="H2444" t="str">
            <v>Lepraria membranacea</v>
          </cell>
        </row>
        <row r="2445">
          <cell r="A2445" t="str">
            <v>Lepraria neglecta</v>
          </cell>
          <cell r="B2445" t="str">
            <v>Lichens</v>
          </cell>
          <cell r="C2445" t="str">
            <v>Mycophycophyta</v>
          </cell>
          <cell r="D2445" t="str">
            <v>Lepraria neglecta</v>
          </cell>
          <cell r="E2445" t="str">
            <v>LC</v>
          </cell>
          <cell r="F2445" t="str">
            <v>Woods &amp; Coppins, 2012</v>
          </cell>
          <cell r="G2445" t="str">
            <v>NHMSYS0001487391</v>
          </cell>
          <cell r="H2445" t="str">
            <v>Lepraria neglecta</v>
          </cell>
        </row>
        <row r="2446">
          <cell r="A2446" t="str">
            <v>Lepraria nivalis</v>
          </cell>
          <cell r="B2446" t="str">
            <v>Lichens</v>
          </cell>
          <cell r="C2446" t="str">
            <v>Mycophycophyta</v>
          </cell>
          <cell r="D2446" t="str">
            <v>Lepraria nivalis</v>
          </cell>
          <cell r="E2446" t="str">
            <v>LC</v>
          </cell>
          <cell r="F2446" t="str">
            <v>Woods &amp; Coppins, 2012</v>
          </cell>
          <cell r="G2446" t="str">
            <v>NHMSYS0001442931</v>
          </cell>
          <cell r="H2446" t="str">
            <v>Lepraria nivalis</v>
          </cell>
        </row>
        <row r="2447">
          <cell r="A2447" t="str">
            <v>Lepraria rigidula</v>
          </cell>
          <cell r="B2447" t="str">
            <v>Lichens</v>
          </cell>
          <cell r="C2447" t="str">
            <v>Mycophycophyta</v>
          </cell>
          <cell r="D2447" t="str">
            <v>Lepraria rigidula</v>
          </cell>
          <cell r="E2447" t="str">
            <v>LC</v>
          </cell>
          <cell r="F2447" t="str">
            <v>Woods &amp; Coppins, 2012</v>
          </cell>
          <cell r="G2447" t="str">
            <v>NHMSYS0020990498</v>
          </cell>
          <cell r="H2447" t="str">
            <v>Lepraria rigidula</v>
          </cell>
        </row>
        <row r="2448">
          <cell r="A2448" t="str">
            <v>Lepraria sylvicola</v>
          </cell>
          <cell r="B2448" t="str">
            <v>Lichens</v>
          </cell>
          <cell r="C2448" t="str">
            <v>Mycophycophyta</v>
          </cell>
          <cell r="D2448" t="str">
            <v>Lepraria sylvicola</v>
          </cell>
          <cell r="E2448" t="str">
            <v>LC</v>
          </cell>
          <cell r="F2448" t="str">
            <v>Woods &amp; Coppins, 2012</v>
          </cell>
          <cell r="G2448" t="str">
            <v>NHMSYS0020039025</v>
          </cell>
          <cell r="H2448" t="str">
            <v>Lepraria sylvicola</v>
          </cell>
        </row>
        <row r="2449">
          <cell r="A2449" t="str">
            <v>Lepraria umbricola</v>
          </cell>
          <cell r="B2449" t="str">
            <v>Lichens</v>
          </cell>
          <cell r="C2449" t="str">
            <v>Mycophycophyta</v>
          </cell>
          <cell r="D2449" t="str">
            <v>Lepraria umbricola</v>
          </cell>
          <cell r="E2449" t="str">
            <v>LC</v>
          </cell>
          <cell r="F2449" t="str">
            <v>Woods &amp; Coppins, 2012</v>
          </cell>
          <cell r="G2449" t="str">
            <v>BMSSYS0000010292</v>
          </cell>
          <cell r="H2449" t="str">
            <v>Lepraria umbricola</v>
          </cell>
        </row>
        <row r="2450">
          <cell r="A2450" t="str">
            <v>Lepraria vouauxii</v>
          </cell>
          <cell r="B2450" t="str">
            <v>Lichens</v>
          </cell>
          <cell r="C2450" t="str">
            <v>Mycophycophyta</v>
          </cell>
          <cell r="D2450" t="str">
            <v>Lepraria vouauxii</v>
          </cell>
          <cell r="E2450" t="str">
            <v>LC</v>
          </cell>
          <cell r="F2450" t="str">
            <v>Woods &amp; Coppins, 2012</v>
          </cell>
          <cell r="G2450" t="str">
            <v>NHMSYS0001487392</v>
          </cell>
          <cell r="H2450" t="str">
            <v>Lepraria vouauxii</v>
          </cell>
        </row>
        <row r="2451">
          <cell r="A2451" t="str">
            <v>Leprocaulon microscopicum</v>
          </cell>
          <cell r="B2451" t="str">
            <v>Lichens</v>
          </cell>
          <cell r="C2451" t="str">
            <v>Mycophycophyta</v>
          </cell>
          <cell r="D2451" t="str">
            <v>Leprocaulon microscopicum</v>
          </cell>
          <cell r="E2451" t="str">
            <v>LC</v>
          </cell>
          <cell r="F2451" t="str">
            <v>Woods &amp; Coppins, 2012</v>
          </cell>
          <cell r="G2451" t="str">
            <v>NHMSYS0001487394</v>
          </cell>
          <cell r="H2451" t="str">
            <v>Leprocaulon microscopicum</v>
          </cell>
        </row>
        <row r="2452">
          <cell r="A2452" t="str">
            <v>Leptogium biatorinum</v>
          </cell>
          <cell r="B2452" t="str">
            <v>Lichens</v>
          </cell>
          <cell r="C2452" t="str">
            <v>Mycophycophyta</v>
          </cell>
          <cell r="D2452" t="str">
            <v>Leptogium biatorinum</v>
          </cell>
          <cell r="E2452" t="str">
            <v>LC</v>
          </cell>
          <cell r="F2452" t="str">
            <v>Woods &amp; Coppins, 2012</v>
          </cell>
          <cell r="G2452" t="str">
            <v>NBNSYS0000018768</v>
          </cell>
          <cell r="H2452" t="str">
            <v>Leptogium biatorinum</v>
          </cell>
        </row>
        <row r="2453">
          <cell r="A2453" t="str">
            <v>Leptogium brebissonii</v>
          </cell>
          <cell r="B2453" t="str">
            <v>Lichens</v>
          </cell>
          <cell r="C2453" t="str">
            <v>Mycophycophyta</v>
          </cell>
          <cell r="D2453" t="str">
            <v>Leptogium brebissonii</v>
          </cell>
          <cell r="E2453" t="str">
            <v>NT</v>
          </cell>
          <cell r="F2453" t="str">
            <v>Woods &amp; Coppins, 2012</v>
          </cell>
          <cell r="G2453" t="str">
            <v>NBNSYS0000018769</v>
          </cell>
          <cell r="H2453" t="str">
            <v>Leptogium brebissonii</v>
          </cell>
        </row>
        <row r="2454">
          <cell r="A2454" t="str">
            <v>Leptogium britannicum</v>
          </cell>
          <cell r="B2454" t="str">
            <v>Lichens</v>
          </cell>
          <cell r="C2454" t="str">
            <v>Mycophycophyta</v>
          </cell>
          <cell r="D2454" t="str">
            <v>Leptogium britannicum</v>
          </cell>
          <cell r="E2454" t="str">
            <v>LC</v>
          </cell>
          <cell r="F2454" t="str">
            <v>Woods &amp; Coppins, 2012</v>
          </cell>
          <cell r="G2454" t="str">
            <v>NBNSYS0000018770</v>
          </cell>
          <cell r="H2454" t="str">
            <v>Leptogium britannicum</v>
          </cell>
        </row>
        <row r="2455">
          <cell r="A2455" t="str">
            <v>Leptogium burgessii</v>
          </cell>
          <cell r="B2455" t="str">
            <v>Lichens</v>
          </cell>
          <cell r="C2455" t="str">
            <v>Mycophycophyta</v>
          </cell>
          <cell r="D2455" t="str">
            <v>Leptogium burgessii</v>
          </cell>
          <cell r="E2455" t="str">
            <v>LC</v>
          </cell>
          <cell r="F2455" t="str">
            <v>Woods &amp; Coppins, 2012</v>
          </cell>
          <cell r="G2455" t="str">
            <v>NBNSYS0000018771</v>
          </cell>
          <cell r="H2455" t="str">
            <v>Leptogium burgessii</v>
          </cell>
        </row>
        <row r="2456">
          <cell r="A2456" t="str">
            <v>Leptogium cochleatum</v>
          </cell>
          <cell r="B2456" t="str">
            <v>Lichens</v>
          </cell>
          <cell r="C2456" t="str">
            <v>Mycophycophyta</v>
          </cell>
          <cell r="D2456" t="str">
            <v>Leptogium cochleatum</v>
          </cell>
          <cell r="E2456" t="str">
            <v>VU</v>
          </cell>
          <cell r="F2456" t="str">
            <v>Woods &amp; Coppins, 2012</v>
          </cell>
          <cell r="G2456" t="str">
            <v>NBNSYS0000018773</v>
          </cell>
          <cell r="H2456" t="str">
            <v>Leptogium cochleatum</v>
          </cell>
        </row>
        <row r="2457">
          <cell r="A2457" t="str">
            <v>Leptogium coralloideum</v>
          </cell>
          <cell r="B2457" t="str">
            <v>Lichens</v>
          </cell>
          <cell r="C2457" t="str">
            <v>Mycophycophyta</v>
          </cell>
          <cell r="D2457" t="str">
            <v>Leptogium coralloideum</v>
          </cell>
          <cell r="E2457" t="str">
            <v>VU</v>
          </cell>
          <cell r="F2457" t="str">
            <v>Woods &amp; Coppins, 2012</v>
          </cell>
          <cell r="G2457" t="str">
            <v>NHMSYS0001487420</v>
          </cell>
          <cell r="H2457" t="str">
            <v>Leptogium coralloideum</v>
          </cell>
        </row>
        <row r="2458">
          <cell r="A2458" t="str">
            <v>Leptogium cyanescens</v>
          </cell>
          <cell r="B2458" t="str">
            <v>Lichens</v>
          </cell>
          <cell r="C2458" t="str">
            <v>Mycophycophyta</v>
          </cell>
          <cell r="D2458" t="str">
            <v>Leptogium cyanescens</v>
          </cell>
          <cell r="E2458" t="str">
            <v>LC</v>
          </cell>
          <cell r="F2458" t="str">
            <v>Woods &amp; Coppins, 2012</v>
          </cell>
          <cell r="G2458" t="str">
            <v>NHMSYS0001487422</v>
          </cell>
          <cell r="H2458" t="str">
            <v>Leptogium cyanescens</v>
          </cell>
        </row>
        <row r="2459">
          <cell r="A2459" t="str">
            <v>Leptogium diffractum</v>
          </cell>
          <cell r="B2459" t="str">
            <v>Lichens</v>
          </cell>
          <cell r="C2459" t="str">
            <v>Mycophycophyta</v>
          </cell>
          <cell r="D2459" t="str">
            <v>Leptogium diffractum</v>
          </cell>
          <cell r="E2459" t="str">
            <v>NT</v>
          </cell>
          <cell r="F2459" t="str">
            <v>Woods &amp; Coppins, 2012</v>
          </cell>
          <cell r="G2459" t="str">
            <v>NBNSYS0000018776</v>
          </cell>
          <cell r="H2459" t="str">
            <v>Leptogium diffractum</v>
          </cell>
        </row>
        <row r="2460">
          <cell r="A2460" t="str">
            <v>Leptogium gelatinosum</v>
          </cell>
          <cell r="B2460" t="str">
            <v>Lichens</v>
          </cell>
          <cell r="C2460" t="str">
            <v>Mycophycophyta</v>
          </cell>
          <cell r="D2460" t="str">
            <v>Leptogium gelatinosum</v>
          </cell>
          <cell r="E2460" t="str">
            <v>LC</v>
          </cell>
          <cell r="F2460" t="str">
            <v>Woods &amp; Coppins, 2012</v>
          </cell>
          <cell r="G2460" t="str">
            <v>NHMSYS0001487425</v>
          </cell>
          <cell r="H2460" t="str">
            <v>Leptogium gelatinosum</v>
          </cell>
        </row>
        <row r="2461">
          <cell r="A2461" t="str">
            <v>Leptogium hildenbrandii</v>
          </cell>
          <cell r="B2461" t="str">
            <v>Lichens</v>
          </cell>
          <cell r="C2461" t="str">
            <v>Mycophycophyta</v>
          </cell>
          <cell r="D2461" t="str">
            <v>Leptogium hildenbrandii</v>
          </cell>
          <cell r="E2461" t="str">
            <v>EX</v>
          </cell>
          <cell r="F2461" t="str">
            <v>Woods &amp; Coppins, 2012</v>
          </cell>
          <cell r="G2461" t="str">
            <v>NBNSYS0000162172</v>
          </cell>
          <cell r="H2461" t="str">
            <v>Leptogium hildenbrandii</v>
          </cell>
        </row>
        <row r="2462">
          <cell r="A2462" t="str">
            <v>Leptogium intermedium</v>
          </cell>
          <cell r="B2462" t="str">
            <v>Lichens</v>
          </cell>
          <cell r="C2462" t="str">
            <v>Mycophycophyta</v>
          </cell>
          <cell r="D2462" t="str">
            <v>Leptogium intermedium</v>
          </cell>
          <cell r="E2462" t="str">
            <v>LC</v>
          </cell>
          <cell r="F2462" t="str">
            <v>Woods &amp; Coppins, 2012</v>
          </cell>
          <cell r="G2462" t="str">
            <v>NBNSYS0000018784</v>
          </cell>
          <cell r="H2462" t="str">
            <v>Leptogium intermedium</v>
          </cell>
        </row>
        <row r="2463">
          <cell r="A2463" t="str">
            <v>Leptogium lichenoides</v>
          </cell>
          <cell r="B2463" t="str">
            <v>Lichens</v>
          </cell>
          <cell r="C2463" t="str">
            <v>Mycophycophyta</v>
          </cell>
          <cell r="D2463" t="str">
            <v>Leptogium lichenoides</v>
          </cell>
          <cell r="E2463" t="str">
            <v>LC</v>
          </cell>
          <cell r="F2463" t="str">
            <v>Woods &amp; Coppins, 2012</v>
          </cell>
          <cell r="G2463" t="str">
            <v>NBNSYS0000018782</v>
          </cell>
          <cell r="H2463" t="str">
            <v>Leptogium lichenoides</v>
          </cell>
        </row>
        <row r="2464">
          <cell r="A2464" t="str">
            <v>Leptogium massiliense</v>
          </cell>
          <cell r="B2464" t="str">
            <v>Lichens</v>
          </cell>
          <cell r="C2464" t="str">
            <v>Mycophycophyta</v>
          </cell>
          <cell r="D2464" t="str">
            <v>Leptogium massiliense</v>
          </cell>
          <cell r="E2464" t="str">
            <v>NT</v>
          </cell>
          <cell r="F2464" t="str">
            <v>Woods &amp; Coppins, 2012</v>
          </cell>
          <cell r="G2464" t="str">
            <v>NBNSYS0000018783</v>
          </cell>
          <cell r="H2464" t="str">
            <v>Leptogium massiliense</v>
          </cell>
        </row>
        <row r="2465">
          <cell r="A2465" t="str">
            <v>Leptogium palmatum</v>
          </cell>
          <cell r="B2465" t="str">
            <v>Lichens</v>
          </cell>
          <cell r="C2465" t="str">
            <v>Mycophycophyta</v>
          </cell>
          <cell r="D2465" t="str">
            <v>Leptogium palmatum</v>
          </cell>
          <cell r="E2465" t="str">
            <v>NT</v>
          </cell>
          <cell r="F2465" t="str">
            <v>Woods &amp; Coppins, 2012</v>
          </cell>
          <cell r="G2465" t="str">
            <v>NBNSYS0000150331</v>
          </cell>
          <cell r="H2465" t="str">
            <v>Leptogium palmatum</v>
          </cell>
        </row>
        <row r="2466">
          <cell r="A2466" t="str">
            <v>Leptogium plicatile</v>
          </cell>
          <cell r="B2466" t="str">
            <v>Lichens</v>
          </cell>
          <cell r="C2466" t="str">
            <v>Mycophycophyta</v>
          </cell>
          <cell r="D2466" t="str">
            <v>Leptogium plicatile</v>
          </cell>
          <cell r="E2466" t="str">
            <v>LC</v>
          </cell>
          <cell r="F2466" t="str">
            <v>Woods &amp; Coppins, 2012</v>
          </cell>
          <cell r="G2466" t="str">
            <v>NBNSYS0000018786</v>
          </cell>
          <cell r="H2466" t="str">
            <v>Leptogium plicatile</v>
          </cell>
        </row>
        <row r="2467">
          <cell r="A2467" t="str">
            <v>Leptogium pulvinatum</v>
          </cell>
          <cell r="B2467" t="str">
            <v>Lichens</v>
          </cell>
          <cell r="C2467" t="str">
            <v>Mycophycophyta</v>
          </cell>
          <cell r="D2467" t="str">
            <v>Leptogium pulvinatum</v>
          </cell>
          <cell r="E2467" t="str">
            <v>LC</v>
          </cell>
          <cell r="F2467" t="str">
            <v>Woods &amp; Coppins, 2012</v>
          </cell>
          <cell r="G2467" t="str">
            <v>NHMSYS0020535622</v>
          </cell>
          <cell r="H2467" t="str">
            <v>Leptogium pulvinatum</v>
          </cell>
        </row>
        <row r="2468">
          <cell r="A2468" t="str">
            <v>Leptogium saturninum</v>
          </cell>
          <cell r="B2468" t="str">
            <v>Lichens</v>
          </cell>
          <cell r="C2468" t="str">
            <v>Mycophycophyta</v>
          </cell>
          <cell r="D2468" t="str">
            <v>Leptogium saturninum</v>
          </cell>
          <cell r="E2468" t="str">
            <v>VU</v>
          </cell>
          <cell r="F2468" t="str">
            <v>Woods &amp; Coppins, 2012</v>
          </cell>
          <cell r="G2468" t="str">
            <v>NBNSYS0000018787</v>
          </cell>
          <cell r="H2468" t="str">
            <v>Leptogium saturninum</v>
          </cell>
        </row>
        <row r="2469">
          <cell r="A2469" t="str">
            <v>Leptogium schraderi</v>
          </cell>
          <cell r="B2469" t="str">
            <v>Lichens</v>
          </cell>
          <cell r="C2469" t="str">
            <v>Mycophycophyta</v>
          </cell>
          <cell r="D2469" t="str">
            <v>Leptogium schraderi</v>
          </cell>
          <cell r="E2469" t="str">
            <v>LC</v>
          </cell>
          <cell r="F2469" t="str">
            <v>Woods &amp; Coppins, 2012</v>
          </cell>
          <cell r="G2469" t="str">
            <v>NBNSYS0000018788</v>
          </cell>
          <cell r="H2469" t="str">
            <v>Leptogium schraderi</v>
          </cell>
        </row>
        <row r="2470">
          <cell r="A2470" t="str">
            <v>Leptogium subtile</v>
          </cell>
          <cell r="B2470" t="str">
            <v>Lichens</v>
          </cell>
          <cell r="C2470" t="str">
            <v>Mycophycophyta</v>
          </cell>
          <cell r="D2470" t="str">
            <v>Leptogium subtile</v>
          </cell>
          <cell r="E2470" t="str">
            <v>LC</v>
          </cell>
          <cell r="F2470" t="str">
            <v>Woods &amp; Coppins, 2012</v>
          </cell>
          <cell r="G2470" t="str">
            <v>NHMSYS0001487441</v>
          </cell>
          <cell r="H2470" t="str">
            <v>Leptogium subtile</v>
          </cell>
        </row>
        <row r="2471">
          <cell r="A2471" t="str">
            <v>Leptogium subtorulosum</v>
          </cell>
          <cell r="B2471" t="str">
            <v>Lichens</v>
          </cell>
          <cell r="C2471" t="str">
            <v>Mycophycophyta</v>
          </cell>
          <cell r="D2471" t="str">
            <v>Leptogium subtorulosum</v>
          </cell>
          <cell r="E2471" t="str">
            <v>NT</v>
          </cell>
          <cell r="F2471" t="str">
            <v>Woods &amp; Coppins, 2012</v>
          </cell>
          <cell r="G2471" t="str">
            <v>BMSSYS0000010340</v>
          </cell>
          <cell r="H2471" t="str">
            <v>Leptogium subtorulosum</v>
          </cell>
        </row>
        <row r="2472">
          <cell r="A2472" t="str">
            <v>Leptogium tenuissimum</v>
          </cell>
          <cell r="B2472" t="str">
            <v>Lichens</v>
          </cell>
          <cell r="C2472" t="str">
            <v>Mycophycophyta</v>
          </cell>
          <cell r="D2472" t="str">
            <v>Leptogium tenuissimum</v>
          </cell>
          <cell r="E2472" t="str">
            <v>LC</v>
          </cell>
          <cell r="F2472" t="str">
            <v>Woods &amp; Coppins, 2012</v>
          </cell>
          <cell r="G2472" t="str">
            <v>NBNSYS0000018789</v>
          </cell>
          <cell r="H2472" t="str">
            <v>Leptogium tenuissimum</v>
          </cell>
        </row>
        <row r="2473">
          <cell r="A2473" t="str">
            <v>Leptogium teretiusculum</v>
          </cell>
          <cell r="B2473" t="str">
            <v>Lichens</v>
          </cell>
          <cell r="C2473" t="str">
            <v>Mycophycophyta</v>
          </cell>
          <cell r="D2473" t="str">
            <v>Leptogium teretiusculum</v>
          </cell>
          <cell r="E2473" t="str">
            <v>LC</v>
          </cell>
          <cell r="F2473" t="str">
            <v>Woods &amp; Coppins, 2012</v>
          </cell>
          <cell r="G2473" t="str">
            <v>NHMSYS0001487442</v>
          </cell>
          <cell r="H2473" t="str">
            <v>Leptogium teretiusculum</v>
          </cell>
        </row>
        <row r="2474">
          <cell r="A2474" t="str">
            <v>Leptogium turgidum</v>
          </cell>
          <cell r="B2474" t="str">
            <v>Lichens</v>
          </cell>
          <cell r="C2474" t="str">
            <v>Mycophycophyta</v>
          </cell>
          <cell r="D2474" t="str">
            <v>Leptogium turgidum</v>
          </cell>
          <cell r="E2474" t="str">
            <v>LC</v>
          </cell>
          <cell r="F2474" t="str">
            <v>Woods &amp; Coppins, 2012</v>
          </cell>
          <cell r="G2474" t="str">
            <v>NBNSYS0000018791</v>
          </cell>
          <cell r="H2474" t="str">
            <v>Leptogium turgidum</v>
          </cell>
        </row>
        <row r="2475">
          <cell r="A2475" t="str">
            <v>Leptorhaphis atomaria</v>
          </cell>
          <cell r="B2475" t="str">
            <v>Lichens</v>
          </cell>
          <cell r="C2475" t="str">
            <v>Mycophycophyta</v>
          </cell>
          <cell r="D2475" t="str">
            <v>Leptorhaphis atomaria</v>
          </cell>
          <cell r="E2475" t="str">
            <v>LC</v>
          </cell>
          <cell r="F2475" t="str">
            <v>Woods &amp; Coppins, 2012</v>
          </cell>
          <cell r="G2475" t="str">
            <v>NHMSYS0001487575</v>
          </cell>
          <cell r="H2475" t="str">
            <v>Leptorhaphis atomaria</v>
          </cell>
        </row>
        <row r="2476">
          <cell r="A2476" t="str">
            <v>Leptorhaphis epidermidis</v>
          </cell>
          <cell r="B2476" t="str">
            <v>Lichens</v>
          </cell>
          <cell r="C2476" t="str">
            <v>Mycophycophyta</v>
          </cell>
          <cell r="D2476" t="str">
            <v>Leptorhaphis epidermidis</v>
          </cell>
          <cell r="E2476" t="str">
            <v>LC</v>
          </cell>
          <cell r="F2476" t="str">
            <v>Woods &amp; Coppins, 2012</v>
          </cell>
          <cell r="G2476" t="str">
            <v>NHMSYS0001487576</v>
          </cell>
          <cell r="H2476" t="str">
            <v>Leptorhaphis epidermidis</v>
          </cell>
        </row>
        <row r="2477">
          <cell r="A2477" t="str">
            <v>Leptorhaphis maggiana</v>
          </cell>
          <cell r="B2477" t="str">
            <v>Lichens</v>
          </cell>
          <cell r="C2477" t="str">
            <v>Mycophycophyta</v>
          </cell>
          <cell r="D2477" t="str">
            <v>Leptorhaphis maggiana</v>
          </cell>
          <cell r="E2477" t="str">
            <v>LC</v>
          </cell>
          <cell r="F2477" t="str">
            <v>Woods &amp; Coppins, 2012</v>
          </cell>
          <cell r="G2477" t="str">
            <v>NHMSYS0001487578</v>
          </cell>
          <cell r="H2477" t="str">
            <v>Leptorhaphis maggiana</v>
          </cell>
        </row>
        <row r="2478">
          <cell r="A2478" t="str">
            <v>Lichenochora epifulgens</v>
          </cell>
          <cell r="B2478" t="str">
            <v>Lichens</v>
          </cell>
          <cell r="C2478" t="str">
            <v>Mycophycophyta</v>
          </cell>
          <cell r="D2478" t="str">
            <v>Lichenochora epifulgens</v>
          </cell>
          <cell r="E2478" t="str">
            <v>EN</v>
          </cell>
          <cell r="F2478" t="str">
            <v>Woods &amp; Coppins, 2012</v>
          </cell>
          <cell r="G2478" t="str">
            <v>NHMSYS0020990570</v>
          </cell>
          <cell r="H2478" t="str">
            <v>Lichenochora epifulgens</v>
          </cell>
        </row>
        <row r="2479">
          <cell r="A2479" t="str">
            <v>Lichenochora obscuroides</v>
          </cell>
          <cell r="B2479" t="str">
            <v>Lichens</v>
          </cell>
          <cell r="C2479" t="str">
            <v>Mycophycophyta</v>
          </cell>
          <cell r="D2479" t="str">
            <v>Lichenochora obscuroides</v>
          </cell>
          <cell r="E2479" t="str">
            <v>LC</v>
          </cell>
          <cell r="F2479" t="str">
            <v>Woods &amp; Coppins, 2012</v>
          </cell>
          <cell r="G2479" t="str">
            <v>BMSSYS0000010653</v>
          </cell>
          <cell r="H2479" t="str">
            <v>Lichenochora obscuroides</v>
          </cell>
        </row>
        <row r="2480">
          <cell r="A2480" t="str">
            <v>Lichenochora paucispora</v>
          </cell>
          <cell r="B2480" t="str">
            <v>Lichens</v>
          </cell>
          <cell r="C2480" t="str">
            <v>Mycophycophyta</v>
          </cell>
          <cell r="D2480" t="str">
            <v>Lichenochora paucispora</v>
          </cell>
          <cell r="E2480" t="str">
            <v>LC</v>
          </cell>
          <cell r="F2480" t="str">
            <v>Woods &amp; Coppins, 2012</v>
          </cell>
          <cell r="G2480" t="str">
            <v>NHMSYS0020535648</v>
          </cell>
          <cell r="H2480" t="str">
            <v>Lichenochora paucispora</v>
          </cell>
        </row>
        <row r="2481">
          <cell r="A2481" t="str">
            <v>Lichenoconium erodens</v>
          </cell>
          <cell r="B2481" t="str">
            <v>Lichens</v>
          </cell>
          <cell r="C2481" t="str">
            <v>Mycophycophyta</v>
          </cell>
          <cell r="D2481" t="str">
            <v>Lichenoconium erodens</v>
          </cell>
          <cell r="E2481" t="str">
            <v>LC</v>
          </cell>
          <cell r="F2481" t="str">
            <v>Woods &amp; Coppins, 2012</v>
          </cell>
          <cell r="G2481" t="str">
            <v>BMSSYS0000010658</v>
          </cell>
          <cell r="H2481" t="str">
            <v>Lichenoconium erodens</v>
          </cell>
        </row>
        <row r="2482">
          <cell r="A2482" t="str">
            <v>Lichenoconium lecanorae</v>
          </cell>
          <cell r="B2482" t="str">
            <v>Lichens</v>
          </cell>
          <cell r="C2482" t="str">
            <v>Mycophycophyta</v>
          </cell>
          <cell r="D2482" t="str">
            <v>Lichenoconium lecanorae</v>
          </cell>
          <cell r="E2482" t="str">
            <v>LC</v>
          </cell>
          <cell r="F2482" t="str">
            <v>Woods &amp; Coppins, 2012</v>
          </cell>
          <cell r="G2482" t="str">
            <v>BMSSYS0000010660</v>
          </cell>
          <cell r="H2482" t="str">
            <v>Lichenoconium lecanorae</v>
          </cell>
        </row>
        <row r="2483">
          <cell r="A2483" t="str">
            <v>Lichenoconium usneae</v>
          </cell>
          <cell r="B2483" t="str">
            <v>Lichens</v>
          </cell>
          <cell r="C2483" t="str">
            <v>Mycophycophyta</v>
          </cell>
          <cell r="D2483" t="str">
            <v>Lichenoconium usneae</v>
          </cell>
          <cell r="E2483" t="str">
            <v>LC</v>
          </cell>
          <cell r="F2483" t="str">
            <v>Woods &amp; Coppins, 2012</v>
          </cell>
          <cell r="G2483" t="str">
            <v>BMSSYS0000010664</v>
          </cell>
          <cell r="H2483" t="str">
            <v>Lichenoconium usneae</v>
          </cell>
        </row>
        <row r="2484">
          <cell r="A2484" t="str">
            <v>Lichenoconium xanthoriae</v>
          </cell>
          <cell r="B2484" t="str">
            <v>Lichens</v>
          </cell>
          <cell r="C2484" t="str">
            <v>Mycophycophyta</v>
          </cell>
          <cell r="D2484" t="str">
            <v>Lichenoconium xanthoriae</v>
          </cell>
          <cell r="E2484" t="str">
            <v>LC</v>
          </cell>
          <cell r="F2484" t="str">
            <v>Woods &amp; Coppins, 2012</v>
          </cell>
          <cell r="G2484" t="str">
            <v>NHMSYS0000362832</v>
          </cell>
          <cell r="H2484" t="str">
            <v>Lichenoconium xanthoriae</v>
          </cell>
        </row>
        <row r="2485">
          <cell r="A2485" t="str">
            <v>Lichenodiplis lecanorae</v>
          </cell>
          <cell r="B2485" t="str">
            <v>Lichens</v>
          </cell>
          <cell r="C2485" t="str">
            <v>Mycophycophyta</v>
          </cell>
          <cell r="D2485" t="str">
            <v>Lichenodiplis lecanorae</v>
          </cell>
          <cell r="E2485" t="str">
            <v>LC</v>
          </cell>
          <cell r="F2485" t="str">
            <v>Woods &amp; Coppins, 2012</v>
          </cell>
          <cell r="G2485" t="str">
            <v>BMSSYS0000010667</v>
          </cell>
          <cell r="H2485" t="str">
            <v>Lichenodiplis lecanorae</v>
          </cell>
        </row>
        <row r="2486">
          <cell r="A2486" t="str">
            <v>Lichenomphalia alpina</v>
          </cell>
          <cell r="B2486" t="str">
            <v>Lichens</v>
          </cell>
          <cell r="C2486" t="str">
            <v>Mycophycophyta</v>
          </cell>
          <cell r="D2486" t="str">
            <v>Lichenomphalia alpina</v>
          </cell>
          <cell r="E2486" t="str">
            <v>LC</v>
          </cell>
          <cell r="F2486" t="str">
            <v>Woods &amp; Coppins, 2012</v>
          </cell>
          <cell r="G2486" t="str">
            <v>NHMSYS0001488365</v>
          </cell>
          <cell r="H2486" t="str">
            <v>Lichenomphalia alpina</v>
          </cell>
        </row>
        <row r="2487">
          <cell r="A2487" t="str">
            <v>Lichenomphalia hudsoniana</v>
          </cell>
          <cell r="B2487" t="str">
            <v>Lichens</v>
          </cell>
          <cell r="C2487" t="str">
            <v>Mycophycophyta</v>
          </cell>
          <cell r="D2487" t="str">
            <v>Lichenomphalia hudsoniana</v>
          </cell>
          <cell r="E2487" t="str">
            <v>LC</v>
          </cell>
          <cell r="F2487" t="str">
            <v>Woods &amp; Coppins, 2012</v>
          </cell>
          <cell r="G2487" t="str">
            <v>NHMSYS0001488366</v>
          </cell>
          <cell r="H2487" t="str">
            <v>Lichenomphalia hudsoniana</v>
          </cell>
        </row>
        <row r="2488">
          <cell r="A2488" t="str">
            <v>Lichenomphalia umbellifera</v>
          </cell>
          <cell r="B2488" t="str">
            <v>Lichens</v>
          </cell>
          <cell r="C2488" t="str">
            <v>Mycophycophyta</v>
          </cell>
          <cell r="D2488" t="str">
            <v>Lichenomphalia umbellifera</v>
          </cell>
          <cell r="E2488" t="str">
            <v>LC</v>
          </cell>
          <cell r="F2488" t="str">
            <v>Woods &amp; Coppins, 2012</v>
          </cell>
          <cell r="G2488" t="str">
            <v>NHMSYS0001488367</v>
          </cell>
          <cell r="H2488" t="str">
            <v>Lichenomphalia umbellifera</v>
          </cell>
        </row>
        <row r="2489">
          <cell r="A2489" t="str">
            <v>Lichenomphalia velutina</v>
          </cell>
          <cell r="B2489" t="str">
            <v>Lichens</v>
          </cell>
          <cell r="C2489" t="str">
            <v>Mycophycophyta</v>
          </cell>
          <cell r="D2489" t="str">
            <v>Lichenomphalia velutina</v>
          </cell>
          <cell r="E2489" t="str">
            <v>LC</v>
          </cell>
          <cell r="F2489" t="str">
            <v>Woods &amp; Coppins, 2012</v>
          </cell>
          <cell r="G2489" t="str">
            <v>NHMSYS0001488368</v>
          </cell>
          <cell r="H2489" t="str">
            <v>Lichenomphalia velutina</v>
          </cell>
        </row>
        <row r="2490">
          <cell r="A2490" t="str">
            <v>Lichenostigma maureri</v>
          </cell>
          <cell r="B2490" t="str">
            <v>Lichens</v>
          </cell>
          <cell r="C2490" t="str">
            <v>Mycophycophyta</v>
          </cell>
          <cell r="D2490" t="str">
            <v>Lichenostigma maureri</v>
          </cell>
          <cell r="E2490" t="str">
            <v>LC</v>
          </cell>
          <cell r="F2490" t="str">
            <v>Woods &amp; Coppins, 2012</v>
          </cell>
          <cell r="G2490" t="str">
            <v>BMSSYS0000010688</v>
          </cell>
          <cell r="H2490" t="str">
            <v>Lichenostigma maureri</v>
          </cell>
        </row>
        <row r="2491">
          <cell r="A2491" t="str">
            <v>Lichenothelia convexa</v>
          </cell>
          <cell r="B2491" t="str">
            <v>Lichens</v>
          </cell>
          <cell r="C2491" t="str">
            <v>Mycophycophyta</v>
          </cell>
          <cell r="D2491" t="str">
            <v>Lichenothelia convexa</v>
          </cell>
          <cell r="E2491" t="str">
            <v>LC</v>
          </cell>
          <cell r="F2491" t="str">
            <v>Woods &amp; Coppins, 2012</v>
          </cell>
          <cell r="G2491" t="str">
            <v>NBNSYS0000039674</v>
          </cell>
          <cell r="H2491" t="str">
            <v>Lichenothelia convexa</v>
          </cell>
        </row>
        <row r="2492">
          <cell r="A2492" t="str">
            <v>Lichenothelia renobalesiana</v>
          </cell>
          <cell r="B2492" t="str">
            <v>Lichens</v>
          </cell>
          <cell r="C2492" t="str">
            <v>Mycophycophyta</v>
          </cell>
          <cell r="D2492" t="str">
            <v>Lichenothelia renobalesiana</v>
          </cell>
          <cell r="E2492" t="str">
            <v>LC</v>
          </cell>
          <cell r="F2492" t="str">
            <v>Woods &amp; Coppins, 2012</v>
          </cell>
          <cell r="G2492" t="str">
            <v>NHMSYS0020535649</v>
          </cell>
          <cell r="H2492" t="str">
            <v>Lichenothelia renobalesiana</v>
          </cell>
        </row>
        <row r="2493">
          <cell r="A2493" t="str">
            <v>Lichina confinis</v>
          </cell>
          <cell r="B2493" t="str">
            <v>Lichens</v>
          </cell>
          <cell r="C2493" t="str">
            <v>Mycophycophyta</v>
          </cell>
          <cell r="D2493" t="str">
            <v>Lichina confinis</v>
          </cell>
          <cell r="E2493" t="str">
            <v>LC</v>
          </cell>
          <cell r="F2493" t="str">
            <v>Woods &amp; Coppins, 2012</v>
          </cell>
          <cell r="G2493" t="str">
            <v>BMSSYS0000047589</v>
          </cell>
          <cell r="H2493" t="str">
            <v>Lichina confinis</v>
          </cell>
        </row>
        <row r="2494">
          <cell r="A2494" t="str">
            <v>Lichina pygmaea</v>
          </cell>
          <cell r="B2494" t="str">
            <v>Lichens</v>
          </cell>
          <cell r="C2494" t="str">
            <v>Mycophycophyta</v>
          </cell>
          <cell r="D2494" t="str">
            <v>Lichina pygmaea</v>
          </cell>
          <cell r="E2494" t="str">
            <v>LC</v>
          </cell>
          <cell r="F2494" t="str">
            <v>Woods &amp; Coppins, 2012</v>
          </cell>
          <cell r="G2494" t="str">
            <v>BMSSYS0000047590</v>
          </cell>
          <cell r="H2494" t="str">
            <v>Lichina pygmaea</v>
          </cell>
        </row>
        <row r="2495">
          <cell r="A2495" t="str">
            <v>Lithographa tesserata</v>
          </cell>
          <cell r="B2495" t="str">
            <v>Lichens</v>
          </cell>
          <cell r="C2495" t="str">
            <v>Mycophycophyta</v>
          </cell>
          <cell r="D2495" t="str">
            <v>Lithographa tesserata</v>
          </cell>
          <cell r="E2495" t="str">
            <v>LC</v>
          </cell>
          <cell r="F2495" t="str">
            <v>Woods &amp; Coppins, 2012</v>
          </cell>
          <cell r="G2495" t="str">
            <v>NBNSYS0000018794</v>
          </cell>
          <cell r="H2495" t="str">
            <v>Lithographa tesserata</v>
          </cell>
        </row>
        <row r="2496">
          <cell r="A2496" t="str">
            <v>Llimonaea sorediata</v>
          </cell>
          <cell r="B2496" t="str">
            <v>Lichens</v>
          </cell>
          <cell r="C2496" t="str">
            <v>Mycophycophyta</v>
          </cell>
          <cell r="D2496" t="str">
            <v>Llimonaea sorediata</v>
          </cell>
          <cell r="E2496" t="str">
            <v>LC</v>
          </cell>
          <cell r="F2496" t="str">
            <v>Woods &amp; Coppins, 2012</v>
          </cell>
          <cell r="G2496" t="str">
            <v>NHMSYS0020327873</v>
          </cell>
          <cell r="H2496" t="str">
            <v>Llimonaea sorediata</v>
          </cell>
        </row>
        <row r="2497">
          <cell r="A2497" t="str">
            <v>Lobaria amplissima</v>
          </cell>
          <cell r="B2497" t="str">
            <v>Lichens</v>
          </cell>
          <cell r="C2497" t="str">
            <v>Mycophycophyta</v>
          </cell>
          <cell r="D2497" t="str">
            <v>Lobaria amplissima</v>
          </cell>
          <cell r="E2497" t="str">
            <v>LC</v>
          </cell>
          <cell r="F2497" t="str">
            <v>Woods &amp; Coppins, 2012</v>
          </cell>
          <cell r="G2497" t="str">
            <v>NBNSYS0000019310</v>
          </cell>
          <cell r="H2497" t="str">
            <v>Lobaria amplissima</v>
          </cell>
        </row>
        <row r="2498">
          <cell r="A2498" t="str">
            <v>Lobaria pulmonaria</v>
          </cell>
          <cell r="B2498" t="str">
            <v>Lichens</v>
          </cell>
          <cell r="C2498" t="str">
            <v>Mycophycophyta</v>
          </cell>
          <cell r="D2498" t="str">
            <v>Lobaria pulmonaria</v>
          </cell>
          <cell r="E2498" t="str">
            <v>LC</v>
          </cell>
          <cell r="F2498" t="str">
            <v>Woods &amp; Coppins, 2012</v>
          </cell>
          <cell r="G2498" t="str">
            <v>NBNSYS0000019311</v>
          </cell>
          <cell r="H2498" t="str">
            <v>Lobaria pulmonaria</v>
          </cell>
        </row>
        <row r="2499">
          <cell r="A2499" t="str">
            <v>Lobaria scrobiculata</v>
          </cell>
          <cell r="B2499" t="str">
            <v>Lichens</v>
          </cell>
          <cell r="C2499" t="str">
            <v>Mycophycophyta</v>
          </cell>
          <cell r="D2499" t="str">
            <v>Lobaria scrobiculata</v>
          </cell>
          <cell r="E2499" t="str">
            <v>LC</v>
          </cell>
          <cell r="F2499" t="str">
            <v>Woods &amp; Coppins, 2012</v>
          </cell>
          <cell r="G2499" t="str">
            <v>NBNSYS0000019312</v>
          </cell>
          <cell r="H2499" t="str">
            <v>Lobaria scrobiculata</v>
          </cell>
        </row>
        <row r="2500">
          <cell r="A2500" t="str">
            <v>Lobaria virens</v>
          </cell>
          <cell r="B2500" t="str">
            <v>Lichens</v>
          </cell>
          <cell r="C2500" t="str">
            <v>Mycophycophyta</v>
          </cell>
          <cell r="D2500" t="str">
            <v>Lobaria virens</v>
          </cell>
          <cell r="E2500" t="str">
            <v>LC</v>
          </cell>
          <cell r="F2500" t="str">
            <v>Woods &amp; Coppins, 2012</v>
          </cell>
          <cell r="G2500" t="str">
            <v>NBNSYS0000019313</v>
          </cell>
          <cell r="H2500" t="str">
            <v>Lobaria virens</v>
          </cell>
        </row>
        <row r="2501">
          <cell r="A2501" t="str">
            <v>Lopadium disciforme</v>
          </cell>
          <cell r="B2501" t="str">
            <v>Lichens</v>
          </cell>
          <cell r="C2501" t="str">
            <v>Mycophycophyta</v>
          </cell>
          <cell r="D2501" t="str">
            <v>Lopadium disciforme</v>
          </cell>
          <cell r="E2501" t="str">
            <v>LC</v>
          </cell>
          <cell r="F2501" t="str">
            <v>Woods &amp; Coppins, 2012</v>
          </cell>
          <cell r="G2501" t="str">
            <v>NBNSYS0000039675</v>
          </cell>
          <cell r="H2501" t="str">
            <v>Lopadium disciforme</v>
          </cell>
        </row>
        <row r="2502">
          <cell r="A2502" t="str">
            <v>Loxospora elatina</v>
          </cell>
          <cell r="B2502" t="str">
            <v>Lichens</v>
          </cell>
          <cell r="C2502" t="str">
            <v>Mycophycophyta</v>
          </cell>
          <cell r="D2502" t="str">
            <v>Loxospora elatina</v>
          </cell>
          <cell r="E2502" t="str">
            <v>LC</v>
          </cell>
          <cell r="F2502" t="str">
            <v>Woods &amp; Coppins, 2012</v>
          </cell>
          <cell r="G2502" t="str">
            <v>NHMSYS0001488586</v>
          </cell>
          <cell r="H2502" t="str">
            <v>Loxospora elatina</v>
          </cell>
        </row>
        <row r="2503">
          <cell r="A2503" t="str">
            <v>Marchandiomyces aurantiacus</v>
          </cell>
          <cell r="B2503" t="str">
            <v>Lichens</v>
          </cell>
          <cell r="C2503" t="str">
            <v>Mycophycophyta</v>
          </cell>
          <cell r="D2503" t="str">
            <v>Marchandiomyces aurantiacus</v>
          </cell>
          <cell r="E2503" t="str">
            <v>LC</v>
          </cell>
          <cell r="F2503" t="str">
            <v>Woods &amp; Coppins, 2012</v>
          </cell>
          <cell r="G2503" t="str">
            <v>BMSSYS0000045382</v>
          </cell>
          <cell r="H2503" t="str">
            <v>Marchandiomyces aurantiacus</v>
          </cell>
        </row>
        <row r="2504">
          <cell r="A2504" t="str">
            <v>Marchandiomyces corallinus</v>
          </cell>
          <cell r="B2504" t="str">
            <v>Lichens</v>
          </cell>
          <cell r="C2504" t="str">
            <v>Mycophycophyta</v>
          </cell>
          <cell r="D2504" t="str">
            <v>Marchandiomyces corallinus</v>
          </cell>
          <cell r="E2504" t="str">
            <v>LC</v>
          </cell>
          <cell r="F2504" t="str">
            <v>Woods &amp; Coppins, 2012</v>
          </cell>
          <cell r="G2504" t="str">
            <v>NHMSYS0001442961</v>
          </cell>
          <cell r="H2504" t="str">
            <v>Marchandiomyces corallinus</v>
          </cell>
        </row>
        <row r="2505">
          <cell r="A2505" t="str">
            <v>Massalongia carnosa</v>
          </cell>
          <cell r="B2505" t="str">
            <v>Lichens</v>
          </cell>
          <cell r="C2505" t="str">
            <v>Mycophycophyta</v>
          </cell>
          <cell r="D2505" t="str">
            <v>Massalongia carnosa</v>
          </cell>
          <cell r="E2505" t="str">
            <v>LC</v>
          </cell>
          <cell r="F2505" t="str">
            <v>Woods &amp; Coppins, 2012</v>
          </cell>
          <cell r="G2505" t="str">
            <v>NBNSYS0000019314</v>
          </cell>
          <cell r="H2505" t="str">
            <v>Massalongia carnosa</v>
          </cell>
        </row>
        <row r="2506">
          <cell r="A2506" t="str">
            <v>Megalaria grossa</v>
          </cell>
          <cell r="B2506" t="str">
            <v>Lichens</v>
          </cell>
          <cell r="C2506" t="str">
            <v>Mycophycophyta</v>
          </cell>
          <cell r="D2506" t="str">
            <v>Megalaria grossa</v>
          </cell>
          <cell r="E2506" t="str">
            <v>LC</v>
          </cell>
          <cell r="F2506" t="str">
            <v>Woods &amp; Coppins, 2012</v>
          </cell>
          <cell r="G2506" t="str">
            <v>NBNSYS0000019172</v>
          </cell>
          <cell r="H2506" t="str">
            <v>Megalaria grossa</v>
          </cell>
        </row>
        <row r="2507">
          <cell r="A2507" t="str">
            <v>Megalaria laureri</v>
          </cell>
          <cell r="B2507" t="str">
            <v>Lichens</v>
          </cell>
          <cell r="C2507" t="str">
            <v>Mycophycophyta</v>
          </cell>
          <cell r="D2507" t="str">
            <v>Megalaria laureri</v>
          </cell>
          <cell r="E2507" t="str">
            <v>EN</v>
          </cell>
          <cell r="F2507" t="str">
            <v>Woods &amp; Coppins, 2012</v>
          </cell>
          <cell r="G2507" t="str">
            <v>NHMSYS0001489022</v>
          </cell>
          <cell r="H2507" t="str">
            <v>Megalaria laureri</v>
          </cell>
        </row>
        <row r="2508">
          <cell r="A2508" t="str">
            <v>Megalaria pulverea</v>
          </cell>
          <cell r="B2508" t="str">
            <v>Lichens</v>
          </cell>
          <cell r="C2508" t="str">
            <v>Mycophycophyta</v>
          </cell>
          <cell r="D2508" t="str">
            <v>Megalaria pulverea</v>
          </cell>
          <cell r="E2508" t="str">
            <v>LC</v>
          </cell>
          <cell r="F2508" t="str">
            <v>Woods &amp; Coppins, 2012</v>
          </cell>
          <cell r="G2508" t="str">
            <v>BMSSYS0000010997</v>
          </cell>
          <cell r="H2508" t="str">
            <v>Megalaria pulverea</v>
          </cell>
        </row>
        <row r="2509">
          <cell r="A2509" t="str">
            <v>Megalospora tuberculosa</v>
          </cell>
          <cell r="B2509" t="str">
            <v>Lichens</v>
          </cell>
          <cell r="C2509" t="str">
            <v>Mycophycophyta</v>
          </cell>
          <cell r="D2509" t="str">
            <v>Megalospora tuberculosa</v>
          </cell>
          <cell r="E2509" t="str">
            <v>NT</v>
          </cell>
          <cell r="F2509" t="str">
            <v>Woods &amp; Coppins, 2012</v>
          </cell>
          <cell r="G2509" t="str">
            <v>NBNSYS0000018798</v>
          </cell>
          <cell r="H2509" t="str">
            <v>Megalospora tuberculosa</v>
          </cell>
        </row>
        <row r="2510">
          <cell r="A2510" t="str">
            <v>Megaspora verrucosa</v>
          </cell>
          <cell r="B2510" t="str">
            <v>Lichens</v>
          </cell>
          <cell r="C2510" t="str">
            <v>Mycophycophyta</v>
          </cell>
          <cell r="D2510" t="str">
            <v>Megaspora verrucosa</v>
          </cell>
          <cell r="E2510" t="str">
            <v>NT</v>
          </cell>
          <cell r="F2510" t="str">
            <v>Woods &amp; Coppins, 2012</v>
          </cell>
          <cell r="G2510" t="str">
            <v>NBNSYS0000018855</v>
          </cell>
          <cell r="H2510" t="str">
            <v>Megaspora verrucosa</v>
          </cell>
        </row>
        <row r="2511">
          <cell r="A2511" t="str">
            <v>Melanelia disjuncta</v>
          </cell>
          <cell r="B2511" t="str">
            <v>Lichens</v>
          </cell>
          <cell r="C2511" t="str">
            <v>Mycophycophyta</v>
          </cell>
          <cell r="D2511" t="str">
            <v>Melanelia disjuncta</v>
          </cell>
          <cell r="E2511" t="str">
            <v>LC</v>
          </cell>
          <cell r="F2511" t="str">
            <v>Woods &amp; Coppins, 2012</v>
          </cell>
          <cell r="G2511" t="str">
            <v>BMSSYS0000048123</v>
          </cell>
          <cell r="H2511" t="str">
            <v>Melanelia disjuncta</v>
          </cell>
        </row>
        <row r="2512">
          <cell r="A2512" t="str">
            <v>Melanelia hepatizon</v>
          </cell>
          <cell r="B2512" t="str">
            <v>Lichens</v>
          </cell>
          <cell r="C2512" t="str">
            <v>Mycophycophyta</v>
          </cell>
          <cell r="D2512" t="str">
            <v>Melanelia hepatizon</v>
          </cell>
          <cell r="E2512" t="str">
            <v>LC</v>
          </cell>
          <cell r="F2512" t="str">
            <v>Woods &amp; Coppins, 2012</v>
          </cell>
          <cell r="G2512" t="str">
            <v>BMSSYS0000011042</v>
          </cell>
          <cell r="H2512" t="str">
            <v>Melanelia hepatizon</v>
          </cell>
        </row>
        <row r="2513">
          <cell r="A2513" t="str">
            <v>Melanelia stygia</v>
          </cell>
          <cell r="B2513" t="str">
            <v>Lichens</v>
          </cell>
          <cell r="C2513" t="str">
            <v>Mycophycophyta</v>
          </cell>
          <cell r="D2513" t="str">
            <v>Melanelia stygia</v>
          </cell>
          <cell r="E2513" t="str">
            <v>NT</v>
          </cell>
          <cell r="F2513" t="str">
            <v>Woods &amp; Coppins, 2012</v>
          </cell>
          <cell r="G2513" t="str">
            <v>NBNSYS0000018901</v>
          </cell>
          <cell r="H2513" t="str">
            <v>Melanelia stygia</v>
          </cell>
        </row>
        <row r="2514">
          <cell r="A2514" t="str">
            <v>Melanelixia fuliginosa</v>
          </cell>
          <cell r="B2514" t="str">
            <v>Lichens</v>
          </cell>
          <cell r="C2514" t="str">
            <v>Mycophycophyta</v>
          </cell>
          <cell r="D2514" t="str">
            <v>Melanelixia fuliginosa</v>
          </cell>
          <cell r="E2514" t="str">
            <v>LC</v>
          </cell>
          <cell r="F2514" t="str">
            <v>Woods &amp; Coppins, 2012</v>
          </cell>
          <cell r="G2514" t="str">
            <v>NHMSYS0001489121</v>
          </cell>
          <cell r="H2514" t="str">
            <v>Melanelixia fuliginosa</v>
          </cell>
        </row>
        <row r="2515">
          <cell r="A2515" t="str">
            <v>Melanelixia glabratula</v>
          </cell>
          <cell r="B2515" t="str">
            <v>Lichens</v>
          </cell>
          <cell r="C2515" t="str">
            <v>Mycophycophyta</v>
          </cell>
          <cell r="D2515" t="str">
            <v>Melanelixia glabratula</v>
          </cell>
          <cell r="E2515" t="str">
            <v>LC</v>
          </cell>
          <cell r="F2515" t="str">
            <v>Woods &amp; Coppins, 2012</v>
          </cell>
          <cell r="G2515" t="str">
            <v>NHMSYS0020990589</v>
          </cell>
          <cell r="H2515" t="str">
            <v>Melanelixia glabratula</v>
          </cell>
        </row>
        <row r="2516">
          <cell r="A2516" t="str">
            <v>Melanelixia subargentifera</v>
          </cell>
          <cell r="B2516" t="str">
            <v>Lichens</v>
          </cell>
          <cell r="C2516" t="str">
            <v>Mycophycophyta</v>
          </cell>
          <cell r="D2516" t="str">
            <v>Melanelixia subargentifera</v>
          </cell>
          <cell r="E2516" t="str">
            <v>CR</v>
          </cell>
          <cell r="F2516" t="str">
            <v>Woods &amp; Coppins, 2012</v>
          </cell>
          <cell r="G2516" t="str">
            <v>NHMSYS0001489122</v>
          </cell>
          <cell r="H2516" t="str">
            <v>Melanelixia subargentifera</v>
          </cell>
        </row>
        <row r="2517">
          <cell r="A2517" t="str">
            <v>Melanelixia subaurifera</v>
          </cell>
          <cell r="B2517" t="str">
            <v>Lichens</v>
          </cell>
          <cell r="C2517" t="str">
            <v>Mycophycophyta</v>
          </cell>
          <cell r="D2517" t="str">
            <v>Melanelixia subaurifera</v>
          </cell>
          <cell r="E2517" t="str">
            <v>LC</v>
          </cell>
          <cell r="F2517" t="str">
            <v>Woods &amp; Coppins, 2012</v>
          </cell>
          <cell r="G2517" t="str">
            <v>NHMSYS0001489123</v>
          </cell>
          <cell r="H2517" t="str">
            <v>Melanelixia subaurifera</v>
          </cell>
        </row>
        <row r="2518">
          <cell r="A2518" t="str">
            <v>Melanohalea elegantula</v>
          </cell>
          <cell r="B2518" t="str">
            <v>Lichens</v>
          </cell>
          <cell r="C2518" t="str">
            <v>Mycophycophyta</v>
          </cell>
          <cell r="D2518" t="str">
            <v>Melanohalea elegantula</v>
          </cell>
          <cell r="E2518" t="str">
            <v>LC</v>
          </cell>
          <cell r="F2518" t="str">
            <v>Woods &amp; Coppins, 2012</v>
          </cell>
          <cell r="G2518" t="str">
            <v>NHMSYS0001489135</v>
          </cell>
          <cell r="H2518" t="str">
            <v>Melanohalea elegantula</v>
          </cell>
        </row>
        <row r="2519">
          <cell r="A2519" t="str">
            <v>Melanohalea exasperata</v>
          </cell>
          <cell r="B2519" t="str">
            <v>Lichens</v>
          </cell>
          <cell r="C2519" t="str">
            <v>Mycophycophyta</v>
          </cell>
          <cell r="D2519" t="str">
            <v>Melanohalea exasperata</v>
          </cell>
          <cell r="E2519" t="str">
            <v>LC</v>
          </cell>
          <cell r="F2519" t="str">
            <v>Woods &amp; Coppins, 2012</v>
          </cell>
          <cell r="G2519" t="str">
            <v>NHMSYS0001489136</v>
          </cell>
          <cell r="H2519" t="str">
            <v>Melanohalea exasperata</v>
          </cell>
        </row>
        <row r="2520">
          <cell r="A2520" t="str">
            <v>Melanohalea exasperatula</v>
          </cell>
          <cell r="B2520" t="str">
            <v>Lichens</v>
          </cell>
          <cell r="C2520" t="str">
            <v>Mycophycophyta</v>
          </cell>
          <cell r="D2520" t="str">
            <v>Melanohalea exasperatula</v>
          </cell>
          <cell r="E2520" t="str">
            <v>LC</v>
          </cell>
          <cell r="F2520" t="str">
            <v>Woods &amp; Coppins, 2012</v>
          </cell>
          <cell r="G2520" t="str">
            <v>NHMSYS0001489137</v>
          </cell>
          <cell r="H2520" t="str">
            <v>Melanohalea exasperatula</v>
          </cell>
        </row>
        <row r="2521">
          <cell r="A2521" t="str">
            <v>Melanohalea laciniatula</v>
          </cell>
          <cell r="B2521" t="str">
            <v>Lichens</v>
          </cell>
          <cell r="C2521" t="str">
            <v>Mycophycophyta</v>
          </cell>
          <cell r="D2521" t="str">
            <v>Melanohalea laciniatula</v>
          </cell>
          <cell r="E2521" t="str">
            <v>LC</v>
          </cell>
          <cell r="F2521" t="str">
            <v>Woods &amp; Coppins, 2012</v>
          </cell>
          <cell r="G2521" t="str">
            <v>NHMSYS0001489138</v>
          </cell>
          <cell r="H2521" t="str">
            <v>Melanohalea laciniatula</v>
          </cell>
        </row>
        <row r="2522">
          <cell r="A2522" t="str">
            <v>Melaspilea amota</v>
          </cell>
          <cell r="B2522" t="str">
            <v>Lichens</v>
          </cell>
          <cell r="C2522" t="str">
            <v>Mycophycophyta</v>
          </cell>
          <cell r="D2522" t="str">
            <v>Melaspilea amota</v>
          </cell>
          <cell r="E2522" t="str">
            <v>NT</v>
          </cell>
          <cell r="F2522" t="str">
            <v>Woods &amp; Coppins, 2012</v>
          </cell>
          <cell r="G2522" t="str">
            <v>NBNSYS0000018800</v>
          </cell>
          <cell r="H2522" t="str">
            <v>Melaspilea amota</v>
          </cell>
        </row>
        <row r="2523">
          <cell r="A2523" t="str">
            <v>Melaspilea bagliettoana</v>
          </cell>
          <cell r="B2523" t="str">
            <v>Lichens</v>
          </cell>
          <cell r="C2523" t="str">
            <v>Mycophycophyta</v>
          </cell>
          <cell r="D2523" t="str">
            <v>Melaspilea bagliettoana</v>
          </cell>
          <cell r="E2523" t="str">
            <v>NT</v>
          </cell>
          <cell r="F2523" t="str">
            <v>Woods &amp; Coppins, 2012</v>
          </cell>
          <cell r="G2523" t="str">
            <v>BMSSYS0000011108</v>
          </cell>
          <cell r="H2523" t="str">
            <v>Melaspilea bagliettoana</v>
          </cell>
        </row>
        <row r="2524">
          <cell r="A2524" t="str">
            <v>Melaspilea granitophila</v>
          </cell>
          <cell r="B2524" t="str">
            <v>Lichens</v>
          </cell>
          <cell r="C2524" t="str">
            <v>Mycophycophyta</v>
          </cell>
          <cell r="D2524" t="str">
            <v>Melaspilea granitophila</v>
          </cell>
          <cell r="E2524" t="str">
            <v>LC</v>
          </cell>
          <cell r="F2524" t="str">
            <v>Woods &amp; Coppins, 2012</v>
          </cell>
          <cell r="G2524" t="str">
            <v>NHMSYS0001489299</v>
          </cell>
          <cell r="H2524" t="str">
            <v>Melaspilea granitophila</v>
          </cell>
        </row>
        <row r="2525">
          <cell r="A2525" t="str">
            <v>Melaspilea lentiginosa</v>
          </cell>
          <cell r="B2525" t="str">
            <v>Lichens</v>
          </cell>
          <cell r="C2525" t="str">
            <v>Mycophycophyta</v>
          </cell>
          <cell r="D2525" t="str">
            <v>Melaspilea lentiginosa</v>
          </cell>
          <cell r="E2525" t="str">
            <v>NT</v>
          </cell>
          <cell r="F2525" t="str">
            <v>Woods &amp; Coppins, 2012</v>
          </cell>
          <cell r="G2525" t="str">
            <v>NHMSYS0020000028</v>
          </cell>
          <cell r="H2525" t="str">
            <v>Melaspilea lentiginosa</v>
          </cell>
        </row>
        <row r="2526">
          <cell r="A2526" t="str">
            <v>Melaspilea ochrothalamia</v>
          </cell>
          <cell r="B2526" t="str">
            <v>Lichens</v>
          </cell>
          <cell r="C2526" t="str">
            <v>Mycophycophyta</v>
          </cell>
          <cell r="D2526" t="str">
            <v>Melaspilea ochrothalamia</v>
          </cell>
          <cell r="E2526" t="str">
            <v>LC</v>
          </cell>
          <cell r="F2526" t="str">
            <v>Woods &amp; Coppins, 2012</v>
          </cell>
          <cell r="G2526" t="str">
            <v>NBNSYS0000018805</v>
          </cell>
          <cell r="H2526" t="str">
            <v>Melaspilea ochrothalamia</v>
          </cell>
        </row>
        <row r="2527">
          <cell r="A2527" t="str">
            <v>Melaspilea proximella</v>
          </cell>
          <cell r="B2527" t="str">
            <v>Lichens</v>
          </cell>
          <cell r="C2527" t="str">
            <v>Mycophycophyta</v>
          </cell>
          <cell r="D2527" t="str">
            <v>Melaspilea proximella</v>
          </cell>
          <cell r="E2527" t="str">
            <v>LC</v>
          </cell>
          <cell r="F2527" t="str">
            <v>Woods &amp; Coppins, 2012</v>
          </cell>
          <cell r="G2527" t="str">
            <v>NHMSYS0000362922</v>
          </cell>
          <cell r="H2527" t="str">
            <v>Melaspilea proximella</v>
          </cell>
        </row>
        <row r="2528">
          <cell r="A2528" t="str">
            <v>Menegazzia subsimilis</v>
          </cell>
          <cell r="B2528" t="str">
            <v>Lichens</v>
          </cell>
          <cell r="C2528" t="str">
            <v>Mycophycophyta</v>
          </cell>
          <cell r="D2528" t="str">
            <v>Menegazzia subsimilis</v>
          </cell>
          <cell r="E2528" t="str">
            <v>NT</v>
          </cell>
          <cell r="F2528" t="str">
            <v>Woods &amp; Coppins, 2012</v>
          </cell>
          <cell r="G2528" t="str">
            <v>NHMSYS0020039027</v>
          </cell>
          <cell r="H2528" t="str">
            <v>Menegazzia subsimilis</v>
          </cell>
        </row>
        <row r="2529">
          <cell r="A2529" t="str">
            <v>Menegazzia terebrata</v>
          </cell>
          <cell r="B2529" t="str">
            <v>Lichens</v>
          </cell>
          <cell r="C2529" t="str">
            <v>Mycophycophyta</v>
          </cell>
          <cell r="D2529" t="str">
            <v>Menegazzia terebrata</v>
          </cell>
          <cell r="E2529" t="str">
            <v>LC</v>
          </cell>
          <cell r="F2529" t="str">
            <v>Woods &amp; Coppins, 2012</v>
          </cell>
          <cell r="G2529" t="str">
            <v>NBNSYS0000018808</v>
          </cell>
          <cell r="H2529" t="str">
            <v>Menegazzia terebrata</v>
          </cell>
        </row>
        <row r="2530">
          <cell r="A2530" t="str">
            <v>Merismatium discrepans</v>
          </cell>
          <cell r="B2530" t="str">
            <v>Lichens</v>
          </cell>
          <cell r="C2530" t="str">
            <v>Mycophycophyta</v>
          </cell>
          <cell r="D2530" t="str">
            <v>Merismatium discrepans</v>
          </cell>
          <cell r="E2530" t="str">
            <v>LC</v>
          </cell>
          <cell r="F2530" t="str">
            <v>Woods &amp; Coppins, 2012</v>
          </cell>
          <cell r="G2530" t="str">
            <v>NBNSYS0000020623</v>
          </cell>
          <cell r="H2530" t="str">
            <v>Merismatium discrepans</v>
          </cell>
        </row>
        <row r="2531">
          <cell r="A2531" t="str">
            <v>Micarea adnata</v>
          </cell>
          <cell r="B2531" t="str">
            <v>Lichens</v>
          </cell>
          <cell r="C2531" t="str">
            <v>Mycophycophyta</v>
          </cell>
          <cell r="D2531" t="str">
            <v>Micarea adnata</v>
          </cell>
          <cell r="E2531" t="str">
            <v>LC</v>
          </cell>
          <cell r="F2531" t="str">
            <v>Woods &amp; Coppins, 2012</v>
          </cell>
          <cell r="G2531" t="str">
            <v>NBNSYS0000018809</v>
          </cell>
          <cell r="H2531" t="str">
            <v>Micarea adnata</v>
          </cell>
        </row>
        <row r="2532">
          <cell r="A2532" t="str">
            <v>Micarea alabastrites</v>
          </cell>
          <cell r="B2532" t="str">
            <v>Lichens</v>
          </cell>
          <cell r="C2532" t="str">
            <v>Mycophycophyta</v>
          </cell>
          <cell r="D2532" t="str">
            <v>Micarea alabastrites</v>
          </cell>
          <cell r="E2532" t="str">
            <v>LC</v>
          </cell>
          <cell r="F2532" t="str">
            <v>Woods &amp; Coppins, 2012</v>
          </cell>
          <cell r="G2532" t="str">
            <v>NBNSYS0000018810</v>
          </cell>
          <cell r="H2532" t="str">
            <v>Micarea alabastrites</v>
          </cell>
        </row>
        <row r="2533">
          <cell r="A2533" t="str">
            <v>Micarea bauschiana</v>
          </cell>
          <cell r="B2533" t="str">
            <v>Lichens</v>
          </cell>
          <cell r="C2533" t="str">
            <v>Mycophycophyta</v>
          </cell>
          <cell r="D2533" t="str">
            <v>Micarea bauschiana</v>
          </cell>
          <cell r="E2533" t="str">
            <v>LC</v>
          </cell>
          <cell r="F2533" t="str">
            <v>Woods &amp; Coppins, 2012</v>
          </cell>
          <cell r="G2533" t="str">
            <v>BMSSYS0000043174</v>
          </cell>
          <cell r="H2533" t="str">
            <v>Micarea bauschiana</v>
          </cell>
        </row>
        <row r="2534">
          <cell r="A2534" t="str">
            <v>Micarea botryoides</v>
          </cell>
          <cell r="B2534" t="str">
            <v>Lichens</v>
          </cell>
          <cell r="C2534" t="str">
            <v>Mycophycophyta</v>
          </cell>
          <cell r="D2534" t="str">
            <v>Micarea botryoides</v>
          </cell>
          <cell r="E2534" t="str">
            <v>LC</v>
          </cell>
          <cell r="F2534" t="str">
            <v>Woods &amp; Coppins, 2012</v>
          </cell>
          <cell r="G2534" t="str">
            <v>NBNSYS0000018813</v>
          </cell>
          <cell r="H2534" t="str">
            <v>Micarea botryoides</v>
          </cell>
        </row>
        <row r="2535">
          <cell r="A2535" t="str">
            <v>Micarea byssacea</v>
          </cell>
          <cell r="B2535" t="str">
            <v>Lichens</v>
          </cell>
          <cell r="C2535" t="str">
            <v>Mycophycophyta</v>
          </cell>
          <cell r="D2535" t="str">
            <v>Micarea byssacea</v>
          </cell>
          <cell r="E2535" t="str">
            <v>LC</v>
          </cell>
          <cell r="F2535" t="str">
            <v>Woods &amp; Coppins, 2012</v>
          </cell>
          <cell r="G2535" t="str">
            <v>BMSSYS0000047935</v>
          </cell>
          <cell r="H2535" t="str">
            <v>Micarea byssacea</v>
          </cell>
        </row>
        <row r="2536">
          <cell r="A2536" t="str">
            <v>Micarea cinerea f. cinerea, Micarea cinerea f. tenuispora</v>
          </cell>
          <cell r="B2536" t="str">
            <v>Lichens</v>
          </cell>
          <cell r="C2536" t="str">
            <v>Mycophycophyta</v>
          </cell>
          <cell r="D2536" t="str">
            <v>Micarea cinerea (f. cinerea/f. tenuispora)</v>
          </cell>
          <cell r="E2536" t="str">
            <v>LC</v>
          </cell>
          <cell r="F2536" t="str">
            <v>Woods &amp; Coppins, 2012</v>
          </cell>
          <cell r="G2536" t="str">
            <v>NHMSYS0001489444</v>
          </cell>
          <cell r="H2536" t="str">
            <v>Micarea cinerea f. cinerea, Micarea cinerea f. tenuispora</v>
          </cell>
        </row>
        <row r="2537">
          <cell r="A2537" t="str">
            <v>Micarea coppinsii</v>
          </cell>
          <cell r="B2537" t="str">
            <v>Lichens</v>
          </cell>
          <cell r="C2537" t="str">
            <v>Mycophycophyta</v>
          </cell>
          <cell r="D2537" t="str">
            <v>Micarea coppinsii</v>
          </cell>
          <cell r="E2537" t="str">
            <v>LC</v>
          </cell>
          <cell r="F2537" t="str">
            <v>Woods &amp; Coppins, 2012</v>
          </cell>
          <cell r="G2537" t="str">
            <v>NHMSYS0001489448</v>
          </cell>
          <cell r="H2537" t="str">
            <v>Micarea coppinsii</v>
          </cell>
        </row>
        <row r="2538">
          <cell r="A2538" t="str">
            <v>Micarea curvata</v>
          </cell>
          <cell r="B2538" t="str">
            <v>Lichens</v>
          </cell>
          <cell r="C2538" t="str">
            <v>Mycophycophyta</v>
          </cell>
          <cell r="D2538" t="str">
            <v>Micarea curvata</v>
          </cell>
          <cell r="E2538" t="str">
            <v>LC</v>
          </cell>
          <cell r="F2538" t="str">
            <v>Woods &amp; Coppins, 2012</v>
          </cell>
          <cell r="G2538" t="str">
            <v>NBNSYS0000041618</v>
          </cell>
          <cell r="H2538" t="str">
            <v>Micarea curvata</v>
          </cell>
        </row>
        <row r="2539">
          <cell r="A2539" t="str">
            <v>Micarea deminuta</v>
          </cell>
          <cell r="B2539" t="str">
            <v>Lichens</v>
          </cell>
          <cell r="C2539" t="str">
            <v>Mycophycophyta</v>
          </cell>
          <cell r="D2539" t="str">
            <v>Micarea deminuta</v>
          </cell>
          <cell r="E2539" t="str">
            <v>LC</v>
          </cell>
          <cell r="F2539" t="str">
            <v>Woods &amp; Coppins, 2012</v>
          </cell>
          <cell r="G2539" t="str">
            <v>BMSSYS0000011210</v>
          </cell>
          <cell r="H2539" t="str">
            <v>Micarea deminuta</v>
          </cell>
        </row>
        <row r="2540">
          <cell r="A2540" t="str">
            <v>Micarea denigrata</v>
          </cell>
          <cell r="B2540" t="str">
            <v>Lichens</v>
          </cell>
          <cell r="C2540" t="str">
            <v>Mycophycophyta</v>
          </cell>
          <cell r="D2540" t="str">
            <v>Micarea denigrata</v>
          </cell>
          <cell r="E2540" t="str">
            <v>LC</v>
          </cell>
          <cell r="F2540" t="str">
            <v>Woods &amp; Coppins, 2012</v>
          </cell>
          <cell r="G2540" t="str">
            <v>NBNSYS0000018815</v>
          </cell>
          <cell r="H2540" t="str">
            <v>Micarea denigrata</v>
          </cell>
        </row>
        <row r="2541">
          <cell r="A2541" t="str">
            <v>Micarea doliiformis</v>
          </cell>
          <cell r="B2541" t="str">
            <v>Lichens</v>
          </cell>
          <cell r="C2541" t="str">
            <v>Mycophycophyta</v>
          </cell>
          <cell r="D2541" t="str">
            <v>Micarea doliiformis</v>
          </cell>
          <cell r="E2541" t="str">
            <v>LC</v>
          </cell>
          <cell r="F2541" t="str">
            <v>Woods &amp; Coppins, 2012</v>
          </cell>
          <cell r="G2541" t="str">
            <v>NHMSYS0020990601</v>
          </cell>
          <cell r="H2541" t="str">
            <v>Micarea doliiformis</v>
          </cell>
        </row>
        <row r="2542">
          <cell r="A2542" t="str">
            <v>Micarea erratica</v>
          </cell>
          <cell r="B2542" t="str">
            <v>Lichens</v>
          </cell>
          <cell r="C2542" t="str">
            <v>Mycophycophyta</v>
          </cell>
          <cell r="D2542" t="str">
            <v>Micarea erratica</v>
          </cell>
          <cell r="E2542" t="str">
            <v>LC</v>
          </cell>
          <cell r="F2542" t="str">
            <v>Woods &amp; Coppins, 2012</v>
          </cell>
          <cell r="G2542" t="str">
            <v>NHMSYS0001489449</v>
          </cell>
          <cell r="H2542" t="str">
            <v>Micarea erratica</v>
          </cell>
        </row>
        <row r="2543">
          <cell r="A2543" t="str">
            <v>Micarea hedlundii</v>
          </cell>
          <cell r="B2543" t="str">
            <v>Lichens</v>
          </cell>
          <cell r="C2543" t="str">
            <v>Mycophycophyta</v>
          </cell>
          <cell r="D2543" t="str">
            <v>Micarea hedlundii</v>
          </cell>
          <cell r="E2543" t="str">
            <v>NT</v>
          </cell>
          <cell r="F2543" t="str">
            <v>Woods &amp; Coppins, 2012</v>
          </cell>
          <cell r="G2543" t="str">
            <v>NBNSYS0000018817</v>
          </cell>
          <cell r="H2543" t="str">
            <v>Micarea hedlundii</v>
          </cell>
        </row>
        <row r="2544">
          <cell r="A2544" t="str">
            <v>Micarea inquinans</v>
          </cell>
          <cell r="B2544" t="str">
            <v>Lichens</v>
          </cell>
          <cell r="C2544" t="str">
            <v>Mycophycophyta</v>
          </cell>
          <cell r="D2544" t="str">
            <v>Micarea inquinans</v>
          </cell>
          <cell r="E2544" t="str">
            <v>LC</v>
          </cell>
          <cell r="F2544" t="str">
            <v>Woods &amp; Coppins, 2012</v>
          </cell>
          <cell r="G2544" t="str">
            <v>BMSSYS0000011215</v>
          </cell>
          <cell r="H2544" t="str">
            <v>Micarea inquinans</v>
          </cell>
        </row>
        <row r="2545">
          <cell r="A2545" t="str">
            <v>Micarea leprosula</v>
          </cell>
          <cell r="B2545" t="str">
            <v>Lichens</v>
          </cell>
          <cell r="C2545" t="str">
            <v>Mycophycophyta</v>
          </cell>
          <cell r="D2545" t="str">
            <v>Micarea leprosula</v>
          </cell>
          <cell r="E2545" t="str">
            <v>LC</v>
          </cell>
          <cell r="F2545" t="str">
            <v>Woods &amp; Coppins, 2012</v>
          </cell>
          <cell r="G2545" t="str">
            <v>NHMSYS0001489454</v>
          </cell>
          <cell r="H2545" t="str">
            <v>Micarea leprosula</v>
          </cell>
        </row>
        <row r="2546">
          <cell r="A2546" t="str">
            <v>Micarea lignaria var. endoleuca, Micarea lignaria var. lignaria</v>
          </cell>
          <cell r="B2546" t="str">
            <v>Lichens</v>
          </cell>
          <cell r="C2546" t="str">
            <v>Mycophycophyta</v>
          </cell>
          <cell r="D2546" t="str">
            <v>Micarea lignaria (var. endoleuca/var. lignaria)</v>
          </cell>
          <cell r="E2546" t="str">
            <v>LC</v>
          </cell>
          <cell r="F2546" t="str">
            <v>Woods &amp; Coppins, 2012</v>
          </cell>
          <cell r="G2546" t="str">
            <v>NHMSYS0001489455</v>
          </cell>
          <cell r="H2546" t="str">
            <v>Micarea lignaria var. endoleuca, Micarea lignaria var. lignaria</v>
          </cell>
        </row>
        <row r="2547">
          <cell r="A2547" t="str">
            <v>Micarea lithinella</v>
          </cell>
          <cell r="B2547" t="str">
            <v>Lichens</v>
          </cell>
          <cell r="C2547" t="str">
            <v>Mycophycophyta</v>
          </cell>
          <cell r="D2547" t="str">
            <v>Micarea lithinella</v>
          </cell>
          <cell r="E2547" t="str">
            <v>LC</v>
          </cell>
          <cell r="F2547" t="str">
            <v>Woods &amp; Coppins, 2012</v>
          </cell>
          <cell r="G2547" t="str">
            <v>NBNSYS0000018823</v>
          </cell>
          <cell r="H2547" t="str">
            <v>Micarea lithinella</v>
          </cell>
        </row>
        <row r="2548">
          <cell r="A2548" t="str">
            <v>Micarea lutulata</v>
          </cell>
          <cell r="B2548" t="str">
            <v>Lichens</v>
          </cell>
          <cell r="C2548" t="str">
            <v>Mycophycophyta</v>
          </cell>
          <cell r="D2548" t="str">
            <v>Micarea lutulata</v>
          </cell>
          <cell r="E2548" t="str">
            <v>LC</v>
          </cell>
          <cell r="F2548" t="str">
            <v>Woods &amp; Coppins, 2012</v>
          </cell>
          <cell r="G2548" t="str">
            <v>BMSSYS0000043175</v>
          </cell>
          <cell r="H2548" t="str">
            <v>Micarea lutulata</v>
          </cell>
        </row>
        <row r="2549">
          <cell r="A2549" t="str">
            <v>Micarea lynceola</v>
          </cell>
          <cell r="B2549" t="str">
            <v>Lichens</v>
          </cell>
          <cell r="C2549" t="str">
            <v>Mycophycophyta</v>
          </cell>
          <cell r="D2549" t="str">
            <v>Micarea lynceola</v>
          </cell>
          <cell r="E2549" t="str">
            <v>LC</v>
          </cell>
          <cell r="F2549" t="str">
            <v>Woods &amp; Coppins, 2012</v>
          </cell>
          <cell r="G2549" t="str">
            <v>NHMSYS0001489457</v>
          </cell>
          <cell r="H2549" t="str">
            <v>Micarea lynceola</v>
          </cell>
        </row>
        <row r="2550">
          <cell r="A2550" t="str">
            <v>Micarea melaena</v>
          </cell>
          <cell r="B2550" t="str">
            <v>Lichens</v>
          </cell>
          <cell r="C2550" t="str">
            <v>Mycophycophyta</v>
          </cell>
          <cell r="D2550" t="str">
            <v>Micarea melaena</v>
          </cell>
          <cell r="E2550" t="str">
            <v>LC</v>
          </cell>
          <cell r="F2550" t="str">
            <v>Woods &amp; Coppins, 2012</v>
          </cell>
          <cell r="G2550" t="str">
            <v>NBNSYS0000018825</v>
          </cell>
          <cell r="H2550" t="str">
            <v>Micarea melaena</v>
          </cell>
        </row>
        <row r="2551">
          <cell r="A2551" t="str">
            <v>Micarea micrococca</v>
          </cell>
          <cell r="B2551" t="str">
            <v>Lichens</v>
          </cell>
          <cell r="C2551" t="str">
            <v>Mycophycophyta</v>
          </cell>
          <cell r="D2551" t="str">
            <v>Micarea micrococca</v>
          </cell>
          <cell r="E2551" t="str">
            <v>LC</v>
          </cell>
          <cell r="F2551" t="str">
            <v>Woods &amp; Coppins, 2012</v>
          </cell>
          <cell r="G2551" t="str">
            <v>NHMSYS0001489459</v>
          </cell>
          <cell r="H2551" t="str">
            <v>Micarea micrococca</v>
          </cell>
        </row>
        <row r="2552">
          <cell r="A2552" t="str">
            <v>Micarea misella</v>
          </cell>
          <cell r="B2552" t="str">
            <v>Lichens</v>
          </cell>
          <cell r="C2552" t="str">
            <v>Mycophycophyta</v>
          </cell>
          <cell r="D2552" t="str">
            <v>Micarea misella</v>
          </cell>
          <cell r="E2552" t="str">
            <v>LC</v>
          </cell>
          <cell r="F2552" t="str">
            <v>Woods &amp; Coppins, 2012</v>
          </cell>
          <cell r="G2552" t="str">
            <v>NBNSYS0000018827</v>
          </cell>
          <cell r="H2552" t="str">
            <v>Micarea misella</v>
          </cell>
        </row>
        <row r="2553">
          <cell r="A2553" t="str">
            <v>Micarea myriocarpa</v>
          </cell>
          <cell r="B2553" t="str">
            <v>Lichens</v>
          </cell>
          <cell r="C2553" t="str">
            <v>Mycophycophyta</v>
          </cell>
          <cell r="D2553" t="str">
            <v>Micarea myriocarpa</v>
          </cell>
          <cell r="E2553" t="str">
            <v>LC</v>
          </cell>
          <cell r="F2553" t="str">
            <v>Woods &amp; Coppins, 2012</v>
          </cell>
          <cell r="G2553" t="str">
            <v>NHMSYS0001489460</v>
          </cell>
          <cell r="H2553" t="str">
            <v>Micarea myriocarpa</v>
          </cell>
        </row>
        <row r="2554">
          <cell r="A2554" t="str">
            <v>Micarea nigella</v>
          </cell>
          <cell r="B2554" t="str">
            <v>Lichens</v>
          </cell>
          <cell r="C2554" t="str">
            <v>Mycophycophyta</v>
          </cell>
          <cell r="D2554" t="str">
            <v>Micarea nigella</v>
          </cell>
          <cell r="E2554" t="str">
            <v>LC</v>
          </cell>
          <cell r="F2554" t="str">
            <v>Woods &amp; Coppins, 2012</v>
          </cell>
          <cell r="G2554" t="str">
            <v>NBNSYS0000018829</v>
          </cell>
          <cell r="H2554" t="str">
            <v>Micarea nigella</v>
          </cell>
        </row>
        <row r="2555">
          <cell r="A2555" t="str">
            <v>Micarea nitschkeana</v>
          </cell>
          <cell r="B2555" t="str">
            <v>Lichens</v>
          </cell>
          <cell r="C2555" t="str">
            <v>Mycophycophyta</v>
          </cell>
          <cell r="D2555" t="str">
            <v>Micarea nitschkeana</v>
          </cell>
          <cell r="E2555" t="str">
            <v>LC</v>
          </cell>
          <cell r="F2555" t="str">
            <v>Woods &amp; Coppins, 2012</v>
          </cell>
          <cell r="G2555" t="str">
            <v>NBNSYS0000018830</v>
          </cell>
          <cell r="H2555" t="str">
            <v>Micarea nitschkeana</v>
          </cell>
        </row>
        <row r="2556">
          <cell r="A2556" t="str">
            <v>Micarea parva</v>
          </cell>
          <cell r="B2556" t="str">
            <v>Lichens</v>
          </cell>
          <cell r="C2556" t="str">
            <v>Mycophycophyta</v>
          </cell>
          <cell r="D2556" t="str">
            <v>Micarea parva</v>
          </cell>
          <cell r="E2556" t="str">
            <v>LC</v>
          </cell>
          <cell r="F2556" t="str">
            <v>Woods &amp; Coppins, 2012</v>
          </cell>
          <cell r="G2556" t="str">
            <v>BMSSYS0000011220</v>
          </cell>
          <cell r="H2556" t="str">
            <v>Micarea parva</v>
          </cell>
        </row>
        <row r="2557">
          <cell r="A2557" t="str">
            <v>Micarea peliocarpa</v>
          </cell>
          <cell r="B2557" t="str">
            <v>Lichens</v>
          </cell>
          <cell r="C2557" t="str">
            <v>Mycophycophyta</v>
          </cell>
          <cell r="D2557" t="str">
            <v>Micarea peliocarpa</v>
          </cell>
          <cell r="E2557" t="str">
            <v>LC</v>
          </cell>
          <cell r="F2557" t="str">
            <v>Woods &amp; Coppins, 2012</v>
          </cell>
          <cell r="G2557" t="str">
            <v>NHMSYS0001489461</v>
          </cell>
          <cell r="H2557" t="str">
            <v>Micarea peliocarpa</v>
          </cell>
        </row>
        <row r="2558">
          <cell r="A2558" t="str">
            <v>Micarea polycarpella</v>
          </cell>
          <cell r="B2558" t="str">
            <v>Lichens</v>
          </cell>
          <cell r="C2558" t="str">
            <v>Mycophycophyta</v>
          </cell>
          <cell r="D2558" t="str">
            <v>Micarea polycarpella</v>
          </cell>
          <cell r="E2558" t="str">
            <v>LC</v>
          </cell>
          <cell r="F2558" t="str">
            <v>Woods &amp; Coppins, 2012</v>
          </cell>
          <cell r="G2558" t="str">
            <v>BMSSYS0000011222</v>
          </cell>
          <cell r="H2558" t="str">
            <v>Micarea polycarpella</v>
          </cell>
        </row>
        <row r="2559">
          <cell r="A2559" t="str">
            <v>Micarea prasina s. str.</v>
          </cell>
          <cell r="B2559" t="str">
            <v>Lichens</v>
          </cell>
          <cell r="C2559" t="str">
            <v>Mycophycophyta</v>
          </cell>
          <cell r="D2559" t="str">
            <v>Micarea prasina s. str.</v>
          </cell>
          <cell r="E2559" t="str">
            <v>LC</v>
          </cell>
          <cell r="F2559" t="str">
            <v>Woods &amp; Coppins, 2012</v>
          </cell>
          <cell r="G2559" t="str">
            <v>NHMSYS0020103730</v>
          </cell>
          <cell r="H2559" t="str">
            <v>Micarea prasina s. str.</v>
          </cell>
        </row>
        <row r="2560">
          <cell r="A2560" t="str">
            <v>Micarea pseudomarginata</v>
          </cell>
          <cell r="B2560" t="str">
            <v>Lichens</v>
          </cell>
          <cell r="C2560" t="str">
            <v>Mycophycophyta</v>
          </cell>
          <cell r="D2560" t="str">
            <v>Micarea pseudomarginata</v>
          </cell>
          <cell r="E2560" t="str">
            <v>LC</v>
          </cell>
          <cell r="F2560" t="str">
            <v>Woods &amp; Coppins, 2012</v>
          </cell>
          <cell r="G2560" t="str">
            <v>NBNSYS0000039685</v>
          </cell>
          <cell r="H2560" t="str">
            <v>Micarea pseudomarginata</v>
          </cell>
        </row>
        <row r="2561">
          <cell r="A2561" t="str">
            <v>Micarea pycnidiophora</v>
          </cell>
          <cell r="B2561" t="str">
            <v>Lichens</v>
          </cell>
          <cell r="C2561" t="str">
            <v>Mycophycophyta</v>
          </cell>
          <cell r="D2561" t="str">
            <v>Micarea pycnidiophora</v>
          </cell>
          <cell r="E2561" t="str">
            <v>LC</v>
          </cell>
          <cell r="F2561" t="str">
            <v>Woods &amp; Coppins, 2012</v>
          </cell>
          <cell r="G2561" t="str">
            <v>NHMSYS0001489465</v>
          </cell>
          <cell r="H2561" t="str">
            <v>Micarea pycnidiophora</v>
          </cell>
        </row>
        <row r="2562">
          <cell r="A2562" t="str">
            <v>Micarea stipitata</v>
          </cell>
          <cell r="B2562" t="str">
            <v>Lichens</v>
          </cell>
          <cell r="C2562" t="str">
            <v>Mycophycophyta</v>
          </cell>
          <cell r="D2562" t="str">
            <v>Micarea stipitata</v>
          </cell>
          <cell r="E2562" t="str">
            <v>LC</v>
          </cell>
          <cell r="F2562" t="str">
            <v>Woods &amp; Coppins, 2012</v>
          </cell>
          <cell r="G2562" t="str">
            <v>NBNSYS0000018835</v>
          </cell>
          <cell r="H2562" t="str">
            <v>Micarea stipitata</v>
          </cell>
        </row>
        <row r="2563">
          <cell r="A2563" t="str">
            <v>Micarea subnigrata</v>
          </cell>
          <cell r="B2563" t="str">
            <v>Lichens</v>
          </cell>
          <cell r="C2563" t="str">
            <v>Mycophycophyta</v>
          </cell>
          <cell r="D2563" t="str">
            <v>Micarea subnigrata</v>
          </cell>
          <cell r="E2563" t="str">
            <v>LC</v>
          </cell>
          <cell r="F2563" t="str">
            <v>Woods &amp; Coppins, 2012</v>
          </cell>
          <cell r="G2563" t="str">
            <v>NBNSYS0000018837</v>
          </cell>
          <cell r="H2563" t="str">
            <v>Micarea subnigrata</v>
          </cell>
        </row>
        <row r="2564">
          <cell r="A2564" t="str">
            <v>Micarea subviridescens</v>
          </cell>
          <cell r="B2564" t="str">
            <v>Lichens</v>
          </cell>
          <cell r="C2564" t="str">
            <v>Mycophycophyta</v>
          </cell>
          <cell r="D2564" t="str">
            <v>Micarea subviridescens</v>
          </cell>
          <cell r="E2564" t="str">
            <v>LC</v>
          </cell>
          <cell r="F2564" t="str">
            <v>Woods &amp; Coppins, 2012</v>
          </cell>
          <cell r="G2564" t="str">
            <v>NBNSYS0000151561</v>
          </cell>
          <cell r="H2564" t="str">
            <v>Micarea subviridescens</v>
          </cell>
        </row>
        <row r="2565">
          <cell r="A2565" t="str">
            <v>Micarea sylvicola</v>
          </cell>
          <cell r="B2565" t="str">
            <v>Lichens</v>
          </cell>
          <cell r="C2565" t="str">
            <v>Mycophycophyta</v>
          </cell>
          <cell r="D2565" t="str">
            <v>Micarea sylvicola</v>
          </cell>
          <cell r="E2565" t="str">
            <v>LC</v>
          </cell>
          <cell r="F2565" t="str">
            <v>Woods &amp; Coppins, 2012</v>
          </cell>
          <cell r="G2565" t="str">
            <v>BMSSYS0000043176</v>
          </cell>
          <cell r="H2565" t="str">
            <v>Micarea sylvicola</v>
          </cell>
        </row>
        <row r="2566">
          <cell r="A2566" t="str">
            <v>Micarea synotheoides</v>
          </cell>
          <cell r="B2566" t="str">
            <v>Lichens</v>
          </cell>
          <cell r="C2566" t="str">
            <v>Mycophycophyta</v>
          </cell>
          <cell r="D2566" t="str">
            <v>Micarea synotheoides</v>
          </cell>
          <cell r="E2566" t="str">
            <v>LC</v>
          </cell>
          <cell r="F2566" t="str">
            <v>Woods &amp; Coppins, 2012</v>
          </cell>
          <cell r="G2566" t="str">
            <v>NBNSYS0000018839</v>
          </cell>
          <cell r="H2566" t="str">
            <v>Micarea synotheoides</v>
          </cell>
        </row>
        <row r="2567">
          <cell r="A2567" t="str">
            <v>Micarea ternaria</v>
          </cell>
          <cell r="B2567" t="str">
            <v>Lichens</v>
          </cell>
          <cell r="C2567" t="str">
            <v>Mycophycophyta</v>
          </cell>
          <cell r="D2567" t="str">
            <v>Micarea ternaria</v>
          </cell>
          <cell r="E2567" t="str">
            <v>LC</v>
          </cell>
          <cell r="F2567" t="str">
            <v>Woods &amp; Coppins, 2012</v>
          </cell>
          <cell r="G2567" t="str">
            <v>NHMSYS0001489469</v>
          </cell>
          <cell r="H2567" t="str">
            <v>Micarea ternaria</v>
          </cell>
        </row>
        <row r="2568">
          <cell r="A2568" t="str">
            <v>Micarea tuberculata</v>
          </cell>
          <cell r="B2568" t="str">
            <v>Lichens</v>
          </cell>
          <cell r="C2568" t="str">
            <v>Mycophycophyta</v>
          </cell>
          <cell r="D2568" t="str">
            <v>Micarea tuberculata</v>
          </cell>
          <cell r="E2568" t="str">
            <v>LC</v>
          </cell>
          <cell r="F2568" t="str">
            <v>Woods &amp; Coppins, 2012</v>
          </cell>
          <cell r="G2568" t="str">
            <v>BMSSYS0000043177</v>
          </cell>
          <cell r="H2568" t="str">
            <v>Micarea tuberculata</v>
          </cell>
        </row>
        <row r="2569">
          <cell r="A2569" t="str">
            <v>Micarea viridileprosa</v>
          </cell>
          <cell r="B2569" t="str">
            <v>Lichens</v>
          </cell>
          <cell r="C2569" t="str">
            <v>Mycophycophyta</v>
          </cell>
          <cell r="D2569" t="str">
            <v>Micarea viridileprosa</v>
          </cell>
          <cell r="E2569" t="str">
            <v>LC</v>
          </cell>
          <cell r="F2569" t="str">
            <v>Woods &amp; Coppins, 2012</v>
          </cell>
          <cell r="G2569" t="str">
            <v>NHMSYS0000363161</v>
          </cell>
          <cell r="H2569" t="str">
            <v>Micarea viridileprosa</v>
          </cell>
        </row>
        <row r="2570">
          <cell r="A2570" t="str">
            <v>Micarea xanthonica</v>
          </cell>
          <cell r="B2570" t="str">
            <v>Lichens</v>
          </cell>
          <cell r="C2570" t="str">
            <v>Mycophycophyta</v>
          </cell>
          <cell r="D2570" t="str">
            <v>Micarea xanthonica</v>
          </cell>
          <cell r="E2570" t="str">
            <v>LC</v>
          </cell>
          <cell r="F2570" t="str">
            <v>Woods &amp; Coppins, 2012</v>
          </cell>
          <cell r="G2570" t="str">
            <v>NHMSYS0001442973</v>
          </cell>
          <cell r="H2570" t="str">
            <v>Micarea xanthonica</v>
          </cell>
        </row>
        <row r="2571">
          <cell r="A2571" t="str">
            <v>Microcalicium ahlneri</v>
          </cell>
          <cell r="B2571" t="str">
            <v>Lichens</v>
          </cell>
          <cell r="C2571" t="str">
            <v>Mycophycophyta</v>
          </cell>
          <cell r="D2571" t="str">
            <v>Microcalicium ahlneri</v>
          </cell>
          <cell r="E2571" t="str">
            <v>LC</v>
          </cell>
          <cell r="F2571" t="str">
            <v>Woods &amp; Coppins, 2012</v>
          </cell>
          <cell r="G2571" t="str">
            <v>NBNSYS0000015573</v>
          </cell>
          <cell r="H2571" t="str">
            <v>Microcalicium ahlneri</v>
          </cell>
        </row>
        <row r="2572">
          <cell r="A2572" t="str">
            <v>Microcalicium arenarium</v>
          </cell>
          <cell r="B2572" t="str">
            <v>Lichens</v>
          </cell>
          <cell r="C2572" t="str">
            <v>Mycophycophyta</v>
          </cell>
          <cell r="D2572" t="str">
            <v>Microcalicium arenarium</v>
          </cell>
          <cell r="E2572" t="str">
            <v>LC</v>
          </cell>
          <cell r="F2572" t="str">
            <v>Woods &amp; Coppins, 2012</v>
          </cell>
          <cell r="G2572" t="str">
            <v>NBNSYS0000015574</v>
          </cell>
          <cell r="H2572" t="str">
            <v>Microcalicium arenarium</v>
          </cell>
        </row>
        <row r="2573">
          <cell r="A2573" t="str">
            <v>Microcalicium disseminatum</v>
          </cell>
          <cell r="B2573" t="str">
            <v>Lichens</v>
          </cell>
          <cell r="C2573" t="str">
            <v>Mycophycophyta</v>
          </cell>
          <cell r="D2573" t="str">
            <v>Microcalicium disseminatum</v>
          </cell>
          <cell r="E2573" t="str">
            <v>LC</v>
          </cell>
          <cell r="F2573" t="str">
            <v>Woods &amp; Coppins, 2012</v>
          </cell>
          <cell r="G2573" t="str">
            <v>NHMSYS0001489492</v>
          </cell>
          <cell r="H2573" t="str">
            <v>Microcalicium disseminatum</v>
          </cell>
        </row>
        <row r="2574">
          <cell r="A2574" t="str">
            <v>Milospium graphideorum</v>
          </cell>
          <cell r="B2574" t="str">
            <v>Lichens</v>
          </cell>
          <cell r="C2574" t="str">
            <v>Mycophycophyta</v>
          </cell>
          <cell r="D2574" t="str">
            <v>Milospium graphideorum</v>
          </cell>
          <cell r="E2574" t="str">
            <v>LC</v>
          </cell>
          <cell r="F2574" t="str">
            <v>Woods &amp; Coppins, 2012</v>
          </cell>
          <cell r="G2574" t="str">
            <v>BMSSYS0000011356</v>
          </cell>
          <cell r="H2574" t="str">
            <v>Milospium graphideorum</v>
          </cell>
        </row>
        <row r="2575">
          <cell r="A2575" t="str">
            <v>Milospium lacoizquetae</v>
          </cell>
          <cell r="B2575" t="str">
            <v>Lichens</v>
          </cell>
          <cell r="C2575" t="str">
            <v>Mycophycophyta</v>
          </cell>
          <cell r="D2575" t="str">
            <v>Milospium lacoizquetae</v>
          </cell>
          <cell r="E2575" t="str">
            <v>LC</v>
          </cell>
          <cell r="F2575" t="str">
            <v>Woods &amp; Coppins, 2012</v>
          </cell>
          <cell r="G2575" t="str">
            <v>NHMSYS0001489662</v>
          </cell>
          <cell r="H2575" t="str">
            <v>Milospium lacoizquetae</v>
          </cell>
        </row>
        <row r="2576">
          <cell r="A2576" t="str">
            <v>Minutoexcipula tephromelae</v>
          </cell>
          <cell r="B2576" t="str">
            <v>Lichens</v>
          </cell>
          <cell r="C2576" t="str">
            <v>Mycophycophyta</v>
          </cell>
          <cell r="D2576" t="str">
            <v>Minutoexcipula tephromelae</v>
          </cell>
          <cell r="E2576" t="str">
            <v>LC</v>
          </cell>
          <cell r="F2576" t="str">
            <v>Woods &amp; Coppins, 2012</v>
          </cell>
          <cell r="G2576" t="str">
            <v>NHMSYS0020990614</v>
          </cell>
          <cell r="H2576" t="str">
            <v>Minutoexcipula tephromelae</v>
          </cell>
        </row>
        <row r="2577">
          <cell r="A2577" t="str">
            <v>Minutophoma chrysophthalmae</v>
          </cell>
          <cell r="B2577" t="str">
            <v>Lichens</v>
          </cell>
          <cell r="C2577" t="str">
            <v>Mycophycophyta</v>
          </cell>
          <cell r="D2577" t="str">
            <v>Minutophoma chrysophthalmae</v>
          </cell>
          <cell r="E2577" t="str">
            <v>NT</v>
          </cell>
          <cell r="F2577" t="str">
            <v>Woods &amp; Coppins, 2012</v>
          </cell>
          <cell r="G2577" t="str">
            <v>BMSSYS0000011362</v>
          </cell>
          <cell r="H2577" t="str">
            <v>Minutophoma chrysophthalmae</v>
          </cell>
        </row>
        <row r="2578">
          <cell r="A2578" t="str">
            <v>Miriquidica complanata f. complanata, Miriquidica complanata f. sorediata</v>
          </cell>
          <cell r="B2578" t="str">
            <v>Lichens</v>
          </cell>
          <cell r="C2578" t="str">
            <v>Mycophycophyta</v>
          </cell>
          <cell r="D2578" t="str">
            <v>Miriquidica complanata (f. complanata/f. sorediata)</v>
          </cell>
          <cell r="E2578" t="str">
            <v>LC</v>
          </cell>
          <cell r="F2578" t="str">
            <v>Woods &amp; Coppins, 2012</v>
          </cell>
          <cell r="G2578" t="str">
            <v>NHMSYS0001489669</v>
          </cell>
          <cell r="H2578" t="str">
            <v>Miriquidica complanata f. complanata, Miriquidica complanata f. sorediata</v>
          </cell>
        </row>
        <row r="2579">
          <cell r="A2579" t="str">
            <v>Miriquidica leucophaea</v>
          </cell>
          <cell r="B2579" t="str">
            <v>Lichens</v>
          </cell>
          <cell r="C2579" t="str">
            <v>Mycophycophyta</v>
          </cell>
          <cell r="D2579" t="str">
            <v>Miriquidica leucophaea</v>
          </cell>
          <cell r="E2579" t="str">
            <v>LC</v>
          </cell>
          <cell r="F2579" t="str">
            <v>Woods &amp; Coppins, 2012</v>
          </cell>
          <cell r="G2579" t="str">
            <v>NHMSYS0001489673</v>
          </cell>
          <cell r="H2579" t="str">
            <v>Miriquidica leucophaea</v>
          </cell>
        </row>
        <row r="2580">
          <cell r="A2580" t="str">
            <v>Miriquidica pycnocarpa f. pycnocarpa, Miriquidica pycnocarpa f. sorediata</v>
          </cell>
          <cell r="B2580" t="str">
            <v>Lichens</v>
          </cell>
          <cell r="C2580" t="str">
            <v>Mycophycophyta</v>
          </cell>
          <cell r="D2580" t="str">
            <v>Miriquidica pycnocarpa (f. pycnocarpa/f. sorediata)</v>
          </cell>
          <cell r="E2580" t="str">
            <v>LC</v>
          </cell>
          <cell r="F2580" t="str">
            <v>Woods &amp; Coppins, 2012</v>
          </cell>
          <cell r="G2580" t="str">
            <v>NHMSYS0020819470</v>
          </cell>
          <cell r="H2580" t="str">
            <v>Miriquidica pycnocarpa f. pycnocarpa, Miriquidica pycnocarpa f. sorediata</v>
          </cell>
        </row>
        <row r="2581">
          <cell r="A2581" t="str">
            <v>Mniaecia jungermanniae</v>
          </cell>
          <cell r="B2581" t="str">
            <v>Lichens</v>
          </cell>
          <cell r="C2581" t="str">
            <v>Mycophycophyta</v>
          </cell>
          <cell r="D2581" t="str">
            <v>Mniaecia jungermanniae</v>
          </cell>
          <cell r="E2581" t="str">
            <v>LC</v>
          </cell>
          <cell r="F2581" t="str">
            <v>Woods &amp; Coppins, 2012</v>
          </cell>
          <cell r="G2581" t="str">
            <v>NHMSYS0000363191</v>
          </cell>
          <cell r="H2581" t="str">
            <v>Mniaecia jungermanniae</v>
          </cell>
        </row>
        <row r="2582">
          <cell r="A2582" t="str">
            <v>Moelleropsis nebulosa</v>
          </cell>
          <cell r="B2582" t="str">
            <v>Lichens</v>
          </cell>
          <cell r="C2582" t="str">
            <v>Mycophycophyta</v>
          </cell>
          <cell r="D2582" t="str">
            <v>Moelleropsis nebulosa</v>
          </cell>
          <cell r="E2582" t="str">
            <v>LC</v>
          </cell>
          <cell r="F2582" t="str">
            <v>Woods &amp; Coppins, 2012</v>
          </cell>
          <cell r="G2582" t="str">
            <v>NHMSYS0021576653</v>
          </cell>
          <cell r="H2582" t="str">
            <v>Moelleropsis nebulosa</v>
          </cell>
        </row>
        <row r="2583">
          <cell r="A2583" t="str">
            <v>Muellerella lichenicola</v>
          </cell>
          <cell r="B2583" t="str">
            <v>Lichens</v>
          </cell>
          <cell r="C2583" t="str">
            <v>Mycophycophyta</v>
          </cell>
          <cell r="D2583" t="str">
            <v>Muellerella lichenicola</v>
          </cell>
          <cell r="E2583" t="str">
            <v>LC</v>
          </cell>
          <cell r="F2583" t="str">
            <v>Woods &amp; Coppins, 2012</v>
          </cell>
          <cell r="G2583" t="str">
            <v>NHMSYS0001489991</v>
          </cell>
          <cell r="H2583" t="str">
            <v>Muellerella lichenicola</v>
          </cell>
        </row>
        <row r="2584">
          <cell r="A2584" t="str">
            <v>Mycobilimbia carneoalbida</v>
          </cell>
          <cell r="B2584" t="str">
            <v>Lichens</v>
          </cell>
          <cell r="C2584" t="str">
            <v>Mycophycophyta</v>
          </cell>
          <cell r="D2584" t="str">
            <v>Mycobilimbia carneoalbida</v>
          </cell>
          <cell r="E2584" t="str">
            <v>CR</v>
          </cell>
          <cell r="F2584" t="str">
            <v>Woods &amp; Coppins, 2012</v>
          </cell>
          <cell r="G2584" t="str">
            <v>NHMSYS0020535733</v>
          </cell>
          <cell r="H2584" t="str">
            <v>Mycobilimbia carneoalbida</v>
          </cell>
        </row>
        <row r="2585">
          <cell r="A2585" t="str">
            <v>Mycobilimbia epixanthoides</v>
          </cell>
          <cell r="B2585" t="str">
            <v>Lichens</v>
          </cell>
          <cell r="C2585" t="str">
            <v>Mycophycophyta</v>
          </cell>
          <cell r="D2585" t="str">
            <v>Mycobilimbia epixanthoides</v>
          </cell>
          <cell r="E2585" t="str">
            <v>LC</v>
          </cell>
          <cell r="F2585" t="str">
            <v>Woods &amp; Coppins, 2012</v>
          </cell>
          <cell r="G2585" t="str">
            <v>NHMSYS0001490318</v>
          </cell>
          <cell r="H2585" t="str">
            <v>Mycobilimbia epixanthoides</v>
          </cell>
        </row>
        <row r="2586">
          <cell r="A2586" t="str">
            <v>Mycobilimbia pilularis</v>
          </cell>
          <cell r="B2586" t="str">
            <v>Lichens</v>
          </cell>
          <cell r="C2586" t="str">
            <v>Mycophycophyta</v>
          </cell>
          <cell r="D2586" t="str">
            <v>Mycobilimbia pilularis</v>
          </cell>
          <cell r="E2586" t="str">
            <v>LC</v>
          </cell>
          <cell r="F2586" t="str">
            <v>Woods &amp; Coppins, 2012</v>
          </cell>
          <cell r="G2586" t="str">
            <v>NHMSYS0021576748</v>
          </cell>
          <cell r="H2586" t="str">
            <v>Mycobilimbia pilularis</v>
          </cell>
        </row>
        <row r="2587">
          <cell r="A2587" t="str">
            <v>Mycoblastus affinis</v>
          </cell>
          <cell r="B2587" t="str">
            <v>Lichens</v>
          </cell>
          <cell r="C2587" t="str">
            <v>Mycophycophyta</v>
          </cell>
          <cell r="D2587" t="str">
            <v>Mycoblastus affinis</v>
          </cell>
          <cell r="E2587" t="str">
            <v>LC</v>
          </cell>
          <cell r="F2587" t="str">
            <v>Woods &amp; Coppins, 2012</v>
          </cell>
          <cell r="G2587" t="str">
            <v>NBNSYS0000018848</v>
          </cell>
          <cell r="H2587" t="str">
            <v>Mycoblastus affinis</v>
          </cell>
        </row>
        <row r="2588">
          <cell r="A2588" t="str">
            <v>Mycoblastus alpinus</v>
          </cell>
          <cell r="B2588" t="str">
            <v>Lichens</v>
          </cell>
          <cell r="C2588" t="str">
            <v>Mycophycophyta</v>
          </cell>
          <cell r="D2588" t="str">
            <v>Mycoblastus alpinus</v>
          </cell>
          <cell r="E2588" t="str">
            <v>LC</v>
          </cell>
          <cell r="F2588" t="str">
            <v>Woods &amp; Coppins, 2012</v>
          </cell>
          <cell r="G2588" t="str">
            <v>NHMSYS0001490327</v>
          </cell>
          <cell r="H2588" t="str">
            <v>Mycoblastus alpinus</v>
          </cell>
        </row>
        <row r="2589">
          <cell r="A2589" t="str">
            <v>Mycoblastus caesius</v>
          </cell>
          <cell r="B2589" t="str">
            <v>Lichens</v>
          </cell>
          <cell r="C2589" t="str">
            <v>Mycophycophyta</v>
          </cell>
          <cell r="D2589" t="str">
            <v>Mycoblastus caesius</v>
          </cell>
          <cell r="E2589" t="str">
            <v>LC</v>
          </cell>
          <cell r="F2589" t="str">
            <v>Woods &amp; Coppins, 2012</v>
          </cell>
          <cell r="G2589" t="str">
            <v>BMSSYS0000011765</v>
          </cell>
          <cell r="H2589" t="str">
            <v>Mycoblastus caesius</v>
          </cell>
        </row>
        <row r="2590">
          <cell r="A2590" t="str">
            <v>Mycoblastus sanguinarius f. sanguinarius, Mycoblastus sanguinarius f. leprosus</v>
          </cell>
          <cell r="B2590" t="str">
            <v>Lichens</v>
          </cell>
          <cell r="C2590" t="str">
            <v>Mycophycophyta</v>
          </cell>
          <cell r="D2590" t="str">
            <v>Mycoblastus sanguinarius (f. sanguinarius/f. leprosus)</v>
          </cell>
          <cell r="E2590" t="str">
            <v>LC</v>
          </cell>
          <cell r="F2590" t="str">
            <v>Woods &amp; Coppins, 2012</v>
          </cell>
          <cell r="G2590" t="str">
            <v>NHMSYS0001490329</v>
          </cell>
          <cell r="H2590" t="str">
            <v>Mycoblastus sanguinarius f. sanguinarius, Mycoblastus sanguinarius f. leprosus</v>
          </cell>
        </row>
        <row r="2591">
          <cell r="A2591" t="str">
            <v>Mycocalicium subtile</v>
          </cell>
          <cell r="B2591" t="str">
            <v>Lichens</v>
          </cell>
          <cell r="C2591" t="str">
            <v>Mycophycophyta</v>
          </cell>
          <cell r="D2591" t="str">
            <v>Mycocalicium subtile</v>
          </cell>
          <cell r="E2591" t="str">
            <v>LC</v>
          </cell>
          <cell r="F2591" t="str">
            <v>Woods &amp; Coppins, 2012</v>
          </cell>
          <cell r="G2591" t="str">
            <v>NBNSYS0000015576</v>
          </cell>
          <cell r="H2591" t="str">
            <v>Mycocalicium subtile</v>
          </cell>
        </row>
        <row r="2592">
          <cell r="A2592" t="str">
            <v>Mycoglaena myricae</v>
          </cell>
          <cell r="B2592" t="str">
            <v>Lichens</v>
          </cell>
          <cell r="C2592" t="str">
            <v>Mycophycophyta</v>
          </cell>
          <cell r="D2592" t="str">
            <v>Mycoglaena myricae</v>
          </cell>
          <cell r="E2592" t="str">
            <v>LC</v>
          </cell>
          <cell r="F2592" t="str">
            <v>Woods &amp; Coppins, 2012</v>
          </cell>
          <cell r="G2592" t="str">
            <v>NHMSYS0001490346</v>
          </cell>
          <cell r="H2592" t="str">
            <v>Mycoglaena myricae</v>
          </cell>
        </row>
        <row r="2593">
          <cell r="A2593" t="str">
            <v>Mycomicrothelia atlantica</v>
          </cell>
          <cell r="B2593" t="str">
            <v>Lichens</v>
          </cell>
          <cell r="C2593" t="str">
            <v>Mycophycophyta</v>
          </cell>
          <cell r="D2593" t="str">
            <v>Mycomicrothelia atlantica</v>
          </cell>
          <cell r="E2593" t="str">
            <v>NT</v>
          </cell>
          <cell r="F2593" t="str">
            <v>Woods &amp; Coppins, 2012</v>
          </cell>
          <cell r="G2593" t="str">
            <v>NHMSYS0001490354</v>
          </cell>
          <cell r="H2593" t="str">
            <v>Mycomicrothelia atlantica</v>
          </cell>
        </row>
        <row r="2594">
          <cell r="A2594" t="str">
            <v>Mycomicrothelia confusa</v>
          </cell>
          <cell r="B2594" t="str">
            <v>Lichens</v>
          </cell>
          <cell r="C2594" t="str">
            <v>Mycophycophyta</v>
          </cell>
          <cell r="D2594" t="str">
            <v>Mycomicrothelia confusa</v>
          </cell>
          <cell r="E2594" t="str">
            <v>LC</v>
          </cell>
          <cell r="F2594" t="str">
            <v>Woods &amp; Coppins, 2012</v>
          </cell>
          <cell r="G2594" t="str">
            <v>NHMSYS0001490356</v>
          </cell>
          <cell r="H2594" t="str">
            <v>Mycomicrothelia confusa</v>
          </cell>
        </row>
        <row r="2595">
          <cell r="A2595" t="str">
            <v>Mycoporum antecellens</v>
          </cell>
          <cell r="B2595" t="str">
            <v>Lichens</v>
          </cell>
          <cell r="C2595" t="str">
            <v>Mycophycophyta</v>
          </cell>
          <cell r="D2595" t="str">
            <v>Mycoporum antecellens</v>
          </cell>
          <cell r="E2595" t="str">
            <v>LC</v>
          </cell>
          <cell r="F2595" t="str">
            <v>Woods &amp; Coppins, 2012</v>
          </cell>
          <cell r="G2595" t="str">
            <v>NHMSYS0001490362</v>
          </cell>
          <cell r="H2595" t="str">
            <v>Mycoporum antecellens</v>
          </cell>
        </row>
        <row r="2596">
          <cell r="A2596" t="str">
            <v>Mycoporum lacteum</v>
          </cell>
          <cell r="B2596" t="str">
            <v>Lichens</v>
          </cell>
          <cell r="C2596" t="str">
            <v>Mycophycophyta</v>
          </cell>
          <cell r="D2596" t="str">
            <v>Mycoporum lacteum</v>
          </cell>
          <cell r="E2596" t="str">
            <v>NT</v>
          </cell>
          <cell r="F2596" t="str">
            <v>Woods &amp; Coppins, 2012</v>
          </cell>
          <cell r="G2596" t="str">
            <v>BMSSYS0000011797</v>
          </cell>
          <cell r="H2596" t="str">
            <v>Mycoporum lacteum</v>
          </cell>
        </row>
        <row r="2597">
          <cell r="A2597" t="str">
            <v>Myriospora heppii</v>
          </cell>
          <cell r="B2597" t="str">
            <v>Lichens</v>
          </cell>
          <cell r="C2597" t="str">
            <v>Mycophycophyta</v>
          </cell>
          <cell r="D2597" t="str">
            <v>Myriospora heppii</v>
          </cell>
          <cell r="E2597" t="str">
            <v>LC</v>
          </cell>
          <cell r="F2597" t="str">
            <v>Woods &amp; Coppins, 2012</v>
          </cell>
          <cell r="G2597" t="str">
            <v>NHMSYS0020989854</v>
          </cell>
          <cell r="H2597" t="str">
            <v>Myriospora heppii</v>
          </cell>
        </row>
        <row r="2598">
          <cell r="A2598" t="str">
            <v>Nectriopsis lecanodes</v>
          </cell>
          <cell r="B2598" t="str">
            <v>Lichens</v>
          </cell>
          <cell r="C2598" t="str">
            <v>Mycophycophyta</v>
          </cell>
          <cell r="D2598" t="str">
            <v>Nectriopsis lecanodes</v>
          </cell>
          <cell r="E2598" t="str">
            <v>LC</v>
          </cell>
          <cell r="F2598" t="str">
            <v>Woods &amp; Coppins, 2012</v>
          </cell>
          <cell r="G2598" t="str">
            <v>NHMSYS0001490745</v>
          </cell>
          <cell r="H2598" t="str">
            <v>Nectriopsis lecanodes</v>
          </cell>
        </row>
        <row r="2599">
          <cell r="A2599" t="str">
            <v>Nephroma laevigatum</v>
          </cell>
          <cell r="B2599" t="str">
            <v>Lichens</v>
          </cell>
          <cell r="C2599" t="str">
            <v>Mycophycophyta</v>
          </cell>
          <cell r="D2599" t="str">
            <v>Nephroma laevigatum</v>
          </cell>
          <cell r="E2599" t="str">
            <v>LC</v>
          </cell>
          <cell r="F2599" t="str">
            <v>Woods &amp; Coppins, 2012</v>
          </cell>
          <cell r="G2599" t="str">
            <v>NBNSYS0000019317</v>
          </cell>
          <cell r="H2599" t="str">
            <v>Nephroma laevigatum</v>
          </cell>
        </row>
        <row r="2600">
          <cell r="A2600" t="str">
            <v>Nephroma parile</v>
          </cell>
          <cell r="B2600" t="str">
            <v>Lichens</v>
          </cell>
          <cell r="C2600" t="str">
            <v>Mycophycophyta</v>
          </cell>
          <cell r="D2600" t="str">
            <v>Nephroma parile</v>
          </cell>
          <cell r="E2600" t="str">
            <v>LC</v>
          </cell>
          <cell r="F2600" t="str">
            <v>Woods &amp; Coppins, 2012</v>
          </cell>
          <cell r="G2600" t="str">
            <v>NBNSYS0000019318</v>
          </cell>
          <cell r="H2600" t="str">
            <v>Nephroma parile</v>
          </cell>
        </row>
        <row r="2601">
          <cell r="A2601" t="str">
            <v>Nephroma tangeriense</v>
          </cell>
          <cell r="B2601" t="str">
            <v>Lichens</v>
          </cell>
          <cell r="C2601" t="str">
            <v>Mycophycophyta</v>
          </cell>
          <cell r="D2601" t="str">
            <v>Nephroma tangeriense</v>
          </cell>
          <cell r="E2601" t="str">
            <v>NT</v>
          </cell>
          <cell r="F2601" t="str">
            <v>Woods &amp; Coppins, 2012</v>
          </cell>
          <cell r="G2601" t="str">
            <v>NBNSYS0000039691</v>
          </cell>
          <cell r="H2601" t="str">
            <v>Nephroma tangeriense</v>
          </cell>
        </row>
        <row r="2602">
          <cell r="A2602" t="str">
            <v>Nesolechia oxyspora</v>
          </cell>
          <cell r="B2602" t="str">
            <v>Lichens</v>
          </cell>
          <cell r="C2602" t="str">
            <v>Mycophycophyta</v>
          </cell>
          <cell r="D2602" t="str">
            <v>Nesolechia oxyspora</v>
          </cell>
          <cell r="E2602" t="str">
            <v>LC</v>
          </cell>
          <cell r="F2602" t="str">
            <v>Woods &amp; Coppins, 2012</v>
          </cell>
          <cell r="G2602" t="str">
            <v>NHMSYS0001490839</v>
          </cell>
          <cell r="H2602" t="str">
            <v>Nesolechia oxyspora</v>
          </cell>
        </row>
        <row r="2603">
          <cell r="A2603" t="str">
            <v>Nigromacula uniseptata</v>
          </cell>
          <cell r="B2603" t="str">
            <v>Lichens</v>
          </cell>
          <cell r="C2603" t="str">
            <v>Mycophycophyta</v>
          </cell>
          <cell r="D2603" t="str">
            <v>Nigromacula uniseptata</v>
          </cell>
          <cell r="E2603" t="str">
            <v>LC</v>
          </cell>
          <cell r="F2603" t="str">
            <v>Woods &amp; Coppins, 2012</v>
          </cell>
          <cell r="G2603" t="str">
            <v>NHMSYS0001490876</v>
          </cell>
          <cell r="H2603" t="str">
            <v>Nigromacula uniseptata</v>
          </cell>
        </row>
        <row r="2604">
          <cell r="A2604" t="str">
            <v>Normandina acroglypta</v>
          </cell>
          <cell r="B2604" t="str">
            <v>Lichens</v>
          </cell>
          <cell r="C2604" t="str">
            <v>Mycophycophyta</v>
          </cell>
          <cell r="D2604" t="str">
            <v>Normandina acroglypta</v>
          </cell>
          <cell r="E2604" t="str">
            <v>LC</v>
          </cell>
          <cell r="F2604" t="str">
            <v>Woods &amp; Coppins, 2012</v>
          </cell>
          <cell r="G2604" t="str">
            <v>BMSSYS0000012114</v>
          </cell>
          <cell r="H2604" t="str">
            <v>Normandina acroglypta</v>
          </cell>
        </row>
        <row r="2605">
          <cell r="A2605" t="str">
            <v>Normandina pulchella</v>
          </cell>
          <cell r="B2605" t="str">
            <v>Lichens</v>
          </cell>
          <cell r="C2605" t="str">
            <v>Mycophycophyta</v>
          </cell>
          <cell r="D2605" t="str">
            <v>Normandina pulchella</v>
          </cell>
          <cell r="E2605" t="str">
            <v>LC</v>
          </cell>
          <cell r="F2605" t="str">
            <v>Woods &amp; Coppins, 2012</v>
          </cell>
          <cell r="G2605" t="str">
            <v>NBNSYS0000039692</v>
          </cell>
          <cell r="H2605" t="str">
            <v>Normandina pulchella</v>
          </cell>
        </row>
        <row r="2606">
          <cell r="A2606" t="str">
            <v>Ochrolechia androgyna</v>
          </cell>
          <cell r="B2606" t="str">
            <v>Lichens</v>
          </cell>
          <cell r="C2606" t="str">
            <v>Mycophycophyta</v>
          </cell>
          <cell r="D2606" t="str">
            <v>Ochrolechia androgyna</v>
          </cell>
          <cell r="E2606" t="str">
            <v>LC</v>
          </cell>
          <cell r="F2606" t="str">
            <v>Woods &amp; Coppins, 2012</v>
          </cell>
          <cell r="G2606" t="str">
            <v>NBNSYS0000019365</v>
          </cell>
          <cell r="H2606" t="str">
            <v>Ochrolechia androgyna</v>
          </cell>
        </row>
        <row r="2607">
          <cell r="A2607" t="str">
            <v>Ochrolechia arborea</v>
          </cell>
          <cell r="B2607" t="str">
            <v>Lichens</v>
          </cell>
          <cell r="C2607" t="str">
            <v>Mycophycophyta</v>
          </cell>
          <cell r="D2607" t="str">
            <v>Ochrolechia arborea</v>
          </cell>
          <cell r="E2607" t="str">
            <v>NT</v>
          </cell>
          <cell r="F2607" t="str">
            <v>Woods &amp; Coppins, 2012</v>
          </cell>
          <cell r="G2607" t="str">
            <v>BMSSYS0000012143</v>
          </cell>
          <cell r="H2607" t="str">
            <v>Ochrolechia arborea</v>
          </cell>
        </row>
        <row r="2608">
          <cell r="A2608" t="str">
            <v>Ochrolechia frigida f. frigida, Ochrolechia frigida f. lapuensis</v>
          </cell>
          <cell r="B2608" t="str">
            <v>Lichens</v>
          </cell>
          <cell r="C2608" t="str">
            <v>Mycophycophyta</v>
          </cell>
          <cell r="D2608" t="str">
            <v>Ochrolechia frigida (f. frigida/f. lapuensis)</v>
          </cell>
          <cell r="E2608" t="str">
            <v>LC</v>
          </cell>
          <cell r="F2608" t="str">
            <v>Woods &amp; Coppins, 2012</v>
          </cell>
          <cell r="G2608" t="str">
            <v>NBNSYS0000019366</v>
          </cell>
          <cell r="H2608" t="str">
            <v>Ochrolechia frigida f. frigida, Ochrolechia frigida f. lapuensis</v>
          </cell>
        </row>
        <row r="2609">
          <cell r="A2609" t="str">
            <v>Ochrolechia microstictoides</v>
          </cell>
          <cell r="B2609" t="str">
            <v>Lichens</v>
          </cell>
          <cell r="C2609" t="str">
            <v>Mycophycophyta</v>
          </cell>
          <cell r="D2609" t="str">
            <v>Ochrolechia microstictoides</v>
          </cell>
          <cell r="E2609" t="str">
            <v>LC</v>
          </cell>
          <cell r="F2609" t="str">
            <v>Woods &amp; Coppins, 2012</v>
          </cell>
          <cell r="G2609" t="str">
            <v>BMSSYS0000012148</v>
          </cell>
          <cell r="H2609" t="str">
            <v>Ochrolechia microstictoides</v>
          </cell>
        </row>
        <row r="2610">
          <cell r="A2610" t="str">
            <v>Ochrolechia parella</v>
          </cell>
          <cell r="B2610" t="str">
            <v>Lichens</v>
          </cell>
          <cell r="C2610" t="str">
            <v>Mycophycophyta</v>
          </cell>
          <cell r="D2610" t="str">
            <v>Ochrolechia parella</v>
          </cell>
          <cell r="E2610" t="str">
            <v>LC</v>
          </cell>
          <cell r="F2610" t="str">
            <v>Woods &amp; Coppins, 2012</v>
          </cell>
          <cell r="G2610" t="str">
            <v>NHMSYS0001491022</v>
          </cell>
          <cell r="H2610" t="str">
            <v>Ochrolechia parella</v>
          </cell>
        </row>
        <row r="2611">
          <cell r="A2611" t="str">
            <v>Ochrolechia subviridis</v>
          </cell>
          <cell r="B2611" t="str">
            <v>Lichens</v>
          </cell>
          <cell r="C2611" t="str">
            <v>Mycophycophyta</v>
          </cell>
          <cell r="D2611" t="str">
            <v>Ochrolechia subviridis</v>
          </cell>
          <cell r="E2611" t="str">
            <v>LC</v>
          </cell>
          <cell r="F2611" t="str">
            <v>Woods &amp; Coppins, 2012</v>
          </cell>
          <cell r="G2611" t="str">
            <v>NHMSYS0001491024</v>
          </cell>
          <cell r="H2611" t="str">
            <v>Ochrolechia subviridis</v>
          </cell>
        </row>
        <row r="2612">
          <cell r="A2612" t="str">
            <v>Ochrolechia tartarea</v>
          </cell>
          <cell r="B2612" t="str">
            <v>Lichens</v>
          </cell>
          <cell r="C2612" t="str">
            <v>Mycophycophyta</v>
          </cell>
          <cell r="D2612" t="str">
            <v>Ochrolechia tartarea</v>
          </cell>
          <cell r="E2612" t="str">
            <v>LC</v>
          </cell>
          <cell r="F2612" t="str">
            <v>Woods &amp; Coppins, 2012</v>
          </cell>
          <cell r="G2612" t="str">
            <v>NHMSYS0001491026</v>
          </cell>
          <cell r="H2612" t="str">
            <v>Ochrolechia tartarea</v>
          </cell>
        </row>
        <row r="2613">
          <cell r="A2613" t="str">
            <v>Ochrolechia turneri</v>
          </cell>
          <cell r="B2613" t="str">
            <v>Lichens</v>
          </cell>
          <cell r="C2613" t="str">
            <v>Mycophycophyta</v>
          </cell>
          <cell r="D2613" t="str">
            <v>Ochrolechia turneri</v>
          </cell>
          <cell r="E2613" t="str">
            <v>LC</v>
          </cell>
          <cell r="F2613" t="str">
            <v>Woods &amp; Coppins, 2012</v>
          </cell>
          <cell r="G2613" t="str">
            <v>NHMSYS0000364693</v>
          </cell>
          <cell r="H2613" t="str">
            <v>Ochrolechia turneri</v>
          </cell>
        </row>
        <row r="2614">
          <cell r="A2614" t="str">
            <v>Opegrapha areniseda</v>
          </cell>
          <cell r="B2614" t="str">
            <v>Lichens</v>
          </cell>
          <cell r="C2614" t="str">
            <v>Mycophycophyta</v>
          </cell>
          <cell r="D2614" t="str">
            <v>Opegrapha areniseda</v>
          </cell>
          <cell r="E2614" t="str">
            <v>LC</v>
          </cell>
          <cell r="F2614" t="str">
            <v>Woods &amp; Coppins, 2012</v>
          </cell>
          <cell r="G2614" t="str">
            <v>NBNSYS0000019198</v>
          </cell>
          <cell r="H2614" t="str">
            <v>Opegrapha areniseda</v>
          </cell>
        </row>
        <row r="2615">
          <cell r="A2615" t="str">
            <v>Opegrapha atra</v>
          </cell>
          <cell r="B2615" t="str">
            <v>Lichens</v>
          </cell>
          <cell r="C2615" t="str">
            <v>Mycophycophyta</v>
          </cell>
          <cell r="D2615" t="str">
            <v>Opegrapha atra</v>
          </cell>
          <cell r="E2615" t="str">
            <v>LC</v>
          </cell>
          <cell r="F2615" t="str">
            <v>Woods &amp; Coppins, 2012</v>
          </cell>
          <cell r="G2615" t="str">
            <v>NBNSYS0000019199</v>
          </cell>
          <cell r="H2615" t="str">
            <v>Opegrapha atra</v>
          </cell>
        </row>
        <row r="2616">
          <cell r="A2616" t="str">
            <v>Opegrapha calcarea</v>
          </cell>
          <cell r="B2616" t="str">
            <v>Lichens</v>
          </cell>
          <cell r="C2616" t="str">
            <v>Mycophycophyta</v>
          </cell>
          <cell r="D2616" t="str">
            <v>Opegrapha calcarea</v>
          </cell>
          <cell r="E2616" t="str">
            <v>LC</v>
          </cell>
          <cell r="F2616" t="str">
            <v>Woods &amp; Coppins, 2012</v>
          </cell>
          <cell r="G2616" t="str">
            <v>NBNSYS0000019201</v>
          </cell>
          <cell r="H2616" t="str">
            <v>Opegrapha calcarea</v>
          </cell>
        </row>
        <row r="2617">
          <cell r="A2617" t="str">
            <v>Opegrapha cesareensis</v>
          </cell>
          <cell r="B2617" t="str">
            <v>Lichens</v>
          </cell>
          <cell r="C2617" t="str">
            <v>Mycophycophyta</v>
          </cell>
          <cell r="D2617" t="str">
            <v>Opegrapha cesareensis</v>
          </cell>
          <cell r="E2617" t="str">
            <v>LC</v>
          </cell>
          <cell r="F2617" t="str">
            <v>Woods &amp; Coppins, 2012</v>
          </cell>
          <cell r="G2617" t="str">
            <v>NBNSYS0000019202</v>
          </cell>
          <cell r="H2617" t="str">
            <v>Opegrapha cesareensis</v>
          </cell>
        </row>
        <row r="2618">
          <cell r="A2618" t="str">
            <v>Opegrapha corticola</v>
          </cell>
          <cell r="B2618" t="str">
            <v>Lichens</v>
          </cell>
          <cell r="C2618" t="str">
            <v>Mycophycophyta</v>
          </cell>
          <cell r="D2618" t="str">
            <v>Opegrapha corticola</v>
          </cell>
          <cell r="E2618" t="str">
            <v>LC</v>
          </cell>
          <cell r="F2618" t="str">
            <v>Woods &amp; Coppins, 2012</v>
          </cell>
          <cell r="G2618" t="str">
            <v>NHMSYS0001491371</v>
          </cell>
          <cell r="H2618" t="str">
            <v>Opegrapha corticola</v>
          </cell>
        </row>
        <row r="2619">
          <cell r="A2619" t="str">
            <v>Opegrapha demutata</v>
          </cell>
          <cell r="B2619" t="str">
            <v>Lichens</v>
          </cell>
          <cell r="C2619" t="str">
            <v>Mycophycophyta</v>
          </cell>
          <cell r="D2619" t="str">
            <v>Opegrapha demutata</v>
          </cell>
          <cell r="E2619" t="str">
            <v>LC</v>
          </cell>
          <cell r="F2619" t="str">
            <v>Woods &amp; Coppins, 2012</v>
          </cell>
          <cell r="G2619" t="str">
            <v>NBNSYS0000039700</v>
          </cell>
          <cell r="H2619" t="str">
            <v>Opegrapha demutata</v>
          </cell>
        </row>
        <row r="2620">
          <cell r="A2620" t="str">
            <v>Opegrapha dolomitica</v>
          </cell>
          <cell r="B2620" t="str">
            <v>Lichens</v>
          </cell>
          <cell r="C2620" t="str">
            <v>Mycophycophyta</v>
          </cell>
          <cell r="D2620" t="str">
            <v>Opegrapha dolomitica</v>
          </cell>
          <cell r="E2620" t="str">
            <v>LC</v>
          </cell>
          <cell r="F2620" t="str">
            <v>Woods &amp; Coppins, 2012</v>
          </cell>
          <cell r="G2620" t="str">
            <v>BMSSYS0000012427</v>
          </cell>
          <cell r="H2620" t="str">
            <v>Opegrapha dolomitica</v>
          </cell>
        </row>
        <row r="2621">
          <cell r="A2621" t="str">
            <v>Opegrapha fumosa</v>
          </cell>
          <cell r="B2621" t="str">
            <v>Lichens</v>
          </cell>
          <cell r="C2621" t="str">
            <v>Mycophycophyta</v>
          </cell>
          <cell r="D2621" t="str">
            <v>Opegrapha fumosa</v>
          </cell>
          <cell r="E2621" t="str">
            <v>LC</v>
          </cell>
          <cell r="F2621" t="str">
            <v>Woods &amp; Coppins, 2012</v>
          </cell>
          <cell r="G2621" t="str">
            <v>NBNSYS0000039701</v>
          </cell>
          <cell r="H2621" t="str">
            <v>Opegrapha fumosa</v>
          </cell>
        </row>
        <row r="2622">
          <cell r="A2622" t="str">
            <v>Opegrapha gyrocarpa</v>
          </cell>
          <cell r="B2622" t="str">
            <v>Lichens</v>
          </cell>
          <cell r="C2622" t="str">
            <v>Mycophycophyta</v>
          </cell>
          <cell r="D2622" t="str">
            <v>Opegrapha gyrocarpa</v>
          </cell>
          <cell r="E2622" t="str">
            <v>LC</v>
          </cell>
          <cell r="F2622" t="str">
            <v>Woods &amp; Coppins, 2012</v>
          </cell>
          <cell r="G2622" t="str">
            <v>NBNSYS0000019207</v>
          </cell>
          <cell r="H2622" t="str">
            <v>Opegrapha gyrocarpa</v>
          </cell>
        </row>
        <row r="2623">
          <cell r="A2623" t="str">
            <v>Opegrapha herbarum</v>
          </cell>
          <cell r="B2623" t="str">
            <v>Lichens</v>
          </cell>
          <cell r="C2623" t="str">
            <v>Mycophycophyta</v>
          </cell>
          <cell r="D2623" t="str">
            <v>Opegrapha herbarum</v>
          </cell>
          <cell r="E2623" t="str">
            <v>LC</v>
          </cell>
          <cell r="F2623" t="str">
            <v>Woods &amp; Coppins, 2012</v>
          </cell>
          <cell r="G2623" t="str">
            <v>NBNSYS0000019208</v>
          </cell>
          <cell r="H2623" t="str">
            <v>Opegrapha herbarum</v>
          </cell>
        </row>
        <row r="2624">
          <cell r="A2624" t="str">
            <v>Opegrapha hochstetteri</v>
          </cell>
          <cell r="B2624" t="str">
            <v>Lichens</v>
          </cell>
          <cell r="C2624" t="str">
            <v>Mycophycophyta</v>
          </cell>
          <cell r="D2624" t="str">
            <v>Opegrapha hochstetteri</v>
          </cell>
          <cell r="E2624" t="str">
            <v>LC</v>
          </cell>
          <cell r="F2624" t="str">
            <v>Woods &amp; Coppins, 2012</v>
          </cell>
          <cell r="G2624" t="str">
            <v>BMSSYS0000048658</v>
          </cell>
          <cell r="H2624" t="str">
            <v>Opegrapha hochstetteri</v>
          </cell>
        </row>
        <row r="2625">
          <cell r="A2625" t="str">
            <v>Opegrapha lithyrga</v>
          </cell>
          <cell r="B2625" t="str">
            <v>Lichens</v>
          </cell>
          <cell r="C2625" t="str">
            <v>Mycophycophyta</v>
          </cell>
          <cell r="D2625" t="str">
            <v>Opegrapha lithyrga</v>
          </cell>
          <cell r="E2625" t="str">
            <v>LC</v>
          </cell>
          <cell r="F2625" t="str">
            <v>Woods &amp; Coppins, 2012</v>
          </cell>
          <cell r="G2625" t="str">
            <v>NBNSYS0000019211</v>
          </cell>
          <cell r="H2625" t="str">
            <v>Opegrapha lithyrga</v>
          </cell>
        </row>
        <row r="2626">
          <cell r="A2626" t="str">
            <v>Opegrapha mougeotii</v>
          </cell>
          <cell r="B2626" t="str">
            <v>Lichens</v>
          </cell>
          <cell r="C2626" t="str">
            <v>Mycophycophyta</v>
          </cell>
          <cell r="D2626" t="str">
            <v>Opegrapha mougeotii</v>
          </cell>
          <cell r="E2626" t="str">
            <v>LC</v>
          </cell>
          <cell r="F2626" t="str">
            <v>Woods &amp; Coppins, 2012</v>
          </cell>
          <cell r="G2626" t="str">
            <v>NHMSYS0001491388</v>
          </cell>
          <cell r="H2626" t="str">
            <v>Opegrapha mougeotii</v>
          </cell>
        </row>
        <row r="2627">
          <cell r="A2627" t="str">
            <v>Opegrapha multipuncta</v>
          </cell>
          <cell r="B2627" t="str">
            <v>Lichens</v>
          </cell>
          <cell r="C2627" t="str">
            <v>Mycophycophyta</v>
          </cell>
          <cell r="D2627" t="str">
            <v>Opegrapha multipuncta</v>
          </cell>
          <cell r="E2627" t="str">
            <v>LC</v>
          </cell>
          <cell r="F2627" t="str">
            <v>Woods &amp; Coppins, 2012</v>
          </cell>
          <cell r="G2627" t="str">
            <v>BMSSYS0000731236</v>
          </cell>
          <cell r="H2627" t="str">
            <v>Opegrapha multipuncta</v>
          </cell>
        </row>
        <row r="2628">
          <cell r="A2628" t="str">
            <v>Opegrapha niveoatra</v>
          </cell>
          <cell r="B2628" t="str">
            <v>Lichens</v>
          </cell>
          <cell r="C2628" t="str">
            <v>Mycophycophyta</v>
          </cell>
          <cell r="D2628" t="str">
            <v>Opegrapha niveoatra</v>
          </cell>
          <cell r="E2628" t="str">
            <v>LC</v>
          </cell>
          <cell r="F2628" t="str">
            <v>Woods &amp; Coppins, 2012</v>
          </cell>
          <cell r="G2628" t="str">
            <v>NHMSYS0001491390</v>
          </cell>
          <cell r="H2628" t="str">
            <v>Opegrapha niveoatra</v>
          </cell>
        </row>
        <row r="2629">
          <cell r="A2629" t="str">
            <v>Opegrapha ochrocheila</v>
          </cell>
          <cell r="B2629" t="str">
            <v>Lichens</v>
          </cell>
          <cell r="C2629" t="str">
            <v>Mycophycophyta</v>
          </cell>
          <cell r="D2629" t="str">
            <v>Opegrapha ochrocheila</v>
          </cell>
          <cell r="E2629" t="str">
            <v>LC</v>
          </cell>
          <cell r="F2629" t="str">
            <v>Woods &amp; Coppins, 2012</v>
          </cell>
          <cell r="G2629" t="str">
            <v>NBNSYS0000019216</v>
          </cell>
          <cell r="H2629" t="str">
            <v>Opegrapha ochrocheila</v>
          </cell>
        </row>
        <row r="2630">
          <cell r="A2630" t="str">
            <v>Opegrapha parasitica</v>
          </cell>
          <cell r="B2630" t="str">
            <v>Lichens</v>
          </cell>
          <cell r="C2630" t="str">
            <v>Mycophycophyta</v>
          </cell>
          <cell r="D2630" t="str">
            <v>Opegrapha parasitica</v>
          </cell>
          <cell r="E2630" t="str">
            <v>LC</v>
          </cell>
          <cell r="F2630" t="str">
            <v>Woods &amp; Coppins, 2012</v>
          </cell>
          <cell r="G2630" t="str">
            <v>NHMSYS0001491391</v>
          </cell>
          <cell r="H2630" t="str">
            <v>Opegrapha parasitica</v>
          </cell>
        </row>
        <row r="2631">
          <cell r="A2631" t="str">
            <v>Opegrapha paraxanthodes</v>
          </cell>
          <cell r="B2631" t="str">
            <v>Lichens</v>
          </cell>
          <cell r="C2631" t="str">
            <v>Mycophycophyta</v>
          </cell>
          <cell r="D2631" t="str">
            <v>Opegrapha paraxanthodes</v>
          </cell>
          <cell r="E2631" t="str">
            <v>NT</v>
          </cell>
          <cell r="F2631" t="str">
            <v>Woods &amp; Coppins, 2012</v>
          </cell>
          <cell r="G2631" t="str">
            <v>NHMSYS0021576503</v>
          </cell>
          <cell r="H2631" t="str">
            <v>Opegrapha paraxanthodes</v>
          </cell>
        </row>
        <row r="2632">
          <cell r="A2632" t="str">
            <v>Opegrapha pertusariicola</v>
          </cell>
          <cell r="B2632" t="str">
            <v>Lichens</v>
          </cell>
          <cell r="C2632" t="str">
            <v>Mycophycophyta</v>
          </cell>
          <cell r="D2632" t="str">
            <v>Opegrapha pertusariicola</v>
          </cell>
          <cell r="E2632" t="str">
            <v>LC</v>
          </cell>
          <cell r="F2632" t="str">
            <v>Woods &amp; Coppins, 2012</v>
          </cell>
          <cell r="G2632" t="str">
            <v>NHMSYS0001491393</v>
          </cell>
          <cell r="H2632" t="str">
            <v>Opegrapha pertusariicola</v>
          </cell>
        </row>
        <row r="2633">
          <cell r="A2633" t="str">
            <v>Opegrapha physciaria</v>
          </cell>
          <cell r="B2633" t="str">
            <v>Lichens</v>
          </cell>
          <cell r="C2633" t="str">
            <v>Mycophycophyta</v>
          </cell>
          <cell r="D2633" t="str">
            <v>Opegrapha physciaria</v>
          </cell>
          <cell r="E2633" t="str">
            <v>LC</v>
          </cell>
          <cell r="F2633" t="str">
            <v>Woods &amp; Coppins, 2012</v>
          </cell>
          <cell r="G2633" t="str">
            <v>BMSSYS0000012446</v>
          </cell>
          <cell r="H2633" t="str">
            <v>Opegrapha physciaria</v>
          </cell>
        </row>
        <row r="2634">
          <cell r="A2634" t="str">
            <v>Opegrapha prosodea</v>
          </cell>
          <cell r="B2634" t="str">
            <v>Lichens</v>
          </cell>
          <cell r="C2634" t="str">
            <v>Mycophycophyta</v>
          </cell>
          <cell r="D2634" t="str">
            <v>Opegrapha prosodea</v>
          </cell>
          <cell r="E2634" t="str">
            <v>NT</v>
          </cell>
          <cell r="F2634" t="str">
            <v>Woods &amp; Coppins, 2012</v>
          </cell>
          <cell r="G2634" t="str">
            <v>NBNSYS0000019220</v>
          </cell>
          <cell r="H2634" t="str">
            <v>Opegrapha prosodea</v>
          </cell>
        </row>
        <row r="2635">
          <cell r="A2635" t="str">
            <v>Opegrapha pulvinata</v>
          </cell>
          <cell r="B2635" t="str">
            <v>Lichens</v>
          </cell>
          <cell r="C2635" t="str">
            <v>Mycophycophyta</v>
          </cell>
          <cell r="D2635" t="str">
            <v>Opegrapha pulvinata</v>
          </cell>
          <cell r="E2635" t="str">
            <v>LC</v>
          </cell>
          <cell r="F2635" t="str">
            <v>Woods &amp; Coppins, 2012</v>
          </cell>
          <cell r="G2635" t="str">
            <v>NBNSYS0000019222</v>
          </cell>
          <cell r="H2635" t="str">
            <v>Opegrapha pulvinata</v>
          </cell>
        </row>
        <row r="2636">
          <cell r="A2636" t="str">
            <v>Opegrapha rufescens</v>
          </cell>
          <cell r="B2636" t="str">
            <v>Lichens</v>
          </cell>
          <cell r="C2636" t="str">
            <v>Mycophycophyta</v>
          </cell>
          <cell r="D2636" t="str">
            <v>Opegrapha rufescens</v>
          </cell>
          <cell r="E2636" t="str">
            <v>LC</v>
          </cell>
          <cell r="F2636" t="str">
            <v>Woods &amp; Coppins, 2012</v>
          </cell>
          <cell r="G2636" t="str">
            <v>BMSSYS0000050219</v>
          </cell>
          <cell r="H2636" t="str">
            <v>Opegrapha rufescens</v>
          </cell>
        </row>
        <row r="2637">
          <cell r="A2637" t="str">
            <v>Opegrapha rupestris</v>
          </cell>
          <cell r="B2637" t="str">
            <v>Lichens</v>
          </cell>
          <cell r="C2637" t="str">
            <v>Mycophycophyta</v>
          </cell>
          <cell r="D2637" t="str">
            <v>Opegrapha rupestris</v>
          </cell>
          <cell r="E2637" t="str">
            <v>LC</v>
          </cell>
          <cell r="F2637" t="str">
            <v>Woods &amp; Coppins, 2012</v>
          </cell>
          <cell r="G2637" t="str">
            <v>BMSSYS0000012458</v>
          </cell>
          <cell r="H2637" t="str">
            <v>Opegrapha rupestris</v>
          </cell>
        </row>
        <row r="2638">
          <cell r="A2638" t="str">
            <v>Opegrapha saxigena</v>
          </cell>
          <cell r="B2638" t="str">
            <v>Lichens</v>
          </cell>
          <cell r="C2638" t="str">
            <v>Mycophycophyta</v>
          </cell>
          <cell r="D2638" t="str">
            <v>Opegrapha saxigena</v>
          </cell>
          <cell r="E2638" t="str">
            <v>LC</v>
          </cell>
          <cell r="F2638" t="str">
            <v>Woods &amp; Coppins, 2012</v>
          </cell>
          <cell r="G2638" t="str">
            <v>NBNSYS0000019227</v>
          </cell>
          <cell r="H2638" t="str">
            <v>Opegrapha saxigena</v>
          </cell>
        </row>
        <row r="2639">
          <cell r="A2639" t="str">
            <v>Opegrapha sorediifera</v>
          </cell>
          <cell r="B2639" t="str">
            <v>Lichens</v>
          </cell>
          <cell r="C2639" t="str">
            <v>Mycophycophyta</v>
          </cell>
          <cell r="D2639" t="str">
            <v>Opegrapha sorediifera</v>
          </cell>
          <cell r="E2639" t="str">
            <v>LC</v>
          </cell>
          <cell r="F2639" t="str">
            <v>Woods &amp; Coppins, 2012</v>
          </cell>
          <cell r="G2639" t="str">
            <v>NHMSYS0001491416</v>
          </cell>
          <cell r="H2639" t="str">
            <v>Opegrapha sorediifera</v>
          </cell>
        </row>
        <row r="2640">
          <cell r="A2640" t="str">
            <v>Opegrapha subelevata</v>
          </cell>
          <cell r="B2640" t="str">
            <v>Lichens</v>
          </cell>
          <cell r="C2640" t="str">
            <v>Mycophycophyta</v>
          </cell>
          <cell r="D2640" t="str">
            <v>Opegrapha subelevata</v>
          </cell>
          <cell r="E2640" t="str">
            <v>EN</v>
          </cell>
          <cell r="F2640" t="str">
            <v>Woods &amp; Coppins, 2012</v>
          </cell>
          <cell r="G2640" t="str">
            <v>NBNSYS0000019229</v>
          </cell>
          <cell r="H2640" t="str">
            <v>Opegrapha subelevata</v>
          </cell>
        </row>
        <row r="2641">
          <cell r="A2641" t="str">
            <v>Opegrapha thelotrematis</v>
          </cell>
          <cell r="B2641" t="str">
            <v>Lichens</v>
          </cell>
          <cell r="C2641" t="str">
            <v>Mycophycophyta</v>
          </cell>
          <cell r="D2641" t="str">
            <v>Opegrapha thelotrematis</v>
          </cell>
          <cell r="E2641" t="str">
            <v>LC</v>
          </cell>
          <cell r="F2641" t="str">
            <v>Woods &amp; Coppins, 2012</v>
          </cell>
          <cell r="G2641" t="str">
            <v>NBNSYS0000019236</v>
          </cell>
          <cell r="H2641" t="str">
            <v>Opegrapha thelotrematis</v>
          </cell>
        </row>
        <row r="2642">
          <cell r="A2642" t="str">
            <v>Opegrapha trochodes</v>
          </cell>
          <cell r="B2642" t="str">
            <v>Lichens</v>
          </cell>
          <cell r="C2642" t="str">
            <v>Mycophycophyta</v>
          </cell>
          <cell r="D2642" t="str">
            <v>Opegrapha trochodes</v>
          </cell>
          <cell r="E2642" t="str">
            <v>NT</v>
          </cell>
          <cell r="F2642" t="str">
            <v>Woods &amp; Coppins, 2012</v>
          </cell>
          <cell r="G2642" t="str">
            <v>NHMSYS0020535776</v>
          </cell>
          <cell r="H2642" t="str">
            <v>Opegrapha trochodes</v>
          </cell>
        </row>
        <row r="2643">
          <cell r="A2643" t="str">
            <v>Opegrapha varia</v>
          </cell>
          <cell r="B2643" t="str">
            <v>Lichens</v>
          </cell>
          <cell r="C2643" t="str">
            <v>Mycophycophyta</v>
          </cell>
          <cell r="D2643" t="str">
            <v>Opegrapha varia</v>
          </cell>
          <cell r="E2643" t="str">
            <v>LC</v>
          </cell>
          <cell r="F2643" t="str">
            <v>Woods &amp; Coppins, 2012</v>
          </cell>
          <cell r="G2643" t="str">
            <v>NBNSYS0000019210</v>
          </cell>
          <cell r="H2643" t="str">
            <v>Opegrapha varia</v>
          </cell>
        </row>
        <row r="2644">
          <cell r="A2644" t="str">
            <v>Opegrapha vermicellifera</v>
          </cell>
          <cell r="B2644" t="str">
            <v>Lichens</v>
          </cell>
          <cell r="C2644" t="str">
            <v>Mycophycophyta</v>
          </cell>
          <cell r="D2644" t="str">
            <v>Opegrapha vermicellifera</v>
          </cell>
          <cell r="E2644" t="str">
            <v>LC</v>
          </cell>
          <cell r="F2644" t="str">
            <v>Woods &amp; Coppins, 2012</v>
          </cell>
          <cell r="G2644" t="str">
            <v>NHMSYS0001491427</v>
          </cell>
          <cell r="H2644" t="str">
            <v>Opegrapha vermicellifera</v>
          </cell>
        </row>
        <row r="2645">
          <cell r="A2645" t="str">
            <v>Opegrapha verrucariae</v>
          </cell>
          <cell r="B2645" t="str">
            <v>Lichens</v>
          </cell>
          <cell r="C2645" t="str">
            <v>Mycophycophyta</v>
          </cell>
          <cell r="D2645" t="str">
            <v>Opegrapha verrucariae</v>
          </cell>
          <cell r="E2645" t="str">
            <v>LC</v>
          </cell>
          <cell r="F2645" t="str">
            <v>Woods &amp; Coppins, 2012</v>
          </cell>
          <cell r="G2645" t="str">
            <v>NHMSYS0021576768</v>
          </cell>
          <cell r="H2645" t="str">
            <v>Opegrapha verrucariae</v>
          </cell>
        </row>
        <row r="2646">
          <cell r="A2646" t="str">
            <v>Opegrapha viridipruinosa</v>
          </cell>
          <cell r="B2646" t="str">
            <v>Lichens</v>
          </cell>
          <cell r="C2646" t="str">
            <v>Mycophycophyta</v>
          </cell>
          <cell r="D2646" t="str">
            <v>Opegrapha viridipruinosa</v>
          </cell>
          <cell r="E2646" t="str">
            <v>LC</v>
          </cell>
          <cell r="F2646" t="str">
            <v>Woods &amp; Coppins, 2012</v>
          </cell>
          <cell r="G2646" t="str">
            <v>NHMSYS0020990670</v>
          </cell>
          <cell r="H2646" t="str">
            <v>Opegrapha viridipruinosa</v>
          </cell>
        </row>
        <row r="2647">
          <cell r="A2647" t="str">
            <v>Opegrapha vulgata</v>
          </cell>
          <cell r="B2647" t="str">
            <v>Lichens</v>
          </cell>
          <cell r="C2647" t="str">
            <v>Mycophycophyta</v>
          </cell>
          <cell r="D2647" t="str">
            <v>Opegrapha vulgata</v>
          </cell>
          <cell r="E2647" t="str">
            <v>LC</v>
          </cell>
          <cell r="F2647" t="str">
            <v>Woods &amp; Coppins, 2012</v>
          </cell>
          <cell r="G2647" t="str">
            <v>NBNSYS0000019233</v>
          </cell>
          <cell r="H2647" t="str">
            <v>Opegrapha vulgata</v>
          </cell>
        </row>
        <row r="2648">
          <cell r="A2648" t="str">
            <v>Opegrapha xerica</v>
          </cell>
          <cell r="B2648" t="str">
            <v>Lichens</v>
          </cell>
          <cell r="C2648" t="str">
            <v>Mycophycophyta</v>
          </cell>
          <cell r="D2648" t="str">
            <v>Opegrapha xerica</v>
          </cell>
          <cell r="E2648" t="str">
            <v>LC</v>
          </cell>
          <cell r="F2648" t="str">
            <v>Woods &amp; Coppins, 2012</v>
          </cell>
          <cell r="G2648" t="str">
            <v>NHMSYS0021576508</v>
          </cell>
          <cell r="H2648" t="str">
            <v>Opegrapha xerica</v>
          </cell>
        </row>
        <row r="2649">
          <cell r="A2649" t="str">
            <v>Opegrapha zonata</v>
          </cell>
          <cell r="B2649" t="str">
            <v>Lichens</v>
          </cell>
          <cell r="C2649" t="str">
            <v>Mycophycophyta</v>
          </cell>
          <cell r="D2649" t="str">
            <v>Opegrapha zonata</v>
          </cell>
          <cell r="E2649" t="str">
            <v>LC</v>
          </cell>
          <cell r="F2649" t="str">
            <v>Woods &amp; Coppins, 2012</v>
          </cell>
          <cell r="G2649" t="str">
            <v>NHMSYS0001481447</v>
          </cell>
          <cell r="H2649" t="str">
            <v>Opegrapha zonata</v>
          </cell>
        </row>
        <row r="2650">
          <cell r="A2650" t="str">
            <v>Ophioparma ventosa</v>
          </cell>
          <cell r="B2650" t="str">
            <v>Lichens</v>
          </cell>
          <cell r="C2650" t="str">
            <v>Mycophycophyta</v>
          </cell>
          <cell r="D2650" t="str">
            <v>Ophioparma ventosa</v>
          </cell>
          <cell r="E2650" t="str">
            <v>LC</v>
          </cell>
          <cell r="F2650" t="str">
            <v>Woods &amp; Coppins, 2012</v>
          </cell>
          <cell r="G2650" t="str">
            <v>NHMSYS0001491463</v>
          </cell>
          <cell r="H2650" t="str">
            <v>Ophioparma ventosa</v>
          </cell>
        </row>
        <row r="2651">
          <cell r="A2651" t="str">
            <v>Pachyphiale carneola</v>
          </cell>
          <cell r="B2651" t="str">
            <v>Lichens</v>
          </cell>
          <cell r="C2651" t="str">
            <v>Mycophycophyta</v>
          </cell>
          <cell r="D2651" t="str">
            <v>Pachyphiale carneola</v>
          </cell>
          <cell r="E2651" t="str">
            <v>LC</v>
          </cell>
          <cell r="F2651" t="str">
            <v>Woods &amp; Coppins, 2012</v>
          </cell>
          <cell r="G2651" t="str">
            <v>NBNSYS0000016973</v>
          </cell>
          <cell r="H2651" t="str">
            <v>Pachyphiale carneola</v>
          </cell>
        </row>
        <row r="2652">
          <cell r="A2652" t="str">
            <v>Pannaria conoplea</v>
          </cell>
          <cell r="B2652" t="str">
            <v>Lichens</v>
          </cell>
          <cell r="C2652" t="str">
            <v>Mycophycophyta</v>
          </cell>
          <cell r="D2652" t="str">
            <v>Pannaria conoplea</v>
          </cell>
          <cell r="E2652" t="str">
            <v>LC</v>
          </cell>
          <cell r="F2652" t="str">
            <v>Woods &amp; Coppins, 2012</v>
          </cell>
          <cell r="G2652" t="str">
            <v>NHMSYS0001491680</v>
          </cell>
          <cell r="H2652" t="str">
            <v>Pannaria conoplea</v>
          </cell>
        </row>
        <row r="2653">
          <cell r="A2653" t="str">
            <v>Pannaria rubiginosa</v>
          </cell>
          <cell r="B2653" t="str">
            <v>Lichens</v>
          </cell>
          <cell r="C2653" t="str">
            <v>Mycophycophyta</v>
          </cell>
          <cell r="D2653" t="str">
            <v>Pannaria rubiginosa</v>
          </cell>
          <cell r="E2653" t="str">
            <v>LC</v>
          </cell>
          <cell r="F2653" t="str">
            <v>Woods &amp; Coppins, 2012</v>
          </cell>
          <cell r="G2653" t="str">
            <v>NBNSYS0000018862</v>
          </cell>
          <cell r="H2653" t="str">
            <v>Pannaria rubiginosa</v>
          </cell>
        </row>
        <row r="2654">
          <cell r="A2654" t="str">
            <v>Paranectria oropensis subsp. oropensis</v>
          </cell>
          <cell r="B2654" t="str">
            <v>Lichens</v>
          </cell>
          <cell r="C2654" t="str">
            <v>Mycophycophyta</v>
          </cell>
          <cell r="D2654" t="str">
            <v>Paranectria oropensis (subsp.) oropensis</v>
          </cell>
          <cell r="E2654" t="str">
            <v>LC</v>
          </cell>
          <cell r="F2654" t="str">
            <v>Woods &amp; Coppins, 2012</v>
          </cell>
          <cell r="G2654" t="str">
            <v>NHMSYS0001491738</v>
          </cell>
          <cell r="H2654" t="str">
            <v>Paranectria oropensis subsp. oropensis</v>
          </cell>
        </row>
        <row r="2655">
          <cell r="A2655" t="str">
            <v>Parmelia discordans</v>
          </cell>
          <cell r="B2655" t="str">
            <v>Lichens</v>
          </cell>
          <cell r="C2655" t="str">
            <v>Mycophycophyta</v>
          </cell>
          <cell r="D2655" t="str">
            <v>Parmelia discordans</v>
          </cell>
          <cell r="E2655" t="str">
            <v>LC</v>
          </cell>
          <cell r="F2655" t="str">
            <v>Woods &amp; Coppins, 2012</v>
          </cell>
          <cell r="G2655" t="str">
            <v>NBNSYS0000018873</v>
          </cell>
          <cell r="H2655" t="str">
            <v>Parmelia discordans</v>
          </cell>
        </row>
        <row r="2656">
          <cell r="A2656" t="str">
            <v>Parmelia omphalodes</v>
          </cell>
          <cell r="B2656" t="str">
            <v>Lichens</v>
          </cell>
          <cell r="C2656" t="str">
            <v>Mycophycophyta</v>
          </cell>
          <cell r="D2656" t="str">
            <v>Parmelia omphalodes</v>
          </cell>
          <cell r="E2656" t="str">
            <v>LC</v>
          </cell>
          <cell r="F2656" t="str">
            <v>Woods &amp; Coppins, 2012</v>
          </cell>
          <cell r="G2656" t="str">
            <v>NBNSYS0000018888</v>
          </cell>
          <cell r="H2656" t="str">
            <v>Parmelia omphalodes</v>
          </cell>
        </row>
        <row r="2657">
          <cell r="A2657" t="str">
            <v>Parmelia saxatilis</v>
          </cell>
          <cell r="B2657" t="str">
            <v>Lichens</v>
          </cell>
          <cell r="C2657" t="str">
            <v>Mycophycophyta</v>
          </cell>
          <cell r="D2657" t="str">
            <v>Parmelia saxatilis</v>
          </cell>
          <cell r="E2657" t="str">
            <v>LC</v>
          </cell>
          <cell r="F2657" t="str">
            <v>Woods &amp; Coppins, 2012</v>
          </cell>
          <cell r="G2657" t="str">
            <v>NHMSYS0000363400</v>
          </cell>
          <cell r="H2657" t="str">
            <v>Parmelia saxatilis</v>
          </cell>
        </row>
        <row r="2658">
          <cell r="A2658" t="str">
            <v>Parmelia sulcata</v>
          </cell>
          <cell r="B2658" t="str">
            <v>Lichens</v>
          </cell>
          <cell r="C2658" t="str">
            <v>Mycophycophyta</v>
          </cell>
          <cell r="D2658" t="str">
            <v>Parmelia sulcata</v>
          </cell>
          <cell r="E2658" t="str">
            <v>LC</v>
          </cell>
          <cell r="F2658" t="str">
            <v>Woods &amp; Coppins, 2012</v>
          </cell>
          <cell r="G2658" t="str">
            <v>NBNSYS0000018905</v>
          </cell>
          <cell r="H2658" t="str">
            <v>Parmelia sulcata</v>
          </cell>
        </row>
        <row r="2659">
          <cell r="A2659" t="str">
            <v>Parmeliella parvula</v>
          </cell>
          <cell r="B2659" t="str">
            <v>Lichens</v>
          </cell>
          <cell r="C2659" t="str">
            <v>Mycophycophyta</v>
          </cell>
          <cell r="D2659" t="str">
            <v>Parmeliella parvula</v>
          </cell>
          <cell r="E2659" t="str">
            <v>LC</v>
          </cell>
          <cell r="F2659" t="str">
            <v>Woods &amp; Coppins, 2012</v>
          </cell>
          <cell r="G2659" t="str">
            <v>BMSSYS0000012820</v>
          </cell>
          <cell r="H2659" t="str">
            <v>Parmeliella parvula</v>
          </cell>
        </row>
        <row r="2660">
          <cell r="A2660" t="str">
            <v>Parmeliella testacea</v>
          </cell>
          <cell r="B2660" t="str">
            <v>Lichens</v>
          </cell>
          <cell r="C2660" t="str">
            <v>Mycophycophyta</v>
          </cell>
          <cell r="D2660" t="str">
            <v>Parmeliella testacea</v>
          </cell>
          <cell r="E2660" t="str">
            <v>NT</v>
          </cell>
          <cell r="F2660" t="str">
            <v>Woods &amp; Coppins, 2012</v>
          </cell>
          <cell r="G2660" t="str">
            <v>NBNSYS0000018914</v>
          </cell>
          <cell r="H2660" t="str">
            <v>Parmeliella testacea</v>
          </cell>
        </row>
        <row r="2661">
          <cell r="A2661" t="str">
            <v>Parmeliella triptophylla</v>
          </cell>
          <cell r="B2661" t="str">
            <v>Lichens</v>
          </cell>
          <cell r="C2661" t="str">
            <v>Mycophycophyta</v>
          </cell>
          <cell r="D2661" t="str">
            <v>Parmeliella triptophylla</v>
          </cell>
          <cell r="E2661" t="str">
            <v>LC</v>
          </cell>
          <cell r="F2661" t="str">
            <v>Woods &amp; Coppins, 2012</v>
          </cell>
          <cell r="G2661" t="str">
            <v>NHMSYS0001491903</v>
          </cell>
          <cell r="H2661" t="str">
            <v>Parmeliella triptophylla</v>
          </cell>
        </row>
        <row r="2662">
          <cell r="A2662" t="str">
            <v>Parmelina carporrhizans</v>
          </cell>
          <cell r="B2662" t="str">
            <v>Lichens</v>
          </cell>
          <cell r="C2662" t="str">
            <v>Mycophycophyta</v>
          </cell>
          <cell r="D2662" t="str">
            <v>Parmelina carporrhizans</v>
          </cell>
          <cell r="E2662" t="str">
            <v>VU</v>
          </cell>
          <cell r="F2662" t="str">
            <v>Woods &amp; Coppins, 2012</v>
          </cell>
          <cell r="G2662" t="str">
            <v>NHMSYS0020535797</v>
          </cell>
          <cell r="H2662" t="str">
            <v>Parmelina carporrhizans</v>
          </cell>
        </row>
        <row r="2663">
          <cell r="A2663" t="str">
            <v>Parmelina pastillifera</v>
          </cell>
          <cell r="B2663" t="str">
            <v>Lichens</v>
          </cell>
          <cell r="C2663" t="str">
            <v>Mycophycophyta</v>
          </cell>
          <cell r="D2663" t="str">
            <v>Parmelina pastillifera</v>
          </cell>
          <cell r="E2663" t="str">
            <v>LC</v>
          </cell>
          <cell r="F2663" t="str">
            <v>Woods &amp; Coppins, 2012</v>
          </cell>
          <cell r="G2663" t="str">
            <v>NBNSYS0000153255</v>
          </cell>
          <cell r="H2663" t="str">
            <v>Parmelina pastillifera</v>
          </cell>
        </row>
        <row r="2664">
          <cell r="A2664" t="str">
            <v>Parmelina tiliacea</v>
          </cell>
          <cell r="B2664" t="str">
            <v>Lichens</v>
          </cell>
          <cell r="C2664" t="str">
            <v>Mycophycophyta</v>
          </cell>
          <cell r="D2664" t="str">
            <v>Parmelina tiliacea</v>
          </cell>
          <cell r="E2664" t="str">
            <v>LC</v>
          </cell>
          <cell r="F2664" t="str">
            <v>Woods &amp; Coppins, 2012</v>
          </cell>
          <cell r="G2664" t="str">
            <v>NBNSYS0000153256</v>
          </cell>
          <cell r="H2664" t="str">
            <v>Parmelina tiliacea</v>
          </cell>
        </row>
        <row r="2665">
          <cell r="A2665" t="str">
            <v>Parmelinopsis horrescens</v>
          </cell>
          <cell r="B2665" t="str">
            <v>Lichens</v>
          </cell>
          <cell r="C2665" t="str">
            <v>Mycophycophyta</v>
          </cell>
          <cell r="D2665" t="str">
            <v>Parmelinopsis horrescens</v>
          </cell>
          <cell r="E2665" t="str">
            <v>NT</v>
          </cell>
          <cell r="F2665" t="str">
            <v>Woods &amp; Coppins, 2012</v>
          </cell>
          <cell r="G2665" t="str">
            <v>NBNSYS0000153257</v>
          </cell>
          <cell r="H2665" t="str">
            <v>Parmelinopsis horrescens</v>
          </cell>
        </row>
        <row r="2666">
          <cell r="A2666" t="str">
            <v>Parmelinopsis minarum</v>
          </cell>
          <cell r="B2666" t="str">
            <v>Lichens</v>
          </cell>
          <cell r="C2666" t="str">
            <v>Mycophycophyta</v>
          </cell>
          <cell r="D2666" t="str">
            <v>Parmelinopsis minarum</v>
          </cell>
          <cell r="E2666" t="str">
            <v>LC</v>
          </cell>
          <cell r="F2666" t="str">
            <v>Woods &amp; Coppins, 2012</v>
          </cell>
          <cell r="G2666" t="str">
            <v>NHMSYS0001491907</v>
          </cell>
          <cell r="H2666" t="str">
            <v>Parmelinopsis minarum</v>
          </cell>
        </row>
        <row r="2667">
          <cell r="A2667" t="str">
            <v>Parmeliopsis ambigua</v>
          </cell>
          <cell r="B2667" t="str">
            <v>Lichens</v>
          </cell>
          <cell r="C2667" t="str">
            <v>Mycophycophyta</v>
          </cell>
          <cell r="D2667" t="str">
            <v>Parmeliopsis ambigua</v>
          </cell>
          <cell r="E2667" t="str">
            <v>LC</v>
          </cell>
          <cell r="F2667" t="str">
            <v>Woods &amp; Coppins, 2012</v>
          </cell>
          <cell r="G2667" t="str">
            <v>NBNSYS0000153259</v>
          </cell>
          <cell r="H2667" t="str">
            <v>Parmeliopsis ambigua</v>
          </cell>
        </row>
        <row r="2668">
          <cell r="A2668" t="str">
            <v>Parmeliopsis hyperopta</v>
          </cell>
          <cell r="B2668" t="str">
            <v>Lichens</v>
          </cell>
          <cell r="C2668" t="str">
            <v>Mycophycophyta</v>
          </cell>
          <cell r="D2668" t="str">
            <v>Parmeliopsis hyperopta</v>
          </cell>
          <cell r="E2668" t="str">
            <v>LC</v>
          </cell>
          <cell r="F2668" t="str">
            <v>Woods &amp; Coppins, 2012</v>
          </cell>
          <cell r="G2668" t="str">
            <v>NBNSYS0000153260</v>
          </cell>
          <cell r="H2668" t="str">
            <v>Parmeliopsis hyperopta</v>
          </cell>
        </row>
        <row r="2669">
          <cell r="A2669" t="str">
            <v>Parmotrema arnoldii</v>
          </cell>
          <cell r="B2669" t="str">
            <v>Lichens</v>
          </cell>
          <cell r="C2669" t="str">
            <v>Mycophycophyta</v>
          </cell>
          <cell r="D2669" t="str">
            <v>Parmotrema arnoldii</v>
          </cell>
          <cell r="E2669" t="str">
            <v>NT</v>
          </cell>
          <cell r="F2669" t="str">
            <v>Woods &amp; Coppins, 2012</v>
          </cell>
          <cell r="G2669" t="str">
            <v>NBNSYS0000018866</v>
          </cell>
          <cell r="H2669" t="str">
            <v>Parmotrema arnoldii</v>
          </cell>
        </row>
        <row r="2670">
          <cell r="A2670" t="str">
            <v>Parmotrema crinitum</v>
          </cell>
          <cell r="B2670" t="str">
            <v>Lichens</v>
          </cell>
          <cell r="C2670" t="str">
            <v>Mycophycophyta</v>
          </cell>
          <cell r="D2670" t="str">
            <v>Parmotrema crinitum</v>
          </cell>
          <cell r="E2670" t="str">
            <v>LC</v>
          </cell>
          <cell r="F2670" t="str">
            <v>Woods &amp; Coppins, 2012</v>
          </cell>
          <cell r="G2670" t="str">
            <v>NHMSYS0001491911</v>
          </cell>
          <cell r="H2670" t="str">
            <v>Parmotrema crinitum</v>
          </cell>
        </row>
        <row r="2671">
          <cell r="A2671" t="str">
            <v>Parmotrema perlatum</v>
          </cell>
          <cell r="B2671" t="str">
            <v>Lichens</v>
          </cell>
          <cell r="C2671" t="str">
            <v>Mycophycophyta</v>
          </cell>
          <cell r="D2671" t="str">
            <v>Parmotrema perlatum</v>
          </cell>
          <cell r="E2671" t="str">
            <v>LC</v>
          </cell>
          <cell r="F2671" t="str">
            <v>Woods &amp; Coppins, 2012</v>
          </cell>
          <cell r="G2671" t="str">
            <v>NHMSYS0020039387</v>
          </cell>
          <cell r="H2671" t="str">
            <v>Parmotrema perlatum</v>
          </cell>
        </row>
        <row r="2672">
          <cell r="A2672" t="str">
            <v>Parmotrema reticulatum</v>
          </cell>
          <cell r="B2672" t="str">
            <v>Lichens</v>
          </cell>
          <cell r="C2672" t="str">
            <v>Mycophycophyta</v>
          </cell>
          <cell r="D2672" t="str">
            <v>Parmotrema reticulatum</v>
          </cell>
          <cell r="E2672" t="str">
            <v>LC</v>
          </cell>
          <cell r="F2672" t="str">
            <v>Woods &amp; Coppins, 2012</v>
          </cell>
          <cell r="G2672" t="str">
            <v>NHMSYS0001491912</v>
          </cell>
          <cell r="H2672" t="str">
            <v>Parmotrema reticulatum</v>
          </cell>
        </row>
        <row r="2673">
          <cell r="A2673" t="str">
            <v>Parmotrema robustum</v>
          </cell>
          <cell r="B2673" t="str">
            <v>Lichens</v>
          </cell>
          <cell r="C2673" t="str">
            <v>Mycophycophyta</v>
          </cell>
          <cell r="D2673" t="str">
            <v>Parmotrema robustum</v>
          </cell>
          <cell r="E2673" t="str">
            <v>CR</v>
          </cell>
          <cell r="F2673" t="str">
            <v>Woods &amp; Coppins, 2012</v>
          </cell>
          <cell r="G2673" t="str">
            <v>NBNSYS0000153262</v>
          </cell>
          <cell r="H2673" t="str">
            <v>Parmotrema robustum</v>
          </cell>
        </row>
        <row r="2674">
          <cell r="A2674" t="str">
            <v>Peltigera britannica</v>
          </cell>
          <cell r="B2674" t="str">
            <v>Lichens</v>
          </cell>
          <cell r="C2674" t="str">
            <v>Mycophycophyta</v>
          </cell>
          <cell r="D2674" t="str">
            <v>Peltigera britannica</v>
          </cell>
          <cell r="E2674" t="str">
            <v>LC</v>
          </cell>
          <cell r="F2674" t="str">
            <v>Woods &amp; Coppins, 2012</v>
          </cell>
          <cell r="G2674" t="str">
            <v>NHMSYS0001492052</v>
          </cell>
          <cell r="H2674" t="str">
            <v>Peltigera britannica</v>
          </cell>
        </row>
        <row r="2675">
          <cell r="A2675" t="str">
            <v>Peltigera canina</v>
          </cell>
          <cell r="B2675" t="str">
            <v>Lichens</v>
          </cell>
          <cell r="C2675" t="str">
            <v>Mycophycophyta</v>
          </cell>
          <cell r="D2675" t="str">
            <v>Peltigera canina</v>
          </cell>
          <cell r="E2675" t="str">
            <v>LC</v>
          </cell>
          <cell r="F2675" t="str">
            <v>Woods &amp; Coppins, 2012</v>
          </cell>
          <cell r="G2675" t="str">
            <v>NBNSYS0000019322</v>
          </cell>
          <cell r="H2675" t="str">
            <v>Peltigera canina</v>
          </cell>
        </row>
        <row r="2676">
          <cell r="A2676" t="str">
            <v>Peltigera collina</v>
          </cell>
          <cell r="B2676" t="str">
            <v>Lichens</v>
          </cell>
          <cell r="C2676" t="str">
            <v>Mycophycophyta</v>
          </cell>
          <cell r="D2676" t="str">
            <v>Peltigera collina</v>
          </cell>
          <cell r="E2676" t="str">
            <v>LC</v>
          </cell>
          <cell r="F2676" t="str">
            <v>Woods &amp; Coppins, 2012</v>
          </cell>
          <cell r="G2676" t="str">
            <v>NBNSYS0000019323</v>
          </cell>
          <cell r="H2676" t="str">
            <v>Peltigera collina</v>
          </cell>
        </row>
        <row r="2677">
          <cell r="A2677" t="str">
            <v>Peltigera degenii</v>
          </cell>
          <cell r="B2677" t="str">
            <v>Lichens</v>
          </cell>
          <cell r="C2677" t="str">
            <v>Mycophycophyta</v>
          </cell>
          <cell r="D2677" t="str">
            <v>Peltigera degenii</v>
          </cell>
          <cell r="E2677" t="str">
            <v>LC</v>
          </cell>
          <cell r="F2677" t="str">
            <v>Woods &amp; Coppins, 2012</v>
          </cell>
          <cell r="G2677" t="str">
            <v>NBNSYS0000019324</v>
          </cell>
          <cell r="H2677" t="str">
            <v>Peltigera degenii</v>
          </cell>
        </row>
        <row r="2678">
          <cell r="A2678" t="str">
            <v>Peltigera didactyla</v>
          </cell>
          <cell r="B2678" t="str">
            <v>Lichens</v>
          </cell>
          <cell r="C2678" t="str">
            <v>Mycophycophyta</v>
          </cell>
          <cell r="D2678" t="str">
            <v>Peltigera didactyla</v>
          </cell>
          <cell r="E2678" t="str">
            <v>LC</v>
          </cell>
          <cell r="F2678" t="str">
            <v>Woods &amp; Coppins, 2012</v>
          </cell>
          <cell r="G2678" t="str">
            <v>NHMSYS0001492055</v>
          </cell>
          <cell r="H2678" t="str">
            <v>Peltigera didactyla</v>
          </cell>
        </row>
        <row r="2679">
          <cell r="A2679" t="str">
            <v>Peltigera horizontalis</v>
          </cell>
          <cell r="B2679" t="str">
            <v>Lichens</v>
          </cell>
          <cell r="C2679" t="str">
            <v>Mycophycophyta</v>
          </cell>
          <cell r="D2679" t="str">
            <v>Peltigera horizontalis</v>
          </cell>
          <cell r="E2679" t="str">
            <v>LC</v>
          </cell>
          <cell r="F2679" t="str">
            <v>Woods &amp; Coppins, 2012</v>
          </cell>
          <cell r="G2679" t="str">
            <v>NBNSYS0000019327</v>
          </cell>
          <cell r="H2679" t="str">
            <v>Peltigera horizontalis</v>
          </cell>
        </row>
        <row r="2680">
          <cell r="A2680" t="str">
            <v>Peltigera hymenina</v>
          </cell>
          <cell r="B2680" t="str">
            <v>Lichens</v>
          </cell>
          <cell r="C2680" t="str">
            <v>Mycophycophyta</v>
          </cell>
          <cell r="D2680" t="str">
            <v>Peltigera hymenina</v>
          </cell>
          <cell r="E2680" t="str">
            <v>LC</v>
          </cell>
          <cell r="F2680" t="str">
            <v>Woods &amp; Coppins, 2012</v>
          </cell>
          <cell r="G2680" t="str">
            <v>NBNSYS0000153338</v>
          </cell>
          <cell r="H2680" t="str">
            <v>Peltigera hymenina</v>
          </cell>
        </row>
        <row r="2681">
          <cell r="A2681" t="str">
            <v>Peltigera leucophlebia</v>
          </cell>
          <cell r="B2681" t="str">
            <v>Lichens</v>
          </cell>
          <cell r="C2681" t="str">
            <v>Mycophycophyta</v>
          </cell>
          <cell r="D2681" t="str">
            <v>Peltigera leucophlebia</v>
          </cell>
          <cell r="E2681" t="str">
            <v>LC</v>
          </cell>
          <cell r="F2681" t="str">
            <v>Woods &amp; Coppins, 2012</v>
          </cell>
          <cell r="G2681" t="str">
            <v>NBNSYS0000019330</v>
          </cell>
          <cell r="H2681" t="str">
            <v>Peltigera leucophlebia</v>
          </cell>
        </row>
        <row r="2682">
          <cell r="A2682" t="str">
            <v>Peltigera membranacea</v>
          </cell>
          <cell r="B2682" t="str">
            <v>Lichens</v>
          </cell>
          <cell r="C2682" t="str">
            <v>Mycophycophyta</v>
          </cell>
          <cell r="D2682" t="str">
            <v>Peltigera membranacea</v>
          </cell>
          <cell r="E2682" t="str">
            <v>LC</v>
          </cell>
          <cell r="F2682" t="str">
            <v>Woods &amp; Coppins, 2012</v>
          </cell>
          <cell r="G2682" t="str">
            <v>NBNSYS0000019332</v>
          </cell>
          <cell r="H2682" t="str">
            <v>Peltigera membranacea</v>
          </cell>
        </row>
        <row r="2683">
          <cell r="A2683" t="str">
            <v>Peltigera neckeri</v>
          </cell>
          <cell r="B2683" t="str">
            <v>Lichens</v>
          </cell>
          <cell r="C2683" t="str">
            <v>Mycophycophyta</v>
          </cell>
          <cell r="D2683" t="str">
            <v>Peltigera neckeri</v>
          </cell>
          <cell r="E2683" t="str">
            <v>LC</v>
          </cell>
          <cell r="F2683" t="str">
            <v>Woods &amp; Coppins, 2012</v>
          </cell>
          <cell r="G2683" t="str">
            <v>NHMSYS0001492058</v>
          </cell>
          <cell r="H2683" t="str">
            <v>Peltigera neckeri</v>
          </cell>
        </row>
        <row r="2684">
          <cell r="A2684" t="str">
            <v>Peltigera polydactylon</v>
          </cell>
          <cell r="B2684" t="str">
            <v>Lichens</v>
          </cell>
          <cell r="C2684" t="str">
            <v>Mycophycophyta</v>
          </cell>
          <cell r="D2684" t="str">
            <v>Peltigera polydactylon</v>
          </cell>
          <cell r="E2684" t="str">
            <v>LC</v>
          </cell>
          <cell r="F2684" t="str">
            <v>Woods &amp; Coppins, 2012</v>
          </cell>
          <cell r="G2684" t="str">
            <v>NHMSYS0001492059</v>
          </cell>
          <cell r="H2684" t="str">
            <v>Peltigera polydactylon</v>
          </cell>
        </row>
        <row r="2685">
          <cell r="A2685" t="str">
            <v>Peltigera praetextata</v>
          </cell>
          <cell r="B2685" t="str">
            <v>Lichens</v>
          </cell>
          <cell r="C2685" t="str">
            <v>Mycophycophyta</v>
          </cell>
          <cell r="D2685" t="str">
            <v>Peltigera praetextata</v>
          </cell>
          <cell r="E2685" t="str">
            <v>LC</v>
          </cell>
          <cell r="F2685" t="str">
            <v>Woods &amp; Coppins, 2012</v>
          </cell>
          <cell r="G2685" t="str">
            <v>NHMSYS0001492066</v>
          </cell>
          <cell r="H2685" t="str">
            <v>Peltigera praetextata</v>
          </cell>
        </row>
        <row r="2686">
          <cell r="A2686" t="str">
            <v>Peltigera rufescens</v>
          </cell>
          <cell r="B2686" t="str">
            <v>Lichens</v>
          </cell>
          <cell r="C2686" t="str">
            <v>Mycophycophyta</v>
          </cell>
          <cell r="D2686" t="str">
            <v>Peltigera rufescens</v>
          </cell>
          <cell r="E2686" t="str">
            <v>LC</v>
          </cell>
          <cell r="F2686" t="str">
            <v>Woods &amp; Coppins, 2012</v>
          </cell>
          <cell r="G2686" t="str">
            <v>NHMSYS0001492067</v>
          </cell>
          <cell r="H2686" t="str">
            <v>Peltigera rufescens</v>
          </cell>
        </row>
        <row r="2687">
          <cell r="A2687" t="str">
            <v>Peltigera venosa</v>
          </cell>
          <cell r="B2687" t="str">
            <v>Lichens</v>
          </cell>
          <cell r="C2687" t="str">
            <v>Mycophycophyta</v>
          </cell>
          <cell r="D2687" t="str">
            <v>Peltigera venosa</v>
          </cell>
          <cell r="E2687" t="str">
            <v>VU</v>
          </cell>
          <cell r="F2687" t="str">
            <v>Woods &amp; Coppins, 2012</v>
          </cell>
          <cell r="G2687" t="str">
            <v>NBNSYS0000019338</v>
          </cell>
          <cell r="H2687" t="str">
            <v>Peltigera venosa</v>
          </cell>
        </row>
        <row r="2688">
          <cell r="A2688" t="str">
            <v>Pertusaria albescens var. albescens, Pertusaria albescens var. corallina</v>
          </cell>
          <cell r="B2688" t="str">
            <v>Lichens</v>
          </cell>
          <cell r="C2688" t="str">
            <v>Mycophycophyta</v>
          </cell>
          <cell r="D2688" t="str">
            <v>Pertusaria albescens (var. albescens/var. corallina)</v>
          </cell>
          <cell r="E2688" t="str">
            <v>LC</v>
          </cell>
          <cell r="F2688" t="str">
            <v>Woods &amp; Coppins, 2012</v>
          </cell>
          <cell r="G2688" t="str">
            <v>NHMSYS0001492275/6</v>
          </cell>
          <cell r="H2688" t="str">
            <v>Pertusaria albescens var. albescens, Pertusaria albescens var. corallina</v>
          </cell>
        </row>
        <row r="2689">
          <cell r="A2689" t="str">
            <v>Pertusaria amarescens</v>
          </cell>
          <cell r="B2689" t="str">
            <v>Lichens</v>
          </cell>
          <cell r="C2689" t="str">
            <v>Mycophycophyta</v>
          </cell>
          <cell r="D2689" t="str">
            <v>Pertusaria amarescens</v>
          </cell>
          <cell r="E2689" t="str">
            <v>LC</v>
          </cell>
          <cell r="F2689" t="str">
            <v>Woods &amp; Coppins, 2012</v>
          </cell>
          <cell r="G2689" t="str">
            <v>NBNSYS0000019379</v>
          </cell>
          <cell r="H2689" t="str">
            <v>Pertusaria amarescens</v>
          </cell>
        </row>
        <row r="2690">
          <cell r="A2690" t="str">
            <v>Pertusaria aspergilla</v>
          </cell>
          <cell r="B2690" t="str">
            <v>Lichens</v>
          </cell>
          <cell r="C2690" t="str">
            <v>Mycophycophyta</v>
          </cell>
          <cell r="D2690" t="str">
            <v>Pertusaria aspergilla</v>
          </cell>
          <cell r="E2690" t="str">
            <v>LC</v>
          </cell>
          <cell r="F2690" t="str">
            <v>Woods &amp; Coppins, 2012</v>
          </cell>
          <cell r="G2690" t="str">
            <v>BMSSYS0000013239</v>
          </cell>
          <cell r="H2690" t="str">
            <v>Pertusaria aspergilla</v>
          </cell>
        </row>
        <row r="2691">
          <cell r="A2691" t="str">
            <v>Pertusaria chiodectonoides</v>
          </cell>
          <cell r="B2691" t="str">
            <v>Lichens</v>
          </cell>
          <cell r="C2691" t="str">
            <v>Mycophycophyta</v>
          </cell>
          <cell r="D2691" t="str">
            <v>Pertusaria chiodectonoides</v>
          </cell>
          <cell r="E2691" t="str">
            <v>LC</v>
          </cell>
          <cell r="F2691" t="str">
            <v>Woods &amp; Coppins, 2012</v>
          </cell>
          <cell r="G2691" t="str">
            <v>NBNSYS0000019384</v>
          </cell>
          <cell r="H2691" t="str">
            <v>Pertusaria chiodectonoides</v>
          </cell>
        </row>
        <row r="2692">
          <cell r="A2692" t="str">
            <v>Pertusaria coccodes</v>
          </cell>
          <cell r="B2692" t="str">
            <v>Lichens</v>
          </cell>
          <cell r="C2692" t="str">
            <v>Mycophycophyta</v>
          </cell>
          <cell r="D2692" t="str">
            <v>Pertusaria coccodes</v>
          </cell>
          <cell r="E2692" t="str">
            <v>LC</v>
          </cell>
          <cell r="F2692" t="str">
            <v>Woods &amp; Coppins, 2012</v>
          </cell>
          <cell r="G2692" t="str">
            <v>NBNSYS0000019385</v>
          </cell>
          <cell r="H2692" t="str">
            <v>Pertusaria coccodes</v>
          </cell>
        </row>
        <row r="2693">
          <cell r="A2693" t="str">
            <v>Pertusaria corallina</v>
          </cell>
          <cell r="B2693" t="str">
            <v>Lichens</v>
          </cell>
          <cell r="C2693" t="str">
            <v>Mycophycophyta</v>
          </cell>
          <cell r="D2693" t="str">
            <v>Pertusaria corallina</v>
          </cell>
          <cell r="E2693" t="str">
            <v>LC</v>
          </cell>
          <cell r="F2693" t="str">
            <v>Woods &amp; Coppins, 2012</v>
          </cell>
          <cell r="G2693" t="str">
            <v>NBNSYS0000019387</v>
          </cell>
          <cell r="H2693" t="str">
            <v>Pertusaria corallina</v>
          </cell>
        </row>
        <row r="2694">
          <cell r="A2694" t="str">
            <v>Pertusaria coronata</v>
          </cell>
          <cell r="B2694" t="str">
            <v>Lichens</v>
          </cell>
          <cell r="C2694" t="str">
            <v>Mycophycophyta</v>
          </cell>
          <cell r="D2694" t="str">
            <v>Pertusaria coronata</v>
          </cell>
          <cell r="E2694" t="str">
            <v>LC</v>
          </cell>
          <cell r="F2694" t="str">
            <v>Woods &amp; Coppins, 2012</v>
          </cell>
          <cell r="G2694" t="str">
            <v>NBNSYS0000019388</v>
          </cell>
          <cell r="H2694" t="str">
            <v>Pertusaria coronata</v>
          </cell>
        </row>
        <row r="2695">
          <cell r="A2695" t="str">
            <v>Pertusaria excludens</v>
          </cell>
          <cell r="B2695" t="str">
            <v>Lichens</v>
          </cell>
          <cell r="C2695" t="str">
            <v>Mycophycophyta</v>
          </cell>
          <cell r="D2695" t="str">
            <v>Pertusaria excludens</v>
          </cell>
          <cell r="E2695" t="str">
            <v>LC</v>
          </cell>
          <cell r="F2695" t="str">
            <v>Woods &amp; Coppins, 2012</v>
          </cell>
          <cell r="G2695" t="str">
            <v>NBNSYS0000019391</v>
          </cell>
          <cell r="H2695" t="str">
            <v>Pertusaria excludens</v>
          </cell>
        </row>
        <row r="2696">
          <cell r="A2696" t="str">
            <v>Pertusaria flavicans</v>
          </cell>
          <cell r="B2696" t="str">
            <v>Lichens</v>
          </cell>
          <cell r="C2696" t="str">
            <v>Mycophycophyta</v>
          </cell>
          <cell r="D2696" t="str">
            <v>Pertusaria flavicans</v>
          </cell>
          <cell r="E2696" t="str">
            <v>LC</v>
          </cell>
          <cell r="F2696" t="str">
            <v>Woods &amp; Coppins, 2012</v>
          </cell>
          <cell r="G2696" t="str">
            <v>NBNSYS0000019392</v>
          </cell>
          <cell r="H2696" t="str">
            <v>Pertusaria flavicans</v>
          </cell>
        </row>
        <row r="2697">
          <cell r="A2697" t="str">
            <v>Pertusaria flavida</v>
          </cell>
          <cell r="B2697" t="str">
            <v>Lichens</v>
          </cell>
          <cell r="C2697" t="str">
            <v>Mycophycophyta</v>
          </cell>
          <cell r="D2697" t="str">
            <v>Pertusaria flavida</v>
          </cell>
          <cell r="E2697" t="str">
            <v>LC</v>
          </cell>
          <cell r="F2697" t="str">
            <v>Woods &amp; Coppins, 2012</v>
          </cell>
          <cell r="G2697" t="str">
            <v>NHMSYS0001492294</v>
          </cell>
          <cell r="H2697" t="str">
            <v>Pertusaria flavida</v>
          </cell>
        </row>
        <row r="2698">
          <cell r="A2698" t="str">
            <v>Pertusaria hemisphaerica</v>
          </cell>
          <cell r="B2698" t="str">
            <v>Lichens</v>
          </cell>
          <cell r="C2698" t="str">
            <v>Mycophycophyta</v>
          </cell>
          <cell r="D2698" t="str">
            <v>Pertusaria hemisphaerica</v>
          </cell>
          <cell r="E2698" t="str">
            <v>LC</v>
          </cell>
          <cell r="F2698" t="str">
            <v>Woods &amp; Coppins, 2012</v>
          </cell>
          <cell r="G2698" t="str">
            <v>BMSSYS0000052395</v>
          </cell>
          <cell r="H2698" t="str">
            <v>Pertusaria hemisphaerica</v>
          </cell>
        </row>
        <row r="2699">
          <cell r="A2699" t="str">
            <v>Pertusaria hymenea</v>
          </cell>
          <cell r="B2699" t="str">
            <v>Lichens</v>
          </cell>
          <cell r="C2699" t="str">
            <v>Mycophycophyta</v>
          </cell>
          <cell r="D2699" t="str">
            <v>Pertusaria hymenea</v>
          </cell>
          <cell r="E2699" t="str">
            <v>LC</v>
          </cell>
          <cell r="F2699" t="str">
            <v>Woods &amp; Coppins, 2012</v>
          </cell>
          <cell r="G2699" t="str">
            <v>NBNSYS0000019396</v>
          </cell>
          <cell r="H2699" t="str">
            <v>Pertusaria hymenea</v>
          </cell>
        </row>
        <row r="2700">
          <cell r="A2700" t="str">
            <v>Pertusaria lactea</v>
          </cell>
          <cell r="B2700" t="str">
            <v>Lichens</v>
          </cell>
          <cell r="C2700" t="str">
            <v>Mycophycophyta</v>
          </cell>
          <cell r="D2700" t="str">
            <v>Pertusaria lactea</v>
          </cell>
          <cell r="E2700" t="str">
            <v>LC</v>
          </cell>
          <cell r="F2700" t="str">
            <v>Woods &amp; Coppins, 2012</v>
          </cell>
          <cell r="G2700" t="str">
            <v>BMSSYS0000052397</v>
          </cell>
          <cell r="H2700" t="str">
            <v>Pertusaria lactea</v>
          </cell>
        </row>
        <row r="2701">
          <cell r="A2701" t="str">
            <v>Pertusaria lactescens</v>
          </cell>
          <cell r="B2701" t="str">
            <v>Lichens</v>
          </cell>
          <cell r="C2701" t="str">
            <v>Mycophycophyta</v>
          </cell>
          <cell r="D2701" t="str">
            <v>Pertusaria lactescens</v>
          </cell>
          <cell r="E2701" t="str">
            <v>LC</v>
          </cell>
          <cell r="F2701" t="str">
            <v>Woods &amp; Coppins, 2012</v>
          </cell>
          <cell r="G2701" t="str">
            <v>NBNSYS0000019398</v>
          </cell>
          <cell r="H2701" t="str">
            <v>Pertusaria lactescens</v>
          </cell>
        </row>
        <row r="2702">
          <cell r="A2702" t="str">
            <v>Pertusaria leioplaca</v>
          </cell>
          <cell r="B2702" t="str">
            <v>Lichens</v>
          </cell>
          <cell r="C2702" t="str">
            <v>Mycophycophyta</v>
          </cell>
          <cell r="D2702" t="str">
            <v>Pertusaria leioplaca</v>
          </cell>
          <cell r="E2702" t="str">
            <v>LC</v>
          </cell>
          <cell r="F2702" t="str">
            <v>Woods &amp; Coppins, 2012</v>
          </cell>
          <cell r="G2702" t="str">
            <v>NBNSYS0000019399</v>
          </cell>
          <cell r="H2702" t="str">
            <v>Pertusaria leioplaca</v>
          </cell>
        </row>
        <row r="2703">
          <cell r="A2703" t="str">
            <v>Pertusaria melanochlora</v>
          </cell>
          <cell r="B2703" t="str">
            <v>Lichens</v>
          </cell>
          <cell r="C2703" t="str">
            <v>Mycophycophyta</v>
          </cell>
          <cell r="D2703" t="str">
            <v>Pertusaria melanochlora</v>
          </cell>
          <cell r="E2703" t="str">
            <v>EN</v>
          </cell>
          <cell r="F2703" t="str">
            <v>Woods &amp; Coppins, 2012</v>
          </cell>
          <cell r="G2703" t="str">
            <v>NBNSYS0000019401</v>
          </cell>
          <cell r="H2703" t="str">
            <v>Pertusaria melanochlora</v>
          </cell>
        </row>
        <row r="2704">
          <cell r="A2704" t="str">
            <v>Pertusaria monogona</v>
          </cell>
          <cell r="B2704" t="str">
            <v>Lichens</v>
          </cell>
          <cell r="C2704" t="str">
            <v>Mycophycophyta</v>
          </cell>
          <cell r="D2704" t="str">
            <v>Pertusaria monogona</v>
          </cell>
          <cell r="E2704" t="str">
            <v>LC</v>
          </cell>
          <cell r="F2704" t="str">
            <v>Woods &amp; Coppins, 2012</v>
          </cell>
          <cell r="G2704" t="str">
            <v>NBNSYS0000019402</v>
          </cell>
          <cell r="H2704" t="str">
            <v>Pertusaria monogona</v>
          </cell>
        </row>
        <row r="2705">
          <cell r="A2705" t="str">
            <v>Pertusaria multipuncta</v>
          </cell>
          <cell r="B2705" t="str">
            <v>Lichens</v>
          </cell>
          <cell r="C2705" t="str">
            <v>Mycophycophyta</v>
          </cell>
          <cell r="D2705" t="str">
            <v>Pertusaria multipuncta</v>
          </cell>
          <cell r="E2705" t="str">
            <v>LC</v>
          </cell>
          <cell r="F2705" t="str">
            <v>Woods &amp; Coppins, 2012</v>
          </cell>
          <cell r="G2705" t="str">
            <v>NBNSYS0000019403</v>
          </cell>
          <cell r="H2705" t="str">
            <v>Pertusaria multipuncta</v>
          </cell>
        </row>
        <row r="2706">
          <cell r="A2706" t="str">
            <v>Pertusaria ophthalmiza</v>
          </cell>
          <cell r="B2706" t="str">
            <v>Lichens</v>
          </cell>
          <cell r="C2706" t="str">
            <v>Mycophycophyta</v>
          </cell>
          <cell r="D2706" t="str">
            <v>Pertusaria ophthalmiza</v>
          </cell>
          <cell r="E2706" t="str">
            <v>LC</v>
          </cell>
          <cell r="F2706" t="str">
            <v>Woods &amp; Coppins, 2012</v>
          </cell>
          <cell r="G2706" t="str">
            <v>NBNSYS0000019405</v>
          </cell>
          <cell r="H2706" t="str">
            <v>Pertusaria ophthalmiza</v>
          </cell>
        </row>
        <row r="2707">
          <cell r="A2707" t="str">
            <v>Pertusaria pertusa</v>
          </cell>
          <cell r="B2707" t="str">
            <v>Lichens</v>
          </cell>
          <cell r="C2707" t="str">
            <v>Mycophycophyta</v>
          </cell>
          <cell r="D2707" t="str">
            <v>Pertusaria pertusa</v>
          </cell>
          <cell r="E2707" t="str">
            <v>LC</v>
          </cell>
          <cell r="F2707" t="str">
            <v>Woods &amp; Coppins, 2012</v>
          </cell>
          <cell r="G2707" t="str">
            <v>NBNSYS0000019407</v>
          </cell>
          <cell r="H2707" t="str">
            <v>Pertusaria pertusa</v>
          </cell>
        </row>
        <row r="2708">
          <cell r="A2708" t="str">
            <v>Pertusaria pluripuncta</v>
          </cell>
          <cell r="B2708" t="str">
            <v>Lichens</v>
          </cell>
          <cell r="C2708" t="str">
            <v>Mycophycophyta</v>
          </cell>
          <cell r="D2708" t="str">
            <v>Pertusaria pluripuncta</v>
          </cell>
          <cell r="E2708" t="str">
            <v>NT</v>
          </cell>
          <cell r="F2708" t="str">
            <v>Woods &amp; Coppins, 2012</v>
          </cell>
          <cell r="G2708" t="str">
            <v>BMSSYS0000013293</v>
          </cell>
          <cell r="H2708" t="str">
            <v>Pertusaria pluripuncta</v>
          </cell>
        </row>
        <row r="2709">
          <cell r="A2709" t="str">
            <v>Pertusaria pseudocorallina</v>
          </cell>
          <cell r="B2709" t="str">
            <v>Lichens</v>
          </cell>
          <cell r="C2709" t="str">
            <v>Mycophycophyta</v>
          </cell>
          <cell r="D2709" t="str">
            <v>Pertusaria pseudocorallina</v>
          </cell>
          <cell r="E2709" t="str">
            <v>LC</v>
          </cell>
          <cell r="F2709" t="str">
            <v>Woods &amp; Coppins, 2012</v>
          </cell>
          <cell r="G2709" t="str">
            <v>NBNSYS0000019409</v>
          </cell>
          <cell r="H2709" t="str">
            <v>Pertusaria pseudocorallina</v>
          </cell>
        </row>
        <row r="2710">
          <cell r="A2710" t="str">
            <v>Pertusaria pupillaris</v>
          </cell>
          <cell r="B2710" t="str">
            <v>Lichens</v>
          </cell>
          <cell r="C2710" t="str">
            <v>Mycophycophyta</v>
          </cell>
          <cell r="D2710" t="str">
            <v>Pertusaria pupillaris</v>
          </cell>
          <cell r="E2710" t="str">
            <v>LC</v>
          </cell>
          <cell r="F2710" t="str">
            <v>Woods &amp; Coppins, 2012</v>
          </cell>
          <cell r="G2710" t="str">
            <v>NHMSYS0001492313</v>
          </cell>
          <cell r="H2710" t="str">
            <v>Pertusaria pupillaris</v>
          </cell>
        </row>
        <row r="2711">
          <cell r="A2711" t="str">
            <v>Pertusaria pustulata</v>
          </cell>
          <cell r="B2711" t="str">
            <v>Lichens</v>
          </cell>
          <cell r="C2711" t="str">
            <v>Mycophycophyta</v>
          </cell>
          <cell r="D2711" t="str">
            <v>Pertusaria pustulata</v>
          </cell>
          <cell r="E2711" t="str">
            <v>VU</v>
          </cell>
          <cell r="F2711" t="str">
            <v>Woods &amp; Coppins, 2012</v>
          </cell>
          <cell r="G2711" t="str">
            <v>NBNSYS0000019412</v>
          </cell>
          <cell r="H2711" t="str">
            <v>Pertusaria pustulata</v>
          </cell>
        </row>
        <row r="2712">
          <cell r="A2712" t="str">
            <v>Pertusaria velata</v>
          </cell>
          <cell r="B2712" t="str">
            <v>Lichens</v>
          </cell>
          <cell r="C2712" t="str">
            <v>Mycophycophyta</v>
          </cell>
          <cell r="D2712" t="str">
            <v>Pertusaria velata</v>
          </cell>
          <cell r="E2712" t="str">
            <v>VU</v>
          </cell>
          <cell r="F2712" t="str">
            <v>Woods &amp; Coppins, 2012</v>
          </cell>
          <cell r="G2712" t="str">
            <v>BMSSYS0000052399</v>
          </cell>
          <cell r="H2712" t="str">
            <v>Pertusaria velata</v>
          </cell>
        </row>
        <row r="2713">
          <cell r="A2713" t="str">
            <v>Peterjamesia circumscripta</v>
          </cell>
          <cell r="B2713" t="str">
            <v>Lichens</v>
          </cell>
          <cell r="C2713" t="str">
            <v>Mycophycophyta</v>
          </cell>
          <cell r="D2713" t="str">
            <v>Peterjamesia circumscripta</v>
          </cell>
          <cell r="E2713" t="str">
            <v>LC</v>
          </cell>
          <cell r="F2713" t="str">
            <v>Woods &amp; Coppins, 2012</v>
          </cell>
          <cell r="G2713" t="str">
            <v>NHMSYS0020990830</v>
          </cell>
          <cell r="H2713" t="str">
            <v>Peterjamesia circumscripta</v>
          </cell>
        </row>
        <row r="2714">
          <cell r="A2714" t="str">
            <v>Peterjamesia sorediata</v>
          </cell>
          <cell r="B2714" t="str">
            <v>Lichens</v>
          </cell>
          <cell r="C2714" t="str">
            <v>Mycophycophyta</v>
          </cell>
          <cell r="D2714" t="str">
            <v>Peterjamesia sorediata</v>
          </cell>
          <cell r="E2714" t="str">
            <v>LC</v>
          </cell>
          <cell r="F2714" t="str">
            <v>Woods &amp; Coppins, 2012</v>
          </cell>
          <cell r="G2714" t="str">
            <v>BMSSYS0000045555</v>
          </cell>
          <cell r="H2714" t="str">
            <v>Peterjamesia sorediata</v>
          </cell>
        </row>
        <row r="2715">
          <cell r="A2715" t="str">
            <v>Petractis clausa</v>
          </cell>
          <cell r="B2715" t="str">
            <v>Lichens</v>
          </cell>
          <cell r="C2715" t="str">
            <v>Mycophycophyta</v>
          </cell>
          <cell r="D2715" t="str">
            <v>Petractis clausa</v>
          </cell>
          <cell r="E2715" t="str">
            <v>LC</v>
          </cell>
          <cell r="F2715" t="str">
            <v>Woods &amp; Coppins, 2012</v>
          </cell>
          <cell r="G2715" t="str">
            <v>NBNSYS0000016975</v>
          </cell>
          <cell r="H2715" t="str">
            <v>Petractis clausa</v>
          </cell>
        </row>
        <row r="2716">
          <cell r="A2716" t="str">
            <v>Phaeocalicium populneum</v>
          </cell>
          <cell r="B2716" t="str">
            <v>Lichens</v>
          </cell>
          <cell r="C2716" t="str">
            <v>Mycophycophyta</v>
          </cell>
          <cell r="D2716" t="str">
            <v>Phaeocalicium populneum</v>
          </cell>
          <cell r="E2716" t="str">
            <v>LC</v>
          </cell>
          <cell r="F2716" t="str">
            <v>Woods &amp; Coppins, 2012</v>
          </cell>
          <cell r="G2716" t="str">
            <v>NBNSYS0000015577</v>
          </cell>
          <cell r="H2716" t="str">
            <v>Phaeocalicium populneum</v>
          </cell>
        </row>
        <row r="2717">
          <cell r="A2717" t="str">
            <v>Phaeocalicium praecedens</v>
          </cell>
          <cell r="B2717" t="str">
            <v>Lichens</v>
          </cell>
          <cell r="C2717" t="str">
            <v>Mycophycophyta</v>
          </cell>
          <cell r="D2717" t="str">
            <v>Phaeocalicium praecedens</v>
          </cell>
          <cell r="E2717" t="str">
            <v>LC</v>
          </cell>
          <cell r="F2717" t="str">
            <v>Woods &amp; Coppins, 2012</v>
          </cell>
          <cell r="G2717" t="str">
            <v>NBNSYS0000015578</v>
          </cell>
          <cell r="H2717" t="str">
            <v>Phaeocalicium praecedens</v>
          </cell>
        </row>
        <row r="2718">
          <cell r="A2718" t="str">
            <v>Phaeographis dendritica</v>
          </cell>
          <cell r="B2718" t="str">
            <v>Lichens</v>
          </cell>
          <cell r="C2718" t="str">
            <v>Mycophycophyta</v>
          </cell>
          <cell r="D2718" t="str">
            <v>Phaeographis dendritica</v>
          </cell>
          <cell r="E2718" t="str">
            <v>LC</v>
          </cell>
          <cell r="F2718" t="str">
            <v>Woods &amp; Coppins, 2012</v>
          </cell>
          <cell r="G2718" t="str">
            <v>NHMSYS0001492987</v>
          </cell>
          <cell r="H2718" t="str">
            <v>Phaeographis dendritica</v>
          </cell>
        </row>
        <row r="2719">
          <cell r="A2719" t="str">
            <v>Phaeographis inusta</v>
          </cell>
          <cell r="B2719" t="str">
            <v>Lichens</v>
          </cell>
          <cell r="C2719" t="str">
            <v>Mycophycophyta</v>
          </cell>
          <cell r="D2719" t="str">
            <v>Phaeographis inusta</v>
          </cell>
          <cell r="E2719" t="str">
            <v>LC</v>
          </cell>
          <cell r="F2719" t="str">
            <v>Woods &amp; Coppins, 2012</v>
          </cell>
          <cell r="G2719" t="str">
            <v>NHMSYS0001492988</v>
          </cell>
          <cell r="H2719" t="str">
            <v>Phaeographis inusta</v>
          </cell>
        </row>
        <row r="2720">
          <cell r="A2720" t="str">
            <v>Phaeographis lyellii</v>
          </cell>
          <cell r="B2720" t="str">
            <v>Lichens</v>
          </cell>
          <cell r="C2720" t="str">
            <v>Mycophycophyta</v>
          </cell>
          <cell r="D2720" t="str">
            <v>Phaeographis lyellii</v>
          </cell>
          <cell r="E2720" t="str">
            <v>NT</v>
          </cell>
          <cell r="F2720" t="str">
            <v>Woods &amp; Coppins, 2012</v>
          </cell>
          <cell r="G2720" t="str">
            <v>NBNSYS0000016945</v>
          </cell>
          <cell r="H2720" t="str">
            <v>Phaeographis lyellii</v>
          </cell>
        </row>
        <row r="2721">
          <cell r="A2721" t="str">
            <v>Phaeographis smithii</v>
          </cell>
          <cell r="B2721" t="str">
            <v>Lichens</v>
          </cell>
          <cell r="C2721" t="str">
            <v>Mycophycophyta</v>
          </cell>
          <cell r="D2721" t="str">
            <v>Phaeographis smithii</v>
          </cell>
          <cell r="E2721" t="str">
            <v>LC</v>
          </cell>
          <cell r="F2721" t="str">
            <v>Woods &amp; Coppins, 2012</v>
          </cell>
          <cell r="G2721" t="str">
            <v>NHMSYS0020990888</v>
          </cell>
          <cell r="H2721" t="str">
            <v>Phaeographis smithii</v>
          </cell>
        </row>
        <row r="2722">
          <cell r="A2722" t="str">
            <v>Phaeophyscia endococcina</v>
          </cell>
          <cell r="B2722" t="str">
            <v>Lichens</v>
          </cell>
          <cell r="C2722" t="str">
            <v>Mycophycophyta</v>
          </cell>
          <cell r="D2722" t="str">
            <v>Phaeophyscia endococcina</v>
          </cell>
          <cell r="E2722" t="str">
            <v>VU</v>
          </cell>
          <cell r="F2722" t="str">
            <v>Woods &amp; Coppins, 2012</v>
          </cell>
          <cell r="G2722" t="str">
            <v>NBNSYS0000039708</v>
          </cell>
          <cell r="H2722" t="str">
            <v>Phaeophyscia endococcina</v>
          </cell>
        </row>
        <row r="2723">
          <cell r="A2723" t="str">
            <v>Phaeophyscia endophoenicea</v>
          </cell>
          <cell r="B2723" t="str">
            <v>Lichens</v>
          </cell>
          <cell r="C2723" t="str">
            <v>Mycophycophyta</v>
          </cell>
          <cell r="D2723" t="str">
            <v>Phaeophyscia endophoenicea</v>
          </cell>
          <cell r="E2723" t="str">
            <v>LC</v>
          </cell>
          <cell r="F2723" t="str">
            <v>Woods &amp; Coppins, 2012</v>
          </cell>
          <cell r="G2723" t="str">
            <v>NBNSYS0000018919</v>
          </cell>
          <cell r="H2723" t="str">
            <v>Phaeophyscia endophoenicea</v>
          </cell>
        </row>
        <row r="2724">
          <cell r="A2724" t="str">
            <v>Phaeophyscia nigricans</v>
          </cell>
          <cell r="B2724" t="str">
            <v>Lichens</v>
          </cell>
          <cell r="C2724" t="str">
            <v>Mycophycophyta</v>
          </cell>
          <cell r="D2724" t="str">
            <v>Phaeophyscia nigricans</v>
          </cell>
          <cell r="E2724" t="str">
            <v>LC</v>
          </cell>
          <cell r="F2724" t="str">
            <v>Woods &amp; Coppins, 2012</v>
          </cell>
          <cell r="G2724" t="str">
            <v>NHMSYS0001493018</v>
          </cell>
          <cell r="H2724" t="str">
            <v>Phaeophyscia nigricans</v>
          </cell>
        </row>
        <row r="2725">
          <cell r="A2725" t="str">
            <v>Phaeophyscia orbicularis</v>
          </cell>
          <cell r="B2725" t="str">
            <v>Lichens</v>
          </cell>
          <cell r="C2725" t="str">
            <v>Mycophycophyta</v>
          </cell>
          <cell r="D2725" t="str">
            <v>Phaeophyscia orbicularis</v>
          </cell>
          <cell r="E2725" t="str">
            <v>LC</v>
          </cell>
          <cell r="F2725" t="str">
            <v>Woods &amp; Coppins, 2012</v>
          </cell>
          <cell r="G2725" t="str">
            <v>NHMSYS0001493019</v>
          </cell>
          <cell r="H2725" t="str">
            <v>Phaeophyscia orbicularis</v>
          </cell>
        </row>
        <row r="2726">
          <cell r="A2726" t="str">
            <v>Phaeophyscia sciastra</v>
          </cell>
          <cell r="B2726" t="str">
            <v>Lichens</v>
          </cell>
          <cell r="C2726" t="str">
            <v>Mycophycophyta</v>
          </cell>
          <cell r="D2726" t="str">
            <v>Phaeophyscia sciastra</v>
          </cell>
          <cell r="E2726" t="str">
            <v>LC</v>
          </cell>
          <cell r="F2726" t="str">
            <v>Woods &amp; Coppins, 2012</v>
          </cell>
          <cell r="G2726" t="str">
            <v>NHMSYS0001493020</v>
          </cell>
          <cell r="H2726" t="str">
            <v>Phaeophyscia sciastra</v>
          </cell>
        </row>
        <row r="2727">
          <cell r="A2727" t="str">
            <v>Phaeopyxis punctum</v>
          </cell>
          <cell r="B2727" t="str">
            <v>Lichens</v>
          </cell>
          <cell r="C2727" t="str">
            <v>Mycophycophyta</v>
          </cell>
          <cell r="D2727" t="str">
            <v>Phaeopyxis punctum</v>
          </cell>
          <cell r="E2727" t="str">
            <v>LC</v>
          </cell>
          <cell r="F2727" t="str">
            <v>Woods &amp; Coppins, 2012</v>
          </cell>
          <cell r="G2727" t="str">
            <v>BMSSYS0000731145</v>
          </cell>
          <cell r="H2727" t="str">
            <v>Phaeopyxis punctum</v>
          </cell>
        </row>
        <row r="2728">
          <cell r="A2728" t="str">
            <v>Phaeopyxis varia</v>
          </cell>
          <cell r="B2728" t="str">
            <v>Lichens</v>
          </cell>
          <cell r="C2728" t="str">
            <v>Mycophycophyta</v>
          </cell>
          <cell r="D2728" t="str">
            <v>Phaeopyxis varia</v>
          </cell>
          <cell r="E2728" t="str">
            <v>LC</v>
          </cell>
          <cell r="F2728" t="str">
            <v>Woods &amp; Coppins, 2012</v>
          </cell>
          <cell r="G2728" t="str">
            <v>BMSSYS0000731146</v>
          </cell>
          <cell r="H2728" t="str">
            <v>Phaeopyxis varia</v>
          </cell>
        </row>
        <row r="2729">
          <cell r="A2729" t="str">
            <v>Phaeospora parasitica</v>
          </cell>
          <cell r="B2729" t="str">
            <v>Lichens</v>
          </cell>
          <cell r="C2729" t="str">
            <v>Mycophycophyta</v>
          </cell>
          <cell r="D2729" t="str">
            <v>Phaeospora parasitica</v>
          </cell>
          <cell r="E2729" t="str">
            <v>LC</v>
          </cell>
          <cell r="F2729" t="str">
            <v>Woods &amp; Coppins, 2012</v>
          </cell>
          <cell r="G2729" t="str">
            <v>NHMSYS0001493069</v>
          </cell>
          <cell r="H2729" t="str">
            <v>Phaeospora parasitica</v>
          </cell>
        </row>
        <row r="2730">
          <cell r="A2730" t="str">
            <v>Phaeospora rimosicola</v>
          </cell>
          <cell r="B2730" t="str">
            <v>Lichens</v>
          </cell>
          <cell r="C2730" t="str">
            <v>Mycophycophyta</v>
          </cell>
          <cell r="D2730" t="str">
            <v>Phaeospora rimosicola</v>
          </cell>
          <cell r="E2730" t="str">
            <v>LC</v>
          </cell>
          <cell r="F2730" t="str">
            <v>Woods &amp; Coppins, 2012</v>
          </cell>
          <cell r="G2730" t="str">
            <v>NBNSYS0000020613</v>
          </cell>
          <cell r="H2730" t="str">
            <v>Phaeospora rimosicola</v>
          </cell>
        </row>
        <row r="2731">
          <cell r="A2731" t="str">
            <v>Phaeosporobolus alpinus</v>
          </cell>
          <cell r="B2731" t="str">
            <v>Lichens</v>
          </cell>
          <cell r="C2731" t="str">
            <v>Mycophycophyta</v>
          </cell>
          <cell r="D2731" t="str">
            <v>Phaeosporobolus alpinus</v>
          </cell>
          <cell r="E2731" t="str">
            <v>LC</v>
          </cell>
          <cell r="F2731" t="str">
            <v>Woods &amp; Coppins, 2012</v>
          </cell>
          <cell r="G2731" t="str">
            <v>BMSSYS0000047584</v>
          </cell>
          <cell r="H2731" t="str">
            <v>Phaeosporobolus alpinus</v>
          </cell>
        </row>
        <row r="2732">
          <cell r="A2732" t="str">
            <v>Phlyctis agelaea</v>
          </cell>
          <cell r="B2732" t="str">
            <v>Lichens</v>
          </cell>
          <cell r="C2732" t="str">
            <v>Mycophycophyta</v>
          </cell>
          <cell r="D2732" t="str">
            <v>Phlyctis agelaea</v>
          </cell>
          <cell r="E2732" t="str">
            <v>NT</v>
          </cell>
          <cell r="F2732" t="str">
            <v>Woods &amp; Coppins, 2012</v>
          </cell>
          <cell r="G2732" t="str">
            <v>NHMSYS0001493251</v>
          </cell>
          <cell r="H2732" t="str">
            <v>Phlyctis agelaea</v>
          </cell>
        </row>
        <row r="2733">
          <cell r="A2733" t="str">
            <v>Phlyctis argena</v>
          </cell>
          <cell r="B2733" t="str">
            <v>Lichens</v>
          </cell>
          <cell r="C2733" t="str">
            <v>Mycophycophyta</v>
          </cell>
          <cell r="D2733" t="str">
            <v>Phlyctis argena</v>
          </cell>
          <cell r="E2733" t="str">
            <v>LC</v>
          </cell>
          <cell r="F2733" t="str">
            <v>Woods &amp; Coppins, 2012</v>
          </cell>
          <cell r="G2733" t="str">
            <v>NBNSYS0000018924</v>
          </cell>
          <cell r="H2733" t="str">
            <v>Phlyctis argena</v>
          </cell>
        </row>
        <row r="2734">
          <cell r="A2734" t="str">
            <v>Phylloblastia fortuita</v>
          </cell>
          <cell r="B2734" t="str">
            <v>Lichens</v>
          </cell>
          <cell r="C2734" t="str">
            <v>Mycophycophyta</v>
          </cell>
          <cell r="D2734" t="str">
            <v>Phylloblastia fortuita</v>
          </cell>
          <cell r="E2734" t="str">
            <v>LC</v>
          </cell>
          <cell r="F2734" t="str">
            <v>Woods &amp; Coppins, 2012</v>
          </cell>
          <cell r="G2734" t="str">
            <v>BMSSYS0000049600</v>
          </cell>
          <cell r="H2734" t="str">
            <v>Phylloblastia fortuita</v>
          </cell>
        </row>
        <row r="2735">
          <cell r="A2735" t="str">
            <v>Phylloblastia inexpectata</v>
          </cell>
          <cell r="B2735" t="str">
            <v>Lichens</v>
          </cell>
          <cell r="C2735" t="str">
            <v>Mycophycophyta</v>
          </cell>
          <cell r="D2735" t="str">
            <v>Phylloblastia inexpectata</v>
          </cell>
          <cell r="E2735" t="str">
            <v>LC</v>
          </cell>
          <cell r="F2735" t="str">
            <v>Woods &amp; Coppins, 2012</v>
          </cell>
          <cell r="G2735" t="str">
            <v>NHMSYS0020039036</v>
          </cell>
          <cell r="H2735" t="str">
            <v>Phylloblastia inexpectata</v>
          </cell>
        </row>
        <row r="2736">
          <cell r="A2736" t="str">
            <v>Phyllopsora rosei</v>
          </cell>
          <cell r="B2736" t="str">
            <v>Lichens</v>
          </cell>
          <cell r="C2736" t="str">
            <v>Mycophycophyta</v>
          </cell>
          <cell r="D2736" t="str">
            <v>Phyllopsora rosei</v>
          </cell>
          <cell r="E2736" t="str">
            <v>LC</v>
          </cell>
          <cell r="F2736" t="str">
            <v>Woods &amp; Coppins, 2012</v>
          </cell>
          <cell r="G2736" t="str">
            <v>NBNSYS0000018925</v>
          </cell>
          <cell r="H2736" t="str">
            <v>Phyllopsora rosei</v>
          </cell>
        </row>
        <row r="2737">
          <cell r="A2737" t="str">
            <v>Physcia adscendens</v>
          </cell>
          <cell r="B2737" t="str">
            <v>Lichens</v>
          </cell>
          <cell r="C2737" t="str">
            <v>Mycophycophyta</v>
          </cell>
          <cell r="D2737" t="str">
            <v>Physcia adscendens</v>
          </cell>
          <cell r="E2737" t="str">
            <v>LC</v>
          </cell>
          <cell r="F2737" t="str">
            <v>Woods &amp; Coppins, 2012</v>
          </cell>
          <cell r="G2737" t="str">
            <v>BMSSYS0000049685</v>
          </cell>
          <cell r="H2737" t="str">
            <v>Physcia adscendens</v>
          </cell>
        </row>
        <row r="2738">
          <cell r="A2738" t="str">
            <v>Physcia aipolia</v>
          </cell>
          <cell r="B2738" t="str">
            <v>Lichens</v>
          </cell>
          <cell r="C2738" t="str">
            <v>Mycophycophyta</v>
          </cell>
          <cell r="D2738" t="str">
            <v>Physcia aipolia</v>
          </cell>
          <cell r="E2738" t="str">
            <v>LC</v>
          </cell>
          <cell r="F2738" t="str">
            <v>Woods &amp; Coppins, 2012</v>
          </cell>
          <cell r="G2738" t="str">
            <v>NHMSYS0001493681</v>
          </cell>
          <cell r="H2738" t="str">
            <v>Physcia aipolia</v>
          </cell>
        </row>
        <row r="2739">
          <cell r="A2739" t="str">
            <v>Physcia caesia</v>
          </cell>
          <cell r="B2739" t="str">
            <v>Lichens</v>
          </cell>
          <cell r="C2739" t="str">
            <v>Mycophycophyta</v>
          </cell>
          <cell r="D2739" t="str">
            <v>Physcia caesia</v>
          </cell>
          <cell r="E2739" t="str">
            <v>LC</v>
          </cell>
          <cell r="F2739" t="str">
            <v>Woods &amp; Coppins, 2012</v>
          </cell>
          <cell r="G2739" t="str">
            <v>NHMSYS0001493685</v>
          </cell>
          <cell r="H2739" t="str">
            <v>Physcia caesia</v>
          </cell>
        </row>
        <row r="2740">
          <cell r="A2740" t="str">
            <v>Physcia clementei</v>
          </cell>
          <cell r="B2740" t="str">
            <v>Lichens</v>
          </cell>
          <cell r="C2740" t="str">
            <v>Mycophycophyta</v>
          </cell>
          <cell r="D2740" t="str">
            <v>Physcia clementei</v>
          </cell>
          <cell r="E2740" t="str">
            <v>NT</v>
          </cell>
          <cell r="F2740" t="str">
            <v>Woods &amp; Coppins, 2012</v>
          </cell>
          <cell r="G2740" t="str">
            <v>NHMSYS0001493690</v>
          </cell>
          <cell r="H2740" t="str">
            <v>Physcia clementei</v>
          </cell>
        </row>
        <row r="2741">
          <cell r="A2741" t="str">
            <v>Physcia dubia</v>
          </cell>
          <cell r="B2741" t="str">
            <v>Lichens</v>
          </cell>
          <cell r="C2741" t="str">
            <v>Mycophycophyta</v>
          </cell>
          <cell r="D2741" t="str">
            <v>Physcia dubia</v>
          </cell>
          <cell r="E2741" t="str">
            <v>LC</v>
          </cell>
          <cell r="F2741" t="str">
            <v>Woods &amp; Coppins, 2012</v>
          </cell>
          <cell r="G2741" t="str">
            <v>NBNSYS0000018930</v>
          </cell>
          <cell r="H2741" t="str">
            <v>Physcia dubia</v>
          </cell>
        </row>
        <row r="2742">
          <cell r="A2742" t="str">
            <v>Physcia leptalea</v>
          </cell>
          <cell r="B2742" t="str">
            <v>Lichens</v>
          </cell>
          <cell r="C2742" t="str">
            <v>Mycophycophyta</v>
          </cell>
          <cell r="D2742" t="str">
            <v>Physcia leptalea</v>
          </cell>
          <cell r="E2742" t="str">
            <v>LC</v>
          </cell>
          <cell r="F2742" t="str">
            <v>Woods &amp; Coppins, 2012</v>
          </cell>
          <cell r="G2742" t="str">
            <v>BMSSYS0000014378</v>
          </cell>
          <cell r="H2742" t="str">
            <v>Physcia leptalea</v>
          </cell>
        </row>
        <row r="2743">
          <cell r="A2743" t="str">
            <v>Physcia stellaris</v>
          </cell>
          <cell r="B2743" t="str">
            <v>Lichens</v>
          </cell>
          <cell r="C2743" t="str">
            <v>Mycophycophyta</v>
          </cell>
          <cell r="D2743" t="str">
            <v>Physcia stellaris</v>
          </cell>
          <cell r="E2743" t="str">
            <v>LC</v>
          </cell>
          <cell r="F2743" t="str">
            <v>Woods &amp; Coppins, 2012</v>
          </cell>
          <cell r="G2743" t="str">
            <v>NBNSYS0000018933</v>
          </cell>
          <cell r="H2743" t="str">
            <v>Physcia stellaris</v>
          </cell>
        </row>
        <row r="2744">
          <cell r="A2744" t="str">
            <v>Physcia tenella</v>
          </cell>
          <cell r="B2744" t="str">
            <v>Lichens</v>
          </cell>
          <cell r="C2744" t="str">
            <v>Mycophycophyta</v>
          </cell>
          <cell r="D2744" t="str">
            <v>Physcia tenella</v>
          </cell>
          <cell r="E2744" t="str">
            <v>LC</v>
          </cell>
          <cell r="F2744" t="str">
            <v>Woods &amp; Coppins, 2012</v>
          </cell>
          <cell r="G2744" t="str">
            <v>NBNSYS0000018934</v>
          </cell>
          <cell r="H2744" t="str">
            <v>Physcia tenella</v>
          </cell>
        </row>
        <row r="2745">
          <cell r="A2745" t="str">
            <v>Physcia tribacia</v>
          </cell>
          <cell r="B2745" t="str">
            <v>Lichens</v>
          </cell>
          <cell r="C2745" t="str">
            <v>Mycophycophyta</v>
          </cell>
          <cell r="D2745" t="str">
            <v>Physcia tribacia</v>
          </cell>
          <cell r="E2745" t="str">
            <v>LC</v>
          </cell>
          <cell r="F2745" t="str">
            <v>Woods &amp; Coppins, 2012</v>
          </cell>
          <cell r="G2745" t="str">
            <v>NBNSYS0000018936</v>
          </cell>
          <cell r="H2745" t="str">
            <v>Physcia tribacia</v>
          </cell>
        </row>
        <row r="2746">
          <cell r="A2746" t="str">
            <v>Physcia tribacioides</v>
          </cell>
          <cell r="B2746" t="str">
            <v>Lichens</v>
          </cell>
          <cell r="C2746" t="str">
            <v>Mycophycophyta</v>
          </cell>
          <cell r="D2746" t="str">
            <v>Physcia tribacioides</v>
          </cell>
          <cell r="E2746" t="str">
            <v>VU</v>
          </cell>
          <cell r="F2746" t="str">
            <v>Woods &amp; Coppins, 2012</v>
          </cell>
          <cell r="G2746" t="str">
            <v>NBNSYS0000018937</v>
          </cell>
          <cell r="H2746" t="str">
            <v>Physcia tribacioides</v>
          </cell>
        </row>
        <row r="2747">
          <cell r="A2747" t="str">
            <v>Physconia distorta</v>
          </cell>
          <cell r="B2747" t="str">
            <v>Lichens</v>
          </cell>
          <cell r="C2747" t="str">
            <v>Mycophycophyta</v>
          </cell>
          <cell r="D2747" t="str">
            <v>Physconia distorta</v>
          </cell>
          <cell r="E2747" t="str">
            <v>LC</v>
          </cell>
          <cell r="F2747" t="str">
            <v>Woods &amp; Coppins, 2012</v>
          </cell>
          <cell r="G2747" t="str">
            <v>NBNSYS0000018939</v>
          </cell>
          <cell r="H2747" t="str">
            <v>Physconia distorta</v>
          </cell>
        </row>
        <row r="2748">
          <cell r="A2748" t="str">
            <v>Physconia enteroxantha</v>
          </cell>
          <cell r="B2748" t="str">
            <v>Lichens</v>
          </cell>
          <cell r="C2748" t="str">
            <v>Mycophycophyta</v>
          </cell>
          <cell r="D2748" t="str">
            <v>Physconia enteroxantha</v>
          </cell>
          <cell r="E2748" t="str">
            <v>LC</v>
          </cell>
          <cell r="F2748" t="str">
            <v>Woods &amp; Coppins, 2012</v>
          </cell>
          <cell r="G2748" t="str">
            <v>NBNSYS0000018940</v>
          </cell>
          <cell r="H2748" t="str">
            <v>Physconia enteroxantha</v>
          </cell>
        </row>
        <row r="2749">
          <cell r="A2749" t="str">
            <v>Physconia grisea</v>
          </cell>
          <cell r="B2749" t="str">
            <v>Lichens</v>
          </cell>
          <cell r="C2749" t="str">
            <v>Mycophycophyta</v>
          </cell>
          <cell r="D2749" t="str">
            <v>Physconia grisea</v>
          </cell>
          <cell r="E2749" t="str">
            <v>LC</v>
          </cell>
          <cell r="F2749" t="str">
            <v>Woods &amp; Coppins, 2012</v>
          </cell>
          <cell r="G2749" t="str">
            <v>NBNSYS0000018941</v>
          </cell>
          <cell r="H2749" t="str">
            <v>Physconia grisea</v>
          </cell>
        </row>
        <row r="2750">
          <cell r="A2750" t="str">
            <v>Physconia perisidiosa</v>
          </cell>
          <cell r="B2750" t="str">
            <v>Lichens</v>
          </cell>
          <cell r="C2750" t="str">
            <v>Mycophycophyta</v>
          </cell>
          <cell r="D2750" t="str">
            <v>Physconia perisidiosa</v>
          </cell>
          <cell r="E2750" t="str">
            <v>LC</v>
          </cell>
          <cell r="F2750" t="str">
            <v>Woods &amp; Coppins, 2012</v>
          </cell>
          <cell r="G2750" t="str">
            <v>NBNSYS0000018943</v>
          </cell>
          <cell r="H2750" t="str">
            <v>Physconia perisidiosa</v>
          </cell>
        </row>
        <row r="2751">
          <cell r="A2751" t="str">
            <v>Piccolia ochrophora</v>
          </cell>
          <cell r="B2751" t="str">
            <v>Lichens</v>
          </cell>
          <cell r="C2751" t="str">
            <v>Mycophycophyta</v>
          </cell>
          <cell r="D2751" t="str">
            <v>Piccolia ochrophora</v>
          </cell>
          <cell r="E2751" t="str">
            <v>LC</v>
          </cell>
          <cell r="F2751" t="str">
            <v>Woods &amp; Coppins, 2012</v>
          </cell>
          <cell r="G2751" t="str">
            <v>NHMSYS0020039190</v>
          </cell>
          <cell r="H2751" t="str">
            <v>Piccolia ochrophora</v>
          </cell>
        </row>
        <row r="2752">
          <cell r="A2752" t="str">
            <v>Pilophorus strumaticus</v>
          </cell>
          <cell r="B2752" t="str">
            <v>Lichens</v>
          </cell>
          <cell r="C2752" t="str">
            <v>Mycophycophyta</v>
          </cell>
          <cell r="D2752" t="str">
            <v>Pilophorus strumaticus</v>
          </cell>
          <cell r="E2752" t="str">
            <v>LC</v>
          </cell>
          <cell r="F2752" t="str">
            <v>Woods &amp; Coppins, 2012</v>
          </cell>
          <cell r="G2752" t="str">
            <v>NBNSYS0000018944</v>
          </cell>
          <cell r="H2752" t="str">
            <v>Pilophorus strumaticus</v>
          </cell>
        </row>
        <row r="2753">
          <cell r="A2753" t="str">
            <v>Placidiopsis custnani</v>
          </cell>
          <cell r="B2753" t="str">
            <v>Lichens</v>
          </cell>
          <cell r="C2753" t="str">
            <v>Mycophycophyta</v>
          </cell>
          <cell r="D2753" t="str">
            <v>Placidiopsis custnani</v>
          </cell>
          <cell r="E2753" t="str">
            <v>NT</v>
          </cell>
          <cell r="F2753" t="str">
            <v>Woods &amp; Coppins, 2012</v>
          </cell>
          <cell r="G2753" t="str">
            <v>NHMSYS0001493864</v>
          </cell>
          <cell r="H2753" t="str">
            <v>Placidiopsis custnani</v>
          </cell>
        </row>
        <row r="2754">
          <cell r="A2754" t="str">
            <v>Placidium lachneum</v>
          </cell>
          <cell r="B2754" t="str">
            <v>Lichens</v>
          </cell>
          <cell r="C2754" t="str">
            <v>Mycophycophyta</v>
          </cell>
          <cell r="D2754" t="str">
            <v>Placidium lachneum</v>
          </cell>
          <cell r="E2754" t="str">
            <v>LC</v>
          </cell>
          <cell r="F2754" t="str">
            <v>Woods &amp; Coppins, 2012</v>
          </cell>
          <cell r="G2754" t="str">
            <v>NHMSYS0020990925</v>
          </cell>
          <cell r="H2754" t="str">
            <v>Placidium lachneum</v>
          </cell>
        </row>
        <row r="2755">
          <cell r="A2755" t="str">
            <v>Placidium michelii</v>
          </cell>
          <cell r="B2755" t="str">
            <v>Lichens</v>
          </cell>
          <cell r="C2755" t="str">
            <v>Mycophycophyta</v>
          </cell>
          <cell r="D2755" t="str">
            <v>Placidium michelii</v>
          </cell>
          <cell r="E2755" t="str">
            <v>VU</v>
          </cell>
          <cell r="F2755" t="str">
            <v>Woods &amp; Coppins, 2012</v>
          </cell>
          <cell r="G2755" t="str">
            <v>BMSSYS0000014545</v>
          </cell>
          <cell r="H2755" t="str">
            <v>Placidium michelii</v>
          </cell>
        </row>
        <row r="2756">
          <cell r="A2756" t="str">
            <v>Placidium pilosellum</v>
          </cell>
          <cell r="B2756" t="str">
            <v>Lichens</v>
          </cell>
          <cell r="C2756" t="str">
            <v>Mycophycophyta</v>
          </cell>
          <cell r="D2756" t="str">
            <v>Placidium pilosellum</v>
          </cell>
          <cell r="E2756" t="str">
            <v>NT</v>
          </cell>
          <cell r="F2756" t="str">
            <v>Woods &amp; Coppins, 2012</v>
          </cell>
          <cell r="G2756" t="str">
            <v>NHMSYS0001493871</v>
          </cell>
          <cell r="H2756" t="str">
            <v>Placidium pilosellum</v>
          </cell>
        </row>
        <row r="2757">
          <cell r="A2757" t="str">
            <v>Placidium squamulosum</v>
          </cell>
          <cell r="B2757" t="str">
            <v>Lichens</v>
          </cell>
          <cell r="C2757" t="str">
            <v>Mycophycophyta</v>
          </cell>
          <cell r="D2757" t="str">
            <v>Placidium squamulosum</v>
          </cell>
          <cell r="E2757" t="str">
            <v>LC</v>
          </cell>
          <cell r="F2757" t="str">
            <v>Woods &amp; Coppins, 2012</v>
          </cell>
          <cell r="G2757" t="str">
            <v>NHMSYS0001493873</v>
          </cell>
          <cell r="H2757" t="str">
            <v>Placidium squamulosum</v>
          </cell>
        </row>
        <row r="2758">
          <cell r="A2758" t="str">
            <v>Placopsis lambii</v>
          </cell>
          <cell r="B2758" t="str">
            <v>Lichens</v>
          </cell>
          <cell r="C2758" t="str">
            <v>Mycophycophyta</v>
          </cell>
          <cell r="D2758" t="str">
            <v>Placopsis lambii</v>
          </cell>
          <cell r="E2758" t="str">
            <v>LC</v>
          </cell>
          <cell r="F2758" t="str">
            <v>Woods &amp; Coppins, 2012</v>
          </cell>
          <cell r="G2758" t="str">
            <v>NHMSYS0001493895</v>
          </cell>
          <cell r="H2758" t="str">
            <v>Placopsis lambii</v>
          </cell>
        </row>
        <row r="2759">
          <cell r="A2759" t="str">
            <v>Placopyrenium canellum</v>
          </cell>
          <cell r="B2759" t="str">
            <v>Lichens</v>
          </cell>
          <cell r="C2759" t="str">
            <v>Mycophycophyta</v>
          </cell>
          <cell r="D2759" t="str">
            <v>Placopyrenium canellum</v>
          </cell>
          <cell r="E2759" t="str">
            <v>LC</v>
          </cell>
          <cell r="F2759" t="str">
            <v>Woods &amp; Coppins, 2012</v>
          </cell>
          <cell r="G2759" t="str">
            <v>NHMSYS0020535932</v>
          </cell>
          <cell r="H2759" t="str">
            <v>Placopyrenium canellum</v>
          </cell>
        </row>
        <row r="2760">
          <cell r="A2760" t="str">
            <v>Placopyrenium fuscellum</v>
          </cell>
          <cell r="B2760" t="str">
            <v>Lichens</v>
          </cell>
          <cell r="C2760" t="str">
            <v>Mycophycophyta</v>
          </cell>
          <cell r="D2760" t="str">
            <v>Placopyrenium fuscellum</v>
          </cell>
          <cell r="E2760" t="str">
            <v>LC</v>
          </cell>
          <cell r="F2760" t="str">
            <v>Woods &amp; Coppins, 2012</v>
          </cell>
          <cell r="G2760" t="str">
            <v>NHMSYS0020535935</v>
          </cell>
          <cell r="H2760" t="str">
            <v>Placopyrenium fuscellum</v>
          </cell>
        </row>
        <row r="2761">
          <cell r="A2761" t="str">
            <v>Placynthiella dasaea</v>
          </cell>
          <cell r="B2761" t="str">
            <v>Lichens</v>
          </cell>
          <cell r="C2761" t="str">
            <v>Mycophycophyta</v>
          </cell>
          <cell r="D2761" t="str">
            <v>Placynthiella dasaea</v>
          </cell>
          <cell r="E2761" t="str">
            <v>LC</v>
          </cell>
          <cell r="F2761" t="str">
            <v>Woods &amp; Coppins, 2012</v>
          </cell>
          <cell r="G2761" t="str">
            <v>NHMSYS0001493901</v>
          </cell>
          <cell r="H2761" t="str">
            <v>Placynthiella dasaea</v>
          </cell>
        </row>
        <row r="2762">
          <cell r="A2762" t="str">
            <v>Placynthiella hyporhoda</v>
          </cell>
          <cell r="B2762" t="str">
            <v>Lichens</v>
          </cell>
          <cell r="C2762" t="str">
            <v>Mycophycophyta</v>
          </cell>
          <cell r="D2762" t="str">
            <v>Placynthiella hyporhoda</v>
          </cell>
          <cell r="E2762" t="str">
            <v>LC</v>
          </cell>
          <cell r="F2762" t="str">
            <v>Woods &amp; Coppins, 2012</v>
          </cell>
          <cell r="G2762" t="str">
            <v>NHMSYS0001493902</v>
          </cell>
          <cell r="H2762" t="str">
            <v>Placynthiella hyporhoda</v>
          </cell>
        </row>
        <row r="2763">
          <cell r="A2763" t="str">
            <v>Placynthiella icmalea</v>
          </cell>
          <cell r="B2763" t="str">
            <v>Lichens</v>
          </cell>
          <cell r="C2763" t="str">
            <v>Mycophycophyta</v>
          </cell>
          <cell r="D2763" t="str">
            <v>Placynthiella icmalea</v>
          </cell>
          <cell r="E2763" t="str">
            <v>LC</v>
          </cell>
          <cell r="F2763" t="str">
            <v>Woods &amp; Coppins, 2012</v>
          </cell>
          <cell r="G2763" t="str">
            <v>NHMSYS0001493903</v>
          </cell>
          <cell r="H2763" t="str">
            <v>Placynthiella icmalea</v>
          </cell>
        </row>
        <row r="2764">
          <cell r="A2764" t="str">
            <v>Placynthiella oligotropha</v>
          </cell>
          <cell r="B2764" t="str">
            <v>Lichens</v>
          </cell>
          <cell r="C2764" t="str">
            <v>Mycophycophyta</v>
          </cell>
          <cell r="D2764" t="str">
            <v>Placynthiella oligotropha</v>
          </cell>
          <cell r="E2764" t="str">
            <v>LC</v>
          </cell>
          <cell r="F2764" t="str">
            <v>Woods &amp; Coppins, 2012</v>
          </cell>
          <cell r="G2764" t="str">
            <v>NHMSYS0001493904</v>
          </cell>
          <cell r="H2764" t="str">
            <v>Placynthiella oligotropha</v>
          </cell>
        </row>
        <row r="2765">
          <cell r="A2765" t="str">
            <v>Placynthiella uliginosa</v>
          </cell>
          <cell r="B2765" t="str">
            <v>Lichens</v>
          </cell>
          <cell r="C2765" t="str">
            <v>Mycophycophyta</v>
          </cell>
          <cell r="D2765" t="str">
            <v>Placynthiella uliginosa</v>
          </cell>
          <cell r="E2765" t="str">
            <v>LC</v>
          </cell>
          <cell r="F2765" t="str">
            <v>Woods &amp; Coppins, 2012</v>
          </cell>
          <cell r="G2765" t="str">
            <v>NBNSYS0000018949</v>
          </cell>
          <cell r="H2765" t="str">
            <v>Placynthiella uliginosa</v>
          </cell>
        </row>
        <row r="2766">
          <cell r="A2766" t="str">
            <v>Placynthium flabellosum</v>
          </cell>
          <cell r="B2766" t="str">
            <v>Lichens</v>
          </cell>
          <cell r="C2766" t="str">
            <v>Mycophycophyta</v>
          </cell>
          <cell r="D2766" t="str">
            <v>Placynthium flabellosum</v>
          </cell>
          <cell r="E2766" t="str">
            <v>LC</v>
          </cell>
          <cell r="F2766" t="str">
            <v>Woods &amp; Coppins, 2012</v>
          </cell>
          <cell r="G2766" t="str">
            <v>NBNSYS0000019340</v>
          </cell>
          <cell r="H2766" t="str">
            <v>Placynthium flabellosum</v>
          </cell>
        </row>
        <row r="2767">
          <cell r="A2767" t="str">
            <v>Placynthium nigrum</v>
          </cell>
          <cell r="B2767" t="str">
            <v>Lichens</v>
          </cell>
          <cell r="C2767" t="str">
            <v>Mycophycophyta</v>
          </cell>
          <cell r="D2767" t="str">
            <v>Placynthium nigrum</v>
          </cell>
          <cell r="E2767" t="str">
            <v>LC</v>
          </cell>
          <cell r="F2767" t="str">
            <v>Woods &amp; Coppins, 2012</v>
          </cell>
          <cell r="G2767" t="str">
            <v>NBNSYS0000019344</v>
          </cell>
          <cell r="H2767" t="str">
            <v>Placynthium nigrum</v>
          </cell>
        </row>
        <row r="2768">
          <cell r="A2768" t="str">
            <v>Placynthium subradiatum</v>
          </cell>
          <cell r="B2768" t="str">
            <v>Lichens</v>
          </cell>
          <cell r="C2768" t="str">
            <v>Mycophycophyta</v>
          </cell>
          <cell r="D2768" t="str">
            <v>Placynthium subradiatum</v>
          </cell>
          <cell r="E2768" t="str">
            <v>LC</v>
          </cell>
          <cell r="F2768" t="str">
            <v>Woods &amp; Coppins, 2012</v>
          </cell>
          <cell r="G2768" t="str">
            <v>NBNSYS0000019347</v>
          </cell>
          <cell r="H2768" t="str">
            <v>Placynthium subradiatum</v>
          </cell>
        </row>
        <row r="2769">
          <cell r="A2769" t="str">
            <v>Placynthium tantaleum</v>
          </cell>
          <cell r="B2769" t="str">
            <v>Lichens</v>
          </cell>
          <cell r="C2769" t="str">
            <v>Mycophycophyta</v>
          </cell>
          <cell r="D2769" t="str">
            <v>Placynthium tantaleum</v>
          </cell>
          <cell r="E2769" t="str">
            <v>LC</v>
          </cell>
          <cell r="F2769" t="str">
            <v>Woods &amp; Coppins, 2012</v>
          </cell>
          <cell r="G2769" t="str">
            <v>NBNSYS0000019348</v>
          </cell>
          <cell r="H2769" t="str">
            <v>Placynthium tantaleum</v>
          </cell>
        </row>
        <row r="2770">
          <cell r="A2770" t="str">
            <v>Platismatia glauca</v>
          </cell>
          <cell r="B2770" t="str">
            <v>Lichens</v>
          </cell>
          <cell r="C2770" t="str">
            <v>Mycophycophyta</v>
          </cell>
          <cell r="D2770" t="str">
            <v>Platismatia glauca</v>
          </cell>
          <cell r="E2770" t="str">
            <v>LC</v>
          </cell>
          <cell r="F2770" t="str">
            <v>Woods &amp; Coppins, 2012</v>
          </cell>
          <cell r="G2770" t="str">
            <v>NHMSYS0001493938</v>
          </cell>
          <cell r="H2770" t="str">
            <v>Platismatia glauca</v>
          </cell>
        </row>
        <row r="2771">
          <cell r="A2771" t="str">
            <v>Platismatia norvegica</v>
          </cell>
          <cell r="B2771" t="str">
            <v>Lichens</v>
          </cell>
          <cell r="C2771" t="str">
            <v>Mycophycophyta</v>
          </cell>
          <cell r="D2771" t="str">
            <v>Platismatia norvegica</v>
          </cell>
          <cell r="E2771" t="str">
            <v>LC</v>
          </cell>
          <cell r="F2771" t="str">
            <v>Woods &amp; Coppins, 2012</v>
          </cell>
          <cell r="G2771" t="str">
            <v>NBNSYS0000018951</v>
          </cell>
          <cell r="H2771" t="str">
            <v>Platismatia norvegica</v>
          </cell>
        </row>
        <row r="2772">
          <cell r="A2772" t="str">
            <v>Plectocarpon lichenum</v>
          </cell>
          <cell r="B2772" t="str">
            <v>Lichens</v>
          </cell>
          <cell r="C2772" t="str">
            <v>Mycophycophyta</v>
          </cell>
          <cell r="D2772" t="str">
            <v>Plectocarpon lichenum</v>
          </cell>
          <cell r="E2772" t="str">
            <v>LC</v>
          </cell>
          <cell r="F2772" t="str">
            <v>Woods &amp; Coppins, 2012</v>
          </cell>
          <cell r="G2772" t="str">
            <v>NHMSYS0001493961</v>
          </cell>
          <cell r="H2772" t="str">
            <v>Plectocarpon lichenum</v>
          </cell>
        </row>
        <row r="2773">
          <cell r="A2773" t="str">
            <v>Pleurosticta acetabulum</v>
          </cell>
          <cell r="B2773" t="str">
            <v>Lichens</v>
          </cell>
          <cell r="C2773" t="str">
            <v>Mycophycophyta</v>
          </cell>
          <cell r="D2773" t="str">
            <v>Pleurosticta acetabulum</v>
          </cell>
          <cell r="E2773" t="str">
            <v>LC</v>
          </cell>
          <cell r="F2773" t="str">
            <v>Woods &amp; Coppins, 2012</v>
          </cell>
          <cell r="G2773" t="str">
            <v>NBNSYS0000018864</v>
          </cell>
          <cell r="H2773" t="str">
            <v>Pleurosticta acetabulum</v>
          </cell>
        </row>
        <row r="2774">
          <cell r="A2774" t="str">
            <v>Poeltinula cerebrina</v>
          </cell>
          <cell r="B2774" t="str">
            <v>Lichens</v>
          </cell>
          <cell r="C2774" t="str">
            <v>Mycophycophyta</v>
          </cell>
          <cell r="D2774" t="str">
            <v>Poeltinula cerebrina</v>
          </cell>
          <cell r="E2774" t="str">
            <v>VU</v>
          </cell>
          <cell r="F2774" t="str">
            <v>Woods &amp; Coppins, 2012</v>
          </cell>
          <cell r="G2774" t="str">
            <v>NBNSYS0000018477</v>
          </cell>
          <cell r="H2774" t="str">
            <v>Poeltinula cerebrina</v>
          </cell>
        </row>
        <row r="2775">
          <cell r="A2775" t="str">
            <v>Polyblastia agraria</v>
          </cell>
          <cell r="B2775" t="str">
            <v>Lichens</v>
          </cell>
          <cell r="C2775" t="str">
            <v>Mycophycophyta</v>
          </cell>
          <cell r="D2775" t="str">
            <v>Polyblastia agraria</v>
          </cell>
          <cell r="E2775" t="str">
            <v>LC</v>
          </cell>
          <cell r="F2775" t="str">
            <v>Woods &amp; Coppins, 2012</v>
          </cell>
          <cell r="G2775" t="str">
            <v>NHMSYS0001494357</v>
          </cell>
          <cell r="H2775" t="str">
            <v>Polyblastia agraria</v>
          </cell>
        </row>
        <row r="2776">
          <cell r="A2776" t="str">
            <v>Polyblastia albida</v>
          </cell>
          <cell r="B2776" t="str">
            <v>Lichens</v>
          </cell>
          <cell r="C2776" t="str">
            <v>Mycophycophyta</v>
          </cell>
          <cell r="D2776" t="str">
            <v>Polyblastia albida</v>
          </cell>
          <cell r="E2776" t="str">
            <v>LC</v>
          </cell>
          <cell r="F2776" t="str">
            <v>Woods &amp; Coppins, 2012</v>
          </cell>
          <cell r="G2776" t="str">
            <v>NBNSYS0000020617</v>
          </cell>
          <cell r="H2776" t="str">
            <v>Polyblastia albida</v>
          </cell>
        </row>
        <row r="2777">
          <cell r="A2777" t="str">
            <v>Polyblastia cruenta</v>
          </cell>
          <cell r="B2777" t="str">
            <v>Lichens</v>
          </cell>
          <cell r="C2777" t="str">
            <v>Mycophycophyta</v>
          </cell>
          <cell r="D2777" t="str">
            <v>Polyblastia cruenta</v>
          </cell>
          <cell r="E2777" t="str">
            <v>LC</v>
          </cell>
          <cell r="F2777" t="str">
            <v>Woods &amp; Coppins, 2012</v>
          </cell>
          <cell r="G2777" t="str">
            <v>NHMSYS0020990881</v>
          </cell>
          <cell r="H2777" t="str">
            <v>Polyblastia cruenta</v>
          </cell>
        </row>
        <row r="2778">
          <cell r="A2778" t="str">
            <v>Polyblastia cupularis</v>
          </cell>
          <cell r="B2778" t="str">
            <v>Lichens</v>
          </cell>
          <cell r="C2778" t="str">
            <v>Mycophycophyta</v>
          </cell>
          <cell r="D2778" t="str">
            <v>Polyblastia cupularis</v>
          </cell>
          <cell r="E2778" t="str">
            <v>LC</v>
          </cell>
          <cell r="F2778" t="str">
            <v>Woods &amp; Coppins, 2012</v>
          </cell>
          <cell r="G2778" t="str">
            <v>NBNSYS0000020620</v>
          </cell>
          <cell r="H2778" t="str">
            <v>Polyblastia cupularis</v>
          </cell>
        </row>
        <row r="2779">
          <cell r="A2779" t="str">
            <v>Polyblastia deminuta</v>
          </cell>
          <cell r="B2779" t="str">
            <v>Lichens</v>
          </cell>
          <cell r="C2779" t="str">
            <v>Mycophycophyta</v>
          </cell>
          <cell r="D2779" t="str">
            <v>Polyblastia deminuta</v>
          </cell>
          <cell r="E2779" t="str">
            <v>LC</v>
          </cell>
          <cell r="F2779" t="str">
            <v>Woods &amp; Coppins, 2012</v>
          </cell>
          <cell r="G2779" t="str">
            <v>NHMSYS0000362925</v>
          </cell>
          <cell r="H2779" t="str">
            <v>Polyblastia deminuta</v>
          </cell>
        </row>
        <row r="2780">
          <cell r="A2780" t="str">
            <v>Polyblastia dermatodes</v>
          </cell>
          <cell r="B2780" t="str">
            <v>Lichens</v>
          </cell>
          <cell r="C2780" t="str">
            <v>Mycophycophyta</v>
          </cell>
          <cell r="D2780" t="str">
            <v>Polyblastia dermatodes</v>
          </cell>
          <cell r="E2780" t="str">
            <v>LC</v>
          </cell>
          <cell r="F2780" t="str">
            <v>Woods &amp; Coppins, 2012</v>
          </cell>
          <cell r="G2780" t="str">
            <v>NHMSYS0001494361</v>
          </cell>
          <cell r="H2780" t="str">
            <v>Polyblastia dermatodes</v>
          </cell>
        </row>
        <row r="2781">
          <cell r="A2781" t="str">
            <v>Polyblastia melaspora</v>
          </cell>
          <cell r="B2781" t="str">
            <v>Lichens</v>
          </cell>
          <cell r="C2781" t="str">
            <v>Mycophycophyta</v>
          </cell>
          <cell r="D2781" t="str">
            <v>Polyblastia melaspora</v>
          </cell>
          <cell r="E2781" t="str">
            <v>LC</v>
          </cell>
          <cell r="F2781" t="str">
            <v>Woods &amp; Coppins, 2012</v>
          </cell>
          <cell r="G2781" t="str">
            <v>NHMSYS0020990275</v>
          </cell>
          <cell r="H2781" t="str">
            <v>Polyblastia melaspora</v>
          </cell>
        </row>
        <row r="2782">
          <cell r="A2782" t="str">
            <v>Polyblastia schaereriana</v>
          </cell>
          <cell r="B2782" t="str">
            <v>Lichens</v>
          </cell>
          <cell r="C2782" t="str">
            <v>Mycophycophyta</v>
          </cell>
          <cell r="D2782" t="str">
            <v>Polyblastia schaereriana</v>
          </cell>
          <cell r="E2782" t="str">
            <v>LC</v>
          </cell>
          <cell r="F2782" t="str">
            <v>Woods &amp; Coppins, 2012</v>
          </cell>
          <cell r="G2782" t="str">
            <v>NHMSYS0020990882</v>
          </cell>
          <cell r="H2782" t="str">
            <v>Polyblastia schaereriana</v>
          </cell>
        </row>
        <row r="2783">
          <cell r="A2783" t="str">
            <v>Polyblastia terrestris</v>
          </cell>
          <cell r="B2783" t="str">
            <v>Lichens</v>
          </cell>
          <cell r="C2783" t="str">
            <v>Mycophycophyta</v>
          </cell>
          <cell r="D2783" t="str">
            <v>Polyblastia terrestris</v>
          </cell>
          <cell r="E2783" t="str">
            <v>NT</v>
          </cell>
          <cell r="F2783" t="str">
            <v>Woods &amp; Coppins, 2012</v>
          </cell>
          <cell r="G2783" t="str">
            <v>NHMSYS0020990883</v>
          </cell>
          <cell r="H2783" t="str">
            <v>Polyblastia terrestris</v>
          </cell>
        </row>
        <row r="2784">
          <cell r="A2784" t="str">
            <v>Polychidium dendriscum</v>
          </cell>
          <cell r="B2784" t="str">
            <v>Lichens</v>
          </cell>
          <cell r="C2784" t="str">
            <v>Mycophycophyta</v>
          </cell>
          <cell r="D2784" t="str">
            <v>Polychidium dendriscum</v>
          </cell>
          <cell r="E2784" t="str">
            <v>VU</v>
          </cell>
          <cell r="F2784" t="str">
            <v>Woods &amp; Coppins, 2012</v>
          </cell>
          <cell r="G2784" t="str">
            <v>BMSSYS0000010306</v>
          </cell>
          <cell r="H2784" t="str">
            <v>Polychidium dendriscum</v>
          </cell>
        </row>
        <row r="2785">
          <cell r="A2785" t="str">
            <v>Polychidium muscicola</v>
          </cell>
          <cell r="B2785" t="str">
            <v>Lichens</v>
          </cell>
          <cell r="C2785" t="str">
            <v>Mycophycophyta</v>
          </cell>
          <cell r="D2785" t="str">
            <v>Polychidium muscicola</v>
          </cell>
          <cell r="E2785" t="str">
            <v>LC</v>
          </cell>
          <cell r="F2785" t="str">
            <v>Woods &amp; Coppins, 2012</v>
          </cell>
          <cell r="G2785" t="str">
            <v>NBNSYS0000018953</v>
          </cell>
          <cell r="H2785" t="str">
            <v>Polychidium muscicola</v>
          </cell>
        </row>
        <row r="2786">
          <cell r="A2786" t="str">
            <v>Polycoccum pulvinatum</v>
          </cell>
          <cell r="B2786" t="str">
            <v>Lichens</v>
          </cell>
          <cell r="C2786" t="str">
            <v>Mycophycophyta</v>
          </cell>
          <cell r="D2786" t="str">
            <v>Polycoccum pulvinatum</v>
          </cell>
          <cell r="E2786" t="str">
            <v>LC</v>
          </cell>
          <cell r="F2786" t="str">
            <v>Woods &amp; Coppins, 2012</v>
          </cell>
          <cell r="G2786" t="str">
            <v>NBNSYS0000016532</v>
          </cell>
          <cell r="H2786" t="str">
            <v>Polycoccum pulvinatum</v>
          </cell>
        </row>
        <row r="2787">
          <cell r="A2787" t="str">
            <v>Polysporina simplex</v>
          </cell>
          <cell r="B2787" t="str">
            <v>Lichens</v>
          </cell>
          <cell r="C2787" t="str">
            <v>Mycophycophyta</v>
          </cell>
          <cell r="D2787" t="str">
            <v>Polysporina simplex</v>
          </cell>
          <cell r="E2787" t="str">
            <v>LC</v>
          </cell>
          <cell r="F2787" t="str">
            <v>Woods &amp; Coppins, 2012</v>
          </cell>
          <cell r="G2787" t="str">
            <v>NHMSYS0001494552</v>
          </cell>
          <cell r="H2787" t="str">
            <v>Polysporina simplex</v>
          </cell>
        </row>
        <row r="2788">
          <cell r="A2788" t="str">
            <v>Polysporina subfuscescens</v>
          </cell>
          <cell r="B2788" t="str">
            <v>Lichens</v>
          </cell>
          <cell r="C2788" t="str">
            <v>Mycophycophyta</v>
          </cell>
          <cell r="D2788" t="str">
            <v>Polysporina subfuscescens</v>
          </cell>
          <cell r="E2788" t="str">
            <v>LC</v>
          </cell>
          <cell r="F2788" t="str">
            <v>Woods &amp; Coppins, 2012</v>
          </cell>
          <cell r="G2788" t="str">
            <v>NHMSYS0021576493</v>
          </cell>
          <cell r="H2788" t="str">
            <v>Polysporina subfuscescens</v>
          </cell>
        </row>
        <row r="2789">
          <cell r="A2789" t="str">
            <v>Porina aenea</v>
          </cell>
          <cell r="B2789" t="str">
            <v>Lichens</v>
          </cell>
          <cell r="C2789" t="str">
            <v>Mycophycophyta</v>
          </cell>
          <cell r="D2789" t="str">
            <v>Porina aenea</v>
          </cell>
          <cell r="E2789" t="str">
            <v>LC</v>
          </cell>
          <cell r="F2789" t="str">
            <v>Woods &amp; Coppins, 2012</v>
          </cell>
          <cell r="G2789" t="str">
            <v>NBNSYS0000154736</v>
          </cell>
          <cell r="H2789" t="str">
            <v>Porina aenea</v>
          </cell>
        </row>
        <row r="2790">
          <cell r="A2790" t="str">
            <v>Porina ahlesiana</v>
          </cell>
          <cell r="B2790" t="str">
            <v>Lichens</v>
          </cell>
          <cell r="C2790" t="str">
            <v>Mycophycophyta</v>
          </cell>
          <cell r="D2790" t="str">
            <v>Porina ahlesiana</v>
          </cell>
          <cell r="E2790" t="str">
            <v>NT</v>
          </cell>
          <cell r="F2790" t="str">
            <v>Woods &amp; Coppins, 2012</v>
          </cell>
          <cell r="G2790" t="str">
            <v>NBNSYS0000019883</v>
          </cell>
          <cell r="H2790" t="str">
            <v>Porina ahlesiana</v>
          </cell>
        </row>
        <row r="2791">
          <cell r="A2791" t="str">
            <v>Porina borreri</v>
          </cell>
          <cell r="B2791" t="str">
            <v>Lichens</v>
          </cell>
          <cell r="C2791" t="str">
            <v>Mycophycophyta</v>
          </cell>
          <cell r="D2791" t="str">
            <v>Porina borreri</v>
          </cell>
          <cell r="E2791" t="str">
            <v>LC</v>
          </cell>
          <cell r="F2791" t="str">
            <v>Woods &amp; Coppins, 2012</v>
          </cell>
          <cell r="G2791" t="str">
            <v>NBNSYS0000019884</v>
          </cell>
          <cell r="H2791" t="str">
            <v>Porina borreri</v>
          </cell>
        </row>
        <row r="2792">
          <cell r="A2792" t="str">
            <v>Porina coralloidea</v>
          </cell>
          <cell r="B2792" t="str">
            <v>Lichens</v>
          </cell>
          <cell r="C2792" t="str">
            <v>Mycophycophyta</v>
          </cell>
          <cell r="D2792" t="str">
            <v>Porina coralloidea</v>
          </cell>
          <cell r="E2792" t="str">
            <v>LC</v>
          </cell>
          <cell r="F2792" t="str">
            <v>Woods &amp; Coppins, 2012</v>
          </cell>
          <cell r="G2792" t="str">
            <v>NHMSYS0001494643</v>
          </cell>
          <cell r="H2792" t="str">
            <v>Porina coralloidea</v>
          </cell>
        </row>
        <row r="2793">
          <cell r="A2793" t="str">
            <v>Porina curnowii</v>
          </cell>
          <cell r="B2793" t="str">
            <v>Lichens</v>
          </cell>
          <cell r="C2793" t="str">
            <v>Mycophycophyta</v>
          </cell>
          <cell r="D2793" t="str">
            <v>Porina curnowii</v>
          </cell>
          <cell r="E2793" t="str">
            <v>NT</v>
          </cell>
          <cell r="F2793" t="str">
            <v>Woods &amp; Coppins, 2012</v>
          </cell>
          <cell r="G2793" t="str">
            <v>NBNSYS0000019888</v>
          </cell>
          <cell r="H2793" t="str">
            <v>Porina curnowii</v>
          </cell>
        </row>
        <row r="2794">
          <cell r="A2794" t="str">
            <v>Porina effilata</v>
          </cell>
          <cell r="B2794" t="str">
            <v>Lichens</v>
          </cell>
          <cell r="C2794" t="str">
            <v>Mycophycophyta</v>
          </cell>
          <cell r="D2794" t="str">
            <v>Porina effilata</v>
          </cell>
          <cell r="E2794" t="str">
            <v>CR</v>
          </cell>
          <cell r="F2794" t="str">
            <v>Woods &amp; Coppins, 2012</v>
          </cell>
          <cell r="G2794" t="str">
            <v>NHMSYS0020039039</v>
          </cell>
          <cell r="H2794" t="str">
            <v>Porina effilata</v>
          </cell>
        </row>
        <row r="2795">
          <cell r="A2795" t="str">
            <v>Porina guentheri var. guentheri, Porina guentheri var. lucens</v>
          </cell>
          <cell r="B2795" t="str">
            <v>Lichens</v>
          </cell>
          <cell r="C2795" t="str">
            <v>Mycophycophyta</v>
          </cell>
          <cell r="D2795" t="str">
            <v>Porina guentheri (var. guentheri/var. lucens)</v>
          </cell>
          <cell r="E2795" t="str">
            <v>LC</v>
          </cell>
          <cell r="F2795" t="str">
            <v>Woods &amp; Coppins, 2012</v>
          </cell>
          <cell r="G2795" t="str">
            <v>NBNSYS0000019889</v>
          </cell>
          <cell r="H2795" t="str">
            <v>Porina guentheri var. guentheri, Porina guentheri var. lucens</v>
          </cell>
        </row>
        <row r="2796">
          <cell r="A2796" t="str">
            <v>Porina hibernica</v>
          </cell>
          <cell r="B2796" t="str">
            <v>Lichens</v>
          </cell>
          <cell r="C2796" t="str">
            <v>Mycophycophyta</v>
          </cell>
          <cell r="D2796" t="str">
            <v>Porina hibernica</v>
          </cell>
          <cell r="E2796" t="str">
            <v>NT</v>
          </cell>
          <cell r="F2796" t="str">
            <v>Woods &amp; Coppins, 2012</v>
          </cell>
          <cell r="G2796" t="str">
            <v>NHMSYS0001494649</v>
          </cell>
          <cell r="H2796" t="str">
            <v>Porina hibernica</v>
          </cell>
        </row>
        <row r="2797">
          <cell r="A2797" t="str">
            <v>Porina interjungens</v>
          </cell>
          <cell r="B2797" t="str">
            <v>Lichens</v>
          </cell>
          <cell r="C2797" t="str">
            <v>Mycophycophyta</v>
          </cell>
          <cell r="D2797" t="str">
            <v>Porina interjungens</v>
          </cell>
          <cell r="E2797" t="str">
            <v>NT</v>
          </cell>
          <cell r="F2797" t="str">
            <v>Woods &amp; Coppins, 2012</v>
          </cell>
          <cell r="G2797" t="str">
            <v>NBNSYS0000019894</v>
          </cell>
          <cell r="H2797" t="str">
            <v>Porina interjungens</v>
          </cell>
        </row>
        <row r="2798">
          <cell r="A2798" t="str">
            <v>Porina lectissima</v>
          </cell>
          <cell r="B2798" t="str">
            <v>Lichens</v>
          </cell>
          <cell r="C2798" t="str">
            <v>Mycophycophyta</v>
          </cell>
          <cell r="D2798" t="str">
            <v>Porina lectissima</v>
          </cell>
          <cell r="E2798" t="str">
            <v>LC</v>
          </cell>
          <cell r="F2798" t="str">
            <v>Woods &amp; Coppins, 2012</v>
          </cell>
          <cell r="G2798" t="str">
            <v>NBNSYS0000019895</v>
          </cell>
          <cell r="H2798" t="str">
            <v>Porina lectissima</v>
          </cell>
        </row>
        <row r="2799">
          <cell r="A2799" t="str">
            <v>Porina leptalea</v>
          </cell>
          <cell r="B2799" t="str">
            <v>Lichens</v>
          </cell>
          <cell r="C2799" t="str">
            <v>Mycophycophyta</v>
          </cell>
          <cell r="D2799" t="str">
            <v>Porina leptalea</v>
          </cell>
          <cell r="E2799" t="str">
            <v>LC</v>
          </cell>
          <cell r="F2799" t="str">
            <v>Woods &amp; Coppins, 2012</v>
          </cell>
          <cell r="G2799" t="str">
            <v>NBNSYS0000019896</v>
          </cell>
          <cell r="H2799" t="str">
            <v>Porina leptalea</v>
          </cell>
        </row>
        <row r="2800">
          <cell r="A2800" t="str">
            <v>Porina leptospora</v>
          </cell>
          <cell r="B2800" t="str">
            <v>Lichens</v>
          </cell>
          <cell r="C2800" t="str">
            <v>Mycophycophyta</v>
          </cell>
          <cell r="D2800" t="str">
            <v>Porina leptospora</v>
          </cell>
          <cell r="E2800" t="str">
            <v>NT</v>
          </cell>
          <cell r="F2800" t="str">
            <v>Woods &amp; Coppins, 2012</v>
          </cell>
          <cell r="G2800" t="str">
            <v>BMSSYS0000015246</v>
          </cell>
          <cell r="H2800" t="str">
            <v>Porina leptospora</v>
          </cell>
        </row>
        <row r="2801">
          <cell r="A2801" t="str">
            <v>Porina linearis</v>
          </cell>
          <cell r="B2801" t="str">
            <v>Lichens</v>
          </cell>
          <cell r="C2801" t="str">
            <v>Mycophycophyta</v>
          </cell>
          <cell r="D2801" t="str">
            <v>Porina linearis</v>
          </cell>
          <cell r="E2801" t="str">
            <v>LC</v>
          </cell>
          <cell r="F2801" t="str">
            <v>Woods &amp; Coppins, 2012</v>
          </cell>
          <cell r="G2801" t="str">
            <v>NHMSYS0001494651</v>
          </cell>
          <cell r="H2801" t="str">
            <v>Porina linearis</v>
          </cell>
        </row>
        <row r="2802">
          <cell r="A2802" t="str">
            <v>Porina rosei</v>
          </cell>
          <cell r="B2802" t="str">
            <v>Lichens</v>
          </cell>
          <cell r="C2802" t="str">
            <v>Mycophycophyta</v>
          </cell>
          <cell r="D2802" t="str">
            <v>Porina rosei</v>
          </cell>
          <cell r="E2802" t="str">
            <v>NT</v>
          </cell>
          <cell r="F2802" t="str">
            <v>Woods &amp; Coppins, 2012</v>
          </cell>
          <cell r="G2802" t="str">
            <v>NHMSYS0001494656</v>
          </cell>
          <cell r="H2802" t="str">
            <v>Porina rosei</v>
          </cell>
        </row>
        <row r="2803">
          <cell r="A2803" t="str">
            <v>Porina sudetica</v>
          </cell>
          <cell r="B2803" t="str">
            <v>Lichens</v>
          </cell>
          <cell r="C2803" t="str">
            <v>Mycophycophyta</v>
          </cell>
          <cell r="D2803" t="str">
            <v>Porina sudetica</v>
          </cell>
          <cell r="E2803" t="str">
            <v>VU</v>
          </cell>
          <cell r="F2803" t="str">
            <v>Woods &amp; Coppins, 2012</v>
          </cell>
          <cell r="G2803" t="str">
            <v>NBNSYS0000039717</v>
          </cell>
          <cell r="H2803" t="str">
            <v>Porina sudetica</v>
          </cell>
        </row>
        <row r="2804">
          <cell r="A2804" t="str">
            <v>Porocyphus coccodes</v>
          </cell>
          <cell r="B2804" t="str">
            <v>Lichens</v>
          </cell>
          <cell r="C2804" t="str">
            <v>Mycophycophyta</v>
          </cell>
          <cell r="D2804" t="str">
            <v>Porocyphus coccodes</v>
          </cell>
          <cell r="E2804" t="str">
            <v>LC</v>
          </cell>
          <cell r="F2804" t="str">
            <v>Woods &amp; Coppins, 2012</v>
          </cell>
          <cell r="G2804" t="str">
            <v>NHMSYS0001494659</v>
          </cell>
          <cell r="H2804" t="str">
            <v>Porocyphus coccodes</v>
          </cell>
        </row>
        <row r="2805">
          <cell r="A2805" t="str">
            <v>Porocyphus kenmorensis</v>
          </cell>
          <cell r="B2805" t="str">
            <v>Lichens</v>
          </cell>
          <cell r="C2805" t="str">
            <v>Mycophycophyta</v>
          </cell>
          <cell r="D2805" t="str">
            <v>Porocyphus kenmorensis</v>
          </cell>
          <cell r="E2805" t="str">
            <v>NT</v>
          </cell>
          <cell r="F2805" t="str">
            <v>Woods &amp; Coppins, 2012</v>
          </cell>
          <cell r="G2805" t="str">
            <v>NHMSYS0001494660</v>
          </cell>
          <cell r="H2805" t="str">
            <v>Porocyphus kenmorensis</v>
          </cell>
        </row>
        <row r="2806">
          <cell r="A2806" t="str">
            <v>Porocyphus leptogiella</v>
          </cell>
          <cell r="B2806" t="str">
            <v>Lichens</v>
          </cell>
          <cell r="C2806" t="str">
            <v>Mycophycophyta</v>
          </cell>
          <cell r="D2806" t="str">
            <v>Porocyphus leptogiella</v>
          </cell>
          <cell r="E2806" t="str">
            <v>NT</v>
          </cell>
          <cell r="F2806" t="str">
            <v>Woods &amp; Coppins, 2012</v>
          </cell>
          <cell r="G2806" t="str">
            <v>NHMSYS0001494661</v>
          </cell>
          <cell r="H2806" t="str">
            <v>Porocyphus leptogiella</v>
          </cell>
        </row>
        <row r="2807">
          <cell r="A2807" t="str">
            <v>Porpidia cinereoatra</v>
          </cell>
          <cell r="B2807" t="str">
            <v>Lichens</v>
          </cell>
          <cell r="C2807" t="str">
            <v>Mycophycophyta</v>
          </cell>
          <cell r="D2807" t="str">
            <v>Porpidia cinereoatra</v>
          </cell>
          <cell r="E2807" t="str">
            <v>LC</v>
          </cell>
          <cell r="F2807" t="str">
            <v>Woods &amp; Coppins, 2012</v>
          </cell>
          <cell r="G2807" t="str">
            <v>NBNSYS0000018513</v>
          </cell>
          <cell r="H2807" t="str">
            <v>Porpidia cinereoatra</v>
          </cell>
        </row>
        <row r="2808">
          <cell r="A2808" t="str">
            <v>Porpidia contraponenda</v>
          </cell>
          <cell r="B2808" t="str">
            <v>Lichens</v>
          </cell>
          <cell r="C2808" t="str">
            <v>Mycophycophyta</v>
          </cell>
          <cell r="D2808" t="str">
            <v>Porpidia contraponenda</v>
          </cell>
          <cell r="E2808" t="str">
            <v>LC</v>
          </cell>
          <cell r="F2808" t="str">
            <v>Woods &amp; Coppins, 2012</v>
          </cell>
          <cell r="G2808" t="str">
            <v>NBNSYS0000039720</v>
          </cell>
          <cell r="H2808" t="str">
            <v>Porpidia contraponenda</v>
          </cell>
        </row>
        <row r="2809">
          <cell r="A2809" t="str">
            <v>Porpidia crustulata</v>
          </cell>
          <cell r="B2809" t="str">
            <v>Lichens</v>
          </cell>
          <cell r="C2809" t="str">
            <v>Mycophycophyta</v>
          </cell>
          <cell r="D2809" t="str">
            <v>Porpidia crustulata</v>
          </cell>
          <cell r="E2809" t="str">
            <v>LC</v>
          </cell>
          <cell r="F2809" t="str">
            <v>Woods &amp; Coppins, 2012</v>
          </cell>
          <cell r="G2809" t="str">
            <v>NBNSYS0000018515</v>
          </cell>
          <cell r="H2809" t="str">
            <v>Porpidia crustulata</v>
          </cell>
        </row>
        <row r="2810">
          <cell r="A2810" t="str">
            <v>Porpidia flavicunda</v>
          </cell>
          <cell r="B2810" t="str">
            <v>Lichens</v>
          </cell>
          <cell r="C2810" t="str">
            <v>Mycophycophyta</v>
          </cell>
          <cell r="D2810" t="str">
            <v>Porpidia flavicunda</v>
          </cell>
          <cell r="E2810" t="str">
            <v>LC</v>
          </cell>
          <cell r="F2810" t="str">
            <v>Woods &amp; Coppins, 2012</v>
          </cell>
          <cell r="G2810" t="str">
            <v>NBNSYS0000039721</v>
          </cell>
          <cell r="H2810" t="str">
            <v>Porpidia flavicunda</v>
          </cell>
        </row>
        <row r="2811">
          <cell r="A2811" t="str">
            <v>Porpidia flavocruenta</v>
          </cell>
          <cell r="B2811" t="str">
            <v>Lichens</v>
          </cell>
          <cell r="C2811" t="str">
            <v>Mycophycophyta</v>
          </cell>
          <cell r="D2811" t="str">
            <v>Porpidia flavocruenta</v>
          </cell>
          <cell r="E2811" t="str">
            <v>LC</v>
          </cell>
          <cell r="F2811" t="str">
            <v>Woods &amp; Coppins, 2012</v>
          </cell>
          <cell r="G2811" t="str">
            <v>NHMSYS0020039040</v>
          </cell>
          <cell r="H2811" t="str">
            <v>Porpidia flavocruenta</v>
          </cell>
        </row>
        <row r="2812">
          <cell r="A2812" t="str">
            <v>Porpidia hydrophila</v>
          </cell>
          <cell r="B2812" t="str">
            <v>Lichens</v>
          </cell>
          <cell r="C2812" t="str">
            <v>Mycophycophyta</v>
          </cell>
          <cell r="D2812" t="str">
            <v>Porpidia hydrophila</v>
          </cell>
          <cell r="E2812" t="str">
            <v>LC</v>
          </cell>
          <cell r="F2812" t="str">
            <v>Woods &amp; Coppins, 2012</v>
          </cell>
          <cell r="G2812" t="str">
            <v>NBNSYS0000018518</v>
          </cell>
          <cell r="H2812" t="str">
            <v>Porpidia hydrophila</v>
          </cell>
        </row>
        <row r="2813">
          <cell r="A2813" t="str">
            <v>Porpidia macrocarpa f. macrocarpa, Porpidia macrocarpa f. nigrocruenta</v>
          </cell>
          <cell r="B2813" t="str">
            <v>Lichens</v>
          </cell>
          <cell r="C2813" t="str">
            <v>Mycophycophyta</v>
          </cell>
          <cell r="D2813" t="str">
            <v>Porpidia macrocarpa (f. macrocarpa/f. nigrocruenta)</v>
          </cell>
          <cell r="E2813" t="str">
            <v>LC</v>
          </cell>
          <cell r="F2813" t="str">
            <v>Woods &amp; Coppins, 2012</v>
          </cell>
          <cell r="G2813" t="str">
            <v>NHMSYS0001494687</v>
          </cell>
          <cell r="H2813" t="str">
            <v>Porpidia macrocarpa f. macrocarpa, Porpidia macrocarpa f. nigrocruenta</v>
          </cell>
        </row>
        <row r="2814">
          <cell r="A2814" t="str">
            <v>Porpidia melinodes</v>
          </cell>
          <cell r="B2814" t="str">
            <v>Lichens</v>
          </cell>
          <cell r="C2814" t="str">
            <v>Mycophycophyta</v>
          </cell>
          <cell r="D2814" t="str">
            <v>Porpidia melinodes</v>
          </cell>
          <cell r="E2814" t="str">
            <v>LC</v>
          </cell>
          <cell r="F2814" t="str">
            <v>Woods &amp; Coppins, 2012</v>
          </cell>
          <cell r="G2814" t="str">
            <v>BMSSYS0000015264</v>
          </cell>
          <cell r="H2814" t="str">
            <v>Porpidia melinodes</v>
          </cell>
        </row>
        <row r="2815">
          <cell r="A2815" t="str">
            <v>Porpidia platycarpoides</v>
          </cell>
          <cell r="B2815" t="str">
            <v>Lichens</v>
          </cell>
          <cell r="C2815" t="str">
            <v>Mycophycophyta</v>
          </cell>
          <cell r="D2815" t="str">
            <v>Porpidia platycarpoides</v>
          </cell>
          <cell r="E2815" t="str">
            <v>LC</v>
          </cell>
          <cell r="F2815" t="str">
            <v>Woods &amp; Coppins, 2012</v>
          </cell>
          <cell r="G2815" t="str">
            <v>NBNSYS0000018522</v>
          </cell>
          <cell r="H2815" t="str">
            <v>Porpidia platycarpoides</v>
          </cell>
        </row>
        <row r="2816">
          <cell r="A2816" t="str">
            <v>Porpidia rugosa</v>
          </cell>
          <cell r="B2816" t="str">
            <v>Lichens</v>
          </cell>
          <cell r="C2816" t="str">
            <v>Mycophycophyta</v>
          </cell>
          <cell r="D2816" t="str">
            <v>Porpidia rugosa</v>
          </cell>
          <cell r="E2816" t="str">
            <v>LC</v>
          </cell>
          <cell r="F2816" t="str">
            <v>Woods &amp; Coppins, 2012</v>
          </cell>
          <cell r="G2816" t="str">
            <v>NHMSYS0001494695</v>
          </cell>
          <cell r="H2816" t="str">
            <v>Porpidia rugosa</v>
          </cell>
        </row>
        <row r="2817">
          <cell r="A2817" t="str">
            <v>Porpidia soredizodes</v>
          </cell>
          <cell r="B2817" t="str">
            <v>Lichens</v>
          </cell>
          <cell r="C2817" t="str">
            <v>Mycophycophyta</v>
          </cell>
          <cell r="D2817" t="str">
            <v>Porpidia soredizodes</v>
          </cell>
          <cell r="E2817" t="str">
            <v>LC</v>
          </cell>
          <cell r="F2817" t="str">
            <v>Woods &amp; Coppins, 2012</v>
          </cell>
          <cell r="G2817" t="str">
            <v>NBNSYS0000018523</v>
          </cell>
          <cell r="H2817" t="str">
            <v>Porpidia soredizodes</v>
          </cell>
        </row>
        <row r="2818">
          <cell r="A2818" t="str">
            <v>Porpidia speirea</v>
          </cell>
          <cell r="B2818" t="str">
            <v>Lichens</v>
          </cell>
          <cell r="C2818" t="str">
            <v>Mycophycophyta</v>
          </cell>
          <cell r="D2818" t="str">
            <v>Porpidia speirea</v>
          </cell>
          <cell r="E2818" t="str">
            <v>LC</v>
          </cell>
          <cell r="F2818" t="str">
            <v>Woods &amp; Coppins, 2012</v>
          </cell>
          <cell r="G2818" t="str">
            <v>NBNSYS0000018718</v>
          </cell>
          <cell r="H2818" t="str">
            <v>Porpidia speirea</v>
          </cell>
        </row>
        <row r="2819">
          <cell r="A2819" t="str">
            <v>Porpidia striata</v>
          </cell>
          <cell r="B2819" t="str">
            <v>Lichens</v>
          </cell>
          <cell r="C2819" t="str">
            <v>Mycophycophyta</v>
          </cell>
          <cell r="D2819" t="str">
            <v>Porpidia striata</v>
          </cell>
          <cell r="E2819" t="str">
            <v>LC</v>
          </cell>
          <cell r="F2819" t="str">
            <v>Woods &amp; Coppins, 2012</v>
          </cell>
          <cell r="G2819" t="str">
            <v>NHMSYS0001494696</v>
          </cell>
          <cell r="H2819" t="str">
            <v>Porpidia striata</v>
          </cell>
        </row>
        <row r="2820">
          <cell r="A2820" t="str">
            <v>Porpidia superba f. sorediata, Porpidia superba f. superba</v>
          </cell>
          <cell r="B2820" t="str">
            <v>Lichens</v>
          </cell>
          <cell r="C2820" t="str">
            <v>Mycophycophyta</v>
          </cell>
          <cell r="D2820" t="str">
            <v>Porpidia superba (f. sorediata/ f. superba)</v>
          </cell>
          <cell r="E2820" t="str">
            <v>LC</v>
          </cell>
          <cell r="F2820" t="str">
            <v>Woods &amp; Coppins, 2012</v>
          </cell>
          <cell r="G2820" t="str">
            <v>NBNSYS0000039722</v>
          </cell>
          <cell r="H2820" t="str">
            <v>Porpidia superba f. sorediata, Porpidia superba f. superba</v>
          </cell>
        </row>
        <row r="2821">
          <cell r="A2821" t="str">
            <v>Porpidia tuberculosa</v>
          </cell>
          <cell r="B2821" t="str">
            <v>Lichens</v>
          </cell>
          <cell r="C2821" t="str">
            <v>Mycophycophyta</v>
          </cell>
          <cell r="D2821" t="str">
            <v>Porpidia tuberculosa</v>
          </cell>
          <cell r="E2821" t="str">
            <v>LC</v>
          </cell>
          <cell r="F2821" t="str">
            <v>Woods &amp; Coppins, 2012</v>
          </cell>
          <cell r="G2821" t="str">
            <v>NBNSYS0000018524</v>
          </cell>
          <cell r="H2821" t="str">
            <v>Porpidia tuberculosa</v>
          </cell>
        </row>
        <row r="2822">
          <cell r="A2822" t="str">
            <v>Pronectria anisospora</v>
          </cell>
          <cell r="B2822" t="str">
            <v>Lichens</v>
          </cell>
          <cell r="C2822" t="str">
            <v>Mycophycophyta</v>
          </cell>
          <cell r="D2822" t="str">
            <v>Pronectria anisospora</v>
          </cell>
          <cell r="E2822" t="str">
            <v>LC</v>
          </cell>
          <cell r="F2822" t="str">
            <v>Woods &amp; Coppins, 2012</v>
          </cell>
          <cell r="G2822" t="str">
            <v>NBNSYS0000018067</v>
          </cell>
          <cell r="H2822" t="str">
            <v>Pronectria anisospora</v>
          </cell>
        </row>
        <row r="2823">
          <cell r="A2823" t="str">
            <v>Pronectria pertusariicola</v>
          </cell>
          <cell r="B2823" t="str">
            <v>Lichens</v>
          </cell>
          <cell r="C2823" t="str">
            <v>Mycophycophyta</v>
          </cell>
          <cell r="D2823" t="str">
            <v>Pronectria pertusariicola</v>
          </cell>
          <cell r="E2823" t="str">
            <v>LC</v>
          </cell>
          <cell r="F2823" t="str">
            <v>Woods &amp; Coppins, 2012</v>
          </cell>
          <cell r="G2823" t="str">
            <v>NHMSYS0001494774</v>
          </cell>
          <cell r="H2823" t="str">
            <v>Pronectria pertusariicola</v>
          </cell>
        </row>
        <row r="2824">
          <cell r="A2824" t="str">
            <v>Protoblastenia calva</v>
          </cell>
          <cell r="B2824" t="str">
            <v>Lichens</v>
          </cell>
          <cell r="C2824" t="str">
            <v>Mycophycophyta</v>
          </cell>
          <cell r="D2824" t="str">
            <v>Protoblastenia calva</v>
          </cell>
          <cell r="E2824" t="str">
            <v>LC</v>
          </cell>
          <cell r="F2824" t="str">
            <v>Woods &amp; Coppins, 2012</v>
          </cell>
          <cell r="G2824" t="str">
            <v>NHMSYS0001494798</v>
          </cell>
          <cell r="H2824" t="str">
            <v>Protoblastenia calva</v>
          </cell>
        </row>
        <row r="2825">
          <cell r="A2825" t="str">
            <v>Protoblastenia incrustans</v>
          </cell>
          <cell r="B2825" t="str">
            <v>Lichens</v>
          </cell>
          <cell r="C2825" t="str">
            <v>Mycophycophyta</v>
          </cell>
          <cell r="D2825" t="str">
            <v>Protoblastenia incrustans</v>
          </cell>
          <cell r="E2825" t="str">
            <v>LC</v>
          </cell>
          <cell r="F2825" t="str">
            <v>Woods &amp; Coppins, 2012</v>
          </cell>
          <cell r="G2825" t="str">
            <v>NHMSYS0001494802</v>
          </cell>
          <cell r="H2825" t="str">
            <v>Protoblastenia incrustans</v>
          </cell>
        </row>
        <row r="2826">
          <cell r="A2826" t="str">
            <v>Protoblastenia lilacina</v>
          </cell>
          <cell r="B2826" t="str">
            <v>Lichens</v>
          </cell>
          <cell r="C2826" t="str">
            <v>Mycophycophyta</v>
          </cell>
          <cell r="D2826" t="str">
            <v>Protoblastenia lilacina</v>
          </cell>
          <cell r="E2826" t="str">
            <v>LC</v>
          </cell>
          <cell r="F2826" t="str">
            <v>Woods &amp; Coppins, 2012</v>
          </cell>
          <cell r="G2826" t="str">
            <v>NHMSYS0001494803</v>
          </cell>
          <cell r="H2826" t="str">
            <v>Protoblastenia lilacina</v>
          </cell>
        </row>
        <row r="2827">
          <cell r="A2827" t="str">
            <v>Protoblastenia rupestris</v>
          </cell>
          <cell r="B2827" t="str">
            <v>Lichens</v>
          </cell>
          <cell r="C2827" t="str">
            <v>Mycophycophyta</v>
          </cell>
          <cell r="D2827" t="str">
            <v>Protoblastenia rupestris</v>
          </cell>
          <cell r="E2827" t="str">
            <v>LC</v>
          </cell>
          <cell r="F2827" t="str">
            <v>Woods &amp; Coppins, 2012</v>
          </cell>
          <cell r="G2827" t="str">
            <v>NBNSYS0000020575</v>
          </cell>
          <cell r="H2827" t="str">
            <v>Protoblastenia rupestris</v>
          </cell>
        </row>
        <row r="2828">
          <cell r="A2828" t="str">
            <v>Protopannaria pezizoides</v>
          </cell>
          <cell r="B2828" t="str">
            <v>Lichens</v>
          </cell>
          <cell r="C2828" t="str">
            <v>Mycophycophyta</v>
          </cell>
          <cell r="D2828" t="str">
            <v>Protopannaria pezizoides</v>
          </cell>
          <cell r="E2828" t="str">
            <v>LC</v>
          </cell>
          <cell r="F2828" t="str">
            <v>Woods &amp; Coppins, 2012</v>
          </cell>
          <cell r="G2828" t="str">
            <v>NHMSYS0000363769</v>
          </cell>
          <cell r="H2828" t="str">
            <v>Protopannaria pezizoides</v>
          </cell>
        </row>
        <row r="2829">
          <cell r="A2829" t="str">
            <v>Protoparmelia atriseda</v>
          </cell>
          <cell r="B2829" t="str">
            <v>Lichens</v>
          </cell>
          <cell r="C2829" t="str">
            <v>Mycophycophyta</v>
          </cell>
          <cell r="D2829" t="str">
            <v>Protoparmelia atriseda</v>
          </cell>
          <cell r="E2829" t="str">
            <v>VU</v>
          </cell>
          <cell r="F2829" t="str">
            <v>Woods &amp; Coppins, 2012</v>
          </cell>
          <cell r="G2829" t="str">
            <v>NBNSYS0000018570</v>
          </cell>
          <cell r="H2829" t="str">
            <v>Protoparmelia atriseda</v>
          </cell>
        </row>
        <row r="2830">
          <cell r="A2830" t="str">
            <v>Protoparmelia badia</v>
          </cell>
          <cell r="B2830" t="str">
            <v>Lichens</v>
          </cell>
          <cell r="C2830" t="str">
            <v>Mycophycophyta</v>
          </cell>
          <cell r="D2830" t="str">
            <v>Protoparmelia badia</v>
          </cell>
          <cell r="E2830" t="str">
            <v>LC</v>
          </cell>
          <cell r="F2830" t="str">
            <v>Woods &amp; Coppins, 2012</v>
          </cell>
          <cell r="G2830" t="str">
            <v>NBNSYS0000018572</v>
          </cell>
          <cell r="H2830" t="str">
            <v>Protoparmelia badia</v>
          </cell>
        </row>
        <row r="2831">
          <cell r="A2831" t="str">
            <v>Protoparmelia memnonia</v>
          </cell>
          <cell r="B2831" t="str">
            <v>Lichens</v>
          </cell>
          <cell r="C2831" t="str">
            <v>Mycophycophyta</v>
          </cell>
          <cell r="D2831" t="str">
            <v>Protoparmelia memnonia</v>
          </cell>
          <cell r="E2831" t="str">
            <v>NT</v>
          </cell>
          <cell r="F2831" t="str">
            <v>Woods &amp; Coppins, 2012</v>
          </cell>
          <cell r="G2831" t="str">
            <v>NHMSYS0001494840</v>
          </cell>
          <cell r="H2831" t="str">
            <v>Protoparmelia memnonia</v>
          </cell>
        </row>
        <row r="2832">
          <cell r="A2832" t="str">
            <v>Protoparmelia montagnei</v>
          </cell>
          <cell r="B2832" t="str">
            <v>Lichens</v>
          </cell>
          <cell r="C2832" t="str">
            <v>Mycophycophyta</v>
          </cell>
          <cell r="D2832" t="str">
            <v>Protoparmelia montagnei</v>
          </cell>
          <cell r="E2832" t="str">
            <v>LC</v>
          </cell>
          <cell r="F2832" t="str">
            <v>Woods &amp; Coppins, 2012</v>
          </cell>
          <cell r="G2832" t="str">
            <v>NHMSYS0001494841</v>
          </cell>
          <cell r="H2832" t="str">
            <v>Protoparmelia montagnei</v>
          </cell>
        </row>
        <row r="2833">
          <cell r="A2833" t="str">
            <v>Protoparmelia oleagina</v>
          </cell>
          <cell r="B2833" t="str">
            <v>Lichens</v>
          </cell>
          <cell r="C2833" t="str">
            <v>Mycophycophyta</v>
          </cell>
          <cell r="D2833" t="str">
            <v>Protoparmelia oleagina</v>
          </cell>
          <cell r="E2833" t="str">
            <v>LC</v>
          </cell>
          <cell r="F2833" t="str">
            <v>Woods &amp; Coppins, 2012</v>
          </cell>
          <cell r="G2833" t="str">
            <v>NBNSYS0000039724</v>
          </cell>
          <cell r="H2833" t="str">
            <v>Protoparmelia oleagina</v>
          </cell>
        </row>
        <row r="2834">
          <cell r="A2834" t="str">
            <v>Pseudephebe pubescens</v>
          </cell>
          <cell r="B2834" t="str">
            <v>Lichens</v>
          </cell>
          <cell r="C2834" t="str">
            <v>Mycophycophyta</v>
          </cell>
          <cell r="D2834" t="str">
            <v>Pseudephebe pubescens</v>
          </cell>
          <cell r="E2834" t="str">
            <v>LC</v>
          </cell>
          <cell r="F2834" t="str">
            <v>Woods &amp; Coppins, 2012</v>
          </cell>
          <cell r="G2834" t="str">
            <v>NHMSYS0001495149</v>
          </cell>
          <cell r="H2834" t="str">
            <v>Pseudephebe pubescens</v>
          </cell>
        </row>
        <row r="2835">
          <cell r="A2835" t="str">
            <v>Pseudevernia furfuracea var. ceratea, Pseudevernia furfuracea var. furfuracea</v>
          </cell>
          <cell r="B2835" t="str">
            <v>Lichens</v>
          </cell>
          <cell r="C2835" t="str">
            <v>Mycophycophyta</v>
          </cell>
          <cell r="D2835" t="str">
            <v>Pseudevernia furfuracea (var. ceratea/var. furfuracea)</v>
          </cell>
          <cell r="E2835" t="str">
            <v>LC</v>
          </cell>
          <cell r="F2835" t="str">
            <v>Woods &amp; Coppins, 2012</v>
          </cell>
          <cell r="G2835" t="str">
            <v>BMSSYS0000534129</v>
          </cell>
          <cell r="H2835" t="str">
            <v>Pseudevernia furfuracea var. ceratea, Pseudevernia furfuracea var. furfuracea</v>
          </cell>
        </row>
        <row r="2836">
          <cell r="A2836" t="str">
            <v>Pseudocyphellaria aurata</v>
          </cell>
          <cell r="B2836" t="str">
            <v>Lichens</v>
          </cell>
          <cell r="C2836" t="str">
            <v>Mycophycophyta</v>
          </cell>
          <cell r="D2836" t="str">
            <v>Pseudocyphellaria aurata</v>
          </cell>
          <cell r="E2836" t="str">
            <v>CR</v>
          </cell>
          <cell r="F2836" t="str">
            <v>Woods &amp; Coppins, 2012</v>
          </cell>
          <cell r="G2836" t="str">
            <v>NHMSYS0001495191</v>
          </cell>
          <cell r="H2836" t="str">
            <v>Pseudocyphellaria aurata</v>
          </cell>
        </row>
        <row r="2837">
          <cell r="A2837" t="str">
            <v>Pseudocyphellaria crocata</v>
          </cell>
          <cell r="B2837" t="str">
            <v>Lichens</v>
          </cell>
          <cell r="C2837" t="str">
            <v>Mycophycophyta</v>
          </cell>
          <cell r="D2837" t="str">
            <v>Pseudocyphellaria crocata</v>
          </cell>
          <cell r="E2837" t="str">
            <v>LC</v>
          </cell>
          <cell r="F2837" t="str">
            <v>Woods &amp; Coppins, 2012</v>
          </cell>
          <cell r="G2837" t="str">
            <v>NHMSYS0021576833</v>
          </cell>
          <cell r="H2837" t="str">
            <v>Pseudocyphellaria crocata</v>
          </cell>
        </row>
        <row r="2838">
          <cell r="A2838" t="str">
            <v>Pseudocyphellaria intricata</v>
          </cell>
          <cell r="B2838" t="str">
            <v>Lichens</v>
          </cell>
          <cell r="C2838" t="str">
            <v>Mycophycophyta</v>
          </cell>
          <cell r="D2838" t="str">
            <v>Pseudocyphellaria intricata</v>
          </cell>
          <cell r="E2838" t="str">
            <v>NT</v>
          </cell>
          <cell r="F2838" t="str">
            <v>Woods &amp; Coppins, 2012</v>
          </cell>
          <cell r="G2838" t="str">
            <v>NBNSYS0000019352</v>
          </cell>
          <cell r="H2838" t="str">
            <v>Pseudocyphellaria intricata</v>
          </cell>
        </row>
        <row r="2839">
          <cell r="A2839" t="str">
            <v>Pseudocyphellaria norvegica</v>
          </cell>
          <cell r="B2839" t="str">
            <v>Lichens</v>
          </cell>
          <cell r="C2839" t="str">
            <v>Mycophycophyta</v>
          </cell>
          <cell r="D2839" t="str">
            <v>Pseudocyphellaria norvegica</v>
          </cell>
          <cell r="E2839" t="str">
            <v>LC</v>
          </cell>
          <cell r="F2839" t="str">
            <v>Woods &amp; Coppins, 2012</v>
          </cell>
          <cell r="G2839" t="str">
            <v>NBNSYS0000019354</v>
          </cell>
          <cell r="H2839" t="str">
            <v>Pseudocyphellaria norvegica</v>
          </cell>
        </row>
        <row r="2840">
          <cell r="A2840" t="str">
            <v>Psilolechia clavulifera</v>
          </cell>
          <cell r="B2840" t="str">
            <v>Lichens</v>
          </cell>
          <cell r="C2840" t="str">
            <v>Mycophycophyta</v>
          </cell>
          <cell r="D2840" t="str">
            <v>Psilolechia clavulifera</v>
          </cell>
          <cell r="E2840" t="str">
            <v>LC</v>
          </cell>
          <cell r="F2840" t="str">
            <v>Woods &amp; Coppins, 2012</v>
          </cell>
          <cell r="G2840" t="str">
            <v>NBNSYS0000018963</v>
          </cell>
          <cell r="H2840" t="str">
            <v>Psilolechia clavulifera</v>
          </cell>
        </row>
        <row r="2841">
          <cell r="A2841" t="str">
            <v>Psilolechia leprosa</v>
          </cell>
          <cell r="B2841" t="str">
            <v>Lichens</v>
          </cell>
          <cell r="C2841" t="str">
            <v>Mycophycophyta</v>
          </cell>
          <cell r="D2841" t="str">
            <v>Psilolechia leprosa</v>
          </cell>
          <cell r="E2841" t="str">
            <v>LC</v>
          </cell>
          <cell r="F2841" t="str">
            <v>Woods &amp; Coppins, 2012</v>
          </cell>
          <cell r="G2841" t="str">
            <v>NBNSYS0000039730</v>
          </cell>
          <cell r="H2841" t="str">
            <v>Psilolechia leprosa</v>
          </cell>
        </row>
        <row r="2842">
          <cell r="A2842" t="str">
            <v>Psilolechia lucida</v>
          </cell>
          <cell r="B2842" t="str">
            <v>Lichens</v>
          </cell>
          <cell r="C2842" t="str">
            <v>Mycophycophyta</v>
          </cell>
          <cell r="D2842" t="str">
            <v>Psilolechia lucida</v>
          </cell>
          <cell r="E2842" t="str">
            <v>LC</v>
          </cell>
          <cell r="F2842" t="str">
            <v>Woods &amp; Coppins, 2012</v>
          </cell>
          <cell r="G2842" t="str">
            <v>NHMSYS0001495400</v>
          </cell>
          <cell r="H2842" t="str">
            <v>Psilolechia lucida</v>
          </cell>
        </row>
        <row r="2843">
          <cell r="A2843" t="str">
            <v>Psora decipiens</v>
          </cell>
          <cell r="B2843" t="str">
            <v>Lichens</v>
          </cell>
          <cell r="C2843" t="str">
            <v>Mycophycophyta</v>
          </cell>
          <cell r="D2843" t="str">
            <v>Psora decipiens</v>
          </cell>
          <cell r="E2843" t="str">
            <v>LC</v>
          </cell>
          <cell r="F2843" t="str">
            <v>Woods &amp; Coppins, 2012</v>
          </cell>
          <cell r="G2843" t="str">
            <v>NBNSYS0000018965</v>
          </cell>
          <cell r="H2843" t="str">
            <v>Psora decipiens</v>
          </cell>
        </row>
        <row r="2844">
          <cell r="A2844" t="str">
            <v>Psoroglaena abscondita</v>
          </cell>
          <cell r="B2844" t="str">
            <v>Lichens</v>
          </cell>
          <cell r="C2844" t="str">
            <v>Mycophycophyta</v>
          </cell>
          <cell r="D2844" t="str">
            <v>Psoroglaena abscondita</v>
          </cell>
          <cell r="E2844" t="str">
            <v>LC</v>
          </cell>
          <cell r="F2844" t="str">
            <v>Woods &amp; Coppins, 2012</v>
          </cell>
          <cell r="G2844" t="str">
            <v>NHMSYS0001495446</v>
          </cell>
          <cell r="H2844" t="str">
            <v>Psoroglaena abscondita</v>
          </cell>
        </row>
        <row r="2845">
          <cell r="A2845" t="str">
            <v>Psoroglaena stigonemoides</v>
          </cell>
          <cell r="B2845" t="str">
            <v>Lichens</v>
          </cell>
          <cell r="C2845" t="str">
            <v>Mycophycophyta</v>
          </cell>
          <cell r="D2845" t="str">
            <v>Psoroglaena stigonemoides</v>
          </cell>
          <cell r="E2845" t="str">
            <v>LC</v>
          </cell>
          <cell r="F2845" t="str">
            <v>Woods &amp; Coppins, 2012</v>
          </cell>
          <cell r="G2845" t="str">
            <v>BMSSYS0000015581</v>
          </cell>
          <cell r="H2845" t="str">
            <v>Psoroglaena stigonemoides</v>
          </cell>
        </row>
        <row r="2846">
          <cell r="A2846" t="str">
            <v>Psoroma hypnorum</v>
          </cell>
          <cell r="B2846" t="str">
            <v>Lichens</v>
          </cell>
          <cell r="C2846" t="str">
            <v>Mycophycophyta</v>
          </cell>
          <cell r="D2846" t="str">
            <v>Psoroma hypnorum</v>
          </cell>
          <cell r="E2846" t="str">
            <v>LC</v>
          </cell>
          <cell r="F2846" t="str">
            <v>Woods &amp; Coppins, 2012</v>
          </cell>
          <cell r="G2846" t="str">
            <v>NBNSYS0000018969</v>
          </cell>
          <cell r="H2846" t="str">
            <v>Psoroma hypnorum</v>
          </cell>
        </row>
        <row r="2847">
          <cell r="A2847" t="str">
            <v>Psorotichia schaereri</v>
          </cell>
          <cell r="B2847" t="str">
            <v>Lichens</v>
          </cell>
          <cell r="C2847" t="str">
            <v>Mycophycophyta</v>
          </cell>
          <cell r="D2847" t="str">
            <v>Psorotichia schaereri</v>
          </cell>
          <cell r="E2847" t="str">
            <v>LC</v>
          </cell>
          <cell r="F2847" t="str">
            <v>Woods &amp; Coppins, 2012</v>
          </cell>
          <cell r="G2847" t="str">
            <v>NBNSYS0000018972</v>
          </cell>
          <cell r="H2847" t="str">
            <v>Psorotichia schaereri</v>
          </cell>
        </row>
        <row r="2848">
          <cell r="A2848" t="str">
            <v>Pterygiopsis concordatula</v>
          </cell>
          <cell r="B2848" t="str">
            <v>Lichens</v>
          </cell>
          <cell r="C2848" t="str">
            <v>Mycophycophyta</v>
          </cell>
          <cell r="D2848" t="str">
            <v>Pterygiopsis concordatula</v>
          </cell>
          <cell r="E2848" t="str">
            <v>NT</v>
          </cell>
          <cell r="F2848" t="str">
            <v>Woods &amp; Coppins, 2012</v>
          </cell>
          <cell r="G2848" t="str">
            <v>NHMSYS0020535994</v>
          </cell>
          <cell r="H2848" t="str">
            <v>Pterygiopsis concordatula</v>
          </cell>
        </row>
        <row r="2849">
          <cell r="A2849" t="str">
            <v>Pterygiopsis lacustris</v>
          </cell>
          <cell r="B2849" t="str">
            <v>Lichens</v>
          </cell>
          <cell r="C2849" t="str">
            <v>Mycophycophyta</v>
          </cell>
          <cell r="D2849" t="str">
            <v>Pterygiopsis lacustris</v>
          </cell>
          <cell r="E2849" t="str">
            <v>NT</v>
          </cell>
          <cell r="F2849" t="str">
            <v>Woods &amp; Coppins, 2012</v>
          </cell>
          <cell r="G2849" t="str">
            <v>NHMSYS0001495459</v>
          </cell>
          <cell r="H2849" t="str">
            <v>Pterygiopsis lacustris</v>
          </cell>
        </row>
        <row r="2850">
          <cell r="A2850" t="str">
            <v>Ptychographa xylographoides</v>
          </cell>
          <cell r="B2850" t="str">
            <v>Lichens</v>
          </cell>
          <cell r="C2850" t="str">
            <v>Mycophycophyta</v>
          </cell>
          <cell r="D2850" t="str">
            <v>Ptychographa xylographoides</v>
          </cell>
          <cell r="E2850" t="str">
            <v>NT</v>
          </cell>
          <cell r="F2850" t="str">
            <v>Woods &amp; Coppins, 2012</v>
          </cell>
          <cell r="G2850" t="str">
            <v>NBNSYS0000019238</v>
          </cell>
          <cell r="H2850" t="str">
            <v>Ptychographa xylographoides</v>
          </cell>
        </row>
        <row r="2851">
          <cell r="A2851" t="str">
            <v>Punctelia borreri</v>
          </cell>
          <cell r="B2851" t="str">
            <v>Lichens</v>
          </cell>
          <cell r="C2851" t="str">
            <v>Mycophycophyta</v>
          </cell>
          <cell r="D2851" t="str">
            <v>Punctelia borreri</v>
          </cell>
          <cell r="E2851" t="str">
            <v>LC</v>
          </cell>
          <cell r="F2851" t="str">
            <v>Woods &amp; Coppins, 2012</v>
          </cell>
          <cell r="G2851" t="str">
            <v>NBNSYS0000155498</v>
          </cell>
          <cell r="H2851" t="str">
            <v>Punctelia borreri</v>
          </cell>
        </row>
        <row r="2852">
          <cell r="A2852" t="str">
            <v>Punctelia jeckeri</v>
          </cell>
          <cell r="B2852" t="str">
            <v>Lichens</v>
          </cell>
          <cell r="C2852" t="str">
            <v>Mycophycophyta</v>
          </cell>
          <cell r="D2852" t="str">
            <v>Punctelia jeckeri</v>
          </cell>
          <cell r="E2852" t="str">
            <v>LC</v>
          </cell>
          <cell r="F2852" t="str">
            <v>Woods &amp; Coppins, 2012</v>
          </cell>
          <cell r="G2852" t="str">
            <v>NHMSYS0020327881</v>
          </cell>
          <cell r="H2852" t="str">
            <v>Punctelia jeckeri</v>
          </cell>
        </row>
        <row r="2853">
          <cell r="A2853" t="str">
            <v>Punctelia reddenda</v>
          </cell>
          <cell r="B2853" t="str">
            <v>Lichens</v>
          </cell>
          <cell r="C2853" t="str">
            <v>Mycophycophyta</v>
          </cell>
          <cell r="D2853" t="str">
            <v>Punctelia reddenda</v>
          </cell>
          <cell r="E2853" t="str">
            <v>LC</v>
          </cell>
          <cell r="F2853" t="str">
            <v>Woods &amp; Coppins, 2012</v>
          </cell>
          <cell r="G2853" t="str">
            <v>NHMSYS0001495807</v>
          </cell>
          <cell r="H2853" t="str">
            <v>Punctelia reddenda</v>
          </cell>
        </row>
        <row r="2854">
          <cell r="A2854" t="str">
            <v>Punctelia subrudecta</v>
          </cell>
          <cell r="B2854" t="str">
            <v>Lichens</v>
          </cell>
          <cell r="C2854" t="str">
            <v>Mycophycophyta</v>
          </cell>
          <cell r="D2854" t="str">
            <v>Punctelia subrudecta</v>
          </cell>
          <cell r="E2854" t="str">
            <v>LC</v>
          </cell>
          <cell r="F2854" t="str">
            <v>Woods &amp; Coppins, 2012</v>
          </cell>
          <cell r="G2854" t="str">
            <v>BMSSYS0000534141</v>
          </cell>
          <cell r="H2854" t="str">
            <v>Punctelia subrudecta</v>
          </cell>
        </row>
        <row r="2855">
          <cell r="A2855" t="str">
            <v>Pycnora sorophora</v>
          </cell>
          <cell r="B2855" t="str">
            <v>Lichens</v>
          </cell>
          <cell r="C2855" t="str">
            <v>Mycophycophyta</v>
          </cell>
          <cell r="D2855" t="str">
            <v>Pycnora sorophora</v>
          </cell>
          <cell r="E2855" t="str">
            <v>LC</v>
          </cell>
          <cell r="F2855" t="str">
            <v>Woods &amp; Coppins, 2012</v>
          </cell>
          <cell r="G2855" t="str">
            <v>NHMSYS0001495830</v>
          </cell>
          <cell r="H2855" t="str">
            <v>Pycnora sorophora</v>
          </cell>
        </row>
        <row r="2856">
          <cell r="A2856" t="str">
            <v>Pycnothelia papillaria</v>
          </cell>
          <cell r="B2856" t="str">
            <v>Lichens</v>
          </cell>
          <cell r="C2856" t="str">
            <v>Mycophycophyta</v>
          </cell>
          <cell r="D2856" t="str">
            <v>Pycnothelia papillaria</v>
          </cell>
          <cell r="E2856" t="str">
            <v>LC</v>
          </cell>
          <cell r="F2856" t="str">
            <v>Woods &amp; Coppins, 2012</v>
          </cell>
          <cell r="G2856" t="str">
            <v>NHMSYS0001495833</v>
          </cell>
          <cell r="H2856" t="str">
            <v>Pycnothelia papillaria</v>
          </cell>
        </row>
        <row r="2857">
          <cell r="A2857" t="str">
            <v>Pyrenidium actinellum</v>
          </cell>
          <cell r="B2857" t="str">
            <v>Lichens</v>
          </cell>
          <cell r="C2857" t="str">
            <v>Mycophycophyta</v>
          </cell>
          <cell r="D2857" t="str">
            <v>Pyrenidium actinellum</v>
          </cell>
          <cell r="E2857" t="str">
            <v>LC</v>
          </cell>
          <cell r="F2857" t="str">
            <v>Woods &amp; Coppins, 2012</v>
          </cell>
          <cell r="G2857" t="str">
            <v>NBNSYS0000016551</v>
          </cell>
          <cell r="H2857" t="str">
            <v>Pyrenidium actinellum</v>
          </cell>
        </row>
        <row r="2858">
          <cell r="A2858" t="str">
            <v>Pyrenopsis subareolata</v>
          </cell>
          <cell r="B2858" t="str">
            <v>Lichens</v>
          </cell>
          <cell r="C2858" t="str">
            <v>Mycophycophyta</v>
          </cell>
          <cell r="D2858" t="str">
            <v>Pyrenopsis subareolata</v>
          </cell>
          <cell r="E2858" t="str">
            <v>LC</v>
          </cell>
          <cell r="F2858" t="str">
            <v>Woods &amp; Coppins, 2012</v>
          </cell>
          <cell r="G2858" t="str">
            <v>NBNSYS0000155539</v>
          </cell>
          <cell r="H2858" t="str">
            <v>Pyrenopsis subareolata</v>
          </cell>
        </row>
        <row r="2859">
          <cell r="A2859" t="str">
            <v>Pyrenula acutispora</v>
          </cell>
          <cell r="B2859" t="str">
            <v>Lichens</v>
          </cell>
          <cell r="C2859" t="str">
            <v>Mycophycophyta</v>
          </cell>
          <cell r="D2859" t="str">
            <v>Pyrenula acutispora</v>
          </cell>
          <cell r="E2859" t="str">
            <v>NT</v>
          </cell>
          <cell r="F2859" t="str">
            <v>Woods &amp; Coppins, 2012</v>
          </cell>
          <cell r="G2859" t="str">
            <v>NHMSYS0020327882</v>
          </cell>
          <cell r="H2859" t="str">
            <v>Pyrenula acutispora</v>
          </cell>
        </row>
        <row r="2860">
          <cell r="A2860" t="str">
            <v>Pyrenula chlorospila</v>
          </cell>
          <cell r="B2860" t="str">
            <v>Lichens</v>
          </cell>
          <cell r="C2860" t="str">
            <v>Mycophycophyta</v>
          </cell>
          <cell r="D2860" t="str">
            <v>Pyrenula chlorospila</v>
          </cell>
          <cell r="E2860" t="str">
            <v>LC</v>
          </cell>
          <cell r="F2860" t="str">
            <v>Woods &amp; Coppins, 2012</v>
          </cell>
          <cell r="G2860" t="str">
            <v>NBNSYS0000019899</v>
          </cell>
          <cell r="H2860" t="str">
            <v>Pyrenula chlorospila</v>
          </cell>
        </row>
        <row r="2861">
          <cell r="A2861" t="str">
            <v>Pyrenula coryli</v>
          </cell>
          <cell r="B2861" t="str">
            <v>Lichens</v>
          </cell>
          <cell r="C2861" t="str">
            <v>Mycophycophyta</v>
          </cell>
          <cell r="D2861" t="str">
            <v>Pyrenula coryli</v>
          </cell>
          <cell r="E2861" t="str">
            <v>VU</v>
          </cell>
          <cell r="F2861" t="str">
            <v>Woods &amp; Coppins, 2012</v>
          </cell>
          <cell r="G2861" t="str">
            <v>NBNSYS0000039737</v>
          </cell>
          <cell r="H2861" t="str">
            <v>Pyrenula coryli</v>
          </cell>
        </row>
        <row r="2862">
          <cell r="A2862" t="str">
            <v>Pyrenula hibernica</v>
          </cell>
          <cell r="B2862" t="str">
            <v>Lichens</v>
          </cell>
          <cell r="C2862" t="str">
            <v>Mycophycophyta</v>
          </cell>
          <cell r="D2862" t="str">
            <v>Pyrenula hibernica</v>
          </cell>
          <cell r="E2862" t="str">
            <v>VU</v>
          </cell>
          <cell r="F2862" t="str">
            <v>Woods &amp; Coppins, 2012</v>
          </cell>
          <cell r="G2862" t="str">
            <v>NHMSYS0001495926</v>
          </cell>
          <cell r="H2862" t="str">
            <v>Pyrenula hibernica</v>
          </cell>
        </row>
        <row r="2863">
          <cell r="A2863" t="str">
            <v>Pyrenula laevigata</v>
          </cell>
          <cell r="B2863" t="str">
            <v>Lichens</v>
          </cell>
          <cell r="C2863" t="str">
            <v>Mycophycophyta</v>
          </cell>
          <cell r="D2863" t="str">
            <v>Pyrenula laevigata</v>
          </cell>
          <cell r="E2863" t="str">
            <v>LC</v>
          </cell>
          <cell r="F2863" t="str">
            <v>Woods &amp; Coppins, 2012</v>
          </cell>
          <cell r="G2863" t="str">
            <v>NBNSYS0000019901</v>
          </cell>
          <cell r="H2863" t="str">
            <v>Pyrenula laevigata</v>
          </cell>
        </row>
        <row r="2864">
          <cell r="A2864" t="str">
            <v>Pyrenula macrospora</v>
          </cell>
          <cell r="B2864" t="str">
            <v>Lichens</v>
          </cell>
          <cell r="C2864" t="str">
            <v>Mycophycophyta</v>
          </cell>
          <cell r="D2864" t="str">
            <v>Pyrenula macrospora</v>
          </cell>
          <cell r="E2864" t="str">
            <v>LC</v>
          </cell>
          <cell r="F2864" t="str">
            <v>Woods &amp; Coppins, 2012</v>
          </cell>
          <cell r="G2864" t="str">
            <v>NHMSYS0001495927</v>
          </cell>
          <cell r="H2864" t="str">
            <v>Pyrenula macrospora</v>
          </cell>
        </row>
        <row r="2865">
          <cell r="A2865" t="str">
            <v>Pyrenula nitida</v>
          </cell>
          <cell r="B2865" t="str">
            <v>Lichens</v>
          </cell>
          <cell r="C2865" t="str">
            <v>Mycophycophyta</v>
          </cell>
          <cell r="D2865" t="str">
            <v>Pyrenula nitida</v>
          </cell>
          <cell r="E2865" t="str">
            <v>VU</v>
          </cell>
          <cell r="F2865" t="str">
            <v>Woods &amp; Coppins, 2012</v>
          </cell>
          <cell r="G2865" t="str">
            <v>NBNSYS0000019904</v>
          </cell>
          <cell r="H2865" t="str">
            <v>Pyrenula nitida</v>
          </cell>
        </row>
        <row r="2866">
          <cell r="A2866" t="str">
            <v>Pyrenula nitidella</v>
          </cell>
          <cell r="B2866" t="str">
            <v>Lichens</v>
          </cell>
          <cell r="C2866" t="str">
            <v>Mycophycophyta</v>
          </cell>
          <cell r="D2866" t="str">
            <v>Pyrenula nitidella</v>
          </cell>
          <cell r="E2866" t="str">
            <v>EX</v>
          </cell>
          <cell r="F2866" t="str">
            <v>Woods &amp; Coppins, 2012</v>
          </cell>
          <cell r="G2866" t="str">
            <v>NHMSYS0001495931</v>
          </cell>
          <cell r="H2866" t="str">
            <v>Pyrenula nitidella</v>
          </cell>
        </row>
        <row r="2867">
          <cell r="A2867" t="str">
            <v>Pyrenula occidentalis</v>
          </cell>
          <cell r="B2867" t="str">
            <v>Lichens</v>
          </cell>
          <cell r="C2867" t="str">
            <v>Mycophycophyta</v>
          </cell>
          <cell r="D2867" t="str">
            <v>Pyrenula occidentalis</v>
          </cell>
          <cell r="E2867" t="str">
            <v>LC</v>
          </cell>
          <cell r="F2867" t="str">
            <v>Woods &amp; Coppins, 2012</v>
          </cell>
          <cell r="G2867" t="str">
            <v>NBNSYS0000019903</v>
          </cell>
          <cell r="H2867" t="str">
            <v>Pyrenula occidentalis</v>
          </cell>
        </row>
        <row r="2868">
          <cell r="A2868" t="str">
            <v>Pyrrhospora quernea</v>
          </cell>
          <cell r="B2868" t="str">
            <v>Lichens</v>
          </cell>
          <cell r="C2868" t="str">
            <v>Mycophycophyta</v>
          </cell>
          <cell r="D2868" t="str">
            <v>Pyrrhospora quernea</v>
          </cell>
          <cell r="E2868" t="str">
            <v>LC</v>
          </cell>
          <cell r="F2868" t="str">
            <v>Woods &amp; Coppins, 2012</v>
          </cell>
          <cell r="G2868" t="str">
            <v>NHMSYS0001495944</v>
          </cell>
          <cell r="H2868" t="str">
            <v>Pyrrhospora quernea</v>
          </cell>
        </row>
        <row r="2869">
          <cell r="A2869" t="str">
            <v>Pyrrhospora rubiginans</v>
          </cell>
          <cell r="B2869" t="str">
            <v>Lichens</v>
          </cell>
          <cell r="C2869" t="str">
            <v>Mycophycophyta</v>
          </cell>
          <cell r="D2869" t="str">
            <v>Pyrrhospora rubiginans</v>
          </cell>
          <cell r="E2869" t="str">
            <v>LC</v>
          </cell>
          <cell r="F2869" t="str">
            <v>Woods &amp; Coppins, 2012</v>
          </cell>
          <cell r="G2869" t="str">
            <v>BMSSYS0000015801</v>
          </cell>
          <cell r="H2869" t="str">
            <v>Pyrrhospora rubiginans</v>
          </cell>
        </row>
        <row r="2870">
          <cell r="A2870" t="str">
            <v>Racodium rupestre</v>
          </cell>
          <cell r="B2870" t="str">
            <v>Lichens</v>
          </cell>
          <cell r="C2870" t="str">
            <v>Mycophycophyta</v>
          </cell>
          <cell r="D2870" t="str">
            <v>Racodium rupestre</v>
          </cell>
          <cell r="E2870" t="str">
            <v>LC</v>
          </cell>
          <cell r="F2870" t="str">
            <v>Woods &amp; Coppins, 2012</v>
          </cell>
          <cell r="G2870" t="str">
            <v>NBNSYS0000039738</v>
          </cell>
          <cell r="H2870" t="str">
            <v>Racodium rupestre</v>
          </cell>
        </row>
        <row r="2871">
          <cell r="A2871" t="str">
            <v>Ramalina calicaris</v>
          </cell>
          <cell r="B2871" t="str">
            <v>Lichens</v>
          </cell>
          <cell r="C2871" t="str">
            <v>Mycophycophyta</v>
          </cell>
          <cell r="D2871" t="str">
            <v>Ramalina calicaris</v>
          </cell>
          <cell r="E2871" t="str">
            <v>LC</v>
          </cell>
          <cell r="F2871" t="str">
            <v>Woods &amp; Coppins, 2012</v>
          </cell>
          <cell r="G2871" t="str">
            <v>NBNSYS0000018984</v>
          </cell>
          <cell r="H2871" t="str">
            <v>Ramalina calicaris</v>
          </cell>
        </row>
        <row r="2872">
          <cell r="A2872" t="str">
            <v>Ramalina canariensis</v>
          </cell>
          <cell r="B2872" t="str">
            <v>Lichens</v>
          </cell>
          <cell r="C2872" t="str">
            <v>Mycophycophyta</v>
          </cell>
          <cell r="D2872" t="str">
            <v>Ramalina canariensis</v>
          </cell>
          <cell r="E2872" t="str">
            <v>LC</v>
          </cell>
          <cell r="F2872" t="str">
            <v>Woods &amp; Coppins, 2012</v>
          </cell>
          <cell r="G2872" t="str">
            <v>NHMSYS0001496005</v>
          </cell>
          <cell r="H2872" t="str">
            <v>Ramalina canariensis</v>
          </cell>
        </row>
        <row r="2873">
          <cell r="A2873" t="str">
            <v>Ramalina chondrina</v>
          </cell>
          <cell r="B2873" t="str">
            <v>Lichens</v>
          </cell>
          <cell r="C2873" t="str">
            <v>Mycophycophyta</v>
          </cell>
          <cell r="D2873" t="str">
            <v>Ramalina chondrina</v>
          </cell>
          <cell r="E2873" t="str">
            <v>VU</v>
          </cell>
          <cell r="F2873" t="str">
            <v>Woods &amp; Coppins, 2012</v>
          </cell>
          <cell r="G2873" t="str">
            <v>NBNSYS0000018995</v>
          </cell>
          <cell r="H2873" t="str">
            <v>Ramalina chondrina</v>
          </cell>
        </row>
        <row r="2874">
          <cell r="A2874" t="str">
            <v>Ramalina cuspidata</v>
          </cell>
          <cell r="B2874" t="str">
            <v>Lichens</v>
          </cell>
          <cell r="C2874" t="str">
            <v>Mycophycophyta</v>
          </cell>
          <cell r="D2874" t="str">
            <v>Ramalina cuspidata</v>
          </cell>
          <cell r="E2874" t="str">
            <v>LC</v>
          </cell>
          <cell r="F2874" t="str">
            <v>Woods &amp; Coppins, 2012</v>
          </cell>
          <cell r="G2874" t="str">
            <v>NBNSYS0000018985</v>
          </cell>
          <cell r="H2874" t="str">
            <v>Ramalina cuspidata</v>
          </cell>
        </row>
        <row r="2875">
          <cell r="A2875" t="str">
            <v>Ramalina farinacea</v>
          </cell>
          <cell r="B2875" t="str">
            <v>Lichens</v>
          </cell>
          <cell r="C2875" t="str">
            <v>Mycophycophyta</v>
          </cell>
          <cell r="D2875" t="str">
            <v>Ramalina farinacea</v>
          </cell>
          <cell r="E2875" t="str">
            <v>LC</v>
          </cell>
          <cell r="F2875" t="str">
            <v>Woods &amp; Coppins, 2012</v>
          </cell>
          <cell r="G2875" t="str">
            <v>NBNSYS0000018986</v>
          </cell>
          <cell r="H2875" t="str">
            <v>Ramalina farinacea</v>
          </cell>
        </row>
        <row r="2876">
          <cell r="A2876" t="str">
            <v>Ramalina fastigiata</v>
          </cell>
          <cell r="B2876" t="str">
            <v>Lichens</v>
          </cell>
          <cell r="C2876" t="str">
            <v>Mycophycophyta</v>
          </cell>
          <cell r="D2876" t="str">
            <v>Ramalina fastigiata</v>
          </cell>
          <cell r="E2876" t="str">
            <v>LC</v>
          </cell>
          <cell r="F2876" t="str">
            <v>Woods &amp; Coppins, 2012</v>
          </cell>
          <cell r="G2876" t="str">
            <v>NBNSYS0000018987</v>
          </cell>
          <cell r="H2876" t="str">
            <v>Ramalina fastigiata</v>
          </cell>
        </row>
        <row r="2877">
          <cell r="A2877" t="str">
            <v>Ramalina fraxinea</v>
          </cell>
          <cell r="B2877" t="str">
            <v>Lichens</v>
          </cell>
          <cell r="C2877" t="str">
            <v>Mycophycophyta</v>
          </cell>
          <cell r="D2877" t="str">
            <v>Ramalina fraxinea</v>
          </cell>
          <cell r="E2877" t="str">
            <v>LC</v>
          </cell>
          <cell r="F2877" t="str">
            <v>Woods &amp; Coppins, 2012</v>
          </cell>
          <cell r="G2877" t="str">
            <v>NBNSYS0000018988</v>
          </cell>
          <cell r="H2877" t="str">
            <v>Ramalina fraxinea</v>
          </cell>
        </row>
        <row r="2878">
          <cell r="A2878" t="str">
            <v>Ramalina lacera</v>
          </cell>
          <cell r="B2878" t="str">
            <v>Lichens</v>
          </cell>
          <cell r="C2878" t="str">
            <v>Mycophycophyta</v>
          </cell>
          <cell r="D2878" t="str">
            <v>Ramalina lacera</v>
          </cell>
          <cell r="E2878" t="str">
            <v>LC</v>
          </cell>
          <cell r="F2878" t="str">
            <v>Woods &amp; Coppins, 2012</v>
          </cell>
          <cell r="G2878" t="str">
            <v>NHMSYS0001496016</v>
          </cell>
          <cell r="H2878" t="str">
            <v>Ramalina lacera</v>
          </cell>
        </row>
        <row r="2879">
          <cell r="A2879" t="str">
            <v>Ramalina pollinaria</v>
          </cell>
          <cell r="B2879" t="str">
            <v>Lichens</v>
          </cell>
          <cell r="C2879" t="str">
            <v>Mycophycophyta</v>
          </cell>
          <cell r="D2879" t="str">
            <v>Ramalina pollinaria</v>
          </cell>
          <cell r="E2879" t="str">
            <v>LC</v>
          </cell>
          <cell r="F2879" t="str">
            <v>Woods &amp; Coppins, 2012</v>
          </cell>
          <cell r="G2879" t="str">
            <v>NBNSYS0000018990</v>
          </cell>
          <cell r="H2879" t="str">
            <v>Ramalina pollinaria</v>
          </cell>
        </row>
        <row r="2880">
          <cell r="A2880" t="str">
            <v>Ramalina polymorpha</v>
          </cell>
          <cell r="B2880" t="str">
            <v>Lichens</v>
          </cell>
          <cell r="C2880" t="str">
            <v>Mycophycophyta</v>
          </cell>
          <cell r="D2880" t="str">
            <v>Ramalina polymorpha</v>
          </cell>
          <cell r="E2880" t="str">
            <v>NT</v>
          </cell>
          <cell r="F2880" t="str">
            <v>Woods &amp; Coppins, 2012</v>
          </cell>
          <cell r="G2880" t="str">
            <v>NBNSYS0000018991</v>
          </cell>
          <cell r="H2880" t="str">
            <v>Ramalina polymorpha</v>
          </cell>
        </row>
        <row r="2881">
          <cell r="A2881" t="str">
            <v>Ramalina portuensis</v>
          </cell>
          <cell r="B2881" t="str">
            <v>Lichens</v>
          </cell>
          <cell r="C2881" t="str">
            <v>Mycophycophyta</v>
          </cell>
          <cell r="D2881" t="str">
            <v>Ramalina portuensis</v>
          </cell>
          <cell r="E2881" t="str">
            <v>LC</v>
          </cell>
          <cell r="F2881" t="str">
            <v>Woods &amp; Coppins, 2012</v>
          </cell>
          <cell r="G2881" t="str">
            <v>NBNSYS0000018992</v>
          </cell>
          <cell r="H2881" t="str">
            <v>Ramalina portuensis</v>
          </cell>
        </row>
        <row r="2882">
          <cell r="A2882" t="str">
            <v>Ramalina siliquosa</v>
          </cell>
          <cell r="B2882" t="str">
            <v>Lichens</v>
          </cell>
          <cell r="C2882" t="str">
            <v>Mycophycophyta</v>
          </cell>
          <cell r="D2882" t="str">
            <v>Ramalina siliquosa</v>
          </cell>
          <cell r="E2882" t="str">
            <v>LC</v>
          </cell>
          <cell r="F2882" t="str">
            <v>Woods &amp; Coppins, 2012</v>
          </cell>
          <cell r="G2882" t="str">
            <v>NBNSYS0000018993</v>
          </cell>
          <cell r="H2882" t="str">
            <v>Ramalina siliquosa</v>
          </cell>
        </row>
        <row r="2883">
          <cell r="A2883" t="str">
            <v>Ramalina subfarinacea</v>
          </cell>
          <cell r="B2883" t="str">
            <v>Lichens</v>
          </cell>
          <cell r="C2883" t="str">
            <v>Mycophycophyta</v>
          </cell>
          <cell r="D2883" t="str">
            <v>Ramalina subfarinacea</v>
          </cell>
          <cell r="E2883" t="str">
            <v>LC</v>
          </cell>
          <cell r="F2883" t="str">
            <v>Woods &amp; Coppins, 2012</v>
          </cell>
          <cell r="G2883" t="str">
            <v>NHMSYS0001496029</v>
          </cell>
          <cell r="H2883" t="str">
            <v>Ramalina subfarinacea</v>
          </cell>
        </row>
        <row r="2884">
          <cell r="A2884" t="str">
            <v>Ramboldia insidiosa</v>
          </cell>
          <cell r="B2884" t="str">
            <v>Lichens</v>
          </cell>
          <cell r="C2884" t="str">
            <v>Mycophycophyta</v>
          </cell>
          <cell r="D2884" t="str">
            <v>Ramboldia insidiosa</v>
          </cell>
          <cell r="E2884" t="str">
            <v>NT</v>
          </cell>
          <cell r="F2884" t="str">
            <v>Woods &amp; Coppins, 2012</v>
          </cell>
          <cell r="G2884" t="str">
            <v>BMSSYS0000015982</v>
          </cell>
          <cell r="H2884" t="str">
            <v>Ramboldia insidiosa</v>
          </cell>
        </row>
        <row r="2885">
          <cell r="A2885" t="str">
            <v>Ramonia chrysophaea</v>
          </cell>
          <cell r="B2885" t="str">
            <v>Lichens</v>
          </cell>
          <cell r="C2885" t="str">
            <v>Mycophycophyta</v>
          </cell>
          <cell r="D2885" t="str">
            <v>Ramonia chrysophaea</v>
          </cell>
          <cell r="E2885" t="str">
            <v>NT</v>
          </cell>
          <cell r="F2885" t="str">
            <v>Woods &amp; Coppins, 2012</v>
          </cell>
          <cell r="G2885" t="str">
            <v>NHMSYS0001496084</v>
          </cell>
          <cell r="H2885" t="str">
            <v>Ramonia chrysophaea</v>
          </cell>
        </row>
        <row r="2886">
          <cell r="A2886" t="str">
            <v>Ramonia dictyospora</v>
          </cell>
          <cell r="B2886" t="str">
            <v>Lichens</v>
          </cell>
          <cell r="C2886" t="str">
            <v>Mycophycophyta</v>
          </cell>
          <cell r="D2886" t="str">
            <v>Ramonia dictyospora</v>
          </cell>
          <cell r="E2886" t="str">
            <v>NT</v>
          </cell>
          <cell r="F2886" t="str">
            <v>Woods &amp; Coppins, 2012</v>
          </cell>
          <cell r="G2886" t="str">
            <v>NBNSYS0000039740</v>
          </cell>
          <cell r="H2886" t="str">
            <v>Ramonia dictyospora</v>
          </cell>
        </row>
        <row r="2887">
          <cell r="A2887" t="str">
            <v>Ramonia interjecta</v>
          </cell>
          <cell r="B2887" t="str">
            <v>Lichens</v>
          </cell>
          <cell r="C2887" t="str">
            <v>Mycophycophyta</v>
          </cell>
          <cell r="D2887" t="str">
            <v>Ramonia interjecta</v>
          </cell>
          <cell r="E2887" t="str">
            <v>LC</v>
          </cell>
          <cell r="F2887" t="str">
            <v>Woods &amp; Coppins, 2012</v>
          </cell>
          <cell r="G2887" t="str">
            <v>BMSSYS0000015988</v>
          </cell>
          <cell r="H2887" t="str">
            <v>Ramonia interjecta</v>
          </cell>
        </row>
        <row r="2888">
          <cell r="A2888" t="str">
            <v>Ramonia nigra</v>
          </cell>
          <cell r="B2888" t="str">
            <v>Lichens</v>
          </cell>
          <cell r="C2888" t="str">
            <v>Mycophycophyta</v>
          </cell>
          <cell r="D2888" t="str">
            <v>Ramonia nigra</v>
          </cell>
          <cell r="E2888" t="str">
            <v>CR</v>
          </cell>
          <cell r="F2888" t="str">
            <v>Woods &amp; Coppins, 2012</v>
          </cell>
          <cell r="G2888" t="str">
            <v>NBNSYS0000039741</v>
          </cell>
          <cell r="H2888" t="str">
            <v>Ramonia nigra</v>
          </cell>
        </row>
        <row r="2889">
          <cell r="A2889" t="str">
            <v>Rhaphidicyrtis trichosporella</v>
          </cell>
          <cell r="B2889" t="str">
            <v>Lichens</v>
          </cell>
          <cell r="C2889" t="str">
            <v>Mycophycophyta</v>
          </cell>
          <cell r="D2889" t="str">
            <v>Rhaphidicyrtis trichosporella</v>
          </cell>
          <cell r="E2889" t="str">
            <v>LC</v>
          </cell>
          <cell r="F2889" t="str">
            <v>Woods &amp; Coppins, 2012</v>
          </cell>
          <cell r="G2889" t="str">
            <v>NHMSYS0001496212</v>
          </cell>
          <cell r="H2889" t="str">
            <v>Rhaphidicyrtis trichosporella</v>
          </cell>
        </row>
        <row r="2890">
          <cell r="A2890" t="str">
            <v>Rhizocarpon anaperum</v>
          </cell>
          <cell r="B2890" t="str">
            <v>Lichens</v>
          </cell>
          <cell r="C2890" t="str">
            <v>Mycophycophyta</v>
          </cell>
          <cell r="D2890" t="str">
            <v>Rhizocarpon anaperum</v>
          </cell>
          <cell r="E2890" t="str">
            <v>LC</v>
          </cell>
          <cell r="F2890" t="str">
            <v>Woods &amp; Coppins, 2012</v>
          </cell>
          <cell r="G2890" t="str">
            <v>BMSSYS0000016196</v>
          </cell>
          <cell r="H2890" t="str">
            <v>Rhizocarpon anaperum</v>
          </cell>
        </row>
        <row r="2891">
          <cell r="A2891" t="str">
            <v>Rhizocarpon badioatrum</v>
          </cell>
          <cell r="B2891" t="str">
            <v>Lichens</v>
          </cell>
          <cell r="C2891" t="str">
            <v>Mycophycophyta</v>
          </cell>
          <cell r="D2891" t="str">
            <v>Rhizocarpon badioatrum</v>
          </cell>
          <cell r="E2891" t="str">
            <v>LC</v>
          </cell>
          <cell r="F2891" t="str">
            <v>Woods &amp; Coppins, 2012</v>
          </cell>
          <cell r="G2891" t="str">
            <v>NHMSYS0001496251</v>
          </cell>
          <cell r="H2891" t="str">
            <v>Rhizocarpon badioatrum</v>
          </cell>
        </row>
        <row r="2892">
          <cell r="A2892" t="str">
            <v>Rhizocarpon distinctum</v>
          </cell>
          <cell r="B2892" t="str">
            <v>Lichens</v>
          </cell>
          <cell r="C2892" t="str">
            <v>Mycophycophyta</v>
          </cell>
          <cell r="D2892" t="str">
            <v>Rhizocarpon distinctum</v>
          </cell>
          <cell r="E2892" t="str">
            <v>LC</v>
          </cell>
          <cell r="F2892" t="str">
            <v>Woods &amp; Coppins, 2012</v>
          </cell>
          <cell r="G2892" t="str">
            <v>NBNSYS0000039750</v>
          </cell>
          <cell r="H2892" t="str">
            <v>Rhizocarpon distinctum</v>
          </cell>
        </row>
        <row r="2893">
          <cell r="A2893" t="str">
            <v>Rhizocarpon furfurosum</v>
          </cell>
          <cell r="B2893" t="str">
            <v>Lichens</v>
          </cell>
          <cell r="C2893" t="str">
            <v>Mycophycophyta</v>
          </cell>
          <cell r="D2893" t="str">
            <v>Rhizocarpon furfurosum</v>
          </cell>
          <cell r="E2893" t="str">
            <v>NT</v>
          </cell>
          <cell r="F2893" t="str">
            <v>Woods &amp; Coppins, 2012</v>
          </cell>
          <cell r="G2893" t="str">
            <v>NHMSYS0001496264</v>
          </cell>
          <cell r="H2893" t="str">
            <v>Rhizocarpon furfurosum</v>
          </cell>
        </row>
        <row r="2894">
          <cell r="A2894" t="str">
            <v>Rhizocarpon geographicum</v>
          </cell>
          <cell r="B2894" t="str">
            <v>Lichens</v>
          </cell>
          <cell r="C2894" t="str">
            <v>Mycophycophyta</v>
          </cell>
          <cell r="D2894" t="str">
            <v>Rhizocarpon geographicum</v>
          </cell>
          <cell r="E2894" t="str">
            <v>LC</v>
          </cell>
          <cell r="F2894" t="str">
            <v>Woods &amp; Coppins, 2012</v>
          </cell>
          <cell r="G2894" t="str">
            <v>NBNSYS0000039755</v>
          </cell>
          <cell r="H2894" t="str">
            <v>Rhizocarpon geographicum</v>
          </cell>
        </row>
        <row r="2895">
          <cell r="A2895" t="str">
            <v>Rhizocarpon hochstetteri</v>
          </cell>
          <cell r="B2895" t="str">
            <v>Lichens</v>
          </cell>
          <cell r="C2895" t="str">
            <v>Mycophycophyta</v>
          </cell>
          <cell r="D2895" t="str">
            <v>Rhizocarpon hochstetteri</v>
          </cell>
          <cell r="E2895" t="str">
            <v>LC</v>
          </cell>
          <cell r="F2895" t="str">
            <v>Woods &amp; Coppins, 2012</v>
          </cell>
          <cell r="G2895" t="str">
            <v>NHMSYS0001496269</v>
          </cell>
          <cell r="H2895" t="str">
            <v>Rhizocarpon hochstetteri</v>
          </cell>
        </row>
        <row r="2896">
          <cell r="A2896" t="str">
            <v>Rhizocarpon lavatum</v>
          </cell>
          <cell r="B2896" t="str">
            <v>Lichens</v>
          </cell>
          <cell r="C2896" t="str">
            <v>Mycophycophyta</v>
          </cell>
          <cell r="D2896" t="str">
            <v>Rhizocarpon lavatum</v>
          </cell>
          <cell r="E2896" t="str">
            <v>LC</v>
          </cell>
          <cell r="F2896" t="str">
            <v>Woods &amp; Coppins, 2012</v>
          </cell>
          <cell r="G2896" t="str">
            <v>NHMSYS0001496278</v>
          </cell>
          <cell r="H2896" t="str">
            <v>Rhizocarpon lavatum</v>
          </cell>
        </row>
        <row r="2897">
          <cell r="A2897" t="str">
            <v>Rhizocarpon lecanorinum</v>
          </cell>
          <cell r="B2897" t="str">
            <v>Lichens</v>
          </cell>
          <cell r="C2897" t="str">
            <v>Mycophycophyta</v>
          </cell>
          <cell r="D2897" t="str">
            <v>Rhizocarpon lecanorinum</v>
          </cell>
          <cell r="E2897" t="str">
            <v>LC</v>
          </cell>
          <cell r="F2897" t="str">
            <v>Woods &amp; Coppins, 2012</v>
          </cell>
          <cell r="G2897" t="str">
            <v>NBNSYS0000039766</v>
          </cell>
          <cell r="H2897" t="str">
            <v>Rhizocarpon lecanorinum</v>
          </cell>
        </row>
        <row r="2898">
          <cell r="A2898" t="str">
            <v>Rhizocarpon oederi</v>
          </cell>
          <cell r="B2898" t="str">
            <v>Lichens</v>
          </cell>
          <cell r="C2898" t="str">
            <v>Mycophycophyta</v>
          </cell>
          <cell r="D2898" t="str">
            <v>Rhizocarpon oederi</v>
          </cell>
          <cell r="E2898" t="str">
            <v>LC</v>
          </cell>
          <cell r="F2898" t="str">
            <v>Woods &amp; Coppins, 2012</v>
          </cell>
          <cell r="G2898" t="str">
            <v>NHMSYS0001496284</v>
          </cell>
          <cell r="H2898" t="str">
            <v>Rhizocarpon oederi</v>
          </cell>
        </row>
        <row r="2899">
          <cell r="A2899" t="str">
            <v>Rhizocarpon petraeum</v>
          </cell>
          <cell r="B2899" t="str">
            <v>Lichens</v>
          </cell>
          <cell r="C2899" t="str">
            <v>Mycophycophyta</v>
          </cell>
          <cell r="D2899" t="str">
            <v>Rhizocarpon petraeum</v>
          </cell>
          <cell r="E2899" t="str">
            <v>LC</v>
          </cell>
          <cell r="F2899" t="str">
            <v>Woods &amp; Coppins, 2012</v>
          </cell>
          <cell r="G2899" t="str">
            <v>NHMSYS0001496285</v>
          </cell>
          <cell r="H2899" t="str">
            <v>Rhizocarpon petraeum</v>
          </cell>
        </row>
        <row r="2900">
          <cell r="A2900" t="str">
            <v>Rhizocarpon polycarpum</v>
          </cell>
          <cell r="B2900" t="str">
            <v>Lichens</v>
          </cell>
          <cell r="C2900" t="str">
            <v>Mycophycophyta</v>
          </cell>
          <cell r="D2900" t="str">
            <v>Rhizocarpon polycarpum</v>
          </cell>
          <cell r="E2900" t="str">
            <v>LC</v>
          </cell>
          <cell r="F2900" t="str">
            <v>Woods &amp; Coppins, 2012</v>
          </cell>
          <cell r="G2900" t="str">
            <v>NBNSYS0000039771</v>
          </cell>
          <cell r="H2900" t="str">
            <v>Rhizocarpon polycarpum</v>
          </cell>
        </row>
        <row r="2901">
          <cell r="A2901" t="str">
            <v>Rhizocarpon reductum</v>
          </cell>
          <cell r="B2901" t="str">
            <v>Lichens</v>
          </cell>
          <cell r="C2901" t="str">
            <v>Mycophycophyta</v>
          </cell>
          <cell r="D2901" t="str">
            <v>Rhizocarpon reductum</v>
          </cell>
          <cell r="E2901" t="str">
            <v>LC</v>
          </cell>
          <cell r="F2901" t="str">
            <v>Woods &amp; Coppins, 2012</v>
          </cell>
          <cell r="G2901" t="str">
            <v>BMSSYS0000016240</v>
          </cell>
          <cell r="H2901" t="str">
            <v>Rhizocarpon reductum</v>
          </cell>
        </row>
        <row r="2902">
          <cell r="A2902" t="str">
            <v>Rhizocarpon richardii</v>
          </cell>
          <cell r="B2902" t="str">
            <v>Lichens</v>
          </cell>
          <cell r="C2902" t="str">
            <v>Mycophycophyta</v>
          </cell>
          <cell r="D2902" t="str">
            <v>Rhizocarpon richardii</v>
          </cell>
          <cell r="E2902" t="str">
            <v>LC</v>
          </cell>
          <cell r="F2902" t="str">
            <v>Woods &amp; Coppins, 2012</v>
          </cell>
          <cell r="G2902" t="str">
            <v>NHMSYS0001496288</v>
          </cell>
          <cell r="H2902" t="str">
            <v>Rhizocarpon richardii</v>
          </cell>
        </row>
        <row r="2903">
          <cell r="A2903" t="str">
            <v>Rhizocarpon subgeminatum</v>
          </cell>
          <cell r="B2903" t="str">
            <v>Lichens</v>
          </cell>
          <cell r="C2903" t="str">
            <v>Mycophycophyta</v>
          </cell>
          <cell r="D2903" t="str">
            <v>Rhizocarpon subgeminatum</v>
          </cell>
          <cell r="E2903" t="str">
            <v>LC</v>
          </cell>
          <cell r="F2903" t="str">
            <v>Woods &amp; Coppins, 2012</v>
          </cell>
          <cell r="G2903" t="str">
            <v>NBNSYS0000039775</v>
          </cell>
          <cell r="H2903" t="str">
            <v>Rhizocarpon subgeminatum</v>
          </cell>
        </row>
        <row r="2904">
          <cell r="A2904" t="str">
            <v>Rhizocarpon umbilicatum</v>
          </cell>
          <cell r="B2904" t="str">
            <v>Lichens</v>
          </cell>
          <cell r="C2904" t="str">
            <v>Mycophycophyta</v>
          </cell>
          <cell r="D2904" t="str">
            <v>Rhizocarpon umbilicatum</v>
          </cell>
          <cell r="E2904" t="str">
            <v>LC</v>
          </cell>
          <cell r="F2904" t="str">
            <v>Woods &amp; Coppins, 2012</v>
          </cell>
          <cell r="G2904" t="str">
            <v>NBNSYS0000039777</v>
          </cell>
          <cell r="H2904" t="str">
            <v>Rhizocarpon umbilicatum</v>
          </cell>
        </row>
        <row r="2905">
          <cell r="A2905" t="str">
            <v>Rhizocarpon viridiatrum</v>
          </cell>
          <cell r="B2905" t="str">
            <v>Lichens</v>
          </cell>
          <cell r="C2905" t="str">
            <v>Mycophycophyta</v>
          </cell>
          <cell r="D2905" t="str">
            <v>Rhizocarpon viridiatrum</v>
          </cell>
          <cell r="E2905" t="str">
            <v>LC</v>
          </cell>
          <cell r="F2905" t="str">
            <v>Woods &amp; Coppins, 2012</v>
          </cell>
          <cell r="G2905" t="str">
            <v>NHMSYS0001496298</v>
          </cell>
          <cell r="H2905" t="str">
            <v>Rhizocarpon viridiatrum</v>
          </cell>
        </row>
        <row r="2906">
          <cell r="A2906" t="str">
            <v>Rhymbocarpus ericetorum</v>
          </cell>
          <cell r="B2906" t="str">
            <v>Lichens</v>
          </cell>
          <cell r="C2906" t="str">
            <v>Mycophycophyta</v>
          </cell>
          <cell r="D2906" t="str">
            <v>Rhymbocarpus ericetorum</v>
          </cell>
          <cell r="E2906" t="str">
            <v>LC</v>
          </cell>
          <cell r="F2906" t="str">
            <v>Woods &amp; Coppins, 2012</v>
          </cell>
          <cell r="G2906" t="str">
            <v>NHMSYS0020990824</v>
          </cell>
          <cell r="H2906" t="str">
            <v>Rhymbocarpus ericetorum</v>
          </cell>
        </row>
        <row r="2907">
          <cell r="A2907" t="str">
            <v>Rimularia badioatra</v>
          </cell>
          <cell r="B2907" t="str">
            <v>Lichens</v>
          </cell>
          <cell r="C2907" t="str">
            <v>Mycophycophyta</v>
          </cell>
          <cell r="D2907" t="str">
            <v>Rimularia badioatra</v>
          </cell>
          <cell r="E2907" t="str">
            <v>LC</v>
          </cell>
          <cell r="F2907" t="str">
            <v>Woods &amp; Coppins, 2012</v>
          </cell>
          <cell r="G2907" t="str">
            <v>NBNSYS0000018845</v>
          </cell>
          <cell r="H2907" t="str">
            <v>Rimularia badioatra</v>
          </cell>
        </row>
        <row r="2908">
          <cell r="A2908" t="str">
            <v>Rimularia furvella</v>
          </cell>
          <cell r="B2908" t="str">
            <v>Lichens</v>
          </cell>
          <cell r="C2908" t="str">
            <v>Mycophycophyta</v>
          </cell>
          <cell r="D2908" t="str">
            <v>Rimularia furvella</v>
          </cell>
          <cell r="E2908" t="str">
            <v>LC</v>
          </cell>
          <cell r="F2908" t="str">
            <v>Woods &amp; Coppins, 2012</v>
          </cell>
          <cell r="G2908" t="str">
            <v>BMSSYS0000046910</v>
          </cell>
          <cell r="H2908" t="str">
            <v>Rimularia furvella</v>
          </cell>
        </row>
        <row r="2909">
          <cell r="A2909" t="str">
            <v>Rimularia gyrizans</v>
          </cell>
          <cell r="B2909" t="str">
            <v>Lichens</v>
          </cell>
          <cell r="C2909" t="str">
            <v>Mycophycophyta</v>
          </cell>
          <cell r="D2909" t="str">
            <v>Rimularia gyrizans</v>
          </cell>
          <cell r="E2909" t="str">
            <v>LC</v>
          </cell>
          <cell r="F2909" t="str">
            <v>Woods &amp; Coppins, 2012</v>
          </cell>
          <cell r="G2909" t="str">
            <v>BMSSYS0000046913</v>
          </cell>
          <cell r="H2909" t="str">
            <v>Rimularia gyrizans</v>
          </cell>
        </row>
        <row r="2910">
          <cell r="A2910" t="str">
            <v>Rimularia insularis</v>
          </cell>
          <cell r="B2910" t="str">
            <v>Lichens</v>
          </cell>
          <cell r="C2910" t="str">
            <v>Mycophycophyta</v>
          </cell>
          <cell r="D2910" t="str">
            <v>Rimularia insularis</v>
          </cell>
          <cell r="E2910" t="str">
            <v>LC</v>
          </cell>
          <cell r="F2910" t="str">
            <v>Woods &amp; Coppins, 2012</v>
          </cell>
          <cell r="G2910" t="str">
            <v>BMSSYS0000046914</v>
          </cell>
          <cell r="H2910" t="str">
            <v>Rimularia insularis</v>
          </cell>
        </row>
        <row r="2911">
          <cell r="A2911" t="str">
            <v>Rimularia intercedens</v>
          </cell>
          <cell r="B2911" t="str">
            <v>Lichens</v>
          </cell>
          <cell r="C2911" t="str">
            <v>Mycophycophyta</v>
          </cell>
          <cell r="D2911" t="str">
            <v>Rimularia intercedens</v>
          </cell>
          <cell r="E2911" t="str">
            <v>LC</v>
          </cell>
          <cell r="F2911" t="str">
            <v>Woods &amp; Coppins, 2012</v>
          </cell>
          <cell r="G2911" t="str">
            <v>BMSSYS0000016407</v>
          </cell>
          <cell r="H2911" t="str">
            <v>Rimularia intercedens</v>
          </cell>
        </row>
        <row r="2912">
          <cell r="A2912" t="str">
            <v>Rimularia limborina</v>
          </cell>
          <cell r="B2912" t="str">
            <v>Lichens</v>
          </cell>
          <cell r="C2912" t="str">
            <v>Mycophycophyta</v>
          </cell>
          <cell r="D2912" t="str">
            <v>Rimularia limborina</v>
          </cell>
          <cell r="E2912" t="str">
            <v>LC</v>
          </cell>
          <cell r="F2912" t="str">
            <v>Woods &amp; Coppins, 2012</v>
          </cell>
          <cell r="G2912" t="str">
            <v>NBNSYS0000018685</v>
          </cell>
          <cell r="H2912" t="str">
            <v>Rimularia limborina</v>
          </cell>
        </row>
        <row r="2913">
          <cell r="A2913" t="str">
            <v>Rimularia mullensis</v>
          </cell>
          <cell r="B2913" t="str">
            <v>Lichens</v>
          </cell>
          <cell r="C2913" t="str">
            <v>Mycophycophyta</v>
          </cell>
          <cell r="D2913" t="str">
            <v>Rimularia mullensis</v>
          </cell>
          <cell r="E2913" t="str">
            <v>LC</v>
          </cell>
          <cell r="F2913" t="str">
            <v>Woods &amp; Coppins, 2012</v>
          </cell>
          <cell r="G2913" t="str">
            <v>NHMSYS0021576718</v>
          </cell>
          <cell r="H2913" t="str">
            <v>Rimularia mullensis</v>
          </cell>
        </row>
        <row r="2914">
          <cell r="A2914" t="str">
            <v>Rinodina aspersa</v>
          </cell>
          <cell r="B2914" t="str">
            <v>Lichens</v>
          </cell>
          <cell r="C2914" t="str">
            <v>Mycophycophyta</v>
          </cell>
          <cell r="D2914" t="str">
            <v>Rinodina aspersa</v>
          </cell>
          <cell r="E2914" t="str">
            <v>NT</v>
          </cell>
          <cell r="F2914" t="str">
            <v>Woods &amp; Coppins, 2012</v>
          </cell>
          <cell r="G2914" t="str">
            <v>NBNSYS0000018269</v>
          </cell>
          <cell r="H2914" t="str">
            <v>Rinodina aspersa</v>
          </cell>
        </row>
        <row r="2915">
          <cell r="A2915" t="str">
            <v>Rinodina atrocinerea</v>
          </cell>
          <cell r="B2915" t="str">
            <v>Lichens</v>
          </cell>
          <cell r="C2915" t="str">
            <v>Mycophycophyta</v>
          </cell>
          <cell r="D2915" t="str">
            <v>Rinodina atrocinerea</v>
          </cell>
          <cell r="E2915" t="str">
            <v>LC</v>
          </cell>
          <cell r="F2915" t="str">
            <v>Woods &amp; Coppins, 2012</v>
          </cell>
          <cell r="G2915" t="str">
            <v>NHMSYS0001496483</v>
          </cell>
          <cell r="H2915" t="str">
            <v>Rinodina atrocinerea</v>
          </cell>
        </row>
        <row r="2916">
          <cell r="A2916" t="str">
            <v>Rinodina beccariana</v>
          </cell>
          <cell r="B2916" t="str">
            <v>Lichens</v>
          </cell>
          <cell r="C2916" t="str">
            <v>Mycophycophyta</v>
          </cell>
          <cell r="D2916" t="str">
            <v>Rinodina beccariana</v>
          </cell>
          <cell r="E2916" t="str">
            <v>LC</v>
          </cell>
          <cell r="F2916" t="str">
            <v>Woods &amp; Coppins, 2012</v>
          </cell>
          <cell r="G2916" t="str">
            <v>BMSSYS0000016413</v>
          </cell>
          <cell r="H2916" t="str">
            <v>Rinodina beccariana</v>
          </cell>
        </row>
        <row r="2917">
          <cell r="A2917" t="str">
            <v>Rinodina bischoffii</v>
          </cell>
          <cell r="B2917" t="str">
            <v>Lichens</v>
          </cell>
          <cell r="C2917" t="str">
            <v>Mycophycophyta</v>
          </cell>
          <cell r="D2917" t="str">
            <v>Rinodina bischoffii</v>
          </cell>
          <cell r="E2917" t="str">
            <v>LC</v>
          </cell>
          <cell r="F2917" t="str">
            <v>Woods &amp; Coppins, 2012</v>
          </cell>
          <cell r="G2917" t="str">
            <v>NHMSYS0001496484</v>
          </cell>
          <cell r="H2917" t="str">
            <v>Rinodina bischoffii</v>
          </cell>
        </row>
        <row r="2918">
          <cell r="A2918" t="str">
            <v>Rinodina calcarea</v>
          </cell>
          <cell r="B2918" t="str">
            <v>Lichens</v>
          </cell>
          <cell r="C2918" t="str">
            <v>Mycophycophyta</v>
          </cell>
          <cell r="D2918" t="str">
            <v>Rinodina calcarea</v>
          </cell>
          <cell r="E2918" t="str">
            <v>LC</v>
          </cell>
          <cell r="F2918" t="str">
            <v>Woods &amp; Coppins, 2012</v>
          </cell>
          <cell r="G2918" t="str">
            <v>NHMSYS0001496486</v>
          </cell>
          <cell r="H2918" t="str">
            <v>Rinodina calcarea</v>
          </cell>
        </row>
        <row r="2919">
          <cell r="A2919" t="str">
            <v>Rinodina colobinoides</v>
          </cell>
          <cell r="B2919" t="str">
            <v>Lichens</v>
          </cell>
          <cell r="C2919" t="str">
            <v>Mycophycophyta</v>
          </cell>
          <cell r="D2919" t="str">
            <v>Rinodina colobinoides</v>
          </cell>
          <cell r="E2919" t="str">
            <v>VU</v>
          </cell>
          <cell r="F2919" t="str">
            <v>Woods &amp; Coppins, 2012</v>
          </cell>
          <cell r="G2919" t="str">
            <v>NBNSYS0000162239</v>
          </cell>
          <cell r="H2919" t="str">
            <v>Rinodina colobinoides</v>
          </cell>
        </row>
        <row r="2920">
          <cell r="A2920" t="str">
            <v>Rinodina confragosa</v>
          </cell>
          <cell r="B2920" t="str">
            <v>Lichens</v>
          </cell>
          <cell r="C2920" t="str">
            <v>Mycophycophyta</v>
          </cell>
          <cell r="D2920" t="str">
            <v>Rinodina confragosa</v>
          </cell>
          <cell r="E2920" t="str">
            <v>LC</v>
          </cell>
          <cell r="F2920" t="str">
            <v>Woods &amp; Coppins, 2012</v>
          </cell>
          <cell r="G2920" t="str">
            <v>NBNSYS0000019001</v>
          </cell>
          <cell r="H2920" t="str">
            <v>Rinodina confragosa</v>
          </cell>
        </row>
        <row r="2921">
          <cell r="A2921" t="str">
            <v>Rinodina conradii</v>
          </cell>
          <cell r="B2921" t="str">
            <v>Lichens</v>
          </cell>
          <cell r="C2921" t="str">
            <v>Mycophycophyta</v>
          </cell>
          <cell r="D2921" t="str">
            <v>Rinodina conradii</v>
          </cell>
          <cell r="E2921" t="str">
            <v>LC</v>
          </cell>
          <cell r="F2921" t="str">
            <v>Woods &amp; Coppins, 2012</v>
          </cell>
          <cell r="G2921" t="str">
            <v>NBNSYS0000019002</v>
          </cell>
          <cell r="H2921" t="str">
            <v>Rinodina conradii</v>
          </cell>
        </row>
        <row r="2922">
          <cell r="A2922" t="str">
            <v>Rinodina efflorescens</v>
          </cell>
          <cell r="B2922" t="str">
            <v>Lichens</v>
          </cell>
          <cell r="C2922" t="str">
            <v>Mycophycophyta</v>
          </cell>
          <cell r="D2922" t="str">
            <v>Rinodina efflorescens</v>
          </cell>
          <cell r="E2922" t="str">
            <v>LC</v>
          </cell>
          <cell r="F2922" t="str">
            <v>Woods &amp; Coppins, 2012</v>
          </cell>
          <cell r="G2922" t="str">
            <v>NBNSYS0000019003</v>
          </cell>
          <cell r="H2922" t="str">
            <v>Rinodina efflorescens</v>
          </cell>
        </row>
        <row r="2923">
          <cell r="A2923" t="str">
            <v>Rinodina fimbriata</v>
          </cell>
          <cell r="B2923" t="str">
            <v>Lichens</v>
          </cell>
          <cell r="C2923" t="str">
            <v>Mycophycophyta</v>
          </cell>
          <cell r="D2923" t="str">
            <v>Rinodina fimbriata</v>
          </cell>
          <cell r="E2923" t="str">
            <v>LC</v>
          </cell>
          <cell r="F2923" t="str">
            <v>Woods &amp; Coppins, 2012</v>
          </cell>
          <cell r="G2923" t="str">
            <v>BMSSYS0000016421</v>
          </cell>
          <cell r="H2923" t="str">
            <v>Rinodina fimbriata</v>
          </cell>
        </row>
        <row r="2924">
          <cell r="A2924" t="str">
            <v>Rinodina flavosoralifera</v>
          </cell>
          <cell r="B2924" t="str">
            <v>Lichens</v>
          </cell>
          <cell r="C2924" t="str">
            <v>Mycophycophyta</v>
          </cell>
          <cell r="D2924" t="str">
            <v>Rinodina flavosoralifera</v>
          </cell>
          <cell r="E2924" t="str">
            <v>NT</v>
          </cell>
          <cell r="F2924" t="str">
            <v>Woods &amp; Coppins, 2012</v>
          </cell>
          <cell r="G2924" t="str">
            <v>BMSSYS0000016422</v>
          </cell>
          <cell r="H2924" t="str">
            <v>Rinodina flavosoralifera</v>
          </cell>
        </row>
        <row r="2925">
          <cell r="A2925" t="str">
            <v>Rinodina griseosoralifera</v>
          </cell>
          <cell r="B2925" t="str">
            <v>Lichens</v>
          </cell>
          <cell r="C2925" t="str">
            <v>Mycophycophyta</v>
          </cell>
          <cell r="D2925" t="str">
            <v>Rinodina griseosoralifera</v>
          </cell>
          <cell r="E2925" t="str">
            <v>LC</v>
          </cell>
          <cell r="F2925" t="str">
            <v>Woods &amp; Coppins, 2012</v>
          </cell>
          <cell r="G2925" t="str">
            <v>NBNSYS0000039780</v>
          </cell>
          <cell r="H2925" t="str">
            <v>Rinodina griseosoralifera</v>
          </cell>
        </row>
        <row r="2926">
          <cell r="A2926" t="str">
            <v>Rinodina interpolata</v>
          </cell>
          <cell r="B2926" t="str">
            <v>Lichens</v>
          </cell>
          <cell r="C2926" t="str">
            <v>Mycophycophyta</v>
          </cell>
          <cell r="D2926" t="str">
            <v>Rinodina interpolata</v>
          </cell>
          <cell r="E2926" t="str">
            <v>NT</v>
          </cell>
          <cell r="F2926" t="str">
            <v>Woods &amp; Coppins, 2012</v>
          </cell>
          <cell r="G2926" t="str">
            <v>NBNSYS0000019007</v>
          </cell>
          <cell r="H2926" t="str">
            <v>Rinodina interpolata</v>
          </cell>
        </row>
        <row r="2927">
          <cell r="A2927" t="str">
            <v>Rinodina isidioides</v>
          </cell>
          <cell r="B2927" t="str">
            <v>Lichens</v>
          </cell>
          <cell r="C2927" t="str">
            <v>Mycophycophyta</v>
          </cell>
          <cell r="D2927" t="str">
            <v>Rinodina isidioides</v>
          </cell>
          <cell r="E2927" t="str">
            <v>NT</v>
          </cell>
          <cell r="F2927" t="str">
            <v>Woods &amp; Coppins, 2012</v>
          </cell>
          <cell r="G2927" t="str">
            <v>NBNSYS0000019008</v>
          </cell>
          <cell r="H2927" t="str">
            <v>Rinodina isidioides</v>
          </cell>
        </row>
        <row r="2928">
          <cell r="A2928" t="str">
            <v>Rinodina luridescens</v>
          </cell>
          <cell r="B2928" t="str">
            <v>Lichens</v>
          </cell>
          <cell r="C2928" t="str">
            <v>Mycophycophyta</v>
          </cell>
          <cell r="D2928" t="str">
            <v>Rinodina luridescens</v>
          </cell>
          <cell r="E2928" t="str">
            <v>LC</v>
          </cell>
          <cell r="F2928" t="str">
            <v>Woods &amp; Coppins, 2012</v>
          </cell>
          <cell r="G2928" t="str">
            <v>NBNSYS0000019010</v>
          </cell>
          <cell r="H2928" t="str">
            <v>Rinodina luridescens</v>
          </cell>
        </row>
        <row r="2929">
          <cell r="A2929" t="str">
            <v>Rinodina oleae</v>
          </cell>
          <cell r="B2929" t="str">
            <v>Lichens</v>
          </cell>
          <cell r="C2929" t="str">
            <v>Mycophycophyta</v>
          </cell>
          <cell r="D2929" t="str">
            <v>Rinodina oleae</v>
          </cell>
          <cell r="E2929" t="str">
            <v>LC</v>
          </cell>
          <cell r="F2929" t="str">
            <v>Woods &amp; Coppins, 2012</v>
          </cell>
          <cell r="G2929" t="str">
            <v>NHMSYS0001496502</v>
          </cell>
          <cell r="H2929" t="str">
            <v>Rinodina oleae</v>
          </cell>
        </row>
        <row r="2930">
          <cell r="A2930" t="str">
            <v>Rinodina orculariopsis</v>
          </cell>
          <cell r="B2930" t="str">
            <v>Lichens</v>
          </cell>
          <cell r="C2930" t="str">
            <v>Mycophycophyta</v>
          </cell>
          <cell r="D2930" t="str">
            <v>Rinodina orculariopsis</v>
          </cell>
          <cell r="E2930" t="str">
            <v>LC</v>
          </cell>
          <cell r="F2930" t="str">
            <v>Woods &amp; Coppins, 2012</v>
          </cell>
          <cell r="G2930" t="str">
            <v>NHMSYS0001496503</v>
          </cell>
          <cell r="H2930" t="str">
            <v>Rinodina orculariopsis</v>
          </cell>
        </row>
        <row r="2931">
          <cell r="A2931" t="str">
            <v>Rinodina oxydata</v>
          </cell>
          <cell r="B2931" t="str">
            <v>Lichens</v>
          </cell>
          <cell r="C2931" t="str">
            <v>Mycophycophyta</v>
          </cell>
          <cell r="D2931" t="str">
            <v>Rinodina oxydata</v>
          </cell>
          <cell r="E2931" t="str">
            <v>LC</v>
          </cell>
          <cell r="F2931" t="str">
            <v>Woods &amp; Coppins, 2012</v>
          </cell>
          <cell r="G2931" t="str">
            <v>NBNSYS0000019013</v>
          </cell>
          <cell r="H2931" t="str">
            <v>Rinodina oxydata</v>
          </cell>
        </row>
        <row r="2932">
          <cell r="A2932" t="str">
            <v>Rinodina pityrea</v>
          </cell>
          <cell r="B2932" t="str">
            <v>Lichens</v>
          </cell>
          <cell r="C2932" t="str">
            <v>Mycophycophyta</v>
          </cell>
          <cell r="D2932" t="str">
            <v>Rinodina pityrea</v>
          </cell>
          <cell r="E2932" t="str">
            <v>LC</v>
          </cell>
          <cell r="F2932" t="str">
            <v>Woods &amp; Coppins, 2012</v>
          </cell>
          <cell r="G2932" t="str">
            <v>BMSSYS0000016429</v>
          </cell>
          <cell r="H2932" t="str">
            <v>Rinodina pityrea</v>
          </cell>
        </row>
        <row r="2933">
          <cell r="A2933" t="str">
            <v>Rinodina roboris var. roboris, Rinodina roboris var. armeriicola</v>
          </cell>
          <cell r="B2933" t="str">
            <v>Lichens</v>
          </cell>
          <cell r="C2933" t="str">
            <v>Mycophycophyta</v>
          </cell>
          <cell r="D2933" t="str">
            <v>Rinodina roboris (var. roboris/var. armeriicola)</v>
          </cell>
          <cell r="E2933" t="str">
            <v>LC</v>
          </cell>
          <cell r="F2933" t="str">
            <v>Woods &amp; Coppins, 2012</v>
          </cell>
          <cell r="G2933" t="str">
            <v>NBNSYS0000019015</v>
          </cell>
          <cell r="H2933" t="str">
            <v>Rinodina roboris var. roboris, Rinodina roboris var. armeriicola</v>
          </cell>
        </row>
        <row r="2934">
          <cell r="A2934" t="str">
            <v>Rinodina sophodes</v>
          </cell>
          <cell r="B2934" t="str">
            <v>Lichens</v>
          </cell>
          <cell r="C2934" t="str">
            <v>Mycophycophyta</v>
          </cell>
          <cell r="D2934" t="str">
            <v>Rinodina sophodes</v>
          </cell>
          <cell r="E2934" t="str">
            <v>LC</v>
          </cell>
          <cell r="F2934" t="str">
            <v>Woods &amp; Coppins, 2012</v>
          </cell>
          <cell r="G2934" t="str">
            <v>NHMSYS0001496506</v>
          </cell>
          <cell r="H2934" t="str">
            <v>Rinodina sophodes</v>
          </cell>
        </row>
        <row r="2935">
          <cell r="A2935" t="str">
            <v>Rinodina teichophila</v>
          </cell>
          <cell r="B2935" t="str">
            <v>Lichens</v>
          </cell>
          <cell r="C2935" t="str">
            <v>Mycophycophyta</v>
          </cell>
          <cell r="D2935" t="str">
            <v>Rinodina teichophila</v>
          </cell>
          <cell r="E2935" t="str">
            <v>LC</v>
          </cell>
          <cell r="F2935" t="str">
            <v>Woods &amp; Coppins, 2012</v>
          </cell>
          <cell r="G2935" t="str">
            <v>NBNSYS0000019018</v>
          </cell>
          <cell r="H2935" t="str">
            <v>Rinodina teichophila</v>
          </cell>
        </row>
        <row r="2936">
          <cell r="A2936" t="str">
            <v>Roccella fuciformis</v>
          </cell>
          <cell r="B2936" t="str">
            <v>Lichens</v>
          </cell>
          <cell r="C2936" t="str">
            <v>Mycophycophyta</v>
          </cell>
          <cell r="D2936" t="str">
            <v>Roccella fuciformis</v>
          </cell>
          <cell r="E2936" t="str">
            <v>NT</v>
          </cell>
          <cell r="F2936" t="str">
            <v>Woods &amp; Coppins, 2012</v>
          </cell>
          <cell r="G2936" t="str">
            <v>NBNSYS0000019239</v>
          </cell>
          <cell r="H2936" t="str">
            <v>Roccella fuciformis</v>
          </cell>
        </row>
        <row r="2937">
          <cell r="A2937" t="str">
            <v>Roccella phycopsis</v>
          </cell>
          <cell r="B2937" t="str">
            <v>Lichens</v>
          </cell>
          <cell r="C2937" t="str">
            <v>Mycophycophyta</v>
          </cell>
          <cell r="D2937" t="str">
            <v>Roccella phycopsis</v>
          </cell>
          <cell r="E2937" t="str">
            <v>NT</v>
          </cell>
          <cell r="F2937" t="str">
            <v>Woods &amp; Coppins, 2012</v>
          </cell>
          <cell r="G2937" t="str">
            <v>NHMSYS0000364044</v>
          </cell>
          <cell r="H2937" t="str">
            <v>Roccella phycopsis</v>
          </cell>
        </row>
        <row r="2938">
          <cell r="A2938" t="str">
            <v>Romjularia lurida</v>
          </cell>
          <cell r="B2938" t="str">
            <v>Lichens</v>
          </cell>
          <cell r="C2938" t="str">
            <v>Mycophycophyta</v>
          </cell>
          <cell r="D2938" t="str">
            <v>Romjularia lurida</v>
          </cell>
          <cell r="E2938" t="str">
            <v>LC</v>
          </cell>
          <cell r="F2938" t="str">
            <v>Woods &amp; Coppins, 2012</v>
          </cell>
          <cell r="G2938" t="str">
            <v>NHMSYS0020536053</v>
          </cell>
          <cell r="H2938" t="str">
            <v>Romjularia lurida</v>
          </cell>
        </row>
        <row r="2939">
          <cell r="A2939" t="str">
            <v>Ropalospora viridis</v>
          </cell>
          <cell r="B2939" t="str">
            <v>Lichens</v>
          </cell>
          <cell r="C2939" t="str">
            <v>Mycophycophyta</v>
          </cell>
          <cell r="D2939" t="str">
            <v>Ropalospora viridis</v>
          </cell>
          <cell r="E2939" t="str">
            <v>LC</v>
          </cell>
          <cell r="F2939" t="str">
            <v>Woods &amp; Coppins, 2012</v>
          </cell>
          <cell r="G2939" t="str">
            <v>BMSSYS0000016450</v>
          </cell>
          <cell r="H2939" t="str">
            <v>Ropalospora viridis</v>
          </cell>
        </row>
        <row r="2940">
          <cell r="A2940" t="str">
            <v>Roselliniopsis tartaricola</v>
          </cell>
          <cell r="B2940" t="str">
            <v>Lichens</v>
          </cell>
          <cell r="C2940" t="str">
            <v>Mycophycophyta</v>
          </cell>
          <cell r="D2940" t="str">
            <v>Roselliniopsis tartaricola</v>
          </cell>
          <cell r="E2940" t="str">
            <v>LC</v>
          </cell>
          <cell r="F2940" t="str">
            <v>Woods &amp; Coppins, 2012</v>
          </cell>
          <cell r="G2940" t="str">
            <v>BMSSYS0000016470</v>
          </cell>
          <cell r="H2940" t="str">
            <v>Roselliniopsis tartaricola</v>
          </cell>
        </row>
        <row r="2941">
          <cell r="A2941" t="str">
            <v>Sagediopsis lomnitzensis</v>
          </cell>
          <cell r="B2941" t="str">
            <v>Lichens</v>
          </cell>
          <cell r="C2941" t="str">
            <v>Mycophycophyta</v>
          </cell>
          <cell r="D2941" t="str">
            <v>Sagediopsis lomnitzensis</v>
          </cell>
          <cell r="E2941" t="str">
            <v>LC</v>
          </cell>
          <cell r="F2941" t="str">
            <v>Woods &amp; Coppins, 2012</v>
          </cell>
          <cell r="G2941" t="str">
            <v>NHMSYS0001497031</v>
          </cell>
          <cell r="H2941" t="str">
            <v>Sagediopsis lomnitzensis</v>
          </cell>
        </row>
        <row r="2942">
          <cell r="A2942" t="str">
            <v>Sagiolechia protuberans</v>
          </cell>
          <cell r="B2942" t="str">
            <v>Lichens</v>
          </cell>
          <cell r="C2942" t="str">
            <v>Mycophycophyta</v>
          </cell>
          <cell r="D2942" t="str">
            <v>Sagiolechia protuberans</v>
          </cell>
          <cell r="E2942" t="str">
            <v>NT</v>
          </cell>
          <cell r="F2942" t="str">
            <v>Woods &amp; Coppins, 2012</v>
          </cell>
          <cell r="G2942" t="str">
            <v>NBNSYS0000016949</v>
          </cell>
          <cell r="H2942" t="str">
            <v>Sagiolechia protuberans</v>
          </cell>
        </row>
        <row r="2943">
          <cell r="A2943" t="str">
            <v>Sarcogyne clavus</v>
          </cell>
          <cell r="B2943" t="str">
            <v>Lichens</v>
          </cell>
          <cell r="C2943" t="str">
            <v>Mycophycophyta</v>
          </cell>
          <cell r="D2943" t="str">
            <v>Sarcogyne clavus</v>
          </cell>
          <cell r="E2943" t="str">
            <v>NT</v>
          </cell>
          <cell r="F2943" t="str">
            <v>Woods &amp; Coppins, 2012</v>
          </cell>
          <cell r="G2943" t="str">
            <v>NBNSYS0000019020</v>
          </cell>
          <cell r="H2943" t="str">
            <v>Sarcogyne clavus</v>
          </cell>
        </row>
        <row r="2944">
          <cell r="A2944" t="str">
            <v>Sarcogyne privigna</v>
          </cell>
          <cell r="B2944" t="str">
            <v>Lichens</v>
          </cell>
          <cell r="C2944" t="str">
            <v>Mycophycophyta</v>
          </cell>
          <cell r="D2944" t="str">
            <v>Sarcogyne privigna</v>
          </cell>
          <cell r="E2944" t="str">
            <v>LC</v>
          </cell>
          <cell r="F2944" t="str">
            <v>Woods &amp; Coppins, 2012</v>
          </cell>
          <cell r="G2944" t="str">
            <v>BMSSYS0000050918</v>
          </cell>
          <cell r="H2944" t="str">
            <v>Sarcogyne privigna</v>
          </cell>
        </row>
        <row r="2945">
          <cell r="A2945" t="str">
            <v>Sarcogyne regularis</v>
          </cell>
          <cell r="B2945" t="str">
            <v>Lichens</v>
          </cell>
          <cell r="C2945" t="str">
            <v>Mycophycophyta</v>
          </cell>
          <cell r="D2945" t="str">
            <v>Sarcogyne regularis</v>
          </cell>
          <cell r="E2945" t="str">
            <v>LC</v>
          </cell>
          <cell r="F2945" t="str">
            <v>Woods &amp; Coppins, 2012</v>
          </cell>
          <cell r="G2945" t="str">
            <v>NHMSYS0001497067</v>
          </cell>
          <cell r="H2945" t="str">
            <v>Sarcogyne regularis</v>
          </cell>
        </row>
        <row r="2946">
          <cell r="A2946" t="str">
            <v>Sarcopyrenia beckhausiana</v>
          </cell>
          <cell r="B2946" t="str">
            <v>Lichens</v>
          </cell>
          <cell r="C2946" t="str">
            <v>Mycophycophyta</v>
          </cell>
          <cell r="D2946" t="str">
            <v>Sarcopyrenia beckhausiana</v>
          </cell>
          <cell r="E2946" t="str">
            <v>LC</v>
          </cell>
          <cell r="F2946" t="str">
            <v>Woods &amp; Coppins, 2012</v>
          </cell>
          <cell r="G2946" t="str">
            <v>NHMSYS0001497073</v>
          </cell>
          <cell r="H2946" t="str">
            <v>Sarcopyrenia beckhausiana</v>
          </cell>
        </row>
        <row r="2947">
          <cell r="A2947" t="str">
            <v>Sarcopyrenia cylindrospora</v>
          </cell>
          <cell r="B2947" t="str">
            <v>Lichens</v>
          </cell>
          <cell r="C2947" t="str">
            <v>Mycophycophyta</v>
          </cell>
          <cell r="D2947" t="str">
            <v>Sarcopyrenia cylindrospora</v>
          </cell>
          <cell r="E2947" t="str">
            <v>LC</v>
          </cell>
          <cell r="F2947" t="str">
            <v>Woods &amp; Coppins, 2012</v>
          </cell>
          <cell r="G2947" t="str">
            <v>NBNSYS0000041628</v>
          </cell>
          <cell r="H2947" t="str">
            <v>Sarcopyrenia cylindrospora</v>
          </cell>
        </row>
        <row r="2948">
          <cell r="A2948" t="str">
            <v>Sarcopyrenia gibba var. geisleri</v>
          </cell>
          <cell r="B2948" t="str">
            <v>Lichens</v>
          </cell>
          <cell r="C2948" t="str">
            <v>Mycophycophyta</v>
          </cell>
          <cell r="D2948" t="str">
            <v>Sarcopyrenia gibba (var. geisleri)</v>
          </cell>
          <cell r="E2948" t="str">
            <v>LC</v>
          </cell>
          <cell r="F2948" t="str">
            <v>Woods &amp; Coppins, 2012</v>
          </cell>
          <cell r="G2948" t="str">
            <v>NHMSYS0001497074</v>
          </cell>
          <cell r="H2948" t="str">
            <v>Sarcopyrenia gibba var. geisleri</v>
          </cell>
        </row>
        <row r="2949">
          <cell r="A2949" t="str">
            <v>Schaereria cinereorufa</v>
          </cell>
          <cell r="B2949" t="str">
            <v>Lichens</v>
          </cell>
          <cell r="C2949" t="str">
            <v>Mycophycophyta</v>
          </cell>
          <cell r="D2949" t="str">
            <v>Schaereria cinereorufa</v>
          </cell>
          <cell r="E2949" t="str">
            <v>LC</v>
          </cell>
          <cell r="F2949" t="str">
            <v>Woods &amp; Coppins, 2012</v>
          </cell>
          <cell r="G2949" t="str">
            <v>NHMSYS0001497117</v>
          </cell>
          <cell r="H2949" t="str">
            <v>Schaereria cinereorufa</v>
          </cell>
        </row>
        <row r="2950">
          <cell r="A2950" t="str">
            <v>Schaereria fuscocinerea var. fuscocinerea, Schaereria fuscocinerea var. sorediata</v>
          </cell>
          <cell r="B2950" t="str">
            <v>Lichens</v>
          </cell>
          <cell r="C2950" t="str">
            <v>Mycophycophyta</v>
          </cell>
          <cell r="D2950" t="str">
            <v>Schaereria fuscocinerea (var. fuscocinerea/var. sorediata)</v>
          </cell>
          <cell r="E2950" t="str">
            <v>LC</v>
          </cell>
          <cell r="F2950" t="str">
            <v>Woods &amp; Coppins, 2012</v>
          </cell>
          <cell r="G2950" t="str">
            <v>NBNSYS0000019032</v>
          </cell>
          <cell r="H2950" t="str">
            <v>Schaereria fuscocinerea var. fuscocinerea, Schaereria fuscocinerea var. sorediata</v>
          </cell>
        </row>
        <row r="2951">
          <cell r="A2951" t="str">
            <v>Schismatomma cretaceum</v>
          </cell>
          <cell r="B2951" t="str">
            <v>Lichens</v>
          </cell>
          <cell r="C2951" t="str">
            <v>Mycophycophyta</v>
          </cell>
          <cell r="D2951" t="str">
            <v>Schismatomma cretaceum</v>
          </cell>
          <cell r="E2951" t="str">
            <v>LC</v>
          </cell>
          <cell r="F2951" t="str">
            <v>Woods &amp; Coppins, 2012</v>
          </cell>
          <cell r="G2951" t="str">
            <v>BMSSYS0000051495</v>
          </cell>
          <cell r="H2951" t="str">
            <v>Schismatomma cretaceum</v>
          </cell>
        </row>
        <row r="2952">
          <cell r="A2952" t="str">
            <v>Schismatomma decolorans</v>
          </cell>
          <cell r="B2952" t="str">
            <v>Lichens</v>
          </cell>
          <cell r="C2952" t="str">
            <v>Mycophycophyta</v>
          </cell>
          <cell r="D2952" t="str">
            <v>Schismatomma decolorans</v>
          </cell>
          <cell r="E2952" t="str">
            <v>LC</v>
          </cell>
          <cell r="F2952" t="str">
            <v>Woods &amp; Coppins, 2012</v>
          </cell>
          <cell r="G2952" t="str">
            <v>BMSSYS0000044794</v>
          </cell>
          <cell r="H2952" t="str">
            <v>Schismatomma decolorans</v>
          </cell>
        </row>
        <row r="2953">
          <cell r="A2953" t="str">
            <v>Schismatomma graphidioides</v>
          </cell>
          <cell r="B2953" t="str">
            <v>Lichens</v>
          </cell>
          <cell r="C2953" t="str">
            <v>Mycophycophyta</v>
          </cell>
          <cell r="D2953" t="str">
            <v>Schismatomma graphidioides</v>
          </cell>
          <cell r="E2953" t="str">
            <v>VU</v>
          </cell>
          <cell r="F2953" t="str">
            <v>Woods &amp; Coppins, 2012</v>
          </cell>
          <cell r="G2953" t="str">
            <v>NHMSYS0021576863</v>
          </cell>
          <cell r="H2953" t="str">
            <v>Schismatomma graphidioides</v>
          </cell>
        </row>
        <row r="2954">
          <cell r="A2954" t="str">
            <v>Schismatomma niveum</v>
          </cell>
          <cell r="B2954" t="str">
            <v>Lichens</v>
          </cell>
          <cell r="C2954" t="str">
            <v>Mycophycophyta</v>
          </cell>
          <cell r="D2954" t="str">
            <v>Schismatomma niveum</v>
          </cell>
          <cell r="E2954" t="str">
            <v>LC</v>
          </cell>
          <cell r="F2954" t="str">
            <v>Woods &amp; Coppins, 2012</v>
          </cell>
          <cell r="G2954" t="str">
            <v>BMSSYS0000731192</v>
          </cell>
          <cell r="H2954" t="str">
            <v>Schismatomma niveum</v>
          </cell>
        </row>
        <row r="2955">
          <cell r="A2955" t="str">
            <v>Schismatomma quercicola</v>
          </cell>
          <cell r="B2955" t="str">
            <v>Lichens</v>
          </cell>
          <cell r="C2955" t="str">
            <v>Mycophycophyta</v>
          </cell>
          <cell r="D2955" t="str">
            <v>Schismatomma quercicola</v>
          </cell>
          <cell r="E2955" t="str">
            <v>LC</v>
          </cell>
          <cell r="F2955" t="str">
            <v>Woods &amp; Coppins, 2012</v>
          </cell>
          <cell r="G2955" t="str">
            <v>BMSSYS0000731194</v>
          </cell>
          <cell r="H2955" t="str">
            <v>Schismatomma quercicola</v>
          </cell>
        </row>
        <row r="2956">
          <cell r="A2956" t="str">
            <v>Schismatomma umbrinum</v>
          </cell>
          <cell r="B2956" t="str">
            <v>Lichens</v>
          </cell>
          <cell r="C2956" t="str">
            <v>Mycophycophyta</v>
          </cell>
          <cell r="D2956" t="str">
            <v>Schismatomma umbrinum</v>
          </cell>
          <cell r="E2956" t="str">
            <v>LC</v>
          </cell>
          <cell r="F2956" t="str">
            <v>Woods &amp; Coppins, 2012</v>
          </cell>
          <cell r="G2956" t="str">
            <v>NBNSYS0000019196</v>
          </cell>
          <cell r="H2956" t="str">
            <v>Schismatomma umbrinum</v>
          </cell>
        </row>
        <row r="2957">
          <cell r="A2957" t="str">
            <v>Sclerococcum griseisporodochium</v>
          </cell>
          <cell r="B2957" t="str">
            <v>Lichens</v>
          </cell>
          <cell r="C2957" t="str">
            <v>Mycophycophyta</v>
          </cell>
          <cell r="D2957" t="str">
            <v>Sclerococcum griseisporodochium</v>
          </cell>
          <cell r="E2957" t="str">
            <v>NT</v>
          </cell>
          <cell r="F2957" t="str">
            <v>Woods &amp; Coppins, 2012</v>
          </cell>
          <cell r="G2957" t="str">
            <v>NHMSYS0020327885</v>
          </cell>
          <cell r="H2957" t="str">
            <v>Sclerococcum griseisporodochium</v>
          </cell>
        </row>
        <row r="2958">
          <cell r="A2958" t="str">
            <v>Sclerococcum sphaerale</v>
          </cell>
          <cell r="B2958" t="str">
            <v>Lichens</v>
          </cell>
          <cell r="C2958" t="str">
            <v>Mycophycophyta</v>
          </cell>
          <cell r="D2958" t="str">
            <v>Sclerococcum sphaerale</v>
          </cell>
          <cell r="E2958" t="str">
            <v>LC</v>
          </cell>
          <cell r="F2958" t="str">
            <v>Woods &amp; Coppins, 2012</v>
          </cell>
          <cell r="G2958" t="str">
            <v>NHMSYS0001497206</v>
          </cell>
          <cell r="H2958" t="str">
            <v>Sclerococcum sphaerale</v>
          </cell>
        </row>
        <row r="2959">
          <cell r="A2959" t="str">
            <v>Sclerophora farinacea</v>
          </cell>
          <cell r="B2959" t="str">
            <v>Lichens</v>
          </cell>
          <cell r="C2959" t="str">
            <v>Mycophycophyta</v>
          </cell>
          <cell r="D2959" t="str">
            <v>Sclerophora farinacea</v>
          </cell>
          <cell r="E2959" t="str">
            <v>EX</v>
          </cell>
          <cell r="F2959" t="str">
            <v>Woods &amp; Coppins, 2012</v>
          </cell>
          <cell r="G2959" t="str">
            <v>NHMSYS0001497250</v>
          </cell>
          <cell r="H2959" t="str">
            <v>Sclerophora farinacea</v>
          </cell>
        </row>
        <row r="2960">
          <cell r="A2960" t="str">
            <v>Sclerophora pallida</v>
          </cell>
          <cell r="B2960" t="str">
            <v>Lichens</v>
          </cell>
          <cell r="C2960" t="str">
            <v>Mycophycophyta</v>
          </cell>
          <cell r="D2960" t="str">
            <v>Sclerophora pallida</v>
          </cell>
          <cell r="E2960" t="str">
            <v>VU</v>
          </cell>
          <cell r="F2960" t="str">
            <v>Woods &amp; Coppins, 2012</v>
          </cell>
          <cell r="G2960" t="str">
            <v>NHMSYS0001497251</v>
          </cell>
          <cell r="H2960" t="str">
            <v>Sclerophora pallida</v>
          </cell>
        </row>
        <row r="2961">
          <cell r="A2961" t="str">
            <v>Sclerophora peronella</v>
          </cell>
          <cell r="B2961" t="str">
            <v>Lichens</v>
          </cell>
          <cell r="C2961" t="str">
            <v>Mycophycophyta</v>
          </cell>
          <cell r="D2961" t="str">
            <v>Sclerophora peronella</v>
          </cell>
          <cell r="E2961" t="str">
            <v>NT</v>
          </cell>
          <cell r="F2961" t="str">
            <v>Woods &amp; Coppins, 2012</v>
          </cell>
          <cell r="G2961" t="str">
            <v>NBNSYS0000015566</v>
          </cell>
          <cell r="H2961" t="str">
            <v>Sclerophora peronella</v>
          </cell>
        </row>
        <row r="2962">
          <cell r="A2962" t="str">
            <v>Scoliciosporum chlorococcum</v>
          </cell>
          <cell r="B2962" t="str">
            <v>Lichens</v>
          </cell>
          <cell r="C2962" t="str">
            <v>Mycophycophyta</v>
          </cell>
          <cell r="D2962" t="str">
            <v>Scoliciosporum chlorococcum</v>
          </cell>
          <cell r="E2962" t="str">
            <v>LC</v>
          </cell>
          <cell r="F2962" t="str">
            <v>Woods &amp; Coppins, 2012</v>
          </cell>
          <cell r="G2962" t="str">
            <v>NHMSYS0001497325</v>
          </cell>
          <cell r="H2962" t="str">
            <v>Scoliciosporum chlorococcum</v>
          </cell>
        </row>
        <row r="2963">
          <cell r="A2963" t="str">
            <v>Scoliciosporum curvatum</v>
          </cell>
          <cell r="B2963" t="str">
            <v>Lichens</v>
          </cell>
          <cell r="C2963" t="str">
            <v>Mycophycophyta</v>
          </cell>
          <cell r="D2963" t="str">
            <v>Scoliciosporum curvatum</v>
          </cell>
          <cell r="E2963" t="str">
            <v>LC</v>
          </cell>
          <cell r="F2963" t="str">
            <v>Woods &amp; Coppins, 2012</v>
          </cell>
          <cell r="G2963" t="str">
            <v>NHMSYS0001497327</v>
          </cell>
          <cell r="H2963" t="str">
            <v>Scoliciosporum curvatum</v>
          </cell>
        </row>
        <row r="2964">
          <cell r="A2964" t="str">
            <v>Scoliciosporum intrusum</v>
          </cell>
          <cell r="B2964" t="str">
            <v>Lichens</v>
          </cell>
          <cell r="C2964" t="str">
            <v>Mycophycophyta</v>
          </cell>
          <cell r="D2964" t="str">
            <v>Scoliciosporum intrusum</v>
          </cell>
          <cell r="E2964" t="str">
            <v>LC</v>
          </cell>
          <cell r="F2964" t="str">
            <v>Woods &amp; Coppins, 2012</v>
          </cell>
          <cell r="G2964" t="str">
            <v>NHMSYS0020039358</v>
          </cell>
          <cell r="H2964" t="str">
            <v>Scoliciosporum intrusum</v>
          </cell>
        </row>
        <row r="2965">
          <cell r="A2965" t="str">
            <v>Scoliciosporum pruinosum</v>
          </cell>
          <cell r="B2965" t="str">
            <v>Lichens</v>
          </cell>
          <cell r="C2965" t="str">
            <v>Mycophycophyta</v>
          </cell>
          <cell r="D2965" t="str">
            <v>Scoliciosporum pruinosum</v>
          </cell>
          <cell r="E2965" t="str">
            <v>LC</v>
          </cell>
          <cell r="F2965" t="str">
            <v>Woods &amp; Coppins, 2012</v>
          </cell>
          <cell r="G2965" t="str">
            <v>NHMSYS0001497329</v>
          </cell>
          <cell r="H2965" t="str">
            <v>Scoliciosporum pruinosum</v>
          </cell>
        </row>
        <row r="2966">
          <cell r="A2966" t="str">
            <v>Scoliciosporum sarothamni</v>
          </cell>
          <cell r="B2966" t="str">
            <v>Lichens</v>
          </cell>
          <cell r="C2966" t="str">
            <v>Mycophycophyta</v>
          </cell>
          <cell r="D2966" t="str">
            <v>Scoliciosporum sarothamni</v>
          </cell>
          <cell r="E2966" t="str">
            <v>LC</v>
          </cell>
          <cell r="F2966" t="str">
            <v>Woods &amp; Coppins, 2012</v>
          </cell>
          <cell r="G2966" t="str">
            <v>NHMSYS0001497330</v>
          </cell>
          <cell r="H2966" t="str">
            <v>Scoliciosporum sarothamni</v>
          </cell>
        </row>
        <row r="2967">
          <cell r="A2967" t="str">
            <v>Scoliciosporum umbrinum</v>
          </cell>
          <cell r="B2967" t="str">
            <v>Lichens</v>
          </cell>
          <cell r="C2967" t="str">
            <v>Mycophycophyta</v>
          </cell>
          <cell r="D2967" t="str">
            <v>Scoliciosporum umbrinum</v>
          </cell>
          <cell r="E2967" t="str">
            <v>LC</v>
          </cell>
          <cell r="F2967" t="str">
            <v>Woods &amp; Coppins, 2012</v>
          </cell>
          <cell r="G2967" t="str">
            <v>BMSSYS0000016782</v>
          </cell>
          <cell r="H2967" t="str">
            <v>Scoliciosporum umbrinum</v>
          </cell>
        </row>
        <row r="2968">
          <cell r="A2968" t="str">
            <v>Skyttea nitschkei</v>
          </cell>
          <cell r="B2968" t="str">
            <v>Lichens</v>
          </cell>
          <cell r="C2968" t="str">
            <v>Mycophycophyta</v>
          </cell>
          <cell r="D2968" t="str">
            <v>Skyttea nitschkei</v>
          </cell>
          <cell r="E2968" t="str">
            <v>LC</v>
          </cell>
          <cell r="F2968" t="str">
            <v>Woods &amp; Coppins, 2012</v>
          </cell>
          <cell r="G2968" t="str">
            <v>NHMSYS0001497625</v>
          </cell>
          <cell r="H2968" t="str">
            <v>Skyttea nitschkei</v>
          </cell>
        </row>
        <row r="2969">
          <cell r="A2969" t="str">
            <v>Solenopsora candicans</v>
          </cell>
          <cell r="B2969" t="str">
            <v>Lichens</v>
          </cell>
          <cell r="C2969" t="str">
            <v>Mycophycophyta</v>
          </cell>
          <cell r="D2969" t="str">
            <v>Solenopsora candicans</v>
          </cell>
          <cell r="E2969" t="str">
            <v>LC</v>
          </cell>
          <cell r="F2969" t="str">
            <v>Woods &amp; Coppins, 2012</v>
          </cell>
          <cell r="G2969" t="str">
            <v>NHMSYS0001497667</v>
          </cell>
          <cell r="H2969" t="str">
            <v>Solenopsora candicans</v>
          </cell>
        </row>
        <row r="2970">
          <cell r="A2970" t="str">
            <v>Solenopsora holophaea</v>
          </cell>
          <cell r="B2970" t="str">
            <v>Lichens</v>
          </cell>
          <cell r="C2970" t="str">
            <v>Mycophycophyta</v>
          </cell>
          <cell r="D2970" t="str">
            <v>Solenopsora holophaea</v>
          </cell>
          <cell r="E2970" t="str">
            <v>LC</v>
          </cell>
          <cell r="F2970" t="str">
            <v>Woods &amp; Coppins, 2012</v>
          </cell>
          <cell r="G2970" t="str">
            <v>NHMSYS0001497669</v>
          </cell>
          <cell r="H2970" t="str">
            <v>Solenopsora holophaea</v>
          </cell>
        </row>
        <row r="2971">
          <cell r="A2971" t="str">
            <v>Solenopsora liparina</v>
          </cell>
          <cell r="B2971" t="str">
            <v>Lichens</v>
          </cell>
          <cell r="C2971" t="str">
            <v>Mycophycophyta</v>
          </cell>
          <cell r="D2971" t="str">
            <v>Solenopsora liparina</v>
          </cell>
          <cell r="E2971" t="str">
            <v>VU</v>
          </cell>
          <cell r="F2971" t="str">
            <v>Woods &amp; Coppins, 2012</v>
          </cell>
          <cell r="G2971" t="str">
            <v>NBNSYS0000039787</v>
          </cell>
          <cell r="H2971" t="str">
            <v>Solenopsora liparina</v>
          </cell>
        </row>
        <row r="2972">
          <cell r="A2972" t="str">
            <v>Solenopsora vulturiensis</v>
          </cell>
          <cell r="B2972" t="str">
            <v>Lichens</v>
          </cell>
          <cell r="C2972" t="str">
            <v>Mycophycophyta</v>
          </cell>
          <cell r="D2972" t="str">
            <v>Solenopsora vulturiensis</v>
          </cell>
          <cell r="E2972" t="str">
            <v>LC</v>
          </cell>
          <cell r="F2972" t="str">
            <v>Woods &amp; Coppins, 2012</v>
          </cell>
          <cell r="G2972" t="str">
            <v>NHMSYS0001497670</v>
          </cell>
          <cell r="H2972" t="str">
            <v>Solenopsora vulturiensis</v>
          </cell>
        </row>
        <row r="2973">
          <cell r="A2973" t="str">
            <v>Solorina saccata</v>
          </cell>
          <cell r="B2973" t="str">
            <v>Lichens</v>
          </cell>
          <cell r="C2973" t="str">
            <v>Mycophycophyta</v>
          </cell>
          <cell r="D2973" t="str">
            <v>Solorina saccata</v>
          </cell>
          <cell r="E2973" t="str">
            <v>LC</v>
          </cell>
          <cell r="F2973" t="str">
            <v>Woods &amp; Coppins, 2012</v>
          </cell>
          <cell r="G2973" t="str">
            <v>NBNSYS0000019359</v>
          </cell>
          <cell r="H2973" t="str">
            <v>Solorina saccata</v>
          </cell>
        </row>
        <row r="2974">
          <cell r="A2974" t="str">
            <v>Solorina spongiosa</v>
          </cell>
          <cell r="B2974" t="str">
            <v>Lichens</v>
          </cell>
          <cell r="C2974" t="str">
            <v>Mycophycophyta</v>
          </cell>
          <cell r="D2974" t="str">
            <v>Solorina spongiosa</v>
          </cell>
          <cell r="E2974" t="str">
            <v>LC</v>
          </cell>
          <cell r="F2974" t="str">
            <v>Woods &amp; Coppins, 2012</v>
          </cell>
          <cell r="G2974" t="str">
            <v>NBNSYS0000019360</v>
          </cell>
          <cell r="H2974" t="str">
            <v>Solorina spongiosa</v>
          </cell>
        </row>
        <row r="2975">
          <cell r="A2975" t="str">
            <v>Sphaerophorus fragilis</v>
          </cell>
          <cell r="B2975" t="str">
            <v>Lichens</v>
          </cell>
          <cell r="C2975" t="str">
            <v>Mycophycophyta</v>
          </cell>
          <cell r="D2975" t="str">
            <v>Sphaerophorus fragilis</v>
          </cell>
          <cell r="E2975" t="str">
            <v>LC</v>
          </cell>
          <cell r="F2975" t="str">
            <v>Woods &amp; Coppins, 2012</v>
          </cell>
          <cell r="G2975" t="str">
            <v>NBNSYS0000015579</v>
          </cell>
          <cell r="H2975" t="str">
            <v>Sphaerophorus fragilis</v>
          </cell>
        </row>
        <row r="2976">
          <cell r="A2976" t="str">
            <v>Sphaerophorus globosus</v>
          </cell>
          <cell r="B2976" t="str">
            <v>Lichens</v>
          </cell>
          <cell r="C2976" t="str">
            <v>Mycophycophyta</v>
          </cell>
          <cell r="D2976" t="str">
            <v>Sphaerophorus globosus</v>
          </cell>
          <cell r="E2976" t="str">
            <v>LC</v>
          </cell>
          <cell r="F2976" t="str">
            <v>Woods &amp; Coppins, 2012</v>
          </cell>
          <cell r="G2976" t="str">
            <v>NBNSYS0000015580</v>
          </cell>
          <cell r="H2976" t="str">
            <v>Sphaerophorus globosus</v>
          </cell>
        </row>
        <row r="2977">
          <cell r="A2977" t="str">
            <v>Sphinctrina turbinata</v>
          </cell>
          <cell r="B2977" t="str">
            <v>Lichens</v>
          </cell>
          <cell r="C2977" t="str">
            <v>Mycophycophyta</v>
          </cell>
          <cell r="D2977" t="str">
            <v>Sphinctrina turbinata</v>
          </cell>
          <cell r="E2977" t="str">
            <v>LC</v>
          </cell>
          <cell r="F2977" t="str">
            <v>Woods &amp; Coppins, 2012</v>
          </cell>
          <cell r="G2977" t="str">
            <v>NBNSYS0000015585</v>
          </cell>
          <cell r="H2977" t="str">
            <v>Sphinctrina turbinata</v>
          </cell>
        </row>
        <row r="2978">
          <cell r="A2978" t="str">
            <v>Spiloma auratum</v>
          </cell>
          <cell r="B2978" t="str">
            <v>Lichens</v>
          </cell>
          <cell r="C2978" t="str">
            <v>Mycophycophyta</v>
          </cell>
          <cell r="D2978" t="str">
            <v>Spiloma auratum</v>
          </cell>
          <cell r="E2978" t="str">
            <v>LC</v>
          </cell>
          <cell r="F2978" t="str">
            <v>Woods &amp; Coppins, 2012</v>
          </cell>
          <cell r="G2978" t="str">
            <v>NHMSYS0001498659</v>
          </cell>
          <cell r="H2978" t="str">
            <v>Spiloma auratum</v>
          </cell>
        </row>
        <row r="2979">
          <cell r="A2979" t="str">
            <v>Spilonema paradoxum</v>
          </cell>
          <cell r="B2979" t="str">
            <v>Lichens</v>
          </cell>
          <cell r="C2979" t="str">
            <v>Mycophycophyta</v>
          </cell>
          <cell r="D2979" t="str">
            <v>Spilonema paradoxum</v>
          </cell>
          <cell r="E2979" t="str">
            <v>NT</v>
          </cell>
          <cell r="F2979" t="str">
            <v>Woods &amp; Coppins, 2012</v>
          </cell>
          <cell r="G2979" t="str">
            <v>NBNSYS0000019045</v>
          </cell>
          <cell r="H2979" t="str">
            <v>Spilonema paradoxum</v>
          </cell>
        </row>
        <row r="2980">
          <cell r="A2980" t="str">
            <v>Spirographa fusisporella</v>
          </cell>
          <cell r="B2980" t="str">
            <v>Lichens</v>
          </cell>
          <cell r="C2980" t="str">
            <v>Mycophycophyta</v>
          </cell>
          <cell r="D2980" t="str">
            <v>Spirographa fusisporella</v>
          </cell>
          <cell r="E2980" t="str">
            <v>LC</v>
          </cell>
          <cell r="F2980" t="str">
            <v>Woods &amp; Coppins, 2012</v>
          </cell>
          <cell r="G2980" t="str">
            <v>NHMSYS0001498687</v>
          </cell>
          <cell r="H2980" t="str">
            <v>Spirographa fusisporella</v>
          </cell>
        </row>
        <row r="2981">
          <cell r="A2981" t="str">
            <v>Squamarina cartilaginea</v>
          </cell>
          <cell r="B2981" t="str">
            <v>Lichens</v>
          </cell>
          <cell r="C2981" t="str">
            <v>Mycophycophyta</v>
          </cell>
          <cell r="D2981" t="str">
            <v>Squamarina cartilaginea</v>
          </cell>
          <cell r="E2981" t="str">
            <v>LC</v>
          </cell>
          <cell r="F2981" t="str">
            <v>Woods &amp; Coppins, 2012</v>
          </cell>
          <cell r="G2981" t="str">
            <v>NHMSYS0001498818</v>
          </cell>
          <cell r="H2981" t="str">
            <v>Squamarina cartilaginea</v>
          </cell>
        </row>
        <row r="2982">
          <cell r="A2982" t="str">
            <v>Squamarina lentigera</v>
          </cell>
          <cell r="B2982" t="str">
            <v>Lichens</v>
          </cell>
          <cell r="C2982" t="str">
            <v>Mycophycophyta</v>
          </cell>
          <cell r="D2982" t="str">
            <v>Squamarina lentigera</v>
          </cell>
          <cell r="E2982" t="str">
            <v>CR</v>
          </cell>
          <cell r="F2982" t="str">
            <v>Woods &amp; Coppins, 2012</v>
          </cell>
          <cell r="G2982" t="str">
            <v>NBNSYS0000019050</v>
          </cell>
          <cell r="H2982" t="str">
            <v>Squamarina lentigera</v>
          </cell>
        </row>
        <row r="2983">
          <cell r="A2983" t="str">
            <v>Staurothele bacilligera</v>
          </cell>
          <cell r="B2983" t="str">
            <v>Lichens</v>
          </cell>
          <cell r="C2983" t="str">
            <v>Mycophycophyta</v>
          </cell>
          <cell r="D2983" t="str">
            <v>Staurothele bacilligera</v>
          </cell>
          <cell r="E2983" t="str">
            <v>NT</v>
          </cell>
          <cell r="F2983" t="str">
            <v>Woods &amp; Coppins, 2012</v>
          </cell>
          <cell r="G2983" t="str">
            <v>NBNSYS0000020636</v>
          </cell>
          <cell r="H2983" t="str">
            <v>Staurothele bacilligera</v>
          </cell>
        </row>
        <row r="2984">
          <cell r="A2984" t="str">
            <v>Staurothele caesia</v>
          </cell>
          <cell r="B2984" t="str">
            <v>Lichens</v>
          </cell>
          <cell r="C2984" t="str">
            <v>Mycophycophyta</v>
          </cell>
          <cell r="D2984" t="str">
            <v>Staurothele caesia</v>
          </cell>
          <cell r="E2984" t="str">
            <v>LC</v>
          </cell>
          <cell r="F2984" t="str">
            <v>Woods &amp; Coppins, 2012</v>
          </cell>
          <cell r="G2984" t="str">
            <v>NBNSYS0000020637</v>
          </cell>
          <cell r="H2984" t="str">
            <v>Staurothele caesia</v>
          </cell>
        </row>
        <row r="2985">
          <cell r="A2985" t="str">
            <v>Staurothele fissa</v>
          </cell>
          <cell r="B2985" t="str">
            <v>Lichens</v>
          </cell>
          <cell r="C2985" t="str">
            <v>Mycophycophyta</v>
          </cell>
          <cell r="D2985" t="str">
            <v>Staurothele fissa</v>
          </cell>
          <cell r="E2985" t="str">
            <v>LC</v>
          </cell>
          <cell r="F2985" t="str">
            <v>Woods &amp; Coppins, 2012</v>
          </cell>
          <cell r="G2985" t="str">
            <v>NBNSYS0000020640</v>
          </cell>
          <cell r="H2985" t="str">
            <v>Staurothele fissa</v>
          </cell>
        </row>
        <row r="2986">
          <cell r="A2986" t="str">
            <v>Staurothele hymenogonia</v>
          </cell>
          <cell r="B2986" t="str">
            <v>Lichens</v>
          </cell>
          <cell r="C2986" t="str">
            <v>Mycophycophyta</v>
          </cell>
          <cell r="D2986" t="str">
            <v>Staurothele hymenogonia</v>
          </cell>
          <cell r="E2986" t="str">
            <v>LC</v>
          </cell>
          <cell r="F2986" t="str">
            <v>Woods &amp; Coppins, 2012</v>
          </cell>
          <cell r="G2986" t="str">
            <v>NHMSYS0001498853</v>
          </cell>
          <cell r="H2986" t="str">
            <v>Staurothele hymenogonia</v>
          </cell>
        </row>
        <row r="2987">
          <cell r="A2987" t="str">
            <v>Staurothele rugulosa</v>
          </cell>
          <cell r="B2987" t="str">
            <v>Lichens</v>
          </cell>
          <cell r="C2987" t="str">
            <v>Mycophycophyta</v>
          </cell>
          <cell r="D2987" t="str">
            <v>Staurothele rugulosa</v>
          </cell>
          <cell r="E2987" t="str">
            <v>NT</v>
          </cell>
          <cell r="F2987" t="str">
            <v>Woods &amp; Coppins, 2012</v>
          </cell>
          <cell r="G2987" t="str">
            <v>NBNSYS0000020643</v>
          </cell>
          <cell r="H2987" t="str">
            <v>Staurothele rugulosa</v>
          </cell>
        </row>
        <row r="2988">
          <cell r="A2988" t="str">
            <v>Staurothele rupifraga</v>
          </cell>
          <cell r="B2988" t="str">
            <v>Lichens</v>
          </cell>
          <cell r="C2988" t="str">
            <v>Mycophycophyta</v>
          </cell>
          <cell r="D2988" t="str">
            <v>Staurothele rupifraga</v>
          </cell>
          <cell r="E2988" t="str">
            <v>LC</v>
          </cell>
          <cell r="F2988" t="str">
            <v>Woods &amp; Coppins, 2012</v>
          </cell>
          <cell r="G2988" t="str">
            <v>NHMSYS0001498854</v>
          </cell>
          <cell r="H2988" t="str">
            <v>Staurothele rupifraga</v>
          </cell>
        </row>
        <row r="2989">
          <cell r="A2989" t="str">
            <v>Staurothele succedens</v>
          </cell>
          <cell r="B2989" t="str">
            <v>Lichens</v>
          </cell>
          <cell r="C2989" t="str">
            <v>Mycophycophyta</v>
          </cell>
          <cell r="D2989" t="str">
            <v>Staurothele succedens</v>
          </cell>
          <cell r="E2989" t="str">
            <v>LC</v>
          </cell>
          <cell r="F2989" t="str">
            <v>Woods &amp; Coppins, 2012</v>
          </cell>
          <cell r="G2989" t="str">
            <v>NBNSYS0000020645</v>
          </cell>
          <cell r="H2989" t="str">
            <v>Staurothele succedens</v>
          </cell>
        </row>
        <row r="2990">
          <cell r="A2990" t="str">
            <v>Steinia geophana</v>
          </cell>
          <cell r="B2990" t="str">
            <v>Lichens</v>
          </cell>
          <cell r="C2990" t="str">
            <v>Mycophycophyta</v>
          </cell>
          <cell r="D2990" t="str">
            <v>Steinia geophana</v>
          </cell>
          <cell r="E2990" t="str">
            <v>LC</v>
          </cell>
          <cell r="F2990" t="str">
            <v>Woods &amp; Coppins, 2012</v>
          </cell>
          <cell r="G2990" t="str">
            <v>NBNSYS0000019051</v>
          </cell>
          <cell r="H2990" t="str">
            <v>Steinia geophana</v>
          </cell>
        </row>
        <row r="2991">
          <cell r="A2991" t="str">
            <v>Stenocybe nitida</v>
          </cell>
          <cell r="B2991" t="str">
            <v>Lichens</v>
          </cell>
          <cell r="C2991" t="str">
            <v>Mycophycophyta</v>
          </cell>
          <cell r="D2991" t="str">
            <v>Stenocybe nitida</v>
          </cell>
          <cell r="E2991" t="str">
            <v>LC</v>
          </cell>
          <cell r="F2991" t="str">
            <v>Woods &amp; Coppins, 2012</v>
          </cell>
          <cell r="G2991" t="str">
            <v>NHMSYS0001498918</v>
          </cell>
          <cell r="H2991" t="str">
            <v>Stenocybe nitida</v>
          </cell>
        </row>
        <row r="2992">
          <cell r="A2992" t="str">
            <v>Stenocybe pullatula</v>
          </cell>
          <cell r="B2992" t="str">
            <v>Lichens</v>
          </cell>
          <cell r="C2992" t="str">
            <v>Mycophycophyta</v>
          </cell>
          <cell r="D2992" t="str">
            <v>Stenocybe pullatula</v>
          </cell>
          <cell r="E2992" t="str">
            <v>LC</v>
          </cell>
          <cell r="F2992" t="str">
            <v>Woods &amp; Coppins, 2012</v>
          </cell>
          <cell r="G2992" t="str">
            <v>BMSSYS0000017943</v>
          </cell>
          <cell r="H2992" t="str">
            <v>Stenocybe pullatula</v>
          </cell>
        </row>
        <row r="2993">
          <cell r="A2993" t="str">
            <v>Stenocybe septata</v>
          </cell>
          <cell r="B2993" t="str">
            <v>Lichens</v>
          </cell>
          <cell r="C2993" t="str">
            <v>Mycophycophyta</v>
          </cell>
          <cell r="D2993" t="str">
            <v>Stenocybe septata</v>
          </cell>
          <cell r="E2993" t="str">
            <v>LC</v>
          </cell>
          <cell r="F2993" t="str">
            <v>Woods &amp; Coppins, 2012</v>
          </cell>
          <cell r="G2993" t="str">
            <v>NHMSYS0001498919</v>
          </cell>
          <cell r="H2993" t="str">
            <v>Stenocybe septata</v>
          </cell>
        </row>
        <row r="2994">
          <cell r="A2994" t="str">
            <v>Stereocaulon alpinum</v>
          </cell>
          <cell r="B2994" t="str">
            <v>Lichens</v>
          </cell>
          <cell r="C2994" t="str">
            <v>Mycophycophyta</v>
          </cell>
          <cell r="D2994" t="str">
            <v>Stereocaulon alpinum</v>
          </cell>
          <cell r="E2994" t="str">
            <v>NT</v>
          </cell>
          <cell r="F2994" t="str">
            <v>Woods &amp; Coppins, 2012</v>
          </cell>
          <cell r="G2994" t="str">
            <v>NBNSYS0000019052</v>
          </cell>
          <cell r="H2994" t="str">
            <v>Stereocaulon alpinum</v>
          </cell>
        </row>
        <row r="2995">
          <cell r="A2995" t="str">
            <v>Stereocaulon condensatum</v>
          </cell>
          <cell r="B2995" t="str">
            <v>Lichens</v>
          </cell>
          <cell r="C2995" t="str">
            <v>Mycophycophyta</v>
          </cell>
          <cell r="D2995" t="str">
            <v>Stereocaulon condensatum</v>
          </cell>
          <cell r="E2995" t="str">
            <v>LC</v>
          </cell>
          <cell r="F2995" t="str">
            <v>Woods &amp; Coppins, 2012</v>
          </cell>
          <cell r="G2995" t="str">
            <v>NBNSYS0000019054</v>
          </cell>
          <cell r="H2995" t="str">
            <v>Stereocaulon condensatum</v>
          </cell>
        </row>
        <row r="2996">
          <cell r="A2996" t="str">
            <v>Stereocaulon delisei</v>
          </cell>
          <cell r="B2996" t="str">
            <v>Lichens</v>
          </cell>
          <cell r="C2996" t="str">
            <v>Mycophycophyta</v>
          </cell>
          <cell r="D2996" t="str">
            <v>Stereocaulon delisei</v>
          </cell>
          <cell r="E2996" t="str">
            <v>NT</v>
          </cell>
          <cell r="F2996" t="str">
            <v>Woods &amp; Coppins, 2012</v>
          </cell>
          <cell r="G2996" t="str">
            <v>NBNSYS0000019057</v>
          </cell>
          <cell r="H2996" t="str">
            <v>Stereocaulon delisei</v>
          </cell>
        </row>
        <row r="2997">
          <cell r="A2997" t="str">
            <v>Stereocaulon evolutum</v>
          </cell>
          <cell r="B2997" t="str">
            <v>Lichens</v>
          </cell>
          <cell r="C2997" t="str">
            <v>Mycophycophyta</v>
          </cell>
          <cell r="D2997" t="str">
            <v>Stereocaulon evolutum</v>
          </cell>
          <cell r="E2997" t="str">
            <v>LC</v>
          </cell>
          <cell r="F2997" t="str">
            <v>Woods &amp; Coppins, 2012</v>
          </cell>
          <cell r="G2997" t="str">
            <v>NBNSYS0000019058</v>
          </cell>
          <cell r="H2997" t="str">
            <v>Stereocaulon evolutum</v>
          </cell>
        </row>
        <row r="2998">
          <cell r="A2998" t="str">
            <v>Stereocaulon leucophaeopsis</v>
          </cell>
          <cell r="B2998" t="str">
            <v>Lichens</v>
          </cell>
          <cell r="C2998" t="str">
            <v>Mycophycophyta</v>
          </cell>
          <cell r="D2998" t="str">
            <v>Stereocaulon leucophaeopsis</v>
          </cell>
          <cell r="E2998" t="str">
            <v>LC</v>
          </cell>
          <cell r="F2998" t="str">
            <v>Woods &amp; Coppins, 2012</v>
          </cell>
          <cell r="G2998" t="str">
            <v>NBNSYS0000019094</v>
          </cell>
          <cell r="H2998" t="str">
            <v>Stereocaulon leucophaeopsis</v>
          </cell>
        </row>
        <row r="2999">
          <cell r="A2999" t="str">
            <v>Stereocaulon nanodes</v>
          </cell>
          <cell r="B2999" t="str">
            <v>Lichens</v>
          </cell>
          <cell r="C2999" t="str">
            <v>Mycophycophyta</v>
          </cell>
          <cell r="D2999" t="str">
            <v>Stereocaulon nanodes</v>
          </cell>
          <cell r="E2999" t="str">
            <v>LC</v>
          </cell>
          <cell r="F2999" t="str">
            <v>Woods &amp; Coppins, 2012</v>
          </cell>
          <cell r="G2999" t="str">
            <v>NBNSYS0000019060</v>
          </cell>
          <cell r="H2999" t="str">
            <v>Stereocaulon nanodes</v>
          </cell>
        </row>
        <row r="3000">
          <cell r="A3000" t="str">
            <v>Stereocaulon pileatum</v>
          </cell>
          <cell r="B3000" t="str">
            <v>Lichens</v>
          </cell>
          <cell r="C3000" t="str">
            <v>Mycophycophyta</v>
          </cell>
          <cell r="D3000" t="str">
            <v>Stereocaulon pileatum</v>
          </cell>
          <cell r="E3000" t="str">
            <v>LC</v>
          </cell>
          <cell r="F3000" t="str">
            <v>Woods &amp; Coppins, 2012</v>
          </cell>
          <cell r="G3000" t="str">
            <v>NBNSYS0000019062</v>
          </cell>
          <cell r="H3000" t="str">
            <v>Stereocaulon pileatum</v>
          </cell>
        </row>
        <row r="3001">
          <cell r="A3001" t="str">
            <v>Stereocaulon saxatile</v>
          </cell>
          <cell r="B3001" t="str">
            <v>Lichens</v>
          </cell>
          <cell r="C3001" t="str">
            <v>Mycophycophyta</v>
          </cell>
          <cell r="D3001" t="str">
            <v>Stereocaulon saxatile</v>
          </cell>
          <cell r="E3001" t="str">
            <v>LC</v>
          </cell>
          <cell r="F3001" t="str">
            <v>Woods &amp; Coppins, 2012</v>
          </cell>
          <cell r="G3001" t="str">
            <v>NBNSYS0000019063</v>
          </cell>
          <cell r="H3001" t="str">
            <v>Stereocaulon saxatile</v>
          </cell>
        </row>
        <row r="3002">
          <cell r="A3002" t="str">
            <v>Stereocaulon symphycheilum</v>
          </cell>
          <cell r="B3002" t="str">
            <v>Lichens</v>
          </cell>
          <cell r="C3002" t="str">
            <v>Mycophycophyta</v>
          </cell>
          <cell r="D3002" t="str">
            <v>Stereocaulon symphycheilum</v>
          </cell>
          <cell r="E3002" t="str">
            <v>EN</v>
          </cell>
          <cell r="F3002" t="str">
            <v>Woods &amp; Coppins, 2012</v>
          </cell>
          <cell r="G3002" t="str">
            <v>NBNSYS0000019065</v>
          </cell>
          <cell r="H3002" t="str">
            <v>Stereocaulon symphycheilum</v>
          </cell>
        </row>
        <row r="3003">
          <cell r="A3003" t="str">
            <v>Stereocaulon tomentosum</v>
          </cell>
          <cell r="B3003" t="str">
            <v>Lichens</v>
          </cell>
          <cell r="C3003" t="str">
            <v>Mycophycophyta</v>
          </cell>
          <cell r="D3003" t="str">
            <v>Stereocaulon tomentosum</v>
          </cell>
          <cell r="E3003" t="str">
            <v>EX</v>
          </cell>
          <cell r="F3003" t="str">
            <v>Woods &amp; Coppins, 2012</v>
          </cell>
          <cell r="G3003" t="str">
            <v>NBNSYS0000019066</v>
          </cell>
          <cell r="H3003" t="str">
            <v>Stereocaulon tomentosum</v>
          </cell>
        </row>
        <row r="3004">
          <cell r="A3004" t="str">
            <v>Sticta "dufourii"</v>
          </cell>
          <cell r="B3004" t="str">
            <v>Lichens</v>
          </cell>
          <cell r="C3004" t="str">
            <v>Mycophycophyta</v>
          </cell>
          <cell r="D3004" t="str">
            <v>Sticta "dufourii"</v>
          </cell>
          <cell r="E3004" t="str">
            <v>LC</v>
          </cell>
          <cell r="F3004" t="str">
            <v>Woods &amp; Coppins, 2012</v>
          </cell>
          <cell r="G3004" t="str">
            <v>NHMSYS0020991108</v>
          </cell>
          <cell r="H3004" t="str">
            <v>Sticta "dufourii"</v>
          </cell>
        </row>
        <row r="3005">
          <cell r="A3005" t="str">
            <v>Sticta canariensis</v>
          </cell>
          <cell r="B3005" t="str">
            <v>Lichens</v>
          </cell>
          <cell r="C3005" t="str">
            <v>Mycophycophyta</v>
          </cell>
          <cell r="D3005" t="str">
            <v>Sticta canariensis</v>
          </cell>
          <cell r="E3005" t="str">
            <v>VU</v>
          </cell>
          <cell r="F3005" t="str">
            <v>Woods &amp; Coppins, 2012</v>
          </cell>
          <cell r="G3005" t="str">
            <v>NBNSYS0000019361</v>
          </cell>
          <cell r="H3005" t="str">
            <v>Sticta canariensis</v>
          </cell>
        </row>
        <row r="3006">
          <cell r="A3006" t="str">
            <v>Sticta canariensis / dufourii</v>
          </cell>
          <cell r="B3006" t="str">
            <v>Lichens</v>
          </cell>
          <cell r="C3006" t="str">
            <v>Mycophycophyta</v>
          </cell>
          <cell r="D3006" t="str">
            <v>Sticta canariensis / dufourii</v>
          </cell>
          <cell r="E3006" t="str">
            <v>LC</v>
          </cell>
          <cell r="F3006" t="str">
            <v>Woods &amp; Coppins, 2012</v>
          </cell>
          <cell r="G3006" t="str">
            <v>NHMSYS0020991107</v>
          </cell>
          <cell r="H3006" t="str">
            <v>Sticta canariensis / dufourii</v>
          </cell>
        </row>
        <row r="3007">
          <cell r="A3007" t="str">
            <v>Sticta fuliginosa</v>
          </cell>
          <cell r="B3007" t="str">
            <v>Lichens</v>
          </cell>
          <cell r="C3007" t="str">
            <v>Mycophycophyta</v>
          </cell>
          <cell r="D3007" t="str">
            <v>Sticta fuliginosa</v>
          </cell>
          <cell r="E3007" t="str">
            <v>LC</v>
          </cell>
          <cell r="F3007" t="str">
            <v>Woods &amp; Coppins, 2012</v>
          </cell>
          <cell r="G3007" t="str">
            <v>BMSSYS0000534236</v>
          </cell>
          <cell r="H3007" t="str">
            <v>Sticta fuliginosa</v>
          </cell>
        </row>
        <row r="3008">
          <cell r="A3008" t="str">
            <v>Sticta limbata</v>
          </cell>
          <cell r="B3008" t="str">
            <v>Lichens</v>
          </cell>
          <cell r="C3008" t="str">
            <v>Mycophycophyta</v>
          </cell>
          <cell r="D3008" t="str">
            <v>Sticta limbata</v>
          </cell>
          <cell r="E3008" t="str">
            <v>LC</v>
          </cell>
          <cell r="F3008" t="str">
            <v>Woods &amp; Coppins, 2012</v>
          </cell>
          <cell r="G3008" t="str">
            <v>NBNSYS0000019363</v>
          </cell>
          <cell r="H3008" t="str">
            <v>Sticta limbata</v>
          </cell>
        </row>
        <row r="3009">
          <cell r="A3009" t="str">
            <v>Sticta sylvatica</v>
          </cell>
          <cell r="B3009" t="str">
            <v>Lichens</v>
          </cell>
          <cell r="C3009" t="str">
            <v>Mycophycophyta</v>
          </cell>
          <cell r="D3009" t="str">
            <v>Sticta sylvatica</v>
          </cell>
          <cell r="E3009" t="str">
            <v>LC</v>
          </cell>
          <cell r="F3009" t="str">
            <v>Woods &amp; Coppins, 2012</v>
          </cell>
          <cell r="G3009" t="str">
            <v>NBNSYS0000019364</v>
          </cell>
          <cell r="H3009" t="str">
            <v>Sticta sylvatica</v>
          </cell>
        </row>
        <row r="3010">
          <cell r="A3010" t="str">
            <v>Stigmidium congestum</v>
          </cell>
          <cell r="B3010" t="str">
            <v>Lichens</v>
          </cell>
          <cell r="C3010" t="str">
            <v>Mycophycophyta</v>
          </cell>
          <cell r="D3010" t="str">
            <v>Stigmidium congestum</v>
          </cell>
          <cell r="E3010" t="str">
            <v>LC</v>
          </cell>
          <cell r="F3010" t="str">
            <v>Woods &amp; Coppins, 2012</v>
          </cell>
          <cell r="G3010" t="str">
            <v>BMSSYS0000018061</v>
          </cell>
          <cell r="H3010" t="str">
            <v>Stigmidium congestum</v>
          </cell>
        </row>
        <row r="3011">
          <cell r="A3011" t="str">
            <v>Stigmidium hageniae</v>
          </cell>
          <cell r="B3011" t="str">
            <v>Lichens</v>
          </cell>
          <cell r="C3011" t="str">
            <v>Mycophycophyta</v>
          </cell>
          <cell r="D3011" t="str">
            <v>Stigmidium hageniae</v>
          </cell>
          <cell r="E3011" t="str">
            <v>NT</v>
          </cell>
          <cell r="F3011" t="str">
            <v>Woods &amp; Coppins, 2012</v>
          </cell>
          <cell r="G3011" t="str">
            <v>BMSSYS0000018065</v>
          </cell>
          <cell r="H3011" t="str">
            <v>Stigmidium hageniae</v>
          </cell>
        </row>
        <row r="3012">
          <cell r="A3012" t="str">
            <v>Stigmidium marinum</v>
          </cell>
          <cell r="B3012" t="str">
            <v>Lichens</v>
          </cell>
          <cell r="C3012" t="str">
            <v>Mycophycophyta</v>
          </cell>
          <cell r="D3012" t="str">
            <v>Stigmidium marinum</v>
          </cell>
          <cell r="E3012" t="str">
            <v>LC</v>
          </cell>
          <cell r="F3012" t="str">
            <v>Woods &amp; Coppins, 2012</v>
          </cell>
          <cell r="G3012" t="str">
            <v>NBNSYS0000016629</v>
          </cell>
          <cell r="H3012" t="str">
            <v>Stigmidium marinum</v>
          </cell>
        </row>
        <row r="3013">
          <cell r="A3013" t="str">
            <v>Stigmidium microspilum</v>
          </cell>
          <cell r="B3013" t="str">
            <v>Lichens</v>
          </cell>
          <cell r="C3013" t="str">
            <v>Mycophycophyta</v>
          </cell>
          <cell r="D3013" t="str">
            <v>Stigmidium microspilum</v>
          </cell>
          <cell r="E3013" t="str">
            <v>LC</v>
          </cell>
          <cell r="F3013" t="str">
            <v>Woods &amp; Coppins, 2012</v>
          </cell>
          <cell r="G3013" t="str">
            <v>NHMSYS0001499094</v>
          </cell>
          <cell r="H3013" t="str">
            <v>Stigmidium microspilum</v>
          </cell>
        </row>
        <row r="3014">
          <cell r="A3014" t="str">
            <v>Stigmidium peltideae</v>
          </cell>
          <cell r="B3014" t="str">
            <v>Lichens</v>
          </cell>
          <cell r="C3014" t="str">
            <v>Mycophycophyta</v>
          </cell>
          <cell r="D3014" t="str">
            <v>Stigmidium peltideae</v>
          </cell>
          <cell r="E3014" t="str">
            <v>LC</v>
          </cell>
          <cell r="F3014" t="str">
            <v>Woods &amp; Coppins, 2012</v>
          </cell>
          <cell r="G3014" t="str">
            <v>NBNSYS0000016631</v>
          </cell>
          <cell r="H3014" t="str">
            <v>Stigmidium peltideae</v>
          </cell>
        </row>
        <row r="3015">
          <cell r="A3015" t="str">
            <v>Strangospora moriformis</v>
          </cell>
          <cell r="B3015" t="str">
            <v>Lichens</v>
          </cell>
          <cell r="C3015" t="str">
            <v>Mycophycophyta</v>
          </cell>
          <cell r="D3015" t="str">
            <v>Strangospora moriformis</v>
          </cell>
          <cell r="E3015" t="str">
            <v>LC</v>
          </cell>
          <cell r="F3015" t="str">
            <v>Woods &amp; Coppins, 2012</v>
          </cell>
          <cell r="G3015" t="str">
            <v>NBNSYS0000019071</v>
          </cell>
          <cell r="H3015" t="str">
            <v>Strangospora moriformis</v>
          </cell>
        </row>
        <row r="3016">
          <cell r="A3016" t="str">
            <v>Strangospora pinicola</v>
          </cell>
          <cell r="B3016" t="str">
            <v>Lichens</v>
          </cell>
          <cell r="C3016" t="str">
            <v>Mycophycophyta</v>
          </cell>
          <cell r="D3016" t="str">
            <v>Strangospora pinicola</v>
          </cell>
          <cell r="E3016" t="str">
            <v>LC</v>
          </cell>
          <cell r="F3016" t="str">
            <v>Woods &amp; Coppins, 2012</v>
          </cell>
          <cell r="G3016" t="str">
            <v>NHMSYS0001499138</v>
          </cell>
          <cell r="H3016" t="str">
            <v>Strangospora pinicola</v>
          </cell>
        </row>
        <row r="3017">
          <cell r="A3017" t="str">
            <v>Strigula confusa</v>
          </cell>
          <cell r="B3017" t="str">
            <v>Lichens</v>
          </cell>
          <cell r="C3017" t="str">
            <v>Mycophycophyta</v>
          </cell>
          <cell r="D3017" t="str">
            <v>Strigula confusa</v>
          </cell>
          <cell r="E3017" t="str">
            <v>LC</v>
          </cell>
          <cell r="F3017" t="str">
            <v>Woods &amp; Coppins, 2012</v>
          </cell>
          <cell r="G3017" t="str">
            <v>NHMSYS0020105983</v>
          </cell>
          <cell r="H3017" t="str">
            <v>Strigula confusa</v>
          </cell>
        </row>
        <row r="3018">
          <cell r="A3018" t="str">
            <v>Strigula jamesii</v>
          </cell>
          <cell r="B3018" t="str">
            <v>Lichens</v>
          </cell>
          <cell r="C3018" t="str">
            <v>Mycophycophyta</v>
          </cell>
          <cell r="D3018" t="str">
            <v>Strigula jamesii</v>
          </cell>
          <cell r="E3018" t="str">
            <v>LC</v>
          </cell>
          <cell r="F3018" t="str">
            <v>Woods &amp; Coppins, 2012</v>
          </cell>
          <cell r="G3018" t="str">
            <v>NBNSYS0000019906</v>
          </cell>
          <cell r="H3018" t="str">
            <v>Strigula jamesii</v>
          </cell>
        </row>
        <row r="3019">
          <cell r="A3019" t="str">
            <v>Strigula phaea</v>
          </cell>
          <cell r="B3019" t="str">
            <v>Lichens</v>
          </cell>
          <cell r="C3019" t="str">
            <v>Mycophycophyta</v>
          </cell>
          <cell r="D3019" t="str">
            <v>Strigula phaea</v>
          </cell>
          <cell r="E3019" t="str">
            <v>LC</v>
          </cell>
          <cell r="F3019" t="str">
            <v>Woods &amp; Coppins, 2012</v>
          </cell>
          <cell r="G3019" t="str">
            <v>NHMSYS0001499161</v>
          </cell>
          <cell r="H3019" t="str">
            <v>Strigula phaea</v>
          </cell>
        </row>
        <row r="3020">
          <cell r="A3020" t="str">
            <v>Strigula taylorii</v>
          </cell>
          <cell r="B3020" t="str">
            <v>Lichens</v>
          </cell>
          <cell r="C3020" t="str">
            <v>Mycophycophyta</v>
          </cell>
          <cell r="D3020" t="str">
            <v>Strigula taylorii</v>
          </cell>
          <cell r="E3020" t="str">
            <v>LC</v>
          </cell>
          <cell r="F3020" t="str">
            <v>Woods &amp; Coppins, 2012</v>
          </cell>
          <cell r="G3020" t="str">
            <v>NBNSYS0000019909</v>
          </cell>
          <cell r="H3020" t="str">
            <v>Strigula taylorii</v>
          </cell>
        </row>
        <row r="3021">
          <cell r="A3021" t="str">
            <v>Synalissa ramulosa</v>
          </cell>
          <cell r="B3021" t="str">
            <v>Lichens</v>
          </cell>
          <cell r="C3021" t="str">
            <v>Mycophycophyta</v>
          </cell>
          <cell r="D3021" t="str">
            <v>Synalissa ramulosa</v>
          </cell>
          <cell r="E3021" t="str">
            <v>VU</v>
          </cell>
          <cell r="F3021" t="str">
            <v>Woods &amp; Coppins, 2012</v>
          </cell>
          <cell r="G3021" t="str">
            <v>NHMSYS0001499310</v>
          </cell>
          <cell r="H3021" t="str">
            <v>Synalissa ramulosa</v>
          </cell>
        </row>
        <row r="3022">
          <cell r="A3022" t="str">
            <v>Syncesia myrticola</v>
          </cell>
          <cell r="B3022" t="str">
            <v>Lichens</v>
          </cell>
          <cell r="C3022" t="str">
            <v>Mycophycophyta</v>
          </cell>
          <cell r="D3022" t="str">
            <v>Syncesia myrticola</v>
          </cell>
          <cell r="E3022" t="str">
            <v>NT</v>
          </cell>
          <cell r="F3022" t="str">
            <v>Woods &amp; Coppins, 2012</v>
          </cell>
          <cell r="G3022" t="str">
            <v>BMSSYS0000018213</v>
          </cell>
          <cell r="H3022" t="str">
            <v>Syncesia myrticola</v>
          </cell>
        </row>
        <row r="3023">
          <cell r="A3023" t="str">
            <v>Syzygospora bachmannii</v>
          </cell>
          <cell r="B3023" t="str">
            <v>Lichens</v>
          </cell>
          <cell r="C3023" t="str">
            <v>Mycophycophyta</v>
          </cell>
          <cell r="D3023" t="str">
            <v>Syzygospora bachmannii</v>
          </cell>
          <cell r="E3023" t="str">
            <v>LC</v>
          </cell>
          <cell r="F3023" t="str">
            <v>Woods &amp; Coppins, 2012</v>
          </cell>
          <cell r="G3023" t="str">
            <v>BMSSYS0000046239</v>
          </cell>
          <cell r="H3023" t="str">
            <v>Syzygospora bachmannii</v>
          </cell>
        </row>
        <row r="3024">
          <cell r="A3024" t="str">
            <v>Syzygospora physciacearum</v>
          </cell>
          <cell r="B3024" t="str">
            <v>Lichens</v>
          </cell>
          <cell r="C3024" t="str">
            <v>Mycophycophyta</v>
          </cell>
          <cell r="D3024" t="str">
            <v>Syzygospora physciacearum</v>
          </cell>
          <cell r="E3024" t="str">
            <v>LC</v>
          </cell>
          <cell r="F3024" t="str">
            <v>Woods &amp; Coppins, 2012</v>
          </cell>
          <cell r="G3024" t="str">
            <v>BMSSYS0000046240</v>
          </cell>
          <cell r="H3024" t="str">
            <v>Syzygospora physciacearum</v>
          </cell>
        </row>
        <row r="3025">
          <cell r="A3025" t="str">
            <v>Taeniolella phaeophysciae</v>
          </cell>
          <cell r="B3025" t="str">
            <v>Lichens</v>
          </cell>
          <cell r="C3025" t="str">
            <v>Mycophycophyta</v>
          </cell>
          <cell r="D3025" t="str">
            <v>Taeniolella phaeophysciae</v>
          </cell>
          <cell r="E3025" t="str">
            <v>LC</v>
          </cell>
          <cell r="F3025" t="str">
            <v>Woods &amp; Coppins, 2012</v>
          </cell>
          <cell r="G3025" t="str">
            <v>BMSSYS0000018246</v>
          </cell>
          <cell r="H3025" t="str">
            <v>Taeniolella phaeophysciae</v>
          </cell>
        </row>
        <row r="3026">
          <cell r="A3026" t="str">
            <v>Teloschistes chrysophthalmus</v>
          </cell>
          <cell r="B3026" t="str">
            <v>Lichens</v>
          </cell>
          <cell r="C3026" t="str">
            <v>Mycophycophyta</v>
          </cell>
          <cell r="D3026" t="str">
            <v>Teloschistes chrysophthalmus</v>
          </cell>
          <cell r="E3026" t="str">
            <v>CR</v>
          </cell>
          <cell r="F3026" t="str">
            <v>Woods &amp; Coppins, 2012</v>
          </cell>
          <cell r="G3026" t="str">
            <v>NBNSYS0000020577</v>
          </cell>
          <cell r="H3026" t="str">
            <v>Teloschistes chrysophthalmus</v>
          </cell>
        </row>
        <row r="3027">
          <cell r="A3027" t="str">
            <v>Teloschistes flavicans</v>
          </cell>
          <cell r="B3027" t="str">
            <v>Lichens</v>
          </cell>
          <cell r="C3027" t="str">
            <v>Mycophycophyta</v>
          </cell>
          <cell r="D3027" t="str">
            <v>Teloschistes flavicans</v>
          </cell>
          <cell r="E3027" t="str">
            <v>VU</v>
          </cell>
          <cell r="F3027" t="str">
            <v>Woods &amp; Coppins, 2012</v>
          </cell>
          <cell r="G3027" t="str">
            <v>NBNSYS0000020578</v>
          </cell>
          <cell r="H3027" t="str">
            <v>Teloschistes flavicans</v>
          </cell>
        </row>
        <row r="3028">
          <cell r="A3028" t="str">
            <v>Tephromela atra var. atra, Tephromela atra var. torulosa</v>
          </cell>
          <cell r="B3028" t="str">
            <v>Lichens</v>
          </cell>
          <cell r="C3028" t="str">
            <v>Mycophycophyta</v>
          </cell>
          <cell r="D3028" t="str">
            <v>Tephromela atra (var. atra/var. torulosa)</v>
          </cell>
          <cell r="E3028" t="str">
            <v>LC</v>
          </cell>
          <cell r="F3028" t="str">
            <v>Woods &amp; Coppins, 2012</v>
          </cell>
          <cell r="G3028" t="str">
            <v>NBNSYS0000018569</v>
          </cell>
          <cell r="H3028" t="str">
            <v>Tephromela atra var. atra, Tephromela atra var. torulosa</v>
          </cell>
        </row>
        <row r="3029">
          <cell r="A3029" t="str">
            <v>Tephromela grumosa</v>
          </cell>
          <cell r="B3029" t="str">
            <v>Lichens</v>
          </cell>
          <cell r="C3029" t="str">
            <v>Mycophycophyta</v>
          </cell>
          <cell r="D3029" t="str">
            <v>Tephromela grumosa</v>
          </cell>
          <cell r="E3029" t="str">
            <v>LC</v>
          </cell>
          <cell r="F3029" t="str">
            <v>Woods &amp; Coppins, 2012</v>
          </cell>
          <cell r="G3029" t="str">
            <v>NHMSYS0000364283</v>
          </cell>
          <cell r="H3029" t="str">
            <v>Tephromela grumosa</v>
          </cell>
        </row>
        <row r="3030">
          <cell r="A3030" t="str">
            <v>Thamnolia vermicularis var. subuliformis</v>
          </cell>
          <cell r="B3030" t="str">
            <v>Lichens</v>
          </cell>
          <cell r="C3030" t="str">
            <v>Mycophycophyta</v>
          </cell>
          <cell r="D3030" t="str">
            <v>Thamnolia vermicularis (var. subuliformis)</v>
          </cell>
          <cell r="E3030" t="str">
            <v>LC</v>
          </cell>
          <cell r="F3030" t="str">
            <v>Woods &amp; Coppins, 2012</v>
          </cell>
          <cell r="G3030" t="str">
            <v>NHMSYS0001499500</v>
          </cell>
          <cell r="H3030" t="str">
            <v>Thamnolia vermicularis var. subuliformis</v>
          </cell>
        </row>
        <row r="3031">
          <cell r="A3031" t="str">
            <v>Thelenella modesta</v>
          </cell>
          <cell r="B3031" t="str">
            <v>Lichens</v>
          </cell>
          <cell r="C3031" t="str">
            <v>Mycophycophyta</v>
          </cell>
          <cell r="D3031" t="str">
            <v>Thelenella modesta</v>
          </cell>
          <cell r="E3031" t="str">
            <v>CR</v>
          </cell>
          <cell r="F3031" t="str">
            <v>Woods &amp; Coppins, 2012</v>
          </cell>
          <cell r="G3031" t="str">
            <v>NBNSYS0000019418</v>
          </cell>
          <cell r="H3031" t="str">
            <v>Thelenella modesta</v>
          </cell>
        </row>
        <row r="3032">
          <cell r="A3032" t="str">
            <v>Thelidium decipiens</v>
          </cell>
          <cell r="B3032" t="str">
            <v>Lichens</v>
          </cell>
          <cell r="C3032" t="str">
            <v>Mycophycophyta</v>
          </cell>
          <cell r="D3032" t="str">
            <v>Thelidium decipiens</v>
          </cell>
          <cell r="E3032" t="str">
            <v>LC</v>
          </cell>
          <cell r="F3032" t="str">
            <v>Woods &amp; Coppins, 2012</v>
          </cell>
          <cell r="G3032" t="str">
            <v>NBNSYS0000020649</v>
          </cell>
          <cell r="H3032" t="str">
            <v>Thelidium decipiens</v>
          </cell>
        </row>
        <row r="3033">
          <cell r="A3033" t="str">
            <v>Thelidium fontigenum</v>
          </cell>
          <cell r="B3033" t="str">
            <v>Lichens</v>
          </cell>
          <cell r="C3033" t="str">
            <v>Mycophycophyta</v>
          </cell>
          <cell r="D3033" t="str">
            <v>Thelidium fontigenum</v>
          </cell>
          <cell r="E3033" t="str">
            <v>LC</v>
          </cell>
          <cell r="F3033" t="str">
            <v>Woods &amp; Coppins, 2012</v>
          </cell>
          <cell r="G3033" t="str">
            <v>NHMSYS0001499631</v>
          </cell>
          <cell r="H3033" t="str">
            <v>Thelidium fontigenum</v>
          </cell>
        </row>
        <row r="3034">
          <cell r="A3034" t="str">
            <v>Thelidium impressum</v>
          </cell>
          <cell r="B3034" t="str">
            <v>Lichens</v>
          </cell>
          <cell r="C3034" t="str">
            <v>Mycophycophyta</v>
          </cell>
          <cell r="D3034" t="str">
            <v>Thelidium impressum</v>
          </cell>
          <cell r="E3034" t="str">
            <v>LC</v>
          </cell>
          <cell r="F3034" t="str">
            <v>Woods &amp; Coppins, 2012</v>
          </cell>
          <cell r="G3034" t="str">
            <v>NBNSYS0000020652</v>
          </cell>
          <cell r="H3034" t="str">
            <v>Thelidium impressum</v>
          </cell>
        </row>
        <row r="3035">
          <cell r="A3035" t="str">
            <v>Thelidium incavatum</v>
          </cell>
          <cell r="B3035" t="str">
            <v>Lichens</v>
          </cell>
          <cell r="C3035" t="str">
            <v>Mycophycophyta</v>
          </cell>
          <cell r="D3035" t="str">
            <v>Thelidium incavatum</v>
          </cell>
          <cell r="E3035" t="str">
            <v>LC</v>
          </cell>
          <cell r="F3035" t="str">
            <v>Woods &amp; Coppins, 2012</v>
          </cell>
          <cell r="G3035" t="str">
            <v>NBNSYS0000020653</v>
          </cell>
          <cell r="H3035" t="str">
            <v>Thelidium incavatum</v>
          </cell>
        </row>
        <row r="3036">
          <cell r="A3036" t="str">
            <v>Thelidium minutulum</v>
          </cell>
          <cell r="B3036" t="str">
            <v>Lichens</v>
          </cell>
          <cell r="C3036" t="str">
            <v>Mycophycophyta</v>
          </cell>
          <cell r="D3036" t="str">
            <v>Thelidium minutulum</v>
          </cell>
          <cell r="E3036" t="str">
            <v>LC</v>
          </cell>
          <cell r="F3036" t="str">
            <v>Woods &amp; Coppins, 2012</v>
          </cell>
          <cell r="G3036" t="str">
            <v>NHMSYS0001499639</v>
          </cell>
          <cell r="H3036" t="str">
            <v>Thelidium minutulum</v>
          </cell>
        </row>
        <row r="3037">
          <cell r="A3037" t="str">
            <v>Thelidium papulare f. papulare, Thelidium papulare f. sorediatum</v>
          </cell>
          <cell r="B3037" t="str">
            <v>Lichens</v>
          </cell>
          <cell r="C3037" t="str">
            <v>Mycophycophyta</v>
          </cell>
          <cell r="D3037" t="str">
            <v>Thelidium papulare (f. papulare/f. sorediatum)</v>
          </cell>
          <cell r="E3037" t="str">
            <v>LC</v>
          </cell>
          <cell r="F3037" t="str">
            <v>Woods &amp; Coppins, 2012</v>
          </cell>
          <cell r="G3037" t="str">
            <v>NBNSYS0000020658</v>
          </cell>
          <cell r="H3037" t="str">
            <v>Thelidium papulare f. papulare, Thelidium papulare f. sorediatum</v>
          </cell>
        </row>
        <row r="3038">
          <cell r="A3038" t="str">
            <v>Thelidium pluvium</v>
          </cell>
          <cell r="B3038" t="str">
            <v>Lichens</v>
          </cell>
          <cell r="C3038" t="str">
            <v>Mycophycophyta</v>
          </cell>
          <cell r="D3038" t="str">
            <v>Thelidium pluvium</v>
          </cell>
          <cell r="E3038" t="str">
            <v>LC</v>
          </cell>
          <cell r="F3038" t="str">
            <v>Woods &amp; Coppins, 2012</v>
          </cell>
          <cell r="G3038" t="str">
            <v>NHMSYS0001499642</v>
          </cell>
          <cell r="H3038" t="str">
            <v>Thelidium pluvium</v>
          </cell>
        </row>
        <row r="3039">
          <cell r="A3039" t="str">
            <v>Thelidium pyrenophorum</v>
          </cell>
          <cell r="B3039" t="str">
            <v>Lichens</v>
          </cell>
          <cell r="C3039" t="str">
            <v>Mycophycophyta</v>
          </cell>
          <cell r="D3039" t="str">
            <v>Thelidium pyrenophorum</v>
          </cell>
          <cell r="E3039" t="str">
            <v>LC</v>
          </cell>
          <cell r="F3039" t="str">
            <v>Woods &amp; Coppins, 2012</v>
          </cell>
          <cell r="G3039" t="str">
            <v>NBNSYS0000020659</v>
          </cell>
          <cell r="H3039" t="str">
            <v>Thelidium pyrenophorum</v>
          </cell>
        </row>
        <row r="3040">
          <cell r="A3040" t="str">
            <v>Thelidium zwackhii</v>
          </cell>
          <cell r="B3040" t="str">
            <v>Lichens</v>
          </cell>
          <cell r="C3040" t="str">
            <v>Mycophycophyta</v>
          </cell>
          <cell r="D3040" t="str">
            <v>Thelidium zwackhii</v>
          </cell>
          <cell r="E3040" t="str">
            <v>LC</v>
          </cell>
          <cell r="F3040" t="str">
            <v>Woods &amp; Coppins, 2012</v>
          </cell>
          <cell r="G3040" t="str">
            <v>NHMSYS0001499645</v>
          </cell>
          <cell r="H3040" t="str">
            <v>Thelidium zwackhii</v>
          </cell>
        </row>
        <row r="3041">
          <cell r="A3041" t="str">
            <v>Thelocarpon coccosporum</v>
          </cell>
          <cell r="B3041" t="str">
            <v>Lichens</v>
          </cell>
          <cell r="C3041" t="str">
            <v>Mycophycophyta</v>
          </cell>
          <cell r="D3041" t="str">
            <v>Thelocarpon coccosporum</v>
          </cell>
          <cell r="E3041" t="str">
            <v>LC</v>
          </cell>
          <cell r="F3041" t="str">
            <v>Woods &amp; Coppins, 2012</v>
          </cell>
          <cell r="G3041" t="str">
            <v>NHMSYS0020536237</v>
          </cell>
          <cell r="H3041" t="str">
            <v>Thelocarpon coccosporum</v>
          </cell>
        </row>
        <row r="3042">
          <cell r="A3042" t="str">
            <v>Thelocarpon intermediellum</v>
          </cell>
          <cell r="B3042" t="str">
            <v>Lichens</v>
          </cell>
          <cell r="C3042" t="str">
            <v>Mycophycophyta</v>
          </cell>
          <cell r="D3042" t="str">
            <v>Thelocarpon intermediellum</v>
          </cell>
          <cell r="E3042" t="str">
            <v>LC</v>
          </cell>
          <cell r="F3042" t="str">
            <v>Woods &amp; Coppins, 2012</v>
          </cell>
          <cell r="G3042" t="str">
            <v>NBNSYS0000019080</v>
          </cell>
          <cell r="H3042" t="str">
            <v>Thelocarpon intermediellum</v>
          </cell>
        </row>
        <row r="3043">
          <cell r="A3043" t="str">
            <v>Thelocarpon laureri</v>
          </cell>
          <cell r="B3043" t="str">
            <v>Lichens</v>
          </cell>
          <cell r="C3043" t="str">
            <v>Mycophycophyta</v>
          </cell>
          <cell r="D3043" t="str">
            <v>Thelocarpon laureri</v>
          </cell>
          <cell r="E3043" t="str">
            <v>LC</v>
          </cell>
          <cell r="F3043" t="str">
            <v>Woods &amp; Coppins, 2012</v>
          </cell>
          <cell r="G3043" t="str">
            <v>NBNSYS0000019081</v>
          </cell>
          <cell r="H3043" t="str">
            <v>Thelocarpon laureri</v>
          </cell>
        </row>
        <row r="3044">
          <cell r="A3044" t="str">
            <v>Thelocarpon lichenicola</v>
          </cell>
          <cell r="B3044" t="str">
            <v>Lichens</v>
          </cell>
          <cell r="C3044" t="str">
            <v>Mycophycophyta</v>
          </cell>
          <cell r="D3044" t="str">
            <v>Thelocarpon lichenicola</v>
          </cell>
          <cell r="E3044" t="str">
            <v>LC</v>
          </cell>
          <cell r="F3044" t="str">
            <v>Woods &amp; Coppins, 2012</v>
          </cell>
          <cell r="G3044" t="str">
            <v>NBNSYS0000019082</v>
          </cell>
          <cell r="H3044" t="str">
            <v>Thelocarpon lichenicola</v>
          </cell>
        </row>
        <row r="3045">
          <cell r="A3045" t="str">
            <v>Thelocarpon olivaceum</v>
          </cell>
          <cell r="B3045" t="str">
            <v>Lichens</v>
          </cell>
          <cell r="C3045" t="str">
            <v>Mycophycophyta</v>
          </cell>
          <cell r="D3045" t="str">
            <v>Thelocarpon olivaceum</v>
          </cell>
          <cell r="E3045" t="str">
            <v>LC</v>
          </cell>
          <cell r="F3045" t="str">
            <v>Woods &amp; Coppins, 2012</v>
          </cell>
          <cell r="G3045" t="str">
            <v>NHMSYS0020991135</v>
          </cell>
          <cell r="H3045" t="str">
            <v>Thelocarpon olivaceum</v>
          </cell>
        </row>
        <row r="3046">
          <cell r="A3046" t="str">
            <v>Thelocarpon opertum</v>
          </cell>
          <cell r="B3046" t="str">
            <v>Lichens</v>
          </cell>
          <cell r="C3046" t="str">
            <v>Mycophycophyta</v>
          </cell>
          <cell r="D3046" t="str">
            <v>Thelocarpon opertum</v>
          </cell>
          <cell r="E3046" t="str">
            <v>NT</v>
          </cell>
          <cell r="F3046" t="str">
            <v>Woods &amp; Coppins, 2012</v>
          </cell>
          <cell r="G3046" t="str">
            <v>BMSSYS0000018496</v>
          </cell>
          <cell r="H3046" t="str">
            <v>Thelocarpon opertum</v>
          </cell>
        </row>
        <row r="3047">
          <cell r="A3047" t="str">
            <v>Thelocarpon pallidum</v>
          </cell>
          <cell r="B3047" t="str">
            <v>Lichens</v>
          </cell>
          <cell r="C3047" t="str">
            <v>Mycophycophyta</v>
          </cell>
          <cell r="D3047" t="str">
            <v>Thelocarpon pallidum</v>
          </cell>
          <cell r="E3047" t="str">
            <v>LC</v>
          </cell>
          <cell r="F3047" t="str">
            <v>Woods &amp; Coppins, 2012</v>
          </cell>
          <cell r="G3047" t="str">
            <v>NHMSYS0001499651</v>
          </cell>
          <cell r="H3047" t="str">
            <v>Thelocarpon pallidum</v>
          </cell>
        </row>
        <row r="3048">
          <cell r="A3048" t="str">
            <v>Thelocarpon strasseri</v>
          </cell>
          <cell r="B3048" t="str">
            <v>Lichens</v>
          </cell>
          <cell r="C3048" t="str">
            <v>Mycophycophyta</v>
          </cell>
          <cell r="D3048" t="str">
            <v>Thelocarpon strasseri</v>
          </cell>
          <cell r="E3048" t="str">
            <v>LC</v>
          </cell>
          <cell r="F3048" t="str">
            <v>Woods &amp; Coppins, 2012</v>
          </cell>
          <cell r="G3048" t="str">
            <v>BMSSYS0000018498</v>
          </cell>
          <cell r="H3048" t="str">
            <v>Thelocarpon strasseri</v>
          </cell>
        </row>
        <row r="3049">
          <cell r="A3049" t="str">
            <v>Thelomma ocellatum</v>
          </cell>
          <cell r="B3049" t="str">
            <v>Lichens</v>
          </cell>
          <cell r="C3049" t="str">
            <v>Mycophycophyta</v>
          </cell>
          <cell r="D3049" t="str">
            <v>Thelomma ocellatum</v>
          </cell>
          <cell r="E3049" t="str">
            <v>LC</v>
          </cell>
          <cell r="F3049" t="str">
            <v>Woods &amp; Coppins, 2012</v>
          </cell>
          <cell r="G3049" t="str">
            <v>BMSSYS0000598542</v>
          </cell>
          <cell r="H3049" t="str">
            <v>Thelomma ocellatum</v>
          </cell>
        </row>
        <row r="3050">
          <cell r="A3050" t="str">
            <v>Thelopsis rubella</v>
          </cell>
          <cell r="B3050" t="str">
            <v>Lichens</v>
          </cell>
          <cell r="C3050" t="str">
            <v>Mycophycophyta</v>
          </cell>
          <cell r="D3050" t="str">
            <v>Thelopsis rubella</v>
          </cell>
          <cell r="E3050" t="str">
            <v>LC</v>
          </cell>
          <cell r="F3050" t="str">
            <v>Woods &amp; Coppins, 2012</v>
          </cell>
          <cell r="G3050" t="str">
            <v>NBNSYS0000016952</v>
          </cell>
          <cell r="H3050" t="str">
            <v>Thelopsis rubella</v>
          </cell>
        </row>
        <row r="3051">
          <cell r="A3051" t="str">
            <v>Thelotrema lepadinum</v>
          </cell>
          <cell r="B3051" t="str">
            <v>Lichens</v>
          </cell>
          <cell r="C3051" t="str">
            <v>Mycophycophyta</v>
          </cell>
          <cell r="D3051" t="str">
            <v>Thelotrema lepadinum</v>
          </cell>
          <cell r="E3051" t="str">
            <v>LC</v>
          </cell>
          <cell r="F3051" t="str">
            <v>Woods &amp; Coppins, 2012</v>
          </cell>
          <cell r="G3051" t="str">
            <v>NBNSYS0000016954</v>
          </cell>
          <cell r="H3051" t="str">
            <v>Thelotrema lepadinum</v>
          </cell>
        </row>
        <row r="3052">
          <cell r="A3052" t="str">
            <v>Thelotrema petractoides</v>
          </cell>
          <cell r="B3052" t="str">
            <v>Lichens</v>
          </cell>
          <cell r="C3052" t="str">
            <v>Mycophycophyta</v>
          </cell>
          <cell r="D3052" t="str">
            <v>Thelotrema petractoides</v>
          </cell>
          <cell r="E3052" t="str">
            <v>LC</v>
          </cell>
          <cell r="F3052" t="str">
            <v>Woods &amp; Coppins, 2012</v>
          </cell>
          <cell r="G3052" t="str">
            <v>BMSSYS0000044520</v>
          </cell>
          <cell r="H3052" t="str">
            <v>Thelotrema petractoides</v>
          </cell>
        </row>
        <row r="3053">
          <cell r="A3053" t="str">
            <v>Thermutis velutina</v>
          </cell>
          <cell r="B3053" t="str">
            <v>Lichens</v>
          </cell>
          <cell r="C3053" t="str">
            <v>Mycophycophyta</v>
          </cell>
          <cell r="D3053" t="str">
            <v>Thermutis velutina</v>
          </cell>
          <cell r="E3053" t="str">
            <v>NT</v>
          </cell>
          <cell r="F3053" t="str">
            <v>Woods &amp; Coppins, 2012</v>
          </cell>
          <cell r="G3053" t="str">
            <v>NBNSYS0000019087</v>
          </cell>
          <cell r="H3053" t="str">
            <v>Thermutis velutina</v>
          </cell>
        </row>
        <row r="3054">
          <cell r="A3054" t="str">
            <v>Thrombium epigaeum</v>
          </cell>
          <cell r="B3054" t="str">
            <v>Lichens</v>
          </cell>
          <cell r="C3054" t="str">
            <v>Mycophycophyta</v>
          </cell>
          <cell r="D3054" t="str">
            <v>Thrombium epigaeum</v>
          </cell>
          <cell r="E3054" t="str">
            <v>LC</v>
          </cell>
          <cell r="F3054" t="str">
            <v>Woods &amp; Coppins, 2012</v>
          </cell>
          <cell r="G3054" t="str">
            <v>NBNSYS0000020661</v>
          </cell>
          <cell r="H3054" t="str">
            <v>Thrombium epigaeum</v>
          </cell>
        </row>
        <row r="3055">
          <cell r="A3055" t="str">
            <v>Tomasellia gelatinosa</v>
          </cell>
          <cell r="B3055" t="str">
            <v>Lichens</v>
          </cell>
          <cell r="C3055" t="str">
            <v>Mycophycophyta</v>
          </cell>
          <cell r="D3055" t="str">
            <v>Tomasellia gelatinosa</v>
          </cell>
          <cell r="E3055" t="str">
            <v>LC</v>
          </cell>
          <cell r="F3055" t="str">
            <v>Woods &amp; Coppins, 2012</v>
          </cell>
          <cell r="G3055" t="str">
            <v>NBNSYS0000016651</v>
          </cell>
          <cell r="H3055" t="str">
            <v>Tomasellia gelatinosa</v>
          </cell>
        </row>
        <row r="3056">
          <cell r="A3056" t="str">
            <v>Toninia aromatica</v>
          </cell>
          <cell r="B3056" t="str">
            <v>Lichens</v>
          </cell>
          <cell r="C3056" t="str">
            <v>Mycophycophyta</v>
          </cell>
          <cell r="D3056" t="str">
            <v>Toninia aromatica</v>
          </cell>
          <cell r="E3056" t="str">
            <v>LC</v>
          </cell>
          <cell r="F3056" t="str">
            <v>Woods &amp; Coppins, 2012</v>
          </cell>
          <cell r="G3056" t="str">
            <v>NHMSYS0001499835</v>
          </cell>
          <cell r="H3056" t="str">
            <v>Toninia aromatica</v>
          </cell>
        </row>
        <row r="3057">
          <cell r="A3057" t="str">
            <v>Toninia episema</v>
          </cell>
          <cell r="B3057" t="str">
            <v>Lichens</v>
          </cell>
          <cell r="C3057" t="str">
            <v>Mycophycophyta</v>
          </cell>
          <cell r="D3057" t="str">
            <v>Toninia episema</v>
          </cell>
          <cell r="E3057" t="str">
            <v>LC</v>
          </cell>
          <cell r="F3057" t="str">
            <v>Woods &amp; Coppins, 2012</v>
          </cell>
          <cell r="G3057" t="str">
            <v>BMSSYS0000018646</v>
          </cell>
          <cell r="H3057" t="str">
            <v>Toninia episema</v>
          </cell>
        </row>
        <row r="3058">
          <cell r="A3058" t="str">
            <v>Toninia mesoidea</v>
          </cell>
          <cell r="B3058" t="str">
            <v>Lichens</v>
          </cell>
          <cell r="C3058" t="str">
            <v>Mycophycophyta</v>
          </cell>
          <cell r="D3058" t="str">
            <v>Toninia mesoidea</v>
          </cell>
          <cell r="E3058" t="str">
            <v>LC</v>
          </cell>
          <cell r="F3058" t="str">
            <v>Woods &amp; Coppins, 2012</v>
          </cell>
          <cell r="G3058" t="str">
            <v>NBNSYS0000019096</v>
          </cell>
          <cell r="H3058" t="str">
            <v>Toninia mesoidea</v>
          </cell>
        </row>
        <row r="3059">
          <cell r="A3059" t="str">
            <v>Toninia opuntioides</v>
          </cell>
          <cell r="B3059" t="str">
            <v>Lichens</v>
          </cell>
          <cell r="C3059" t="str">
            <v>Mycophycophyta</v>
          </cell>
          <cell r="D3059" t="str">
            <v>Toninia opuntioides</v>
          </cell>
          <cell r="E3059" t="str">
            <v>EX</v>
          </cell>
          <cell r="F3059" t="str">
            <v>Woods &amp; Coppins, 2012</v>
          </cell>
          <cell r="G3059" t="str">
            <v>NBNSYS0000039802</v>
          </cell>
          <cell r="H3059" t="str">
            <v>Toninia opuntioides</v>
          </cell>
        </row>
        <row r="3060">
          <cell r="A3060" t="str">
            <v>Toninia physaroides</v>
          </cell>
          <cell r="B3060" t="str">
            <v>Lichens</v>
          </cell>
          <cell r="C3060" t="str">
            <v>Mycophycophyta</v>
          </cell>
          <cell r="D3060" t="str">
            <v>Toninia physaroides</v>
          </cell>
          <cell r="E3060" t="str">
            <v>CR</v>
          </cell>
          <cell r="F3060" t="str">
            <v>Woods &amp; Coppins, 2012</v>
          </cell>
          <cell r="G3060" t="str">
            <v>NBNSYS0000039801</v>
          </cell>
          <cell r="H3060" t="str">
            <v>Toninia physaroides</v>
          </cell>
        </row>
        <row r="3061">
          <cell r="A3061" t="str">
            <v>Toninia sedifolia</v>
          </cell>
          <cell r="B3061" t="str">
            <v>Lichens</v>
          </cell>
          <cell r="C3061" t="str">
            <v>Mycophycophyta</v>
          </cell>
          <cell r="D3061" t="str">
            <v>Toninia sedifolia</v>
          </cell>
          <cell r="E3061" t="str">
            <v>LC</v>
          </cell>
          <cell r="F3061" t="str">
            <v>Woods &amp; Coppins, 2012</v>
          </cell>
          <cell r="G3061" t="str">
            <v>NBNSYS0000158101</v>
          </cell>
          <cell r="H3061" t="str">
            <v>Toninia sedifolia</v>
          </cell>
        </row>
        <row r="3062">
          <cell r="A3062" t="str">
            <v>Toninia thiopsora</v>
          </cell>
          <cell r="B3062" t="str">
            <v>Lichens</v>
          </cell>
          <cell r="C3062" t="str">
            <v>Mycophycophyta</v>
          </cell>
          <cell r="D3062" t="str">
            <v>Toninia thiopsora</v>
          </cell>
          <cell r="E3062" t="str">
            <v>LC</v>
          </cell>
          <cell r="F3062" t="str">
            <v>Woods &amp; Coppins, 2012</v>
          </cell>
          <cell r="G3062" t="str">
            <v>NHMSYS0001499846</v>
          </cell>
          <cell r="H3062" t="str">
            <v>Toninia thiopsora</v>
          </cell>
        </row>
        <row r="3063">
          <cell r="A3063" t="str">
            <v>Toninia tumidula</v>
          </cell>
          <cell r="B3063" t="str">
            <v>Lichens</v>
          </cell>
          <cell r="C3063" t="str">
            <v>Mycophycophyta</v>
          </cell>
          <cell r="D3063" t="str">
            <v>Toninia tumidula</v>
          </cell>
          <cell r="E3063" t="str">
            <v>EX</v>
          </cell>
          <cell r="F3063" t="str">
            <v>Woods &amp; Coppins, 2012</v>
          </cell>
          <cell r="G3063" t="str">
            <v>NHMSYS0020990991</v>
          </cell>
          <cell r="H3063" t="str">
            <v>Toninia tumidula</v>
          </cell>
        </row>
        <row r="3064">
          <cell r="A3064" t="str">
            <v>Toninia verrucarioides</v>
          </cell>
          <cell r="B3064" t="str">
            <v>Lichens</v>
          </cell>
          <cell r="C3064" t="str">
            <v>Mycophycophyta</v>
          </cell>
          <cell r="D3064" t="str">
            <v>Toninia verrucarioides</v>
          </cell>
          <cell r="E3064" t="str">
            <v>LC</v>
          </cell>
          <cell r="F3064" t="str">
            <v>Woods &amp; Coppins, 2012</v>
          </cell>
          <cell r="G3064" t="str">
            <v>BMSSYS0000018654</v>
          </cell>
          <cell r="H3064" t="str">
            <v>Toninia verrucarioides</v>
          </cell>
        </row>
        <row r="3065">
          <cell r="A3065" t="str">
            <v>Tornabea scutellifera</v>
          </cell>
          <cell r="B3065" t="str">
            <v>Lichens</v>
          </cell>
          <cell r="C3065" t="str">
            <v>Mycophycophyta</v>
          </cell>
          <cell r="D3065" t="str">
            <v>Tornabea scutellifera</v>
          </cell>
          <cell r="E3065" t="str">
            <v>EX</v>
          </cell>
          <cell r="F3065" t="str">
            <v>Woods &amp; Coppins, 2012</v>
          </cell>
          <cell r="G3065" t="str">
            <v>NBNSYS0000019103</v>
          </cell>
          <cell r="H3065" t="str">
            <v>Tornabea scutellifera</v>
          </cell>
        </row>
        <row r="3066">
          <cell r="A3066" t="str">
            <v>Trapelia coarctata</v>
          </cell>
          <cell r="B3066" t="str">
            <v>Lichens</v>
          </cell>
          <cell r="C3066" t="str">
            <v>Mycophycophyta</v>
          </cell>
          <cell r="D3066" t="str">
            <v>Trapelia coarctata</v>
          </cell>
          <cell r="E3066" t="str">
            <v>LC</v>
          </cell>
          <cell r="F3066" t="str">
            <v>Woods &amp; Coppins, 2012</v>
          </cell>
          <cell r="G3066" t="str">
            <v>NHMSYS0001499946</v>
          </cell>
          <cell r="H3066" t="str">
            <v>Trapelia coarctata</v>
          </cell>
        </row>
        <row r="3067">
          <cell r="A3067" t="str">
            <v>Trapelia corticola</v>
          </cell>
          <cell r="B3067" t="str">
            <v>Lichens</v>
          </cell>
          <cell r="C3067" t="str">
            <v>Mycophycophyta</v>
          </cell>
          <cell r="D3067" t="str">
            <v>Trapelia corticola</v>
          </cell>
          <cell r="E3067" t="str">
            <v>LC</v>
          </cell>
          <cell r="F3067" t="str">
            <v>Woods &amp; Coppins, 2012</v>
          </cell>
          <cell r="G3067" t="str">
            <v>NHMSYS0001499947</v>
          </cell>
          <cell r="H3067" t="str">
            <v>Trapelia corticola</v>
          </cell>
        </row>
        <row r="3068">
          <cell r="A3068" t="str">
            <v>Trapelia glebulosa</v>
          </cell>
          <cell r="B3068" t="str">
            <v>Lichens</v>
          </cell>
          <cell r="C3068" t="str">
            <v>Mycophycophyta</v>
          </cell>
          <cell r="D3068" t="str">
            <v>Trapelia glebulosa</v>
          </cell>
          <cell r="E3068" t="str">
            <v>LC</v>
          </cell>
          <cell r="F3068" t="str">
            <v>Woods &amp; Coppins, 2012</v>
          </cell>
          <cell r="G3068" t="str">
            <v>NHMSYS0020000048</v>
          </cell>
          <cell r="H3068" t="str">
            <v>Trapelia glebulosa</v>
          </cell>
        </row>
        <row r="3069">
          <cell r="A3069" t="str">
            <v>Trapelia obtegens</v>
          </cell>
          <cell r="B3069" t="str">
            <v>Lichens</v>
          </cell>
          <cell r="C3069" t="str">
            <v>Mycophycophyta</v>
          </cell>
          <cell r="D3069" t="str">
            <v>Trapelia obtegens</v>
          </cell>
          <cell r="E3069" t="str">
            <v>LC</v>
          </cell>
          <cell r="F3069" t="str">
            <v>Woods &amp; Coppins, 2012</v>
          </cell>
          <cell r="G3069" t="str">
            <v>NHMSYS0001499948</v>
          </cell>
          <cell r="H3069" t="str">
            <v>Trapelia obtegens</v>
          </cell>
        </row>
        <row r="3070">
          <cell r="A3070" t="str">
            <v>Trapelia placodioides</v>
          </cell>
          <cell r="B3070" t="str">
            <v>Lichens</v>
          </cell>
          <cell r="C3070" t="str">
            <v>Mycophycophyta</v>
          </cell>
          <cell r="D3070" t="str">
            <v>Trapelia placodioides</v>
          </cell>
          <cell r="E3070" t="str">
            <v>LC</v>
          </cell>
          <cell r="F3070" t="str">
            <v>Woods &amp; Coppins, 2012</v>
          </cell>
          <cell r="G3070" t="str">
            <v>NHMSYS0001499949</v>
          </cell>
          <cell r="H3070" t="str">
            <v>Trapelia placodioides</v>
          </cell>
        </row>
        <row r="3071">
          <cell r="A3071" t="str">
            <v>Trapeliopsis flexuosa</v>
          </cell>
          <cell r="B3071" t="str">
            <v>Lichens</v>
          </cell>
          <cell r="C3071" t="str">
            <v>Mycophycophyta</v>
          </cell>
          <cell r="D3071" t="str">
            <v>Trapeliopsis flexuosa</v>
          </cell>
          <cell r="E3071" t="str">
            <v>LC</v>
          </cell>
          <cell r="F3071" t="str">
            <v>Woods &amp; Coppins, 2012</v>
          </cell>
          <cell r="G3071" t="str">
            <v>NHMSYS0001499951</v>
          </cell>
          <cell r="H3071" t="str">
            <v>Trapeliopsis flexuosa</v>
          </cell>
        </row>
        <row r="3072">
          <cell r="A3072" t="str">
            <v>Trapeliopsis gelatinosa</v>
          </cell>
          <cell r="B3072" t="str">
            <v>Lichens</v>
          </cell>
          <cell r="C3072" t="str">
            <v>Mycophycophyta</v>
          </cell>
          <cell r="D3072" t="str">
            <v>Trapeliopsis gelatinosa</v>
          </cell>
          <cell r="E3072" t="str">
            <v>LC</v>
          </cell>
          <cell r="F3072" t="str">
            <v>Woods &amp; Coppins, 2012</v>
          </cell>
          <cell r="G3072" t="str">
            <v>NHMSYS0001499952</v>
          </cell>
          <cell r="H3072" t="str">
            <v>Trapeliopsis gelatinosa</v>
          </cell>
        </row>
        <row r="3073">
          <cell r="A3073" t="str">
            <v>Trapeliopsis glaucolepidea</v>
          </cell>
          <cell r="B3073" t="str">
            <v>Lichens</v>
          </cell>
          <cell r="C3073" t="str">
            <v>Mycophycophyta</v>
          </cell>
          <cell r="D3073" t="str">
            <v>Trapeliopsis glaucolepidea</v>
          </cell>
          <cell r="E3073" t="str">
            <v>LC</v>
          </cell>
          <cell r="F3073" t="str">
            <v>Woods &amp; Coppins, 2012</v>
          </cell>
          <cell r="G3073" t="str">
            <v>NBNSYS0000019113</v>
          </cell>
          <cell r="H3073" t="str">
            <v>Trapeliopsis glaucolepidea</v>
          </cell>
        </row>
        <row r="3074">
          <cell r="A3074" t="str">
            <v>Trapeliopsis granulosa</v>
          </cell>
          <cell r="B3074" t="str">
            <v>Lichens</v>
          </cell>
          <cell r="C3074" t="str">
            <v>Mycophycophyta</v>
          </cell>
          <cell r="D3074" t="str">
            <v>Trapeliopsis granulosa</v>
          </cell>
          <cell r="E3074" t="str">
            <v>LC</v>
          </cell>
          <cell r="F3074" t="str">
            <v>Woods &amp; Coppins, 2012</v>
          </cell>
          <cell r="G3074" t="str">
            <v>NBNSYS0000019114</v>
          </cell>
          <cell r="H3074" t="str">
            <v>Trapeliopsis granulosa</v>
          </cell>
        </row>
        <row r="3075">
          <cell r="A3075" t="str">
            <v>Trapeliopsis percrenata</v>
          </cell>
          <cell r="B3075" t="str">
            <v>Lichens</v>
          </cell>
          <cell r="C3075" t="str">
            <v>Mycophycophyta</v>
          </cell>
          <cell r="D3075" t="str">
            <v>Trapeliopsis percrenata</v>
          </cell>
          <cell r="E3075" t="str">
            <v>LC</v>
          </cell>
          <cell r="F3075" t="str">
            <v>Woods &amp; Coppins, 2012</v>
          </cell>
          <cell r="G3075" t="str">
            <v>NBNSYS0000019115</v>
          </cell>
          <cell r="H3075" t="str">
            <v>Trapeliopsis percrenata</v>
          </cell>
        </row>
        <row r="3076">
          <cell r="A3076" t="str">
            <v>Trapeliopsis pseudogranulosa</v>
          </cell>
          <cell r="B3076" t="str">
            <v>Lichens</v>
          </cell>
          <cell r="C3076" t="str">
            <v>Mycophycophyta</v>
          </cell>
          <cell r="D3076" t="str">
            <v>Trapeliopsis pseudogranulosa</v>
          </cell>
          <cell r="E3076" t="str">
            <v>LC</v>
          </cell>
          <cell r="F3076" t="str">
            <v>Woods &amp; Coppins, 2012</v>
          </cell>
          <cell r="G3076" t="str">
            <v>NHMSYS0001499953</v>
          </cell>
          <cell r="H3076" t="str">
            <v>Trapeliopsis pseudogranulosa</v>
          </cell>
        </row>
        <row r="3077">
          <cell r="A3077" t="str">
            <v>Trapeliopsis wallrothii</v>
          </cell>
          <cell r="B3077" t="str">
            <v>Lichens</v>
          </cell>
          <cell r="C3077" t="str">
            <v>Mycophycophyta</v>
          </cell>
          <cell r="D3077" t="str">
            <v>Trapeliopsis wallrothii</v>
          </cell>
          <cell r="E3077" t="str">
            <v>LC</v>
          </cell>
          <cell r="F3077" t="str">
            <v>Woods &amp; Coppins, 2012</v>
          </cell>
          <cell r="G3077" t="str">
            <v>NBNSYS0000019118</v>
          </cell>
          <cell r="H3077" t="str">
            <v>Trapeliopsis wallrothii</v>
          </cell>
        </row>
        <row r="3078">
          <cell r="A3078" t="str">
            <v>Tremella coppinsii</v>
          </cell>
          <cell r="B3078" t="str">
            <v>Lichens</v>
          </cell>
          <cell r="C3078" t="str">
            <v>Mycophycophyta</v>
          </cell>
          <cell r="D3078" t="str">
            <v>Tremella coppinsii</v>
          </cell>
          <cell r="E3078" t="str">
            <v>LC</v>
          </cell>
          <cell r="F3078" t="str">
            <v>Woods &amp; Coppins, 2012</v>
          </cell>
          <cell r="G3078" t="str">
            <v>BMSSYS0000018767</v>
          </cell>
          <cell r="H3078" t="str">
            <v>Tremella coppinsii</v>
          </cell>
        </row>
        <row r="3079">
          <cell r="A3079" t="str">
            <v>Tremella hypogymniae</v>
          </cell>
          <cell r="B3079" t="str">
            <v>Lichens</v>
          </cell>
          <cell r="C3079" t="str">
            <v>Mycophycophyta</v>
          </cell>
          <cell r="D3079" t="str">
            <v>Tremella hypogymniae</v>
          </cell>
          <cell r="E3079" t="str">
            <v>LC</v>
          </cell>
          <cell r="F3079" t="str">
            <v>Woods &amp; Coppins, 2012</v>
          </cell>
          <cell r="G3079" t="str">
            <v>BMSSYS0000018783</v>
          </cell>
          <cell r="H3079" t="str">
            <v>Tremella hypogymniae</v>
          </cell>
        </row>
        <row r="3080">
          <cell r="A3080" t="str">
            <v>Tremella lichenicola</v>
          </cell>
          <cell r="B3080" t="str">
            <v>Lichens</v>
          </cell>
          <cell r="C3080" t="str">
            <v>Mycophycophyta</v>
          </cell>
          <cell r="D3080" t="str">
            <v>Tremella lichenicola</v>
          </cell>
          <cell r="E3080" t="str">
            <v>LC</v>
          </cell>
          <cell r="F3080" t="str">
            <v>Woods &amp; Coppins, 2012</v>
          </cell>
          <cell r="G3080" t="str">
            <v>BMSSYS0000018789</v>
          </cell>
          <cell r="H3080" t="str">
            <v>Tremella lichenicola</v>
          </cell>
        </row>
        <row r="3081">
          <cell r="A3081" t="str">
            <v>Tremolecia atrata</v>
          </cell>
          <cell r="B3081" t="str">
            <v>Lichens</v>
          </cell>
          <cell r="C3081" t="str">
            <v>Mycophycophyta</v>
          </cell>
          <cell r="D3081" t="str">
            <v>Tremolecia atrata</v>
          </cell>
          <cell r="E3081" t="str">
            <v>LC</v>
          </cell>
          <cell r="F3081" t="str">
            <v>Woods &amp; Coppins, 2012</v>
          </cell>
          <cell r="G3081" t="str">
            <v>NBNSYS0000019119</v>
          </cell>
          <cell r="H3081" t="str">
            <v>Tremolecia atrata</v>
          </cell>
        </row>
        <row r="3082">
          <cell r="A3082" t="str">
            <v>Tuckermannopsis chlorophylla</v>
          </cell>
          <cell r="B3082" t="str">
            <v>Lichens</v>
          </cell>
          <cell r="C3082" t="str">
            <v>Mycophycophyta</v>
          </cell>
          <cell r="D3082" t="str">
            <v>Tuckermannopsis chlorophylla</v>
          </cell>
          <cell r="E3082" t="str">
            <v>LC</v>
          </cell>
          <cell r="F3082" t="str">
            <v>Woods &amp; Coppins, 2012</v>
          </cell>
          <cell r="G3082" t="str">
            <v>BMSSYS0000019154</v>
          </cell>
          <cell r="H3082" t="str">
            <v>Tuckermannopsis chlorophylla</v>
          </cell>
        </row>
        <row r="3083">
          <cell r="A3083" t="str">
            <v>Tylophoron hibernicum</v>
          </cell>
          <cell r="B3083" t="str">
            <v>Lichens</v>
          </cell>
          <cell r="C3083" t="str">
            <v>Mycophycophyta</v>
          </cell>
          <cell r="D3083" t="str">
            <v>Tylophoron hibernicum</v>
          </cell>
          <cell r="E3083" t="str">
            <v>NT</v>
          </cell>
          <cell r="F3083" t="str">
            <v>Woods &amp; Coppins, 2012</v>
          </cell>
          <cell r="G3083" t="str">
            <v>NHMSYS0020991152</v>
          </cell>
          <cell r="H3083" t="str">
            <v>Tylophoron hibernicum</v>
          </cell>
        </row>
        <row r="3084">
          <cell r="A3084" t="str">
            <v>Tylothallia biformigera</v>
          </cell>
          <cell r="B3084" t="str">
            <v>Lichens</v>
          </cell>
          <cell r="C3084" t="str">
            <v>Mycophycophyta</v>
          </cell>
          <cell r="D3084" t="str">
            <v>Tylothallia biformigera</v>
          </cell>
          <cell r="E3084" t="str">
            <v>LC</v>
          </cell>
          <cell r="F3084" t="str">
            <v>Woods &amp; Coppins, 2012</v>
          </cell>
          <cell r="G3084" t="str">
            <v>NBNSYS0000019120</v>
          </cell>
          <cell r="H3084" t="str">
            <v>Tylothallia biformigera</v>
          </cell>
        </row>
        <row r="3085">
          <cell r="A3085" t="str">
            <v>Umbilicaria crustulosa</v>
          </cell>
          <cell r="B3085" t="str">
            <v>Lichens</v>
          </cell>
          <cell r="C3085" t="str">
            <v>Mycophycophyta</v>
          </cell>
          <cell r="D3085" t="str">
            <v>Umbilicaria crustulosa</v>
          </cell>
          <cell r="E3085" t="str">
            <v>VU</v>
          </cell>
          <cell r="F3085" t="str">
            <v>Woods &amp; Coppins, 2012</v>
          </cell>
          <cell r="G3085" t="str">
            <v>NBNSYS0000019122</v>
          </cell>
          <cell r="H3085" t="str">
            <v>Umbilicaria crustulosa</v>
          </cell>
        </row>
        <row r="3086">
          <cell r="A3086" t="str">
            <v>Umbilicaria cylindrica</v>
          </cell>
          <cell r="B3086" t="str">
            <v>Lichens</v>
          </cell>
          <cell r="C3086" t="str">
            <v>Mycophycophyta</v>
          </cell>
          <cell r="D3086" t="str">
            <v>Umbilicaria cylindrica</v>
          </cell>
          <cell r="E3086" t="str">
            <v>LC</v>
          </cell>
          <cell r="F3086" t="str">
            <v>Woods &amp; Coppins, 2012</v>
          </cell>
          <cell r="G3086" t="str">
            <v>NBNSYS0000019123</v>
          </cell>
          <cell r="H3086" t="str">
            <v>Umbilicaria cylindrica</v>
          </cell>
        </row>
        <row r="3087">
          <cell r="A3087" t="str">
            <v>Umbilicaria deusta</v>
          </cell>
          <cell r="B3087" t="str">
            <v>Lichens</v>
          </cell>
          <cell r="C3087" t="str">
            <v>Mycophycophyta</v>
          </cell>
          <cell r="D3087" t="str">
            <v>Umbilicaria deusta</v>
          </cell>
          <cell r="E3087" t="str">
            <v>LC</v>
          </cell>
          <cell r="F3087" t="str">
            <v>Woods &amp; Coppins, 2012</v>
          </cell>
          <cell r="G3087" t="str">
            <v>NBNSYS0000019124</v>
          </cell>
          <cell r="H3087" t="str">
            <v>Umbilicaria deusta</v>
          </cell>
        </row>
        <row r="3088">
          <cell r="A3088" t="str">
            <v>Umbilicaria hirsuta</v>
          </cell>
          <cell r="B3088" t="str">
            <v>Lichens</v>
          </cell>
          <cell r="C3088" t="str">
            <v>Mycophycophyta</v>
          </cell>
          <cell r="D3088" t="str">
            <v>Umbilicaria hirsuta</v>
          </cell>
          <cell r="E3088" t="str">
            <v>NT</v>
          </cell>
          <cell r="F3088" t="str">
            <v>Woods &amp; Coppins, 2012</v>
          </cell>
          <cell r="G3088" t="str">
            <v>NBNSYS0000019126</v>
          </cell>
          <cell r="H3088" t="str">
            <v>Umbilicaria hirsuta</v>
          </cell>
        </row>
        <row r="3089">
          <cell r="A3089" t="str">
            <v>Umbilicaria hyperborea</v>
          </cell>
          <cell r="B3089" t="str">
            <v>Lichens</v>
          </cell>
          <cell r="C3089" t="str">
            <v>Mycophycophyta</v>
          </cell>
          <cell r="D3089" t="str">
            <v>Umbilicaria hyperborea</v>
          </cell>
          <cell r="E3089" t="str">
            <v>LC</v>
          </cell>
          <cell r="F3089" t="str">
            <v>Woods &amp; Coppins, 2012</v>
          </cell>
          <cell r="G3089" t="str">
            <v>NBNSYS0000019127</v>
          </cell>
          <cell r="H3089" t="str">
            <v>Umbilicaria hyperborea</v>
          </cell>
        </row>
        <row r="3090">
          <cell r="A3090" t="str">
            <v>Umbilicaria polyphylla</v>
          </cell>
          <cell r="B3090" t="str">
            <v>Lichens</v>
          </cell>
          <cell r="C3090" t="str">
            <v>Mycophycophyta</v>
          </cell>
          <cell r="D3090" t="str">
            <v>Umbilicaria polyphylla</v>
          </cell>
          <cell r="E3090" t="str">
            <v>LC</v>
          </cell>
          <cell r="F3090" t="str">
            <v>Woods &amp; Coppins, 2012</v>
          </cell>
          <cell r="G3090" t="str">
            <v>NBNSYS0000019129</v>
          </cell>
          <cell r="H3090" t="str">
            <v>Umbilicaria polyphylla</v>
          </cell>
        </row>
        <row r="3091">
          <cell r="A3091" t="str">
            <v>Umbilicaria polyrrhiza</v>
          </cell>
          <cell r="B3091" t="str">
            <v>Lichens</v>
          </cell>
          <cell r="C3091" t="str">
            <v>Mycophycophyta</v>
          </cell>
          <cell r="D3091" t="str">
            <v>Umbilicaria polyrrhiza</v>
          </cell>
          <cell r="E3091" t="str">
            <v>LC</v>
          </cell>
          <cell r="F3091" t="str">
            <v>Woods &amp; Coppins, 2012</v>
          </cell>
          <cell r="G3091" t="str">
            <v>NBNSYS0000019130</v>
          </cell>
          <cell r="H3091" t="str">
            <v>Umbilicaria polyrrhiza</v>
          </cell>
        </row>
        <row r="3092">
          <cell r="A3092" t="str">
            <v>Umbilicaria proboscidea</v>
          </cell>
          <cell r="B3092" t="str">
            <v>Lichens</v>
          </cell>
          <cell r="C3092" t="str">
            <v>Mycophycophyta</v>
          </cell>
          <cell r="D3092" t="str">
            <v>Umbilicaria proboscidea</v>
          </cell>
          <cell r="E3092" t="str">
            <v>LC</v>
          </cell>
          <cell r="F3092" t="str">
            <v>Woods &amp; Coppins, 2012</v>
          </cell>
          <cell r="G3092" t="str">
            <v>NHMSYS0001500765</v>
          </cell>
          <cell r="H3092" t="str">
            <v>Umbilicaria proboscidea</v>
          </cell>
        </row>
        <row r="3093">
          <cell r="A3093" t="str">
            <v>Umbilicaria torrefacta</v>
          </cell>
          <cell r="B3093" t="str">
            <v>Lichens</v>
          </cell>
          <cell r="C3093" t="str">
            <v>Mycophycophyta</v>
          </cell>
          <cell r="D3093" t="str">
            <v>Umbilicaria torrefacta</v>
          </cell>
          <cell r="E3093" t="str">
            <v>LC</v>
          </cell>
          <cell r="F3093" t="str">
            <v>Woods &amp; Coppins, 2012</v>
          </cell>
          <cell r="G3093" t="str">
            <v>NBNSYS0000019133</v>
          </cell>
          <cell r="H3093" t="str">
            <v>Umbilicaria torrefacta</v>
          </cell>
        </row>
        <row r="3094">
          <cell r="A3094" t="str">
            <v>Unguiculariopsis lettaui</v>
          </cell>
          <cell r="B3094" t="str">
            <v>Lichens</v>
          </cell>
          <cell r="C3094" t="str">
            <v>Mycophycophyta</v>
          </cell>
          <cell r="D3094" t="str">
            <v>Unguiculariopsis lettaui</v>
          </cell>
          <cell r="E3094" t="str">
            <v>LC</v>
          </cell>
          <cell r="F3094" t="str">
            <v>Woods &amp; Coppins, 2012</v>
          </cell>
          <cell r="G3094" t="str">
            <v>NBNSYS0000019291</v>
          </cell>
          <cell r="H3094" t="str">
            <v>Unguiculariopsis lettaui</v>
          </cell>
        </row>
        <row r="3095">
          <cell r="A3095" t="str">
            <v>Unguiculariopsis thallophila</v>
          </cell>
          <cell r="B3095" t="str">
            <v>Lichens</v>
          </cell>
          <cell r="C3095" t="str">
            <v>Mycophycophyta</v>
          </cell>
          <cell r="D3095" t="str">
            <v>Unguiculariopsis thallophila</v>
          </cell>
          <cell r="E3095" t="str">
            <v>LC</v>
          </cell>
          <cell r="F3095" t="str">
            <v>Woods &amp; Coppins, 2012</v>
          </cell>
          <cell r="G3095" t="str">
            <v>BMSSYS0000019293</v>
          </cell>
          <cell r="H3095" t="str">
            <v>Unguiculariopsis thallophila</v>
          </cell>
        </row>
        <row r="3096">
          <cell r="A3096" t="str">
            <v>Usnea articulata</v>
          </cell>
          <cell r="B3096" t="str">
            <v>Lichens</v>
          </cell>
          <cell r="C3096" t="str">
            <v>Mycophycophyta</v>
          </cell>
          <cell r="D3096" t="str">
            <v>Usnea articulata</v>
          </cell>
          <cell r="E3096" t="str">
            <v>NT</v>
          </cell>
          <cell r="F3096" t="str">
            <v>Woods &amp; Coppins, 2012</v>
          </cell>
          <cell r="G3096" t="str">
            <v>NBNSYS0000019134</v>
          </cell>
          <cell r="H3096" t="str">
            <v>Usnea articulata</v>
          </cell>
        </row>
        <row r="3097">
          <cell r="A3097" t="str">
            <v>Usnea ceratina</v>
          </cell>
          <cell r="B3097" t="str">
            <v>Lichens</v>
          </cell>
          <cell r="C3097" t="str">
            <v>Mycophycophyta</v>
          </cell>
          <cell r="D3097" t="str">
            <v>Usnea ceratina</v>
          </cell>
          <cell r="E3097" t="str">
            <v>LC</v>
          </cell>
          <cell r="F3097" t="str">
            <v>Woods &amp; Coppins, 2012</v>
          </cell>
          <cell r="G3097" t="str">
            <v>NBNSYS0000019136</v>
          </cell>
          <cell r="H3097" t="str">
            <v>Usnea ceratina</v>
          </cell>
        </row>
        <row r="3098">
          <cell r="A3098" t="str">
            <v>Usnea cornuta</v>
          </cell>
          <cell r="B3098" t="str">
            <v>Lichens</v>
          </cell>
          <cell r="C3098" t="str">
            <v>Mycophycophyta</v>
          </cell>
          <cell r="D3098" t="str">
            <v>Usnea cornuta</v>
          </cell>
          <cell r="E3098" t="str">
            <v>LC</v>
          </cell>
          <cell r="F3098" t="str">
            <v>Woods &amp; Coppins, 2012</v>
          </cell>
          <cell r="G3098" t="str">
            <v>NHMSYS0001501160</v>
          </cell>
          <cell r="H3098" t="str">
            <v>Usnea cornuta</v>
          </cell>
        </row>
        <row r="3099">
          <cell r="A3099" t="str">
            <v>Usnea dasypoga</v>
          </cell>
          <cell r="B3099" t="str">
            <v>Lichens</v>
          </cell>
          <cell r="C3099" t="str">
            <v>Mycophycophyta</v>
          </cell>
          <cell r="D3099" t="str">
            <v>Usnea dasypoga</v>
          </cell>
          <cell r="E3099" t="str">
            <v>LC</v>
          </cell>
          <cell r="F3099" t="str">
            <v>Woods &amp; Coppins, 2012</v>
          </cell>
          <cell r="G3099" t="str">
            <v>BMSSYS0000052346</v>
          </cell>
          <cell r="H3099" t="str">
            <v>Usnea dasypoga</v>
          </cell>
        </row>
        <row r="3100">
          <cell r="A3100" t="str">
            <v>Usnea esperantiana</v>
          </cell>
          <cell r="B3100" t="str">
            <v>Lichens</v>
          </cell>
          <cell r="C3100" t="str">
            <v>Mycophycophyta</v>
          </cell>
          <cell r="D3100" t="str">
            <v>Usnea esperantiana</v>
          </cell>
          <cell r="E3100" t="str">
            <v>NT</v>
          </cell>
          <cell r="F3100" t="str">
            <v>Woods &amp; Coppins, 2012</v>
          </cell>
          <cell r="G3100" t="str">
            <v>NHMSYS0001501163</v>
          </cell>
          <cell r="H3100" t="str">
            <v>Usnea esperantiana</v>
          </cell>
        </row>
        <row r="3101">
          <cell r="A3101" t="str">
            <v>Usnea flammea</v>
          </cell>
          <cell r="B3101" t="str">
            <v>Lichens</v>
          </cell>
          <cell r="C3101" t="str">
            <v>Mycophycophyta</v>
          </cell>
          <cell r="D3101" t="str">
            <v>Usnea flammea</v>
          </cell>
          <cell r="E3101" t="str">
            <v>LC</v>
          </cell>
          <cell r="F3101" t="str">
            <v>Woods &amp; Coppins, 2012</v>
          </cell>
          <cell r="G3101" t="str">
            <v>NBNSYS0000019139</v>
          </cell>
          <cell r="H3101" t="str">
            <v>Usnea flammea</v>
          </cell>
        </row>
        <row r="3102">
          <cell r="A3102" t="str">
            <v>Usnea florida</v>
          </cell>
          <cell r="B3102" t="str">
            <v>Lichens</v>
          </cell>
          <cell r="C3102" t="str">
            <v>Mycophycophyta</v>
          </cell>
          <cell r="D3102" t="str">
            <v>Usnea florida</v>
          </cell>
          <cell r="E3102" t="str">
            <v>NT</v>
          </cell>
          <cell r="F3102" t="str">
            <v>Woods &amp; Coppins, 2012</v>
          </cell>
          <cell r="G3102" t="str">
            <v>NHMSYS0001501165</v>
          </cell>
          <cell r="H3102" t="str">
            <v>Usnea florida</v>
          </cell>
        </row>
        <row r="3103">
          <cell r="A3103" t="str">
            <v>Usnea glabrescens</v>
          </cell>
          <cell r="B3103" t="str">
            <v>Lichens</v>
          </cell>
          <cell r="C3103" t="str">
            <v>Mycophycophyta</v>
          </cell>
          <cell r="D3103" t="str">
            <v>Usnea glabrescens</v>
          </cell>
          <cell r="E3103" t="str">
            <v>LC</v>
          </cell>
          <cell r="F3103" t="str">
            <v>Woods &amp; Coppins, 2012</v>
          </cell>
          <cell r="G3103" t="str">
            <v>NBNSYS0000019144</v>
          </cell>
          <cell r="H3103" t="str">
            <v>Usnea glabrescens</v>
          </cell>
        </row>
        <row r="3104">
          <cell r="A3104" t="str">
            <v>Usnea hirta</v>
          </cell>
          <cell r="B3104" t="str">
            <v>Lichens</v>
          </cell>
          <cell r="C3104" t="str">
            <v>Mycophycophyta</v>
          </cell>
          <cell r="D3104" t="str">
            <v>Usnea hirta</v>
          </cell>
          <cell r="E3104" t="str">
            <v>LC</v>
          </cell>
          <cell r="F3104" t="str">
            <v>Woods &amp; Coppins, 2012</v>
          </cell>
          <cell r="G3104" t="str">
            <v>NHMSYS0001501176</v>
          </cell>
          <cell r="H3104" t="str">
            <v>Usnea hirta</v>
          </cell>
        </row>
        <row r="3105">
          <cell r="A3105" t="str">
            <v>Usnea rubicunda</v>
          </cell>
          <cell r="B3105" t="str">
            <v>Lichens</v>
          </cell>
          <cell r="C3105" t="str">
            <v>Mycophycophyta</v>
          </cell>
          <cell r="D3105" t="str">
            <v>Usnea rubicunda</v>
          </cell>
          <cell r="E3105" t="str">
            <v>LC</v>
          </cell>
          <cell r="F3105" t="str">
            <v>Woods &amp; Coppins, 2012</v>
          </cell>
          <cell r="G3105" t="str">
            <v>NBNSYS0000019148</v>
          </cell>
          <cell r="H3105" t="str">
            <v>Usnea rubicunda</v>
          </cell>
        </row>
        <row r="3106">
          <cell r="A3106" t="str">
            <v>Usnea silesiaca</v>
          </cell>
          <cell r="B3106" t="str">
            <v>Lichens</v>
          </cell>
          <cell r="C3106" t="str">
            <v>Mycophycophyta</v>
          </cell>
          <cell r="D3106" t="str">
            <v>Usnea silesiaca</v>
          </cell>
          <cell r="E3106" t="str">
            <v>VU</v>
          </cell>
          <cell r="F3106" t="str">
            <v>Woods &amp; Coppins, 2012</v>
          </cell>
          <cell r="G3106" t="str">
            <v>NHMSYS0001501188</v>
          </cell>
          <cell r="H3106" t="str">
            <v>Usnea silesiaca</v>
          </cell>
        </row>
        <row r="3107">
          <cell r="A3107" t="str">
            <v>Usnea subfloridana</v>
          </cell>
          <cell r="B3107" t="str">
            <v>Lichens</v>
          </cell>
          <cell r="C3107" t="str">
            <v>Mycophycophyta</v>
          </cell>
          <cell r="D3107" t="str">
            <v>Usnea subfloridana</v>
          </cell>
          <cell r="E3107" t="str">
            <v>LC</v>
          </cell>
          <cell r="F3107" t="str">
            <v>Woods &amp; Coppins, 2012</v>
          </cell>
          <cell r="G3107" t="str">
            <v>NBNSYS0000019149</v>
          </cell>
          <cell r="H3107" t="str">
            <v>Usnea subfloridana</v>
          </cell>
        </row>
        <row r="3108">
          <cell r="A3108" t="str">
            <v>Usnea subscabrosa</v>
          </cell>
          <cell r="B3108" t="str">
            <v>Lichens</v>
          </cell>
          <cell r="C3108" t="str">
            <v>Mycophycophyta</v>
          </cell>
          <cell r="D3108" t="str">
            <v>Usnea subscabrosa</v>
          </cell>
          <cell r="E3108" t="str">
            <v>VU</v>
          </cell>
          <cell r="F3108" t="str">
            <v>Woods &amp; Coppins, 2012</v>
          </cell>
          <cell r="G3108" t="str">
            <v>NBNSYS0000039810</v>
          </cell>
          <cell r="H3108" t="str">
            <v>Usnea subscabrosa</v>
          </cell>
        </row>
        <row r="3109">
          <cell r="A3109" t="str">
            <v>Usnea wasmuthii</v>
          </cell>
          <cell r="B3109" t="str">
            <v>Lichens</v>
          </cell>
          <cell r="C3109" t="str">
            <v>Mycophycophyta</v>
          </cell>
          <cell r="D3109" t="str">
            <v>Usnea wasmuthii</v>
          </cell>
          <cell r="E3109" t="str">
            <v>LC</v>
          </cell>
          <cell r="F3109" t="str">
            <v>Woods &amp; Coppins, 2012</v>
          </cell>
          <cell r="G3109" t="str">
            <v>NHMSYS0001501190</v>
          </cell>
          <cell r="H3109" t="str">
            <v>Usnea wasmuthii</v>
          </cell>
        </row>
        <row r="3110">
          <cell r="A3110" t="str">
            <v>Vahliella atlantica</v>
          </cell>
          <cell r="B3110" t="str">
            <v>Lichens</v>
          </cell>
          <cell r="C3110" t="str">
            <v>Mycophycophyta</v>
          </cell>
          <cell r="D3110" t="str">
            <v>Vahliella atlantica</v>
          </cell>
          <cell r="E3110" t="str">
            <v>LC</v>
          </cell>
          <cell r="F3110" t="str">
            <v>Woods &amp; Coppins, 2012</v>
          </cell>
          <cell r="G3110" t="str">
            <v>NHMSYS0020991178</v>
          </cell>
          <cell r="H3110" t="str">
            <v>Vahliella atlantica</v>
          </cell>
        </row>
        <row r="3111">
          <cell r="A3111" t="str">
            <v>Vahliella leucophaea</v>
          </cell>
          <cell r="B3111" t="str">
            <v>Lichens</v>
          </cell>
          <cell r="C3111" t="str">
            <v>Mycophycophyta</v>
          </cell>
          <cell r="D3111" t="str">
            <v>Vahliella leucophaea</v>
          </cell>
          <cell r="E3111" t="str">
            <v>LC</v>
          </cell>
          <cell r="F3111" t="str">
            <v>Woods &amp; Coppins, 2012</v>
          </cell>
          <cell r="G3111" t="str">
            <v>NHMSYS0020991179</v>
          </cell>
          <cell r="H3111" t="str">
            <v>Vahliella leucophaea</v>
          </cell>
        </row>
        <row r="3112">
          <cell r="A3112" t="str">
            <v>Verrucaria aethiobola</v>
          </cell>
          <cell r="B3112" t="str">
            <v>Lichens</v>
          </cell>
          <cell r="C3112" t="str">
            <v>Mycophycophyta</v>
          </cell>
          <cell r="D3112" t="str">
            <v>Verrucaria aethiobola</v>
          </cell>
          <cell r="E3112" t="str">
            <v>LC</v>
          </cell>
          <cell r="F3112" t="str">
            <v>Woods &amp; Coppins, 2012</v>
          </cell>
          <cell r="G3112" t="str">
            <v>NBNSYS0000020664</v>
          </cell>
          <cell r="H3112" t="str">
            <v>Verrucaria aethiobola</v>
          </cell>
        </row>
        <row r="3113">
          <cell r="A3113" t="str">
            <v>Verrucaria amphibia</v>
          </cell>
          <cell r="B3113" t="str">
            <v>Lichens</v>
          </cell>
          <cell r="C3113" t="str">
            <v>Mycophycophyta</v>
          </cell>
          <cell r="D3113" t="str">
            <v>Verrucaria amphibia</v>
          </cell>
          <cell r="E3113" t="str">
            <v>LC</v>
          </cell>
          <cell r="F3113" t="str">
            <v>Woods &amp; Coppins, 2012</v>
          </cell>
          <cell r="G3113" t="str">
            <v>BMSSYS0000046369</v>
          </cell>
          <cell r="H3113" t="str">
            <v>Verrucaria amphibia</v>
          </cell>
        </row>
        <row r="3114">
          <cell r="A3114" t="str">
            <v>Verrucaria aquatilis</v>
          </cell>
          <cell r="B3114" t="str">
            <v>Lichens</v>
          </cell>
          <cell r="C3114" t="str">
            <v>Mycophycophyta</v>
          </cell>
          <cell r="D3114" t="str">
            <v>Verrucaria aquatilis</v>
          </cell>
          <cell r="E3114" t="str">
            <v>LC</v>
          </cell>
          <cell r="F3114" t="str">
            <v>Woods &amp; Coppins, 2012</v>
          </cell>
          <cell r="G3114" t="str">
            <v>NBNSYS0000020667</v>
          </cell>
          <cell r="H3114" t="str">
            <v>Verrucaria aquatilis</v>
          </cell>
        </row>
        <row r="3115">
          <cell r="A3115" t="str">
            <v>Verrucaria baldensis</v>
          </cell>
          <cell r="B3115" t="str">
            <v>Lichens</v>
          </cell>
          <cell r="C3115" t="str">
            <v>Mycophycophyta</v>
          </cell>
          <cell r="D3115" t="str">
            <v>Verrucaria baldensis</v>
          </cell>
          <cell r="E3115" t="str">
            <v>LC</v>
          </cell>
          <cell r="F3115" t="str">
            <v>Woods &amp; Coppins, 2012</v>
          </cell>
          <cell r="G3115" t="str">
            <v>NHMSYS0001501536</v>
          </cell>
          <cell r="H3115" t="str">
            <v>Verrucaria baldensis</v>
          </cell>
        </row>
        <row r="3116">
          <cell r="A3116" t="str">
            <v>Verrucaria bryoctona</v>
          </cell>
          <cell r="B3116" t="str">
            <v>Lichens</v>
          </cell>
          <cell r="C3116" t="str">
            <v>Mycophycophyta</v>
          </cell>
          <cell r="D3116" t="str">
            <v>Verrucaria bryoctona</v>
          </cell>
          <cell r="E3116" t="str">
            <v>LC</v>
          </cell>
          <cell r="F3116" t="str">
            <v>Woods &amp; Coppins, 2012</v>
          </cell>
          <cell r="G3116" t="str">
            <v>NBNSYS0000039813</v>
          </cell>
          <cell r="H3116" t="str">
            <v>Verrucaria bryoctona</v>
          </cell>
        </row>
        <row r="3117">
          <cell r="A3117" t="str">
            <v>Verrucaria bulgarica</v>
          </cell>
          <cell r="B3117" t="str">
            <v>Lichens</v>
          </cell>
          <cell r="C3117" t="str">
            <v>Mycophycophyta</v>
          </cell>
          <cell r="D3117" t="str">
            <v>Verrucaria bulgarica</v>
          </cell>
          <cell r="E3117" t="str">
            <v>LC</v>
          </cell>
          <cell r="F3117" t="str">
            <v>Woods &amp; Coppins, 2012</v>
          </cell>
          <cell r="G3117" t="str">
            <v>NHMSYS0001501539</v>
          </cell>
          <cell r="H3117" t="str">
            <v>Verrucaria bulgarica</v>
          </cell>
        </row>
        <row r="3118">
          <cell r="A3118" t="str">
            <v>Verrucaria caerulea</v>
          </cell>
          <cell r="B3118" t="str">
            <v>Lichens</v>
          </cell>
          <cell r="C3118" t="str">
            <v>Mycophycophyta</v>
          </cell>
          <cell r="D3118" t="str">
            <v>Verrucaria caerulea</v>
          </cell>
          <cell r="E3118" t="str">
            <v>LC</v>
          </cell>
          <cell r="F3118" t="str">
            <v>Woods &amp; Coppins, 2012</v>
          </cell>
          <cell r="G3118" t="str">
            <v>NBNSYS0000020671</v>
          </cell>
          <cell r="H3118" t="str">
            <v>Verrucaria caerulea</v>
          </cell>
        </row>
        <row r="3119">
          <cell r="A3119" t="str">
            <v>Verrucaria calciseda</v>
          </cell>
          <cell r="B3119" t="str">
            <v>Lichens</v>
          </cell>
          <cell r="C3119" t="str">
            <v>Mycophycophyta</v>
          </cell>
          <cell r="D3119" t="str">
            <v>Verrucaria calciseda</v>
          </cell>
          <cell r="E3119" t="str">
            <v>LC</v>
          </cell>
          <cell r="F3119" t="str">
            <v>Woods &amp; Coppins, 2012</v>
          </cell>
          <cell r="G3119" t="str">
            <v>NHMSYS0000364470</v>
          </cell>
          <cell r="H3119" t="str">
            <v>Verrucaria calciseda</v>
          </cell>
        </row>
        <row r="3120">
          <cell r="A3120" t="str">
            <v>Verrucaria cernaensis</v>
          </cell>
          <cell r="B3120" t="str">
            <v>Lichens</v>
          </cell>
          <cell r="C3120" t="str">
            <v>Mycophycophyta</v>
          </cell>
          <cell r="D3120" t="str">
            <v>Verrucaria cernaensis</v>
          </cell>
          <cell r="E3120" t="str">
            <v>LC</v>
          </cell>
          <cell r="F3120" t="str">
            <v>Woods &amp; Coppins, 2012</v>
          </cell>
          <cell r="G3120" t="str">
            <v>NHMSYS0020991192</v>
          </cell>
          <cell r="H3120" t="str">
            <v>Verrucaria cernaensis</v>
          </cell>
        </row>
        <row r="3121">
          <cell r="A3121" t="str">
            <v>Verrucaria ditmarsica</v>
          </cell>
          <cell r="B3121" t="str">
            <v>Lichens</v>
          </cell>
          <cell r="C3121" t="str">
            <v>Mycophycophyta</v>
          </cell>
          <cell r="D3121" t="str">
            <v>Verrucaria ditmarsica</v>
          </cell>
          <cell r="E3121" t="str">
            <v>LC</v>
          </cell>
          <cell r="F3121" t="str">
            <v>Woods &amp; Coppins, 2012</v>
          </cell>
          <cell r="G3121" t="str">
            <v>NBNSYS0000020677</v>
          </cell>
          <cell r="H3121" t="str">
            <v>Verrucaria ditmarsica</v>
          </cell>
        </row>
        <row r="3122">
          <cell r="A3122" t="str">
            <v>Verrucaria dolosa</v>
          </cell>
          <cell r="B3122" t="str">
            <v>Lichens</v>
          </cell>
          <cell r="C3122" t="str">
            <v>Mycophycophyta</v>
          </cell>
          <cell r="D3122" t="str">
            <v>Verrucaria dolosa</v>
          </cell>
          <cell r="E3122" t="str">
            <v>LC</v>
          </cell>
          <cell r="F3122" t="str">
            <v>Woods &amp; Coppins, 2012</v>
          </cell>
          <cell r="G3122" t="str">
            <v>NBNSYS0000020699</v>
          </cell>
          <cell r="H3122" t="str">
            <v>Verrucaria dolosa</v>
          </cell>
        </row>
        <row r="3123">
          <cell r="A3123" t="str">
            <v>Verrucaria dufourii</v>
          </cell>
          <cell r="B3123" t="str">
            <v>Lichens</v>
          </cell>
          <cell r="C3123" t="str">
            <v>Mycophycophyta</v>
          </cell>
          <cell r="D3123" t="str">
            <v>Verrucaria dufourii</v>
          </cell>
          <cell r="E3123" t="str">
            <v>LC</v>
          </cell>
          <cell r="F3123" t="str">
            <v>Woods &amp; Coppins, 2012</v>
          </cell>
          <cell r="G3123" t="str">
            <v>NBNSYS0000020678</v>
          </cell>
          <cell r="H3123" t="str">
            <v>Verrucaria dufourii</v>
          </cell>
        </row>
        <row r="3124">
          <cell r="A3124" t="str">
            <v>Verrucaria elaeina</v>
          </cell>
          <cell r="B3124" t="str">
            <v>Lichens</v>
          </cell>
          <cell r="C3124" t="str">
            <v>Mycophycophyta</v>
          </cell>
          <cell r="D3124" t="str">
            <v>Verrucaria elaeina</v>
          </cell>
          <cell r="E3124" t="str">
            <v>LC</v>
          </cell>
          <cell r="F3124" t="str">
            <v>Woods &amp; Coppins, 2012</v>
          </cell>
          <cell r="G3124" t="str">
            <v>NHMSYS0001501570</v>
          </cell>
          <cell r="H3124" t="str">
            <v>Verrucaria elaeina</v>
          </cell>
        </row>
        <row r="3125">
          <cell r="A3125" t="str">
            <v>Verrucaria elaeomelaena</v>
          </cell>
          <cell r="B3125" t="str">
            <v>Lichens</v>
          </cell>
          <cell r="C3125" t="str">
            <v>Mycophycophyta</v>
          </cell>
          <cell r="D3125" t="str">
            <v>Verrucaria elaeomelaena</v>
          </cell>
          <cell r="E3125" t="str">
            <v>LC</v>
          </cell>
          <cell r="F3125" t="str">
            <v>Woods &amp; Coppins, 2012</v>
          </cell>
          <cell r="G3125" t="str">
            <v>BMSSYS0000052458</v>
          </cell>
          <cell r="H3125" t="str">
            <v>Verrucaria elaeomelaena</v>
          </cell>
        </row>
        <row r="3126">
          <cell r="A3126" t="str">
            <v>Verrucaria funckii</v>
          </cell>
          <cell r="B3126" t="str">
            <v>Lichens</v>
          </cell>
          <cell r="C3126" t="str">
            <v>Mycophycophyta</v>
          </cell>
          <cell r="D3126" t="str">
            <v>Verrucaria funckii</v>
          </cell>
          <cell r="E3126" t="str">
            <v>LC</v>
          </cell>
          <cell r="F3126" t="str">
            <v>Woods &amp; Coppins, 2012</v>
          </cell>
          <cell r="G3126" t="str">
            <v>NBNSYS0000020681</v>
          </cell>
          <cell r="H3126" t="str">
            <v>Verrucaria funckii</v>
          </cell>
        </row>
        <row r="3127">
          <cell r="A3127" t="str">
            <v>Verrucaria fusconigrescens</v>
          </cell>
          <cell r="B3127" t="str">
            <v>Lichens</v>
          </cell>
          <cell r="C3127" t="str">
            <v>Mycophycophyta</v>
          </cell>
          <cell r="D3127" t="str">
            <v>Verrucaria fusconigrescens</v>
          </cell>
          <cell r="E3127" t="str">
            <v>LC</v>
          </cell>
          <cell r="F3127" t="str">
            <v>Woods &amp; Coppins, 2012</v>
          </cell>
          <cell r="G3127" t="str">
            <v>NBNSYS0000020682</v>
          </cell>
          <cell r="H3127" t="str">
            <v>Verrucaria fusconigrescens</v>
          </cell>
        </row>
        <row r="3128">
          <cell r="A3128" t="str">
            <v>Verrucaria halizoa</v>
          </cell>
          <cell r="B3128" t="str">
            <v>Lichens</v>
          </cell>
          <cell r="C3128" t="str">
            <v>Mycophycophyta</v>
          </cell>
          <cell r="D3128" t="str">
            <v>Verrucaria halizoa</v>
          </cell>
          <cell r="E3128" t="str">
            <v>LC</v>
          </cell>
          <cell r="F3128" t="str">
            <v>Woods &amp; Coppins, 2012</v>
          </cell>
          <cell r="G3128" t="str">
            <v>NBNSYS0000020684</v>
          </cell>
          <cell r="H3128" t="str">
            <v>Verrucaria halizoa</v>
          </cell>
        </row>
        <row r="3129">
          <cell r="A3129" t="str">
            <v>Verrucaria hochstetteri</v>
          </cell>
          <cell r="B3129" t="str">
            <v>Lichens</v>
          </cell>
          <cell r="C3129" t="str">
            <v>Mycophycophyta</v>
          </cell>
          <cell r="D3129" t="str">
            <v>Verrucaria hochstetteri</v>
          </cell>
          <cell r="E3129" t="str">
            <v>LC</v>
          </cell>
          <cell r="F3129" t="str">
            <v>Woods &amp; Coppins, 2012</v>
          </cell>
          <cell r="G3129" t="str">
            <v>NBNSYS0000020686</v>
          </cell>
          <cell r="H3129" t="str">
            <v>Verrucaria hochstetteri</v>
          </cell>
        </row>
        <row r="3130">
          <cell r="A3130" t="str">
            <v>Verrucaria hydrela</v>
          </cell>
          <cell r="B3130" t="str">
            <v>Lichens</v>
          </cell>
          <cell r="C3130" t="str">
            <v>Mycophycophyta</v>
          </cell>
          <cell r="D3130" t="str">
            <v>Verrucaria hydrela</v>
          </cell>
          <cell r="E3130" t="str">
            <v>LC</v>
          </cell>
          <cell r="F3130" t="str">
            <v>Woods &amp; Coppins, 2012</v>
          </cell>
          <cell r="G3130" t="str">
            <v>NBNSYS0000020687</v>
          </cell>
          <cell r="H3130" t="str">
            <v>Verrucaria hydrela</v>
          </cell>
        </row>
        <row r="3131">
          <cell r="A3131" t="str">
            <v>Verrucaria internigrescens</v>
          </cell>
          <cell r="B3131" t="str">
            <v>Lichens</v>
          </cell>
          <cell r="C3131" t="str">
            <v>Mycophycophyta</v>
          </cell>
          <cell r="D3131" t="str">
            <v>Verrucaria internigrescens</v>
          </cell>
          <cell r="E3131" t="str">
            <v>LC</v>
          </cell>
          <cell r="F3131" t="str">
            <v>Woods &amp; Coppins, 2012</v>
          </cell>
          <cell r="G3131" t="str">
            <v>NBNSYS0000020689</v>
          </cell>
          <cell r="H3131" t="str">
            <v>Verrucaria internigrescens</v>
          </cell>
        </row>
        <row r="3132">
          <cell r="A3132" t="str">
            <v>Verrucaria macrostoma f. macrostoma, Verrucaria macrostoma f. furfuracea</v>
          </cell>
          <cell r="B3132" t="str">
            <v>Lichens</v>
          </cell>
          <cell r="C3132" t="str">
            <v>Mycophycophyta</v>
          </cell>
          <cell r="D3132" t="str">
            <v>Verrucaria macrostoma (f. macrostoma/f. furfuracea)</v>
          </cell>
          <cell r="E3132" t="str">
            <v>LC</v>
          </cell>
          <cell r="F3132" t="str">
            <v>Woods &amp; Coppins, 2012</v>
          </cell>
          <cell r="G3132" t="str">
            <v>NBNSYS0000020692</v>
          </cell>
          <cell r="H3132" t="str">
            <v>Verrucaria macrostoma f. macrostoma, Verrucaria macrostoma f. furfuracea</v>
          </cell>
        </row>
        <row r="3133">
          <cell r="A3133" t="str">
            <v>Verrucaria madida</v>
          </cell>
          <cell r="B3133" t="str">
            <v>Lichens</v>
          </cell>
          <cell r="C3133" t="str">
            <v>Mycophycophyta</v>
          </cell>
          <cell r="D3133" t="str">
            <v>Verrucaria madida</v>
          </cell>
          <cell r="E3133" t="str">
            <v>VU</v>
          </cell>
          <cell r="F3133" t="str">
            <v>Woods &amp; Coppins, 2012</v>
          </cell>
          <cell r="G3133" t="str">
            <v>NHMSYS0001501638</v>
          </cell>
          <cell r="H3133" t="str">
            <v>Verrucaria madida</v>
          </cell>
        </row>
        <row r="3134">
          <cell r="A3134" t="str">
            <v>Verrucaria margacea</v>
          </cell>
          <cell r="B3134" t="str">
            <v>Lichens</v>
          </cell>
          <cell r="C3134" t="str">
            <v>Mycophycophyta</v>
          </cell>
          <cell r="D3134" t="str">
            <v>Verrucaria margacea</v>
          </cell>
          <cell r="E3134" t="str">
            <v>LC</v>
          </cell>
          <cell r="F3134" t="str">
            <v>Woods &amp; Coppins, 2012</v>
          </cell>
          <cell r="G3134" t="str">
            <v>NBNSYS0000020693</v>
          </cell>
          <cell r="H3134" t="str">
            <v>Verrucaria margacea</v>
          </cell>
        </row>
        <row r="3135">
          <cell r="A3135" t="str">
            <v>Verrucaria maura</v>
          </cell>
          <cell r="B3135" t="str">
            <v>Lichens</v>
          </cell>
          <cell r="C3135" t="str">
            <v>Mycophycophyta</v>
          </cell>
          <cell r="D3135" t="str">
            <v>Verrucaria maura</v>
          </cell>
          <cell r="E3135" t="str">
            <v>LC</v>
          </cell>
          <cell r="F3135" t="str">
            <v>Woods &amp; Coppins, 2012</v>
          </cell>
          <cell r="G3135" t="str">
            <v>NHMSYS0020990286</v>
          </cell>
          <cell r="H3135" t="str">
            <v>Verrucaria maura</v>
          </cell>
        </row>
        <row r="3136">
          <cell r="A3136" t="str">
            <v>Verrucaria mucosa</v>
          </cell>
          <cell r="B3136" t="str">
            <v>Lichens</v>
          </cell>
          <cell r="C3136" t="str">
            <v>Mycophycophyta</v>
          </cell>
          <cell r="D3136" t="str">
            <v>Verrucaria mucosa</v>
          </cell>
          <cell r="E3136" t="str">
            <v>LC</v>
          </cell>
          <cell r="F3136" t="str">
            <v>Woods &amp; Coppins, 2012</v>
          </cell>
          <cell r="G3136" t="str">
            <v>NBNSYS0000020696</v>
          </cell>
          <cell r="H3136" t="str">
            <v>Verrucaria mucosa</v>
          </cell>
        </row>
        <row r="3137">
          <cell r="A3137" t="str">
            <v>Verrucaria muralis</v>
          </cell>
          <cell r="B3137" t="str">
            <v>Lichens</v>
          </cell>
          <cell r="C3137" t="str">
            <v>Mycophycophyta</v>
          </cell>
          <cell r="D3137" t="str">
            <v>Verrucaria muralis</v>
          </cell>
          <cell r="E3137" t="str">
            <v>LC</v>
          </cell>
          <cell r="F3137" t="str">
            <v>Woods &amp; Coppins, 2012</v>
          </cell>
          <cell r="G3137" t="str">
            <v>NBNSYS0000020697</v>
          </cell>
          <cell r="H3137" t="str">
            <v>Verrucaria muralis</v>
          </cell>
        </row>
        <row r="3138">
          <cell r="A3138" t="str">
            <v>Verrucaria murina</v>
          </cell>
          <cell r="B3138" t="str">
            <v>Lichens</v>
          </cell>
          <cell r="C3138" t="str">
            <v>Mycophycophyta</v>
          </cell>
          <cell r="D3138" t="str">
            <v>Verrucaria murina</v>
          </cell>
          <cell r="E3138" t="str">
            <v>LC</v>
          </cell>
          <cell r="F3138" t="str">
            <v>Woods &amp; Coppins, 2012</v>
          </cell>
          <cell r="G3138" t="str">
            <v>NHMSYS0000364502</v>
          </cell>
          <cell r="H3138" t="str">
            <v>Verrucaria murina</v>
          </cell>
        </row>
        <row r="3139">
          <cell r="A3139" t="str">
            <v>Verrucaria nigrescens f. nigrescens, Verrucaria nigrescens f. tectorum</v>
          </cell>
          <cell r="B3139" t="str">
            <v>Lichens</v>
          </cell>
          <cell r="C3139" t="str">
            <v>Mycophycophyta</v>
          </cell>
          <cell r="D3139" t="str">
            <v>Verrucaria nigrescens (f. nigrescens/f. tectorum)</v>
          </cell>
          <cell r="E3139" t="str">
            <v>LC</v>
          </cell>
          <cell r="F3139" t="str">
            <v>Woods &amp; Coppins, 2012</v>
          </cell>
          <cell r="G3139" t="str">
            <v>NBNSYS0000020700</v>
          </cell>
          <cell r="H3139" t="str">
            <v>Verrucaria nigrescens f. nigrescens, Verrucaria nigrescens f. tectorum</v>
          </cell>
        </row>
        <row r="3140">
          <cell r="A3140" t="str">
            <v>Verrucaria parmigerella</v>
          </cell>
          <cell r="B3140" t="str">
            <v>Lichens</v>
          </cell>
          <cell r="C3140" t="str">
            <v>Mycophycophyta</v>
          </cell>
          <cell r="D3140" t="str">
            <v>Verrucaria parmigerella</v>
          </cell>
          <cell r="E3140" t="str">
            <v>LC</v>
          </cell>
          <cell r="F3140" t="str">
            <v>Woods &amp; Coppins, 2012</v>
          </cell>
          <cell r="G3140" t="str">
            <v>NBNSYS0000039818</v>
          </cell>
          <cell r="H3140" t="str">
            <v>Verrucaria parmigerella</v>
          </cell>
        </row>
        <row r="3141">
          <cell r="A3141" t="str">
            <v>Verrucaria pinguicula</v>
          </cell>
          <cell r="B3141" t="str">
            <v>Lichens</v>
          </cell>
          <cell r="C3141" t="str">
            <v>Mycophycophyta</v>
          </cell>
          <cell r="D3141" t="str">
            <v>Verrucaria pinguicula</v>
          </cell>
          <cell r="E3141" t="str">
            <v>LC</v>
          </cell>
          <cell r="F3141" t="str">
            <v>Woods &amp; Coppins, 2012</v>
          </cell>
          <cell r="G3141" t="str">
            <v>NBNSYS0000020702</v>
          </cell>
          <cell r="H3141" t="str">
            <v>Verrucaria pinguicula</v>
          </cell>
        </row>
        <row r="3142">
          <cell r="A3142" t="str">
            <v>Verrucaria polysticta</v>
          </cell>
          <cell r="B3142" t="str">
            <v>Lichens</v>
          </cell>
          <cell r="C3142" t="str">
            <v>Mycophycophyta</v>
          </cell>
          <cell r="D3142" t="str">
            <v>Verrucaria polysticta</v>
          </cell>
          <cell r="E3142" t="str">
            <v>LC</v>
          </cell>
          <cell r="F3142" t="str">
            <v>Woods &amp; Coppins, 2012</v>
          </cell>
          <cell r="G3142" t="str">
            <v>BMSSYS0000019590</v>
          </cell>
          <cell r="H3142" t="str">
            <v>Verrucaria polysticta</v>
          </cell>
        </row>
        <row r="3143">
          <cell r="A3143" t="str">
            <v>Verrucaria praetermissa</v>
          </cell>
          <cell r="B3143" t="str">
            <v>Lichens</v>
          </cell>
          <cell r="C3143" t="str">
            <v>Mycophycophyta</v>
          </cell>
          <cell r="D3143" t="str">
            <v>Verrucaria praetermissa</v>
          </cell>
          <cell r="E3143" t="str">
            <v>LC</v>
          </cell>
          <cell r="F3143" t="str">
            <v>Woods &amp; Coppins, 2012</v>
          </cell>
          <cell r="G3143" t="str">
            <v>NBNSYS0000020703</v>
          </cell>
          <cell r="H3143" t="str">
            <v>Verrucaria praetermissa</v>
          </cell>
        </row>
        <row r="3144">
          <cell r="A3144" t="str">
            <v>Verrucaria prominula</v>
          </cell>
          <cell r="B3144" t="str">
            <v>Lichens</v>
          </cell>
          <cell r="C3144" t="str">
            <v>Mycophycophyta</v>
          </cell>
          <cell r="D3144" t="str">
            <v>Verrucaria prominula</v>
          </cell>
          <cell r="E3144" t="str">
            <v>LC</v>
          </cell>
          <cell r="F3144" t="str">
            <v>Woods &amp; Coppins, 2012</v>
          </cell>
          <cell r="G3144" t="str">
            <v>NBNSYS0000020704</v>
          </cell>
          <cell r="H3144" t="str">
            <v>Verrucaria prominula</v>
          </cell>
        </row>
        <row r="3145">
          <cell r="A3145" t="str">
            <v>Verrucaria rheitrophila</v>
          </cell>
          <cell r="B3145" t="str">
            <v>Lichens</v>
          </cell>
          <cell r="C3145" t="str">
            <v>Mycophycophyta</v>
          </cell>
          <cell r="D3145" t="str">
            <v>Verrucaria rheitrophila</v>
          </cell>
          <cell r="E3145" t="str">
            <v>LC</v>
          </cell>
          <cell r="F3145" t="str">
            <v>Woods &amp; Coppins, 2012</v>
          </cell>
          <cell r="G3145" t="str">
            <v>NHMSYS0020990289</v>
          </cell>
          <cell r="H3145" t="str">
            <v>Verrucaria rheitrophila</v>
          </cell>
        </row>
        <row r="3146">
          <cell r="A3146" t="str">
            <v>Verrucaria rosula</v>
          </cell>
          <cell r="B3146" t="str">
            <v>Lichens</v>
          </cell>
          <cell r="C3146" t="str">
            <v>Mycophycophyta</v>
          </cell>
          <cell r="D3146" t="str">
            <v>Verrucaria rosula</v>
          </cell>
          <cell r="E3146" t="str">
            <v>LC</v>
          </cell>
          <cell r="F3146" t="str">
            <v>Woods &amp; Coppins, 2012</v>
          </cell>
          <cell r="G3146" t="str">
            <v>NHMSYS0020988150</v>
          </cell>
          <cell r="H3146" t="str">
            <v>Verrucaria rosula</v>
          </cell>
        </row>
        <row r="3147">
          <cell r="A3147" t="str">
            <v>Verrucaria scabra</v>
          </cell>
          <cell r="B3147" t="str">
            <v>Lichens</v>
          </cell>
          <cell r="C3147" t="str">
            <v>Mycophycophyta</v>
          </cell>
          <cell r="D3147" t="str">
            <v>Verrucaria scabra</v>
          </cell>
          <cell r="E3147" t="str">
            <v>LC</v>
          </cell>
          <cell r="F3147" t="str">
            <v>Woods &amp; Coppins, 2012</v>
          </cell>
          <cell r="G3147" t="str">
            <v>NHMSYS0020990290</v>
          </cell>
          <cell r="H3147" t="str">
            <v>Verrucaria scabra</v>
          </cell>
        </row>
        <row r="3148">
          <cell r="A3148" t="str">
            <v>Verrucaria simplex</v>
          </cell>
          <cell r="B3148" t="str">
            <v>Lichens</v>
          </cell>
          <cell r="C3148" t="str">
            <v>Mycophycophyta</v>
          </cell>
          <cell r="D3148" t="str">
            <v>Verrucaria simplex</v>
          </cell>
          <cell r="E3148" t="str">
            <v>LC</v>
          </cell>
          <cell r="F3148" t="str">
            <v>Woods &amp; Coppins, 2012</v>
          </cell>
          <cell r="G3148" t="str">
            <v>NHMSYS0001501703</v>
          </cell>
          <cell r="H3148" t="str">
            <v>Verrucaria simplex</v>
          </cell>
        </row>
        <row r="3149">
          <cell r="A3149" t="str">
            <v>Verrucaria striatula</v>
          </cell>
          <cell r="B3149" t="str">
            <v>Lichens</v>
          </cell>
          <cell r="C3149" t="str">
            <v>Mycophycophyta</v>
          </cell>
          <cell r="D3149" t="str">
            <v>Verrucaria striatula</v>
          </cell>
          <cell r="E3149" t="str">
            <v>LC</v>
          </cell>
          <cell r="F3149" t="str">
            <v>Woods &amp; Coppins, 2012</v>
          </cell>
          <cell r="G3149" t="str">
            <v>NBNSYS0000020708</v>
          </cell>
          <cell r="H3149" t="str">
            <v>Verrucaria striatula</v>
          </cell>
        </row>
        <row r="3150">
          <cell r="A3150" t="str">
            <v>Verrucaria sublobulata</v>
          </cell>
          <cell r="B3150" t="str">
            <v>Lichens</v>
          </cell>
          <cell r="C3150" t="str">
            <v>Mycophycophyta</v>
          </cell>
          <cell r="D3150" t="str">
            <v>Verrucaria sublobulata</v>
          </cell>
          <cell r="E3150" t="str">
            <v>LC</v>
          </cell>
          <cell r="F3150" t="str">
            <v>Woods &amp; Coppins, 2012</v>
          </cell>
          <cell r="G3150" t="str">
            <v>NHMSYS0020536331</v>
          </cell>
          <cell r="H3150" t="str">
            <v>Verrucaria sublobulata</v>
          </cell>
        </row>
        <row r="3151">
          <cell r="A3151" t="str">
            <v>Verrucaria viridula</v>
          </cell>
          <cell r="B3151" t="str">
            <v>Lichens</v>
          </cell>
          <cell r="C3151" t="str">
            <v>Mycophycophyta</v>
          </cell>
          <cell r="D3151" t="str">
            <v>Verrucaria viridula</v>
          </cell>
          <cell r="E3151" t="str">
            <v>LC</v>
          </cell>
          <cell r="F3151" t="str">
            <v>Woods &amp; Coppins, 2012</v>
          </cell>
          <cell r="G3151" t="str">
            <v>NBNSYS0000020709</v>
          </cell>
          <cell r="H3151" t="str">
            <v>Verrucaria viridula</v>
          </cell>
        </row>
        <row r="3152">
          <cell r="A3152" t="str">
            <v>Verrucaria xyloxena</v>
          </cell>
          <cell r="B3152" t="str">
            <v>Lichens</v>
          </cell>
          <cell r="C3152" t="str">
            <v>Mycophycophyta</v>
          </cell>
          <cell r="D3152" t="str">
            <v>Verrucaria xyloxena</v>
          </cell>
          <cell r="E3152" t="str">
            <v>CR</v>
          </cell>
          <cell r="F3152" t="str">
            <v>Woods &amp; Coppins, 2012</v>
          </cell>
          <cell r="G3152" t="str">
            <v>NBNSYS0000020695</v>
          </cell>
          <cell r="H3152" t="str">
            <v>Verrucaria xyloxena</v>
          </cell>
        </row>
        <row r="3153">
          <cell r="A3153" t="str">
            <v>Vezdaea acicularis</v>
          </cell>
          <cell r="B3153" t="str">
            <v>Lichens</v>
          </cell>
          <cell r="C3153" t="str">
            <v>Mycophycophyta</v>
          </cell>
          <cell r="D3153" t="str">
            <v>Vezdaea acicularis</v>
          </cell>
          <cell r="E3153" t="str">
            <v>LC</v>
          </cell>
          <cell r="F3153" t="str">
            <v>Woods &amp; Coppins, 2012</v>
          </cell>
          <cell r="G3153" t="str">
            <v>NBNSYS0000039821</v>
          </cell>
          <cell r="H3153" t="str">
            <v>Vezdaea acicularis</v>
          </cell>
        </row>
        <row r="3154">
          <cell r="A3154" t="str">
            <v>Vezdaea aestivalis</v>
          </cell>
          <cell r="B3154" t="str">
            <v>Lichens</v>
          </cell>
          <cell r="C3154" t="str">
            <v>Mycophycophyta</v>
          </cell>
          <cell r="D3154" t="str">
            <v>Vezdaea aestivalis</v>
          </cell>
          <cell r="E3154" t="str">
            <v>LC</v>
          </cell>
          <cell r="F3154" t="str">
            <v>Woods &amp; Coppins, 2012</v>
          </cell>
          <cell r="G3154" t="str">
            <v>NHMSYS0000364522</v>
          </cell>
          <cell r="H3154" t="str">
            <v>Vezdaea aestivalis</v>
          </cell>
        </row>
        <row r="3155">
          <cell r="A3155" t="str">
            <v>Vezdaea leprosa</v>
          </cell>
          <cell r="B3155" t="str">
            <v>Lichens</v>
          </cell>
          <cell r="C3155" t="str">
            <v>Mycophycophyta</v>
          </cell>
          <cell r="D3155" t="str">
            <v>Vezdaea leprosa</v>
          </cell>
          <cell r="E3155" t="str">
            <v>LC</v>
          </cell>
          <cell r="F3155" t="str">
            <v>Woods &amp; Coppins, 2012</v>
          </cell>
          <cell r="G3155" t="str">
            <v>NHMSYS0001501748</v>
          </cell>
          <cell r="H3155" t="str">
            <v>Vezdaea leprosa</v>
          </cell>
        </row>
        <row r="3156">
          <cell r="A3156" t="str">
            <v>Vezdaea retigera</v>
          </cell>
          <cell r="B3156" t="str">
            <v>Lichens</v>
          </cell>
          <cell r="C3156" t="str">
            <v>Mycophycophyta</v>
          </cell>
          <cell r="D3156" t="str">
            <v>Vezdaea retigera</v>
          </cell>
          <cell r="E3156" t="str">
            <v>LC</v>
          </cell>
          <cell r="F3156" t="str">
            <v>Woods &amp; Coppins, 2012</v>
          </cell>
          <cell r="G3156" t="str">
            <v>NHMSYS0001501749</v>
          </cell>
          <cell r="H3156" t="str">
            <v>Vezdaea retigera</v>
          </cell>
        </row>
        <row r="3157">
          <cell r="A3157" t="str">
            <v>Vezdaea rheocarpa</v>
          </cell>
          <cell r="B3157" t="str">
            <v>Lichens</v>
          </cell>
          <cell r="C3157" t="str">
            <v>Mycophycophyta</v>
          </cell>
          <cell r="D3157" t="str">
            <v>Vezdaea rheocarpa</v>
          </cell>
          <cell r="E3157" t="str">
            <v>LC</v>
          </cell>
          <cell r="F3157" t="str">
            <v>Woods &amp; Coppins, 2012</v>
          </cell>
          <cell r="G3157" t="str">
            <v>NHMSYS0001501750</v>
          </cell>
          <cell r="H3157" t="str">
            <v>Vezdaea rheocarpa</v>
          </cell>
        </row>
        <row r="3158">
          <cell r="A3158" t="str">
            <v>Violella fucata</v>
          </cell>
          <cell r="B3158" t="str">
            <v>Lichens</v>
          </cell>
          <cell r="C3158" t="str">
            <v>Mycophycophyta</v>
          </cell>
          <cell r="D3158" t="str">
            <v>Violella fucata</v>
          </cell>
          <cell r="E3158" t="str">
            <v>LC</v>
          </cell>
          <cell r="F3158" t="str">
            <v>Woods &amp; Coppins, 2012</v>
          </cell>
          <cell r="G3158" t="str">
            <v>NHMSYS0020991031</v>
          </cell>
          <cell r="H3158" t="str">
            <v>Violella fucata</v>
          </cell>
        </row>
        <row r="3159">
          <cell r="A3159" t="str">
            <v>Vouauxiella lichenicola</v>
          </cell>
          <cell r="B3159" t="str">
            <v>Lichens</v>
          </cell>
          <cell r="C3159" t="str">
            <v>Mycophycophyta</v>
          </cell>
          <cell r="D3159" t="str">
            <v>Vouauxiella lichenicola</v>
          </cell>
          <cell r="E3159" t="str">
            <v>LC</v>
          </cell>
          <cell r="F3159" t="str">
            <v>Woods &amp; Coppins, 2012</v>
          </cell>
          <cell r="G3159" t="str">
            <v>BMSSYS0000019698</v>
          </cell>
          <cell r="H3159" t="str">
            <v>Vouauxiella lichenicola</v>
          </cell>
        </row>
        <row r="3160">
          <cell r="A3160" t="str">
            <v>Vouauxiomyces santessonii</v>
          </cell>
          <cell r="B3160" t="str">
            <v>Lichens</v>
          </cell>
          <cell r="C3160" t="str">
            <v>Mycophycophyta</v>
          </cell>
          <cell r="D3160" t="str">
            <v>Vouauxiomyces santessonii</v>
          </cell>
          <cell r="E3160" t="str">
            <v>LC</v>
          </cell>
          <cell r="F3160" t="str">
            <v>Woods &amp; Coppins, 2012</v>
          </cell>
          <cell r="G3160" t="str">
            <v>NHMSYS0001501827</v>
          </cell>
          <cell r="H3160" t="str">
            <v>Vouauxiomyces santessonii</v>
          </cell>
        </row>
        <row r="3161">
          <cell r="A3161" t="str">
            <v>Vouauxiomyces truncatus</v>
          </cell>
          <cell r="B3161" t="str">
            <v>Lichens</v>
          </cell>
          <cell r="C3161" t="str">
            <v>Mycophycophyta</v>
          </cell>
          <cell r="D3161" t="str">
            <v>Vouauxiomyces truncatus</v>
          </cell>
          <cell r="E3161" t="str">
            <v>LC</v>
          </cell>
          <cell r="F3161" t="str">
            <v>Woods &amp; Coppins, 2012</v>
          </cell>
          <cell r="G3161" t="str">
            <v>NHMSYS0020991032</v>
          </cell>
          <cell r="H3161" t="str">
            <v>Vouauxiomyces truncatus</v>
          </cell>
        </row>
        <row r="3162">
          <cell r="A3162" t="str">
            <v>Vulpicida pinastri</v>
          </cell>
          <cell r="B3162" t="str">
            <v>Lichens</v>
          </cell>
          <cell r="C3162" t="str">
            <v>Mycophycophyta</v>
          </cell>
          <cell r="D3162" t="str">
            <v>Vulpicida pinastri</v>
          </cell>
          <cell r="E3162" t="str">
            <v>NT</v>
          </cell>
          <cell r="F3162" t="str">
            <v>Woods &amp; Coppins, 2012</v>
          </cell>
          <cell r="G3162" t="str">
            <v>NHMSYS0020991033</v>
          </cell>
          <cell r="H3162" t="str">
            <v>Vulpicida pinastri</v>
          </cell>
        </row>
        <row r="3163">
          <cell r="A3163" t="str">
            <v>Vulpicidia juniperinus</v>
          </cell>
          <cell r="B3163" t="str">
            <v>Lichens</v>
          </cell>
          <cell r="C3163" t="str">
            <v>Mycophycophyta</v>
          </cell>
          <cell r="D3163" t="str">
            <v>Vulpicidia juniperinus</v>
          </cell>
          <cell r="E3163" t="str">
            <v>EX</v>
          </cell>
          <cell r="F3163" t="str">
            <v>Woods &amp; Coppins, 2012</v>
          </cell>
          <cell r="G3163" t="str">
            <v>NHMSYS0000364537</v>
          </cell>
          <cell r="H3163" t="str">
            <v>Vulpicidia juniperinus</v>
          </cell>
        </row>
        <row r="3164">
          <cell r="A3164" t="str">
            <v>Wadeana dendrographa</v>
          </cell>
          <cell r="B3164" t="str">
            <v>Lichens</v>
          </cell>
          <cell r="C3164" t="str">
            <v>Mycophycophyta</v>
          </cell>
          <cell r="D3164" t="str">
            <v>Wadeana dendrographa</v>
          </cell>
          <cell r="E3164" t="str">
            <v>NT</v>
          </cell>
          <cell r="F3164" t="str">
            <v>Woods &amp; Coppins, 2012</v>
          </cell>
          <cell r="G3164" t="str">
            <v>NBNSYS0000019154</v>
          </cell>
          <cell r="H3164" t="str">
            <v>Wadeana dendrographa</v>
          </cell>
        </row>
        <row r="3165">
          <cell r="A3165" t="str">
            <v>Wadeana minuta</v>
          </cell>
          <cell r="B3165" t="str">
            <v>Lichens</v>
          </cell>
          <cell r="C3165" t="str">
            <v>Mycophycophyta</v>
          </cell>
          <cell r="D3165" t="str">
            <v>Wadeana minuta</v>
          </cell>
          <cell r="E3165" t="str">
            <v>NT</v>
          </cell>
          <cell r="F3165" t="str">
            <v>Woods &amp; Coppins, 2012</v>
          </cell>
          <cell r="G3165" t="str">
            <v>NBNSYS0000019155</v>
          </cell>
          <cell r="H3165" t="str">
            <v>Wadeana minuta</v>
          </cell>
        </row>
        <row r="3166">
          <cell r="A3166" t="str">
            <v>Weddellomyces epicallopisma</v>
          </cell>
          <cell r="B3166" t="str">
            <v>Lichens</v>
          </cell>
          <cell r="C3166" t="str">
            <v>Mycophycophyta</v>
          </cell>
          <cell r="D3166" t="str">
            <v>Weddellomyces epicallopisma</v>
          </cell>
          <cell r="E3166" t="str">
            <v>LC</v>
          </cell>
          <cell r="F3166" t="str">
            <v>Woods &amp; Coppins, 2012</v>
          </cell>
          <cell r="G3166" t="str">
            <v>BMSSYS0000019727</v>
          </cell>
          <cell r="H3166" t="str">
            <v>Weddellomyces epicallopisma</v>
          </cell>
        </row>
        <row r="3167">
          <cell r="A3167" t="str">
            <v>Xanthoparmelia conspersa</v>
          </cell>
          <cell r="B3167" t="str">
            <v>Lichens</v>
          </cell>
          <cell r="C3167" t="str">
            <v>Mycophycophyta</v>
          </cell>
          <cell r="D3167" t="str">
            <v>Xanthoparmelia conspersa</v>
          </cell>
          <cell r="E3167" t="str">
            <v>LC</v>
          </cell>
          <cell r="F3167" t="str">
            <v>Woods &amp; Coppins, 2012</v>
          </cell>
          <cell r="G3167" t="str">
            <v>NHMSYS0001501914</v>
          </cell>
          <cell r="H3167" t="str">
            <v>Xanthoparmelia conspersa</v>
          </cell>
        </row>
        <row r="3168">
          <cell r="A3168" t="str">
            <v>Xanthoparmelia delisei</v>
          </cell>
          <cell r="B3168" t="str">
            <v>Lichens</v>
          </cell>
          <cell r="C3168" t="str">
            <v>Mycophycophyta</v>
          </cell>
          <cell r="D3168" t="str">
            <v>Xanthoparmelia delisei</v>
          </cell>
          <cell r="E3168" t="str">
            <v>LC</v>
          </cell>
          <cell r="F3168" t="str">
            <v>Woods &amp; Coppins, 2012</v>
          </cell>
          <cell r="G3168" t="str">
            <v>NHMSYS0020536347</v>
          </cell>
          <cell r="H3168" t="str">
            <v>Xanthoparmelia delisei</v>
          </cell>
        </row>
        <row r="3169">
          <cell r="A3169" t="str">
            <v>Xanthoparmelia loxodes</v>
          </cell>
          <cell r="B3169" t="str">
            <v>Lichens</v>
          </cell>
          <cell r="C3169" t="str">
            <v>Mycophycophyta</v>
          </cell>
          <cell r="D3169" t="str">
            <v>Xanthoparmelia loxodes</v>
          </cell>
          <cell r="E3169" t="str">
            <v>LC</v>
          </cell>
          <cell r="F3169" t="str">
            <v>Woods &amp; Coppins, 2012</v>
          </cell>
          <cell r="G3169" t="str">
            <v>NHMSYS0020536348</v>
          </cell>
          <cell r="H3169" t="str">
            <v>Xanthoparmelia loxodes</v>
          </cell>
        </row>
        <row r="3170">
          <cell r="A3170" t="str">
            <v>Xanthoparmelia mougeotii</v>
          </cell>
          <cell r="B3170" t="str">
            <v>Lichens</v>
          </cell>
          <cell r="C3170" t="str">
            <v>Mycophycophyta</v>
          </cell>
          <cell r="D3170" t="str">
            <v>Xanthoparmelia mougeotii</v>
          </cell>
          <cell r="E3170" t="str">
            <v>LC</v>
          </cell>
          <cell r="F3170" t="str">
            <v>Woods &amp; Coppins, 2012</v>
          </cell>
          <cell r="G3170" t="str">
            <v>NHMSYS0001501915</v>
          </cell>
          <cell r="H3170" t="str">
            <v>Xanthoparmelia mougeotii</v>
          </cell>
        </row>
        <row r="3171">
          <cell r="A3171" t="str">
            <v>Xanthoparmelia pulla</v>
          </cell>
          <cell r="B3171" t="str">
            <v>Lichens</v>
          </cell>
          <cell r="C3171" t="str">
            <v>Mycophycophyta</v>
          </cell>
          <cell r="D3171" t="str">
            <v>Xanthoparmelia pulla</v>
          </cell>
          <cell r="E3171" t="str">
            <v>LC</v>
          </cell>
          <cell r="F3171" t="str">
            <v>Woods &amp; Coppins, 2012</v>
          </cell>
          <cell r="G3171" t="str">
            <v>NHMSYS0020536350</v>
          </cell>
          <cell r="H3171" t="str">
            <v>Xanthoparmelia pulla</v>
          </cell>
        </row>
        <row r="3172">
          <cell r="A3172" t="str">
            <v>Xanthoparmelia tinctina</v>
          </cell>
          <cell r="B3172" t="str">
            <v>Lichens</v>
          </cell>
          <cell r="C3172" t="str">
            <v>Mycophycophyta</v>
          </cell>
          <cell r="D3172" t="str">
            <v>Xanthoparmelia tinctina</v>
          </cell>
          <cell r="E3172" t="str">
            <v>VU</v>
          </cell>
          <cell r="F3172" t="str">
            <v>Woods &amp; Coppins, 2012</v>
          </cell>
          <cell r="G3172" t="str">
            <v>NHMSYS0001501916</v>
          </cell>
          <cell r="H3172" t="str">
            <v>Xanthoparmelia tinctina</v>
          </cell>
        </row>
        <row r="3173">
          <cell r="A3173" t="str">
            <v>Xanthoparmelia verruculifera</v>
          </cell>
          <cell r="B3173" t="str">
            <v>Lichens</v>
          </cell>
          <cell r="C3173" t="str">
            <v>Mycophycophyta</v>
          </cell>
          <cell r="D3173" t="str">
            <v>Xanthoparmelia verruculifera</v>
          </cell>
          <cell r="E3173" t="str">
            <v>LC</v>
          </cell>
          <cell r="F3173" t="str">
            <v>Woods &amp; Coppins, 2012</v>
          </cell>
          <cell r="G3173" t="str">
            <v>NHMSYS0020536351</v>
          </cell>
          <cell r="H3173" t="str">
            <v>Xanthoparmelia verruculifera</v>
          </cell>
        </row>
        <row r="3174">
          <cell r="A3174" t="str">
            <v>Xanthoria aureola</v>
          </cell>
          <cell r="B3174" t="str">
            <v>Lichens</v>
          </cell>
          <cell r="C3174" t="str">
            <v>Mycophycophyta</v>
          </cell>
          <cell r="D3174" t="str">
            <v>Xanthoria aureola</v>
          </cell>
          <cell r="E3174" t="str">
            <v>LC</v>
          </cell>
          <cell r="F3174" t="str">
            <v>Woods &amp; Coppins, 2012</v>
          </cell>
          <cell r="G3174" t="str">
            <v>NHMSYS0020000128</v>
          </cell>
          <cell r="H3174" t="str">
            <v>Xanthoria aureola</v>
          </cell>
        </row>
        <row r="3175">
          <cell r="A3175" t="str">
            <v>Xanthoria calcicola</v>
          </cell>
          <cell r="B3175" t="str">
            <v>Lichens</v>
          </cell>
          <cell r="C3175" t="str">
            <v>Mycophycophyta</v>
          </cell>
          <cell r="D3175" t="str">
            <v>Xanthoria calcicola</v>
          </cell>
          <cell r="E3175" t="str">
            <v>LC</v>
          </cell>
          <cell r="F3175" t="str">
            <v>Woods &amp; Coppins, 2012</v>
          </cell>
          <cell r="G3175" t="str">
            <v>NBNSYS0000020580</v>
          </cell>
          <cell r="H3175" t="str">
            <v>Xanthoria calcicola</v>
          </cell>
        </row>
        <row r="3176">
          <cell r="A3176" t="str">
            <v>Xanthoria candelaria</v>
          </cell>
          <cell r="B3176" t="str">
            <v>Lichens</v>
          </cell>
          <cell r="C3176" t="str">
            <v>Mycophycophyta</v>
          </cell>
          <cell r="D3176" t="str">
            <v>Xanthoria candelaria</v>
          </cell>
          <cell r="E3176" t="str">
            <v>LC</v>
          </cell>
          <cell r="F3176" t="str">
            <v>Woods &amp; Coppins, 2012</v>
          </cell>
          <cell r="G3176" t="str">
            <v>NHMSYS0020105998</v>
          </cell>
          <cell r="H3176" t="str">
            <v>Xanthoria candelaria</v>
          </cell>
        </row>
        <row r="3177">
          <cell r="A3177" t="str">
            <v>Xanthoria elegans</v>
          </cell>
          <cell r="B3177" t="str">
            <v>Lichens</v>
          </cell>
          <cell r="C3177" t="str">
            <v>Mycophycophyta</v>
          </cell>
          <cell r="D3177" t="str">
            <v>Xanthoria elegans</v>
          </cell>
          <cell r="E3177" t="str">
            <v>LC</v>
          </cell>
          <cell r="F3177" t="str">
            <v>Woods &amp; Coppins, 2012</v>
          </cell>
          <cell r="G3177" t="str">
            <v>NHMSYS0001501921</v>
          </cell>
          <cell r="H3177" t="str">
            <v>Xanthoria elegans</v>
          </cell>
        </row>
        <row r="3178">
          <cell r="A3178" t="str">
            <v>Xanthoria parietina</v>
          </cell>
          <cell r="B3178" t="str">
            <v>Lichens</v>
          </cell>
          <cell r="C3178" t="str">
            <v>Mycophycophyta</v>
          </cell>
          <cell r="D3178" t="str">
            <v>Xanthoria parietina</v>
          </cell>
          <cell r="E3178" t="str">
            <v>LC</v>
          </cell>
          <cell r="F3178" t="str">
            <v>Woods &amp; Coppins, 2012</v>
          </cell>
          <cell r="G3178" t="str">
            <v>NHMSYS0001501925</v>
          </cell>
          <cell r="H3178" t="str">
            <v>Xanthoria parietina</v>
          </cell>
        </row>
        <row r="3179">
          <cell r="A3179" t="str">
            <v>Xanthoria polycarpa</v>
          </cell>
          <cell r="B3179" t="str">
            <v>Lichens</v>
          </cell>
          <cell r="C3179" t="str">
            <v>Mycophycophyta</v>
          </cell>
          <cell r="D3179" t="str">
            <v>Xanthoria polycarpa</v>
          </cell>
          <cell r="E3179" t="str">
            <v>LC</v>
          </cell>
          <cell r="F3179" t="str">
            <v>Woods &amp; Coppins, 2012</v>
          </cell>
          <cell r="G3179" t="str">
            <v>NHMSYS0000364560</v>
          </cell>
          <cell r="H3179" t="str">
            <v>Xanthoria polycarpa</v>
          </cell>
        </row>
        <row r="3180">
          <cell r="A3180" t="str">
            <v>Xanthoria ucrainica</v>
          </cell>
          <cell r="B3180" t="str">
            <v>Lichens</v>
          </cell>
          <cell r="C3180" t="str">
            <v>Mycophycophyta</v>
          </cell>
          <cell r="D3180" t="str">
            <v>Xanthoria ucrainica</v>
          </cell>
          <cell r="E3180" t="str">
            <v>LC</v>
          </cell>
          <cell r="F3180" t="str">
            <v>Woods &amp; Coppins, 2012</v>
          </cell>
          <cell r="G3180" t="str">
            <v>BMSSYS0000019757</v>
          </cell>
          <cell r="H3180" t="str">
            <v>Xanthoria ucrainica</v>
          </cell>
        </row>
        <row r="3181">
          <cell r="A3181" t="str">
            <v>Xanthoria ulophyllodes</v>
          </cell>
          <cell r="B3181" t="str">
            <v>Lichens</v>
          </cell>
          <cell r="C3181" t="str">
            <v>Mycophycophyta</v>
          </cell>
          <cell r="D3181" t="str">
            <v>Xanthoria ulophyllodes</v>
          </cell>
          <cell r="E3181" t="str">
            <v>LC</v>
          </cell>
          <cell r="F3181" t="str">
            <v>Woods &amp; Coppins, 2012</v>
          </cell>
          <cell r="G3181" t="str">
            <v>NBNSYS0000020583</v>
          </cell>
          <cell r="H3181" t="str">
            <v>Xanthoria ulophyllodes</v>
          </cell>
        </row>
        <row r="3182">
          <cell r="A3182" t="str">
            <v>Xanthoriicola physciae</v>
          </cell>
          <cell r="B3182" t="str">
            <v>Lichens</v>
          </cell>
          <cell r="C3182" t="str">
            <v>Mycophycophyta</v>
          </cell>
          <cell r="D3182" t="str">
            <v>Xanthoriicola physciae</v>
          </cell>
          <cell r="E3182" t="str">
            <v>LC</v>
          </cell>
          <cell r="F3182" t="str">
            <v>Woods &amp; Coppins, 2012</v>
          </cell>
          <cell r="G3182" t="str">
            <v>BMSSYS0000019759</v>
          </cell>
          <cell r="H3182" t="str">
            <v>Xanthoriicola physciae</v>
          </cell>
        </row>
        <row r="3183">
          <cell r="A3183" t="str">
            <v>Xerotrema quercicola</v>
          </cell>
          <cell r="B3183" t="str">
            <v>Lichens</v>
          </cell>
          <cell r="C3183" t="str">
            <v>Mycophycophyta</v>
          </cell>
          <cell r="D3183" t="str">
            <v>Xerotrema quercicola</v>
          </cell>
          <cell r="E3183" t="str">
            <v>NT</v>
          </cell>
          <cell r="F3183" t="str">
            <v>Woods &amp; Coppins, 2012</v>
          </cell>
          <cell r="G3183" t="str">
            <v>NHMSYS0020536359</v>
          </cell>
          <cell r="H3183" t="str">
            <v>Xerotrema quercicola</v>
          </cell>
        </row>
        <row r="3184">
          <cell r="A3184" t="str">
            <v>Xylographa parallela</v>
          </cell>
          <cell r="B3184" t="str">
            <v>Lichens</v>
          </cell>
          <cell r="C3184" t="str">
            <v>Mycophycophyta</v>
          </cell>
          <cell r="D3184" t="str">
            <v>Xylographa parallela</v>
          </cell>
          <cell r="E3184" t="str">
            <v>LC</v>
          </cell>
          <cell r="F3184" t="str">
            <v>Woods &amp; Coppins, 2012</v>
          </cell>
          <cell r="G3184" t="str">
            <v>NHMSYS0000364569</v>
          </cell>
          <cell r="H3184" t="str">
            <v>Xylographa parallela</v>
          </cell>
        </row>
        <row r="3185">
          <cell r="A3185" t="str">
            <v>Xylographa trunciseda</v>
          </cell>
          <cell r="B3185" t="str">
            <v>Lichens</v>
          </cell>
          <cell r="C3185" t="str">
            <v>Mycophycophyta</v>
          </cell>
          <cell r="D3185" t="str">
            <v>Xylographa trunciseda</v>
          </cell>
          <cell r="E3185" t="str">
            <v>LC</v>
          </cell>
          <cell r="F3185" t="str">
            <v>Woods &amp; Coppins, 2012</v>
          </cell>
          <cell r="G3185" t="str">
            <v>NBNSYS0000019158</v>
          </cell>
          <cell r="H3185" t="str">
            <v>Xylographa trunciseda</v>
          </cell>
        </row>
        <row r="3186">
          <cell r="A3186" t="str">
            <v>Xylographa vitiligo</v>
          </cell>
          <cell r="B3186" t="str">
            <v>Lichens</v>
          </cell>
          <cell r="C3186" t="str">
            <v>Mycophycophyta</v>
          </cell>
          <cell r="D3186" t="str">
            <v>Xylographa vitiligo</v>
          </cell>
          <cell r="E3186" t="str">
            <v>LC</v>
          </cell>
          <cell r="F3186" t="str">
            <v>Woods &amp; Coppins, 2012</v>
          </cell>
          <cell r="G3186" t="str">
            <v>NHMSYS0001502029</v>
          </cell>
          <cell r="H3186" t="str">
            <v>Xylographa vitiligo</v>
          </cell>
        </row>
        <row r="3187">
          <cell r="A3187" t="str">
            <v>Acanthocinus aedilis</v>
          </cell>
          <cell r="B3187" t="str">
            <v>Longhorn beetles</v>
          </cell>
          <cell r="C3187" t="str">
            <v>Coleoptera</v>
          </cell>
          <cell r="D3187" t="str">
            <v>Acanthocinus aedilis</v>
          </cell>
          <cell r="E3187" t="str">
            <v>NT</v>
          </cell>
          <cell r="F3187" t="str">
            <v>Alexander, 2019</v>
          </cell>
          <cell r="G3187" t="str">
            <v>NBNSYS0000011056</v>
          </cell>
          <cell r="H3187" t="str">
            <v>Acanthocinus aedilis</v>
          </cell>
        </row>
        <row r="3188">
          <cell r="A3188" t="str">
            <v>Agapanthia villosoviridescens</v>
          </cell>
          <cell r="B3188" t="str">
            <v>Longhorn beetles</v>
          </cell>
          <cell r="C3188" t="str">
            <v>Coleoptera</v>
          </cell>
          <cell r="D3188" t="str">
            <v>Agapanthia villosoviridescens</v>
          </cell>
          <cell r="E3188" t="str">
            <v>LC</v>
          </cell>
          <cell r="F3188" t="str">
            <v>Alexander, 2019</v>
          </cell>
          <cell r="G3188" t="str">
            <v>NHMSYS0020151160</v>
          </cell>
          <cell r="H3188" t="str">
            <v>Agapanthia villosoviridescens</v>
          </cell>
        </row>
        <row r="3189">
          <cell r="A3189" t="str">
            <v>Alosterna tabacicolor</v>
          </cell>
          <cell r="B3189" t="str">
            <v>Longhorn beetles</v>
          </cell>
          <cell r="C3189" t="str">
            <v>Coleoptera</v>
          </cell>
          <cell r="D3189" t="str">
            <v>Alosterna tabacicolor</v>
          </cell>
          <cell r="E3189" t="str">
            <v>LC</v>
          </cell>
          <cell r="F3189" t="str">
            <v>Alexander, 2019</v>
          </cell>
          <cell r="G3189" t="str">
            <v>NHMSYS0020151177</v>
          </cell>
          <cell r="H3189" t="str">
            <v>Alosterna tabacicolor</v>
          </cell>
        </row>
        <row r="3190">
          <cell r="A3190" t="str">
            <v>Anaglyptus mysticus</v>
          </cell>
          <cell r="B3190" t="str">
            <v>Longhorn beetles</v>
          </cell>
          <cell r="C3190" t="str">
            <v>Coleoptera</v>
          </cell>
          <cell r="D3190" t="str">
            <v>Anaglyptus mysticus</v>
          </cell>
          <cell r="E3190" t="str">
            <v>LC</v>
          </cell>
          <cell r="F3190" t="str">
            <v>Alexander, 2019</v>
          </cell>
          <cell r="G3190" t="str">
            <v>NBNSYS0000011047</v>
          </cell>
          <cell r="H3190" t="str">
            <v>Anaglyptus mysticus</v>
          </cell>
        </row>
        <row r="3191">
          <cell r="A3191" t="str">
            <v>Anastrangalia sanguinolenta</v>
          </cell>
          <cell r="B3191" t="str">
            <v>Longhorn beetles</v>
          </cell>
          <cell r="C3191" t="str">
            <v>Coleoptera</v>
          </cell>
          <cell r="D3191" t="str">
            <v>Anastrangalia sanguinolenta</v>
          </cell>
          <cell r="E3191" t="str">
            <v>CR</v>
          </cell>
          <cell r="F3191" t="str">
            <v>Alexander, 2019</v>
          </cell>
          <cell r="G3191" t="str">
            <v>NHMSYS0020151246</v>
          </cell>
          <cell r="H3191" t="str">
            <v>Anastrangalia sanguinolenta</v>
          </cell>
        </row>
        <row r="3192">
          <cell r="A3192" t="str">
            <v>Anoplodera sexguttata</v>
          </cell>
          <cell r="B3192" t="str">
            <v>Longhorn beetles</v>
          </cell>
          <cell r="C3192" t="str">
            <v>Coleoptera</v>
          </cell>
          <cell r="D3192" t="str">
            <v>Anoplodera sexguttata</v>
          </cell>
          <cell r="E3192" t="str">
            <v>NT</v>
          </cell>
          <cell r="F3192" t="str">
            <v>Alexander, 2019</v>
          </cell>
          <cell r="G3192" t="str">
            <v>NHMSYS0020151259</v>
          </cell>
          <cell r="H3192" t="str">
            <v>Anoplodera sexguttata</v>
          </cell>
        </row>
        <row r="3193">
          <cell r="A3193" t="str">
            <v>Arhopalus rusticus</v>
          </cell>
          <cell r="B3193" t="str">
            <v>Longhorn beetles</v>
          </cell>
          <cell r="C3193" t="str">
            <v>Coleoptera</v>
          </cell>
          <cell r="D3193" t="str">
            <v>Arhopalus rusticus</v>
          </cell>
          <cell r="E3193" t="str">
            <v>LC</v>
          </cell>
          <cell r="F3193" t="str">
            <v>Alexander, 2019</v>
          </cell>
          <cell r="G3193" t="str">
            <v>NBNSYS0000010997</v>
          </cell>
          <cell r="H3193" t="str">
            <v>Arhopalus rusticus</v>
          </cell>
        </row>
        <row r="3194">
          <cell r="A3194" t="str">
            <v>Aromia moschata</v>
          </cell>
          <cell r="B3194" t="str">
            <v>Longhorn beetles</v>
          </cell>
          <cell r="C3194" t="str">
            <v>Coleoptera</v>
          </cell>
          <cell r="D3194" t="str">
            <v>Aromia moschata</v>
          </cell>
          <cell r="E3194" t="str">
            <v>LC</v>
          </cell>
          <cell r="F3194" t="str">
            <v>Alexander, 2019</v>
          </cell>
          <cell r="G3194" t="str">
            <v>NBNSYS0000011038</v>
          </cell>
          <cell r="H3194" t="str">
            <v>Aromia moschata</v>
          </cell>
        </row>
        <row r="3195">
          <cell r="A3195" t="str">
            <v>Asemum striatum</v>
          </cell>
          <cell r="B3195" t="str">
            <v>Longhorn beetles</v>
          </cell>
          <cell r="C3195" t="str">
            <v>Coleoptera</v>
          </cell>
          <cell r="D3195" t="str">
            <v>Asemum striatum</v>
          </cell>
          <cell r="E3195" t="str">
            <v>LC</v>
          </cell>
          <cell r="F3195" t="str">
            <v>Alexander, 2019</v>
          </cell>
          <cell r="G3195" t="str">
            <v>NBNSYS0000010999</v>
          </cell>
          <cell r="H3195" t="str">
            <v>Asemum striatum</v>
          </cell>
        </row>
        <row r="3196">
          <cell r="A3196" t="str">
            <v>Clytus arietis</v>
          </cell>
          <cell r="B3196" t="str">
            <v>Longhorn beetles</v>
          </cell>
          <cell r="C3196" t="str">
            <v>Coleoptera</v>
          </cell>
          <cell r="D3196" t="str">
            <v>Clytus arietis</v>
          </cell>
          <cell r="E3196" t="str">
            <v>LC</v>
          </cell>
          <cell r="F3196" t="str">
            <v>Alexander, 2019</v>
          </cell>
          <cell r="G3196" t="str">
            <v>NBNSYS0000011045</v>
          </cell>
          <cell r="H3196" t="str">
            <v>Clytus arietis</v>
          </cell>
        </row>
        <row r="3197">
          <cell r="A3197" t="str">
            <v>Dinoptera collaris</v>
          </cell>
          <cell r="B3197" t="str">
            <v>Longhorn beetles</v>
          </cell>
          <cell r="C3197" t="str">
            <v>Coleoptera</v>
          </cell>
          <cell r="D3197" t="str">
            <v>Dinoptera collaris</v>
          </cell>
          <cell r="E3197" t="str">
            <v>RE</v>
          </cell>
          <cell r="F3197" t="str">
            <v>Alexander, 2019</v>
          </cell>
          <cell r="G3197" t="str">
            <v>NHMSYS0020152020</v>
          </cell>
          <cell r="H3197" t="str">
            <v>Dinoptera collaris</v>
          </cell>
        </row>
        <row r="3198">
          <cell r="A3198" t="str">
            <v>Glaphyra umbellatarum</v>
          </cell>
          <cell r="B3198" t="str">
            <v>Longhorn beetles</v>
          </cell>
          <cell r="C3198" t="str">
            <v>Coleoptera</v>
          </cell>
          <cell r="D3198" t="str">
            <v>Glaphyra umbellatarum</v>
          </cell>
          <cell r="E3198" t="str">
            <v>LC</v>
          </cell>
          <cell r="F3198" t="str">
            <v>Alexander, 2019</v>
          </cell>
          <cell r="G3198" t="str">
            <v>NHMSYS0020152185</v>
          </cell>
          <cell r="H3198" t="str">
            <v>Glaphyra umbellatarum</v>
          </cell>
        </row>
        <row r="3199">
          <cell r="A3199" t="str">
            <v>Gracilia minuta</v>
          </cell>
          <cell r="B3199" t="str">
            <v>Longhorn beetles</v>
          </cell>
          <cell r="C3199" t="str">
            <v>Coleoptera</v>
          </cell>
          <cell r="D3199" t="str">
            <v>Gracilia minuta</v>
          </cell>
          <cell r="E3199" t="str">
            <v>LC</v>
          </cell>
          <cell r="F3199" t="str">
            <v>Alexander, 2019</v>
          </cell>
          <cell r="G3199" t="str">
            <v>NHMSYS0020152213</v>
          </cell>
          <cell r="H3199" t="str">
            <v>Gracilia minuta</v>
          </cell>
        </row>
        <row r="3200">
          <cell r="A3200" t="str">
            <v>Grammoptera abdominalis</v>
          </cell>
          <cell r="B3200" t="str">
            <v>Longhorn beetles</v>
          </cell>
          <cell r="C3200" t="str">
            <v>Coleoptera</v>
          </cell>
          <cell r="D3200" t="str">
            <v>Grammoptera abdominalis</v>
          </cell>
          <cell r="E3200" t="str">
            <v>LC</v>
          </cell>
          <cell r="F3200" t="str">
            <v>Alexander, 2019</v>
          </cell>
          <cell r="G3200" t="str">
            <v>MM0001Z1V30791ZB</v>
          </cell>
          <cell r="H3200" t="str">
            <v>Grammoptera abdominalis</v>
          </cell>
        </row>
        <row r="3201">
          <cell r="A3201" t="str">
            <v>Grammoptera ruficornis</v>
          </cell>
          <cell r="B3201" t="str">
            <v>Longhorn beetles</v>
          </cell>
          <cell r="C3201" t="str">
            <v>Coleoptera</v>
          </cell>
          <cell r="D3201" t="str">
            <v>Grammoptera ruficornis</v>
          </cell>
          <cell r="E3201" t="str">
            <v>LC</v>
          </cell>
          <cell r="F3201" t="str">
            <v>Alexander, 2019</v>
          </cell>
          <cell r="G3201" t="str">
            <v>NHMSYS0020152218</v>
          </cell>
          <cell r="H3201" t="str">
            <v>Grammoptera ruficornis</v>
          </cell>
        </row>
        <row r="3202">
          <cell r="A3202" t="str">
            <v>Grammoptera ustulata</v>
          </cell>
          <cell r="B3202" t="str">
            <v>Longhorn beetles</v>
          </cell>
          <cell r="C3202" t="str">
            <v>Coleoptera</v>
          </cell>
          <cell r="D3202" t="str">
            <v>Grammoptera ustulata</v>
          </cell>
          <cell r="E3202" t="str">
            <v>LC</v>
          </cell>
          <cell r="F3202" t="str">
            <v>Alexander, 2019</v>
          </cell>
          <cell r="G3202" t="str">
            <v>NBNSYS0000011009</v>
          </cell>
          <cell r="H3202" t="str">
            <v>Grammoptera ustulata</v>
          </cell>
        </row>
        <row r="3203">
          <cell r="A3203" t="str">
            <v>Judolia sexmaculata</v>
          </cell>
          <cell r="B3203" t="str">
            <v>Longhorn beetles</v>
          </cell>
          <cell r="C3203" t="str">
            <v>Coleoptera</v>
          </cell>
          <cell r="D3203" t="str">
            <v>Judolia sexmaculata</v>
          </cell>
          <cell r="E3203" t="str">
            <v>VU</v>
          </cell>
          <cell r="F3203" t="str">
            <v>Alexander, 2019</v>
          </cell>
          <cell r="G3203" t="str">
            <v>NBNSYS0000011021</v>
          </cell>
          <cell r="H3203" t="str">
            <v>Judolia sexmaculata</v>
          </cell>
        </row>
        <row r="3204">
          <cell r="A3204" t="str">
            <v>Leiopus linnei</v>
          </cell>
          <cell r="B3204" t="str">
            <v>Longhorn beetles</v>
          </cell>
          <cell r="C3204" t="str">
            <v>Coleoptera</v>
          </cell>
          <cell r="D3204" t="str">
            <v>Leiopus linnei</v>
          </cell>
          <cell r="E3204" t="str">
            <v>LC</v>
          </cell>
          <cell r="F3204" t="str">
            <v>Alexander, 2019</v>
          </cell>
          <cell r="G3204" t="str">
            <v>NHMSYS0021125194</v>
          </cell>
          <cell r="H3204" t="str">
            <v>Leiopus linnei</v>
          </cell>
        </row>
        <row r="3205">
          <cell r="A3205" t="str">
            <v>Leiopus nebulosus s. str.</v>
          </cell>
          <cell r="B3205" t="str">
            <v>Longhorn beetles</v>
          </cell>
          <cell r="C3205" t="str">
            <v>Coleoptera</v>
          </cell>
          <cell r="D3205" t="str">
            <v>Leiopus nebulosus s. str.</v>
          </cell>
          <cell r="E3205" t="str">
            <v>LC</v>
          </cell>
          <cell r="F3205" t="str">
            <v>Alexander, 2019</v>
          </cell>
          <cell r="G3205" t="str">
            <v>NHMSYS0021125200</v>
          </cell>
          <cell r="H3205" t="str">
            <v>Leiopus nebulosus s. str.</v>
          </cell>
        </row>
        <row r="3206">
          <cell r="A3206" t="str">
            <v>Leptura aurulenta</v>
          </cell>
          <cell r="B3206" t="str">
            <v>Longhorn beetles</v>
          </cell>
          <cell r="C3206" t="str">
            <v>Coleoptera</v>
          </cell>
          <cell r="D3206" t="str">
            <v>Leptura aurulenta</v>
          </cell>
          <cell r="E3206" t="str">
            <v>LC</v>
          </cell>
          <cell r="F3206" t="str">
            <v>Alexander, 2019</v>
          </cell>
          <cell r="G3206" t="str">
            <v>NHMSYS0020152406</v>
          </cell>
          <cell r="H3206" t="str">
            <v>Leptura aurulenta</v>
          </cell>
        </row>
        <row r="3207">
          <cell r="A3207" t="str">
            <v>Leptura quadrifasciata</v>
          </cell>
          <cell r="B3207" t="str">
            <v>Longhorn beetles</v>
          </cell>
          <cell r="C3207" t="str">
            <v>Coleoptera</v>
          </cell>
          <cell r="D3207" t="str">
            <v>Leptura quadrifasciata</v>
          </cell>
          <cell r="E3207" t="str">
            <v>LC</v>
          </cell>
          <cell r="F3207" t="str">
            <v>Alexander, 2019</v>
          </cell>
          <cell r="G3207" t="str">
            <v>NHMSYS0020152407</v>
          </cell>
          <cell r="H3207" t="str">
            <v>Leptura quadrifasciata</v>
          </cell>
        </row>
        <row r="3208">
          <cell r="A3208" t="str">
            <v>Mesosa nebulosa</v>
          </cell>
          <cell r="B3208" t="str">
            <v>Longhorn beetles</v>
          </cell>
          <cell r="C3208" t="str">
            <v>Coleoptera</v>
          </cell>
          <cell r="D3208" t="str">
            <v>Mesosa nebulosa</v>
          </cell>
          <cell r="E3208" t="str">
            <v>LC</v>
          </cell>
          <cell r="F3208" t="str">
            <v>Alexander, 2019</v>
          </cell>
          <cell r="G3208" t="str">
            <v>NHMSYS0020152632</v>
          </cell>
          <cell r="H3208" t="str">
            <v>Mesosa nebulosa</v>
          </cell>
        </row>
        <row r="3209">
          <cell r="A3209" t="str">
            <v>Oberea oculata</v>
          </cell>
          <cell r="B3209" t="str">
            <v>Longhorn beetles</v>
          </cell>
          <cell r="C3209" t="str">
            <v>Coleoptera</v>
          </cell>
          <cell r="D3209" t="str">
            <v>Oberea oculata</v>
          </cell>
          <cell r="E3209" t="str">
            <v>CR</v>
          </cell>
          <cell r="F3209" t="str">
            <v>Alexander, 2019</v>
          </cell>
          <cell r="G3209" t="str">
            <v>NBNSYS0000011061</v>
          </cell>
          <cell r="H3209" t="str">
            <v>Oberea oculata</v>
          </cell>
        </row>
        <row r="3210">
          <cell r="A3210" t="str">
            <v>Obrium cantharinum</v>
          </cell>
          <cell r="B3210" t="str">
            <v>Longhorn beetles</v>
          </cell>
          <cell r="C3210" t="str">
            <v>Coleoptera</v>
          </cell>
          <cell r="D3210" t="str">
            <v>Obrium cantharinum</v>
          </cell>
          <cell r="E3210" t="str">
            <v>RE</v>
          </cell>
          <cell r="F3210" t="str">
            <v>Alexander, 2019</v>
          </cell>
          <cell r="G3210" t="str">
            <v>NBNSYS0000011034</v>
          </cell>
          <cell r="H3210" t="str">
            <v>Obrium cantharinum</v>
          </cell>
        </row>
        <row r="3211">
          <cell r="A3211" t="str">
            <v>Pachytodes cerambycifornmis</v>
          </cell>
          <cell r="B3211" t="str">
            <v>Longhorn beetles</v>
          </cell>
          <cell r="C3211" t="str">
            <v>Coleoptera</v>
          </cell>
          <cell r="D3211" t="str">
            <v>Pachytodes cerambycifornmis</v>
          </cell>
          <cell r="E3211" t="str">
            <v>LC</v>
          </cell>
          <cell r="F3211" t="str">
            <v>Alexander, 2019</v>
          </cell>
          <cell r="G3211" t="str">
            <v>NHMSYS0020152978</v>
          </cell>
          <cell r="H3211" t="str">
            <v>Pachytodes cerambycifornmis</v>
          </cell>
        </row>
        <row r="3212">
          <cell r="A3212" t="str">
            <v>Paracorymbia fulva</v>
          </cell>
          <cell r="B3212" t="str">
            <v>Longhorn beetles</v>
          </cell>
          <cell r="C3212" t="str">
            <v>Coleoptera</v>
          </cell>
          <cell r="D3212" t="str">
            <v>Paracorymbia fulva</v>
          </cell>
          <cell r="E3212" t="str">
            <v>LC</v>
          </cell>
          <cell r="F3212" t="str">
            <v>Alexander, 2019</v>
          </cell>
          <cell r="G3212" t="str">
            <v>NHMSYS0020152984</v>
          </cell>
          <cell r="H3212" t="str">
            <v>Paracorymbia fulva</v>
          </cell>
        </row>
        <row r="3213">
          <cell r="A3213" t="str">
            <v>Pedostrangalia revestita</v>
          </cell>
          <cell r="B3213" t="str">
            <v>Longhorn beetles</v>
          </cell>
          <cell r="C3213" t="str">
            <v>Coleoptera</v>
          </cell>
          <cell r="D3213" t="str">
            <v>Pedostrangalia revestita</v>
          </cell>
          <cell r="E3213" t="str">
            <v>EN</v>
          </cell>
          <cell r="F3213" t="str">
            <v>Alexander, 2019</v>
          </cell>
          <cell r="G3213" t="str">
            <v>NHMSYS0020152996</v>
          </cell>
          <cell r="H3213" t="str">
            <v>Pedostrangalia revestita</v>
          </cell>
        </row>
        <row r="3214">
          <cell r="A3214" t="str">
            <v>Phymatodes testaceus</v>
          </cell>
          <cell r="B3214" t="str">
            <v>Longhorn beetles</v>
          </cell>
          <cell r="C3214" t="str">
            <v>Coleoptera</v>
          </cell>
          <cell r="D3214" t="str">
            <v>Phymatodes testaceus</v>
          </cell>
          <cell r="E3214" t="str">
            <v>LC</v>
          </cell>
          <cell r="F3214" t="str">
            <v>Alexander, 2019</v>
          </cell>
          <cell r="G3214" t="str">
            <v>NBNSYS0000011044</v>
          </cell>
          <cell r="H3214" t="str">
            <v>Phymatodes testaceus</v>
          </cell>
        </row>
        <row r="3215">
          <cell r="A3215" t="str">
            <v>Phytoecia cylindrica</v>
          </cell>
          <cell r="B3215" t="str">
            <v>Longhorn beetles</v>
          </cell>
          <cell r="C3215" t="str">
            <v>Coleoptera</v>
          </cell>
          <cell r="D3215" t="str">
            <v>Phytoecia cylindrica</v>
          </cell>
          <cell r="E3215" t="str">
            <v>LC</v>
          </cell>
          <cell r="F3215" t="str">
            <v>Alexander, 2019</v>
          </cell>
          <cell r="G3215" t="str">
            <v>NBNSYS0000011063</v>
          </cell>
          <cell r="H3215" t="str">
            <v>Phytoecia cylindrica</v>
          </cell>
        </row>
        <row r="3216">
          <cell r="A3216" t="str">
            <v>Plagionotus arcuatus</v>
          </cell>
          <cell r="B3216" t="str">
            <v>Longhorn beetles</v>
          </cell>
          <cell r="C3216" t="str">
            <v>Coleoptera</v>
          </cell>
          <cell r="D3216" t="str">
            <v>Plagionotus arcuatus</v>
          </cell>
          <cell r="E3216" t="str">
            <v>RE</v>
          </cell>
          <cell r="F3216" t="str">
            <v>Alexander, 2019</v>
          </cell>
          <cell r="G3216" t="str">
            <v>NBNSYS0000011046</v>
          </cell>
          <cell r="H3216" t="str">
            <v>Plagionotus arcuatus</v>
          </cell>
        </row>
        <row r="3217">
          <cell r="A3217" t="str">
            <v>Poecilium alni</v>
          </cell>
          <cell r="B3217" t="str">
            <v>Longhorn beetles</v>
          </cell>
          <cell r="C3217" t="str">
            <v>Coleoptera</v>
          </cell>
          <cell r="D3217" t="str">
            <v>Poecilium alni</v>
          </cell>
          <cell r="E3217" t="str">
            <v>LC</v>
          </cell>
          <cell r="F3217" t="str">
            <v>Alexander, 2019</v>
          </cell>
          <cell r="G3217" t="str">
            <v>NHMSYS0020153146</v>
          </cell>
          <cell r="H3217" t="str">
            <v>Poecilium alni</v>
          </cell>
        </row>
        <row r="3218">
          <cell r="A3218" t="str">
            <v>Pogonocherus fasciculatus</v>
          </cell>
          <cell r="B3218" t="str">
            <v>Longhorn beetles</v>
          </cell>
          <cell r="C3218" t="str">
            <v>Coleoptera</v>
          </cell>
          <cell r="D3218" t="str">
            <v>Pogonocherus fasciculatus</v>
          </cell>
          <cell r="E3218" t="str">
            <v>LC</v>
          </cell>
          <cell r="F3218" t="str">
            <v>Alexander, 2019</v>
          </cell>
          <cell r="G3218" t="str">
            <v>NHMSYS0020153152</v>
          </cell>
          <cell r="H3218" t="str">
            <v>Pogonocherus fasciculatus</v>
          </cell>
        </row>
        <row r="3219">
          <cell r="A3219" t="str">
            <v>Pogonocherus hispidulus</v>
          </cell>
          <cell r="B3219" t="str">
            <v>Longhorn beetles</v>
          </cell>
          <cell r="C3219" t="str">
            <v>Coleoptera</v>
          </cell>
          <cell r="D3219" t="str">
            <v>Pogonocherus hispidulus</v>
          </cell>
          <cell r="E3219" t="str">
            <v>LC</v>
          </cell>
          <cell r="F3219" t="str">
            <v>Alexander, 2019</v>
          </cell>
          <cell r="G3219" t="str">
            <v>NBNSYS0000011053</v>
          </cell>
          <cell r="H3219" t="str">
            <v>Pogonocherus hispidulus</v>
          </cell>
        </row>
        <row r="3220">
          <cell r="A3220" t="str">
            <v>Pogonocherus hispidus</v>
          </cell>
          <cell r="B3220" t="str">
            <v>Longhorn beetles</v>
          </cell>
          <cell r="C3220" t="str">
            <v>Coleoptera</v>
          </cell>
          <cell r="D3220" t="str">
            <v>Pogonocherus hispidus</v>
          </cell>
          <cell r="E3220" t="str">
            <v>LC</v>
          </cell>
          <cell r="F3220" t="str">
            <v>Alexander, 2019</v>
          </cell>
          <cell r="G3220" t="str">
            <v>NBNSYS0000011054</v>
          </cell>
          <cell r="H3220" t="str">
            <v>Pogonocherus hispidus</v>
          </cell>
        </row>
        <row r="3221">
          <cell r="A3221" t="str">
            <v>Prionus coriarius</v>
          </cell>
          <cell r="B3221" t="str">
            <v>Longhorn beetles</v>
          </cell>
          <cell r="C3221" t="str">
            <v>Coleoptera</v>
          </cell>
          <cell r="D3221" t="str">
            <v>Prionus coriarius</v>
          </cell>
          <cell r="E3221" t="str">
            <v>LC</v>
          </cell>
          <cell r="F3221" t="str">
            <v>Alexander, 2019</v>
          </cell>
          <cell r="G3221" t="str">
            <v>NBNSYS0000010996</v>
          </cell>
          <cell r="H3221" t="str">
            <v>Prionus coriarius</v>
          </cell>
        </row>
        <row r="3222">
          <cell r="A3222" t="str">
            <v>Pseudovadonia livida</v>
          </cell>
          <cell r="B3222" t="str">
            <v>Longhorn beetles</v>
          </cell>
          <cell r="C3222" t="str">
            <v>Coleoptera</v>
          </cell>
          <cell r="D3222" t="str">
            <v>Pseudovadonia livida</v>
          </cell>
          <cell r="E3222" t="str">
            <v>LC</v>
          </cell>
          <cell r="F3222" t="str">
            <v>Alexander, 2019</v>
          </cell>
          <cell r="G3222" t="str">
            <v>NHMSYS0020153230</v>
          </cell>
          <cell r="H3222" t="str">
            <v>Pseudovadonia livida</v>
          </cell>
        </row>
        <row r="3223">
          <cell r="A3223" t="str">
            <v>Pyrrhidium sanguineum</v>
          </cell>
          <cell r="B3223" t="str">
            <v>Longhorn beetles</v>
          </cell>
          <cell r="C3223" t="str">
            <v>Coleoptera</v>
          </cell>
          <cell r="D3223" t="str">
            <v>Pyrrhidium sanguineum</v>
          </cell>
          <cell r="E3223" t="str">
            <v>LC</v>
          </cell>
          <cell r="F3223" t="str">
            <v>Alexander, 2019</v>
          </cell>
          <cell r="G3223" t="str">
            <v>NBNSYS0000011041</v>
          </cell>
          <cell r="H3223" t="str">
            <v>Pyrrhidium sanguineum</v>
          </cell>
        </row>
        <row r="3224">
          <cell r="A3224" t="str">
            <v>Rhagium bifasciatum</v>
          </cell>
          <cell r="B3224" t="str">
            <v>Longhorn beetles</v>
          </cell>
          <cell r="C3224" t="str">
            <v>Coleoptera</v>
          </cell>
          <cell r="D3224" t="str">
            <v>Rhagium bifasciatum</v>
          </cell>
          <cell r="E3224" t="str">
            <v>LC</v>
          </cell>
          <cell r="F3224" t="str">
            <v>Alexander, 2019</v>
          </cell>
          <cell r="G3224" t="str">
            <v>NBNSYS0000011002</v>
          </cell>
          <cell r="H3224" t="str">
            <v>Rhagium bifasciatum</v>
          </cell>
        </row>
        <row r="3225">
          <cell r="A3225" t="str">
            <v>Rhagium inquisitor</v>
          </cell>
          <cell r="B3225" t="str">
            <v>Longhorn beetles</v>
          </cell>
          <cell r="C3225" t="str">
            <v>Coleoptera</v>
          </cell>
          <cell r="D3225" t="str">
            <v>Rhagium inquisitor</v>
          </cell>
          <cell r="E3225" t="str">
            <v>LC</v>
          </cell>
          <cell r="F3225" t="str">
            <v>Alexander, 2019</v>
          </cell>
          <cell r="G3225" t="str">
            <v>NBNSYS0000011003</v>
          </cell>
          <cell r="H3225" t="str">
            <v>Rhagium inquisitor</v>
          </cell>
        </row>
        <row r="3226">
          <cell r="A3226" t="str">
            <v>Rhagium mordax</v>
          </cell>
          <cell r="B3226" t="str">
            <v>Longhorn beetles</v>
          </cell>
          <cell r="C3226" t="str">
            <v>Coleoptera</v>
          </cell>
          <cell r="D3226" t="str">
            <v>Rhagium mordax</v>
          </cell>
          <cell r="E3226" t="str">
            <v>LC</v>
          </cell>
          <cell r="F3226" t="str">
            <v>Alexander, 2019</v>
          </cell>
          <cell r="G3226" t="str">
            <v>NBNSYS0000011004</v>
          </cell>
          <cell r="H3226" t="str">
            <v>Rhagium mordax</v>
          </cell>
        </row>
        <row r="3227">
          <cell r="A3227" t="str">
            <v>Rutpela maculata</v>
          </cell>
          <cell r="B3227" t="str">
            <v>Longhorn beetles</v>
          </cell>
          <cell r="C3227" t="str">
            <v>Coleoptera</v>
          </cell>
          <cell r="D3227" t="str">
            <v>Rutpela maculata</v>
          </cell>
          <cell r="E3227" t="str">
            <v>LC</v>
          </cell>
          <cell r="F3227" t="str">
            <v>Alexander, 2019</v>
          </cell>
          <cell r="G3227" t="str">
            <v>NHMSYS0020109270</v>
          </cell>
          <cell r="H3227" t="str">
            <v>Rutpela maculata</v>
          </cell>
        </row>
        <row r="3228">
          <cell r="A3228" t="str">
            <v>Saperda carcharius</v>
          </cell>
          <cell r="B3228" t="str">
            <v>Longhorn beetles</v>
          </cell>
          <cell r="C3228" t="str">
            <v>Coleoptera</v>
          </cell>
          <cell r="D3228" t="str">
            <v>Saperda carcharius</v>
          </cell>
          <cell r="E3228" t="str">
            <v>NT</v>
          </cell>
          <cell r="F3228" t="str">
            <v>Alexander, 2019</v>
          </cell>
          <cell r="G3228" t="str">
            <v>NBNSYS0000011058</v>
          </cell>
          <cell r="H3228" t="str">
            <v>Saperda carcharius</v>
          </cell>
        </row>
        <row r="3229">
          <cell r="A3229" t="str">
            <v>Saperda populnea</v>
          </cell>
          <cell r="B3229" t="str">
            <v>Longhorn beetles</v>
          </cell>
          <cell r="C3229" t="str">
            <v>Coleoptera</v>
          </cell>
          <cell r="D3229" t="str">
            <v>Saperda populnea</v>
          </cell>
          <cell r="E3229" t="str">
            <v>LC</v>
          </cell>
          <cell r="F3229" t="str">
            <v>Alexander, 2019</v>
          </cell>
          <cell r="G3229" t="str">
            <v>NBNSYS0000011059</v>
          </cell>
          <cell r="H3229" t="str">
            <v>Saperda populnea</v>
          </cell>
        </row>
        <row r="3230">
          <cell r="A3230" t="str">
            <v>Saperda scalaris</v>
          </cell>
          <cell r="B3230" t="str">
            <v>Longhorn beetles</v>
          </cell>
          <cell r="C3230" t="str">
            <v>Coleoptera</v>
          </cell>
          <cell r="D3230" t="str">
            <v>Saperda scalaris</v>
          </cell>
          <cell r="E3230" t="str">
            <v>LC</v>
          </cell>
          <cell r="F3230" t="str">
            <v>Alexander, 2019</v>
          </cell>
          <cell r="G3230" t="str">
            <v>NBNSYS0000011060</v>
          </cell>
          <cell r="H3230" t="str">
            <v>Saperda scalaris</v>
          </cell>
        </row>
        <row r="3231">
          <cell r="A3231" t="str">
            <v>Stenocorus meridianus</v>
          </cell>
          <cell r="B3231" t="str">
            <v>Longhorn beetles</v>
          </cell>
          <cell r="C3231" t="str">
            <v>Coleoptera</v>
          </cell>
          <cell r="D3231" t="str">
            <v>Stenocorus meridianus</v>
          </cell>
          <cell r="E3231" t="str">
            <v>LC</v>
          </cell>
          <cell r="F3231" t="str">
            <v>Alexander, 2019</v>
          </cell>
          <cell r="G3231" t="str">
            <v>NBNSYS0000011005</v>
          </cell>
          <cell r="H3231" t="str">
            <v>Stenocorus meridianus</v>
          </cell>
        </row>
        <row r="3232">
          <cell r="A3232" t="str">
            <v>Stenostola dubia</v>
          </cell>
          <cell r="B3232" t="str">
            <v>Longhorn beetles</v>
          </cell>
          <cell r="C3232" t="str">
            <v>Coleoptera</v>
          </cell>
          <cell r="D3232" t="str">
            <v>Stenostola dubia</v>
          </cell>
          <cell r="E3232" t="str">
            <v>LC</v>
          </cell>
          <cell r="F3232" t="str">
            <v>Alexander, 2019</v>
          </cell>
          <cell r="G3232" t="str">
            <v>NBNSYS0000011062</v>
          </cell>
          <cell r="H3232" t="str">
            <v>Stenostola dubia</v>
          </cell>
        </row>
        <row r="3233">
          <cell r="A3233" t="str">
            <v>Stenurella melanura</v>
          </cell>
          <cell r="B3233" t="str">
            <v>Longhorn beetles</v>
          </cell>
          <cell r="C3233" t="str">
            <v>Coleoptera</v>
          </cell>
          <cell r="D3233" t="str">
            <v>Stenurella melanura</v>
          </cell>
          <cell r="E3233" t="str">
            <v>LC</v>
          </cell>
          <cell r="F3233" t="str">
            <v>Alexander, 2019</v>
          </cell>
          <cell r="G3233" t="str">
            <v>NHMSYS0020109272</v>
          </cell>
          <cell r="H3233" t="str">
            <v>Stenurella melanura</v>
          </cell>
        </row>
        <row r="3234">
          <cell r="A3234" t="str">
            <v>Stenurella nigra</v>
          </cell>
          <cell r="B3234" t="str">
            <v>Longhorn beetles</v>
          </cell>
          <cell r="C3234" t="str">
            <v>Coleoptera</v>
          </cell>
          <cell r="D3234" t="str">
            <v>Stenurella nigra</v>
          </cell>
          <cell r="E3234" t="str">
            <v>LC</v>
          </cell>
          <cell r="F3234" t="str">
            <v>Alexander, 2019</v>
          </cell>
          <cell r="G3234" t="str">
            <v>NHMSYS0020153515</v>
          </cell>
          <cell r="H3234" t="str">
            <v>Stenurella nigra</v>
          </cell>
        </row>
        <row r="3235">
          <cell r="A3235" t="str">
            <v>Stictoleptura rubra</v>
          </cell>
          <cell r="B3235" t="str">
            <v>Longhorn beetles</v>
          </cell>
          <cell r="C3235" t="str">
            <v>Coleoptera</v>
          </cell>
          <cell r="D3235" t="str">
            <v>Stictoleptura rubra</v>
          </cell>
          <cell r="E3235" t="str">
            <v>LC</v>
          </cell>
          <cell r="F3235" t="str">
            <v>Alexander, 2019</v>
          </cell>
          <cell r="G3235" t="str">
            <v>NHMSYS0020153529</v>
          </cell>
          <cell r="H3235" t="str">
            <v>Stictoleptura rubra</v>
          </cell>
        </row>
        <row r="3236">
          <cell r="A3236" t="str">
            <v>Stictoleptura scutellata</v>
          </cell>
          <cell r="B3236" t="str">
            <v>Longhorn beetles</v>
          </cell>
          <cell r="C3236" t="str">
            <v>Coleoptera</v>
          </cell>
          <cell r="D3236" t="str">
            <v>Stictoleptura scutellata</v>
          </cell>
          <cell r="E3236" t="str">
            <v>LC</v>
          </cell>
          <cell r="F3236" t="str">
            <v>Alexander, 2019</v>
          </cell>
          <cell r="G3236" t="str">
            <v>NHMSYS0020153530</v>
          </cell>
          <cell r="H3236" t="str">
            <v>Stictoleptura scutellata</v>
          </cell>
        </row>
        <row r="3237">
          <cell r="A3237" t="str">
            <v>Tetrops praeustus</v>
          </cell>
          <cell r="B3237" t="str">
            <v>Longhorn beetles</v>
          </cell>
          <cell r="C3237" t="str">
            <v>Coleoptera</v>
          </cell>
          <cell r="D3237" t="str">
            <v>Tetrops praeustus</v>
          </cell>
          <cell r="E3237" t="str">
            <v>LC</v>
          </cell>
          <cell r="F3237" t="str">
            <v>Alexander, 2019</v>
          </cell>
          <cell r="G3237" t="str">
            <v>NHMSYS0020153614</v>
          </cell>
          <cell r="H3237" t="str">
            <v>Tetrops praeustus</v>
          </cell>
        </row>
        <row r="3238">
          <cell r="A3238" t="str">
            <v>Achalcus bimaculatus</v>
          </cell>
          <cell r="B3238" t="str">
            <v>Long-legged flies</v>
          </cell>
          <cell r="C3238" t="str">
            <v>Diptera</v>
          </cell>
          <cell r="D3238" t="str">
            <v>Achalcus bimaculatus</v>
          </cell>
          <cell r="E3238" t="str">
            <v>LC</v>
          </cell>
          <cell r="F3238" t="str">
            <v>Drake, 2018</v>
          </cell>
          <cell r="G3238" t="str">
            <v>NBNSYS0100001400</v>
          </cell>
          <cell r="H3238" t="str">
            <v>Achalcus bimaculatus</v>
          </cell>
        </row>
        <row r="3239">
          <cell r="A3239" t="str">
            <v>Achalcus britannicus</v>
          </cell>
          <cell r="B3239" t="str">
            <v>Long-legged flies</v>
          </cell>
          <cell r="C3239" t="str">
            <v>Diptera</v>
          </cell>
          <cell r="D3239" t="str">
            <v>Achalcus britannicus</v>
          </cell>
          <cell r="E3239" t="str">
            <v>LC</v>
          </cell>
          <cell r="F3239" t="str">
            <v>Drake, 2018</v>
          </cell>
          <cell r="G3239" t="str">
            <v>NBNSYS0100001401</v>
          </cell>
          <cell r="H3239" t="str">
            <v>Achalcus britannicus</v>
          </cell>
        </row>
        <row r="3240">
          <cell r="A3240" t="str">
            <v>Achalcus cinereus</v>
          </cell>
          <cell r="B3240" t="str">
            <v>Long-legged flies</v>
          </cell>
          <cell r="C3240" t="str">
            <v>Diptera</v>
          </cell>
          <cell r="D3240" t="str">
            <v>Achalcus cinereus</v>
          </cell>
          <cell r="E3240" t="str">
            <v>LC</v>
          </cell>
          <cell r="F3240" t="str">
            <v>Drake, 2018</v>
          </cell>
          <cell r="G3240" t="str">
            <v>NBNSYS0000012747</v>
          </cell>
          <cell r="H3240" t="str">
            <v>Achalcus cinereus</v>
          </cell>
        </row>
        <row r="3241">
          <cell r="A3241" t="str">
            <v>Achalcus flavicollis</v>
          </cell>
          <cell r="B3241" t="str">
            <v>Long-legged flies</v>
          </cell>
          <cell r="C3241" t="str">
            <v>Diptera</v>
          </cell>
          <cell r="D3241" t="str">
            <v>Achalcus flavicollis</v>
          </cell>
          <cell r="E3241" t="str">
            <v>LC</v>
          </cell>
          <cell r="F3241" t="str">
            <v>Drake, 2018</v>
          </cell>
          <cell r="G3241" t="str">
            <v>NBNSYS0000012748</v>
          </cell>
          <cell r="H3241" t="str">
            <v>Achalcus flavicollis</v>
          </cell>
        </row>
        <row r="3242">
          <cell r="A3242" t="str">
            <v>Achalcus thalhammeri</v>
          </cell>
          <cell r="B3242" t="str">
            <v>Long-legged flies</v>
          </cell>
          <cell r="C3242" t="str">
            <v>Diptera</v>
          </cell>
          <cell r="D3242" t="str">
            <v>Achalcus thalhammeri</v>
          </cell>
          <cell r="E3242" t="str">
            <v>LC</v>
          </cell>
          <cell r="F3242" t="str">
            <v>Drake, 2018</v>
          </cell>
          <cell r="G3242" t="str">
            <v>NBNSYS0100001402</v>
          </cell>
          <cell r="H3242" t="str">
            <v>Achalcus thalhammeri</v>
          </cell>
        </row>
        <row r="3243">
          <cell r="A3243" t="str">
            <v>Achalcus vaillanti</v>
          </cell>
          <cell r="B3243" t="str">
            <v>Long-legged flies</v>
          </cell>
          <cell r="C3243" t="str">
            <v>Diptera</v>
          </cell>
          <cell r="D3243" t="str">
            <v>Achalcus vaillanti</v>
          </cell>
          <cell r="E3243" t="str">
            <v>LC</v>
          </cell>
          <cell r="F3243" t="str">
            <v>Drake, 2018</v>
          </cell>
          <cell r="G3243" t="str">
            <v>NBNSYS0100001403</v>
          </cell>
          <cell r="H3243" t="str">
            <v>Achalcus vaillanti</v>
          </cell>
        </row>
        <row r="3244">
          <cell r="A3244" t="str">
            <v>Anepsiomyia flaviventris</v>
          </cell>
          <cell r="B3244" t="str">
            <v>Long-legged flies</v>
          </cell>
          <cell r="C3244" t="str">
            <v>Diptera</v>
          </cell>
          <cell r="D3244" t="str">
            <v>Anepsiomyia flaviventris</v>
          </cell>
          <cell r="E3244" t="str">
            <v>LC</v>
          </cell>
          <cell r="F3244" t="str">
            <v>Drake, 2018</v>
          </cell>
          <cell r="G3244" t="str">
            <v>NBNSYS0000012813</v>
          </cell>
          <cell r="H3244" t="str">
            <v>Anepsiomyia flaviventris</v>
          </cell>
        </row>
        <row r="3245">
          <cell r="A3245" t="str">
            <v>Aphrosylus celtiber</v>
          </cell>
          <cell r="B3245" t="str">
            <v>Long-legged flies</v>
          </cell>
          <cell r="C3245" t="str">
            <v>Diptera</v>
          </cell>
          <cell r="D3245" t="str">
            <v>Aphrosylus celtiber</v>
          </cell>
          <cell r="E3245" t="str">
            <v>LC</v>
          </cell>
          <cell r="F3245" t="str">
            <v>Drake, 2018</v>
          </cell>
          <cell r="G3245" t="str">
            <v>NBNSYS0000012661</v>
          </cell>
          <cell r="H3245" t="str">
            <v>Aphrosylus celtiber</v>
          </cell>
        </row>
        <row r="3246">
          <cell r="A3246" t="str">
            <v>Aphrosylus ferox</v>
          </cell>
          <cell r="B3246" t="str">
            <v>Long-legged flies</v>
          </cell>
          <cell r="C3246" t="str">
            <v>Diptera</v>
          </cell>
          <cell r="D3246" t="str">
            <v>Aphrosylus ferox</v>
          </cell>
          <cell r="E3246" t="str">
            <v>LC</v>
          </cell>
          <cell r="F3246" t="str">
            <v>Drake, 2018</v>
          </cell>
          <cell r="G3246" t="str">
            <v>NBNSYS0000012662</v>
          </cell>
          <cell r="H3246" t="str">
            <v>Aphrosylus ferox</v>
          </cell>
        </row>
        <row r="3247">
          <cell r="A3247" t="str">
            <v>Aphrosylus mitis</v>
          </cell>
          <cell r="B3247" t="str">
            <v>Long-legged flies</v>
          </cell>
          <cell r="C3247" t="str">
            <v>Diptera</v>
          </cell>
          <cell r="D3247" t="str">
            <v>Aphrosylus mitis</v>
          </cell>
          <cell r="E3247" t="str">
            <v>LC</v>
          </cell>
          <cell r="F3247" t="str">
            <v>Drake, 2018</v>
          </cell>
          <cell r="G3247" t="str">
            <v>NBNSYS0000012663</v>
          </cell>
          <cell r="H3247" t="str">
            <v>Aphrosylus mitis</v>
          </cell>
        </row>
        <row r="3248">
          <cell r="A3248" t="str">
            <v>Aphrosylus raptor</v>
          </cell>
          <cell r="B3248" t="str">
            <v>Long-legged flies</v>
          </cell>
          <cell r="C3248" t="str">
            <v>Diptera</v>
          </cell>
          <cell r="D3248" t="str">
            <v>Aphrosylus raptor</v>
          </cell>
          <cell r="E3248" t="str">
            <v>LC</v>
          </cell>
          <cell r="F3248" t="str">
            <v>Drake, 2018</v>
          </cell>
          <cell r="G3248" t="str">
            <v>NBNSYS0000012664</v>
          </cell>
          <cell r="H3248" t="str">
            <v>Aphrosylus raptor</v>
          </cell>
        </row>
        <row r="3249">
          <cell r="A3249" t="str">
            <v>Argyra argentina</v>
          </cell>
          <cell r="B3249" t="str">
            <v>Long-legged flies</v>
          </cell>
          <cell r="C3249" t="str">
            <v>Diptera</v>
          </cell>
          <cell r="D3249" t="str">
            <v>Argyra argentina</v>
          </cell>
          <cell r="E3249" t="str">
            <v>LC</v>
          </cell>
          <cell r="F3249" t="str">
            <v>Drake, 2018</v>
          </cell>
          <cell r="G3249" t="str">
            <v>NBNSYS0000012780</v>
          </cell>
          <cell r="H3249" t="str">
            <v>Argyra argentina</v>
          </cell>
        </row>
        <row r="3250">
          <cell r="A3250" t="str">
            <v>Argyra argyria</v>
          </cell>
          <cell r="B3250" t="str">
            <v>Long-legged flies</v>
          </cell>
          <cell r="C3250" t="str">
            <v>Diptera</v>
          </cell>
          <cell r="D3250" t="str">
            <v>Argyra argyria</v>
          </cell>
          <cell r="E3250" t="str">
            <v>LC</v>
          </cell>
          <cell r="F3250" t="str">
            <v>Drake, 2018</v>
          </cell>
          <cell r="G3250" t="str">
            <v>NBNSYS0000012781</v>
          </cell>
          <cell r="H3250" t="str">
            <v>Argyra argyria</v>
          </cell>
        </row>
        <row r="3251">
          <cell r="A3251" t="str">
            <v>Argyra atriceps</v>
          </cell>
          <cell r="B3251" t="str">
            <v>Long-legged flies</v>
          </cell>
          <cell r="C3251" t="str">
            <v>Diptera</v>
          </cell>
          <cell r="D3251" t="str">
            <v>Argyra atriceps</v>
          </cell>
          <cell r="E3251" t="str">
            <v>LC</v>
          </cell>
          <cell r="F3251" t="str">
            <v>Drake, 2018</v>
          </cell>
          <cell r="G3251" t="str">
            <v>NBNSYS0000012782</v>
          </cell>
          <cell r="H3251" t="str">
            <v>Argyra atriceps</v>
          </cell>
        </row>
        <row r="3252">
          <cell r="A3252" t="str">
            <v>Argyra auricollis</v>
          </cell>
          <cell r="B3252" t="str">
            <v>Long-legged flies</v>
          </cell>
          <cell r="C3252" t="str">
            <v>Diptera</v>
          </cell>
          <cell r="D3252" t="str">
            <v>Argyra auricollis</v>
          </cell>
          <cell r="E3252" t="str">
            <v>LC</v>
          </cell>
          <cell r="F3252" t="str">
            <v>Drake, 2018</v>
          </cell>
          <cell r="G3252" t="str">
            <v>NBNSYS0000012783</v>
          </cell>
          <cell r="H3252" t="str">
            <v>Argyra auricollis</v>
          </cell>
        </row>
        <row r="3253">
          <cell r="A3253" t="str">
            <v>Argyra diaphana</v>
          </cell>
          <cell r="B3253" t="str">
            <v>Long-legged flies</v>
          </cell>
          <cell r="C3253" t="str">
            <v>Diptera</v>
          </cell>
          <cell r="D3253" t="str">
            <v>Argyra diaphana</v>
          </cell>
          <cell r="E3253" t="str">
            <v>LC</v>
          </cell>
          <cell r="F3253" t="str">
            <v>Drake, 2018</v>
          </cell>
          <cell r="G3253" t="str">
            <v>NBNSYS0000012785</v>
          </cell>
          <cell r="H3253" t="str">
            <v>Argyra diaphana</v>
          </cell>
        </row>
        <row r="3254">
          <cell r="A3254" t="str">
            <v>Argyra elongata</v>
          </cell>
          <cell r="B3254" t="str">
            <v>Long-legged flies</v>
          </cell>
          <cell r="C3254" t="str">
            <v>Diptera</v>
          </cell>
          <cell r="D3254" t="str">
            <v>Argyra elongata</v>
          </cell>
          <cell r="E3254" t="str">
            <v>LC</v>
          </cell>
          <cell r="F3254" t="str">
            <v>Drake, 2018</v>
          </cell>
          <cell r="G3254" t="str">
            <v>NBNSYS0000012786</v>
          </cell>
          <cell r="H3254" t="str">
            <v>Argyra elongata</v>
          </cell>
        </row>
        <row r="3255">
          <cell r="A3255" t="str">
            <v>Argyra grata</v>
          </cell>
          <cell r="B3255" t="str">
            <v>Long-legged flies</v>
          </cell>
          <cell r="C3255" t="str">
            <v>Diptera</v>
          </cell>
          <cell r="D3255" t="str">
            <v>Argyra grata</v>
          </cell>
          <cell r="E3255" t="str">
            <v>NT</v>
          </cell>
          <cell r="F3255" t="str">
            <v>Drake, 2018</v>
          </cell>
          <cell r="G3255" t="str">
            <v>NBNSYS0000012787</v>
          </cell>
          <cell r="H3255" t="str">
            <v>Argyra grata</v>
          </cell>
        </row>
        <row r="3256">
          <cell r="A3256" t="str">
            <v>Argyra ilonae</v>
          </cell>
          <cell r="B3256" t="str">
            <v>Long-legged flies</v>
          </cell>
          <cell r="C3256" t="str">
            <v>Diptera</v>
          </cell>
          <cell r="D3256" t="str">
            <v>Argyra ilonae</v>
          </cell>
          <cell r="E3256" t="str">
            <v>LC</v>
          </cell>
          <cell r="F3256" t="str">
            <v>Drake, 2018</v>
          </cell>
          <cell r="G3256" t="str">
            <v>NBNSYS0100001639</v>
          </cell>
          <cell r="H3256" t="str">
            <v>Argyra ilonae</v>
          </cell>
        </row>
        <row r="3257">
          <cell r="A3257" t="str">
            <v>Argyra leucocephala</v>
          </cell>
          <cell r="B3257" t="str">
            <v>Long-legged flies</v>
          </cell>
          <cell r="C3257" t="str">
            <v>Diptera</v>
          </cell>
          <cell r="D3257" t="str">
            <v>Argyra leucocephala</v>
          </cell>
          <cell r="E3257" t="str">
            <v>LC</v>
          </cell>
          <cell r="F3257" t="str">
            <v>Drake, 2018</v>
          </cell>
          <cell r="G3257" t="str">
            <v>NBNSYS0000012788</v>
          </cell>
          <cell r="H3257" t="str">
            <v>Argyra leucocephala</v>
          </cell>
        </row>
        <row r="3258">
          <cell r="A3258" t="str">
            <v>Argyra perplexa</v>
          </cell>
          <cell r="B3258" t="str">
            <v>Long-legged flies</v>
          </cell>
          <cell r="C3258" t="str">
            <v>Diptera</v>
          </cell>
          <cell r="D3258" t="str">
            <v>Argyra perplexa</v>
          </cell>
          <cell r="E3258" t="str">
            <v>LC</v>
          </cell>
          <cell r="F3258" t="str">
            <v>Drake, 2018</v>
          </cell>
          <cell r="G3258" t="str">
            <v>NBNSYS0000012789</v>
          </cell>
          <cell r="H3258" t="str">
            <v>Argyra perplexa</v>
          </cell>
        </row>
        <row r="3259">
          <cell r="A3259" t="str">
            <v>Argyra vestita</v>
          </cell>
          <cell r="B3259" t="str">
            <v>Long-legged flies</v>
          </cell>
          <cell r="C3259" t="str">
            <v>Diptera</v>
          </cell>
          <cell r="D3259" t="str">
            <v>Argyra vestita</v>
          </cell>
          <cell r="E3259" t="str">
            <v>LC</v>
          </cell>
          <cell r="F3259" t="str">
            <v>Drake, 2018</v>
          </cell>
          <cell r="G3259" t="str">
            <v>NBNSYS0000012790</v>
          </cell>
          <cell r="H3259" t="str">
            <v>Argyra vestita</v>
          </cell>
        </row>
        <row r="3260">
          <cell r="A3260" t="str">
            <v>Australachalcus  melanotrichus</v>
          </cell>
          <cell r="B3260" t="str">
            <v>Long-legged flies</v>
          </cell>
          <cell r="C3260" t="str">
            <v>Diptera</v>
          </cell>
          <cell r="D3260" t="str">
            <v>Australachalcus melanotrichus</v>
          </cell>
          <cell r="E3260" t="str">
            <v>LC</v>
          </cell>
          <cell r="F3260" t="str">
            <v>Drake, 2018</v>
          </cell>
          <cell r="G3260" t="str">
            <v>NHMSYS0021265297</v>
          </cell>
          <cell r="H3260" t="str">
            <v>Australachalcus  melanotrichus</v>
          </cell>
        </row>
        <row r="3261">
          <cell r="A3261" t="str">
            <v>Campsicnemus alpinus</v>
          </cell>
          <cell r="B3261" t="str">
            <v>Long-legged flies</v>
          </cell>
          <cell r="C3261" t="str">
            <v>Diptera</v>
          </cell>
          <cell r="D3261" t="str">
            <v>Campsicnemus alpinus</v>
          </cell>
          <cell r="E3261" t="str">
            <v>LC</v>
          </cell>
          <cell r="F3261" t="str">
            <v>Drake, 2018</v>
          </cell>
          <cell r="G3261" t="str">
            <v>NBNSYS0000012801</v>
          </cell>
          <cell r="H3261" t="str">
            <v>Campsicnemus alpinus</v>
          </cell>
        </row>
        <row r="3262">
          <cell r="A3262" t="str">
            <v>Campsicnemus armatus</v>
          </cell>
          <cell r="B3262" t="str">
            <v>Long-legged flies</v>
          </cell>
          <cell r="C3262" t="str">
            <v>Diptera</v>
          </cell>
          <cell r="D3262" t="str">
            <v>Campsicnemus armatus</v>
          </cell>
          <cell r="E3262" t="str">
            <v>LC</v>
          </cell>
          <cell r="F3262" t="str">
            <v>Drake, 2018</v>
          </cell>
          <cell r="G3262" t="str">
            <v>NBNSYS0000012791</v>
          </cell>
          <cell r="H3262" t="str">
            <v>Campsicnemus armatus</v>
          </cell>
        </row>
        <row r="3263">
          <cell r="A3263" t="str">
            <v>Campsicnemus compeditus</v>
          </cell>
          <cell r="B3263" t="str">
            <v>Long-legged flies</v>
          </cell>
          <cell r="C3263" t="str">
            <v>Diptera</v>
          </cell>
          <cell r="D3263" t="str">
            <v>Campsicnemus compeditus</v>
          </cell>
          <cell r="E3263" t="str">
            <v>LC</v>
          </cell>
          <cell r="F3263" t="str">
            <v>Drake, 2018</v>
          </cell>
          <cell r="G3263" t="str">
            <v>NBNSYS0000012792</v>
          </cell>
          <cell r="H3263" t="str">
            <v>Campsicnemus compeditus</v>
          </cell>
        </row>
        <row r="3264">
          <cell r="A3264" t="str">
            <v>Campsicnemus curvipes</v>
          </cell>
          <cell r="B3264" t="str">
            <v>Long-legged flies</v>
          </cell>
          <cell r="C3264" t="str">
            <v>Diptera</v>
          </cell>
          <cell r="D3264" t="str">
            <v>Campsicnemus curvipes</v>
          </cell>
          <cell r="E3264" t="str">
            <v>LC</v>
          </cell>
          <cell r="F3264" t="str">
            <v>Drake, 2018</v>
          </cell>
          <cell r="G3264" t="str">
            <v>NBNSYS0000012793</v>
          </cell>
          <cell r="H3264" t="str">
            <v>Campsicnemus curvipes</v>
          </cell>
        </row>
        <row r="3265">
          <cell r="A3265" t="str">
            <v>Campsicnemus loripes</v>
          </cell>
          <cell r="B3265" t="str">
            <v>Long-legged flies</v>
          </cell>
          <cell r="C3265" t="str">
            <v>Diptera</v>
          </cell>
          <cell r="D3265" t="str">
            <v>Campsicnemus loripes</v>
          </cell>
          <cell r="E3265" t="str">
            <v>LC</v>
          </cell>
          <cell r="F3265" t="str">
            <v>Drake, 2018</v>
          </cell>
          <cell r="G3265" t="str">
            <v>NBNSYS0000012794</v>
          </cell>
          <cell r="H3265" t="str">
            <v>Campsicnemus loripes</v>
          </cell>
        </row>
        <row r="3266">
          <cell r="A3266" t="str">
            <v>Campsicnemus magius</v>
          </cell>
          <cell r="B3266" t="str">
            <v>Long-legged flies</v>
          </cell>
          <cell r="C3266" t="str">
            <v>Diptera</v>
          </cell>
          <cell r="D3266" t="str">
            <v>Campsicnemus magius</v>
          </cell>
          <cell r="E3266" t="str">
            <v>VU</v>
          </cell>
          <cell r="F3266" t="str">
            <v>Drake, 2018</v>
          </cell>
          <cell r="G3266" t="str">
            <v>NBNSYS0000012795</v>
          </cell>
          <cell r="H3266" t="str">
            <v>Campsicnemus magius</v>
          </cell>
        </row>
        <row r="3267">
          <cell r="A3267" t="str">
            <v>Campsicnemus marginatus</v>
          </cell>
          <cell r="B3267" t="str">
            <v>Long-legged flies</v>
          </cell>
          <cell r="C3267" t="str">
            <v>Diptera</v>
          </cell>
          <cell r="D3267" t="str">
            <v>Campsicnemus marginatus</v>
          </cell>
          <cell r="E3267" t="str">
            <v>LC</v>
          </cell>
          <cell r="F3267" t="str">
            <v>Drake, 2018</v>
          </cell>
          <cell r="G3267" t="str">
            <v>NBNSYS0000012796</v>
          </cell>
          <cell r="H3267" t="str">
            <v>Campsicnemus marginatus</v>
          </cell>
        </row>
        <row r="3268">
          <cell r="A3268" t="str">
            <v>Campsicnemus picticornis</v>
          </cell>
          <cell r="B3268" t="str">
            <v>Long-legged flies</v>
          </cell>
          <cell r="C3268" t="str">
            <v>Diptera</v>
          </cell>
          <cell r="D3268" t="str">
            <v>Campsicnemus picticornis</v>
          </cell>
          <cell r="E3268" t="str">
            <v>LC</v>
          </cell>
          <cell r="F3268" t="str">
            <v>Drake, 2018</v>
          </cell>
          <cell r="G3268" t="str">
            <v>NBNSYS0000012798</v>
          </cell>
          <cell r="H3268" t="str">
            <v>Campsicnemus picticornis</v>
          </cell>
        </row>
        <row r="3269">
          <cell r="A3269" t="str">
            <v>Campsicnemus pumilio</v>
          </cell>
          <cell r="B3269" t="str">
            <v>Long-legged flies</v>
          </cell>
          <cell r="C3269" t="str">
            <v>Diptera</v>
          </cell>
          <cell r="D3269" t="str">
            <v>Campsicnemus pumilio</v>
          </cell>
          <cell r="E3269" t="str">
            <v>LC</v>
          </cell>
          <cell r="F3269" t="str">
            <v>Drake, 2018</v>
          </cell>
          <cell r="G3269" t="str">
            <v>NBNSYS0100002169</v>
          </cell>
          <cell r="H3269" t="str">
            <v>Campsicnemus pumilio</v>
          </cell>
        </row>
        <row r="3270">
          <cell r="A3270" t="str">
            <v>Campsicnemus pusillus</v>
          </cell>
          <cell r="B3270" t="str">
            <v>Long-legged flies</v>
          </cell>
          <cell r="C3270" t="str">
            <v>Diptera</v>
          </cell>
          <cell r="D3270" t="str">
            <v>Campsicnemus pusillus</v>
          </cell>
          <cell r="E3270" t="str">
            <v>LC</v>
          </cell>
          <cell r="F3270" t="str">
            <v>Drake, 2018</v>
          </cell>
          <cell r="G3270" t="str">
            <v>NBNSYS0000012799</v>
          </cell>
          <cell r="H3270" t="str">
            <v>Campsicnemus pusillus</v>
          </cell>
        </row>
        <row r="3271">
          <cell r="A3271" t="str">
            <v>Campsicnemus scambus</v>
          </cell>
          <cell r="B3271" t="str">
            <v>Long-legged flies</v>
          </cell>
          <cell r="C3271" t="str">
            <v>Diptera</v>
          </cell>
          <cell r="D3271" t="str">
            <v>Campsicnemus scambus</v>
          </cell>
          <cell r="E3271" t="str">
            <v>LC</v>
          </cell>
          <cell r="F3271" t="str">
            <v>Drake, 2018</v>
          </cell>
          <cell r="G3271" t="str">
            <v>NBNSYS0000012800</v>
          </cell>
          <cell r="H3271" t="str">
            <v>Campsicnemus scambus</v>
          </cell>
        </row>
        <row r="3272">
          <cell r="A3272" t="str">
            <v>Chrysotimus flaviventris</v>
          </cell>
          <cell r="B3272" t="str">
            <v>Long-legged flies</v>
          </cell>
          <cell r="C3272" t="str">
            <v>Diptera</v>
          </cell>
          <cell r="D3272" t="str">
            <v>Chrysotimus flaviventris</v>
          </cell>
          <cell r="E3272" t="str">
            <v>LC</v>
          </cell>
          <cell r="F3272" t="str">
            <v>Drake, 2018</v>
          </cell>
          <cell r="G3272" t="str">
            <v>NBNSYS0100002432</v>
          </cell>
          <cell r="H3272" t="str">
            <v>Chrysotimus flaviventris</v>
          </cell>
        </row>
        <row r="3273">
          <cell r="A3273" t="str">
            <v>Chrysotimus molliculus</v>
          </cell>
          <cell r="B3273" t="str">
            <v>Long-legged flies</v>
          </cell>
          <cell r="C3273" t="str">
            <v>Diptera</v>
          </cell>
          <cell r="D3273" t="str">
            <v>Chrysotimus molliculus</v>
          </cell>
          <cell r="E3273" t="str">
            <v>LC</v>
          </cell>
          <cell r="F3273" t="str">
            <v>Drake, 2018</v>
          </cell>
          <cell r="G3273" t="str">
            <v>NBNSYS0000012816</v>
          </cell>
          <cell r="H3273" t="str">
            <v>Chrysotimus molliculus</v>
          </cell>
        </row>
        <row r="3274">
          <cell r="A3274" t="str">
            <v>Chrysotus blepharosceles</v>
          </cell>
          <cell r="B3274" t="str">
            <v>Long-legged flies</v>
          </cell>
          <cell r="C3274" t="str">
            <v>Diptera</v>
          </cell>
          <cell r="D3274" t="str">
            <v>Chrysotus blepharosceles</v>
          </cell>
          <cell r="E3274" t="str">
            <v>LC</v>
          </cell>
          <cell r="F3274" t="str">
            <v>Drake, 2018</v>
          </cell>
          <cell r="G3274" t="str">
            <v>NBNSYS0000012761</v>
          </cell>
          <cell r="H3274" t="str">
            <v>Chrysotus blepharosceles</v>
          </cell>
        </row>
        <row r="3275">
          <cell r="A3275" t="str">
            <v>Chrysotus cilipes</v>
          </cell>
          <cell r="B3275" t="str">
            <v>Long-legged flies</v>
          </cell>
          <cell r="C3275" t="str">
            <v>Diptera</v>
          </cell>
          <cell r="D3275" t="str">
            <v>Chrysotus cilipes</v>
          </cell>
          <cell r="E3275" t="str">
            <v>LC</v>
          </cell>
          <cell r="F3275" t="str">
            <v>Drake, 2018</v>
          </cell>
          <cell r="G3275" t="str">
            <v>NBNSYS0000006600</v>
          </cell>
          <cell r="H3275" t="str">
            <v>Chrysotus cilipes</v>
          </cell>
        </row>
        <row r="3276">
          <cell r="A3276" t="str">
            <v>Chrysotus collini</v>
          </cell>
          <cell r="B3276" t="str">
            <v>Long-legged flies</v>
          </cell>
          <cell r="C3276" t="str">
            <v>Diptera</v>
          </cell>
          <cell r="D3276" t="str">
            <v>Chrysotus collini</v>
          </cell>
          <cell r="E3276" t="str">
            <v>VU</v>
          </cell>
          <cell r="F3276" t="str">
            <v>Drake, 2018</v>
          </cell>
          <cell r="G3276" t="str">
            <v>NBNSYS0000012762</v>
          </cell>
          <cell r="H3276" t="str">
            <v>Chrysotus collini</v>
          </cell>
        </row>
        <row r="3277">
          <cell r="A3277" t="str">
            <v>Chrysotus cupreus</v>
          </cell>
          <cell r="B3277" t="str">
            <v>Long-legged flies</v>
          </cell>
          <cell r="C3277" t="str">
            <v>Diptera</v>
          </cell>
          <cell r="D3277" t="str">
            <v>Chrysotus cupreus</v>
          </cell>
          <cell r="E3277" t="str">
            <v>LC</v>
          </cell>
          <cell r="F3277" t="str">
            <v>Drake, 2018</v>
          </cell>
          <cell r="G3277" t="str">
            <v>NBNSYS0000012763</v>
          </cell>
          <cell r="H3277" t="str">
            <v>Chrysotus cupreus</v>
          </cell>
        </row>
        <row r="3278">
          <cell r="A3278" t="str">
            <v>Chrysotus femoratus</v>
          </cell>
          <cell r="B3278" t="str">
            <v>Long-legged flies</v>
          </cell>
          <cell r="C3278" t="str">
            <v>Diptera</v>
          </cell>
          <cell r="D3278" t="str">
            <v>Chrysotus femoratus</v>
          </cell>
          <cell r="E3278" t="str">
            <v>LC</v>
          </cell>
          <cell r="F3278" t="str">
            <v>Drake, 2018</v>
          </cell>
          <cell r="G3278" t="str">
            <v>NBNSYS0000012764</v>
          </cell>
          <cell r="H3278" t="str">
            <v>Chrysotus femoratus</v>
          </cell>
        </row>
        <row r="3279">
          <cell r="A3279" t="str">
            <v>Chrysotus gramineus</v>
          </cell>
          <cell r="B3279" t="str">
            <v>Long-legged flies</v>
          </cell>
          <cell r="C3279" t="str">
            <v>Diptera</v>
          </cell>
          <cell r="D3279" t="str">
            <v>Chrysotus gramineus</v>
          </cell>
          <cell r="E3279" t="str">
            <v>LC</v>
          </cell>
          <cell r="F3279" t="str">
            <v>Drake, 2018</v>
          </cell>
          <cell r="G3279" t="str">
            <v>NBNSYS0000012765</v>
          </cell>
          <cell r="H3279" t="str">
            <v>Chrysotus gramineus</v>
          </cell>
        </row>
        <row r="3280">
          <cell r="A3280" t="str">
            <v>Chrysotus laesus</v>
          </cell>
          <cell r="B3280" t="str">
            <v>Long-legged flies</v>
          </cell>
          <cell r="C3280" t="str">
            <v>Diptera</v>
          </cell>
          <cell r="D3280" t="str">
            <v>Chrysotus laesus</v>
          </cell>
          <cell r="E3280" t="str">
            <v>LC</v>
          </cell>
          <cell r="F3280" t="str">
            <v>Drake, 2018</v>
          </cell>
          <cell r="G3280" t="str">
            <v>NBNSYS0000012767</v>
          </cell>
          <cell r="H3280" t="str">
            <v>Chrysotus laesus</v>
          </cell>
        </row>
        <row r="3281">
          <cell r="A3281" t="str">
            <v>Chrysotus melampodius</v>
          </cell>
          <cell r="B3281" t="str">
            <v>Long-legged flies</v>
          </cell>
          <cell r="C3281" t="str">
            <v>Diptera</v>
          </cell>
          <cell r="D3281" t="str">
            <v>Chrysotus melampodius</v>
          </cell>
          <cell r="E3281" t="str">
            <v>EN</v>
          </cell>
          <cell r="F3281" t="str">
            <v>Drake, 2018</v>
          </cell>
          <cell r="G3281" t="str">
            <v>NBNSYS0000012768</v>
          </cell>
          <cell r="H3281" t="str">
            <v>Chrysotus melampodius</v>
          </cell>
        </row>
        <row r="3282">
          <cell r="A3282" t="str">
            <v>Chrysotus monochaetus</v>
          </cell>
          <cell r="B3282" t="str">
            <v>Long-legged flies</v>
          </cell>
          <cell r="C3282" t="str">
            <v>Diptera</v>
          </cell>
          <cell r="D3282" t="str">
            <v>Chrysotus monochaetus</v>
          </cell>
          <cell r="E3282" t="str">
            <v>CR</v>
          </cell>
          <cell r="F3282" t="str">
            <v>Drake, 2018</v>
          </cell>
          <cell r="G3282" t="str">
            <v>NBNSYS0000012770</v>
          </cell>
          <cell r="H3282" t="str">
            <v>Chrysotus monochaetus</v>
          </cell>
        </row>
        <row r="3283">
          <cell r="A3283" t="str">
            <v>Chrysotus neglectus</v>
          </cell>
          <cell r="B3283" t="str">
            <v>Long-legged flies</v>
          </cell>
          <cell r="C3283" t="str">
            <v>Diptera</v>
          </cell>
          <cell r="D3283" t="str">
            <v>Chrysotus neglectus</v>
          </cell>
          <cell r="E3283" t="str">
            <v>LC</v>
          </cell>
          <cell r="F3283" t="str">
            <v>Drake, 2018</v>
          </cell>
          <cell r="G3283" t="str">
            <v>NBNSYS0000012771</v>
          </cell>
          <cell r="H3283" t="str">
            <v>Chrysotus neglectus</v>
          </cell>
        </row>
        <row r="3284">
          <cell r="A3284" t="str">
            <v>Chrysotus obscuripes</v>
          </cell>
          <cell r="B3284" t="str">
            <v>Long-legged flies</v>
          </cell>
          <cell r="C3284" t="str">
            <v>Diptera</v>
          </cell>
          <cell r="D3284" t="str">
            <v>Chrysotus obscuripes</v>
          </cell>
          <cell r="E3284" t="str">
            <v>LC</v>
          </cell>
          <cell r="F3284" t="str">
            <v>Drake, 2018</v>
          </cell>
          <cell r="G3284" t="str">
            <v>NBNSYS0100002435</v>
          </cell>
          <cell r="H3284" t="str">
            <v>Chrysotus obscuripes</v>
          </cell>
        </row>
        <row r="3285">
          <cell r="A3285" t="str">
            <v>Chrysotus palustris</v>
          </cell>
          <cell r="B3285" t="str">
            <v>Long-legged flies</v>
          </cell>
          <cell r="C3285" t="str">
            <v>Diptera</v>
          </cell>
          <cell r="D3285" t="str">
            <v>Chrysotus palustris</v>
          </cell>
          <cell r="E3285" t="str">
            <v>LC</v>
          </cell>
          <cell r="F3285" t="str">
            <v>Drake, 2018</v>
          </cell>
          <cell r="G3285" t="str">
            <v>NBNSYS0000012773</v>
          </cell>
          <cell r="H3285" t="str">
            <v>Chrysotus palustris</v>
          </cell>
        </row>
        <row r="3286">
          <cell r="A3286" t="str">
            <v>Chrysotus pulchellus</v>
          </cell>
          <cell r="B3286" t="str">
            <v>Long-legged flies</v>
          </cell>
          <cell r="C3286" t="str">
            <v>Diptera</v>
          </cell>
          <cell r="D3286" t="str">
            <v>Chrysotus pulchellus</v>
          </cell>
          <cell r="E3286" t="str">
            <v>LC</v>
          </cell>
          <cell r="F3286" t="str">
            <v>Drake, 2018</v>
          </cell>
          <cell r="G3286" t="str">
            <v>NBNSYS0000012774</v>
          </cell>
          <cell r="H3286" t="str">
            <v>Chrysotus pulchellus</v>
          </cell>
        </row>
        <row r="3287">
          <cell r="A3287" t="str">
            <v>Chrysotus suavis</v>
          </cell>
          <cell r="B3287" t="str">
            <v>Long-legged flies</v>
          </cell>
          <cell r="C3287" t="str">
            <v>Diptera</v>
          </cell>
          <cell r="D3287" t="str">
            <v>Chrysotus suavis</v>
          </cell>
          <cell r="E3287" t="str">
            <v>LC</v>
          </cell>
          <cell r="F3287" t="str">
            <v>Drake, 2018</v>
          </cell>
          <cell r="G3287" t="str">
            <v>NBNSYS0000012775</v>
          </cell>
          <cell r="H3287" t="str">
            <v>Chrysotus suavis</v>
          </cell>
        </row>
        <row r="3288">
          <cell r="A3288" t="str">
            <v>Cyrturella albosetosa</v>
          </cell>
          <cell r="B3288" t="str">
            <v>Long-legged flies</v>
          </cell>
          <cell r="C3288" t="str">
            <v>Diptera</v>
          </cell>
          <cell r="D3288" t="str">
            <v>Cyrturella albosetosa</v>
          </cell>
          <cell r="E3288" t="str">
            <v>CR</v>
          </cell>
          <cell r="F3288" t="str">
            <v>Drake, 2018</v>
          </cell>
          <cell r="G3288" t="str">
            <v>NBNSYS0000162166</v>
          </cell>
          <cell r="H3288" t="str">
            <v>Cyrturella albosetosa</v>
          </cell>
        </row>
        <row r="3289">
          <cell r="A3289" t="str">
            <v>Diaphorus hoffmannseggii</v>
          </cell>
          <cell r="B3289" t="str">
            <v>Long-legged flies</v>
          </cell>
          <cell r="C3289" t="str">
            <v>Diptera</v>
          </cell>
          <cell r="D3289" t="str">
            <v>Diaphorus hoffmannseggii</v>
          </cell>
          <cell r="E3289" t="str">
            <v>LC</v>
          </cell>
          <cell r="F3289" t="str">
            <v>Drake, 2018</v>
          </cell>
          <cell r="G3289" t="str">
            <v>NBNSYS0000012756</v>
          </cell>
          <cell r="H3289" t="str">
            <v>Diaphorus hoffmannseggii</v>
          </cell>
        </row>
        <row r="3290">
          <cell r="A3290" t="str">
            <v>Diaphorus nigricans</v>
          </cell>
          <cell r="B3290" t="str">
            <v>Long-legged flies</v>
          </cell>
          <cell r="C3290" t="str">
            <v>Diptera</v>
          </cell>
          <cell r="D3290" t="str">
            <v>Diaphorus nigricans</v>
          </cell>
          <cell r="E3290" t="str">
            <v>LC</v>
          </cell>
          <cell r="F3290" t="str">
            <v>Drake, 2018</v>
          </cell>
          <cell r="G3290" t="str">
            <v>NBNSYS0000012757</v>
          </cell>
          <cell r="H3290" t="str">
            <v>Diaphorus nigricans</v>
          </cell>
        </row>
        <row r="3291">
          <cell r="A3291" t="str">
            <v>Diaphorus oculatus</v>
          </cell>
          <cell r="B3291" t="str">
            <v>Long-legged flies</v>
          </cell>
          <cell r="C3291" t="str">
            <v>Diptera</v>
          </cell>
          <cell r="D3291" t="str">
            <v>Diaphorus oculatus</v>
          </cell>
          <cell r="E3291" t="str">
            <v>LC</v>
          </cell>
          <cell r="F3291" t="str">
            <v>Drake, 2018</v>
          </cell>
          <cell r="G3291" t="str">
            <v>NBNSYS0000012758</v>
          </cell>
          <cell r="H3291" t="str">
            <v>Diaphorus oculatus</v>
          </cell>
        </row>
        <row r="3292">
          <cell r="A3292" t="str">
            <v>Dolichopus acuticornis</v>
          </cell>
          <cell r="B3292" t="str">
            <v>Long-legged flies</v>
          </cell>
          <cell r="C3292" t="str">
            <v>Diptera</v>
          </cell>
          <cell r="D3292" t="str">
            <v>Dolichopus acuticornis</v>
          </cell>
          <cell r="E3292" t="str">
            <v>LC</v>
          </cell>
          <cell r="F3292" t="str">
            <v>Drake, 2018</v>
          </cell>
          <cell r="G3292" t="str">
            <v>NBNSYS0000012560</v>
          </cell>
          <cell r="H3292" t="str">
            <v>Dolichopus acuticornis</v>
          </cell>
        </row>
        <row r="3293">
          <cell r="A3293" t="str">
            <v>Dolichopus agilis</v>
          </cell>
          <cell r="B3293" t="str">
            <v>Long-legged flies</v>
          </cell>
          <cell r="C3293" t="str">
            <v>Diptera</v>
          </cell>
          <cell r="D3293" t="str">
            <v>Dolichopus agilis</v>
          </cell>
          <cell r="E3293" t="str">
            <v>VU</v>
          </cell>
          <cell r="F3293" t="str">
            <v>Drake, 2018</v>
          </cell>
          <cell r="G3293" t="str">
            <v>NBNSYS0000012561</v>
          </cell>
          <cell r="H3293" t="str">
            <v>Dolichopus agilis</v>
          </cell>
        </row>
        <row r="3294">
          <cell r="A3294" t="str">
            <v>Dolichopus andalusiacus</v>
          </cell>
          <cell r="B3294" t="str">
            <v>Long-legged flies</v>
          </cell>
          <cell r="C3294" t="str">
            <v>Diptera</v>
          </cell>
          <cell r="D3294" t="str">
            <v>Dolichopus andalusiacus</v>
          </cell>
          <cell r="E3294" t="str">
            <v>LC</v>
          </cell>
          <cell r="F3294" t="str">
            <v>Drake, 2018</v>
          </cell>
          <cell r="G3294" t="str">
            <v>NBNSYS0000012562</v>
          </cell>
          <cell r="H3294" t="str">
            <v>Dolichopus andalusiacus</v>
          </cell>
        </row>
        <row r="3295">
          <cell r="A3295" t="str">
            <v>Dolichopus arbustorum</v>
          </cell>
          <cell r="B3295" t="str">
            <v>Long-legged flies</v>
          </cell>
          <cell r="C3295" t="str">
            <v>Diptera</v>
          </cell>
          <cell r="D3295" t="str">
            <v>Dolichopus arbustorum</v>
          </cell>
          <cell r="E3295" t="str">
            <v>LC</v>
          </cell>
          <cell r="F3295" t="str">
            <v>Drake, 2018</v>
          </cell>
          <cell r="G3295" t="str">
            <v>NBNSYS0000012563</v>
          </cell>
          <cell r="H3295" t="str">
            <v>Dolichopus arbustorum</v>
          </cell>
        </row>
        <row r="3296">
          <cell r="A3296" t="str">
            <v>Dolichopus argyrotarsis</v>
          </cell>
          <cell r="B3296" t="str">
            <v>Long-legged flies</v>
          </cell>
          <cell r="C3296" t="str">
            <v>Diptera</v>
          </cell>
          <cell r="D3296" t="str">
            <v>Dolichopus argyrotarsis</v>
          </cell>
          <cell r="E3296" t="str">
            <v>NT</v>
          </cell>
          <cell r="F3296" t="str">
            <v>Drake, 2018</v>
          </cell>
          <cell r="G3296" t="str">
            <v>NBNSYS0000012564</v>
          </cell>
          <cell r="H3296" t="str">
            <v>Dolichopus argyrotarsis</v>
          </cell>
        </row>
        <row r="3297">
          <cell r="A3297" t="str">
            <v>Dolichopus atratus</v>
          </cell>
          <cell r="B3297" t="str">
            <v>Long-legged flies</v>
          </cell>
          <cell r="C3297" t="str">
            <v>Diptera</v>
          </cell>
          <cell r="D3297" t="str">
            <v>Dolichopus atratus</v>
          </cell>
          <cell r="E3297" t="str">
            <v>LC</v>
          </cell>
          <cell r="F3297" t="str">
            <v>Drake, 2018</v>
          </cell>
          <cell r="G3297" t="str">
            <v>NBNSYS0000012565</v>
          </cell>
          <cell r="H3297" t="str">
            <v>Dolichopus atratus</v>
          </cell>
        </row>
        <row r="3298">
          <cell r="A3298" t="str">
            <v>Dolichopus atripes</v>
          </cell>
          <cell r="B3298" t="str">
            <v>Long-legged flies</v>
          </cell>
          <cell r="C3298" t="str">
            <v>Diptera</v>
          </cell>
          <cell r="D3298" t="str">
            <v>Dolichopus atripes</v>
          </cell>
          <cell r="E3298" t="str">
            <v>LC</v>
          </cell>
          <cell r="F3298" t="str">
            <v>Drake, 2018</v>
          </cell>
          <cell r="G3298" t="str">
            <v>NBNSYS0000012566</v>
          </cell>
          <cell r="H3298" t="str">
            <v>Dolichopus atripes</v>
          </cell>
        </row>
        <row r="3299">
          <cell r="A3299" t="str">
            <v>Dolichopus brevipennis</v>
          </cell>
          <cell r="B3299" t="str">
            <v>Long-legged flies</v>
          </cell>
          <cell r="C3299" t="str">
            <v>Diptera</v>
          </cell>
          <cell r="D3299" t="str">
            <v>Dolichopus brevipennis</v>
          </cell>
          <cell r="E3299" t="str">
            <v>LC</v>
          </cell>
          <cell r="F3299" t="str">
            <v>Drake, 2018</v>
          </cell>
          <cell r="G3299" t="str">
            <v>NBNSYS0000012567</v>
          </cell>
          <cell r="H3299" t="str">
            <v>Dolichopus brevipennis</v>
          </cell>
        </row>
        <row r="3300">
          <cell r="A3300" t="str">
            <v>Dolichopus caligatus</v>
          </cell>
          <cell r="B3300" t="str">
            <v>Long-legged flies</v>
          </cell>
          <cell r="C3300" t="str">
            <v>Diptera</v>
          </cell>
          <cell r="D3300" t="str">
            <v>Dolichopus caligatus</v>
          </cell>
          <cell r="E3300" t="str">
            <v>LC</v>
          </cell>
          <cell r="F3300" t="str">
            <v>Drake, 2018</v>
          </cell>
          <cell r="G3300" t="str">
            <v>NBNSYS0000012568</v>
          </cell>
          <cell r="H3300" t="str">
            <v>Dolichopus caligatus</v>
          </cell>
        </row>
        <row r="3301">
          <cell r="A3301" t="str">
            <v>Dolichopus campestris</v>
          </cell>
          <cell r="B3301" t="str">
            <v>Long-legged flies</v>
          </cell>
          <cell r="C3301" t="str">
            <v>Diptera</v>
          </cell>
          <cell r="D3301" t="str">
            <v>Dolichopus campestris</v>
          </cell>
          <cell r="E3301" t="str">
            <v>LC</v>
          </cell>
          <cell r="F3301" t="str">
            <v>Drake, 2018</v>
          </cell>
          <cell r="G3301" t="str">
            <v>NBNSYS0000012569</v>
          </cell>
          <cell r="H3301" t="str">
            <v>Dolichopus campestris</v>
          </cell>
        </row>
        <row r="3302">
          <cell r="A3302" t="str">
            <v>Dolichopus cilifemoratus</v>
          </cell>
          <cell r="B3302" t="str">
            <v>Long-legged flies</v>
          </cell>
          <cell r="C3302" t="str">
            <v>Diptera</v>
          </cell>
          <cell r="D3302" t="str">
            <v>Dolichopus cilifemoratus</v>
          </cell>
          <cell r="E3302" t="str">
            <v>LC</v>
          </cell>
          <cell r="F3302" t="str">
            <v>Drake, 2018</v>
          </cell>
          <cell r="G3302" t="str">
            <v>NBNSYS0000012570</v>
          </cell>
          <cell r="H3302" t="str">
            <v>Dolichopus cilifemoratus</v>
          </cell>
        </row>
        <row r="3303">
          <cell r="A3303" t="str">
            <v>Dolichopus claviger</v>
          </cell>
          <cell r="B3303" t="str">
            <v>Long-legged flies</v>
          </cell>
          <cell r="C3303" t="str">
            <v>Diptera</v>
          </cell>
          <cell r="D3303" t="str">
            <v>Dolichopus claviger</v>
          </cell>
          <cell r="E3303" t="str">
            <v>LC</v>
          </cell>
          <cell r="F3303" t="str">
            <v>Drake, 2018</v>
          </cell>
          <cell r="G3303" t="str">
            <v>NBNSYS0000012571</v>
          </cell>
          <cell r="H3303" t="str">
            <v>Dolichopus claviger</v>
          </cell>
        </row>
        <row r="3304">
          <cell r="A3304" t="str">
            <v>Dolichopus clavipes</v>
          </cell>
          <cell r="B3304" t="str">
            <v>Long-legged flies</v>
          </cell>
          <cell r="C3304" t="str">
            <v>Diptera</v>
          </cell>
          <cell r="D3304" t="str">
            <v>Dolichopus clavipes</v>
          </cell>
          <cell r="E3304" t="str">
            <v>LC</v>
          </cell>
          <cell r="F3304" t="str">
            <v>Drake, 2018</v>
          </cell>
          <cell r="G3304" t="str">
            <v>NBNSYS0000012572</v>
          </cell>
          <cell r="H3304" t="str">
            <v>Dolichopus clavipes</v>
          </cell>
        </row>
        <row r="3305">
          <cell r="A3305" t="str">
            <v>Dolichopus diadema</v>
          </cell>
          <cell r="B3305" t="str">
            <v>Long-legged flies</v>
          </cell>
          <cell r="C3305" t="str">
            <v>Diptera</v>
          </cell>
          <cell r="D3305" t="str">
            <v>Dolichopus diadema</v>
          </cell>
          <cell r="E3305" t="str">
            <v>LC</v>
          </cell>
          <cell r="F3305" t="str">
            <v>Drake, 2018</v>
          </cell>
          <cell r="G3305" t="str">
            <v>NBNSYS0000012611</v>
          </cell>
          <cell r="H3305" t="str">
            <v>Dolichopus diadema</v>
          </cell>
        </row>
        <row r="3306">
          <cell r="A3306" t="str">
            <v>Dolichopus discifer</v>
          </cell>
          <cell r="B3306" t="str">
            <v>Long-legged flies</v>
          </cell>
          <cell r="C3306" t="str">
            <v>Diptera</v>
          </cell>
          <cell r="D3306" t="str">
            <v>Dolichopus discifer</v>
          </cell>
          <cell r="E3306" t="str">
            <v>LC</v>
          </cell>
          <cell r="F3306" t="str">
            <v>Drake, 2018</v>
          </cell>
          <cell r="G3306" t="str">
            <v>NBNSYS0000012573</v>
          </cell>
          <cell r="H3306" t="str">
            <v>Dolichopus discifer</v>
          </cell>
        </row>
        <row r="3307">
          <cell r="A3307" t="str">
            <v>Dolichopus festivus</v>
          </cell>
          <cell r="B3307" t="str">
            <v>Long-legged flies</v>
          </cell>
          <cell r="C3307" t="str">
            <v>Diptera</v>
          </cell>
          <cell r="D3307" t="str">
            <v>Dolichopus festivus</v>
          </cell>
          <cell r="E3307" t="str">
            <v>LC</v>
          </cell>
          <cell r="F3307" t="str">
            <v>Drake, 2018</v>
          </cell>
          <cell r="G3307" t="str">
            <v>NBNSYS0000012574</v>
          </cell>
          <cell r="H3307" t="str">
            <v>Dolichopus festivus</v>
          </cell>
        </row>
        <row r="3308">
          <cell r="A3308" t="str">
            <v>Dolichopus griseipennis</v>
          </cell>
          <cell r="B3308" t="str">
            <v>Long-legged flies</v>
          </cell>
          <cell r="C3308" t="str">
            <v>Diptera</v>
          </cell>
          <cell r="D3308" t="str">
            <v>Dolichopus griseipennis</v>
          </cell>
          <cell r="E3308" t="str">
            <v>LC</v>
          </cell>
          <cell r="F3308" t="str">
            <v>Drake, 2018</v>
          </cell>
          <cell r="G3308" t="str">
            <v>NBNSYS0000012575</v>
          </cell>
          <cell r="H3308" t="str">
            <v>Dolichopus griseipennis</v>
          </cell>
        </row>
        <row r="3309">
          <cell r="A3309" t="str">
            <v>Dolichopus laticola</v>
          </cell>
          <cell r="B3309" t="str">
            <v>Long-legged flies</v>
          </cell>
          <cell r="C3309" t="str">
            <v>Diptera</v>
          </cell>
          <cell r="D3309" t="str">
            <v>Dolichopus laticola</v>
          </cell>
          <cell r="E3309" t="str">
            <v>EN</v>
          </cell>
          <cell r="F3309" t="str">
            <v>Drake, 2018</v>
          </cell>
          <cell r="G3309" t="str">
            <v>NBNSYS0000012577</v>
          </cell>
          <cell r="H3309" t="str">
            <v>Dolichopus laticola</v>
          </cell>
        </row>
        <row r="3310">
          <cell r="A3310" t="str">
            <v>Dolichopus latilimbatus</v>
          </cell>
          <cell r="B3310" t="str">
            <v>Long-legged flies</v>
          </cell>
          <cell r="C3310" t="str">
            <v>Diptera</v>
          </cell>
          <cell r="D3310" t="str">
            <v>Dolichopus latilimbatus</v>
          </cell>
          <cell r="E3310" t="str">
            <v>LC</v>
          </cell>
          <cell r="F3310" t="str">
            <v>Drake, 2018</v>
          </cell>
          <cell r="G3310" t="str">
            <v>NBNSYS0100002877</v>
          </cell>
          <cell r="H3310" t="str">
            <v>Dolichopus latilimbatus</v>
          </cell>
        </row>
        <row r="3311">
          <cell r="A3311" t="str">
            <v>Dolichopus latipennis</v>
          </cell>
          <cell r="B3311" t="str">
            <v>Long-legged flies</v>
          </cell>
          <cell r="C3311" t="str">
            <v>Diptera</v>
          </cell>
          <cell r="D3311" t="str">
            <v>Dolichopus latipennis</v>
          </cell>
          <cell r="E3311" t="str">
            <v>CR</v>
          </cell>
          <cell r="F3311" t="str">
            <v>Drake, 2018</v>
          </cell>
          <cell r="G3311" t="str">
            <v>NBNSYS0000012612</v>
          </cell>
          <cell r="H3311" t="str">
            <v>Dolichopus latipennis</v>
          </cell>
        </row>
        <row r="3312">
          <cell r="A3312" t="str">
            <v>Dolichopus lepidus</v>
          </cell>
          <cell r="B3312" t="str">
            <v>Long-legged flies</v>
          </cell>
          <cell r="C3312" t="str">
            <v>Diptera</v>
          </cell>
          <cell r="D3312" t="str">
            <v>Dolichopus lepidus</v>
          </cell>
          <cell r="E3312" t="str">
            <v>LC</v>
          </cell>
          <cell r="F3312" t="str">
            <v>Drake, 2018</v>
          </cell>
          <cell r="G3312" t="str">
            <v>NBNSYS0000012578</v>
          </cell>
          <cell r="H3312" t="str">
            <v>Dolichopus lepidus</v>
          </cell>
        </row>
        <row r="3313">
          <cell r="A3313" t="str">
            <v>Dolichopus linearis</v>
          </cell>
          <cell r="B3313" t="str">
            <v>Long-legged flies</v>
          </cell>
          <cell r="C3313" t="str">
            <v>Diptera</v>
          </cell>
          <cell r="D3313" t="str">
            <v>Dolichopus linearis</v>
          </cell>
          <cell r="E3313" t="str">
            <v>LC</v>
          </cell>
          <cell r="F3313" t="str">
            <v>Drake, 2018</v>
          </cell>
          <cell r="G3313" t="str">
            <v>NBNSYS0000012579</v>
          </cell>
          <cell r="H3313" t="str">
            <v>Dolichopus linearis</v>
          </cell>
        </row>
        <row r="3314">
          <cell r="A3314" t="str">
            <v>Dolichopus lineatocornis</v>
          </cell>
          <cell r="B3314" t="str">
            <v>Long-legged flies</v>
          </cell>
          <cell r="C3314" t="str">
            <v>Diptera</v>
          </cell>
          <cell r="D3314" t="str">
            <v>Dolichopus lineatocornis</v>
          </cell>
          <cell r="E3314" t="str">
            <v>VU</v>
          </cell>
          <cell r="F3314" t="str">
            <v>Drake, 2018</v>
          </cell>
          <cell r="G3314" t="str">
            <v>NBNSYS0000012580</v>
          </cell>
          <cell r="H3314" t="str">
            <v>Dolichopus lineatocornis</v>
          </cell>
        </row>
        <row r="3315">
          <cell r="A3315" t="str">
            <v>Dolichopus longicornis</v>
          </cell>
          <cell r="B3315" t="str">
            <v>Long-legged flies</v>
          </cell>
          <cell r="C3315" t="str">
            <v>Diptera</v>
          </cell>
          <cell r="D3315" t="str">
            <v>Dolichopus longicornis</v>
          </cell>
          <cell r="E3315" t="str">
            <v>LC</v>
          </cell>
          <cell r="F3315" t="str">
            <v>Drake, 2018</v>
          </cell>
          <cell r="G3315" t="str">
            <v>NBNSYS0000012581</v>
          </cell>
          <cell r="H3315" t="str">
            <v>Dolichopus longicornis</v>
          </cell>
        </row>
        <row r="3316">
          <cell r="A3316" t="str">
            <v>Dolichopus longitarsis</v>
          </cell>
          <cell r="B3316" t="str">
            <v>Long-legged flies</v>
          </cell>
          <cell r="C3316" t="str">
            <v>Diptera</v>
          </cell>
          <cell r="D3316" t="str">
            <v>Dolichopus longitarsis</v>
          </cell>
          <cell r="E3316" t="str">
            <v>LC</v>
          </cell>
          <cell r="F3316" t="str">
            <v>Drake, 2018</v>
          </cell>
          <cell r="G3316" t="str">
            <v>NBNSYS0000012582</v>
          </cell>
          <cell r="H3316" t="str">
            <v>Dolichopus longitarsis</v>
          </cell>
        </row>
        <row r="3317">
          <cell r="A3317" t="str">
            <v>Dolichopus mediicornis</v>
          </cell>
          <cell r="B3317" t="str">
            <v>Long-legged flies</v>
          </cell>
          <cell r="C3317" t="str">
            <v>Diptera</v>
          </cell>
          <cell r="D3317" t="str">
            <v>Dolichopus mediicornis</v>
          </cell>
          <cell r="E3317" t="str">
            <v>EN</v>
          </cell>
          <cell r="F3317" t="str">
            <v>Drake, 2018</v>
          </cell>
          <cell r="G3317" t="str">
            <v>NBNSYS0000012584</v>
          </cell>
          <cell r="H3317" t="str">
            <v>Dolichopus mediicornis</v>
          </cell>
        </row>
        <row r="3318">
          <cell r="A3318" t="str">
            <v>Dolichopus melanopus</v>
          </cell>
          <cell r="B3318" t="str">
            <v>Long-legged flies</v>
          </cell>
          <cell r="C3318" t="str">
            <v>Diptera</v>
          </cell>
          <cell r="D3318" t="str">
            <v>Dolichopus melanopus</v>
          </cell>
          <cell r="E3318" t="str">
            <v>RE</v>
          </cell>
          <cell r="F3318" t="str">
            <v>Drake, 2018</v>
          </cell>
          <cell r="G3318" t="str">
            <v>NBNSYS0000012585</v>
          </cell>
          <cell r="H3318" t="str">
            <v>Dolichopus melanopus</v>
          </cell>
        </row>
        <row r="3319">
          <cell r="A3319" t="str">
            <v>Dolichopus migrans</v>
          </cell>
          <cell r="B3319" t="str">
            <v>Long-legged flies</v>
          </cell>
          <cell r="C3319" t="str">
            <v>Diptera</v>
          </cell>
          <cell r="D3319" t="str">
            <v>Dolichopus migrans</v>
          </cell>
          <cell r="E3319" t="str">
            <v>VU</v>
          </cell>
          <cell r="F3319" t="str">
            <v>Drake, 2018</v>
          </cell>
          <cell r="G3319" t="str">
            <v>NBNSYS0000012586</v>
          </cell>
          <cell r="H3319" t="str">
            <v>Dolichopus migrans</v>
          </cell>
        </row>
        <row r="3320">
          <cell r="A3320" t="str">
            <v>Dolichopus nigripes</v>
          </cell>
          <cell r="B3320" t="str">
            <v>Long-legged flies</v>
          </cell>
          <cell r="C3320" t="str">
            <v>Diptera</v>
          </cell>
          <cell r="D3320" t="str">
            <v>Dolichopus nigripes</v>
          </cell>
          <cell r="E3320" t="str">
            <v>VU</v>
          </cell>
          <cell r="F3320" t="str">
            <v>Drake, 2018</v>
          </cell>
          <cell r="G3320" t="str">
            <v>NBNSYS0000012587</v>
          </cell>
          <cell r="H3320" t="str">
            <v>Dolichopus nigripes</v>
          </cell>
        </row>
        <row r="3321">
          <cell r="A3321" t="str">
            <v>Dolichopus nitidus</v>
          </cell>
          <cell r="B3321" t="str">
            <v>Long-legged flies</v>
          </cell>
          <cell r="C3321" t="str">
            <v>Diptera</v>
          </cell>
          <cell r="D3321" t="str">
            <v>Dolichopus nitidus</v>
          </cell>
          <cell r="E3321" t="str">
            <v>LC</v>
          </cell>
          <cell r="F3321" t="str">
            <v>Drake, 2018</v>
          </cell>
          <cell r="G3321" t="str">
            <v>NBNSYS0000012588</v>
          </cell>
          <cell r="H3321" t="str">
            <v>Dolichopus nitidus</v>
          </cell>
        </row>
        <row r="3322">
          <cell r="A3322" t="str">
            <v>Dolichopus notatus</v>
          </cell>
          <cell r="B3322" t="str">
            <v>Long-legged flies</v>
          </cell>
          <cell r="C3322" t="str">
            <v>Diptera</v>
          </cell>
          <cell r="D3322" t="str">
            <v>Dolichopus notatus</v>
          </cell>
          <cell r="E3322" t="str">
            <v>LC</v>
          </cell>
          <cell r="F3322" t="str">
            <v>Drake, 2018</v>
          </cell>
          <cell r="G3322" t="str">
            <v>NBNSYS0000012589</v>
          </cell>
          <cell r="H3322" t="str">
            <v>Dolichopus notatus</v>
          </cell>
        </row>
        <row r="3323">
          <cell r="A3323" t="str">
            <v>Dolichopus nubilus</v>
          </cell>
          <cell r="B3323" t="str">
            <v>Long-legged flies</v>
          </cell>
          <cell r="C3323" t="str">
            <v>Diptera</v>
          </cell>
          <cell r="D3323" t="str">
            <v>Dolichopus nubilus</v>
          </cell>
          <cell r="E3323" t="str">
            <v>LC</v>
          </cell>
          <cell r="F3323" t="str">
            <v>Drake, 2018</v>
          </cell>
          <cell r="G3323" t="str">
            <v>NBNSYS0000012590</v>
          </cell>
          <cell r="H3323" t="str">
            <v>Dolichopus nubilus</v>
          </cell>
        </row>
        <row r="3324">
          <cell r="A3324" t="str">
            <v>Dolichopus pennatus</v>
          </cell>
          <cell r="B3324" t="str">
            <v>Long-legged flies</v>
          </cell>
          <cell r="C3324" t="str">
            <v>Diptera</v>
          </cell>
          <cell r="D3324" t="str">
            <v>Dolichopus pennatus</v>
          </cell>
          <cell r="E3324" t="str">
            <v>LC</v>
          </cell>
          <cell r="F3324" t="str">
            <v>Drake, 2018</v>
          </cell>
          <cell r="G3324" t="str">
            <v>NBNSYS0000012591</v>
          </cell>
          <cell r="H3324" t="str">
            <v>Dolichopus pennatus</v>
          </cell>
        </row>
        <row r="3325">
          <cell r="A3325" t="str">
            <v>Dolichopus phaeopus</v>
          </cell>
          <cell r="B3325" t="str">
            <v>Long-legged flies</v>
          </cell>
          <cell r="C3325" t="str">
            <v>Diptera</v>
          </cell>
          <cell r="D3325" t="str">
            <v>Dolichopus phaeopus</v>
          </cell>
          <cell r="E3325" t="str">
            <v>LC</v>
          </cell>
          <cell r="F3325" t="str">
            <v>Drake, 2018</v>
          </cell>
          <cell r="G3325" t="str">
            <v>NBNSYS0000012592</v>
          </cell>
          <cell r="H3325" t="str">
            <v>Dolichopus phaeopus</v>
          </cell>
        </row>
        <row r="3326">
          <cell r="A3326" t="str">
            <v>Dolichopus picipes</v>
          </cell>
          <cell r="B3326" t="str">
            <v>Long-legged flies</v>
          </cell>
          <cell r="C3326" t="str">
            <v>Diptera</v>
          </cell>
          <cell r="D3326" t="str">
            <v>Dolichopus picipes</v>
          </cell>
          <cell r="E3326" t="str">
            <v>LC</v>
          </cell>
          <cell r="F3326" t="str">
            <v>Drake, 2018</v>
          </cell>
          <cell r="G3326" t="str">
            <v>NBNSYS0000012593</v>
          </cell>
          <cell r="H3326" t="str">
            <v>Dolichopus picipes</v>
          </cell>
        </row>
        <row r="3327">
          <cell r="A3327" t="str">
            <v>Dolichopus planitarsis</v>
          </cell>
          <cell r="B3327" t="str">
            <v>Long-legged flies</v>
          </cell>
          <cell r="C3327" t="str">
            <v>Diptera</v>
          </cell>
          <cell r="D3327" t="str">
            <v>Dolichopus planitarsis</v>
          </cell>
          <cell r="E3327" t="str">
            <v>LC</v>
          </cell>
          <cell r="F3327" t="str">
            <v>Drake, 2018</v>
          </cell>
          <cell r="G3327" t="str">
            <v>NBNSYS0000012594</v>
          </cell>
          <cell r="H3327" t="str">
            <v>Dolichopus planitarsis</v>
          </cell>
        </row>
        <row r="3328">
          <cell r="A3328" t="str">
            <v>Dolichopus plumipes</v>
          </cell>
          <cell r="B3328" t="str">
            <v>Long-legged flies</v>
          </cell>
          <cell r="C3328" t="str">
            <v>Diptera</v>
          </cell>
          <cell r="D3328" t="str">
            <v>Dolichopus plumipes</v>
          </cell>
          <cell r="E3328" t="str">
            <v>LC</v>
          </cell>
          <cell r="F3328" t="str">
            <v>Drake, 2018</v>
          </cell>
          <cell r="G3328" t="str">
            <v>NBNSYS0000012595</v>
          </cell>
          <cell r="H3328" t="str">
            <v>Dolichopus plumipes</v>
          </cell>
        </row>
        <row r="3329">
          <cell r="A3329" t="str">
            <v>Dolichopus plumitarsis</v>
          </cell>
          <cell r="B3329" t="str">
            <v>Long-legged flies</v>
          </cell>
          <cell r="C3329" t="str">
            <v>Diptera</v>
          </cell>
          <cell r="D3329" t="str">
            <v>Dolichopus plumitarsis</v>
          </cell>
          <cell r="E3329" t="str">
            <v>EN</v>
          </cell>
          <cell r="F3329" t="str">
            <v>Drake, 2018</v>
          </cell>
          <cell r="G3329" t="str">
            <v>NBNSYS0000012596</v>
          </cell>
          <cell r="H3329" t="str">
            <v>Dolichopus plumitarsis</v>
          </cell>
        </row>
        <row r="3330">
          <cell r="A3330" t="str">
            <v>Dolichopus popularis</v>
          </cell>
          <cell r="B3330" t="str">
            <v>Long-legged flies</v>
          </cell>
          <cell r="C3330" t="str">
            <v>Diptera</v>
          </cell>
          <cell r="D3330" t="str">
            <v>Dolichopus popularis</v>
          </cell>
          <cell r="E3330" t="str">
            <v>LC</v>
          </cell>
          <cell r="F3330" t="str">
            <v>Drake, 2018</v>
          </cell>
          <cell r="G3330" t="str">
            <v>NBNSYS0000012597</v>
          </cell>
          <cell r="H3330" t="str">
            <v>Dolichopus popularis</v>
          </cell>
        </row>
        <row r="3331">
          <cell r="A3331" t="str">
            <v>Dolichopus rupestris</v>
          </cell>
          <cell r="B3331" t="str">
            <v>Long-legged flies</v>
          </cell>
          <cell r="C3331" t="str">
            <v>Diptera</v>
          </cell>
          <cell r="D3331" t="str">
            <v>Dolichopus rupestris</v>
          </cell>
          <cell r="E3331" t="str">
            <v>LC</v>
          </cell>
          <cell r="F3331" t="str">
            <v>Drake, 2018</v>
          </cell>
          <cell r="G3331" t="str">
            <v>NBNSYS0000012598</v>
          </cell>
          <cell r="H3331" t="str">
            <v>Dolichopus rupestris</v>
          </cell>
        </row>
        <row r="3332">
          <cell r="A3332" t="str">
            <v>Dolichopus sabinus</v>
          </cell>
          <cell r="B3332" t="str">
            <v>Long-legged flies</v>
          </cell>
          <cell r="C3332" t="str">
            <v>Diptera</v>
          </cell>
          <cell r="D3332" t="str">
            <v>Dolichopus sabinus</v>
          </cell>
          <cell r="E3332" t="str">
            <v>LC</v>
          </cell>
          <cell r="F3332" t="str">
            <v>Drake, 2018</v>
          </cell>
          <cell r="G3332" t="str">
            <v>NBNSYS0100027628</v>
          </cell>
          <cell r="H3332" t="str">
            <v>Dolichopus sabinus</v>
          </cell>
        </row>
        <row r="3333">
          <cell r="A3333" t="str">
            <v>Dolichopus signatus</v>
          </cell>
          <cell r="B3333" t="str">
            <v>Long-legged flies</v>
          </cell>
          <cell r="C3333" t="str">
            <v>Diptera</v>
          </cell>
          <cell r="D3333" t="str">
            <v>Dolichopus signatus</v>
          </cell>
          <cell r="E3333" t="str">
            <v>LC</v>
          </cell>
          <cell r="F3333" t="str">
            <v>Drake, 2018</v>
          </cell>
          <cell r="G3333" t="str">
            <v>NBNSYS0000012600</v>
          </cell>
          <cell r="H3333" t="str">
            <v>Dolichopus signatus</v>
          </cell>
        </row>
        <row r="3334">
          <cell r="A3334" t="str">
            <v>Dolichopus signifer</v>
          </cell>
          <cell r="B3334" t="str">
            <v>Long-legged flies</v>
          </cell>
          <cell r="C3334" t="str">
            <v>Diptera</v>
          </cell>
          <cell r="D3334" t="str">
            <v>Dolichopus signifer</v>
          </cell>
          <cell r="E3334" t="str">
            <v>LC</v>
          </cell>
          <cell r="F3334" t="str">
            <v>Drake, 2018</v>
          </cell>
          <cell r="G3334" t="str">
            <v>NBNSYS0100027629</v>
          </cell>
          <cell r="H3334" t="str">
            <v>Dolichopus signifer</v>
          </cell>
        </row>
        <row r="3335">
          <cell r="A3335" t="str">
            <v>Dolichopus simplex</v>
          </cell>
          <cell r="B3335" t="str">
            <v>Long-legged flies</v>
          </cell>
          <cell r="C3335" t="str">
            <v>Diptera</v>
          </cell>
          <cell r="D3335" t="str">
            <v>Dolichopus simplex</v>
          </cell>
          <cell r="E3335" t="str">
            <v>LC</v>
          </cell>
          <cell r="F3335" t="str">
            <v>Drake, 2018</v>
          </cell>
          <cell r="G3335" t="str">
            <v>NBNSYS0000012602</v>
          </cell>
          <cell r="H3335" t="str">
            <v>Dolichopus simplex</v>
          </cell>
        </row>
        <row r="3336">
          <cell r="A3336" t="str">
            <v>Dolichopus strigipes</v>
          </cell>
          <cell r="B3336" t="str">
            <v>Long-legged flies</v>
          </cell>
          <cell r="C3336" t="str">
            <v>Diptera</v>
          </cell>
          <cell r="D3336" t="str">
            <v>Dolichopus strigipes</v>
          </cell>
          <cell r="E3336" t="str">
            <v>LC</v>
          </cell>
          <cell r="F3336" t="str">
            <v>Drake, 2018</v>
          </cell>
          <cell r="G3336" t="str">
            <v>NBNSYS0000012603</v>
          </cell>
          <cell r="H3336" t="str">
            <v>Dolichopus strigipes</v>
          </cell>
        </row>
        <row r="3337">
          <cell r="A3337" t="str">
            <v>Dolichopus subpennatus</v>
          </cell>
          <cell r="B3337" t="str">
            <v>Long-legged flies</v>
          </cell>
          <cell r="C3337" t="str">
            <v>Diptera</v>
          </cell>
          <cell r="D3337" t="str">
            <v>Dolichopus subpennatus</v>
          </cell>
          <cell r="E3337" t="str">
            <v>LC</v>
          </cell>
          <cell r="F3337" t="str">
            <v>Drake, 2018</v>
          </cell>
          <cell r="G3337" t="str">
            <v>NBNSYS0000012604</v>
          </cell>
          <cell r="H3337" t="str">
            <v>Dolichopus subpennatus</v>
          </cell>
        </row>
        <row r="3338">
          <cell r="A3338" t="str">
            <v>Dolichopus trivialis</v>
          </cell>
          <cell r="B3338" t="str">
            <v>Long-legged flies</v>
          </cell>
          <cell r="C3338" t="str">
            <v>Diptera</v>
          </cell>
          <cell r="D3338" t="str">
            <v>Dolichopus trivialis</v>
          </cell>
          <cell r="E3338" t="str">
            <v>LC</v>
          </cell>
          <cell r="F3338" t="str">
            <v>Drake, 2018</v>
          </cell>
          <cell r="G3338" t="str">
            <v>NBNSYS0000012605</v>
          </cell>
          <cell r="H3338" t="str">
            <v>Dolichopus trivialis</v>
          </cell>
        </row>
        <row r="3339">
          <cell r="A3339" t="str">
            <v>Dolichopus ungulatus</v>
          </cell>
          <cell r="B3339" t="str">
            <v>Long-legged flies</v>
          </cell>
          <cell r="C3339" t="str">
            <v>Diptera</v>
          </cell>
          <cell r="D3339" t="str">
            <v>Dolichopus ungulatus</v>
          </cell>
          <cell r="E3339" t="str">
            <v>LC</v>
          </cell>
          <cell r="F3339" t="str">
            <v>Drake, 2018</v>
          </cell>
          <cell r="G3339" t="str">
            <v>NBNSYS0000012606</v>
          </cell>
          <cell r="H3339" t="str">
            <v>Dolichopus ungulatus</v>
          </cell>
        </row>
        <row r="3340">
          <cell r="A3340" t="str">
            <v>Dolichopus urbanus</v>
          </cell>
          <cell r="B3340" t="str">
            <v>Long-legged flies</v>
          </cell>
          <cell r="C3340" t="str">
            <v>Diptera</v>
          </cell>
          <cell r="D3340" t="str">
            <v>Dolichopus urbanus</v>
          </cell>
          <cell r="E3340" t="str">
            <v>LC</v>
          </cell>
          <cell r="F3340" t="str">
            <v>Drake, 2018</v>
          </cell>
          <cell r="G3340" t="str">
            <v>NBNSYS0000012607</v>
          </cell>
          <cell r="H3340" t="str">
            <v>Dolichopus urbanus</v>
          </cell>
        </row>
        <row r="3341">
          <cell r="A3341" t="str">
            <v>Dolichopus virgultorum</v>
          </cell>
          <cell r="B3341" t="str">
            <v>Long-legged flies</v>
          </cell>
          <cell r="C3341" t="str">
            <v>Diptera</v>
          </cell>
          <cell r="D3341" t="str">
            <v>Dolichopus virgultorum</v>
          </cell>
          <cell r="E3341" t="str">
            <v>LC</v>
          </cell>
          <cell r="F3341" t="str">
            <v>Drake, 2018</v>
          </cell>
          <cell r="G3341" t="str">
            <v>NBNSYS0000012608</v>
          </cell>
          <cell r="H3341" t="str">
            <v>Dolichopus virgultorum</v>
          </cell>
        </row>
        <row r="3342">
          <cell r="A3342" t="str">
            <v>Dolichopus vitripennis</v>
          </cell>
          <cell r="B3342" t="str">
            <v>Long-legged flies</v>
          </cell>
          <cell r="C3342" t="str">
            <v>Diptera</v>
          </cell>
          <cell r="D3342" t="str">
            <v>Dolichopus vitripennis</v>
          </cell>
          <cell r="E3342" t="str">
            <v>LC</v>
          </cell>
          <cell r="F3342" t="str">
            <v>Drake, 2018</v>
          </cell>
          <cell r="G3342" t="str">
            <v>NBNSYS0000012609</v>
          </cell>
          <cell r="H3342" t="str">
            <v>Dolichopus vitripennis</v>
          </cell>
        </row>
        <row r="3343">
          <cell r="A3343" t="str">
            <v>Dolichopus wahlbergi</v>
          </cell>
          <cell r="B3343" t="str">
            <v>Long-legged flies</v>
          </cell>
          <cell r="C3343" t="str">
            <v>Diptera</v>
          </cell>
          <cell r="D3343" t="str">
            <v>Dolichopus wahlbergi</v>
          </cell>
          <cell r="E3343" t="str">
            <v>LC</v>
          </cell>
          <cell r="F3343" t="str">
            <v>Drake, 2018</v>
          </cell>
          <cell r="G3343" t="str">
            <v>NBNSYS0000012610</v>
          </cell>
          <cell r="H3343" t="str">
            <v>Dolichopus wahlbergi</v>
          </cell>
        </row>
        <row r="3344">
          <cell r="A3344" t="str">
            <v>Ethiromyia chalybea</v>
          </cell>
          <cell r="B3344" t="str">
            <v>Long-legged flies</v>
          </cell>
          <cell r="C3344" t="str">
            <v>Diptera</v>
          </cell>
          <cell r="D3344" t="str">
            <v>Ethiromyia chalybea</v>
          </cell>
          <cell r="E3344" t="str">
            <v>LC</v>
          </cell>
          <cell r="F3344" t="str">
            <v>Drake, 2018</v>
          </cell>
          <cell r="G3344" t="str">
            <v>NHMSYS0021405214</v>
          </cell>
          <cell r="H3344" t="str">
            <v>Ethiromyia chalybea</v>
          </cell>
        </row>
        <row r="3345">
          <cell r="A3345" t="str">
            <v>Gymnopternus aerosus</v>
          </cell>
          <cell r="B3345" t="str">
            <v>Long-legged flies</v>
          </cell>
          <cell r="C3345" t="str">
            <v>Diptera</v>
          </cell>
          <cell r="D3345" t="str">
            <v>Gymnopternus aerosus</v>
          </cell>
          <cell r="E3345" t="str">
            <v>LC</v>
          </cell>
          <cell r="F3345" t="str">
            <v>Drake, 2018</v>
          </cell>
          <cell r="G3345" t="str">
            <v>NHMSYS0021169065</v>
          </cell>
          <cell r="H3345" t="str">
            <v>Gymnopternus aerosus</v>
          </cell>
        </row>
        <row r="3346">
          <cell r="A3346" t="str">
            <v>Gymnopternus angustifrons</v>
          </cell>
          <cell r="B3346" t="str">
            <v>Long-legged flies</v>
          </cell>
          <cell r="C3346" t="str">
            <v>Diptera</v>
          </cell>
          <cell r="D3346" t="str">
            <v>Gymnopternus angustifrons</v>
          </cell>
          <cell r="E3346" t="str">
            <v>LC</v>
          </cell>
          <cell r="F3346" t="str">
            <v>Drake, 2018</v>
          </cell>
          <cell r="G3346" t="str">
            <v>NHMSYS0021265312</v>
          </cell>
          <cell r="H3346" t="str">
            <v>Gymnopternus angustifrons</v>
          </cell>
        </row>
        <row r="3347">
          <cell r="A3347" t="str">
            <v>Gymnopternus assimilis</v>
          </cell>
          <cell r="B3347" t="str">
            <v>Long-legged flies</v>
          </cell>
          <cell r="C3347" t="str">
            <v>Diptera</v>
          </cell>
          <cell r="D3347" t="str">
            <v>Gymnopternus assimilis</v>
          </cell>
          <cell r="E3347" t="str">
            <v>LC</v>
          </cell>
          <cell r="F3347" t="str">
            <v>Drake, 2018</v>
          </cell>
          <cell r="G3347" t="str">
            <v>NHMSYS0021169071</v>
          </cell>
          <cell r="H3347" t="str">
            <v>Gymnopternus assimilis</v>
          </cell>
        </row>
        <row r="3348">
          <cell r="A3348" t="str">
            <v>Gymnopternus blankaartensis</v>
          </cell>
          <cell r="B3348" t="str">
            <v>Long-legged flies</v>
          </cell>
          <cell r="C3348" t="str">
            <v>Diptera</v>
          </cell>
          <cell r="D3348" t="str">
            <v>Gymnopternus blankaartensis</v>
          </cell>
          <cell r="E3348" t="str">
            <v>LC</v>
          </cell>
          <cell r="F3348" t="str">
            <v>Drake, 2018</v>
          </cell>
          <cell r="G3348" t="str">
            <v>NHMSYS0021265317</v>
          </cell>
          <cell r="H3348" t="str">
            <v>Gymnopternus blankaartensis</v>
          </cell>
        </row>
        <row r="3349">
          <cell r="A3349" t="str">
            <v>Gymnopternus brevicornis</v>
          </cell>
          <cell r="B3349" t="str">
            <v>Long-legged flies</v>
          </cell>
          <cell r="C3349" t="str">
            <v>Diptera</v>
          </cell>
          <cell r="D3349" t="str">
            <v>Gymnopternus brevicornis</v>
          </cell>
          <cell r="E3349" t="str">
            <v>LC</v>
          </cell>
          <cell r="F3349" t="str">
            <v>Drake, 2018</v>
          </cell>
          <cell r="G3349" t="str">
            <v>NHMSYS0021265322</v>
          </cell>
          <cell r="H3349" t="str">
            <v>Gymnopternus brevicornis</v>
          </cell>
        </row>
        <row r="3350">
          <cell r="A3350" t="str">
            <v>Gymnopternus celer</v>
          </cell>
          <cell r="B3350" t="str">
            <v>Long-legged flies</v>
          </cell>
          <cell r="C3350" t="str">
            <v>Diptera</v>
          </cell>
          <cell r="D3350" t="str">
            <v>Gymnopternus celer</v>
          </cell>
          <cell r="E3350" t="str">
            <v>LC</v>
          </cell>
          <cell r="F3350" t="str">
            <v>Drake, 2018</v>
          </cell>
          <cell r="G3350" t="str">
            <v>NHMSYS0021265327</v>
          </cell>
          <cell r="H3350" t="str">
            <v>Gymnopternus celer</v>
          </cell>
        </row>
        <row r="3351">
          <cell r="A3351" t="str">
            <v>Gymnopternus cupreus</v>
          </cell>
          <cell r="B3351" t="str">
            <v>Long-legged flies</v>
          </cell>
          <cell r="C3351" t="str">
            <v>Diptera</v>
          </cell>
          <cell r="D3351" t="str">
            <v>Gymnopternus cupreus</v>
          </cell>
          <cell r="E3351" t="str">
            <v>LC</v>
          </cell>
          <cell r="F3351" t="str">
            <v>Drake, 2018</v>
          </cell>
          <cell r="G3351" t="str">
            <v>NHMSYS0021239583</v>
          </cell>
          <cell r="H3351" t="str">
            <v>Gymnopternus cupreus</v>
          </cell>
        </row>
        <row r="3352">
          <cell r="A3352" t="str">
            <v>Gymnopternus metallicus</v>
          </cell>
          <cell r="B3352" t="str">
            <v>Long-legged flies</v>
          </cell>
          <cell r="C3352" t="str">
            <v>Diptera</v>
          </cell>
          <cell r="D3352" t="str">
            <v>Gymnopternus metallicus</v>
          </cell>
          <cell r="E3352" t="str">
            <v>LC</v>
          </cell>
          <cell r="F3352" t="str">
            <v>Drake, 2018</v>
          </cell>
          <cell r="G3352" t="str">
            <v>NHMSYS0021265332</v>
          </cell>
          <cell r="H3352" t="str">
            <v>Gymnopternus metallicus</v>
          </cell>
        </row>
        <row r="3353">
          <cell r="A3353" t="str">
            <v>Gymnopternus silvestris</v>
          </cell>
          <cell r="B3353" t="str">
            <v>Long-legged flies</v>
          </cell>
          <cell r="C3353" t="str">
            <v>Diptera</v>
          </cell>
          <cell r="D3353" t="str">
            <v>Gymnopternus silvestris</v>
          </cell>
          <cell r="E3353" t="str">
            <v>LC</v>
          </cell>
          <cell r="F3353" t="str">
            <v>Drake, 2018</v>
          </cell>
          <cell r="G3353" t="str">
            <v>NHMSYS0021265337</v>
          </cell>
          <cell r="H3353" t="str">
            <v>Gymnopternus silvestris</v>
          </cell>
        </row>
        <row r="3354">
          <cell r="A3354" t="str">
            <v>Hercostomus chetifer</v>
          </cell>
          <cell r="B3354" t="str">
            <v>Long-legged flies</v>
          </cell>
          <cell r="C3354" t="str">
            <v>Diptera</v>
          </cell>
          <cell r="D3354" t="str">
            <v>Hercostomus chetifer</v>
          </cell>
          <cell r="E3354" t="str">
            <v>LC</v>
          </cell>
          <cell r="F3354" t="str">
            <v>Drake, 2018</v>
          </cell>
          <cell r="G3354" t="str">
            <v>NBNSYS0000012619</v>
          </cell>
          <cell r="H3354" t="str">
            <v>Hercostomus chetifer</v>
          </cell>
        </row>
        <row r="3355">
          <cell r="A3355" t="str">
            <v>Hercostomus germanus</v>
          </cell>
          <cell r="B3355" t="str">
            <v>Long-legged flies</v>
          </cell>
          <cell r="C3355" t="str">
            <v>Diptera</v>
          </cell>
          <cell r="D3355" t="str">
            <v>Hercostomus germanus</v>
          </cell>
          <cell r="E3355" t="str">
            <v>LC</v>
          </cell>
          <cell r="F3355" t="str">
            <v>Drake, 2018</v>
          </cell>
          <cell r="G3355" t="str">
            <v>NBNSYS0000012623</v>
          </cell>
          <cell r="H3355" t="str">
            <v>Hercostomus germanus</v>
          </cell>
        </row>
        <row r="3356">
          <cell r="A3356" t="str">
            <v>Hercostomus gracilis</v>
          </cell>
          <cell r="B3356" t="str">
            <v>Long-legged flies</v>
          </cell>
          <cell r="C3356" t="str">
            <v>Diptera</v>
          </cell>
          <cell r="D3356" t="str">
            <v>Hercostomus gracilis</v>
          </cell>
          <cell r="E3356" t="str">
            <v>LC</v>
          </cell>
          <cell r="F3356" t="str">
            <v>Drake, 2018</v>
          </cell>
          <cell r="G3356" t="str">
            <v>NBNSYS0000012624</v>
          </cell>
          <cell r="H3356" t="str">
            <v>Hercostomus gracilis</v>
          </cell>
        </row>
        <row r="3357">
          <cell r="A3357" t="str">
            <v>Hercostomus nanus</v>
          </cell>
          <cell r="B3357" t="str">
            <v>Long-legged flies</v>
          </cell>
          <cell r="C3357" t="str">
            <v>Diptera</v>
          </cell>
          <cell r="D3357" t="str">
            <v>Hercostomus nanus</v>
          </cell>
          <cell r="E3357" t="str">
            <v>LC</v>
          </cell>
          <cell r="F3357" t="str">
            <v>Drake, 2018</v>
          </cell>
          <cell r="G3357" t="str">
            <v>NBNSYS0000012626</v>
          </cell>
          <cell r="H3357" t="str">
            <v>Hercostomus nanus</v>
          </cell>
        </row>
        <row r="3358">
          <cell r="A3358" t="str">
            <v>Hercostomus nigrilamellatus</v>
          </cell>
          <cell r="B3358" t="str">
            <v>Long-legged flies</v>
          </cell>
          <cell r="C3358" t="str">
            <v>Diptera</v>
          </cell>
          <cell r="D3358" t="str">
            <v>Hercostomus nigrilamellatus</v>
          </cell>
          <cell r="E3358" t="str">
            <v>LC</v>
          </cell>
          <cell r="F3358" t="str">
            <v>Drake, 2018</v>
          </cell>
          <cell r="G3358" t="str">
            <v>NBNSYS0000012627</v>
          </cell>
          <cell r="H3358" t="str">
            <v>Hercostomus nigrilamellatus</v>
          </cell>
        </row>
        <row r="3359">
          <cell r="A3359" t="str">
            <v>Hercostomus nigripennis</v>
          </cell>
          <cell r="B3359" t="str">
            <v>Long-legged flies</v>
          </cell>
          <cell r="C3359" t="str">
            <v>Diptera</v>
          </cell>
          <cell r="D3359" t="str">
            <v>Hercostomus nigripennis</v>
          </cell>
          <cell r="E3359" t="str">
            <v>LC</v>
          </cell>
          <cell r="F3359" t="str">
            <v>Drake, 2018</v>
          </cell>
          <cell r="G3359" t="str">
            <v>NBNSYS0000012628</v>
          </cell>
          <cell r="H3359" t="str">
            <v>Hercostomus nigripennis</v>
          </cell>
        </row>
        <row r="3360">
          <cell r="A3360" t="str">
            <v>Hercostomus nigriplantis</v>
          </cell>
          <cell r="B3360" t="str">
            <v>Long-legged flies</v>
          </cell>
          <cell r="C3360" t="str">
            <v>Diptera</v>
          </cell>
          <cell r="D3360" t="str">
            <v>Hercostomus nigriplantis</v>
          </cell>
          <cell r="E3360" t="str">
            <v>LC</v>
          </cell>
          <cell r="F3360" t="str">
            <v>Drake, 2018</v>
          </cell>
          <cell r="G3360" t="str">
            <v>NBNSYS0000012629</v>
          </cell>
          <cell r="H3360" t="str">
            <v>Hercostomus nigriplantis</v>
          </cell>
        </row>
        <row r="3361">
          <cell r="A3361" t="str">
            <v>Hercostomus parvilamellatus</v>
          </cell>
          <cell r="B3361" t="str">
            <v>Long-legged flies</v>
          </cell>
          <cell r="C3361" t="str">
            <v>Diptera</v>
          </cell>
          <cell r="D3361" t="str">
            <v>Hercostomus parvilamellatus</v>
          </cell>
          <cell r="E3361" t="str">
            <v>LC</v>
          </cell>
          <cell r="F3361" t="str">
            <v>Drake, 2018</v>
          </cell>
          <cell r="G3361" t="str">
            <v>NBNSYS0000012630</v>
          </cell>
          <cell r="H3361" t="str">
            <v>Hercostomus parvilamellatus</v>
          </cell>
        </row>
        <row r="3362">
          <cell r="A3362" t="str">
            <v>Hercostomus plagiatus</v>
          </cell>
          <cell r="B3362" t="str">
            <v>Long-legged flies</v>
          </cell>
          <cell r="C3362" t="str">
            <v>Diptera</v>
          </cell>
          <cell r="D3362" t="str">
            <v>Hercostomus plagiatus</v>
          </cell>
          <cell r="E3362" t="str">
            <v>LC</v>
          </cell>
          <cell r="F3362" t="str">
            <v>Drake, 2018</v>
          </cell>
          <cell r="G3362" t="str">
            <v>NBNSYS0000012631</v>
          </cell>
          <cell r="H3362" t="str">
            <v>Hercostomus plagiatus</v>
          </cell>
        </row>
        <row r="3363">
          <cell r="A3363" t="str">
            <v>Hercostomus praeceps</v>
          </cell>
          <cell r="B3363" t="str">
            <v>Long-legged flies</v>
          </cell>
          <cell r="C3363" t="str">
            <v>Diptera</v>
          </cell>
          <cell r="D3363" t="str">
            <v>Hercostomus praeceps</v>
          </cell>
          <cell r="E3363" t="str">
            <v>LC</v>
          </cell>
          <cell r="F3363" t="str">
            <v>Drake, 2018</v>
          </cell>
          <cell r="G3363" t="str">
            <v>NHMSYS0020732937</v>
          </cell>
          <cell r="H3363" t="str">
            <v>Hercostomus praeceps</v>
          </cell>
        </row>
        <row r="3364">
          <cell r="A3364" t="str">
            <v>Hydrophorus albiceps</v>
          </cell>
          <cell r="B3364" t="str">
            <v>Long-legged flies</v>
          </cell>
          <cell r="C3364" t="str">
            <v>Diptera</v>
          </cell>
          <cell r="D3364" t="str">
            <v>Hydrophorus albiceps</v>
          </cell>
          <cell r="E3364" t="str">
            <v>NT</v>
          </cell>
          <cell r="F3364" t="str">
            <v>Drake, 2018</v>
          </cell>
          <cell r="G3364" t="str">
            <v>NBNSYS0000012646</v>
          </cell>
          <cell r="H3364" t="str">
            <v>Hydrophorus albiceps</v>
          </cell>
        </row>
        <row r="3365">
          <cell r="A3365" t="str">
            <v>Hydrophorus balticus</v>
          </cell>
          <cell r="B3365" t="str">
            <v>Long-legged flies</v>
          </cell>
          <cell r="C3365" t="str">
            <v>Diptera</v>
          </cell>
          <cell r="D3365" t="str">
            <v>Hydrophorus balticus</v>
          </cell>
          <cell r="E3365" t="str">
            <v>LC</v>
          </cell>
          <cell r="F3365" t="str">
            <v>Drake, 2018</v>
          </cell>
          <cell r="G3365" t="str">
            <v>NBNSYS0000012647</v>
          </cell>
          <cell r="H3365" t="str">
            <v>Hydrophorus balticus</v>
          </cell>
        </row>
        <row r="3366">
          <cell r="A3366" t="str">
            <v>Hydrophorus bipunctatus</v>
          </cell>
          <cell r="B3366" t="str">
            <v>Long-legged flies</v>
          </cell>
          <cell r="C3366" t="str">
            <v>Diptera</v>
          </cell>
          <cell r="D3366" t="str">
            <v>Hydrophorus bipunctatus</v>
          </cell>
          <cell r="E3366" t="str">
            <v>LC</v>
          </cell>
          <cell r="F3366" t="str">
            <v>Drake, 2018</v>
          </cell>
          <cell r="G3366" t="str">
            <v>NBNSYS0000012648</v>
          </cell>
          <cell r="H3366" t="str">
            <v>Hydrophorus bipunctatus</v>
          </cell>
        </row>
        <row r="3367">
          <cell r="A3367" t="str">
            <v>Hydrophorus litoreus</v>
          </cell>
          <cell r="B3367" t="str">
            <v>Long-legged flies</v>
          </cell>
          <cell r="C3367" t="str">
            <v>Diptera</v>
          </cell>
          <cell r="D3367" t="str">
            <v>Hydrophorus litoreus</v>
          </cell>
          <cell r="E3367" t="str">
            <v>LC</v>
          </cell>
          <cell r="F3367" t="str">
            <v>Drake, 2018</v>
          </cell>
          <cell r="G3367" t="str">
            <v>NBNSYS0000012649</v>
          </cell>
          <cell r="H3367" t="str">
            <v>Hydrophorus litoreus</v>
          </cell>
        </row>
        <row r="3368">
          <cell r="A3368" t="str">
            <v>Hydrophorus nebulosus</v>
          </cell>
          <cell r="B3368" t="str">
            <v>Long-legged flies</v>
          </cell>
          <cell r="C3368" t="str">
            <v>Diptera</v>
          </cell>
          <cell r="D3368" t="str">
            <v>Hydrophorus nebulosus</v>
          </cell>
          <cell r="E3368" t="str">
            <v>LC</v>
          </cell>
          <cell r="F3368" t="str">
            <v>Drake, 2018</v>
          </cell>
          <cell r="G3368" t="str">
            <v>NBNSYS0000012650</v>
          </cell>
          <cell r="H3368" t="str">
            <v>Hydrophorus nebulosus</v>
          </cell>
        </row>
        <row r="3369">
          <cell r="A3369" t="str">
            <v>Hydrophorus oceanus</v>
          </cell>
          <cell r="B3369" t="str">
            <v>Long-legged flies</v>
          </cell>
          <cell r="C3369" t="str">
            <v>Diptera</v>
          </cell>
          <cell r="D3369" t="str">
            <v>Hydrophorus oceanus</v>
          </cell>
          <cell r="E3369" t="str">
            <v>LC</v>
          </cell>
          <cell r="F3369" t="str">
            <v>Drake, 2018</v>
          </cell>
          <cell r="G3369" t="str">
            <v>NBNSYS0000012651</v>
          </cell>
          <cell r="H3369" t="str">
            <v>Hydrophorus oceanus</v>
          </cell>
        </row>
        <row r="3370">
          <cell r="A3370" t="str">
            <v>Hydrophorus praecox</v>
          </cell>
          <cell r="B3370" t="str">
            <v>Long-legged flies</v>
          </cell>
          <cell r="C3370" t="str">
            <v>Diptera</v>
          </cell>
          <cell r="D3370" t="str">
            <v>Hydrophorus praecox</v>
          </cell>
          <cell r="E3370" t="str">
            <v>LC</v>
          </cell>
          <cell r="F3370" t="str">
            <v>Drake, 2018</v>
          </cell>
          <cell r="G3370" t="str">
            <v>NBNSYS0000012652</v>
          </cell>
          <cell r="H3370" t="str">
            <v>Hydrophorus praecox</v>
          </cell>
        </row>
        <row r="3371">
          <cell r="A3371" t="str">
            <v>Hydrophorus rufibarbis</v>
          </cell>
          <cell r="B3371" t="str">
            <v>Long-legged flies</v>
          </cell>
          <cell r="C3371" t="str">
            <v>Diptera</v>
          </cell>
          <cell r="D3371" t="str">
            <v>Hydrophorus rufibarbis</v>
          </cell>
          <cell r="E3371" t="str">
            <v>LC</v>
          </cell>
          <cell r="F3371" t="str">
            <v>Drake, 2018</v>
          </cell>
          <cell r="G3371" t="str">
            <v>NBNSYS0000012653</v>
          </cell>
          <cell r="H3371" t="str">
            <v>Hydrophorus rufibarbis</v>
          </cell>
        </row>
        <row r="3372">
          <cell r="A3372" t="str">
            <v>Hydrophorus viridis</v>
          </cell>
          <cell r="B3372" t="str">
            <v>Long-legged flies</v>
          </cell>
          <cell r="C3372" t="str">
            <v>Diptera</v>
          </cell>
          <cell r="D3372" t="str">
            <v>Hydrophorus viridis</v>
          </cell>
          <cell r="E3372" t="str">
            <v>LC</v>
          </cell>
          <cell r="F3372" t="str">
            <v>Drake, 2018</v>
          </cell>
          <cell r="G3372" t="str">
            <v>NBNSYS0000012654</v>
          </cell>
          <cell r="H3372" t="str">
            <v>Hydrophorus viridis</v>
          </cell>
        </row>
        <row r="3373">
          <cell r="A3373" t="str">
            <v>Lamprochromus bifasciatus</v>
          </cell>
          <cell r="B3373" t="str">
            <v>Long-legged flies</v>
          </cell>
          <cell r="C3373" t="str">
            <v>Diptera</v>
          </cell>
          <cell r="D3373" t="str">
            <v>Lamprochromus bifasciatus</v>
          </cell>
          <cell r="E3373" t="str">
            <v>LC</v>
          </cell>
          <cell r="F3373" t="str">
            <v>Drake, 2018</v>
          </cell>
          <cell r="G3373" t="str">
            <v>NBNSYS0100003654</v>
          </cell>
          <cell r="H3373" t="str">
            <v>Lamprochromus bifasciatus</v>
          </cell>
        </row>
        <row r="3374">
          <cell r="A3374" t="str">
            <v>Liancalus virens</v>
          </cell>
          <cell r="B3374" t="str">
            <v>Long-legged flies</v>
          </cell>
          <cell r="C3374" t="str">
            <v>Diptera</v>
          </cell>
          <cell r="D3374" t="str">
            <v>Liancalus virens</v>
          </cell>
          <cell r="E3374" t="str">
            <v>LC</v>
          </cell>
          <cell r="F3374" t="str">
            <v>Drake, 2018</v>
          </cell>
          <cell r="G3374" t="str">
            <v>NBNSYS0000012656</v>
          </cell>
          <cell r="H3374" t="str">
            <v>Liancalus virens</v>
          </cell>
        </row>
        <row r="3375">
          <cell r="A3375" t="str">
            <v>Machaerium maritimae</v>
          </cell>
          <cell r="B3375" t="str">
            <v>Long-legged flies</v>
          </cell>
          <cell r="C3375" t="str">
            <v>Diptera</v>
          </cell>
          <cell r="D3375" t="str">
            <v>Machaerium maritimae</v>
          </cell>
          <cell r="E3375" t="str">
            <v>LC</v>
          </cell>
          <cell r="F3375" t="str">
            <v>Drake, 2018</v>
          </cell>
          <cell r="G3375" t="str">
            <v>NBNSYS0000012741</v>
          </cell>
          <cell r="H3375" t="str">
            <v>Machaerium maritimae</v>
          </cell>
        </row>
        <row r="3376">
          <cell r="A3376" t="str">
            <v>Medetera abstrusa</v>
          </cell>
          <cell r="B3376" t="str">
            <v>Long-legged flies</v>
          </cell>
          <cell r="C3376" t="str">
            <v>Diptera</v>
          </cell>
          <cell r="D3376" t="str">
            <v>Medetera abstrusa</v>
          </cell>
          <cell r="E3376" t="str">
            <v>LC</v>
          </cell>
          <cell r="F3376" t="str">
            <v>Drake, 2018</v>
          </cell>
          <cell r="G3376" t="str">
            <v>NBNSYS0000012665</v>
          </cell>
          <cell r="H3376" t="str">
            <v>Medetera abstrusa</v>
          </cell>
        </row>
        <row r="3377">
          <cell r="A3377" t="str">
            <v>Medetera ambigua</v>
          </cell>
          <cell r="B3377" t="str">
            <v>Long-legged flies</v>
          </cell>
          <cell r="C3377" t="str">
            <v>Diptera</v>
          </cell>
          <cell r="D3377" t="str">
            <v>Medetera ambigua</v>
          </cell>
          <cell r="E3377" t="str">
            <v>LC</v>
          </cell>
          <cell r="F3377" t="str">
            <v>Drake, 2018</v>
          </cell>
          <cell r="G3377" t="str">
            <v>NBNSYS0000012666</v>
          </cell>
          <cell r="H3377" t="str">
            <v>Medetera ambigua</v>
          </cell>
        </row>
        <row r="3378">
          <cell r="A3378" t="str">
            <v>Medetera dendrobaena</v>
          </cell>
          <cell r="B3378" t="str">
            <v>Long-legged flies</v>
          </cell>
          <cell r="C3378" t="str">
            <v>Diptera</v>
          </cell>
          <cell r="D3378" t="str">
            <v>Medetera dendrobaena</v>
          </cell>
          <cell r="E3378" t="str">
            <v>LC</v>
          </cell>
          <cell r="F3378" t="str">
            <v>Drake, 2018</v>
          </cell>
          <cell r="G3378" t="str">
            <v>NBNSYS0000012669</v>
          </cell>
          <cell r="H3378" t="str">
            <v>Medetera dendrobaena</v>
          </cell>
        </row>
        <row r="3379">
          <cell r="A3379" t="str">
            <v>Medetera diadema</v>
          </cell>
          <cell r="B3379" t="str">
            <v>Long-legged flies</v>
          </cell>
          <cell r="C3379" t="str">
            <v>Diptera</v>
          </cell>
          <cell r="D3379" t="str">
            <v>Medetera diadema</v>
          </cell>
          <cell r="E3379" t="str">
            <v>LC</v>
          </cell>
          <cell r="F3379" t="str">
            <v>Drake, 2018</v>
          </cell>
          <cell r="G3379" t="str">
            <v>NBNSYS0000012670</v>
          </cell>
          <cell r="H3379" t="str">
            <v>Medetera diadema</v>
          </cell>
        </row>
        <row r="3380">
          <cell r="A3380" t="str">
            <v>Medetera flavipes</v>
          </cell>
          <cell r="B3380" t="str">
            <v>Long-legged flies</v>
          </cell>
          <cell r="C3380" t="str">
            <v>Diptera</v>
          </cell>
          <cell r="D3380" t="str">
            <v>Medetera flavipes</v>
          </cell>
          <cell r="E3380" t="str">
            <v>LC</v>
          </cell>
          <cell r="F3380" t="str">
            <v>Drake, 2018</v>
          </cell>
          <cell r="G3380" t="str">
            <v>NBNSYS0000012672</v>
          </cell>
          <cell r="H3380" t="str">
            <v>Medetera flavipes</v>
          </cell>
        </row>
        <row r="3381">
          <cell r="A3381" t="str">
            <v>Medetera impigra</v>
          </cell>
          <cell r="B3381" t="str">
            <v>Long-legged flies</v>
          </cell>
          <cell r="C3381" t="str">
            <v>Diptera</v>
          </cell>
          <cell r="D3381" t="str">
            <v>Medetera impigra</v>
          </cell>
          <cell r="E3381" t="str">
            <v>LC</v>
          </cell>
          <cell r="F3381" t="str">
            <v>Drake, 2018</v>
          </cell>
          <cell r="G3381" t="str">
            <v>NBNSYS0000012673</v>
          </cell>
          <cell r="H3381" t="str">
            <v>Medetera impigra</v>
          </cell>
        </row>
        <row r="3382">
          <cell r="A3382" t="str">
            <v>Medetera jacula</v>
          </cell>
          <cell r="B3382" t="str">
            <v>Long-legged flies</v>
          </cell>
          <cell r="C3382" t="str">
            <v>Diptera</v>
          </cell>
          <cell r="D3382" t="str">
            <v>Medetera jacula</v>
          </cell>
          <cell r="E3382" t="str">
            <v>LC</v>
          </cell>
          <cell r="F3382" t="str">
            <v>Drake, 2018</v>
          </cell>
          <cell r="G3382" t="str">
            <v>NBNSYS0000012676</v>
          </cell>
          <cell r="H3382" t="str">
            <v>Medetera jacula</v>
          </cell>
        </row>
        <row r="3383">
          <cell r="A3383" t="str">
            <v>Medetera jugalis</v>
          </cell>
          <cell r="B3383" t="str">
            <v>Long-legged flies</v>
          </cell>
          <cell r="C3383" t="str">
            <v>Diptera</v>
          </cell>
          <cell r="D3383" t="str">
            <v>Medetera jugalis</v>
          </cell>
          <cell r="E3383" t="str">
            <v>LC</v>
          </cell>
          <cell r="F3383" t="str">
            <v>Drake, 2018</v>
          </cell>
          <cell r="G3383" t="str">
            <v>NBNSYS0000012677</v>
          </cell>
          <cell r="H3383" t="str">
            <v>Medetera jugalis</v>
          </cell>
        </row>
        <row r="3384">
          <cell r="A3384" t="str">
            <v>Medetera micacea</v>
          </cell>
          <cell r="B3384" t="str">
            <v>Long-legged flies</v>
          </cell>
          <cell r="C3384" t="str">
            <v>Diptera</v>
          </cell>
          <cell r="D3384" t="str">
            <v>Medetera micacea</v>
          </cell>
          <cell r="E3384" t="str">
            <v>LC</v>
          </cell>
          <cell r="F3384" t="str">
            <v>Drake, 2018</v>
          </cell>
          <cell r="G3384" t="str">
            <v>NBNSYS0000012679</v>
          </cell>
          <cell r="H3384" t="str">
            <v>Medetera micacea</v>
          </cell>
        </row>
        <row r="3385">
          <cell r="A3385" t="str">
            <v>Medetera muralis</v>
          </cell>
          <cell r="B3385" t="str">
            <v>Long-legged flies</v>
          </cell>
          <cell r="C3385" t="str">
            <v>Diptera</v>
          </cell>
          <cell r="D3385" t="str">
            <v>Medetera muralis</v>
          </cell>
          <cell r="E3385" t="str">
            <v>LC</v>
          </cell>
          <cell r="F3385" t="str">
            <v>Drake, 2018</v>
          </cell>
          <cell r="G3385" t="str">
            <v>NBNSYS0000012680</v>
          </cell>
          <cell r="H3385" t="str">
            <v>Medetera muralis</v>
          </cell>
        </row>
        <row r="3386">
          <cell r="A3386" t="str">
            <v>Medetera pallipes</v>
          </cell>
          <cell r="B3386" t="str">
            <v>Long-legged flies</v>
          </cell>
          <cell r="C3386" t="str">
            <v>Diptera</v>
          </cell>
          <cell r="D3386" t="str">
            <v>Medetera pallipes</v>
          </cell>
          <cell r="E3386" t="str">
            <v>LC</v>
          </cell>
          <cell r="F3386" t="str">
            <v>Drake, 2018</v>
          </cell>
          <cell r="G3386" t="str">
            <v>NBNSYS0000012684</v>
          </cell>
          <cell r="H3386" t="str">
            <v>Medetera pallipes</v>
          </cell>
        </row>
        <row r="3387">
          <cell r="A3387" t="str">
            <v>Medetera petrophiloides</v>
          </cell>
          <cell r="B3387" t="str">
            <v>Long-legged flies</v>
          </cell>
          <cell r="C3387" t="str">
            <v>Diptera</v>
          </cell>
          <cell r="D3387" t="str">
            <v>Medetera petrophiloides</v>
          </cell>
          <cell r="E3387" t="str">
            <v>LC</v>
          </cell>
          <cell r="F3387" t="str">
            <v>Drake, 2018</v>
          </cell>
          <cell r="G3387" t="str">
            <v>NBNSYS0000012687</v>
          </cell>
          <cell r="H3387" t="str">
            <v>Medetera petrophiloides</v>
          </cell>
        </row>
        <row r="3388">
          <cell r="A3388" t="str">
            <v>Medetera saxatilis</v>
          </cell>
          <cell r="B3388" t="str">
            <v>Long-legged flies</v>
          </cell>
          <cell r="C3388" t="str">
            <v>Diptera</v>
          </cell>
          <cell r="D3388" t="str">
            <v>Medetera saxatilis</v>
          </cell>
          <cell r="E3388" t="str">
            <v>LC</v>
          </cell>
          <cell r="F3388" t="str">
            <v>Drake, 2018</v>
          </cell>
          <cell r="G3388" t="str">
            <v>NBNSYS0000012689</v>
          </cell>
          <cell r="H3388" t="str">
            <v>Medetera saxatilis</v>
          </cell>
        </row>
        <row r="3389">
          <cell r="A3389" t="str">
            <v>Medetera tristis</v>
          </cell>
          <cell r="B3389" t="str">
            <v>Long-legged flies</v>
          </cell>
          <cell r="C3389" t="str">
            <v>Diptera</v>
          </cell>
          <cell r="D3389" t="str">
            <v>Medetera tristis</v>
          </cell>
          <cell r="E3389" t="str">
            <v>LC</v>
          </cell>
          <cell r="F3389" t="str">
            <v>Drake, 2018</v>
          </cell>
          <cell r="G3389" t="str">
            <v>NBNSYS0000012691</v>
          </cell>
          <cell r="H3389" t="str">
            <v>Medetera tristis</v>
          </cell>
        </row>
        <row r="3390">
          <cell r="A3390" t="str">
            <v>Medetera truncorum</v>
          </cell>
          <cell r="B3390" t="str">
            <v>Long-legged flies</v>
          </cell>
          <cell r="C3390" t="str">
            <v>Diptera</v>
          </cell>
          <cell r="D3390" t="str">
            <v>Medetera truncorum</v>
          </cell>
          <cell r="E3390" t="str">
            <v>LC</v>
          </cell>
          <cell r="F3390" t="str">
            <v>Drake, 2018</v>
          </cell>
          <cell r="G3390" t="str">
            <v>NBNSYS0000012692</v>
          </cell>
          <cell r="H3390" t="str">
            <v>Medetera truncorum</v>
          </cell>
        </row>
        <row r="3391">
          <cell r="A3391" t="str">
            <v>Melanostolus melancholicus</v>
          </cell>
          <cell r="B3391" t="str">
            <v>Long-legged flies</v>
          </cell>
          <cell r="C3391" t="str">
            <v>Diptera</v>
          </cell>
          <cell r="D3391" t="str">
            <v>Melanostolus melancholicus</v>
          </cell>
          <cell r="E3391" t="str">
            <v>LC</v>
          </cell>
          <cell r="F3391" t="str">
            <v>Drake, 2018</v>
          </cell>
          <cell r="G3391" t="str">
            <v>NBNSYS0000012778</v>
          </cell>
          <cell r="H3391" t="str">
            <v>Melanostolus melancholicus</v>
          </cell>
        </row>
        <row r="3392">
          <cell r="A3392" t="str">
            <v>Microphor anomalus</v>
          </cell>
          <cell r="B3392" t="str">
            <v>Long-legged flies</v>
          </cell>
          <cell r="C3392" t="str">
            <v>Diptera</v>
          </cell>
          <cell r="D3392" t="str">
            <v>Microphor anomalus</v>
          </cell>
          <cell r="E3392" t="str">
            <v>LC</v>
          </cell>
          <cell r="F3392" t="str">
            <v>Drake, 2018</v>
          </cell>
          <cell r="G3392" t="str">
            <v>NBNSYS0100004059</v>
          </cell>
          <cell r="H3392" t="str">
            <v>Microphor anomalus</v>
          </cell>
        </row>
        <row r="3393">
          <cell r="A3393" t="str">
            <v>Microphor crassipes</v>
          </cell>
          <cell r="B3393" t="str">
            <v>Long-legged flies</v>
          </cell>
          <cell r="C3393" t="str">
            <v>Diptera</v>
          </cell>
          <cell r="D3393" t="str">
            <v>Microphor crassipes</v>
          </cell>
          <cell r="E3393" t="str">
            <v>LC</v>
          </cell>
          <cell r="F3393" t="str">
            <v>Drake, 2018</v>
          </cell>
          <cell r="G3393" t="str">
            <v>NBNSYS0100004060</v>
          </cell>
          <cell r="H3393" t="str">
            <v>Microphor crassipes</v>
          </cell>
        </row>
        <row r="3394">
          <cell r="A3394" t="str">
            <v>Microphor holosericeus</v>
          </cell>
          <cell r="B3394" t="str">
            <v>Long-legged flies</v>
          </cell>
          <cell r="C3394" t="str">
            <v>Diptera</v>
          </cell>
          <cell r="D3394" t="str">
            <v>Microphor holosericeus</v>
          </cell>
          <cell r="E3394" t="str">
            <v>LC</v>
          </cell>
          <cell r="F3394" t="str">
            <v>Drake, 2018</v>
          </cell>
          <cell r="G3394" t="str">
            <v>NBNSYS0100004061</v>
          </cell>
          <cell r="H3394" t="str">
            <v>Microphor holosericeus</v>
          </cell>
        </row>
        <row r="3395">
          <cell r="A3395" t="str">
            <v>Muscidideicus praetextatus</v>
          </cell>
          <cell r="B3395" t="str">
            <v>Long-legged flies</v>
          </cell>
          <cell r="C3395" t="str">
            <v>Diptera</v>
          </cell>
          <cell r="D3395" t="str">
            <v>Muscidideicus praetextatus</v>
          </cell>
          <cell r="E3395" t="str">
            <v>VU</v>
          </cell>
          <cell r="F3395" t="str">
            <v>Drake, 2018</v>
          </cell>
          <cell r="G3395" t="str">
            <v>NBNSYS0100004132</v>
          </cell>
          <cell r="H3395" t="str">
            <v>Muscidideicus praetextatus</v>
          </cell>
        </row>
        <row r="3396">
          <cell r="A3396" t="str">
            <v>Nematoproctus distendens</v>
          </cell>
          <cell r="B3396" t="str">
            <v>Long-legged flies</v>
          </cell>
          <cell r="C3396" t="str">
            <v>Diptera</v>
          </cell>
          <cell r="D3396" t="str">
            <v>Nematoproctus distendens</v>
          </cell>
          <cell r="E3396" t="str">
            <v>LC</v>
          </cell>
          <cell r="F3396" t="str">
            <v>Drake, 2018</v>
          </cell>
          <cell r="G3396" t="str">
            <v>NBNSYS0000012751</v>
          </cell>
          <cell r="H3396" t="str">
            <v>Nematoproctus distendens</v>
          </cell>
        </row>
        <row r="3397">
          <cell r="A3397" t="str">
            <v>Neurigona abdominalis</v>
          </cell>
          <cell r="B3397" t="str">
            <v>Long-legged flies</v>
          </cell>
          <cell r="C3397" t="str">
            <v>Diptera</v>
          </cell>
          <cell r="D3397" t="str">
            <v>Neurigona abdominalis</v>
          </cell>
          <cell r="E3397" t="str">
            <v>EN</v>
          </cell>
          <cell r="F3397" t="str">
            <v>Drake, 2018</v>
          </cell>
          <cell r="G3397" t="str">
            <v>NBNSYS0000012752</v>
          </cell>
          <cell r="H3397" t="str">
            <v>Neurigona abdominalis</v>
          </cell>
        </row>
        <row r="3398">
          <cell r="A3398" t="str">
            <v>Neurigona pallida</v>
          </cell>
          <cell r="B3398" t="str">
            <v>Long-legged flies</v>
          </cell>
          <cell r="C3398" t="str">
            <v>Diptera</v>
          </cell>
          <cell r="D3398" t="str">
            <v>Neurigona pallida</v>
          </cell>
          <cell r="E3398" t="str">
            <v>LC</v>
          </cell>
          <cell r="F3398" t="str">
            <v>Drake, 2018</v>
          </cell>
          <cell r="G3398" t="str">
            <v>NBNSYS0000012753</v>
          </cell>
          <cell r="H3398" t="str">
            <v>Neurigona pallida</v>
          </cell>
        </row>
        <row r="3399">
          <cell r="A3399" t="str">
            <v>Neurigona quadrifasciata</v>
          </cell>
          <cell r="B3399" t="str">
            <v>Long-legged flies</v>
          </cell>
          <cell r="C3399" t="str">
            <v>Diptera</v>
          </cell>
          <cell r="D3399" t="str">
            <v>Neurigona quadrifasciata</v>
          </cell>
          <cell r="E3399" t="str">
            <v>LC</v>
          </cell>
          <cell r="F3399" t="str">
            <v>Drake, 2018</v>
          </cell>
          <cell r="G3399" t="str">
            <v>NBNSYS0000012754</v>
          </cell>
          <cell r="H3399" t="str">
            <v>Neurigona quadrifasciata</v>
          </cell>
        </row>
        <row r="3400">
          <cell r="A3400" t="str">
            <v>Neurigona suturalis</v>
          </cell>
          <cell r="B3400" t="str">
            <v>Long-legged flies</v>
          </cell>
          <cell r="C3400" t="str">
            <v>Diptera</v>
          </cell>
          <cell r="D3400" t="str">
            <v>Neurigona suturalis</v>
          </cell>
          <cell r="E3400" t="str">
            <v>LC</v>
          </cell>
          <cell r="F3400" t="str">
            <v>Drake, 2018</v>
          </cell>
          <cell r="G3400" t="str">
            <v>NBNSYS0000012755</v>
          </cell>
          <cell r="H3400" t="str">
            <v>Neurigona suturalis</v>
          </cell>
        </row>
        <row r="3401">
          <cell r="A3401" t="str">
            <v>Orthoceratium lacustre</v>
          </cell>
          <cell r="B3401" t="str">
            <v>Long-legged flies</v>
          </cell>
          <cell r="C3401" t="str">
            <v>Diptera</v>
          </cell>
          <cell r="D3401" t="str">
            <v>Orthoceratium lacustre</v>
          </cell>
          <cell r="E3401" t="str">
            <v>LC</v>
          </cell>
          <cell r="F3401" t="str">
            <v>Drake, 2018</v>
          </cell>
          <cell r="G3401" t="str">
            <v>NHMSYS0021265352</v>
          </cell>
          <cell r="H3401" t="str">
            <v>Orthoceratium lacustre</v>
          </cell>
        </row>
        <row r="3402">
          <cell r="A3402" t="str">
            <v>Ortochile nigrocoerulea</v>
          </cell>
          <cell r="B3402" t="str">
            <v>Long-legged flies</v>
          </cell>
          <cell r="C3402" t="str">
            <v>Diptera</v>
          </cell>
          <cell r="D3402" t="str">
            <v>Ortochile nigrocoerulea</v>
          </cell>
          <cell r="E3402" t="str">
            <v>CR</v>
          </cell>
          <cell r="F3402" t="str">
            <v>Drake, 2018</v>
          </cell>
          <cell r="G3402" t="str">
            <v>NBNSYS0100004353</v>
          </cell>
          <cell r="H3402" t="str">
            <v>Ortochile nigrocoerulea</v>
          </cell>
        </row>
        <row r="3403">
          <cell r="A3403" t="str">
            <v>Poecilobothrus chrysozygos</v>
          </cell>
          <cell r="B3403" t="str">
            <v>Long-legged flies</v>
          </cell>
          <cell r="C3403" t="str">
            <v>Diptera</v>
          </cell>
          <cell r="D3403" t="str">
            <v>Poecilobothrus chrysozygos</v>
          </cell>
          <cell r="E3403" t="str">
            <v>LC</v>
          </cell>
          <cell r="F3403" t="str">
            <v>Drake, 2018</v>
          </cell>
          <cell r="G3403" t="str">
            <v>NHMSYS0021265347</v>
          </cell>
          <cell r="H3403" t="str">
            <v>Poecilobothrus chrysozygos</v>
          </cell>
        </row>
        <row r="3404">
          <cell r="A3404" t="str">
            <v>Poecilobothrus ducalis</v>
          </cell>
          <cell r="B3404" t="str">
            <v>Long-legged flies</v>
          </cell>
          <cell r="C3404" t="str">
            <v>Diptera</v>
          </cell>
          <cell r="D3404" t="str">
            <v>Poecilobothrus ducalis</v>
          </cell>
          <cell r="E3404" t="str">
            <v>VU</v>
          </cell>
          <cell r="F3404" t="str">
            <v>Drake, 2018</v>
          </cell>
          <cell r="G3404" t="str">
            <v>NBNSYS0000012638</v>
          </cell>
          <cell r="H3404" t="str">
            <v>Poecilobothrus ducalis</v>
          </cell>
        </row>
        <row r="3405">
          <cell r="A3405" t="str">
            <v>Poecilobothrus nobilitatus</v>
          </cell>
          <cell r="B3405" t="str">
            <v>Long-legged flies</v>
          </cell>
          <cell r="C3405" t="str">
            <v>Diptera</v>
          </cell>
          <cell r="D3405" t="str">
            <v>Poecilobothrus nobilitatus</v>
          </cell>
          <cell r="E3405" t="str">
            <v>LC</v>
          </cell>
          <cell r="F3405" t="str">
            <v>Drake, 2018</v>
          </cell>
          <cell r="G3405" t="str">
            <v>NBNSYS0000012640</v>
          </cell>
          <cell r="H3405" t="str">
            <v>Poecilobothrus nobilitatus</v>
          </cell>
        </row>
        <row r="3406">
          <cell r="A3406" t="str">
            <v>Poecilobothrus principalis</v>
          </cell>
          <cell r="B3406" t="str">
            <v>Long-legged flies</v>
          </cell>
          <cell r="C3406" t="str">
            <v>Diptera</v>
          </cell>
          <cell r="D3406" t="str">
            <v>Poecilobothrus principalis</v>
          </cell>
          <cell r="E3406" t="str">
            <v>LC</v>
          </cell>
          <cell r="F3406" t="str">
            <v>Drake, 2018</v>
          </cell>
          <cell r="G3406" t="str">
            <v>NBNSYS0000012641</v>
          </cell>
          <cell r="H3406" t="str">
            <v>Poecilobothrus principalis</v>
          </cell>
        </row>
        <row r="3407">
          <cell r="A3407" t="str">
            <v>Rhaphium albomaculatum</v>
          </cell>
          <cell r="B3407" t="str">
            <v>Long-legged flies</v>
          </cell>
          <cell r="C3407" t="str">
            <v>Diptera</v>
          </cell>
          <cell r="D3407" t="str">
            <v>Rhaphium albomaculatum</v>
          </cell>
          <cell r="E3407" t="str">
            <v>LC</v>
          </cell>
          <cell r="F3407" t="str">
            <v>Drake, 2018</v>
          </cell>
          <cell r="G3407" t="str">
            <v>NBNSYS0000012703</v>
          </cell>
          <cell r="H3407" t="str">
            <v>Rhaphium albomaculatum</v>
          </cell>
        </row>
        <row r="3408">
          <cell r="A3408" t="str">
            <v>Rhaphium antennatum</v>
          </cell>
          <cell r="B3408" t="str">
            <v>Long-legged flies</v>
          </cell>
          <cell r="C3408" t="str">
            <v>Diptera</v>
          </cell>
          <cell r="D3408" t="str">
            <v>Rhaphium antennatum</v>
          </cell>
          <cell r="E3408" t="str">
            <v>LC</v>
          </cell>
          <cell r="F3408" t="str">
            <v>Drake, 2018</v>
          </cell>
          <cell r="G3408" t="str">
            <v>NBNSYS0000012704</v>
          </cell>
          <cell r="H3408" t="str">
            <v>Rhaphium antennatum</v>
          </cell>
        </row>
        <row r="3409">
          <cell r="A3409" t="str">
            <v>Rhaphium appendiculatum</v>
          </cell>
          <cell r="B3409" t="str">
            <v>Long-legged flies</v>
          </cell>
          <cell r="C3409" t="str">
            <v>Diptera</v>
          </cell>
          <cell r="D3409" t="str">
            <v>Rhaphium appendiculatum</v>
          </cell>
          <cell r="E3409" t="str">
            <v>LC</v>
          </cell>
          <cell r="F3409" t="str">
            <v>Drake, 2018</v>
          </cell>
          <cell r="G3409" t="str">
            <v>NBNSYS0000012705</v>
          </cell>
          <cell r="H3409" t="str">
            <v>Rhaphium appendiculatum</v>
          </cell>
        </row>
        <row r="3410">
          <cell r="A3410" t="str">
            <v>Rhaphium auctum</v>
          </cell>
          <cell r="B3410" t="str">
            <v>Long-legged flies</v>
          </cell>
          <cell r="C3410" t="str">
            <v>Diptera</v>
          </cell>
          <cell r="D3410" t="str">
            <v>Rhaphium auctum</v>
          </cell>
          <cell r="E3410" t="str">
            <v>LC</v>
          </cell>
          <cell r="F3410" t="str">
            <v>Drake, 2018</v>
          </cell>
          <cell r="G3410" t="str">
            <v>NBNSYS0000012707</v>
          </cell>
          <cell r="H3410" t="str">
            <v>Rhaphium auctum</v>
          </cell>
        </row>
        <row r="3411">
          <cell r="A3411" t="str">
            <v>Rhaphium brevicorne</v>
          </cell>
          <cell r="B3411" t="str">
            <v>Long-legged flies</v>
          </cell>
          <cell r="C3411" t="str">
            <v>Diptera</v>
          </cell>
          <cell r="D3411" t="str">
            <v>Rhaphium brevicorne</v>
          </cell>
          <cell r="E3411" t="str">
            <v>LC</v>
          </cell>
          <cell r="F3411" t="str">
            <v>Drake, 2018</v>
          </cell>
          <cell r="G3411" t="str">
            <v>NBNSYS0100027631</v>
          </cell>
          <cell r="H3411" t="str">
            <v>Rhaphium brevicorne</v>
          </cell>
        </row>
        <row r="3412">
          <cell r="A3412" t="str">
            <v>Rhaphium caliginosum</v>
          </cell>
          <cell r="B3412" t="str">
            <v>Long-legged flies</v>
          </cell>
          <cell r="C3412" t="str">
            <v>Diptera</v>
          </cell>
          <cell r="D3412" t="str">
            <v>Rhaphium caliginosum</v>
          </cell>
          <cell r="E3412" t="str">
            <v>LC</v>
          </cell>
          <cell r="F3412" t="str">
            <v>Drake, 2018</v>
          </cell>
          <cell r="G3412" t="str">
            <v>NBNSYS0000012709</v>
          </cell>
          <cell r="H3412" t="str">
            <v>Rhaphium caliginosum</v>
          </cell>
        </row>
        <row r="3413">
          <cell r="A3413" t="str">
            <v>Rhaphium commune</v>
          </cell>
          <cell r="B3413" t="str">
            <v>Long-legged flies</v>
          </cell>
          <cell r="C3413" t="str">
            <v>Diptera</v>
          </cell>
          <cell r="D3413" t="str">
            <v>Rhaphium commune</v>
          </cell>
          <cell r="E3413" t="str">
            <v>LC</v>
          </cell>
          <cell r="F3413" t="str">
            <v>Drake, 2018</v>
          </cell>
          <cell r="G3413" t="str">
            <v>NBNSYS0000012710</v>
          </cell>
          <cell r="H3413" t="str">
            <v>Rhaphium commune</v>
          </cell>
        </row>
        <row r="3414">
          <cell r="A3414" t="str">
            <v>Rhaphium consobrinum</v>
          </cell>
          <cell r="B3414" t="str">
            <v>Long-legged flies</v>
          </cell>
          <cell r="C3414" t="str">
            <v>Diptera</v>
          </cell>
          <cell r="D3414" t="str">
            <v>Rhaphium consobrinum</v>
          </cell>
          <cell r="E3414" t="str">
            <v>LC</v>
          </cell>
          <cell r="F3414" t="str">
            <v>Drake, 2018</v>
          </cell>
          <cell r="G3414" t="str">
            <v>NBNSYS0000012711</v>
          </cell>
          <cell r="H3414" t="str">
            <v>Rhaphium consobrinum</v>
          </cell>
        </row>
        <row r="3415">
          <cell r="A3415" t="str">
            <v>Rhaphium crassipes</v>
          </cell>
          <cell r="B3415" t="str">
            <v>Long-legged flies</v>
          </cell>
          <cell r="C3415" t="str">
            <v>Diptera</v>
          </cell>
          <cell r="D3415" t="str">
            <v>Rhaphium crassipes</v>
          </cell>
          <cell r="E3415" t="str">
            <v>LC</v>
          </cell>
          <cell r="F3415" t="str">
            <v>Drake, 2018</v>
          </cell>
          <cell r="G3415" t="str">
            <v>NBNSYS0000012712</v>
          </cell>
          <cell r="H3415" t="str">
            <v>Rhaphium crassipes</v>
          </cell>
        </row>
        <row r="3416">
          <cell r="A3416" t="str">
            <v>Rhaphium elegantulum</v>
          </cell>
          <cell r="B3416" t="str">
            <v>Long-legged flies</v>
          </cell>
          <cell r="C3416" t="str">
            <v>Diptera</v>
          </cell>
          <cell r="D3416" t="str">
            <v>Rhaphium elegantulum</v>
          </cell>
          <cell r="E3416" t="str">
            <v>LC</v>
          </cell>
          <cell r="F3416" t="str">
            <v>Drake, 2018</v>
          </cell>
          <cell r="G3416" t="str">
            <v>NBNSYS0000012713</v>
          </cell>
          <cell r="H3416" t="str">
            <v>Rhaphium elegantulum</v>
          </cell>
        </row>
        <row r="3417">
          <cell r="A3417" t="str">
            <v>Rhaphium fasciatum</v>
          </cell>
          <cell r="B3417" t="str">
            <v>Long-legged flies</v>
          </cell>
          <cell r="C3417" t="str">
            <v>Diptera</v>
          </cell>
          <cell r="D3417" t="str">
            <v>Rhaphium fasciatum</v>
          </cell>
          <cell r="E3417" t="str">
            <v>LC</v>
          </cell>
          <cell r="F3417" t="str">
            <v>Drake, 2018</v>
          </cell>
          <cell r="G3417" t="str">
            <v>NBNSYS0000012714</v>
          </cell>
          <cell r="H3417" t="str">
            <v>Rhaphium fasciatum</v>
          </cell>
        </row>
        <row r="3418">
          <cell r="A3418" t="str">
            <v>Rhaphium fascipes</v>
          </cell>
          <cell r="B3418" t="str">
            <v>Long-legged flies</v>
          </cell>
          <cell r="C3418" t="str">
            <v>Diptera</v>
          </cell>
          <cell r="D3418" t="str">
            <v>Rhaphium fascipes</v>
          </cell>
          <cell r="E3418" t="str">
            <v>VU</v>
          </cell>
          <cell r="F3418" t="str">
            <v>Drake, 2018</v>
          </cell>
          <cell r="G3418" t="str">
            <v>NBNSYS0000012715</v>
          </cell>
          <cell r="H3418" t="str">
            <v>Rhaphium fascipes</v>
          </cell>
        </row>
        <row r="3419">
          <cell r="A3419" t="str">
            <v>Rhaphium fractum</v>
          </cell>
          <cell r="B3419" t="str">
            <v>Long-legged flies</v>
          </cell>
          <cell r="C3419" t="str">
            <v>Diptera</v>
          </cell>
          <cell r="D3419" t="str">
            <v>Rhaphium fractum</v>
          </cell>
          <cell r="E3419" t="str">
            <v>LC</v>
          </cell>
          <cell r="F3419" t="str">
            <v>Drake, 2018</v>
          </cell>
          <cell r="G3419" t="str">
            <v>NBNSYS0000012716</v>
          </cell>
          <cell r="H3419" t="str">
            <v>Rhaphium fractum</v>
          </cell>
        </row>
        <row r="3420">
          <cell r="A3420" t="str">
            <v>Rhaphium gravipes</v>
          </cell>
          <cell r="B3420" t="str">
            <v>Long-legged flies</v>
          </cell>
          <cell r="C3420" t="str">
            <v>Diptera</v>
          </cell>
          <cell r="D3420" t="str">
            <v>Rhaphium gravipes</v>
          </cell>
          <cell r="E3420" t="str">
            <v>VU</v>
          </cell>
          <cell r="F3420" t="str">
            <v>Drake, 2018</v>
          </cell>
          <cell r="G3420" t="str">
            <v>NBNSYS0000012717</v>
          </cell>
          <cell r="H3420" t="str">
            <v>Rhaphium gravipes</v>
          </cell>
        </row>
        <row r="3421">
          <cell r="A3421" t="str">
            <v>Rhaphium lanceolatum</v>
          </cell>
          <cell r="B3421" t="str">
            <v>Long-legged flies</v>
          </cell>
          <cell r="C3421" t="str">
            <v>Diptera</v>
          </cell>
          <cell r="D3421" t="str">
            <v>Rhaphium lanceolatum</v>
          </cell>
          <cell r="E3421" t="str">
            <v>NT</v>
          </cell>
          <cell r="F3421" t="str">
            <v>Drake, 2018</v>
          </cell>
          <cell r="G3421" t="str">
            <v>NBNSYS0000012718</v>
          </cell>
          <cell r="H3421" t="str">
            <v>Rhaphium lanceolatum</v>
          </cell>
        </row>
        <row r="3422">
          <cell r="A3422" t="str">
            <v>Rhaphium laticorne</v>
          </cell>
          <cell r="B3422" t="str">
            <v>Long-legged flies</v>
          </cell>
          <cell r="C3422" t="str">
            <v>Diptera</v>
          </cell>
          <cell r="D3422" t="str">
            <v>Rhaphium laticorne</v>
          </cell>
          <cell r="E3422" t="str">
            <v>LC</v>
          </cell>
          <cell r="F3422" t="str">
            <v>Drake, 2018</v>
          </cell>
          <cell r="G3422" t="str">
            <v>NBNSYS0000012719</v>
          </cell>
          <cell r="H3422" t="str">
            <v>Rhaphium laticorne</v>
          </cell>
        </row>
        <row r="3423">
          <cell r="A3423" t="str">
            <v>Rhaphium longicorne</v>
          </cell>
          <cell r="B3423" t="str">
            <v>Long-legged flies</v>
          </cell>
          <cell r="C3423" t="str">
            <v>Diptera</v>
          </cell>
          <cell r="D3423" t="str">
            <v>Rhaphium longicorne</v>
          </cell>
          <cell r="E3423" t="str">
            <v>LC</v>
          </cell>
          <cell r="F3423" t="str">
            <v>Drake, 2018</v>
          </cell>
          <cell r="G3423" t="str">
            <v>NBNSYS0000012720</v>
          </cell>
          <cell r="H3423" t="str">
            <v>Rhaphium longicorne</v>
          </cell>
        </row>
        <row r="3424">
          <cell r="A3424" t="str">
            <v>Rhaphium micans</v>
          </cell>
          <cell r="B3424" t="str">
            <v>Long-legged flies</v>
          </cell>
          <cell r="C3424" t="str">
            <v>Diptera</v>
          </cell>
          <cell r="D3424" t="str">
            <v>Rhaphium micans</v>
          </cell>
          <cell r="E3424" t="str">
            <v>LC</v>
          </cell>
          <cell r="F3424" t="str">
            <v>Drake, 2018</v>
          </cell>
          <cell r="G3424" t="str">
            <v>NBNSYS0000012721</v>
          </cell>
          <cell r="H3424" t="str">
            <v>Rhaphium micans</v>
          </cell>
        </row>
        <row r="3425">
          <cell r="A3425" t="str">
            <v>Rhaphium monotrichum</v>
          </cell>
          <cell r="B3425" t="str">
            <v>Long-legged flies</v>
          </cell>
          <cell r="C3425" t="str">
            <v>Diptera</v>
          </cell>
          <cell r="D3425" t="str">
            <v>Rhaphium monotrichum</v>
          </cell>
          <cell r="E3425" t="str">
            <v>LC</v>
          </cell>
          <cell r="F3425" t="str">
            <v>Drake, 2018</v>
          </cell>
          <cell r="G3425" t="str">
            <v>NBNSYS0000012722</v>
          </cell>
          <cell r="H3425" t="str">
            <v>Rhaphium monotrichum</v>
          </cell>
        </row>
        <row r="3426">
          <cell r="A3426" t="str">
            <v>Rhaphium nasutum</v>
          </cell>
          <cell r="B3426" t="str">
            <v>Long-legged flies</v>
          </cell>
          <cell r="C3426" t="str">
            <v>Diptera</v>
          </cell>
          <cell r="D3426" t="str">
            <v>Rhaphium nasutum</v>
          </cell>
          <cell r="E3426" t="str">
            <v>LC</v>
          </cell>
          <cell r="F3426" t="str">
            <v>Drake, 2018</v>
          </cell>
          <cell r="G3426" t="str">
            <v>NBNSYS0000012723</v>
          </cell>
          <cell r="H3426" t="str">
            <v>Rhaphium nasutum</v>
          </cell>
        </row>
        <row r="3427">
          <cell r="A3427" t="str">
            <v>Rhaphium patulum</v>
          </cell>
          <cell r="B3427" t="str">
            <v>Long-legged flies</v>
          </cell>
          <cell r="C3427" t="str">
            <v>Diptera</v>
          </cell>
          <cell r="D3427" t="str">
            <v>Rhaphium patulum</v>
          </cell>
          <cell r="E3427" t="str">
            <v>VU</v>
          </cell>
          <cell r="F3427" t="str">
            <v>Drake, 2018</v>
          </cell>
          <cell r="G3427" t="str">
            <v>NBNSYS0000012724</v>
          </cell>
          <cell r="H3427" t="str">
            <v>Rhaphium patulum</v>
          </cell>
        </row>
        <row r="3428">
          <cell r="A3428" t="str">
            <v>Rhaphium penicillatum</v>
          </cell>
          <cell r="B3428" t="str">
            <v>Long-legged flies</v>
          </cell>
          <cell r="C3428" t="str">
            <v>Diptera</v>
          </cell>
          <cell r="D3428" t="str">
            <v>Rhaphium penicillatum</v>
          </cell>
          <cell r="E3428" t="str">
            <v>LC</v>
          </cell>
          <cell r="F3428" t="str">
            <v>Drake, 2018</v>
          </cell>
          <cell r="G3428" t="str">
            <v>NBNSYS0000012726</v>
          </cell>
          <cell r="H3428" t="str">
            <v>Rhaphium penicillatum</v>
          </cell>
        </row>
        <row r="3429">
          <cell r="A3429" t="str">
            <v>Rhaphium riparium</v>
          </cell>
          <cell r="B3429" t="str">
            <v>Long-legged flies</v>
          </cell>
          <cell r="C3429" t="str">
            <v>Diptera</v>
          </cell>
          <cell r="D3429" t="str">
            <v>Rhaphium riparium</v>
          </cell>
          <cell r="E3429" t="str">
            <v>LC</v>
          </cell>
          <cell r="F3429" t="str">
            <v>Drake, 2018</v>
          </cell>
          <cell r="G3429" t="str">
            <v>NBNSYS0000012727</v>
          </cell>
          <cell r="H3429" t="str">
            <v>Rhaphium riparium</v>
          </cell>
        </row>
        <row r="3430">
          <cell r="A3430" t="str">
            <v>Rhaphium rivale</v>
          </cell>
          <cell r="B3430" t="str">
            <v>Long-legged flies</v>
          </cell>
          <cell r="C3430" t="str">
            <v>Diptera</v>
          </cell>
          <cell r="D3430" t="str">
            <v>Rhaphium rivale</v>
          </cell>
          <cell r="E3430" t="str">
            <v>LC</v>
          </cell>
          <cell r="F3430" t="str">
            <v>Drake, 2018</v>
          </cell>
          <cell r="G3430" t="str">
            <v>NBNSYS0000012728</v>
          </cell>
          <cell r="H3430" t="str">
            <v>Rhaphium rivale</v>
          </cell>
        </row>
        <row r="3431">
          <cell r="A3431" t="str">
            <v>Scellus notatus</v>
          </cell>
          <cell r="B3431" t="str">
            <v>Long-legged flies</v>
          </cell>
          <cell r="C3431" t="str">
            <v>Diptera</v>
          </cell>
          <cell r="D3431" t="str">
            <v>Scellus notatus</v>
          </cell>
          <cell r="E3431" t="str">
            <v>LC</v>
          </cell>
          <cell r="F3431" t="str">
            <v>Drake, 2018</v>
          </cell>
          <cell r="G3431" t="str">
            <v>NBNSYS0000012655</v>
          </cell>
          <cell r="H3431" t="str">
            <v>Scellus notatus</v>
          </cell>
        </row>
        <row r="3432">
          <cell r="A3432" t="str">
            <v>Schoenophilus versutus</v>
          </cell>
          <cell r="B3432" t="str">
            <v>Long-legged flies</v>
          </cell>
          <cell r="C3432" t="str">
            <v>Diptera</v>
          </cell>
          <cell r="D3432" t="str">
            <v>Schoenophilus versutus</v>
          </cell>
          <cell r="E3432" t="str">
            <v>LC</v>
          </cell>
          <cell r="F3432" t="str">
            <v>Drake, 2018</v>
          </cell>
          <cell r="G3432" t="str">
            <v>NBNSYS0000012660</v>
          </cell>
          <cell r="H3432" t="str">
            <v>Schoenophilus versutus</v>
          </cell>
        </row>
        <row r="3433">
          <cell r="A3433" t="str">
            <v>Sciapus contristans</v>
          </cell>
          <cell r="B3433" t="str">
            <v>Long-legged flies</v>
          </cell>
          <cell r="C3433" t="str">
            <v>Diptera</v>
          </cell>
          <cell r="D3433" t="str">
            <v>Sciapus contristans</v>
          </cell>
          <cell r="E3433" t="str">
            <v>LC</v>
          </cell>
          <cell r="F3433" t="str">
            <v>Drake, 2018</v>
          </cell>
          <cell r="G3433" t="str">
            <v>NBNSYS0000012821</v>
          </cell>
          <cell r="H3433" t="str">
            <v>Sciapus contristans</v>
          </cell>
        </row>
        <row r="3434">
          <cell r="A3434" t="str">
            <v>Sciapus heteropygus</v>
          </cell>
          <cell r="B3434" t="str">
            <v>Long-legged flies</v>
          </cell>
          <cell r="C3434" t="str">
            <v>Diptera</v>
          </cell>
          <cell r="D3434" t="str">
            <v>Sciapus heteropygus</v>
          </cell>
          <cell r="E3434" t="str">
            <v>CR</v>
          </cell>
          <cell r="F3434" t="str">
            <v>Drake, 2018</v>
          </cell>
          <cell r="G3434" t="str">
            <v>NBNSYS0000012822</v>
          </cell>
          <cell r="H3434" t="str">
            <v>Sciapus heteropygus</v>
          </cell>
        </row>
        <row r="3435">
          <cell r="A3435" t="str">
            <v>Sciapus laetus</v>
          </cell>
          <cell r="B3435" t="str">
            <v>Long-legged flies</v>
          </cell>
          <cell r="C3435" t="str">
            <v>Diptera</v>
          </cell>
          <cell r="D3435" t="str">
            <v>Sciapus laetus</v>
          </cell>
          <cell r="E3435" t="str">
            <v>LC</v>
          </cell>
          <cell r="F3435" t="str">
            <v>Drake, 2018</v>
          </cell>
          <cell r="G3435" t="str">
            <v>NBNSYS0000012823</v>
          </cell>
          <cell r="H3435" t="str">
            <v>Sciapus laetus</v>
          </cell>
        </row>
        <row r="3436">
          <cell r="A3436" t="str">
            <v>Sciapus longulus</v>
          </cell>
          <cell r="B3436" t="str">
            <v>Long-legged flies</v>
          </cell>
          <cell r="C3436" t="str">
            <v>Diptera</v>
          </cell>
          <cell r="D3436" t="str">
            <v>Sciapus longulus</v>
          </cell>
          <cell r="E3436" t="str">
            <v>LC</v>
          </cell>
          <cell r="F3436" t="str">
            <v>Drake, 2018</v>
          </cell>
          <cell r="G3436" t="str">
            <v>NBNSYS0000012825</v>
          </cell>
          <cell r="H3436" t="str">
            <v>Sciapus longulus</v>
          </cell>
        </row>
        <row r="3437">
          <cell r="A3437" t="str">
            <v>Sciapus platypterus</v>
          </cell>
          <cell r="B3437" t="str">
            <v>Long-legged flies</v>
          </cell>
          <cell r="C3437" t="str">
            <v>Diptera</v>
          </cell>
          <cell r="D3437" t="str">
            <v>Sciapus platypterus</v>
          </cell>
          <cell r="E3437" t="str">
            <v>LC</v>
          </cell>
          <cell r="F3437" t="str">
            <v>Drake, 2018</v>
          </cell>
          <cell r="G3437" t="str">
            <v>NBNSYS0000012827</v>
          </cell>
          <cell r="H3437" t="str">
            <v>Sciapus platypterus</v>
          </cell>
        </row>
        <row r="3438">
          <cell r="A3438" t="str">
            <v>Sciapus wiedemanni</v>
          </cell>
          <cell r="B3438" t="str">
            <v>Long-legged flies</v>
          </cell>
          <cell r="C3438" t="str">
            <v>Diptera</v>
          </cell>
          <cell r="D3438" t="str">
            <v>Sciapus wiedemanni</v>
          </cell>
          <cell r="E3438" t="str">
            <v>LC</v>
          </cell>
          <cell r="F3438" t="str">
            <v>Drake, 2018</v>
          </cell>
          <cell r="G3438" t="str">
            <v>NBNSYS0000012828</v>
          </cell>
          <cell r="H3438" t="str">
            <v>Sciapus wiedemanni</v>
          </cell>
        </row>
        <row r="3439">
          <cell r="A3439" t="str">
            <v>Sybistroma crinipes</v>
          </cell>
          <cell r="B3439" t="str">
            <v>Long-legged flies</v>
          </cell>
          <cell r="C3439" t="str">
            <v>Diptera</v>
          </cell>
          <cell r="D3439" t="str">
            <v>Sybistroma crinipes</v>
          </cell>
          <cell r="E3439" t="str">
            <v>LC</v>
          </cell>
          <cell r="F3439" t="str">
            <v>Drake, 2018</v>
          </cell>
          <cell r="G3439" t="str">
            <v>NBNSYS0100005634</v>
          </cell>
          <cell r="H3439" t="str">
            <v>Sybistroma crinipes</v>
          </cell>
        </row>
        <row r="3440">
          <cell r="A3440" t="str">
            <v>Sybistroma discipes</v>
          </cell>
          <cell r="B3440" t="str">
            <v>Long-legged flies</v>
          </cell>
          <cell r="C3440" t="str">
            <v>Diptera</v>
          </cell>
          <cell r="D3440" t="str">
            <v>Sybistroma discipes</v>
          </cell>
          <cell r="E3440" t="str">
            <v>LC</v>
          </cell>
          <cell r="F3440" t="str">
            <v>Drake, 2018</v>
          </cell>
          <cell r="G3440" t="str">
            <v>NBNSYS0100005635</v>
          </cell>
          <cell r="H3440" t="str">
            <v>Sybistroma discipes</v>
          </cell>
        </row>
        <row r="3441">
          <cell r="A3441" t="str">
            <v>Sybistroma obscurellum</v>
          </cell>
          <cell r="B3441" t="str">
            <v>Long-legged flies</v>
          </cell>
          <cell r="C3441" t="str">
            <v>Diptera</v>
          </cell>
          <cell r="D3441" t="str">
            <v>Sybistroma obscurellum</v>
          </cell>
          <cell r="E3441" t="str">
            <v>LC</v>
          </cell>
          <cell r="F3441" t="str">
            <v>Drake, 2018</v>
          </cell>
          <cell r="G3441" t="str">
            <v>NBNSYS0100005636</v>
          </cell>
          <cell r="H3441" t="str">
            <v>Sybistroma obscurellum</v>
          </cell>
        </row>
        <row r="3442">
          <cell r="A3442" t="str">
            <v>Sympycnus aeneicoxa</v>
          </cell>
          <cell r="B3442" t="str">
            <v>Long-legged flies</v>
          </cell>
          <cell r="C3442" t="str">
            <v>Diptera</v>
          </cell>
          <cell r="D3442" t="str">
            <v>Sympycnus aeneicoxa</v>
          </cell>
          <cell r="E3442" t="str">
            <v>LC</v>
          </cell>
          <cell r="F3442" t="str">
            <v>Drake, 2018</v>
          </cell>
          <cell r="G3442" t="str">
            <v>NBNSYS0100005657</v>
          </cell>
          <cell r="H3442" t="str">
            <v>Sympycnus aeneicoxa</v>
          </cell>
        </row>
        <row r="3443">
          <cell r="A3443" t="str">
            <v>Sympycnus cirripes</v>
          </cell>
          <cell r="B3443" t="str">
            <v>Long-legged flies</v>
          </cell>
          <cell r="C3443" t="str">
            <v>Diptera</v>
          </cell>
          <cell r="D3443" t="str">
            <v>Sympycnus cirripes</v>
          </cell>
          <cell r="E3443" t="str">
            <v>LC</v>
          </cell>
          <cell r="F3443" t="str">
            <v>Drake, 2018</v>
          </cell>
          <cell r="G3443" t="str">
            <v>NBNSYS0000012803</v>
          </cell>
          <cell r="H3443" t="str">
            <v>Sympycnus cirripes</v>
          </cell>
        </row>
        <row r="3444">
          <cell r="A3444" t="str">
            <v>Sympycnus desoutteri</v>
          </cell>
          <cell r="B3444" t="str">
            <v>Long-legged flies</v>
          </cell>
          <cell r="C3444" t="str">
            <v>Diptera</v>
          </cell>
          <cell r="D3444" t="str">
            <v>Sympycnus desoutteri</v>
          </cell>
          <cell r="E3444" t="str">
            <v>LC</v>
          </cell>
          <cell r="F3444" t="str">
            <v>Drake, 2018</v>
          </cell>
          <cell r="G3444" t="str">
            <v>NHMSYS0021168367</v>
          </cell>
          <cell r="H3444" t="str">
            <v>Sympycnus desoutteri</v>
          </cell>
        </row>
        <row r="3445">
          <cell r="A3445" t="str">
            <v>Sympycnus spiculatus</v>
          </cell>
          <cell r="B3445" t="str">
            <v>Long-legged flies</v>
          </cell>
          <cell r="C3445" t="str">
            <v>Diptera</v>
          </cell>
          <cell r="D3445" t="str">
            <v>Sympycnus spiculatus</v>
          </cell>
          <cell r="E3445" t="str">
            <v>LC</v>
          </cell>
          <cell r="F3445" t="str">
            <v>Drake, 2018</v>
          </cell>
          <cell r="G3445" t="str">
            <v>NBNSYS0000012805</v>
          </cell>
          <cell r="H3445" t="str">
            <v>Sympycnus spiculatus</v>
          </cell>
        </row>
        <row r="3446">
          <cell r="A3446" t="str">
            <v>Syntormon aulicum</v>
          </cell>
          <cell r="B3446" t="str">
            <v>Long-legged flies</v>
          </cell>
          <cell r="C3446" t="str">
            <v>Diptera</v>
          </cell>
          <cell r="D3446" t="str">
            <v>Syntormon aulicum</v>
          </cell>
          <cell r="E3446" t="str">
            <v>LC</v>
          </cell>
          <cell r="F3446" t="str">
            <v>Drake, 2018</v>
          </cell>
          <cell r="G3446" t="str">
            <v>NBNSYS0100005668</v>
          </cell>
          <cell r="H3446" t="str">
            <v>Syntormon aulicum</v>
          </cell>
        </row>
        <row r="3447">
          <cell r="A3447" t="str">
            <v>Syntormon bicolorellum</v>
          </cell>
          <cell r="B3447" t="str">
            <v>Long-legged flies</v>
          </cell>
          <cell r="C3447" t="str">
            <v>Diptera</v>
          </cell>
          <cell r="D3447" t="str">
            <v>Syntormon bicolorellum</v>
          </cell>
          <cell r="E3447" t="str">
            <v>LC</v>
          </cell>
          <cell r="F3447" t="str">
            <v>Drake, 2018</v>
          </cell>
          <cell r="G3447" t="str">
            <v>NBNSYS0100005669</v>
          </cell>
          <cell r="H3447" t="str">
            <v>Syntormon bicolorellum</v>
          </cell>
        </row>
        <row r="3448">
          <cell r="A3448" t="str">
            <v>Syntormon denticulatum</v>
          </cell>
          <cell r="B3448" t="str">
            <v>Long-legged flies</v>
          </cell>
          <cell r="C3448" t="str">
            <v>Diptera</v>
          </cell>
          <cell r="D3448" t="str">
            <v>Syntormon denticulatum</v>
          </cell>
          <cell r="E3448" t="str">
            <v>LC</v>
          </cell>
          <cell r="F3448" t="str">
            <v>Drake, 2018</v>
          </cell>
          <cell r="G3448" t="str">
            <v>NBNSYS0100005670</v>
          </cell>
          <cell r="H3448" t="str">
            <v>Syntormon denticulatum</v>
          </cell>
        </row>
        <row r="3449">
          <cell r="A3449" t="str">
            <v>Syntormon filiger</v>
          </cell>
          <cell r="B3449" t="str">
            <v>Long-legged flies</v>
          </cell>
          <cell r="C3449" t="str">
            <v>Diptera</v>
          </cell>
          <cell r="D3449" t="str">
            <v>Syntormon filiger</v>
          </cell>
          <cell r="E3449" t="str">
            <v>LC</v>
          </cell>
          <cell r="F3449" t="str">
            <v>Drake, 2018</v>
          </cell>
          <cell r="G3449" t="str">
            <v>NBNSYS0000012730</v>
          </cell>
          <cell r="H3449" t="str">
            <v>Syntormon filiger</v>
          </cell>
        </row>
        <row r="3450">
          <cell r="A3450" t="str">
            <v>Syntormon fuscipes</v>
          </cell>
          <cell r="B3450" t="str">
            <v>Long-legged flies</v>
          </cell>
          <cell r="C3450" t="str">
            <v>Diptera</v>
          </cell>
          <cell r="D3450" t="str">
            <v>Syntormon fuscipes</v>
          </cell>
          <cell r="E3450" t="str">
            <v>LC</v>
          </cell>
          <cell r="F3450" t="str">
            <v>Drake, 2018</v>
          </cell>
          <cell r="G3450" t="str">
            <v>NBNSYS0100005671</v>
          </cell>
          <cell r="H3450" t="str">
            <v>Syntormon fuscipes</v>
          </cell>
        </row>
        <row r="3451">
          <cell r="A3451" t="str">
            <v>Syntormon macula</v>
          </cell>
          <cell r="B3451" t="str">
            <v>Long-legged flies</v>
          </cell>
          <cell r="C3451" t="str">
            <v>Diptera</v>
          </cell>
          <cell r="D3451" t="str">
            <v>Syntormon macula</v>
          </cell>
          <cell r="E3451" t="str">
            <v>LC</v>
          </cell>
          <cell r="F3451" t="str">
            <v>Drake, 2018</v>
          </cell>
          <cell r="G3451" t="str">
            <v>NBNSYS0000012731</v>
          </cell>
          <cell r="H3451" t="str">
            <v>Syntormon macula</v>
          </cell>
        </row>
        <row r="3452">
          <cell r="A3452" t="str">
            <v>Syntormon mikii</v>
          </cell>
          <cell r="B3452" t="str">
            <v>Long-legged flies</v>
          </cell>
          <cell r="C3452" t="str">
            <v>Diptera</v>
          </cell>
          <cell r="D3452" t="str">
            <v>Syntormon mikii</v>
          </cell>
          <cell r="E3452" t="str">
            <v>LC</v>
          </cell>
          <cell r="F3452" t="str">
            <v>Drake, 2018</v>
          </cell>
          <cell r="G3452" t="str">
            <v>NBNSYS0000012732</v>
          </cell>
          <cell r="H3452" t="str">
            <v>Syntormon mikii</v>
          </cell>
        </row>
        <row r="3453">
          <cell r="A3453" t="str">
            <v>Syntormon monile</v>
          </cell>
          <cell r="B3453" t="str">
            <v>Long-legged flies</v>
          </cell>
          <cell r="C3453" t="str">
            <v>Diptera</v>
          </cell>
          <cell r="D3453" t="str">
            <v>Syntormon monile</v>
          </cell>
          <cell r="E3453" t="str">
            <v>LC</v>
          </cell>
          <cell r="F3453" t="str">
            <v>Drake, 2018</v>
          </cell>
          <cell r="G3453" t="str">
            <v>NBNSYS0100005673</v>
          </cell>
          <cell r="H3453" t="str">
            <v>Syntormon monile</v>
          </cell>
        </row>
        <row r="3454">
          <cell r="A3454" t="str">
            <v>Syntormon pallipes</v>
          </cell>
          <cell r="B3454" t="str">
            <v>Long-legged flies</v>
          </cell>
          <cell r="C3454" t="str">
            <v>Diptera</v>
          </cell>
          <cell r="D3454" t="str">
            <v>Syntormon pallipes</v>
          </cell>
          <cell r="E3454" t="str">
            <v>LC</v>
          </cell>
          <cell r="F3454" t="str">
            <v>Drake, 2018</v>
          </cell>
          <cell r="G3454" t="str">
            <v>NBNSYS0000012734</v>
          </cell>
          <cell r="H3454" t="str">
            <v>Syntormon pallipes</v>
          </cell>
        </row>
        <row r="3455">
          <cell r="A3455" t="str">
            <v>Syntormon pumilum</v>
          </cell>
          <cell r="B3455" t="str">
            <v>Long-legged flies</v>
          </cell>
          <cell r="C3455" t="str">
            <v>Diptera</v>
          </cell>
          <cell r="D3455" t="str">
            <v>Syntormon pumilus</v>
          </cell>
          <cell r="E3455" t="str">
            <v>LC</v>
          </cell>
          <cell r="F3455" t="str">
            <v>Drake, 2018</v>
          </cell>
          <cell r="G3455" t="str">
            <v>NHMSYS0021265387</v>
          </cell>
          <cell r="H3455" t="str">
            <v>Syntormon pumilum</v>
          </cell>
        </row>
        <row r="3456">
          <cell r="A3456" t="str">
            <v>Syntormon silvianum</v>
          </cell>
          <cell r="B3456" t="str">
            <v>Long-legged flies</v>
          </cell>
          <cell r="C3456" t="str">
            <v>Diptera</v>
          </cell>
          <cell r="D3456" t="str">
            <v>Syntormon silvianum</v>
          </cell>
          <cell r="E3456" t="str">
            <v>LC</v>
          </cell>
          <cell r="F3456" t="str">
            <v>Drake, 2018</v>
          </cell>
          <cell r="G3456" t="str">
            <v>NHMSYS0021379344</v>
          </cell>
          <cell r="H3456" t="str">
            <v>Syntormon silvianum</v>
          </cell>
        </row>
        <row r="3457">
          <cell r="A3457" t="str">
            <v>Syntormon sulcipes</v>
          </cell>
          <cell r="B3457" t="str">
            <v>Long-legged flies</v>
          </cell>
          <cell r="C3457" t="str">
            <v>Diptera</v>
          </cell>
          <cell r="D3457" t="str">
            <v>Syntormon sulcipes</v>
          </cell>
          <cell r="E3457" t="str">
            <v>LC</v>
          </cell>
          <cell r="F3457" t="str">
            <v>Drake, 2018</v>
          </cell>
          <cell r="G3457" t="str">
            <v>NBNSYS0000012737</v>
          </cell>
          <cell r="H3457" t="str">
            <v>Syntormon sulcipes</v>
          </cell>
        </row>
        <row r="3458">
          <cell r="A3458" t="str">
            <v>Syntormon tarsatum</v>
          </cell>
          <cell r="B3458" t="str">
            <v>Long-legged flies</v>
          </cell>
          <cell r="C3458" t="str">
            <v>Diptera</v>
          </cell>
          <cell r="D3458" t="str">
            <v>Syntormon tarsatum</v>
          </cell>
          <cell r="E3458" t="str">
            <v>LC</v>
          </cell>
          <cell r="F3458" t="str">
            <v>Drake, 2018</v>
          </cell>
          <cell r="G3458" t="str">
            <v>NHMSYS0021265397</v>
          </cell>
          <cell r="H3458" t="str">
            <v>Syntormon tarsatum</v>
          </cell>
        </row>
        <row r="3459">
          <cell r="A3459" t="str">
            <v>Syntormon zelleri</v>
          </cell>
          <cell r="B3459" t="str">
            <v>Long-legged flies</v>
          </cell>
          <cell r="C3459" t="str">
            <v>Diptera</v>
          </cell>
          <cell r="D3459" t="str">
            <v>Syntormon zelleri</v>
          </cell>
          <cell r="E3459" t="str">
            <v>LC</v>
          </cell>
          <cell r="F3459" t="str">
            <v>Drake, 2018</v>
          </cell>
          <cell r="G3459" t="str">
            <v>NBNSYS0000012739</v>
          </cell>
          <cell r="H3459" t="str">
            <v>Syntormon zelleri</v>
          </cell>
        </row>
        <row r="3460">
          <cell r="A3460" t="str">
            <v>Systenus leucurus</v>
          </cell>
          <cell r="B3460" t="str">
            <v>Long-legged flies</v>
          </cell>
          <cell r="C3460" t="str">
            <v>Diptera</v>
          </cell>
          <cell r="D3460" t="str">
            <v>Systenus leucurus</v>
          </cell>
          <cell r="E3460" t="str">
            <v>LC</v>
          </cell>
          <cell r="F3460" t="str">
            <v>Drake, 2018</v>
          </cell>
          <cell r="G3460" t="str">
            <v>NBNSYS0000012743</v>
          </cell>
          <cell r="H3460" t="str">
            <v>Systenus leucurus</v>
          </cell>
        </row>
        <row r="3461">
          <cell r="A3461" t="str">
            <v>Systenus mallochi</v>
          </cell>
          <cell r="B3461" t="str">
            <v>Long-legged flies</v>
          </cell>
          <cell r="C3461" t="str">
            <v>Diptera</v>
          </cell>
          <cell r="D3461" t="str">
            <v>Systenus mallochi</v>
          </cell>
          <cell r="E3461" t="str">
            <v>LC</v>
          </cell>
          <cell r="F3461" t="str">
            <v>Drake, 2018</v>
          </cell>
          <cell r="G3461" t="str">
            <v>NBNSYS0100005687</v>
          </cell>
          <cell r="H3461" t="str">
            <v>Systenus mallochi</v>
          </cell>
        </row>
        <row r="3462">
          <cell r="A3462" t="str">
            <v>Systenus pallipes</v>
          </cell>
          <cell r="B3462" t="str">
            <v>Long-legged flies</v>
          </cell>
          <cell r="C3462" t="str">
            <v>Diptera</v>
          </cell>
          <cell r="D3462" t="str">
            <v>Systenus pallipes</v>
          </cell>
          <cell r="E3462" t="str">
            <v>LC</v>
          </cell>
          <cell r="F3462" t="str">
            <v>Drake, 2018</v>
          </cell>
          <cell r="G3462" t="str">
            <v>NBNSYS0000012744</v>
          </cell>
          <cell r="H3462" t="str">
            <v>Systenus pallipes</v>
          </cell>
        </row>
        <row r="3463">
          <cell r="A3463" t="str">
            <v>Systenus scholtzii</v>
          </cell>
          <cell r="B3463" t="str">
            <v>Long-legged flies</v>
          </cell>
          <cell r="C3463" t="str">
            <v>Diptera</v>
          </cell>
          <cell r="D3463" t="str">
            <v>Systenus scholtzii</v>
          </cell>
          <cell r="E3463" t="str">
            <v>LC</v>
          </cell>
          <cell r="F3463" t="str">
            <v>Drake, 2018</v>
          </cell>
          <cell r="G3463" t="str">
            <v>NBNSYS0000012745</v>
          </cell>
          <cell r="H3463" t="str">
            <v>Systenus scholtzii</v>
          </cell>
        </row>
        <row r="3464">
          <cell r="A3464" t="str">
            <v>Systenus tener</v>
          </cell>
          <cell r="B3464" t="str">
            <v>Long-legged flies</v>
          </cell>
          <cell r="C3464" t="str">
            <v>Diptera</v>
          </cell>
          <cell r="D3464" t="str">
            <v>Systenus tener</v>
          </cell>
          <cell r="E3464" t="str">
            <v>NT</v>
          </cell>
          <cell r="F3464" t="str">
            <v>Drake, 2018</v>
          </cell>
          <cell r="G3464" t="str">
            <v>NBNSYS0000012746</v>
          </cell>
          <cell r="H3464" t="str">
            <v>Systenus tener</v>
          </cell>
        </row>
        <row r="3465">
          <cell r="A3465" t="str">
            <v>Tachytrechus consobrinus</v>
          </cell>
          <cell r="B3465" t="str">
            <v>Long-legged flies</v>
          </cell>
          <cell r="C3465" t="str">
            <v>Diptera</v>
          </cell>
          <cell r="D3465" t="str">
            <v>Tachytrechus consobrinus</v>
          </cell>
          <cell r="E3465" t="str">
            <v>LC</v>
          </cell>
          <cell r="F3465" t="str">
            <v>Drake, 2018</v>
          </cell>
          <cell r="G3465" t="str">
            <v>NBNSYS0000012642</v>
          </cell>
          <cell r="H3465" t="str">
            <v>Tachytrechus consobrinus</v>
          </cell>
        </row>
        <row r="3466">
          <cell r="A3466" t="str">
            <v>Tachytrechus insignis</v>
          </cell>
          <cell r="B3466" t="str">
            <v>Long-legged flies</v>
          </cell>
          <cell r="C3466" t="str">
            <v>Diptera</v>
          </cell>
          <cell r="D3466" t="str">
            <v>Tachytrechus insignis</v>
          </cell>
          <cell r="E3466" t="str">
            <v>LC</v>
          </cell>
          <cell r="F3466" t="str">
            <v>Drake, 2018</v>
          </cell>
          <cell r="G3466" t="str">
            <v>NBNSYS0000012643</v>
          </cell>
          <cell r="H3466" t="str">
            <v>Tachytrechus insignis</v>
          </cell>
        </row>
        <row r="3467">
          <cell r="A3467" t="str">
            <v>Tachytrechus notatus</v>
          </cell>
          <cell r="B3467" t="str">
            <v>Long-legged flies</v>
          </cell>
          <cell r="C3467" t="str">
            <v>Diptera</v>
          </cell>
          <cell r="D3467" t="str">
            <v>Tachytrechus notatus</v>
          </cell>
          <cell r="E3467" t="str">
            <v>LC</v>
          </cell>
          <cell r="F3467" t="str">
            <v>Drake, 2018</v>
          </cell>
          <cell r="G3467" t="str">
            <v>NBNSYS0000012644</v>
          </cell>
          <cell r="H3467" t="str">
            <v>Tachytrechus notatus</v>
          </cell>
        </row>
        <row r="3468">
          <cell r="A3468" t="str">
            <v>Tachytrechus ripicola</v>
          </cell>
          <cell r="B3468" t="str">
            <v>Long-legged flies</v>
          </cell>
          <cell r="C3468" t="str">
            <v>Diptera</v>
          </cell>
          <cell r="D3468" t="str">
            <v>Tachytrechus ripicola</v>
          </cell>
          <cell r="E3468" t="str">
            <v>CR</v>
          </cell>
          <cell r="F3468" t="str">
            <v>Drake, 2018</v>
          </cell>
          <cell r="G3468" t="str">
            <v>NBNSYS0000012645</v>
          </cell>
          <cell r="H3468" t="str">
            <v>Tachytrechus ripicola</v>
          </cell>
        </row>
        <row r="3469">
          <cell r="A3469" t="str">
            <v>Telmaturgus tumidulus</v>
          </cell>
          <cell r="B3469" t="str">
            <v>Long-legged flies</v>
          </cell>
          <cell r="C3469" t="str">
            <v>Diptera</v>
          </cell>
          <cell r="D3469" t="str">
            <v>Telmaturgus tumidulus</v>
          </cell>
          <cell r="E3469" t="str">
            <v>LC</v>
          </cell>
          <cell r="F3469" t="str">
            <v>Drake, 2018</v>
          </cell>
          <cell r="G3469" t="str">
            <v>NBNSYS0000012812</v>
          </cell>
          <cell r="H3469" t="str">
            <v>Telmaturgus tumidulus</v>
          </cell>
        </row>
        <row r="3470">
          <cell r="A3470" t="str">
            <v>Teuchophorus calcaratus</v>
          </cell>
          <cell r="B3470" t="str">
            <v>Long-legged flies</v>
          </cell>
          <cell r="C3470" t="str">
            <v>Diptera</v>
          </cell>
          <cell r="D3470" t="str">
            <v>Teuchophorus calcaratus</v>
          </cell>
          <cell r="E3470" t="str">
            <v>LC</v>
          </cell>
          <cell r="F3470" t="str">
            <v>Drake, 2018</v>
          </cell>
          <cell r="G3470" t="str">
            <v>NBNSYS0000012807</v>
          </cell>
          <cell r="H3470" t="str">
            <v>Teuchophorus calcaratus</v>
          </cell>
        </row>
        <row r="3471">
          <cell r="A3471" t="str">
            <v>Teuchophorus monacanthus</v>
          </cell>
          <cell r="B3471" t="str">
            <v>Long-legged flies</v>
          </cell>
          <cell r="C3471" t="str">
            <v>Diptera</v>
          </cell>
          <cell r="D3471" t="str">
            <v>Teuchophorus monacanthus</v>
          </cell>
          <cell r="E3471" t="str">
            <v>LC</v>
          </cell>
          <cell r="F3471" t="str">
            <v>Drake, 2018</v>
          </cell>
          <cell r="G3471" t="str">
            <v>NBNSYS0000012808</v>
          </cell>
          <cell r="H3471" t="str">
            <v>Teuchophorus monacanthus</v>
          </cell>
        </row>
        <row r="3472">
          <cell r="A3472" t="str">
            <v>Teuchophorus nigricosta</v>
          </cell>
          <cell r="B3472" t="str">
            <v>Long-legged flies</v>
          </cell>
          <cell r="C3472" t="str">
            <v>Diptera</v>
          </cell>
          <cell r="D3472" t="str">
            <v>Teuchophorus nigricosta</v>
          </cell>
          <cell r="E3472" t="str">
            <v>LC</v>
          </cell>
          <cell r="F3472" t="str">
            <v>Drake, 2018</v>
          </cell>
          <cell r="G3472" t="str">
            <v>NBNSYS0100005787</v>
          </cell>
          <cell r="H3472" t="str">
            <v>Teuchophorus nigricosta</v>
          </cell>
        </row>
        <row r="3473">
          <cell r="A3473" t="str">
            <v>Teuchophorus simplex</v>
          </cell>
          <cell r="B3473" t="str">
            <v>Long-legged flies</v>
          </cell>
          <cell r="C3473" t="str">
            <v>Diptera</v>
          </cell>
          <cell r="D3473" t="str">
            <v>Teuchophorus simplex</v>
          </cell>
          <cell r="E3473" t="str">
            <v>LC</v>
          </cell>
          <cell r="F3473" t="str">
            <v>Drake, 2018</v>
          </cell>
          <cell r="G3473" t="str">
            <v>NBNSYS0000012810</v>
          </cell>
          <cell r="H3473" t="str">
            <v>Teuchophorus simplex</v>
          </cell>
        </row>
        <row r="3474">
          <cell r="A3474" t="str">
            <v>Teuchophorus spinigerellus</v>
          </cell>
          <cell r="B3474" t="str">
            <v>Long-legged flies</v>
          </cell>
          <cell r="C3474" t="str">
            <v>Diptera</v>
          </cell>
          <cell r="D3474" t="str">
            <v>Teuchophorus spinigerellus</v>
          </cell>
          <cell r="E3474" t="str">
            <v>LC</v>
          </cell>
          <cell r="F3474" t="str">
            <v>Drake, 2018</v>
          </cell>
          <cell r="G3474" t="str">
            <v>NBNSYS0000012811</v>
          </cell>
          <cell r="H3474" t="str">
            <v>Teuchophorus spinigerellus</v>
          </cell>
        </row>
        <row r="3475">
          <cell r="A3475" t="str">
            <v>Thinophilus flavipalpis</v>
          </cell>
          <cell r="B3475" t="str">
            <v>Long-legged flies</v>
          </cell>
          <cell r="C3475" t="str">
            <v>Diptera</v>
          </cell>
          <cell r="D3475" t="str">
            <v>Thinophilus flavipalpis</v>
          </cell>
          <cell r="E3475" t="str">
            <v>LC</v>
          </cell>
          <cell r="F3475" t="str">
            <v>Drake, 2018</v>
          </cell>
          <cell r="G3475" t="str">
            <v>NBNSYS0000012658</v>
          </cell>
          <cell r="H3475" t="str">
            <v>Thinophilus flavipalpis</v>
          </cell>
        </row>
        <row r="3476">
          <cell r="A3476" t="str">
            <v>Thinophilus ruficornis</v>
          </cell>
          <cell r="B3476" t="str">
            <v>Long-legged flies</v>
          </cell>
          <cell r="C3476" t="str">
            <v>Diptera</v>
          </cell>
          <cell r="D3476" t="str">
            <v>Thinophilus ruficornis</v>
          </cell>
          <cell r="E3476" t="str">
            <v>LC</v>
          </cell>
          <cell r="F3476" t="str">
            <v>Drake, 2018</v>
          </cell>
          <cell r="G3476" t="str">
            <v>NBNSYS0100027630</v>
          </cell>
          <cell r="H3476" t="str">
            <v>Thinophilus ruficornis</v>
          </cell>
        </row>
        <row r="3477">
          <cell r="A3477" t="str">
            <v>Thrypticus bellus</v>
          </cell>
          <cell r="B3477" t="str">
            <v>Long-legged flies</v>
          </cell>
          <cell r="C3477" t="str">
            <v>Diptera</v>
          </cell>
          <cell r="D3477" t="str">
            <v>Thrypticus bellus</v>
          </cell>
          <cell r="E3477" t="str">
            <v>LC</v>
          </cell>
          <cell r="F3477" t="str">
            <v>Drake, 2018</v>
          </cell>
          <cell r="G3477" t="str">
            <v>NBNSYS0000012695</v>
          </cell>
          <cell r="H3477" t="str">
            <v>Thrypticus bellus</v>
          </cell>
        </row>
        <row r="3478">
          <cell r="A3478" t="str">
            <v>Thrypticus cuneatus</v>
          </cell>
          <cell r="B3478" t="str">
            <v>Long-legged flies</v>
          </cell>
          <cell r="C3478" t="str">
            <v>Diptera</v>
          </cell>
          <cell r="D3478" t="str">
            <v>Thrypticus cuneatus</v>
          </cell>
          <cell r="E3478" t="str">
            <v>NT</v>
          </cell>
          <cell r="F3478" t="str">
            <v>Drake, 2018</v>
          </cell>
          <cell r="G3478" t="str">
            <v>NBNSYS0000012696</v>
          </cell>
          <cell r="H3478" t="str">
            <v>Thrypticus cuneatus</v>
          </cell>
        </row>
        <row r="3479">
          <cell r="A3479" t="str">
            <v>Thrypticus divisus</v>
          </cell>
          <cell r="B3479" t="str">
            <v>Long-legged flies</v>
          </cell>
          <cell r="C3479" t="str">
            <v>Diptera</v>
          </cell>
          <cell r="D3479" t="str">
            <v>Thrypticus divisus</v>
          </cell>
          <cell r="E3479" t="str">
            <v>LC</v>
          </cell>
          <cell r="F3479" t="str">
            <v>Drake, 2018</v>
          </cell>
          <cell r="G3479" t="str">
            <v>NBNSYS0000012697</v>
          </cell>
          <cell r="H3479" t="str">
            <v>Thrypticus divisus</v>
          </cell>
        </row>
        <row r="3480">
          <cell r="A3480" t="str">
            <v>Thrypticus laetus</v>
          </cell>
          <cell r="B3480" t="str">
            <v>Long-legged flies</v>
          </cell>
          <cell r="C3480" t="str">
            <v>Diptera</v>
          </cell>
          <cell r="D3480" t="str">
            <v>Thrypticus laetus</v>
          </cell>
          <cell r="E3480" t="str">
            <v>LC</v>
          </cell>
          <cell r="F3480" t="str">
            <v>Drake, 2018</v>
          </cell>
          <cell r="G3480" t="str">
            <v>NBNSYS0000012698</v>
          </cell>
          <cell r="H3480" t="str">
            <v>Thrypticus laetus</v>
          </cell>
        </row>
        <row r="3481">
          <cell r="A3481" t="str">
            <v>Thrypticus nigricauda</v>
          </cell>
          <cell r="B3481" t="str">
            <v>Long-legged flies</v>
          </cell>
          <cell r="C3481" t="str">
            <v>Diptera</v>
          </cell>
          <cell r="D3481" t="str">
            <v>Thrypticus nigricauda</v>
          </cell>
          <cell r="E3481" t="str">
            <v>LC</v>
          </cell>
          <cell r="F3481" t="str">
            <v>Drake, 2018</v>
          </cell>
          <cell r="G3481" t="str">
            <v>NBNSYS0000012699</v>
          </cell>
          <cell r="H3481" t="str">
            <v>Thrypticus nigricauda</v>
          </cell>
        </row>
        <row r="3482">
          <cell r="A3482" t="str">
            <v>Thrypticus pollinosus</v>
          </cell>
          <cell r="B3482" t="str">
            <v>Long-legged flies</v>
          </cell>
          <cell r="C3482" t="str">
            <v>Diptera</v>
          </cell>
          <cell r="D3482" t="str">
            <v>Thrypticus pollinosus</v>
          </cell>
          <cell r="E3482" t="str">
            <v>LC</v>
          </cell>
          <cell r="F3482" t="str">
            <v>Drake, 2018</v>
          </cell>
          <cell r="G3482" t="str">
            <v>NBNSYS0000012700</v>
          </cell>
          <cell r="H3482" t="str">
            <v>Thrypticus pollinosus</v>
          </cell>
        </row>
        <row r="3483">
          <cell r="A3483" t="str">
            <v>Thrypticus smaragdinus</v>
          </cell>
          <cell r="B3483" t="str">
            <v>Long-legged flies</v>
          </cell>
          <cell r="C3483" t="str">
            <v>Diptera</v>
          </cell>
          <cell r="D3483" t="str">
            <v>Thrypticus smaragdinus</v>
          </cell>
          <cell r="E3483" t="str">
            <v>LC</v>
          </cell>
          <cell r="F3483" t="str">
            <v>Drake, 2018</v>
          </cell>
          <cell r="G3483" t="str">
            <v>NBNSYS0000033160</v>
          </cell>
          <cell r="H3483" t="str">
            <v>Thrypticus smaragdinus</v>
          </cell>
        </row>
        <row r="3484">
          <cell r="A3484" t="str">
            <v>Thrypticus tarsalis</v>
          </cell>
          <cell r="B3484" t="str">
            <v>Long-legged flies</v>
          </cell>
          <cell r="C3484" t="str">
            <v>Diptera</v>
          </cell>
          <cell r="D3484" t="str">
            <v>Thrypticus tarsalis</v>
          </cell>
          <cell r="E3484" t="str">
            <v>LC</v>
          </cell>
          <cell r="F3484" t="str">
            <v>Drake, 2018</v>
          </cell>
          <cell r="G3484" t="str">
            <v>NBNSYS0000012701</v>
          </cell>
          <cell r="H3484" t="str">
            <v>Thrypticus tarsalis</v>
          </cell>
        </row>
        <row r="3485">
          <cell r="A3485" t="str">
            <v>Xanthochlorus galbanus</v>
          </cell>
          <cell r="B3485" t="str">
            <v>Long-legged flies</v>
          </cell>
          <cell r="C3485" t="str">
            <v>Diptera</v>
          </cell>
          <cell r="D3485" t="str">
            <v>Xanthochlorus galbanus</v>
          </cell>
          <cell r="E3485" t="str">
            <v>LC</v>
          </cell>
          <cell r="F3485" t="str">
            <v>Drake, 2018</v>
          </cell>
          <cell r="G3485" t="str">
            <v>NHMSYS0020977221</v>
          </cell>
          <cell r="H3485" t="str">
            <v>Xanthochlorus galbanus</v>
          </cell>
        </row>
        <row r="3486">
          <cell r="A3486" t="str">
            <v>Xanthochlorus ornatus</v>
          </cell>
          <cell r="B3486" t="str">
            <v>Long-legged flies</v>
          </cell>
          <cell r="C3486" t="str">
            <v>Diptera</v>
          </cell>
          <cell r="D3486" t="str">
            <v>Xanthochlorus ornatus</v>
          </cell>
          <cell r="E3486" t="str">
            <v>LC</v>
          </cell>
          <cell r="F3486" t="str">
            <v>Drake, 2018</v>
          </cell>
          <cell r="G3486" t="str">
            <v>NBNSYS0000012819</v>
          </cell>
          <cell r="H3486" t="str">
            <v>Xanthochlorus ornatus</v>
          </cell>
        </row>
        <row r="3487">
          <cell r="A3487" t="str">
            <v>Xanthochlorus tenellus</v>
          </cell>
          <cell r="B3487" t="str">
            <v>Long-legged flies</v>
          </cell>
          <cell r="C3487" t="str">
            <v>Diptera</v>
          </cell>
          <cell r="D3487" t="str">
            <v>Xanthochlorus tenellus</v>
          </cell>
          <cell r="E3487" t="str">
            <v>LC</v>
          </cell>
          <cell r="F3487" t="str">
            <v>Drake, 2018</v>
          </cell>
          <cell r="G3487" t="str">
            <v>NBNSYS0000012820</v>
          </cell>
          <cell r="H3487" t="str">
            <v>Xanthochlorus tenellus</v>
          </cell>
        </row>
        <row r="3488">
          <cell r="A3488" t="str">
            <v>Apodemus flavicollis</v>
          </cell>
          <cell r="B3488" t="str">
            <v>Mammals (non-marine)</v>
          </cell>
          <cell r="C3488" t="str">
            <v>Mammalia</v>
          </cell>
          <cell r="D3488" t="str">
            <v>Apodemus flavicollis</v>
          </cell>
          <cell r="E3488" t="str">
            <v>LC</v>
          </cell>
          <cell r="F3488" t="str">
            <v>Mathews &amp; Harrower, 2020</v>
          </cell>
          <cell r="G3488" t="str">
            <v>NHMSYS0000080209</v>
          </cell>
          <cell r="H3488" t="str">
            <v>Apodemus flavicollis</v>
          </cell>
        </row>
        <row r="3489">
          <cell r="A3489" t="str">
            <v>Apodemus sylvaticus</v>
          </cell>
          <cell r="B3489" t="str">
            <v>Mammals (non-marine)</v>
          </cell>
          <cell r="C3489" t="str">
            <v>Mammalia</v>
          </cell>
          <cell r="D3489" t="str">
            <v>Apodemus sylvaticus</v>
          </cell>
          <cell r="E3489" t="str">
            <v>LC</v>
          </cell>
          <cell r="F3489" t="str">
            <v>Mathews &amp; Harrower, 2020</v>
          </cell>
          <cell r="G3489" t="str">
            <v>NHMSYS0000080210</v>
          </cell>
          <cell r="H3489" t="str">
            <v>Apodemus sylvaticus</v>
          </cell>
        </row>
        <row r="3490">
          <cell r="A3490" t="str">
            <v>Arvicola amphibius</v>
          </cell>
          <cell r="B3490" t="str">
            <v>Mammals (non-marine)</v>
          </cell>
          <cell r="C3490" t="str">
            <v>Mammalia</v>
          </cell>
          <cell r="D3490" t="str">
            <v>Arvicola amphibius</v>
          </cell>
          <cell r="E3490" t="str">
            <v>EN</v>
          </cell>
          <cell r="F3490" t="str">
            <v>Mathews &amp; Harrower, 2020</v>
          </cell>
          <cell r="G3490" t="str">
            <v>NHMSYS0020546253</v>
          </cell>
          <cell r="H3490" t="str">
            <v>Arvicola amphibius</v>
          </cell>
        </row>
        <row r="3491">
          <cell r="A3491" t="str">
            <v>Barbastella barbastellus</v>
          </cell>
          <cell r="B3491" t="str">
            <v>Mammals (non-marine)</v>
          </cell>
          <cell r="C3491" t="str">
            <v>Mammalia</v>
          </cell>
          <cell r="D3491" t="str">
            <v>Barbastella barbastellus</v>
          </cell>
          <cell r="E3491" t="str">
            <v>VU</v>
          </cell>
          <cell r="F3491" t="str">
            <v>Mathews &amp; Harrower, 2020</v>
          </cell>
          <cell r="G3491" t="str">
            <v>NHMSYS0000080178</v>
          </cell>
          <cell r="H3491" t="str">
            <v>Barbastella barbastellus</v>
          </cell>
        </row>
        <row r="3492">
          <cell r="A3492" t="str">
            <v>Canis lupus</v>
          </cell>
          <cell r="B3492" t="str">
            <v>Mammals (non-marine)</v>
          </cell>
          <cell r="C3492" t="str">
            <v>Mammalia</v>
          </cell>
          <cell r="D3492" t="str">
            <v>Canis lupus</v>
          </cell>
          <cell r="E3492" t="str">
            <v>RE</v>
          </cell>
          <cell r="F3492" t="str">
            <v>Mathews &amp; Harrower, 2020</v>
          </cell>
          <cell r="G3492" t="str">
            <v>NBNSYS0000005184</v>
          </cell>
          <cell r="H3492" t="str">
            <v>Canis lupus</v>
          </cell>
        </row>
        <row r="3493">
          <cell r="A3493" t="str">
            <v>Capreolus capreolus</v>
          </cell>
          <cell r="B3493" t="str">
            <v>Mammals (non-marine)</v>
          </cell>
          <cell r="C3493" t="str">
            <v>Mammalia</v>
          </cell>
          <cell r="D3493" t="str">
            <v>Capreolus capreolus</v>
          </cell>
          <cell r="E3493" t="str">
            <v>LC</v>
          </cell>
          <cell r="F3493" t="str">
            <v>Mathews &amp; Harrower, 2020</v>
          </cell>
          <cell r="G3493" t="str">
            <v>NHMSYS0000080203</v>
          </cell>
          <cell r="H3493" t="str">
            <v>Capreolus capreolus</v>
          </cell>
        </row>
        <row r="3494">
          <cell r="A3494" t="str">
            <v>Castor fiber</v>
          </cell>
          <cell r="B3494" t="str">
            <v>Mammals (non-marine)</v>
          </cell>
          <cell r="C3494" t="str">
            <v>Mammalia</v>
          </cell>
          <cell r="D3494" t="str">
            <v>Castor fiber</v>
          </cell>
          <cell r="E3494" t="str">
            <v>EN</v>
          </cell>
          <cell r="F3494" t="str">
            <v>Mathews &amp; Harrower, 2020</v>
          </cell>
          <cell r="G3494" t="str">
            <v>NBNSYS0000005107</v>
          </cell>
          <cell r="H3494" t="str">
            <v>Castor fiber</v>
          </cell>
        </row>
        <row r="3495">
          <cell r="A3495" t="str">
            <v>Cervus elaphus</v>
          </cell>
          <cell r="B3495" t="str">
            <v>Mammals (non-marine)</v>
          </cell>
          <cell r="C3495" t="str">
            <v>Mammalia</v>
          </cell>
          <cell r="D3495" t="str">
            <v>Cervus elaphus</v>
          </cell>
          <cell r="E3495" t="str">
            <v>LC</v>
          </cell>
          <cell r="F3495" t="str">
            <v>Mathews &amp; Harrower, 2020</v>
          </cell>
          <cell r="G3495" t="str">
            <v>NBNSYS0000005143</v>
          </cell>
          <cell r="H3495" t="str">
            <v>Cervus elaphus</v>
          </cell>
        </row>
        <row r="3496">
          <cell r="A3496" t="str">
            <v>Crocidura suaveolens</v>
          </cell>
          <cell r="B3496" t="str">
            <v>Mammals (non-marine)</v>
          </cell>
          <cell r="C3496" t="str">
            <v>Mammalia</v>
          </cell>
          <cell r="D3496" t="str">
            <v>Crocidura suaveolens</v>
          </cell>
          <cell r="E3496" t="str">
            <v>NT</v>
          </cell>
          <cell r="F3496" t="str">
            <v>Mathews &amp; Harrower, 2020</v>
          </cell>
          <cell r="G3496" t="str">
            <v>NHMSYS0000080173</v>
          </cell>
          <cell r="H3496" t="str">
            <v>Crocidura suaveolens</v>
          </cell>
        </row>
        <row r="3497">
          <cell r="A3497" t="str">
            <v>Eptesicus serotinus</v>
          </cell>
          <cell r="B3497" t="str">
            <v>Mammals (non-marine)</v>
          </cell>
          <cell r="C3497" t="str">
            <v>Mammalia</v>
          </cell>
          <cell r="D3497" t="str">
            <v>Eptesicus serotinus</v>
          </cell>
          <cell r="E3497" t="str">
            <v>VU</v>
          </cell>
          <cell r="F3497" t="str">
            <v>Mathews &amp; Harrower, 2020</v>
          </cell>
          <cell r="G3497" t="str">
            <v>NHMSYS0000528008</v>
          </cell>
          <cell r="H3497" t="str">
            <v>Eptesicus serotinus</v>
          </cell>
        </row>
        <row r="3498">
          <cell r="A3498" t="str">
            <v>Erinaceus europaeus</v>
          </cell>
          <cell r="B3498" t="str">
            <v>Mammals (non-marine)</v>
          </cell>
          <cell r="C3498" t="str">
            <v>Mammalia</v>
          </cell>
          <cell r="D3498" t="str">
            <v>Erinaceus europaeus</v>
          </cell>
          <cell r="E3498" t="str">
            <v>VU</v>
          </cell>
          <cell r="F3498" t="str">
            <v>Mathews &amp; Harrower, 2020</v>
          </cell>
          <cell r="G3498" t="str">
            <v>NBNSYS0000005078</v>
          </cell>
          <cell r="H3498" t="str">
            <v>Erinaceus europaeus</v>
          </cell>
        </row>
        <row r="3499">
          <cell r="A3499" t="str">
            <v>Felis silvestris</v>
          </cell>
          <cell r="B3499" t="str">
            <v>Mammals (non-marine)</v>
          </cell>
          <cell r="C3499" t="str">
            <v>Mammalia</v>
          </cell>
          <cell r="D3499" t="str">
            <v>Felis silvestris</v>
          </cell>
          <cell r="E3499" t="str">
            <v>CR</v>
          </cell>
          <cell r="F3499" t="str">
            <v>Mathews &amp; Harrower, 2020</v>
          </cell>
          <cell r="G3499" t="str">
            <v>NHMSYS0000332741</v>
          </cell>
          <cell r="H3499" t="str">
            <v>Felis silvestris</v>
          </cell>
        </row>
        <row r="3500">
          <cell r="A3500" t="str">
            <v>Lepus timidus</v>
          </cell>
          <cell r="B3500" t="str">
            <v>Mammals (non-marine)</v>
          </cell>
          <cell r="C3500" t="str">
            <v>Mammalia</v>
          </cell>
          <cell r="D3500" t="str">
            <v>Lepus timidus</v>
          </cell>
          <cell r="E3500" t="str">
            <v>NT</v>
          </cell>
          <cell r="F3500" t="str">
            <v>Mathews &amp; Harrower, 2020</v>
          </cell>
          <cell r="G3500" t="str">
            <v>NBNSYS0000005106</v>
          </cell>
          <cell r="H3500" t="str">
            <v>Lepus timidus</v>
          </cell>
        </row>
        <row r="3501">
          <cell r="A3501" t="str">
            <v>Lutra lutra</v>
          </cell>
          <cell r="B3501" t="str">
            <v>Mammals (non-marine)</v>
          </cell>
          <cell r="C3501" t="str">
            <v>Mammalia</v>
          </cell>
          <cell r="D3501" t="str">
            <v>Lutra lutra</v>
          </cell>
          <cell r="E3501" t="str">
            <v>LC</v>
          </cell>
          <cell r="F3501" t="str">
            <v>Mathews &amp; Harrower, 2020</v>
          </cell>
          <cell r="G3501" t="str">
            <v>NBNSYS0000005133</v>
          </cell>
          <cell r="H3501" t="str">
            <v>Lutra lutra</v>
          </cell>
        </row>
        <row r="3502">
          <cell r="A3502" t="str">
            <v>Martes martes</v>
          </cell>
          <cell r="B3502" t="str">
            <v>Mammals (non-marine)</v>
          </cell>
          <cell r="C3502" t="str">
            <v>Mammalia</v>
          </cell>
          <cell r="D3502" t="str">
            <v>Martes martes</v>
          </cell>
          <cell r="E3502" t="str">
            <v>LC</v>
          </cell>
          <cell r="F3502" t="str">
            <v>Mathews &amp; Harrower, 2020</v>
          </cell>
          <cell r="G3502" t="str">
            <v>NHMSYS0000080190</v>
          </cell>
          <cell r="H3502" t="str">
            <v>Martes martes</v>
          </cell>
        </row>
        <row r="3503">
          <cell r="A3503" t="str">
            <v>Meles meles</v>
          </cell>
          <cell r="B3503" t="str">
            <v>Mammals (non-marine)</v>
          </cell>
          <cell r="C3503" t="str">
            <v>Mammalia</v>
          </cell>
          <cell r="D3503" t="str">
            <v>Meles meles</v>
          </cell>
          <cell r="E3503" t="str">
            <v>LC</v>
          </cell>
          <cell r="F3503" t="str">
            <v>Mathews &amp; Harrower, 2020</v>
          </cell>
          <cell r="G3503" t="str">
            <v>NHMSYS0000080191</v>
          </cell>
          <cell r="H3503" t="str">
            <v>Meles meles</v>
          </cell>
        </row>
        <row r="3504">
          <cell r="A3504" t="str">
            <v>Micromys minutus</v>
          </cell>
          <cell r="B3504" t="str">
            <v>Mammals (non-marine)</v>
          </cell>
          <cell r="C3504" t="str">
            <v>Mammalia</v>
          </cell>
          <cell r="D3504" t="str">
            <v>Micromys minutus</v>
          </cell>
          <cell r="E3504" t="str">
            <v>NT</v>
          </cell>
          <cell r="F3504" t="str">
            <v>Mathews &amp; Harrower, 2020</v>
          </cell>
          <cell r="G3504" t="str">
            <v>NHMSYS0000080211</v>
          </cell>
          <cell r="H3504" t="str">
            <v>Micromys minutus</v>
          </cell>
        </row>
        <row r="3505">
          <cell r="A3505" t="str">
            <v>Microtus agrestis</v>
          </cell>
          <cell r="B3505" t="str">
            <v>Mammals (non-marine)</v>
          </cell>
          <cell r="C3505" t="str">
            <v>Mammalia</v>
          </cell>
          <cell r="D3505" t="str">
            <v>Microtus agrestis</v>
          </cell>
          <cell r="E3505" t="str">
            <v>LC</v>
          </cell>
          <cell r="F3505" t="str">
            <v>Mathews &amp; Harrower, 2020</v>
          </cell>
          <cell r="G3505" t="str">
            <v>NHMSYS0000080207</v>
          </cell>
          <cell r="H3505" t="str">
            <v>Microtus agrestis</v>
          </cell>
        </row>
        <row r="3506">
          <cell r="A3506" t="str">
            <v>Muscardinus avellanarius</v>
          </cell>
          <cell r="B3506" t="str">
            <v>Mammals (non-marine)</v>
          </cell>
          <cell r="C3506" t="str">
            <v>Mammalia</v>
          </cell>
          <cell r="D3506" t="str">
            <v>Muscardinus avellanarius</v>
          </cell>
          <cell r="E3506" t="str">
            <v>VU</v>
          </cell>
          <cell r="F3506" t="str">
            <v>Mathews &amp; Harrower, 2020</v>
          </cell>
          <cell r="G3506" t="str">
            <v>NHMSYS0000080214</v>
          </cell>
          <cell r="H3506" t="str">
            <v>Muscardinus avellanarius</v>
          </cell>
        </row>
        <row r="3507">
          <cell r="A3507" t="str">
            <v>Mustela erminea</v>
          </cell>
          <cell r="B3507" t="str">
            <v>Mammals (non-marine)</v>
          </cell>
          <cell r="C3507" t="str">
            <v>Mammalia</v>
          </cell>
          <cell r="D3507" t="str">
            <v>Mustela erminea</v>
          </cell>
          <cell r="E3507" t="str">
            <v>LC</v>
          </cell>
          <cell r="F3507" t="str">
            <v>Mathews &amp; Harrower, 2020</v>
          </cell>
          <cell r="G3507" t="str">
            <v>NBNSYS0000005127</v>
          </cell>
          <cell r="H3507" t="str">
            <v>Mustela erminea</v>
          </cell>
        </row>
        <row r="3508">
          <cell r="A3508" t="str">
            <v>Mustela nivalis</v>
          </cell>
          <cell r="B3508" t="str">
            <v>Mammals (non-marine)</v>
          </cell>
          <cell r="C3508" t="str">
            <v>Mammalia</v>
          </cell>
          <cell r="D3508" t="str">
            <v>Mustela nivalis</v>
          </cell>
          <cell r="E3508" t="str">
            <v>LC</v>
          </cell>
          <cell r="F3508" t="str">
            <v>Mathews &amp; Harrower, 2020</v>
          </cell>
          <cell r="G3508" t="str">
            <v>NBNSYS0000005128</v>
          </cell>
          <cell r="H3508" t="str">
            <v>Mustela nivalis</v>
          </cell>
        </row>
        <row r="3509">
          <cell r="A3509" t="str">
            <v>Mustela putorius</v>
          </cell>
          <cell r="B3509" t="str">
            <v>Mammals (non-marine)</v>
          </cell>
          <cell r="C3509" t="str">
            <v>Mammalia</v>
          </cell>
          <cell r="D3509" t="str">
            <v>Mustela putorius</v>
          </cell>
          <cell r="E3509" t="str">
            <v>LC</v>
          </cell>
          <cell r="F3509" t="str">
            <v>Mathews &amp; Harrower, 2020</v>
          </cell>
          <cell r="G3509" t="str">
            <v>NBNSYS0000005129</v>
          </cell>
          <cell r="H3509" t="str">
            <v>Mustela putorius</v>
          </cell>
        </row>
        <row r="3510">
          <cell r="A3510" t="str">
            <v>Myodes glareolus</v>
          </cell>
          <cell r="B3510" t="str">
            <v>Mammals (non-marine)</v>
          </cell>
          <cell r="C3510" t="str">
            <v>Mammalia</v>
          </cell>
          <cell r="D3510" t="str">
            <v>Myodes glareolus</v>
          </cell>
          <cell r="E3510" t="str">
            <v>LC</v>
          </cell>
          <cell r="F3510" t="str">
            <v>Mathews &amp; Harrower, 2020</v>
          </cell>
          <cell r="G3510" t="str">
            <v>NHMSYS0020755138</v>
          </cell>
          <cell r="H3510" t="str">
            <v>Myodes glareolus</v>
          </cell>
        </row>
        <row r="3511">
          <cell r="A3511" t="str">
            <v>Myotis bechsteinii</v>
          </cell>
          <cell r="B3511" t="str">
            <v>Mammals (non-marine)</v>
          </cell>
          <cell r="C3511" t="str">
            <v>Mammalia</v>
          </cell>
          <cell r="D3511" t="str">
            <v>Myotis bechsteinii</v>
          </cell>
          <cell r="E3511" t="str">
            <v>LC</v>
          </cell>
          <cell r="F3511" t="str">
            <v>Mathews &amp; Harrower, 2020</v>
          </cell>
          <cell r="G3511" t="str">
            <v>NHMSYS0000528024</v>
          </cell>
          <cell r="H3511" t="str">
            <v>Myotis bechsteinii</v>
          </cell>
        </row>
        <row r="3512">
          <cell r="A3512" t="str">
            <v>Myotis daubentonii</v>
          </cell>
          <cell r="B3512" t="str">
            <v>Mammals (non-marine)</v>
          </cell>
          <cell r="C3512" t="str">
            <v>Mammalia</v>
          </cell>
          <cell r="D3512" t="str">
            <v>Myotis daubentonii</v>
          </cell>
          <cell r="E3512" t="str">
            <v>LC</v>
          </cell>
          <cell r="F3512" t="str">
            <v>Mathews &amp; Harrower, 2020</v>
          </cell>
          <cell r="G3512" t="str">
            <v>NHMSYS0000528028</v>
          </cell>
          <cell r="H3512" t="str">
            <v>Myotis daubentonii</v>
          </cell>
        </row>
        <row r="3513">
          <cell r="A3513" t="str">
            <v>Myotis myotis</v>
          </cell>
          <cell r="B3513" t="str">
            <v>Mammals (non-marine)</v>
          </cell>
          <cell r="C3513" t="str">
            <v>Mammalia</v>
          </cell>
          <cell r="D3513" t="str">
            <v>Myotis myotis</v>
          </cell>
          <cell r="E3513" t="str">
            <v>CR</v>
          </cell>
          <cell r="F3513" t="str">
            <v>Mathews &amp; Harrower, 2020</v>
          </cell>
          <cell r="G3513" t="str">
            <v>NHMSYS0000080182</v>
          </cell>
          <cell r="H3513" t="str">
            <v>Myotis myotis</v>
          </cell>
        </row>
        <row r="3514">
          <cell r="A3514" t="str">
            <v>Myotis nattereri</v>
          </cell>
          <cell r="B3514" t="str">
            <v>Mammals (non-marine)</v>
          </cell>
          <cell r="C3514" t="str">
            <v>Mammalia</v>
          </cell>
          <cell r="D3514" t="str">
            <v>Myotis nattereri</v>
          </cell>
          <cell r="E3514" t="str">
            <v>LC</v>
          </cell>
          <cell r="F3514" t="str">
            <v>Mathews &amp; Harrower, 2020</v>
          </cell>
          <cell r="G3514" t="str">
            <v>NHMSYS0000080184</v>
          </cell>
          <cell r="H3514" t="str">
            <v>Myotis nattereri</v>
          </cell>
        </row>
        <row r="3515">
          <cell r="A3515" t="str">
            <v>Neomys fodiens</v>
          </cell>
          <cell r="B3515" t="str">
            <v>Mammals (non-marine)</v>
          </cell>
          <cell r="C3515" t="str">
            <v>Mammalia</v>
          </cell>
          <cell r="D3515" t="str">
            <v>Neomys fodiens</v>
          </cell>
          <cell r="E3515" t="str">
            <v>LC</v>
          </cell>
          <cell r="F3515" t="str">
            <v>Mathews &amp; Harrower, 2020</v>
          </cell>
          <cell r="G3515" t="str">
            <v>NHMSYS0000080174</v>
          </cell>
          <cell r="H3515" t="str">
            <v>Neomys fodiens</v>
          </cell>
        </row>
        <row r="3516">
          <cell r="A3516" t="str">
            <v>Nyctalus leisleri</v>
          </cell>
          <cell r="B3516" t="str">
            <v>Mammals (non-marine)</v>
          </cell>
          <cell r="C3516" t="str">
            <v>Mammalia</v>
          </cell>
          <cell r="D3516" t="str">
            <v>Nyctalus leisleri</v>
          </cell>
          <cell r="E3516" t="str">
            <v>NT</v>
          </cell>
          <cell r="F3516" t="str">
            <v>Mathews &amp; Harrower, 2020</v>
          </cell>
          <cell r="G3516" t="str">
            <v>NHMSYS0000080185</v>
          </cell>
          <cell r="H3516" t="str">
            <v>Nyctalus leisleri</v>
          </cell>
        </row>
        <row r="3517">
          <cell r="A3517" t="str">
            <v>Nyctalus noctula</v>
          </cell>
          <cell r="B3517" t="str">
            <v>Mammals (non-marine)</v>
          </cell>
          <cell r="C3517" t="str">
            <v>Mammalia</v>
          </cell>
          <cell r="D3517" t="str">
            <v>Nyctalus noctula</v>
          </cell>
          <cell r="E3517" t="str">
            <v>LC</v>
          </cell>
          <cell r="F3517" t="str">
            <v>Mathews &amp; Harrower, 2020</v>
          </cell>
          <cell r="G3517" t="str">
            <v>NHMSYS0000080186</v>
          </cell>
          <cell r="H3517" t="str">
            <v>Nyctalus noctula</v>
          </cell>
        </row>
        <row r="3518">
          <cell r="A3518" t="str">
            <v>Pipistrellus nathusii</v>
          </cell>
          <cell r="B3518" t="str">
            <v>Mammals (non-marine)</v>
          </cell>
          <cell r="C3518" t="str">
            <v>Mammalia</v>
          </cell>
          <cell r="D3518" t="str">
            <v>Pipistrellus nathusii</v>
          </cell>
          <cell r="E3518" t="str">
            <v>NT</v>
          </cell>
          <cell r="F3518" t="str">
            <v>Mathews &amp; Harrower, 2020</v>
          </cell>
          <cell r="G3518" t="str">
            <v>NHMSYS0000080187</v>
          </cell>
          <cell r="H3518" t="str">
            <v>Pipistrellus nathusii</v>
          </cell>
        </row>
        <row r="3519">
          <cell r="A3519" t="str">
            <v>Pipistrellus pipistrellus</v>
          </cell>
          <cell r="B3519" t="str">
            <v>Mammals (non-marine)</v>
          </cell>
          <cell r="C3519" t="str">
            <v>Mammalia</v>
          </cell>
          <cell r="D3519" t="str">
            <v>Pipistrellus pipistrellus</v>
          </cell>
          <cell r="E3519" t="str">
            <v>LC</v>
          </cell>
          <cell r="F3519" t="str">
            <v>Mathews &amp; Harrower, 2020</v>
          </cell>
          <cell r="G3519" t="str">
            <v>NHMSYS0020001355</v>
          </cell>
          <cell r="H3519" t="str">
            <v>Pipistrellus pipistrellus</v>
          </cell>
        </row>
        <row r="3520">
          <cell r="A3520" t="str">
            <v>Pipistrellus pygmaeus</v>
          </cell>
          <cell r="B3520" t="str">
            <v>Mammals (non-marine)</v>
          </cell>
          <cell r="C3520" t="str">
            <v>Mammalia</v>
          </cell>
          <cell r="D3520" t="str">
            <v>Pipistrellus pygmaeus</v>
          </cell>
          <cell r="E3520" t="str">
            <v>LC</v>
          </cell>
          <cell r="F3520" t="str">
            <v>Mathews &amp; Harrower, 2020</v>
          </cell>
          <cell r="G3520" t="str">
            <v>NBNSYS0100004720</v>
          </cell>
          <cell r="H3520" t="str">
            <v>Pipistrellus pygmaeus</v>
          </cell>
        </row>
        <row r="3521">
          <cell r="A3521" t="str">
            <v>Plecotus auritus</v>
          </cell>
          <cell r="B3521" t="str">
            <v>Mammals (non-marine)</v>
          </cell>
          <cell r="C3521" t="str">
            <v>Mammalia</v>
          </cell>
          <cell r="D3521" t="str">
            <v>Plecotus auritus</v>
          </cell>
          <cell r="E3521" t="str">
            <v>LC</v>
          </cell>
          <cell r="F3521" t="str">
            <v>Mathews &amp; Harrower, 2020</v>
          </cell>
          <cell r="G3521" t="str">
            <v>NBNSYS0000005102</v>
          </cell>
          <cell r="H3521" t="str">
            <v>Plecotus auritus</v>
          </cell>
        </row>
        <row r="3522">
          <cell r="A3522" t="str">
            <v>Plecotus austriacus</v>
          </cell>
          <cell r="B3522" t="str">
            <v>Mammals (non-marine)</v>
          </cell>
          <cell r="C3522" t="str">
            <v>Mammalia</v>
          </cell>
          <cell r="D3522" t="str">
            <v>Plecotus austriacus</v>
          </cell>
          <cell r="E3522" t="str">
            <v>EN</v>
          </cell>
          <cell r="F3522" t="str">
            <v>Mathews &amp; Harrower, 2020</v>
          </cell>
          <cell r="G3522" t="str">
            <v>NBNSYS0000005103</v>
          </cell>
          <cell r="H3522" t="str">
            <v>Plecotus austriacus</v>
          </cell>
        </row>
        <row r="3523">
          <cell r="A3523" t="str">
            <v>Rhinolophus ferrumequinum</v>
          </cell>
          <cell r="B3523" t="str">
            <v>Mammals (non-marine)</v>
          </cell>
          <cell r="C3523" t="str">
            <v>Mammalia</v>
          </cell>
          <cell r="D3523" t="str">
            <v>Rhinolophus ferrumequinum</v>
          </cell>
          <cell r="E3523" t="str">
            <v>LC</v>
          </cell>
          <cell r="F3523" t="str">
            <v>Mathews &amp; Harrower, 2020</v>
          </cell>
          <cell r="G3523" t="str">
            <v>NHMSYS0000080176</v>
          </cell>
          <cell r="H3523" t="str">
            <v>Rhinolophus ferrumequinum</v>
          </cell>
        </row>
        <row r="3524">
          <cell r="A3524" t="str">
            <v>Rhinolophus hipposideros</v>
          </cell>
          <cell r="B3524" t="str">
            <v>Mammals (non-marine)</v>
          </cell>
          <cell r="C3524" t="str">
            <v>Mammalia</v>
          </cell>
          <cell r="D3524" t="str">
            <v>Rhinolophus hipposideros</v>
          </cell>
          <cell r="E3524" t="str">
            <v>LC</v>
          </cell>
          <cell r="F3524" t="str">
            <v>Mathews &amp; Harrower, 2020</v>
          </cell>
          <cell r="G3524" t="str">
            <v>NHMSYS0000080177</v>
          </cell>
          <cell r="H3524" t="str">
            <v>Rhinolophus hipposideros</v>
          </cell>
        </row>
        <row r="3525">
          <cell r="A3525" t="str">
            <v>Sciurus vulgaris</v>
          </cell>
          <cell r="B3525" t="str">
            <v>Mammals (non-marine)</v>
          </cell>
          <cell r="C3525" t="str">
            <v>Mammalia</v>
          </cell>
          <cell r="D3525" t="str">
            <v>Sciurus vulgaris</v>
          </cell>
          <cell r="E3525" t="str">
            <v>EN</v>
          </cell>
          <cell r="F3525" t="str">
            <v>Mathews &amp; Harrower, 2020</v>
          </cell>
          <cell r="G3525" t="str">
            <v>NBNSYS0000005108</v>
          </cell>
          <cell r="H3525" t="str">
            <v>Sciurus vulgaris</v>
          </cell>
        </row>
        <row r="3526">
          <cell r="A3526" t="str">
            <v>Sorex araneus</v>
          </cell>
          <cell r="B3526" t="str">
            <v>Mammals (non-marine)</v>
          </cell>
          <cell r="C3526" t="str">
            <v>Mammalia</v>
          </cell>
          <cell r="D3526" t="str">
            <v>Sorex araneus</v>
          </cell>
          <cell r="E3526" t="str">
            <v>LC</v>
          </cell>
          <cell r="F3526" t="str">
            <v>Mathews &amp; Harrower, 2020</v>
          </cell>
          <cell r="G3526" t="str">
            <v>NBNSYS0000005081</v>
          </cell>
          <cell r="H3526" t="str">
            <v>Sorex araneus</v>
          </cell>
        </row>
        <row r="3527">
          <cell r="A3527" t="str">
            <v>Sorex minutus</v>
          </cell>
          <cell r="B3527" t="str">
            <v>Mammals (non-marine)</v>
          </cell>
          <cell r="C3527" t="str">
            <v>Mammalia</v>
          </cell>
          <cell r="D3527" t="str">
            <v>Sorex minutus</v>
          </cell>
          <cell r="E3527" t="str">
            <v>LC</v>
          </cell>
          <cell r="F3527" t="str">
            <v>Mathews &amp; Harrower, 2020</v>
          </cell>
          <cell r="G3527" t="str">
            <v>NBNSYS0000005082</v>
          </cell>
          <cell r="H3527" t="str">
            <v>Sorex minutus</v>
          </cell>
        </row>
        <row r="3528">
          <cell r="A3528" t="str">
            <v>Talpa europaea</v>
          </cell>
          <cell r="B3528" t="str">
            <v>Mammals (non-marine)</v>
          </cell>
          <cell r="C3528" t="str">
            <v>Mammalia</v>
          </cell>
          <cell r="D3528" t="str">
            <v>Talpa europaea</v>
          </cell>
          <cell r="E3528" t="str">
            <v>LC</v>
          </cell>
          <cell r="F3528" t="str">
            <v>Mathews &amp; Harrower, 2020</v>
          </cell>
          <cell r="G3528" t="str">
            <v>NBNSYS0000005079</v>
          </cell>
          <cell r="H3528" t="str">
            <v>Talpa europaea</v>
          </cell>
        </row>
        <row r="3529">
          <cell r="A3529" t="str">
            <v>Vulpes vulpes</v>
          </cell>
          <cell r="B3529" t="str">
            <v>Mammals (non-marine)</v>
          </cell>
          <cell r="C3529" t="str">
            <v>Mammalia</v>
          </cell>
          <cell r="D3529" t="str">
            <v>Vulpes vulpes</v>
          </cell>
          <cell r="E3529" t="str">
            <v>LC</v>
          </cell>
          <cell r="F3529" t="str">
            <v>Mathews &amp; Harrower, 2020</v>
          </cell>
          <cell r="G3529" t="str">
            <v>NHMSYS0000080188</v>
          </cell>
          <cell r="H3529" t="str">
            <v>Vulpes vulpes</v>
          </cell>
        </row>
        <row r="3530">
          <cell r="A3530" t="str">
            <v>Ameletus inopinatus</v>
          </cell>
          <cell r="B3530" t="str">
            <v>Mayflies</v>
          </cell>
          <cell r="C3530" t="str">
            <v>Ephemeroptera</v>
          </cell>
          <cell r="D3530" t="str">
            <v>Ameletus inopinatus</v>
          </cell>
          <cell r="E3530" t="str">
            <v>LC</v>
          </cell>
          <cell r="F3530" t="str">
            <v>Macadam, 2016</v>
          </cell>
          <cell r="G3530" t="str">
            <v>NBNSYS0000010859</v>
          </cell>
          <cell r="H3530" t="str">
            <v>Ameletus inopinatus</v>
          </cell>
        </row>
        <row r="3531">
          <cell r="A3531" t="str">
            <v>Arthroplea congener</v>
          </cell>
          <cell r="B3531" t="str">
            <v>Mayflies</v>
          </cell>
          <cell r="C3531" t="str">
            <v>Ephemeroptera</v>
          </cell>
          <cell r="D3531" t="str">
            <v>Arthroplea congener</v>
          </cell>
          <cell r="E3531" t="str">
            <v>RE</v>
          </cell>
          <cell r="F3531" t="str">
            <v>Macadam, 2016</v>
          </cell>
          <cell r="G3531" t="str">
            <v>NBNSYS0000010877</v>
          </cell>
          <cell r="H3531" t="str">
            <v>Arthroplea congener</v>
          </cell>
        </row>
        <row r="3532">
          <cell r="A3532" t="str">
            <v>Baetis atrebatinus</v>
          </cell>
          <cell r="B3532" t="str">
            <v>Mayflies</v>
          </cell>
          <cell r="C3532" t="str">
            <v>Ephemeroptera</v>
          </cell>
          <cell r="D3532" t="str">
            <v>Baetis atrebatinus</v>
          </cell>
          <cell r="E3532" t="str">
            <v>LC</v>
          </cell>
          <cell r="F3532" t="str">
            <v>Macadam, 2016</v>
          </cell>
          <cell r="G3532" t="str">
            <v>NBNSYS0000010863</v>
          </cell>
          <cell r="H3532" t="str">
            <v>Baetis atrebatinus</v>
          </cell>
        </row>
        <row r="3533">
          <cell r="A3533" t="str">
            <v>Baetis buceratus</v>
          </cell>
          <cell r="B3533" t="str">
            <v>Mayflies</v>
          </cell>
          <cell r="C3533" t="str">
            <v>Ephemeroptera</v>
          </cell>
          <cell r="D3533" t="str">
            <v>Baetis buceratus</v>
          </cell>
          <cell r="E3533" t="str">
            <v>LC</v>
          </cell>
          <cell r="F3533" t="str">
            <v>Macadam, 2016</v>
          </cell>
          <cell r="G3533" t="str">
            <v>NBNSYS0000010864</v>
          </cell>
          <cell r="H3533" t="str">
            <v>Baetis buceratus</v>
          </cell>
        </row>
        <row r="3534">
          <cell r="A3534" t="str">
            <v>Baetis digitatus</v>
          </cell>
          <cell r="B3534" t="str">
            <v>Mayflies</v>
          </cell>
          <cell r="C3534" t="str">
            <v>Ephemeroptera</v>
          </cell>
          <cell r="D3534" t="str">
            <v>Baetis digitatus</v>
          </cell>
          <cell r="E3534" t="str">
            <v>VU</v>
          </cell>
          <cell r="F3534" t="str">
            <v>Macadam, 2016</v>
          </cell>
          <cell r="G3534" t="str">
            <v>NBNSYS0000010865</v>
          </cell>
          <cell r="H3534" t="str">
            <v>Baetis digitatus</v>
          </cell>
        </row>
        <row r="3535">
          <cell r="A3535" t="str">
            <v>Baetis muticus</v>
          </cell>
          <cell r="B3535" t="str">
            <v>Mayflies</v>
          </cell>
          <cell r="C3535" t="str">
            <v>Ephemeroptera</v>
          </cell>
          <cell r="D3535" t="str">
            <v>Baetis muticus</v>
          </cell>
          <cell r="E3535" t="str">
            <v>LC</v>
          </cell>
          <cell r="F3535" t="str">
            <v>Macadam, 2016</v>
          </cell>
          <cell r="G3535" t="str">
            <v>NBNSYS0000010867</v>
          </cell>
          <cell r="H3535" t="str">
            <v>Baetis muticus</v>
          </cell>
        </row>
        <row r="3536">
          <cell r="A3536" t="str">
            <v>Baetis niger</v>
          </cell>
          <cell r="B3536" t="str">
            <v>Mayflies</v>
          </cell>
          <cell r="C3536" t="str">
            <v>Ephemeroptera</v>
          </cell>
          <cell r="D3536" t="str">
            <v>Baetis niger</v>
          </cell>
          <cell r="E3536" t="str">
            <v>LC</v>
          </cell>
          <cell r="F3536" t="str">
            <v>Macadam, 2016</v>
          </cell>
          <cell r="G3536" t="str">
            <v>NBNSYS0000010868</v>
          </cell>
          <cell r="H3536" t="str">
            <v>Baetis niger</v>
          </cell>
        </row>
        <row r="3537">
          <cell r="A3537" t="str">
            <v>Baetis rhodani</v>
          </cell>
          <cell r="B3537" t="str">
            <v>Mayflies</v>
          </cell>
          <cell r="C3537" t="str">
            <v>Ephemeroptera</v>
          </cell>
          <cell r="D3537" t="str">
            <v>Baetis rhodani</v>
          </cell>
          <cell r="E3537" t="str">
            <v>LC</v>
          </cell>
          <cell r="F3537" t="str">
            <v>Macadam, 2016</v>
          </cell>
          <cell r="G3537" t="str">
            <v>NHMSYS0021233529</v>
          </cell>
          <cell r="H3537" t="str">
            <v>Baetis rhodani</v>
          </cell>
        </row>
        <row r="3538">
          <cell r="A3538" t="str">
            <v>Baetis scambus</v>
          </cell>
          <cell r="B3538" t="str">
            <v>Mayflies</v>
          </cell>
          <cell r="C3538" t="str">
            <v>Ephemeroptera</v>
          </cell>
          <cell r="D3538" t="str">
            <v>Baetis scambus</v>
          </cell>
          <cell r="E3538" t="str">
            <v>LC</v>
          </cell>
          <cell r="F3538" t="str">
            <v>Macadam, 2016</v>
          </cell>
          <cell r="G3538" t="str">
            <v>NBNSYS0000010870</v>
          </cell>
          <cell r="H3538" t="str">
            <v>Baetis scambus</v>
          </cell>
        </row>
        <row r="3539">
          <cell r="A3539" t="str">
            <v>Baetis vernus</v>
          </cell>
          <cell r="B3539" t="str">
            <v>Mayflies</v>
          </cell>
          <cell r="C3539" t="str">
            <v>Ephemeroptera</v>
          </cell>
          <cell r="D3539" t="str">
            <v>Baetis vernus</v>
          </cell>
          <cell r="E3539" t="str">
            <v>LC</v>
          </cell>
          <cell r="F3539" t="str">
            <v>Macadam, 2016</v>
          </cell>
          <cell r="G3539" t="str">
            <v>NBNSYS0000010871</v>
          </cell>
          <cell r="H3539" t="str">
            <v>Baetis vernus</v>
          </cell>
        </row>
        <row r="3540">
          <cell r="A3540" t="str">
            <v>Brachycercus harrisellus</v>
          </cell>
          <cell r="B3540" t="str">
            <v>Mayflies</v>
          </cell>
          <cell r="C3540" t="str">
            <v>Ephemeroptera</v>
          </cell>
          <cell r="D3540" t="str">
            <v>Brachycercus harrisellus</v>
          </cell>
          <cell r="E3540" t="str">
            <v>LC</v>
          </cell>
          <cell r="F3540" t="str">
            <v>Macadam, 2016</v>
          </cell>
          <cell r="G3540" t="str">
            <v>NBNSYS0000010900</v>
          </cell>
          <cell r="H3540" t="str">
            <v>Brachycercus harrisellus</v>
          </cell>
        </row>
        <row r="3541">
          <cell r="A3541" t="str">
            <v>Caenis horaria</v>
          </cell>
          <cell r="B3541" t="str">
            <v>Mayflies</v>
          </cell>
          <cell r="C3541" t="str">
            <v>Ephemeroptera</v>
          </cell>
          <cell r="D3541" t="str">
            <v>Caenis horaria</v>
          </cell>
          <cell r="E3541" t="str">
            <v>LC</v>
          </cell>
          <cell r="F3541" t="str">
            <v>Macadam, 2016</v>
          </cell>
          <cell r="G3541" t="str">
            <v>NHMSYS0000066966</v>
          </cell>
          <cell r="H3541" t="str">
            <v>Caenis horaria</v>
          </cell>
        </row>
        <row r="3542">
          <cell r="A3542" t="str">
            <v>Caenis luctuosa</v>
          </cell>
          <cell r="B3542" t="str">
            <v>Mayflies</v>
          </cell>
          <cell r="C3542" t="str">
            <v>Ephemeroptera</v>
          </cell>
          <cell r="D3542" t="str">
            <v>Caenis luctuosa</v>
          </cell>
          <cell r="E3542" t="str">
            <v>LC</v>
          </cell>
          <cell r="F3542" t="str">
            <v>Macadam, 2016</v>
          </cell>
          <cell r="G3542" t="str">
            <v>NHMSYS0000066967</v>
          </cell>
          <cell r="H3542" t="str">
            <v>Caenis luctuosa</v>
          </cell>
        </row>
        <row r="3543">
          <cell r="A3543" t="str">
            <v>Caenis rivulorum</v>
          </cell>
          <cell r="B3543" t="str">
            <v>Mayflies</v>
          </cell>
          <cell r="C3543" t="str">
            <v>Ephemeroptera</v>
          </cell>
          <cell r="D3543" t="str">
            <v>Caenis rivulorum</v>
          </cell>
          <cell r="E3543" t="str">
            <v>LC</v>
          </cell>
          <cell r="F3543" t="str">
            <v>Macadam, 2016</v>
          </cell>
          <cell r="G3543" t="str">
            <v>NBNSYS0000010904</v>
          </cell>
          <cell r="H3543" t="str">
            <v>Caenis rivulorum</v>
          </cell>
        </row>
        <row r="3544">
          <cell r="A3544" t="str">
            <v>Caenis robusta</v>
          </cell>
          <cell r="B3544" t="str">
            <v>Mayflies</v>
          </cell>
          <cell r="C3544" t="str">
            <v>Ephemeroptera</v>
          </cell>
          <cell r="D3544" t="str">
            <v>Caenis robusta</v>
          </cell>
          <cell r="E3544" t="str">
            <v>LC</v>
          </cell>
          <cell r="F3544" t="str">
            <v>Macadam, 2016</v>
          </cell>
          <cell r="G3544" t="str">
            <v>NBNSYS0000010905</v>
          </cell>
          <cell r="H3544" t="str">
            <v>Caenis robusta</v>
          </cell>
        </row>
        <row r="3545">
          <cell r="A3545" t="str">
            <v>Centroptilum luteolum</v>
          </cell>
          <cell r="B3545" t="str">
            <v>Mayflies</v>
          </cell>
          <cell r="C3545" t="str">
            <v>Ephemeroptera</v>
          </cell>
          <cell r="D3545" t="str">
            <v>Centroptilum luteolum</v>
          </cell>
          <cell r="E3545" t="str">
            <v>LC</v>
          </cell>
          <cell r="F3545" t="str">
            <v>Macadam, 2016</v>
          </cell>
          <cell r="G3545" t="str">
            <v>NHMSYS0000066963</v>
          </cell>
          <cell r="H3545" t="str">
            <v>Centroptilum luteolum</v>
          </cell>
        </row>
        <row r="3546">
          <cell r="A3546" t="str">
            <v>Cloeon dipterum</v>
          </cell>
          <cell r="B3546" t="str">
            <v>Mayflies</v>
          </cell>
          <cell r="C3546" t="str">
            <v>Ephemeroptera</v>
          </cell>
          <cell r="D3546" t="str">
            <v>Cloeon dipterum</v>
          </cell>
          <cell r="E3546" t="str">
            <v>LC</v>
          </cell>
          <cell r="F3546" t="str">
            <v>Macadam, 2016</v>
          </cell>
          <cell r="G3546" t="str">
            <v>NHMSYS0000066964</v>
          </cell>
          <cell r="H3546" t="str">
            <v>Cloeon dipterum</v>
          </cell>
        </row>
        <row r="3547">
          <cell r="A3547" t="str">
            <v>Cloeon simile</v>
          </cell>
          <cell r="B3547" t="str">
            <v>Mayflies</v>
          </cell>
          <cell r="C3547" t="str">
            <v>Ephemeroptera</v>
          </cell>
          <cell r="D3547" t="str">
            <v>Cloeon simile</v>
          </cell>
          <cell r="E3547" t="str">
            <v>LC</v>
          </cell>
          <cell r="F3547" t="str">
            <v>Macadam, 2016</v>
          </cell>
          <cell r="G3547" t="str">
            <v>NBNSYS0000010875</v>
          </cell>
          <cell r="H3547" t="str">
            <v>Cloeon simile</v>
          </cell>
        </row>
        <row r="3548">
          <cell r="A3548" t="str">
            <v>Ecdyonurus dispar</v>
          </cell>
          <cell r="B3548" t="str">
            <v>Mayflies</v>
          </cell>
          <cell r="C3548" t="str">
            <v>Ephemeroptera</v>
          </cell>
          <cell r="D3548" t="str">
            <v>Ecdyonurus dispar</v>
          </cell>
          <cell r="E3548" t="str">
            <v>LC</v>
          </cell>
          <cell r="F3548" t="str">
            <v>Macadam, 2016</v>
          </cell>
          <cell r="G3548" t="str">
            <v>NBNSYS0000010878</v>
          </cell>
          <cell r="H3548" t="str">
            <v>Ecdyonurus dispar</v>
          </cell>
        </row>
        <row r="3549">
          <cell r="A3549" t="str">
            <v>Ecdyonurus torrentis</v>
          </cell>
          <cell r="B3549" t="str">
            <v>Mayflies</v>
          </cell>
          <cell r="C3549" t="str">
            <v>Ephemeroptera</v>
          </cell>
          <cell r="D3549" t="str">
            <v>Ecdyonurus torrentis</v>
          </cell>
          <cell r="E3549" t="str">
            <v>LC</v>
          </cell>
          <cell r="F3549" t="str">
            <v>Macadam, 2016</v>
          </cell>
          <cell r="G3549" t="str">
            <v>NBNSYS0000010880</v>
          </cell>
          <cell r="H3549" t="str">
            <v>Ecdyonurus torrentis</v>
          </cell>
        </row>
        <row r="3550">
          <cell r="A3550" t="str">
            <v>Ecdyonurus venosus</v>
          </cell>
          <cell r="B3550" t="str">
            <v>Mayflies</v>
          </cell>
          <cell r="C3550" t="str">
            <v>Ephemeroptera</v>
          </cell>
          <cell r="D3550" t="str">
            <v>Ecdyonurus venosus</v>
          </cell>
          <cell r="E3550" t="str">
            <v>LC</v>
          </cell>
          <cell r="F3550" t="str">
            <v>Macadam, 2016</v>
          </cell>
          <cell r="G3550" t="str">
            <v>NBNSYS0000010881</v>
          </cell>
          <cell r="H3550" t="str">
            <v>Ecdyonurus venosus</v>
          </cell>
        </row>
        <row r="3551">
          <cell r="A3551" t="str">
            <v>Edyonurus insignis</v>
          </cell>
          <cell r="B3551" t="str">
            <v>Mayflies</v>
          </cell>
          <cell r="C3551" t="str">
            <v>Ephemeroptera</v>
          </cell>
          <cell r="D3551" t="str">
            <v>Edyonurus insignis</v>
          </cell>
          <cell r="E3551" t="str">
            <v>LC</v>
          </cell>
          <cell r="F3551" t="str">
            <v>Macadam, 2016</v>
          </cell>
          <cell r="G3551" t="str">
            <v>NBNSYS0000010879</v>
          </cell>
          <cell r="H3551" t="str">
            <v>Edyonurus insignis</v>
          </cell>
        </row>
        <row r="3552">
          <cell r="A3552" t="str">
            <v>Electrogena lateralis</v>
          </cell>
          <cell r="B3552" t="str">
            <v>Mayflies</v>
          </cell>
          <cell r="C3552" t="str">
            <v>Ephemeroptera</v>
          </cell>
          <cell r="D3552" t="str">
            <v>Electrogena lateralis</v>
          </cell>
          <cell r="E3552" t="str">
            <v>LC</v>
          </cell>
          <cell r="F3552" t="str">
            <v>Macadam, 2016</v>
          </cell>
          <cell r="G3552" t="str">
            <v>NBNSYS0100002944</v>
          </cell>
          <cell r="H3552" t="str">
            <v>Electrogena lateralis</v>
          </cell>
        </row>
        <row r="3553">
          <cell r="A3553" t="str">
            <v>Ephemera danica</v>
          </cell>
          <cell r="B3553" t="str">
            <v>Mayflies</v>
          </cell>
          <cell r="C3553" t="str">
            <v>Ephemeroptera</v>
          </cell>
          <cell r="D3553" t="str">
            <v>Ephemera danica</v>
          </cell>
          <cell r="E3553" t="str">
            <v>LC</v>
          </cell>
          <cell r="F3553" t="str">
            <v>Macadam, 2016</v>
          </cell>
          <cell r="G3553" t="str">
            <v>NHMSYS0000066970</v>
          </cell>
          <cell r="H3553" t="str">
            <v>Ephemera danica</v>
          </cell>
        </row>
        <row r="3554">
          <cell r="A3554" t="str">
            <v>Ephemera lineata</v>
          </cell>
          <cell r="B3554" t="str">
            <v>Mayflies</v>
          </cell>
          <cell r="C3554" t="str">
            <v>Ephemeroptera</v>
          </cell>
          <cell r="D3554" t="str">
            <v>Ephemera lineata</v>
          </cell>
          <cell r="E3554" t="str">
            <v>VU</v>
          </cell>
          <cell r="F3554" t="str">
            <v>Macadam, 2016</v>
          </cell>
          <cell r="G3554" t="str">
            <v>NBNSYS0000010898</v>
          </cell>
          <cell r="H3554" t="str">
            <v>Ephemera lineata</v>
          </cell>
        </row>
        <row r="3555">
          <cell r="A3555" t="str">
            <v>Ephemera vulgata</v>
          </cell>
          <cell r="B3555" t="str">
            <v>Mayflies</v>
          </cell>
          <cell r="C3555" t="str">
            <v>Ephemeroptera</v>
          </cell>
          <cell r="D3555" t="str">
            <v>Ephemera vulgata</v>
          </cell>
          <cell r="E3555" t="str">
            <v>LC</v>
          </cell>
          <cell r="F3555" t="str">
            <v>Macadam, 2016</v>
          </cell>
          <cell r="G3555" t="str">
            <v>NBNSYS0000010899</v>
          </cell>
          <cell r="H3555" t="str">
            <v>Ephemera vulgata</v>
          </cell>
        </row>
        <row r="3556">
          <cell r="A3556" t="str">
            <v>Ephemerella notata</v>
          </cell>
          <cell r="B3556" t="str">
            <v>Mayflies</v>
          </cell>
          <cell r="C3556" t="str">
            <v>Ephemeroptera</v>
          </cell>
          <cell r="D3556" t="str">
            <v>Ephemerella notata</v>
          </cell>
          <cell r="E3556" t="str">
            <v>LC</v>
          </cell>
          <cell r="F3556" t="str">
            <v>Macadam, 2016</v>
          </cell>
          <cell r="G3556" t="str">
            <v>NBNSYS0000010895</v>
          </cell>
          <cell r="H3556" t="str">
            <v>Ephemerella notata</v>
          </cell>
        </row>
        <row r="3557">
          <cell r="A3557" t="str">
            <v>Habrophlebia fusca</v>
          </cell>
          <cell r="B3557" t="str">
            <v>Mayflies</v>
          </cell>
          <cell r="C3557" t="str">
            <v>Ephemeroptera</v>
          </cell>
          <cell r="D3557" t="str">
            <v>Habrophlebia fusca</v>
          </cell>
          <cell r="E3557" t="str">
            <v>LC</v>
          </cell>
          <cell r="F3557" t="str">
            <v>Macadam, 2016</v>
          </cell>
          <cell r="G3557" t="str">
            <v>NBNSYS0000010888</v>
          </cell>
          <cell r="H3557" t="str">
            <v>Habrophlebia fusca</v>
          </cell>
        </row>
        <row r="3558">
          <cell r="A3558" t="str">
            <v>Heptagenia longicauda</v>
          </cell>
          <cell r="B3558" t="str">
            <v>Mayflies</v>
          </cell>
          <cell r="C3558" t="str">
            <v>Ephemeroptera</v>
          </cell>
          <cell r="D3558" t="str">
            <v>Heptagenia longicauda</v>
          </cell>
          <cell r="E3558" t="str">
            <v>RE</v>
          </cell>
          <cell r="F3558" t="str">
            <v>Macadam, 2016</v>
          </cell>
          <cell r="G3558" t="str">
            <v>NHMSYS0000066972</v>
          </cell>
          <cell r="H3558" t="str">
            <v>Heptagenia longicauda</v>
          </cell>
        </row>
        <row r="3559">
          <cell r="A3559" t="str">
            <v>Heptagenia sulphurea</v>
          </cell>
          <cell r="B3559" t="str">
            <v>Mayflies</v>
          </cell>
          <cell r="C3559" t="str">
            <v>Ephemeroptera</v>
          </cell>
          <cell r="D3559" t="str">
            <v>Heptagenia sulphurea</v>
          </cell>
          <cell r="E3559" t="str">
            <v>LC</v>
          </cell>
          <cell r="F3559" t="str">
            <v>Macadam, 2016</v>
          </cell>
          <cell r="G3559" t="str">
            <v>NHMSYS0000066973</v>
          </cell>
          <cell r="H3559" t="str">
            <v>Heptagenia sulphurea</v>
          </cell>
        </row>
        <row r="3560">
          <cell r="A3560" t="str">
            <v>Kageronia fuscogrisea</v>
          </cell>
          <cell r="B3560" t="str">
            <v>Mayflies</v>
          </cell>
          <cell r="C3560" t="str">
            <v>Ephemeroptera</v>
          </cell>
          <cell r="D3560" t="str">
            <v>Kageronia fuscogrisea</v>
          </cell>
          <cell r="E3560" t="str">
            <v>LC</v>
          </cell>
          <cell r="F3560" t="str">
            <v>Macadam, 2016</v>
          </cell>
          <cell r="G3560" t="str">
            <v>NBNSYS0100003631</v>
          </cell>
          <cell r="H3560" t="str">
            <v>Kageronia fuscogrisea</v>
          </cell>
        </row>
        <row r="3561">
          <cell r="A3561" t="str">
            <v>Leptophlebia marginata</v>
          </cell>
          <cell r="B3561" t="str">
            <v>Mayflies</v>
          </cell>
          <cell r="C3561" t="str">
            <v>Ephemeroptera</v>
          </cell>
          <cell r="D3561" t="str">
            <v>Leptophlebia marginata</v>
          </cell>
          <cell r="E3561" t="str">
            <v>LC</v>
          </cell>
          <cell r="F3561" t="str">
            <v>Macadam, 2016</v>
          </cell>
          <cell r="G3561" t="str">
            <v>NHMSYS0000066974</v>
          </cell>
          <cell r="H3561" t="str">
            <v>Leptophlebia marginata</v>
          </cell>
        </row>
        <row r="3562">
          <cell r="A3562" t="str">
            <v>Leptophlebia vespertina</v>
          </cell>
          <cell r="B3562" t="str">
            <v>Mayflies</v>
          </cell>
          <cell r="C3562" t="str">
            <v>Ephemeroptera</v>
          </cell>
          <cell r="D3562" t="str">
            <v>Leptophlebia vespertina</v>
          </cell>
          <cell r="E3562" t="str">
            <v>LC</v>
          </cell>
          <cell r="F3562" t="str">
            <v>Macadam, 2016</v>
          </cell>
          <cell r="G3562" t="str">
            <v>NBNSYS0000010890</v>
          </cell>
          <cell r="H3562" t="str">
            <v>Leptophlebia vespertina</v>
          </cell>
        </row>
        <row r="3563">
          <cell r="A3563" t="str">
            <v>Paraleptophlebia cincta</v>
          </cell>
          <cell r="B3563" t="str">
            <v>Mayflies</v>
          </cell>
          <cell r="C3563" t="str">
            <v>Ephemeroptera</v>
          </cell>
          <cell r="D3563" t="str">
            <v>Paraleptophlebia cincta</v>
          </cell>
          <cell r="E3563" t="str">
            <v>LC</v>
          </cell>
          <cell r="F3563" t="str">
            <v>Macadam, 2016</v>
          </cell>
          <cell r="G3563" t="str">
            <v>NBNSYS0000010891</v>
          </cell>
          <cell r="H3563" t="str">
            <v>Paraleptophlebia cincta</v>
          </cell>
        </row>
        <row r="3564">
          <cell r="A3564" t="str">
            <v>Paraleptophlebia submarginata</v>
          </cell>
          <cell r="B3564" t="str">
            <v>Mayflies</v>
          </cell>
          <cell r="C3564" t="str">
            <v>Ephemeroptera</v>
          </cell>
          <cell r="D3564" t="str">
            <v>Paraleptophlebia submarginata</v>
          </cell>
          <cell r="E3564" t="str">
            <v>LC</v>
          </cell>
          <cell r="F3564" t="str">
            <v>Macadam, 2016</v>
          </cell>
          <cell r="G3564" t="str">
            <v>NBNSYS0000010892</v>
          </cell>
          <cell r="H3564" t="str">
            <v>Paraleptophlebia submarginata</v>
          </cell>
        </row>
        <row r="3565">
          <cell r="A3565" t="str">
            <v>Paraleptophlebia werneri</v>
          </cell>
          <cell r="B3565" t="str">
            <v>Mayflies</v>
          </cell>
          <cell r="C3565" t="str">
            <v>Ephemeroptera</v>
          </cell>
          <cell r="D3565" t="str">
            <v>Paraleptophlebia werneri</v>
          </cell>
          <cell r="E3565" t="str">
            <v>LC</v>
          </cell>
          <cell r="F3565" t="str">
            <v>Macadam, 2016</v>
          </cell>
          <cell r="G3565" t="str">
            <v>NBNSYS0000010893</v>
          </cell>
          <cell r="H3565" t="str">
            <v>Paraleptophlebia werneri</v>
          </cell>
        </row>
        <row r="3566">
          <cell r="A3566" t="str">
            <v>Potamanthus luteus</v>
          </cell>
          <cell r="B3566" t="str">
            <v>Mayflies</v>
          </cell>
          <cell r="C3566" t="str">
            <v>Ephemeroptera</v>
          </cell>
          <cell r="D3566" t="str">
            <v>Potamanthus luteus</v>
          </cell>
          <cell r="E3566" t="str">
            <v>EN</v>
          </cell>
          <cell r="F3566" t="str">
            <v>Macadam, 2016</v>
          </cell>
          <cell r="G3566" t="str">
            <v>NBNSYS0000010896</v>
          </cell>
          <cell r="H3566" t="str">
            <v>Potamanthus luteus</v>
          </cell>
        </row>
        <row r="3567">
          <cell r="A3567" t="str">
            <v>Procloeon bifidum</v>
          </cell>
          <cell r="B3567" t="str">
            <v>Mayflies</v>
          </cell>
          <cell r="C3567" t="str">
            <v>Ephemeroptera</v>
          </cell>
          <cell r="D3567" t="str">
            <v>Procloeon bifidum</v>
          </cell>
          <cell r="E3567" t="str">
            <v>LC</v>
          </cell>
          <cell r="F3567" t="str">
            <v>Macadam, 2016</v>
          </cell>
          <cell r="G3567" t="str">
            <v>NBNSYS0000010876</v>
          </cell>
          <cell r="H3567" t="str">
            <v>Procloeon bifidum</v>
          </cell>
        </row>
        <row r="3568">
          <cell r="A3568" t="str">
            <v>Procloeon pennulatum</v>
          </cell>
          <cell r="B3568" t="str">
            <v>Mayflies</v>
          </cell>
          <cell r="C3568" t="str">
            <v>Ephemeroptera</v>
          </cell>
          <cell r="D3568" t="str">
            <v>Procloeon pennulatum</v>
          </cell>
          <cell r="E3568" t="str">
            <v>LC</v>
          </cell>
          <cell r="F3568" t="str">
            <v>Macadam, 2016</v>
          </cell>
          <cell r="G3568" t="str">
            <v>NHMSYS0000066965</v>
          </cell>
          <cell r="H3568" t="str">
            <v>Procloeon pennulatum</v>
          </cell>
        </row>
        <row r="3569">
          <cell r="A3569" t="str">
            <v>Rhithrogena germanica</v>
          </cell>
          <cell r="B3569" t="str">
            <v>Mayflies</v>
          </cell>
          <cell r="C3569" t="str">
            <v>Ephemeroptera</v>
          </cell>
          <cell r="D3569" t="str">
            <v>Rhithrogena germanica</v>
          </cell>
          <cell r="E3569" t="str">
            <v>LC</v>
          </cell>
          <cell r="F3569" t="str">
            <v>Macadam, 2016</v>
          </cell>
          <cell r="G3569" t="str">
            <v>NBNSYS0000010886</v>
          </cell>
          <cell r="H3569" t="str">
            <v>Rhithrogena germanica</v>
          </cell>
        </row>
        <row r="3570">
          <cell r="A3570" t="str">
            <v>Rhithrogena semicolorata</v>
          </cell>
          <cell r="B3570" t="str">
            <v>Mayflies</v>
          </cell>
          <cell r="C3570" t="str">
            <v>Ephemeroptera</v>
          </cell>
          <cell r="D3570" t="str">
            <v>Rhithrogena semicolorata</v>
          </cell>
          <cell r="E3570" t="str">
            <v>LC</v>
          </cell>
          <cell r="F3570" t="str">
            <v>Macadam, 2016</v>
          </cell>
          <cell r="G3570" t="str">
            <v>NBNSYS0000010887</v>
          </cell>
          <cell r="H3570" t="str">
            <v>Rhithrogena semicolorata</v>
          </cell>
        </row>
        <row r="3571">
          <cell r="A3571" t="str">
            <v>Serratella ignita</v>
          </cell>
          <cell r="B3571" t="str">
            <v>Mayflies</v>
          </cell>
          <cell r="C3571" t="str">
            <v>Ephemeroptera</v>
          </cell>
          <cell r="D3571" t="str">
            <v>Serratella ignita</v>
          </cell>
          <cell r="E3571" t="str">
            <v>LC</v>
          </cell>
          <cell r="F3571" t="str">
            <v>Macadam, 2016</v>
          </cell>
          <cell r="G3571" t="str">
            <v>NBNSYS0100005496</v>
          </cell>
          <cell r="H3571" t="str">
            <v>Serratella ignita</v>
          </cell>
        </row>
        <row r="3572">
          <cell r="A3572" t="str">
            <v>Siphlonurus alternatus</v>
          </cell>
          <cell r="B3572" t="str">
            <v>Mayflies</v>
          </cell>
          <cell r="C3572" t="str">
            <v>Ephemeroptera</v>
          </cell>
          <cell r="D3572" t="str">
            <v>Siphlonurus alternatus</v>
          </cell>
          <cell r="E3572" t="str">
            <v>EN</v>
          </cell>
          <cell r="F3572" t="str">
            <v>Macadam, 2016</v>
          </cell>
          <cell r="G3572" t="str">
            <v>NBNSYS0000010860</v>
          </cell>
          <cell r="H3572" t="str">
            <v>Siphlonurus alternatus</v>
          </cell>
        </row>
        <row r="3573">
          <cell r="A3573" t="str">
            <v>Siphlonurus armatus</v>
          </cell>
          <cell r="B3573" t="str">
            <v>Mayflies</v>
          </cell>
          <cell r="C3573" t="str">
            <v>Ephemeroptera</v>
          </cell>
          <cell r="D3573" t="str">
            <v>Siphlonurus armatus</v>
          </cell>
          <cell r="E3573" t="str">
            <v>EN</v>
          </cell>
          <cell r="F3573" t="str">
            <v>Macadam, 2016</v>
          </cell>
          <cell r="G3573" t="str">
            <v>NBNSYS0000010861</v>
          </cell>
          <cell r="H3573" t="str">
            <v>Siphlonurus armatus</v>
          </cell>
        </row>
        <row r="3574">
          <cell r="A3574" t="str">
            <v>Siphlonurus lacustris</v>
          </cell>
          <cell r="B3574" t="str">
            <v>Mayflies</v>
          </cell>
          <cell r="C3574" t="str">
            <v>Ephemeroptera</v>
          </cell>
          <cell r="D3574" t="str">
            <v>Siphlonurus lacustris</v>
          </cell>
          <cell r="E3574" t="str">
            <v>LC</v>
          </cell>
          <cell r="F3574" t="str">
            <v>Macadam, 2016</v>
          </cell>
          <cell r="G3574" t="str">
            <v>NBNSYS0000010862</v>
          </cell>
          <cell r="H3574" t="str">
            <v>Siphlonurus lacustris</v>
          </cell>
        </row>
        <row r="3575">
          <cell r="A3575" t="str">
            <v>Cryptops hortensis</v>
          </cell>
          <cell r="B3575" t="str">
            <v>Millipedes, centipedes and woodlice</v>
          </cell>
          <cell r="C3575" t="str">
            <v>Chilopoda</v>
          </cell>
          <cell r="D3575" t="str">
            <v>Cryptops hortensis</v>
          </cell>
          <cell r="E3575" t="str">
            <v>LC</v>
          </cell>
          <cell r="F3575" t="str">
            <v>Lee, 2015</v>
          </cell>
          <cell r="G3575" t="str">
            <v>NBNSYS0000011399</v>
          </cell>
          <cell r="H3575" t="str">
            <v>Cryptops hortensis</v>
          </cell>
        </row>
        <row r="3576">
          <cell r="A3576" t="str">
            <v>Eurygeophilus pinguis</v>
          </cell>
          <cell r="B3576" t="str">
            <v>Millipedes, centipedes and woodlice</v>
          </cell>
          <cell r="C3576" t="str">
            <v>Chilopoda</v>
          </cell>
          <cell r="D3576" t="str">
            <v>Eurygeophilus pinguis</v>
          </cell>
          <cell r="E3576" t="str">
            <v>LC</v>
          </cell>
          <cell r="F3576" t="str">
            <v>Lee, 2015</v>
          </cell>
          <cell r="G3576" t="str">
            <v>NHMSYS0020108917</v>
          </cell>
          <cell r="H3576" t="str">
            <v>Eurygeophilus pinguis</v>
          </cell>
        </row>
        <row r="3577">
          <cell r="A3577" t="str">
            <v>Geophilus alpinus</v>
          </cell>
          <cell r="B3577" t="str">
            <v>Millipedes, centipedes and woodlice</v>
          </cell>
          <cell r="C3577" t="str">
            <v>Chilopoda</v>
          </cell>
          <cell r="D3577" t="str">
            <v>Geophilus alpinus</v>
          </cell>
          <cell r="E3577" t="str">
            <v>LC</v>
          </cell>
          <cell r="F3577" t="str">
            <v>Lee, 2015</v>
          </cell>
          <cell r="G3577" t="str">
            <v>NBNSYS0000011411</v>
          </cell>
          <cell r="H3577" t="str">
            <v>Geophilus alpinus</v>
          </cell>
        </row>
        <row r="3578">
          <cell r="A3578" t="str">
            <v>Geophilus carpophagus</v>
          </cell>
          <cell r="B3578" t="str">
            <v>Millipedes, centipedes and woodlice</v>
          </cell>
          <cell r="C3578" t="str">
            <v>Chilopoda</v>
          </cell>
          <cell r="D3578" t="str">
            <v>Geophilus carpophagus</v>
          </cell>
          <cell r="E3578" t="str">
            <v>LC</v>
          </cell>
          <cell r="F3578" t="str">
            <v>Lee, 2015</v>
          </cell>
          <cell r="G3578" t="str">
            <v>NHMSYS0020969584</v>
          </cell>
          <cell r="H3578" t="str">
            <v>Geophilus carpophagus</v>
          </cell>
        </row>
        <row r="3579">
          <cell r="A3579" t="str">
            <v>Geophilus easoni</v>
          </cell>
          <cell r="B3579" t="str">
            <v>Millipedes, centipedes and woodlice</v>
          </cell>
          <cell r="C3579" t="str">
            <v>Chilopoda</v>
          </cell>
          <cell r="D3579" t="str">
            <v>Geophilus easoni</v>
          </cell>
          <cell r="E3579" t="str">
            <v>LC</v>
          </cell>
          <cell r="F3579" t="str">
            <v>Lee, 2015</v>
          </cell>
          <cell r="G3579" t="str">
            <v>MM0001Z1ZT0011FY</v>
          </cell>
          <cell r="H3579" t="str">
            <v>Geophilus easoni</v>
          </cell>
        </row>
        <row r="3580">
          <cell r="A3580" t="str">
            <v>Geophilus electricus</v>
          </cell>
          <cell r="B3580" t="str">
            <v>Millipedes, centipedes and woodlice</v>
          </cell>
          <cell r="C3580" t="str">
            <v>Chilopoda</v>
          </cell>
          <cell r="D3580" t="str">
            <v>Geophilus electricus</v>
          </cell>
          <cell r="E3580" t="str">
            <v>LC</v>
          </cell>
          <cell r="F3580" t="str">
            <v>Lee, 2015</v>
          </cell>
          <cell r="G3580" t="str">
            <v>NHMSYS0000570564</v>
          </cell>
          <cell r="H3580" t="str">
            <v>Geophilus electricus</v>
          </cell>
        </row>
        <row r="3581">
          <cell r="A3581" t="str">
            <v>Geophilus flavus</v>
          </cell>
          <cell r="B3581" t="str">
            <v>Millipedes, centipedes and woodlice</v>
          </cell>
          <cell r="C3581" t="str">
            <v>Chilopoda</v>
          </cell>
          <cell r="D3581" t="str">
            <v>Geophilus flavus</v>
          </cell>
          <cell r="E3581" t="str">
            <v>LC</v>
          </cell>
          <cell r="F3581" t="str">
            <v>Lee, 2015</v>
          </cell>
          <cell r="G3581" t="str">
            <v>NHMSYS0000570565</v>
          </cell>
          <cell r="H3581" t="str">
            <v>Geophilus flavus</v>
          </cell>
        </row>
        <row r="3582">
          <cell r="A3582" t="str">
            <v>Geophilus fucorum seurati</v>
          </cell>
          <cell r="B3582" t="str">
            <v>Millipedes, centipedes and woodlice</v>
          </cell>
          <cell r="C3582" t="str">
            <v>Chilopoda</v>
          </cell>
          <cell r="D3582" t="str">
            <v>Geophilus fucorum (subsp.) seurati</v>
          </cell>
          <cell r="E3582" t="str">
            <v>LC</v>
          </cell>
          <cell r="F3582" t="str">
            <v>Lee, 2015</v>
          </cell>
          <cell r="G3582" t="str">
            <v>NBNSYS0000147735</v>
          </cell>
          <cell r="H3582" t="str">
            <v>Geophilus fucorum seurati</v>
          </cell>
        </row>
        <row r="3583">
          <cell r="A3583" t="str">
            <v>Geophilus osquidatum</v>
          </cell>
          <cell r="B3583" t="str">
            <v>Millipedes, centipedes and woodlice</v>
          </cell>
          <cell r="C3583" t="str">
            <v>Chilopoda</v>
          </cell>
          <cell r="D3583" t="str">
            <v>Geophilus osquidatum</v>
          </cell>
          <cell r="E3583" t="str">
            <v>LC</v>
          </cell>
          <cell r="F3583" t="str">
            <v>Lee, 2015</v>
          </cell>
          <cell r="G3583" t="str">
            <v>NHMSYS0000570570</v>
          </cell>
          <cell r="H3583" t="str">
            <v>Geophilus osquidatum</v>
          </cell>
        </row>
        <row r="3584">
          <cell r="A3584" t="str">
            <v>Geophilus truncorum</v>
          </cell>
          <cell r="B3584" t="str">
            <v>Millipedes, centipedes and woodlice</v>
          </cell>
          <cell r="C3584" t="str">
            <v>Chilopoda</v>
          </cell>
          <cell r="D3584" t="str">
            <v>Geophilus truncorum</v>
          </cell>
          <cell r="E3584" t="str">
            <v>LC</v>
          </cell>
          <cell r="F3584" t="str">
            <v>Lee, 2015</v>
          </cell>
          <cell r="G3584" t="str">
            <v>NHMSYS0020500660</v>
          </cell>
          <cell r="H3584" t="str">
            <v>Geophilus truncorum</v>
          </cell>
        </row>
        <row r="3585">
          <cell r="A3585" t="str">
            <v>Haplophilus souletinus</v>
          </cell>
          <cell r="B3585" t="str">
            <v>Millipedes, centipedes and woodlice</v>
          </cell>
          <cell r="C3585" t="str">
            <v>Chilopoda</v>
          </cell>
          <cell r="D3585" t="str">
            <v>Haplophilus souletinus</v>
          </cell>
          <cell r="E3585" t="str">
            <v>NT</v>
          </cell>
          <cell r="F3585" t="str">
            <v>Lee, 2015</v>
          </cell>
          <cell r="G3585" t="str">
            <v>NHMSYS0021131341</v>
          </cell>
          <cell r="H3585" t="str">
            <v>Haplophilus souletinus</v>
          </cell>
        </row>
        <row r="3586">
          <cell r="A3586" t="str">
            <v>Haplophilus subterraneus</v>
          </cell>
          <cell r="B3586" t="str">
            <v>Millipedes, centipedes and woodlice</v>
          </cell>
          <cell r="C3586" t="str">
            <v>Chilopoda</v>
          </cell>
          <cell r="D3586" t="str">
            <v>Haplophilus subterraneus</v>
          </cell>
          <cell r="E3586" t="str">
            <v>LC</v>
          </cell>
          <cell r="F3586" t="str">
            <v>Lee, 2015</v>
          </cell>
          <cell r="G3586" t="str">
            <v>NHMSYS0020500661</v>
          </cell>
          <cell r="H3586" t="str">
            <v>Haplophilus subterraneus</v>
          </cell>
        </row>
        <row r="3587">
          <cell r="A3587" t="str">
            <v>Henia brevis</v>
          </cell>
          <cell r="B3587" t="str">
            <v>Millipedes, centipedes and woodlice</v>
          </cell>
          <cell r="C3587" t="str">
            <v>Chilopoda</v>
          </cell>
          <cell r="D3587" t="str">
            <v>Henia brevis</v>
          </cell>
          <cell r="E3587" t="str">
            <v>LC</v>
          </cell>
          <cell r="F3587" t="str">
            <v>Lee, 2015</v>
          </cell>
          <cell r="G3587" t="str">
            <v>NBNSYS0000011401</v>
          </cell>
          <cell r="H3587" t="str">
            <v>Henia brevis</v>
          </cell>
        </row>
        <row r="3588">
          <cell r="A3588" t="str">
            <v>Henia vesuviana</v>
          </cell>
          <cell r="B3588" t="str">
            <v>Millipedes, centipedes and woodlice</v>
          </cell>
          <cell r="C3588" t="str">
            <v>Chilopoda</v>
          </cell>
          <cell r="D3588" t="str">
            <v>Henia vesuviana</v>
          </cell>
          <cell r="E3588" t="str">
            <v>LC</v>
          </cell>
          <cell r="F3588" t="str">
            <v>Lee, 2015</v>
          </cell>
          <cell r="G3588" t="str">
            <v>NHMSYS0020500663</v>
          </cell>
          <cell r="H3588" t="str">
            <v>Henia vesuviana</v>
          </cell>
        </row>
        <row r="3589">
          <cell r="A3589" t="str">
            <v>Hydroschendyla submarina</v>
          </cell>
          <cell r="B3589" t="str">
            <v>Millipedes, centipedes and woodlice</v>
          </cell>
          <cell r="C3589" t="str">
            <v>Chilopoda</v>
          </cell>
          <cell r="D3589" t="str">
            <v>Hydroschendyla submarina</v>
          </cell>
          <cell r="E3589" t="str">
            <v>NT</v>
          </cell>
          <cell r="F3589" t="str">
            <v>Lee, 2015</v>
          </cell>
          <cell r="G3589" t="str">
            <v>NBNSYS0000011424</v>
          </cell>
          <cell r="H3589" t="str">
            <v>Hydroschendyla submarina</v>
          </cell>
        </row>
        <row r="3590">
          <cell r="A3590" t="str">
            <v>Lithobius borealis</v>
          </cell>
          <cell r="B3590" t="str">
            <v>Millipedes, centipedes and woodlice</v>
          </cell>
          <cell r="C3590" t="str">
            <v>Chilopoda</v>
          </cell>
          <cell r="D3590" t="str">
            <v>Lithobius borealis</v>
          </cell>
          <cell r="E3590" t="str">
            <v>LC</v>
          </cell>
          <cell r="F3590" t="str">
            <v>Lee, 2015</v>
          </cell>
          <cell r="G3590" t="str">
            <v>NHMSYS0020500666</v>
          </cell>
          <cell r="H3590" t="str">
            <v>Lithobius borealis</v>
          </cell>
        </row>
        <row r="3591">
          <cell r="A3591" t="str">
            <v>Lithobius calcaratus</v>
          </cell>
          <cell r="B3591" t="str">
            <v>Millipedes, centipedes and woodlice</v>
          </cell>
          <cell r="C3591" t="str">
            <v>Chilopoda</v>
          </cell>
          <cell r="D3591" t="str">
            <v>Lithobius calcaratus</v>
          </cell>
          <cell r="E3591" t="str">
            <v>LC</v>
          </cell>
          <cell r="F3591" t="str">
            <v>Lee, 2015</v>
          </cell>
          <cell r="G3591" t="str">
            <v>NHMSYS0020500667</v>
          </cell>
          <cell r="H3591" t="str">
            <v>Lithobius calcaratus</v>
          </cell>
        </row>
        <row r="3592">
          <cell r="A3592" t="str">
            <v>Lithobius crassipes</v>
          </cell>
          <cell r="B3592" t="str">
            <v>Millipedes, centipedes and woodlice</v>
          </cell>
          <cell r="C3592" t="str">
            <v>Chilopoda</v>
          </cell>
          <cell r="D3592" t="str">
            <v>Lithobius crassipes</v>
          </cell>
          <cell r="E3592" t="str">
            <v>LC</v>
          </cell>
          <cell r="F3592" t="str">
            <v>Lee, 2015</v>
          </cell>
          <cell r="G3592" t="str">
            <v>NHMSYS0020500681</v>
          </cell>
          <cell r="H3592" t="str">
            <v>Lithobius crassipes</v>
          </cell>
        </row>
        <row r="3593">
          <cell r="A3593" t="str">
            <v>Lithobius curtipes</v>
          </cell>
          <cell r="B3593" t="str">
            <v>Millipedes, centipedes and woodlice</v>
          </cell>
          <cell r="C3593" t="str">
            <v>Chilopoda</v>
          </cell>
          <cell r="D3593" t="str">
            <v>Lithobius curtipes</v>
          </cell>
          <cell r="E3593" t="str">
            <v>LC</v>
          </cell>
          <cell r="F3593" t="str">
            <v>Lee, 2015</v>
          </cell>
          <cell r="G3593" t="str">
            <v>NHMSYS0020500682</v>
          </cell>
          <cell r="H3593" t="str">
            <v>Lithobius curtipes</v>
          </cell>
        </row>
        <row r="3594">
          <cell r="A3594" t="str">
            <v>Lithobius forficatus</v>
          </cell>
          <cell r="B3594" t="str">
            <v>Millipedes, centipedes and woodlice</v>
          </cell>
          <cell r="C3594" t="str">
            <v>Chilopoda</v>
          </cell>
          <cell r="D3594" t="str">
            <v>Lithobius forficatus</v>
          </cell>
          <cell r="E3594" t="str">
            <v>LC</v>
          </cell>
          <cell r="F3594" t="str">
            <v>Lee, 2015</v>
          </cell>
          <cell r="G3594" t="str">
            <v>NHMSYS0020500668</v>
          </cell>
          <cell r="H3594" t="str">
            <v>Lithobius forficatus</v>
          </cell>
        </row>
        <row r="3595">
          <cell r="A3595" t="str">
            <v>Lithobius lapidicola</v>
          </cell>
          <cell r="B3595" t="str">
            <v>Millipedes, centipedes and woodlice</v>
          </cell>
          <cell r="C3595" t="str">
            <v>Chilopoda</v>
          </cell>
          <cell r="D3595" t="str">
            <v>Lithobius lapidicola</v>
          </cell>
          <cell r="E3595" t="str">
            <v>NT</v>
          </cell>
          <cell r="F3595" t="str">
            <v>Lee, 2015</v>
          </cell>
          <cell r="G3595" t="str">
            <v>NHMSYS0020500669</v>
          </cell>
          <cell r="H3595" t="str">
            <v>Lithobius lapidicola</v>
          </cell>
        </row>
        <row r="3596">
          <cell r="A3596" t="str">
            <v>Lithobius macilentus</v>
          </cell>
          <cell r="B3596" t="str">
            <v>Millipedes, centipedes and woodlice</v>
          </cell>
          <cell r="C3596" t="str">
            <v>Chilopoda</v>
          </cell>
          <cell r="D3596" t="str">
            <v>Lithobius macilentus</v>
          </cell>
          <cell r="E3596" t="str">
            <v>LC</v>
          </cell>
          <cell r="F3596" t="str">
            <v>Lee, 2015</v>
          </cell>
          <cell r="G3596" t="str">
            <v>NHMSYS0020500671</v>
          </cell>
          <cell r="H3596" t="str">
            <v>Lithobius macilentus</v>
          </cell>
        </row>
        <row r="3597">
          <cell r="A3597" t="str">
            <v>Lithobius melanops</v>
          </cell>
          <cell r="B3597" t="str">
            <v>Millipedes, centipedes and woodlice</v>
          </cell>
          <cell r="C3597" t="str">
            <v>Chilopoda</v>
          </cell>
          <cell r="D3597" t="str">
            <v>Lithobius melanops</v>
          </cell>
          <cell r="E3597" t="str">
            <v>LC</v>
          </cell>
          <cell r="F3597" t="str">
            <v>Lee, 2015</v>
          </cell>
          <cell r="G3597" t="str">
            <v>NHMSYS0020500672</v>
          </cell>
          <cell r="H3597" t="str">
            <v>Lithobius melanops</v>
          </cell>
        </row>
        <row r="3598">
          <cell r="A3598" t="str">
            <v>Lithobius microps</v>
          </cell>
          <cell r="B3598" t="str">
            <v>Millipedes, centipedes and woodlice</v>
          </cell>
          <cell r="C3598" t="str">
            <v>Chilopoda</v>
          </cell>
          <cell r="D3598" t="str">
            <v>Lithobius microps</v>
          </cell>
          <cell r="E3598" t="str">
            <v>LC</v>
          </cell>
          <cell r="F3598" t="str">
            <v>Lee, 2015</v>
          </cell>
          <cell r="G3598" t="str">
            <v>NHMSYS0020500684</v>
          </cell>
          <cell r="H3598" t="str">
            <v>Lithobius microps</v>
          </cell>
        </row>
        <row r="3599">
          <cell r="A3599" t="str">
            <v>Lithobius muticus</v>
          </cell>
          <cell r="B3599" t="str">
            <v>Millipedes, centipedes and woodlice</v>
          </cell>
          <cell r="C3599" t="str">
            <v>Chilopoda</v>
          </cell>
          <cell r="D3599" t="str">
            <v>Lithobius muticus</v>
          </cell>
          <cell r="E3599" t="str">
            <v>LC</v>
          </cell>
          <cell r="F3599" t="str">
            <v>Lee, 2015</v>
          </cell>
          <cell r="G3599" t="str">
            <v>NHMSYS0020500673</v>
          </cell>
          <cell r="H3599" t="str">
            <v>Lithobius muticus</v>
          </cell>
        </row>
        <row r="3600">
          <cell r="A3600" t="str">
            <v>Lithobius piceus</v>
          </cell>
          <cell r="B3600" t="str">
            <v>Millipedes, centipedes and woodlice</v>
          </cell>
          <cell r="C3600" t="str">
            <v>Chilopoda</v>
          </cell>
          <cell r="D3600" t="str">
            <v>Lithobius piceus</v>
          </cell>
          <cell r="E3600" t="str">
            <v>LC</v>
          </cell>
          <cell r="F3600" t="str">
            <v>Lee, 2015</v>
          </cell>
          <cell r="G3600" t="str">
            <v>NHMSYS0020500675</v>
          </cell>
          <cell r="H3600" t="str">
            <v>Lithobius piceus</v>
          </cell>
        </row>
        <row r="3601">
          <cell r="A3601" t="str">
            <v>Lithobius pilicornis</v>
          </cell>
          <cell r="B3601" t="str">
            <v>Millipedes, centipedes and woodlice</v>
          </cell>
          <cell r="C3601" t="str">
            <v>Chilopoda</v>
          </cell>
          <cell r="D3601" t="str">
            <v>Lithobius pilicornis</v>
          </cell>
          <cell r="E3601" t="str">
            <v>LC</v>
          </cell>
          <cell r="F3601" t="str">
            <v>Lee, 2015</v>
          </cell>
          <cell r="G3601" t="str">
            <v>NHMSYS0020500676</v>
          </cell>
          <cell r="H3601" t="str">
            <v>Lithobius pilicornis</v>
          </cell>
        </row>
        <row r="3602">
          <cell r="A3602" t="str">
            <v>Lithobius tricuspis</v>
          </cell>
          <cell r="B3602" t="str">
            <v>Millipedes, centipedes and woodlice</v>
          </cell>
          <cell r="C3602" t="str">
            <v>Chilopoda</v>
          </cell>
          <cell r="D3602" t="str">
            <v>Lithobius tricuspis</v>
          </cell>
          <cell r="E3602" t="str">
            <v>LC</v>
          </cell>
          <cell r="F3602" t="str">
            <v>Lee, 2015</v>
          </cell>
          <cell r="G3602" t="str">
            <v>NHMSYS0020500678</v>
          </cell>
          <cell r="H3602" t="str">
            <v>Lithobius tricuspis</v>
          </cell>
        </row>
        <row r="3603">
          <cell r="A3603" t="str">
            <v>Lithobius variegatus</v>
          </cell>
          <cell r="B3603" t="str">
            <v>Millipedes, centipedes and woodlice</v>
          </cell>
          <cell r="C3603" t="str">
            <v>Chilopoda</v>
          </cell>
          <cell r="D3603" t="str">
            <v>Lithobius variegatus</v>
          </cell>
          <cell r="E3603" t="str">
            <v>LC</v>
          </cell>
          <cell r="F3603" t="str">
            <v>Lee, 2015</v>
          </cell>
          <cell r="G3603" t="str">
            <v>NHMSYS0020500679</v>
          </cell>
          <cell r="H3603" t="str">
            <v>Lithobius variegatus</v>
          </cell>
        </row>
        <row r="3604">
          <cell r="A3604" t="str">
            <v>Nothogeophilus turki</v>
          </cell>
          <cell r="B3604" t="str">
            <v>Millipedes, centipedes and woodlice</v>
          </cell>
          <cell r="C3604" t="str">
            <v>Chilopoda</v>
          </cell>
          <cell r="D3604" t="str">
            <v>Nothogeophilus turki</v>
          </cell>
          <cell r="E3604" t="str">
            <v>EN</v>
          </cell>
          <cell r="F3604" t="str">
            <v>Lee, 2015</v>
          </cell>
          <cell r="G3604" t="str">
            <v>MM0001Z1ZT0011Z1</v>
          </cell>
          <cell r="H3604" t="str">
            <v>Nothogeophilus turki</v>
          </cell>
        </row>
        <row r="3605">
          <cell r="A3605" t="str">
            <v>Schendyla nemorensis</v>
          </cell>
          <cell r="B3605" t="str">
            <v>Millipedes, centipedes and woodlice</v>
          </cell>
          <cell r="C3605" t="str">
            <v>Chilopoda</v>
          </cell>
          <cell r="D3605" t="str">
            <v>Schendyla nemorensis</v>
          </cell>
          <cell r="E3605" t="str">
            <v>LC</v>
          </cell>
          <cell r="F3605" t="str">
            <v>Lee, 2015</v>
          </cell>
          <cell r="G3605" t="str">
            <v>NBNSYS0000011425</v>
          </cell>
          <cell r="H3605" t="str">
            <v>Schendyla nemorensis</v>
          </cell>
        </row>
        <row r="3606">
          <cell r="A3606" t="str">
            <v>Schendyla peyerimhoffi</v>
          </cell>
          <cell r="B3606" t="str">
            <v>Millipedes, centipedes and woodlice</v>
          </cell>
          <cell r="C3606" t="str">
            <v>Chilopoda</v>
          </cell>
          <cell r="D3606" t="str">
            <v>Schendyla peyerimhoffi</v>
          </cell>
          <cell r="E3606" t="str">
            <v>NT</v>
          </cell>
          <cell r="F3606" t="str">
            <v>Lee, 2015</v>
          </cell>
          <cell r="G3606" t="str">
            <v>NHMSYS0000570601</v>
          </cell>
          <cell r="H3606" t="str">
            <v>Schendyla peyerimhoffi</v>
          </cell>
        </row>
        <row r="3607">
          <cell r="A3607" t="str">
            <v>Strigamia acuminata</v>
          </cell>
          <cell r="B3607" t="str">
            <v>Millipedes, centipedes and woodlice</v>
          </cell>
          <cell r="C3607" t="str">
            <v>Chilopoda</v>
          </cell>
          <cell r="D3607" t="str">
            <v>Strigamia acuminata</v>
          </cell>
          <cell r="E3607" t="str">
            <v>LC</v>
          </cell>
          <cell r="F3607" t="str">
            <v>Lee, 2015</v>
          </cell>
          <cell r="G3607" t="str">
            <v>NBNSYS0000011403</v>
          </cell>
          <cell r="H3607" t="str">
            <v>Strigamia acuminata</v>
          </cell>
        </row>
        <row r="3608">
          <cell r="A3608" t="str">
            <v>Strigamia crassipes</v>
          </cell>
          <cell r="B3608" t="str">
            <v>Millipedes, centipedes and woodlice</v>
          </cell>
          <cell r="C3608" t="str">
            <v>Chilopoda</v>
          </cell>
          <cell r="D3608" t="str">
            <v>Strigamia crassipes</v>
          </cell>
          <cell r="E3608" t="str">
            <v>LC</v>
          </cell>
          <cell r="F3608" t="str">
            <v>Lee, 2015</v>
          </cell>
          <cell r="G3608" t="str">
            <v>NBNSYS0000011404</v>
          </cell>
          <cell r="H3608" t="str">
            <v>Strigamia crassipes</v>
          </cell>
        </row>
        <row r="3609">
          <cell r="A3609" t="str">
            <v>Strigamia maritima</v>
          </cell>
          <cell r="B3609" t="str">
            <v>Millipedes, centipedes and woodlice</v>
          </cell>
          <cell r="C3609" t="str">
            <v>Chilopoda</v>
          </cell>
          <cell r="D3609" t="str">
            <v>Strigamia maritima</v>
          </cell>
          <cell r="E3609" t="str">
            <v>LC</v>
          </cell>
          <cell r="F3609" t="str">
            <v>Lee, 2015</v>
          </cell>
          <cell r="G3609" t="str">
            <v>NBNSYS0000011405</v>
          </cell>
          <cell r="H3609" t="str">
            <v>Strigamia maritima</v>
          </cell>
        </row>
        <row r="3610">
          <cell r="A3610" t="str">
            <v>Allajulus nitidus</v>
          </cell>
          <cell r="B3610" t="str">
            <v>Millipedes, centipedes and woodlice</v>
          </cell>
          <cell r="C3610" t="str">
            <v>Diplopoda</v>
          </cell>
          <cell r="D3610" t="str">
            <v>Allajulus nitidus</v>
          </cell>
          <cell r="E3610" t="str">
            <v>LC</v>
          </cell>
          <cell r="F3610" t="str">
            <v>Lee, 2015</v>
          </cell>
          <cell r="G3610" t="str">
            <v>NHMSYS0000356224</v>
          </cell>
          <cell r="H3610" t="str">
            <v>Allajulus nitidus</v>
          </cell>
        </row>
        <row r="3611">
          <cell r="A3611" t="str">
            <v>Anthogona britannica</v>
          </cell>
          <cell r="B3611" t="str">
            <v>Millipedes, centipedes and woodlice</v>
          </cell>
          <cell r="C3611" t="str">
            <v>Diplopoda</v>
          </cell>
          <cell r="D3611" t="str">
            <v>Anthogona britannica</v>
          </cell>
          <cell r="E3611" t="str">
            <v>NT</v>
          </cell>
          <cell r="F3611" t="str">
            <v>Lee, 2015</v>
          </cell>
          <cell r="G3611" t="str">
            <v>NHMSYS0000356226</v>
          </cell>
          <cell r="H3611" t="str">
            <v>Anthogona britannica</v>
          </cell>
        </row>
        <row r="3612">
          <cell r="A3612" t="str">
            <v>Archiboreoiulus pallidus</v>
          </cell>
          <cell r="B3612" t="str">
            <v>Millipedes, centipedes and woodlice</v>
          </cell>
          <cell r="C3612" t="str">
            <v>Diplopoda</v>
          </cell>
          <cell r="D3612" t="str">
            <v>Archiboreoiulus pallidus</v>
          </cell>
          <cell r="E3612" t="str">
            <v>LC</v>
          </cell>
          <cell r="F3612" t="str">
            <v>Lee, 2015</v>
          </cell>
          <cell r="G3612" t="str">
            <v>NBNSYS0000011376</v>
          </cell>
          <cell r="H3612" t="str">
            <v>Archiboreoiulus pallidus</v>
          </cell>
        </row>
        <row r="3613">
          <cell r="A3613" t="str">
            <v>Blaniulus guttulatus</v>
          </cell>
          <cell r="B3613" t="str">
            <v>Millipedes, centipedes and woodlice</v>
          </cell>
          <cell r="C3613" t="str">
            <v>Diplopoda</v>
          </cell>
          <cell r="D3613" t="str">
            <v>Blaniulus guttulatus</v>
          </cell>
          <cell r="E3613" t="str">
            <v>LC</v>
          </cell>
          <cell r="F3613" t="str">
            <v>Lee, 2015</v>
          </cell>
          <cell r="G3613" t="str">
            <v>NBNSYS0000011375</v>
          </cell>
          <cell r="H3613" t="str">
            <v>Blaniulus guttulatus</v>
          </cell>
        </row>
        <row r="3614">
          <cell r="A3614" t="str">
            <v>Boreoiulus tenuis</v>
          </cell>
          <cell r="B3614" t="str">
            <v>Millipedes, centipedes and woodlice</v>
          </cell>
          <cell r="C3614" t="str">
            <v>Diplopoda</v>
          </cell>
          <cell r="D3614" t="str">
            <v>Boreoiulus tenuis</v>
          </cell>
          <cell r="E3614" t="str">
            <v>LC</v>
          </cell>
          <cell r="F3614" t="str">
            <v>Lee, 2015</v>
          </cell>
          <cell r="G3614" t="str">
            <v>NBNSYS0000011377</v>
          </cell>
          <cell r="H3614" t="str">
            <v>Boreoiulus tenuis</v>
          </cell>
        </row>
        <row r="3615">
          <cell r="A3615" t="str">
            <v>Brachychaeteuma bagnalli</v>
          </cell>
          <cell r="B3615" t="str">
            <v>Millipedes, centipedes and woodlice</v>
          </cell>
          <cell r="C3615" t="str">
            <v>Diplopoda</v>
          </cell>
          <cell r="D3615" t="str">
            <v>Brachychaeteuma bagnalli</v>
          </cell>
          <cell r="E3615" t="str">
            <v>LC</v>
          </cell>
          <cell r="F3615" t="str">
            <v>Lee, 2015</v>
          </cell>
          <cell r="G3615" t="str">
            <v>NBNSYS0000011357</v>
          </cell>
          <cell r="H3615" t="str">
            <v>Brachychaeteuma bagnalli</v>
          </cell>
        </row>
        <row r="3616">
          <cell r="A3616" t="str">
            <v>Brachychaeteuma bradeae</v>
          </cell>
          <cell r="B3616" t="str">
            <v>Millipedes, centipedes and woodlice</v>
          </cell>
          <cell r="C3616" t="str">
            <v>Diplopoda</v>
          </cell>
          <cell r="D3616" t="str">
            <v>Brachychaeteuma bradeae</v>
          </cell>
          <cell r="E3616" t="str">
            <v>LC</v>
          </cell>
          <cell r="F3616" t="str">
            <v>Lee, 2015</v>
          </cell>
          <cell r="G3616" t="str">
            <v>NBNSYS0000011358</v>
          </cell>
          <cell r="H3616" t="str">
            <v>Brachychaeteuma bradeae</v>
          </cell>
        </row>
        <row r="3617">
          <cell r="A3617" t="str">
            <v>Brachychaeteuma melanops</v>
          </cell>
          <cell r="B3617" t="str">
            <v>Millipedes, centipedes and woodlice</v>
          </cell>
          <cell r="C3617" t="str">
            <v>Diplopoda</v>
          </cell>
          <cell r="D3617" t="str">
            <v>Brachychaeteuma melanops</v>
          </cell>
          <cell r="E3617" t="str">
            <v>LC</v>
          </cell>
          <cell r="F3617" t="str">
            <v>Lee, 2015</v>
          </cell>
          <cell r="G3617" t="str">
            <v>NHMSYS0020108466</v>
          </cell>
          <cell r="H3617" t="str">
            <v>Brachychaeteuma melanops</v>
          </cell>
        </row>
        <row r="3618">
          <cell r="A3618" t="str">
            <v>Brachydesmus superus</v>
          </cell>
          <cell r="B3618" t="str">
            <v>Millipedes, centipedes and woodlice</v>
          </cell>
          <cell r="C3618" t="str">
            <v>Diplopoda</v>
          </cell>
          <cell r="D3618" t="str">
            <v>Brachydesmus superus</v>
          </cell>
          <cell r="E3618" t="str">
            <v>LC</v>
          </cell>
          <cell r="F3618" t="str">
            <v>Lee, 2015</v>
          </cell>
          <cell r="G3618" t="str">
            <v>NBNSYS0000011372</v>
          </cell>
          <cell r="H3618" t="str">
            <v>Brachydesmus superus</v>
          </cell>
        </row>
        <row r="3619">
          <cell r="A3619" t="str">
            <v>Brachyiulus pusillus</v>
          </cell>
          <cell r="B3619" t="str">
            <v>Millipedes, centipedes and woodlice</v>
          </cell>
          <cell r="C3619" t="str">
            <v>Diplopoda</v>
          </cell>
          <cell r="D3619" t="str">
            <v>Brachyiulus pusillus</v>
          </cell>
          <cell r="E3619" t="str">
            <v>LC</v>
          </cell>
          <cell r="F3619" t="str">
            <v>Lee, 2015</v>
          </cell>
          <cell r="G3619" t="str">
            <v>NBNSYS0000011387</v>
          </cell>
          <cell r="H3619" t="str">
            <v>Brachyiulus pusillus</v>
          </cell>
        </row>
        <row r="3620">
          <cell r="A3620" t="str">
            <v>Choneiulus palmatus</v>
          </cell>
          <cell r="B3620" t="str">
            <v>Millipedes, centipedes and woodlice</v>
          </cell>
          <cell r="C3620" t="str">
            <v>Diplopoda</v>
          </cell>
          <cell r="D3620" t="str">
            <v>Choneiulus palmatus</v>
          </cell>
          <cell r="E3620" t="str">
            <v>LC</v>
          </cell>
          <cell r="F3620" t="str">
            <v>Lee, 2015</v>
          </cell>
          <cell r="G3620" t="str">
            <v>NHMSYS0000356233</v>
          </cell>
          <cell r="H3620" t="str">
            <v>Choneiulus palmatus</v>
          </cell>
        </row>
        <row r="3621">
          <cell r="A3621" t="str">
            <v>Chordeuma proximum</v>
          </cell>
          <cell r="B3621" t="str">
            <v>Millipedes, centipedes and woodlice</v>
          </cell>
          <cell r="C3621" t="str">
            <v>Diplopoda</v>
          </cell>
          <cell r="D3621" t="str">
            <v>Chordeuma proximum</v>
          </cell>
          <cell r="E3621" t="str">
            <v>LC</v>
          </cell>
          <cell r="F3621" t="str">
            <v>Lee, 2015</v>
          </cell>
          <cell r="G3621" t="str">
            <v>NBNSYS0000011353</v>
          </cell>
          <cell r="H3621" t="str">
            <v>Chordeuma proximum</v>
          </cell>
        </row>
        <row r="3622">
          <cell r="A3622" t="str">
            <v>Chordeuma sylvestre</v>
          </cell>
          <cell r="B3622" t="str">
            <v>Millipedes, centipedes and woodlice</v>
          </cell>
          <cell r="C3622" t="str">
            <v>Diplopoda</v>
          </cell>
          <cell r="D3622" t="str">
            <v>Chordeuma sylvestre</v>
          </cell>
          <cell r="E3622" t="str">
            <v>VU</v>
          </cell>
          <cell r="F3622" t="str">
            <v>Lee, 2015</v>
          </cell>
          <cell r="G3622" t="str">
            <v>NHMSYS0000356235</v>
          </cell>
          <cell r="H3622" t="str">
            <v>Chordeuma sylvestre</v>
          </cell>
        </row>
        <row r="3623">
          <cell r="A3623" t="str">
            <v>Craspedosoma rawlinsii</v>
          </cell>
          <cell r="B3623" t="str">
            <v>Millipedes, centipedes and woodlice</v>
          </cell>
          <cell r="C3623" t="str">
            <v>Diplopoda</v>
          </cell>
          <cell r="D3623" t="str">
            <v>Craspedosoma rawlinsii</v>
          </cell>
          <cell r="E3623" t="str">
            <v>LC</v>
          </cell>
          <cell r="F3623" t="str">
            <v>Lee, 2015</v>
          </cell>
          <cell r="G3623" t="str">
            <v>NHMSYS0020108469</v>
          </cell>
          <cell r="H3623" t="str">
            <v>Craspedosoma rawlinsii</v>
          </cell>
        </row>
        <row r="3624">
          <cell r="A3624" t="str">
            <v>Cylindroiulus britannicus</v>
          </cell>
          <cell r="B3624" t="str">
            <v>Millipedes, centipedes and woodlice</v>
          </cell>
          <cell r="C3624" t="str">
            <v>Diplopoda</v>
          </cell>
          <cell r="D3624" t="str">
            <v>Cylindroiulus britannicus</v>
          </cell>
          <cell r="E3624" t="str">
            <v>LC</v>
          </cell>
          <cell r="F3624" t="str">
            <v>Lee, 2015</v>
          </cell>
          <cell r="G3624" t="str">
            <v>NBNSYS0000011394</v>
          </cell>
          <cell r="H3624" t="str">
            <v>Cylindroiulus britannicus</v>
          </cell>
        </row>
        <row r="3625">
          <cell r="A3625" t="str">
            <v>Cylindroiulus caeruleocinctus</v>
          </cell>
          <cell r="B3625" t="str">
            <v>Millipedes, centipedes and woodlice</v>
          </cell>
          <cell r="C3625" t="str">
            <v>Diplopoda</v>
          </cell>
          <cell r="D3625" t="str">
            <v>Cylindroiulus caeruleocinctus</v>
          </cell>
          <cell r="E3625" t="str">
            <v>LC</v>
          </cell>
          <cell r="F3625" t="str">
            <v>Lee, 2015</v>
          </cell>
          <cell r="G3625" t="str">
            <v>NBNSYS0000033245</v>
          </cell>
          <cell r="H3625" t="str">
            <v>Cylindroiulus caeruleocinctus</v>
          </cell>
        </row>
        <row r="3626">
          <cell r="A3626" t="str">
            <v>Cylindroiulus latestriatus</v>
          </cell>
          <cell r="B3626" t="str">
            <v>Millipedes, centipedes and woodlice</v>
          </cell>
          <cell r="C3626" t="str">
            <v>Diplopoda</v>
          </cell>
          <cell r="D3626" t="str">
            <v>Cylindroiulus latestriatus</v>
          </cell>
          <cell r="E3626" t="str">
            <v>LC</v>
          </cell>
          <cell r="F3626" t="str">
            <v>Lee, 2015</v>
          </cell>
          <cell r="G3626" t="str">
            <v>NBNSYS0000011393</v>
          </cell>
          <cell r="H3626" t="str">
            <v>Cylindroiulus latestriatus</v>
          </cell>
        </row>
        <row r="3627">
          <cell r="A3627" t="str">
            <v>Cylindroiulus londinensis</v>
          </cell>
          <cell r="B3627" t="str">
            <v>Millipedes, centipedes and woodlice</v>
          </cell>
          <cell r="C3627" t="str">
            <v>Diplopoda</v>
          </cell>
          <cell r="D3627" t="str">
            <v>Cylindroiulus londinensis</v>
          </cell>
          <cell r="E3627" t="str">
            <v>LC</v>
          </cell>
          <cell r="F3627" t="str">
            <v>Lee, 2015</v>
          </cell>
          <cell r="G3627" t="str">
            <v>NHMSYS0000528625</v>
          </cell>
          <cell r="H3627" t="str">
            <v>Cylindroiulus londinensis</v>
          </cell>
        </row>
        <row r="3628">
          <cell r="A3628" t="str">
            <v>Cylindroiulus parisiorum</v>
          </cell>
          <cell r="B3628" t="str">
            <v>Millipedes, centipedes and woodlice</v>
          </cell>
          <cell r="C3628" t="str">
            <v>Diplopoda</v>
          </cell>
          <cell r="D3628" t="str">
            <v>Cylindroiulus parisiorum</v>
          </cell>
          <cell r="E3628" t="str">
            <v>LC</v>
          </cell>
          <cell r="F3628" t="str">
            <v>Lee, 2015</v>
          </cell>
          <cell r="G3628" t="str">
            <v>NBNSYS0000011396</v>
          </cell>
          <cell r="H3628" t="str">
            <v>Cylindroiulus parisiorum</v>
          </cell>
        </row>
        <row r="3629">
          <cell r="A3629" t="str">
            <v>Cylindroiulus punctatus</v>
          </cell>
          <cell r="B3629" t="str">
            <v>Millipedes, centipedes and woodlice</v>
          </cell>
          <cell r="C3629" t="str">
            <v>Diplopoda</v>
          </cell>
          <cell r="D3629" t="str">
            <v>Cylindroiulus punctatus</v>
          </cell>
          <cell r="E3629" t="str">
            <v>LC</v>
          </cell>
          <cell r="F3629" t="str">
            <v>Lee, 2015</v>
          </cell>
          <cell r="G3629" t="str">
            <v>NBNSYS0000011392</v>
          </cell>
          <cell r="H3629" t="str">
            <v>Cylindroiulus punctatus</v>
          </cell>
        </row>
        <row r="3630">
          <cell r="A3630" t="str">
            <v>Enantiulus armatus</v>
          </cell>
          <cell r="B3630" t="str">
            <v>Millipedes, centipedes and woodlice</v>
          </cell>
          <cell r="C3630" t="str">
            <v>Diplopoda</v>
          </cell>
          <cell r="D3630" t="str">
            <v>Enantiulus armatus</v>
          </cell>
          <cell r="E3630" t="str">
            <v>LC</v>
          </cell>
          <cell r="F3630" t="str">
            <v>Lee, 2015</v>
          </cell>
          <cell r="G3630" t="str">
            <v>NBNSYS0000011388</v>
          </cell>
          <cell r="H3630" t="str">
            <v>Enantiulus armatus</v>
          </cell>
        </row>
        <row r="3631">
          <cell r="A3631" t="str">
            <v>Geoglomeris subterranea</v>
          </cell>
          <cell r="B3631" t="str">
            <v>Millipedes, centipedes and woodlice</v>
          </cell>
          <cell r="C3631" t="str">
            <v>Diplopoda</v>
          </cell>
          <cell r="D3631" t="str">
            <v>Geoglomeris subterranea</v>
          </cell>
          <cell r="E3631" t="str">
            <v>LC</v>
          </cell>
          <cell r="F3631" t="str">
            <v>Lee, 2015</v>
          </cell>
          <cell r="G3631" t="str">
            <v>NHMSYS0000356252</v>
          </cell>
          <cell r="H3631" t="str">
            <v>Geoglomeris subterranea</v>
          </cell>
        </row>
        <row r="3632">
          <cell r="A3632" t="str">
            <v>Glomeris marginata</v>
          </cell>
          <cell r="B3632" t="str">
            <v>Millipedes, centipedes and woodlice</v>
          </cell>
          <cell r="C3632" t="str">
            <v>Diplopoda</v>
          </cell>
          <cell r="D3632" t="str">
            <v>Glomeris marginata</v>
          </cell>
          <cell r="E3632" t="str">
            <v>LC</v>
          </cell>
          <cell r="F3632" t="str">
            <v>Lee, 2015</v>
          </cell>
          <cell r="G3632" t="str">
            <v>NBNSYS0000011348</v>
          </cell>
          <cell r="H3632" t="str">
            <v>Glomeris marginata</v>
          </cell>
        </row>
        <row r="3633">
          <cell r="A3633" t="str">
            <v>Julus scandinavius</v>
          </cell>
          <cell r="B3633" t="str">
            <v>Millipedes, centipedes and woodlice</v>
          </cell>
          <cell r="C3633" t="str">
            <v>Diplopoda</v>
          </cell>
          <cell r="D3633" t="str">
            <v>Julus scandinavius</v>
          </cell>
          <cell r="E3633" t="str">
            <v>LC</v>
          </cell>
          <cell r="F3633" t="str">
            <v>Lee, 2015</v>
          </cell>
          <cell r="G3633" t="str">
            <v>NBNSYS0000011381</v>
          </cell>
          <cell r="H3633" t="str">
            <v>Julus scandinavius</v>
          </cell>
        </row>
        <row r="3634">
          <cell r="A3634" t="str">
            <v>Leptoiulus belgicus</v>
          </cell>
          <cell r="B3634" t="str">
            <v>Millipedes, centipedes and woodlice</v>
          </cell>
          <cell r="C3634" t="str">
            <v>Diplopoda</v>
          </cell>
          <cell r="D3634" t="str">
            <v>Leptoiulus belgicus</v>
          </cell>
          <cell r="E3634" t="str">
            <v>LC</v>
          </cell>
          <cell r="F3634" t="str">
            <v>Lee, 2015</v>
          </cell>
          <cell r="G3634" t="str">
            <v>NBNSYS0000011383</v>
          </cell>
          <cell r="H3634" t="str">
            <v>Leptoiulus belgicus</v>
          </cell>
        </row>
        <row r="3635">
          <cell r="A3635" t="str">
            <v>Leptoiulus kervillei</v>
          </cell>
          <cell r="B3635" t="str">
            <v>Millipedes, centipedes and woodlice</v>
          </cell>
          <cell r="C3635" t="str">
            <v>Diplopoda</v>
          </cell>
          <cell r="D3635" t="str">
            <v>Leptoiulus kervillei</v>
          </cell>
          <cell r="E3635" t="str">
            <v>LC</v>
          </cell>
          <cell r="F3635" t="str">
            <v>Lee, 2015</v>
          </cell>
          <cell r="G3635" t="str">
            <v>NBNSYS0000011384</v>
          </cell>
          <cell r="H3635" t="str">
            <v>Leptoiulus kervillei</v>
          </cell>
        </row>
        <row r="3636">
          <cell r="A3636" t="str">
            <v>Macrosternodesmus palicola</v>
          </cell>
          <cell r="B3636" t="str">
            <v>Millipedes, centipedes and woodlice</v>
          </cell>
          <cell r="C3636" t="str">
            <v>Diplopoda</v>
          </cell>
          <cell r="D3636" t="str">
            <v>Macrosternodesmus palicola</v>
          </cell>
          <cell r="E3636" t="str">
            <v>LC</v>
          </cell>
          <cell r="F3636" t="str">
            <v>Lee, 2015</v>
          </cell>
          <cell r="G3636" t="str">
            <v>NBNSYS0000011364</v>
          </cell>
          <cell r="H3636" t="str">
            <v>Macrosternodesmus palicola</v>
          </cell>
        </row>
        <row r="3637">
          <cell r="A3637" t="str">
            <v>Melogona gallica </v>
          </cell>
          <cell r="B3637" t="str">
            <v>Millipedes, centipedes and woodlice</v>
          </cell>
          <cell r="C3637" t="str">
            <v>Diplopoda</v>
          </cell>
          <cell r="D3637" t="str">
            <v>Melogona gallica</v>
          </cell>
          <cell r="E3637" t="str">
            <v>LC</v>
          </cell>
          <cell r="F3637" t="str">
            <v>Lee, 2015</v>
          </cell>
          <cell r="G3637" t="str">
            <v>NBNSYS0000011355</v>
          </cell>
          <cell r="H3637" t="str">
            <v>Melogona gallica </v>
          </cell>
        </row>
        <row r="3638">
          <cell r="A3638" t="str">
            <v>Melogona scutellaris</v>
          </cell>
          <cell r="B3638" t="str">
            <v>Millipedes, centipedes and woodlice</v>
          </cell>
          <cell r="C3638" t="str">
            <v>Diplopoda</v>
          </cell>
          <cell r="D3638" t="str">
            <v>Melogona scutellaris</v>
          </cell>
          <cell r="E3638" t="str">
            <v>LC</v>
          </cell>
          <cell r="F3638" t="str">
            <v>Lee, 2015</v>
          </cell>
          <cell r="G3638" t="str">
            <v>NHMSYS0020108475</v>
          </cell>
          <cell r="H3638" t="str">
            <v>Melogona scutellaris</v>
          </cell>
        </row>
        <row r="3639">
          <cell r="A3639" t="str">
            <v>Metaiulus pratensis</v>
          </cell>
          <cell r="B3639" t="str">
            <v>Millipedes, centipedes and woodlice</v>
          </cell>
          <cell r="C3639" t="str">
            <v>Diplopoda</v>
          </cell>
          <cell r="D3639" t="str">
            <v>Metaiulus pratensis</v>
          </cell>
          <cell r="E3639" t="str">
            <v>EN</v>
          </cell>
          <cell r="F3639" t="str">
            <v>Lee, 2015</v>
          </cell>
          <cell r="G3639" t="str">
            <v>NBNSYS0000039488</v>
          </cell>
          <cell r="H3639" t="str">
            <v>Metaiulus pratensis</v>
          </cell>
        </row>
        <row r="3640">
          <cell r="A3640" t="str">
            <v>Nanogona polydesmoides</v>
          </cell>
          <cell r="B3640" t="str">
            <v>Millipedes, centipedes and woodlice</v>
          </cell>
          <cell r="C3640" t="str">
            <v>Diplopoda</v>
          </cell>
          <cell r="D3640" t="str">
            <v>Nanogona polydesmoides</v>
          </cell>
          <cell r="E3640" t="str">
            <v>LC</v>
          </cell>
          <cell r="F3640" t="str">
            <v>Lee, 2015</v>
          </cell>
          <cell r="G3640" t="str">
            <v>NHMSYS0020108477</v>
          </cell>
          <cell r="H3640" t="str">
            <v>Nanogona polydesmoides</v>
          </cell>
        </row>
        <row r="3641">
          <cell r="A3641" t="str">
            <v>Nemasoma varicorne</v>
          </cell>
          <cell r="B3641" t="str">
            <v>Millipedes, centipedes and woodlice</v>
          </cell>
          <cell r="C3641" t="str">
            <v>Diplopoda</v>
          </cell>
          <cell r="D3641" t="str">
            <v>Nemasoma varicorne</v>
          </cell>
          <cell r="E3641" t="str">
            <v>LC</v>
          </cell>
          <cell r="F3641" t="str">
            <v>Lee, 2015</v>
          </cell>
          <cell r="G3641" t="str">
            <v>NBNSYS0000011373</v>
          </cell>
          <cell r="H3641" t="str">
            <v>Nemasoma varicorne</v>
          </cell>
        </row>
        <row r="3642">
          <cell r="A3642" t="str">
            <v>Nopoiulus kochii</v>
          </cell>
          <cell r="B3642" t="str">
            <v>Millipedes, centipedes and woodlice</v>
          </cell>
          <cell r="C3642" t="str">
            <v>Diplopoda</v>
          </cell>
          <cell r="D3642" t="str">
            <v>Nopoiulus kochii</v>
          </cell>
          <cell r="E3642" t="str">
            <v>LC</v>
          </cell>
          <cell r="F3642" t="str">
            <v>Lee, 2015</v>
          </cell>
          <cell r="G3642" t="str">
            <v>NBNSYS0000011379</v>
          </cell>
          <cell r="H3642" t="str">
            <v>Nopoiulus kochii</v>
          </cell>
        </row>
        <row r="3643">
          <cell r="A3643" t="str">
            <v>Ommatoiulus sabulosus</v>
          </cell>
          <cell r="B3643" t="str">
            <v>Millipedes, centipedes and woodlice</v>
          </cell>
          <cell r="C3643" t="str">
            <v>Diplopoda</v>
          </cell>
          <cell r="D3643" t="str">
            <v>Ommatoiulus sabulosus</v>
          </cell>
          <cell r="E3643" t="str">
            <v>LC</v>
          </cell>
          <cell r="F3643" t="str">
            <v>Lee, 2015</v>
          </cell>
          <cell r="G3643" t="str">
            <v>NBNSYS0000011385</v>
          </cell>
          <cell r="H3643" t="str">
            <v>Ommatoiulus sabulosus</v>
          </cell>
        </row>
        <row r="3644">
          <cell r="A3644" t="str">
            <v>Ophiodesmus albonanus</v>
          </cell>
          <cell r="B3644" t="str">
            <v>Millipedes, centipedes and woodlice</v>
          </cell>
          <cell r="C3644" t="str">
            <v>Diplopoda</v>
          </cell>
          <cell r="D3644" t="str">
            <v>Ophiodesmus albonanus</v>
          </cell>
          <cell r="E3644" t="str">
            <v>LC</v>
          </cell>
          <cell r="F3644" t="str">
            <v>Lee, 2015</v>
          </cell>
          <cell r="G3644" t="str">
            <v>NHMSYS0000356287</v>
          </cell>
          <cell r="H3644" t="str">
            <v>Ophiodesmus albonanus</v>
          </cell>
        </row>
        <row r="3645">
          <cell r="A3645" t="str">
            <v>Ophyiulus pilosus</v>
          </cell>
          <cell r="B3645" t="str">
            <v>Millipedes, centipedes and woodlice</v>
          </cell>
          <cell r="C3645" t="str">
            <v>Diplopoda</v>
          </cell>
          <cell r="D3645" t="str">
            <v>Ophyiulus pilosus</v>
          </cell>
          <cell r="E3645" t="str">
            <v>LC</v>
          </cell>
          <cell r="F3645" t="str">
            <v>Lee, 2015</v>
          </cell>
          <cell r="G3645" t="str">
            <v>NBNSYS0000011382</v>
          </cell>
          <cell r="H3645" t="str">
            <v>Ophyiulus pilosus</v>
          </cell>
        </row>
        <row r="3646">
          <cell r="A3646" t="str">
            <v>Polydesmus angustus</v>
          </cell>
          <cell r="B3646" t="str">
            <v>Millipedes, centipedes and woodlice</v>
          </cell>
          <cell r="C3646" t="str">
            <v>Diplopoda</v>
          </cell>
          <cell r="D3646" t="str">
            <v>Polydesmus angustus</v>
          </cell>
          <cell r="E3646" t="str">
            <v>LC</v>
          </cell>
          <cell r="F3646" t="str">
            <v>Lee, 2015</v>
          </cell>
          <cell r="G3646" t="str">
            <v>NBNSYS0000011367</v>
          </cell>
          <cell r="H3646" t="str">
            <v>Polydesmus angustus</v>
          </cell>
        </row>
        <row r="3647">
          <cell r="A3647" t="str">
            <v>Polydesmus coriaceus</v>
          </cell>
          <cell r="B3647" t="str">
            <v>Millipedes, centipedes and woodlice</v>
          </cell>
          <cell r="C3647" t="str">
            <v>Diplopoda</v>
          </cell>
          <cell r="D3647" t="str">
            <v>Polydesmus coriaceus</v>
          </cell>
          <cell r="E3647" t="str">
            <v>LC</v>
          </cell>
          <cell r="F3647" t="str">
            <v>Lee, 2015</v>
          </cell>
          <cell r="G3647" t="str">
            <v>NHMSYS0020108482</v>
          </cell>
          <cell r="H3647" t="str">
            <v>Polydesmus coriaceus</v>
          </cell>
        </row>
        <row r="3648">
          <cell r="A3648" t="str">
            <v>Polydesmus denticulatus</v>
          </cell>
          <cell r="B3648" t="str">
            <v>Millipedes, centipedes and woodlice</v>
          </cell>
          <cell r="C3648" t="str">
            <v>Diplopoda</v>
          </cell>
          <cell r="D3648" t="str">
            <v>Polydesmus denticulatus</v>
          </cell>
          <cell r="E3648" t="str">
            <v>LC</v>
          </cell>
          <cell r="F3648" t="str">
            <v>Lee, 2015</v>
          </cell>
          <cell r="G3648" t="str">
            <v>NBNSYS0000011368</v>
          </cell>
          <cell r="H3648" t="str">
            <v>Polydesmus denticulatus</v>
          </cell>
        </row>
        <row r="3649">
          <cell r="A3649" t="str">
            <v>Polydesmus inconstans</v>
          </cell>
          <cell r="B3649" t="str">
            <v>Millipedes, centipedes and woodlice</v>
          </cell>
          <cell r="C3649" t="str">
            <v>Diplopoda</v>
          </cell>
          <cell r="D3649" t="str">
            <v>Polydesmus inconstans</v>
          </cell>
          <cell r="E3649" t="str">
            <v>LC</v>
          </cell>
          <cell r="F3649" t="str">
            <v>Lee, 2015</v>
          </cell>
          <cell r="G3649" t="str">
            <v>NBNSYS0000011370</v>
          </cell>
          <cell r="H3649" t="str">
            <v>Polydesmus inconstans</v>
          </cell>
        </row>
        <row r="3650">
          <cell r="A3650" t="str">
            <v>Polyxenus lagurus</v>
          </cell>
          <cell r="B3650" t="str">
            <v>Millipedes, centipedes and woodlice</v>
          </cell>
          <cell r="C3650" t="str">
            <v>Diplopoda</v>
          </cell>
          <cell r="D3650" t="str">
            <v>Polyxenus lagurus</v>
          </cell>
          <cell r="E3650" t="str">
            <v>LC</v>
          </cell>
          <cell r="F3650" t="str">
            <v>Lee, 2015</v>
          </cell>
          <cell r="G3650" t="str">
            <v>NBNSYS0000011347</v>
          </cell>
          <cell r="H3650" t="str">
            <v>Polyxenus lagurus</v>
          </cell>
        </row>
        <row r="3651">
          <cell r="A3651" t="str">
            <v>Polyzonium germanicum</v>
          </cell>
          <cell r="B3651" t="str">
            <v>Millipedes, centipedes and woodlice</v>
          </cell>
          <cell r="C3651" t="str">
            <v>Diplopoda</v>
          </cell>
          <cell r="D3651" t="str">
            <v>Polyzonium germanicum</v>
          </cell>
          <cell r="E3651" t="str">
            <v>LC</v>
          </cell>
          <cell r="F3651" t="str">
            <v>Lee, 2015</v>
          </cell>
          <cell r="G3651" t="str">
            <v>NHMSYS0020108483</v>
          </cell>
          <cell r="H3651" t="str">
            <v>Polyzonium germanicum</v>
          </cell>
        </row>
        <row r="3652">
          <cell r="A3652" t="str">
            <v>Propolydesmus testaceus</v>
          </cell>
          <cell r="B3652" t="str">
            <v>Millipedes, centipedes and woodlice</v>
          </cell>
          <cell r="C3652" t="str">
            <v>Diplopoda</v>
          </cell>
          <cell r="D3652" t="str">
            <v>Propolydesmus testaceus</v>
          </cell>
          <cell r="E3652" t="str">
            <v>NT</v>
          </cell>
          <cell r="F3652" t="str">
            <v>Lee, 2015</v>
          </cell>
          <cell r="G3652" t="str">
            <v>NHMSYS0020108486</v>
          </cell>
          <cell r="H3652" t="str">
            <v>Propolydesmus testaceus</v>
          </cell>
        </row>
        <row r="3653">
          <cell r="A3653" t="str">
            <v>Proteroiulus fuscus</v>
          </cell>
          <cell r="B3653" t="str">
            <v>Millipedes, centipedes and woodlice</v>
          </cell>
          <cell r="C3653" t="str">
            <v>Diplopoda</v>
          </cell>
          <cell r="D3653" t="str">
            <v>Proteroiulus fuscus</v>
          </cell>
          <cell r="E3653" t="str">
            <v>LC</v>
          </cell>
          <cell r="F3653" t="str">
            <v>Lee, 2015</v>
          </cell>
          <cell r="G3653" t="str">
            <v>NBNSYS0000011380</v>
          </cell>
          <cell r="H3653" t="str">
            <v>Proteroiulus fuscus</v>
          </cell>
        </row>
        <row r="3654">
          <cell r="A3654" t="str">
            <v>Stosatea italica</v>
          </cell>
          <cell r="B3654" t="str">
            <v>Millipedes, centipedes and woodlice</v>
          </cell>
          <cell r="C3654" t="str">
            <v>Diplopoda</v>
          </cell>
          <cell r="D3654" t="str">
            <v>Stosatea italica</v>
          </cell>
          <cell r="E3654" t="str">
            <v>LC</v>
          </cell>
          <cell r="F3654" t="str">
            <v>Lee, 2015</v>
          </cell>
          <cell r="G3654" t="str">
            <v>NBNSYS0000011362</v>
          </cell>
          <cell r="H3654" t="str">
            <v>Stosatea italica</v>
          </cell>
        </row>
        <row r="3655">
          <cell r="A3655" t="str">
            <v>Tachypodoiulus niger</v>
          </cell>
          <cell r="B3655" t="str">
            <v>Millipedes, centipedes and woodlice</v>
          </cell>
          <cell r="C3655" t="str">
            <v>Diplopoda</v>
          </cell>
          <cell r="D3655" t="str">
            <v>Tachypodoiulus niger</v>
          </cell>
          <cell r="E3655" t="str">
            <v>LC</v>
          </cell>
          <cell r="F3655" t="str">
            <v>Lee, 2015</v>
          </cell>
          <cell r="G3655" t="str">
            <v>NHMSYS0020108490</v>
          </cell>
          <cell r="H3655" t="str">
            <v>Tachypodoiulus niger</v>
          </cell>
        </row>
        <row r="3656">
          <cell r="A3656" t="str">
            <v>Thalassisobates littoralis</v>
          </cell>
          <cell r="B3656" t="str">
            <v>Millipedes, centipedes and woodlice</v>
          </cell>
          <cell r="C3656" t="str">
            <v>Diplopoda</v>
          </cell>
          <cell r="D3656" t="str">
            <v>Thalassisobates littoralis</v>
          </cell>
          <cell r="E3656" t="str">
            <v>LC</v>
          </cell>
          <cell r="F3656" t="str">
            <v>Lee, 2015</v>
          </cell>
          <cell r="G3656" t="str">
            <v>NBNSYS0000011374</v>
          </cell>
          <cell r="H3656" t="str">
            <v>Thalassisobates littoralis</v>
          </cell>
        </row>
        <row r="3657">
          <cell r="A3657" t="str">
            <v>Trachysphaera lobata</v>
          </cell>
          <cell r="B3657" t="str">
            <v>Millipedes, centipedes and woodlice</v>
          </cell>
          <cell r="C3657" t="str">
            <v>Diplopoda</v>
          </cell>
          <cell r="D3657" t="str">
            <v>Trachysphaera lobata</v>
          </cell>
          <cell r="E3657" t="str">
            <v>VU</v>
          </cell>
          <cell r="F3657" t="str">
            <v>Lee, 2015</v>
          </cell>
          <cell r="G3657" t="str">
            <v>NBNSYS0000011349</v>
          </cell>
          <cell r="H3657" t="str">
            <v>Trachysphaera lobata</v>
          </cell>
        </row>
        <row r="3658">
          <cell r="A3658" t="str">
            <v>Androniscus dentiger</v>
          </cell>
          <cell r="B3658" t="str">
            <v>Millipedes, centipedes and woodlice</v>
          </cell>
          <cell r="C3658" t="str">
            <v>Isopoda</v>
          </cell>
          <cell r="D3658" t="str">
            <v>Androniscus dentiger</v>
          </cell>
          <cell r="E3658" t="str">
            <v>LC</v>
          </cell>
          <cell r="F3658" t="str">
            <v>Lee, 2015</v>
          </cell>
          <cell r="G3658" t="str">
            <v>NBNSYS0000008544</v>
          </cell>
          <cell r="H3658" t="str">
            <v>Androniscus dentiger</v>
          </cell>
        </row>
        <row r="3659">
          <cell r="A3659" t="str">
            <v>Armadillidium album</v>
          </cell>
          <cell r="B3659" t="str">
            <v>Millipedes, centipedes and woodlice</v>
          </cell>
          <cell r="C3659" t="str">
            <v>Isopoda</v>
          </cell>
          <cell r="D3659" t="str">
            <v>Armadillidium album</v>
          </cell>
          <cell r="E3659" t="str">
            <v>LC</v>
          </cell>
          <cell r="F3659" t="str">
            <v>Lee, 2015</v>
          </cell>
          <cell r="G3659" t="str">
            <v>NBNSYS0000008567</v>
          </cell>
          <cell r="H3659" t="str">
            <v>Armadillidium album</v>
          </cell>
        </row>
        <row r="3660">
          <cell r="A3660" t="str">
            <v>Armadillidium depressum</v>
          </cell>
          <cell r="B3660" t="str">
            <v>Millipedes, centipedes and woodlice</v>
          </cell>
          <cell r="C3660" t="str">
            <v>Isopoda</v>
          </cell>
          <cell r="D3660" t="str">
            <v>Armadillidium depressum</v>
          </cell>
          <cell r="E3660" t="str">
            <v>LC</v>
          </cell>
          <cell r="F3660" t="str">
            <v>Lee, 2015</v>
          </cell>
          <cell r="G3660" t="str">
            <v>NBNSYS0000008568</v>
          </cell>
          <cell r="H3660" t="str">
            <v>Armadillidium depressum</v>
          </cell>
        </row>
        <row r="3661">
          <cell r="A3661" t="str">
            <v>Armadillidium nasatum</v>
          </cell>
          <cell r="B3661" t="str">
            <v>Millipedes, centipedes and woodlice</v>
          </cell>
          <cell r="C3661" t="str">
            <v>Isopoda</v>
          </cell>
          <cell r="D3661" t="str">
            <v>Armadillidium nasatum</v>
          </cell>
          <cell r="E3661" t="str">
            <v>LC</v>
          </cell>
          <cell r="F3661" t="str">
            <v>Lee, 2015</v>
          </cell>
          <cell r="G3661" t="str">
            <v>NBNSYS0000008569</v>
          </cell>
          <cell r="H3661" t="str">
            <v>Armadillidium nasatum</v>
          </cell>
        </row>
        <row r="3662">
          <cell r="A3662" t="str">
            <v>Armadillidium pictum</v>
          </cell>
          <cell r="B3662" t="str">
            <v>Millipedes, centipedes and woodlice</v>
          </cell>
          <cell r="C3662" t="str">
            <v>Isopoda</v>
          </cell>
          <cell r="D3662" t="str">
            <v>Armadillidium pictum</v>
          </cell>
          <cell r="E3662" t="str">
            <v>LC</v>
          </cell>
          <cell r="F3662" t="str">
            <v>Lee, 2015</v>
          </cell>
          <cell r="G3662" t="str">
            <v>NBNSYS0000008570</v>
          </cell>
          <cell r="H3662" t="str">
            <v>Armadillidium pictum</v>
          </cell>
        </row>
        <row r="3663">
          <cell r="A3663" t="str">
            <v>Armadillidium pulchellum</v>
          </cell>
          <cell r="B3663" t="str">
            <v>Millipedes, centipedes and woodlice</v>
          </cell>
          <cell r="C3663" t="str">
            <v>Isopoda</v>
          </cell>
          <cell r="D3663" t="str">
            <v>Armadillidium pulchellum</v>
          </cell>
          <cell r="E3663" t="str">
            <v>LC</v>
          </cell>
          <cell r="F3663" t="str">
            <v>Lee, 2015</v>
          </cell>
          <cell r="G3663" t="str">
            <v>NBNSYS0000008571</v>
          </cell>
          <cell r="H3663" t="str">
            <v>Armadillidium pulchellum</v>
          </cell>
        </row>
        <row r="3664">
          <cell r="A3664" t="str">
            <v>Armadillidium vulgare</v>
          </cell>
          <cell r="B3664" t="str">
            <v>Millipedes, centipedes and woodlice</v>
          </cell>
          <cell r="C3664" t="str">
            <v>Isopoda</v>
          </cell>
          <cell r="D3664" t="str">
            <v>Armadillidium vulgare</v>
          </cell>
          <cell r="E3664" t="str">
            <v>LC</v>
          </cell>
          <cell r="F3664" t="str">
            <v>Lee, 2015</v>
          </cell>
          <cell r="G3664" t="str">
            <v>NBNSYS0000008572</v>
          </cell>
          <cell r="H3664" t="str">
            <v>Armadillidium vulgare</v>
          </cell>
        </row>
        <row r="3665">
          <cell r="A3665" t="str">
            <v>Asellus aquaticus</v>
          </cell>
          <cell r="B3665" t="str">
            <v>Millipedes, centipedes and woodlice</v>
          </cell>
          <cell r="C3665" t="str">
            <v>Isopoda</v>
          </cell>
          <cell r="D3665" t="str">
            <v>Asellus aquaticus</v>
          </cell>
          <cell r="E3665" t="str">
            <v>LC</v>
          </cell>
          <cell r="F3665" t="str">
            <v>Lee, 2015</v>
          </cell>
          <cell r="G3665" t="str">
            <v>NHMSYS0021050404</v>
          </cell>
          <cell r="H3665" t="str">
            <v>Asellus aquaticus</v>
          </cell>
        </row>
        <row r="3666">
          <cell r="A3666" t="str">
            <v>Buddelundiella cataractae</v>
          </cell>
          <cell r="B3666" t="str">
            <v>Millipedes, centipedes and woodlice</v>
          </cell>
          <cell r="C3666" t="str">
            <v>Isopoda</v>
          </cell>
          <cell r="D3666" t="str">
            <v>Buddelundiella cataractae</v>
          </cell>
          <cell r="E3666" t="str">
            <v>LC</v>
          </cell>
          <cell r="F3666" t="str">
            <v>Lee, 2015</v>
          </cell>
          <cell r="G3666" t="str">
            <v>NBNSYS0000008545</v>
          </cell>
          <cell r="H3666" t="str">
            <v>Buddelundiella cataractae</v>
          </cell>
        </row>
        <row r="3667">
          <cell r="A3667" t="str">
            <v>Cylisticus convexus</v>
          </cell>
          <cell r="B3667" t="str">
            <v>Millipedes, centipedes and woodlice</v>
          </cell>
          <cell r="C3667" t="str">
            <v>Isopoda</v>
          </cell>
          <cell r="D3667" t="str">
            <v>Cylisticus convexus</v>
          </cell>
          <cell r="E3667" t="str">
            <v>LC</v>
          </cell>
          <cell r="F3667" t="str">
            <v>Lee, 2015</v>
          </cell>
          <cell r="G3667" t="str">
            <v>NBNSYS0000008575</v>
          </cell>
          <cell r="H3667" t="str">
            <v>Cylisticus convexus</v>
          </cell>
        </row>
        <row r="3668">
          <cell r="A3668" t="str">
            <v>Halophiloscia couchii</v>
          </cell>
          <cell r="B3668" t="str">
            <v>Millipedes, centipedes and woodlice</v>
          </cell>
          <cell r="C3668" t="str">
            <v>Isopoda</v>
          </cell>
          <cell r="D3668" t="str">
            <v>Halophiloscia couchii</v>
          </cell>
          <cell r="E3668" t="str">
            <v>LC</v>
          </cell>
          <cell r="F3668" t="str">
            <v>Lee, 2015</v>
          </cell>
          <cell r="G3668" t="str">
            <v>NHMSYS0001593599</v>
          </cell>
          <cell r="H3668" t="str">
            <v>Halophiloscia couchii</v>
          </cell>
        </row>
        <row r="3669">
          <cell r="A3669" t="str">
            <v>Haplophthalmus danicus</v>
          </cell>
          <cell r="B3669" t="str">
            <v>Millipedes, centipedes and woodlice</v>
          </cell>
          <cell r="C3669" t="str">
            <v>Isopoda</v>
          </cell>
          <cell r="D3669" t="str">
            <v>Haplophthalmus danicus</v>
          </cell>
          <cell r="E3669" t="str">
            <v>LC</v>
          </cell>
          <cell r="F3669" t="str">
            <v>Lee, 2015</v>
          </cell>
          <cell r="G3669" t="str">
            <v>NBNSYS0000008546</v>
          </cell>
          <cell r="H3669" t="str">
            <v>Haplophthalmus danicus</v>
          </cell>
        </row>
        <row r="3670">
          <cell r="A3670" t="str">
            <v>Haplophthalmus mengii</v>
          </cell>
          <cell r="B3670" t="str">
            <v>Millipedes, centipedes and woodlice</v>
          </cell>
          <cell r="C3670" t="str">
            <v>Isopoda</v>
          </cell>
          <cell r="D3670" t="str">
            <v>Haplophthalmus mengii</v>
          </cell>
          <cell r="E3670" t="str">
            <v>LC</v>
          </cell>
          <cell r="F3670" t="str">
            <v>Lee, 2015</v>
          </cell>
          <cell r="G3670" t="str">
            <v>NHMSYS0020302562</v>
          </cell>
          <cell r="H3670" t="str">
            <v>Haplophthalmus mengii</v>
          </cell>
        </row>
        <row r="3671">
          <cell r="A3671" t="str">
            <v>Haplophthalmus montivagus</v>
          </cell>
          <cell r="B3671" t="str">
            <v>Millipedes, centipedes and woodlice</v>
          </cell>
          <cell r="C3671" t="str">
            <v>Isopoda</v>
          </cell>
          <cell r="D3671" t="str">
            <v>Haplophthalmus montivagus</v>
          </cell>
          <cell r="E3671" t="str">
            <v>LC</v>
          </cell>
          <cell r="F3671" t="str">
            <v>Lee, 2015</v>
          </cell>
          <cell r="G3671" t="str">
            <v>NHMSYS0020302563</v>
          </cell>
          <cell r="H3671" t="str">
            <v>Haplophthalmus montivagus</v>
          </cell>
        </row>
        <row r="3672">
          <cell r="A3672" t="str">
            <v>Ligia oceanica</v>
          </cell>
          <cell r="B3672" t="str">
            <v>Millipedes, centipedes and woodlice</v>
          </cell>
          <cell r="C3672" t="str">
            <v>Isopoda</v>
          </cell>
          <cell r="D3672" t="str">
            <v>Ligia oceanica</v>
          </cell>
          <cell r="E3672" t="str">
            <v>LC</v>
          </cell>
          <cell r="F3672" t="str">
            <v>Lee, 2015</v>
          </cell>
          <cell r="G3672" t="str">
            <v>NBNSYS0000008542</v>
          </cell>
          <cell r="H3672" t="str">
            <v>Ligia oceanica</v>
          </cell>
        </row>
        <row r="3673">
          <cell r="A3673" t="str">
            <v>Ligidium hypnorum</v>
          </cell>
          <cell r="B3673" t="str">
            <v>Millipedes, centipedes and woodlice</v>
          </cell>
          <cell r="C3673" t="str">
            <v>Isopoda</v>
          </cell>
          <cell r="D3673" t="str">
            <v>Ligidium hypnorum</v>
          </cell>
          <cell r="E3673" t="str">
            <v>LC</v>
          </cell>
          <cell r="F3673" t="str">
            <v>Lee, 2015</v>
          </cell>
          <cell r="G3673" t="str">
            <v>NBNSYS0000008543</v>
          </cell>
          <cell r="H3673" t="str">
            <v>Ligidium hypnorum</v>
          </cell>
        </row>
        <row r="3674">
          <cell r="A3674" t="str">
            <v>Miktoniscus patiencei</v>
          </cell>
          <cell r="B3674" t="str">
            <v>Millipedes, centipedes and woodlice</v>
          </cell>
          <cell r="C3674" t="str">
            <v>Isopoda</v>
          </cell>
          <cell r="D3674" t="str">
            <v>Miktoniscus patiencei</v>
          </cell>
          <cell r="E3674" t="str">
            <v>LC</v>
          </cell>
          <cell r="F3674" t="str">
            <v>Lee, 2015</v>
          </cell>
          <cell r="G3674" t="str">
            <v>NBNSYS0000008550</v>
          </cell>
          <cell r="H3674" t="str">
            <v>Miktoniscus patiencei</v>
          </cell>
        </row>
        <row r="3675">
          <cell r="A3675" t="str">
            <v>Oniscus asellus</v>
          </cell>
          <cell r="B3675" t="str">
            <v>Millipedes, centipedes and woodlice</v>
          </cell>
          <cell r="C3675" t="str">
            <v>Isopoda</v>
          </cell>
          <cell r="D3675" t="str">
            <v>Oniscus asellus</v>
          </cell>
          <cell r="E3675" t="str">
            <v>LC</v>
          </cell>
          <cell r="F3675" t="str">
            <v>Lee, 2015</v>
          </cell>
          <cell r="G3675" t="str">
            <v>NBNSYS0000008561</v>
          </cell>
          <cell r="H3675" t="str">
            <v>Oniscus asellus</v>
          </cell>
        </row>
        <row r="3676">
          <cell r="A3676" t="str">
            <v>Oniscus asellus asellus</v>
          </cell>
          <cell r="B3676" t="str">
            <v>Millipedes, centipedes and woodlice</v>
          </cell>
          <cell r="C3676" t="str">
            <v>Isopoda</v>
          </cell>
          <cell r="D3676" t="str">
            <v>Oniscus asellus asellus</v>
          </cell>
          <cell r="E3676" t="str">
            <v>LC</v>
          </cell>
          <cell r="F3676" t="str">
            <v>Lee, 2015</v>
          </cell>
        </row>
        <row r="3676">
          <cell r="H3676" t="str">
            <v>Oniscus asellus asellus</v>
          </cell>
        </row>
        <row r="3677">
          <cell r="A3677" t="str">
            <v>Oniscus asellus occidentalis</v>
          </cell>
          <cell r="B3677" t="str">
            <v>Millipedes, centipedes and woodlice</v>
          </cell>
          <cell r="C3677" t="str">
            <v>Isopoda</v>
          </cell>
          <cell r="D3677" t="str">
            <v>Oniscus asellus occidentalis</v>
          </cell>
          <cell r="E3677" t="str">
            <v>NT</v>
          </cell>
          <cell r="F3677" t="str">
            <v>Lee, 2015</v>
          </cell>
        </row>
        <row r="3677">
          <cell r="H3677" t="str">
            <v>Oniscus asellus occidentalis</v>
          </cell>
        </row>
        <row r="3678">
          <cell r="A3678" t="str">
            <v>Philoscia muscorum</v>
          </cell>
          <cell r="B3678" t="str">
            <v>Millipedes, centipedes and woodlice</v>
          </cell>
          <cell r="C3678" t="str">
            <v>Isopoda</v>
          </cell>
          <cell r="D3678" t="str">
            <v>Philoscia muscorum</v>
          </cell>
          <cell r="E3678" t="str">
            <v>LC</v>
          </cell>
          <cell r="F3678" t="str">
            <v>Lee, 2015</v>
          </cell>
          <cell r="G3678" t="str">
            <v>NBNSYS0000008564</v>
          </cell>
          <cell r="H3678" t="str">
            <v>Philoscia muscorum</v>
          </cell>
        </row>
        <row r="3679">
          <cell r="A3679" t="str">
            <v>Platyarthrus hoffmannseggii</v>
          </cell>
          <cell r="B3679" t="str">
            <v>Millipedes, centipedes and woodlice</v>
          </cell>
          <cell r="C3679" t="str">
            <v>Isopoda</v>
          </cell>
          <cell r="D3679" t="str">
            <v>Platyarthrus hoffmannseggii</v>
          </cell>
          <cell r="E3679" t="str">
            <v>LC</v>
          </cell>
          <cell r="F3679" t="str">
            <v>Lee, 2015</v>
          </cell>
          <cell r="G3679" t="str">
            <v>NHMSYS0020302568</v>
          </cell>
          <cell r="H3679" t="str">
            <v>Platyarthrus hoffmannseggii</v>
          </cell>
        </row>
        <row r="3680">
          <cell r="A3680" t="str">
            <v>Porcellio dilatatus</v>
          </cell>
          <cell r="B3680" t="str">
            <v>Millipedes, centipedes and woodlice</v>
          </cell>
          <cell r="C3680" t="str">
            <v>Isopoda</v>
          </cell>
          <cell r="D3680" t="str">
            <v>Porcellio dilatatus</v>
          </cell>
          <cell r="E3680" t="str">
            <v>LC</v>
          </cell>
          <cell r="F3680" t="str">
            <v>Lee, 2015</v>
          </cell>
          <cell r="G3680" t="str">
            <v>NBNSYS0000008578</v>
          </cell>
          <cell r="H3680" t="str">
            <v>Porcellio dilatatus</v>
          </cell>
        </row>
        <row r="3681">
          <cell r="A3681" t="str">
            <v>Porcellio laevis</v>
          </cell>
          <cell r="B3681" t="str">
            <v>Millipedes, centipedes and woodlice</v>
          </cell>
          <cell r="C3681" t="str">
            <v>Isopoda</v>
          </cell>
          <cell r="D3681" t="str">
            <v>Porcellio laevis</v>
          </cell>
          <cell r="E3681" t="str">
            <v>LC</v>
          </cell>
          <cell r="F3681" t="str">
            <v>Lee, 2015</v>
          </cell>
          <cell r="G3681" t="str">
            <v>NHMSYS0020302569</v>
          </cell>
          <cell r="H3681" t="str">
            <v>Porcellio laevis</v>
          </cell>
        </row>
        <row r="3682">
          <cell r="A3682" t="str">
            <v>Porcellio scaber</v>
          </cell>
          <cell r="B3682" t="str">
            <v>Millipedes, centipedes and woodlice</v>
          </cell>
          <cell r="C3682" t="str">
            <v>Isopoda</v>
          </cell>
          <cell r="D3682" t="str">
            <v>Porcellio scaber</v>
          </cell>
          <cell r="E3682" t="str">
            <v>LC</v>
          </cell>
          <cell r="F3682" t="str">
            <v>Lee, 2015</v>
          </cell>
          <cell r="G3682" t="str">
            <v>NBNSYS0000008580</v>
          </cell>
          <cell r="H3682" t="str">
            <v>Porcellio scaber</v>
          </cell>
        </row>
        <row r="3683">
          <cell r="A3683" t="str">
            <v>Porcellio spinicornis</v>
          </cell>
          <cell r="B3683" t="str">
            <v>Millipedes, centipedes and woodlice</v>
          </cell>
          <cell r="C3683" t="str">
            <v>Isopoda</v>
          </cell>
          <cell r="D3683" t="str">
            <v>Porcellio spinicornis</v>
          </cell>
          <cell r="E3683" t="str">
            <v>LC</v>
          </cell>
          <cell r="F3683" t="str">
            <v>Lee, 2015</v>
          </cell>
          <cell r="G3683" t="str">
            <v>NBNSYS0000008581</v>
          </cell>
          <cell r="H3683" t="str">
            <v>Porcellio spinicornis</v>
          </cell>
        </row>
        <row r="3684">
          <cell r="A3684" t="str">
            <v>Porcellionides cingendus</v>
          </cell>
          <cell r="B3684" t="str">
            <v>Millipedes, centipedes and woodlice</v>
          </cell>
          <cell r="C3684" t="str">
            <v>Isopoda</v>
          </cell>
          <cell r="D3684" t="str">
            <v>Porcellionides cingendus</v>
          </cell>
          <cell r="E3684" t="str">
            <v>LC</v>
          </cell>
          <cell r="F3684" t="str">
            <v>Lee, 2015</v>
          </cell>
          <cell r="G3684" t="str">
            <v>NBNSYS0000008582</v>
          </cell>
          <cell r="H3684" t="str">
            <v>Porcellionides cingendus</v>
          </cell>
        </row>
        <row r="3685">
          <cell r="A3685" t="str">
            <v>Porcellionides pruinosus</v>
          </cell>
          <cell r="B3685" t="str">
            <v>Millipedes, centipedes and woodlice</v>
          </cell>
          <cell r="C3685" t="str">
            <v>Isopoda</v>
          </cell>
          <cell r="D3685" t="str">
            <v>Porcellionides pruinosus</v>
          </cell>
          <cell r="E3685" t="str">
            <v>LC</v>
          </cell>
          <cell r="F3685" t="str">
            <v>Lee, 2015</v>
          </cell>
          <cell r="G3685" t="str">
            <v>NBNSYS0000008583</v>
          </cell>
          <cell r="H3685" t="str">
            <v>Porcellionides pruinosus</v>
          </cell>
        </row>
        <row r="3686">
          <cell r="A3686" t="str">
            <v>Proasellus cavaticus</v>
          </cell>
          <cell r="B3686" t="str">
            <v>Millipedes, centipedes and woodlice</v>
          </cell>
          <cell r="C3686" t="str">
            <v>Isopoda</v>
          </cell>
          <cell r="D3686" t="str">
            <v>Proasellus cavaticus</v>
          </cell>
          <cell r="E3686" t="str">
            <v>LC</v>
          </cell>
          <cell r="F3686" t="str">
            <v>Lee, 2015</v>
          </cell>
          <cell r="G3686" t="str">
            <v>NBNSYS0000188496</v>
          </cell>
          <cell r="H3686" t="str">
            <v>Proasellus cavaticus</v>
          </cell>
        </row>
        <row r="3687">
          <cell r="A3687" t="str">
            <v>Proasellus meridianus</v>
          </cell>
          <cell r="B3687" t="str">
            <v>Millipedes, centipedes and woodlice</v>
          </cell>
          <cell r="C3687" t="str">
            <v>Isopoda</v>
          </cell>
          <cell r="D3687" t="str">
            <v>Proasellus meridianus</v>
          </cell>
          <cell r="E3687" t="str">
            <v>LC</v>
          </cell>
          <cell r="F3687" t="str">
            <v>Lee, 2015</v>
          </cell>
          <cell r="G3687" t="str">
            <v>NBNSYS0000186055</v>
          </cell>
          <cell r="H3687" t="str">
            <v>Proasellus meridianus</v>
          </cell>
        </row>
        <row r="3688">
          <cell r="A3688" t="str">
            <v>Stenophiloscia glarearum</v>
          </cell>
          <cell r="B3688" t="str">
            <v>Millipedes, centipedes and woodlice</v>
          </cell>
          <cell r="C3688" t="str">
            <v>Isopoda</v>
          </cell>
          <cell r="D3688" t="str">
            <v>Stenophiloscia glarearum</v>
          </cell>
          <cell r="E3688" t="str">
            <v>VU</v>
          </cell>
          <cell r="F3688" t="str">
            <v>Lee, 2015</v>
          </cell>
          <cell r="G3688" t="str">
            <v>NHMSYS0020302572</v>
          </cell>
          <cell r="H3688" t="str">
            <v>Stenophiloscia glarearum</v>
          </cell>
        </row>
        <row r="3689">
          <cell r="A3689" t="str">
            <v>Trachelipus rathkii</v>
          </cell>
          <cell r="B3689" t="str">
            <v>Millipedes, centipedes and woodlice</v>
          </cell>
          <cell r="C3689" t="str">
            <v>Isopoda</v>
          </cell>
          <cell r="D3689" t="str">
            <v>Trachelipus rathkii</v>
          </cell>
          <cell r="E3689" t="str">
            <v>LC</v>
          </cell>
          <cell r="F3689" t="str">
            <v>Lee, 2015</v>
          </cell>
          <cell r="G3689" t="str">
            <v>NHMSYS0001593918</v>
          </cell>
          <cell r="H3689" t="str">
            <v>Trachelipus rathkii</v>
          </cell>
        </row>
        <row r="3690">
          <cell r="A3690" t="str">
            <v>Trichoniscoides albidus</v>
          </cell>
          <cell r="B3690" t="str">
            <v>Millipedes, centipedes and woodlice</v>
          </cell>
          <cell r="C3690" t="str">
            <v>Isopoda</v>
          </cell>
          <cell r="D3690" t="str">
            <v>Trichoniscoides albidus</v>
          </cell>
          <cell r="E3690" t="str">
            <v>LC</v>
          </cell>
          <cell r="F3690" t="str">
            <v>Lee, 2015</v>
          </cell>
          <cell r="G3690" t="str">
            <v>NBNSYS0000008552</v>
          </cell>
          <cell r="H3690" t="str">
            <v>Trichoniscoides albidus</v>
          </cell>
        </row>
        <row r="3691">
          <cell r="A3691" t="str">
            <v>Trichoniscoides helveticus</v>
          </cell>
          <cell r="B3691" t="str">
            <v>Millipedes, centipedes and woodlice</v>
          </cell>
          <cell r="C3691" t="str">
            <v>Isopoda</v>
          </cell>
          <cell r="D3691" t="str">
            <v>Trichoniscoides helveticus</v>
          </cell>
          <cell r="E3691" t="str">
            <v>LC</v>
          </cell>
          <cell r="F3691" t="str">
            <v>Lee, 2015</v>
          </cell>
          <cell r="G3691" t="str">
            <v>NHMSYS0001593924</v>
          </cell>
          <cell r="H3691" t="str">
            <v>Trichoniscoides helveticus</v>
          </cell>
        </row>
        <row r="3692">
          <cell r="A3692" t="str">
            <v>Trichoniscoides saeroeensis</v>
          </cell>
          <cell r="B3692" t="str">
            <v>Millipedes, centipedes and woodlice</v>
          </cell>
          <cell r="C3692" t="str">
            <v>Isopoda</v>
          </cell>
          <cell r="D3692" t="str">
            <v>Trichoniscoides saeroeensis</v>
          </cell>
          <cell r="E3692" t="str">
            <v>LC</v>
          </cell>
          <cell r="F3692" t="str">
            <v>Lee, 2015</v>
          </cell>
          <cell r="G3692" t="str">
            <v>NHMSYS0021050625</v>
          </cell>
          <cell r="H3692" t="str">
            <v>Trichoniscoides saeroeensis</v>
          </cell>
        </row>
        <row r="3693">
          <cell r="A3693" t="str">
            <v>Trichoniscoides sarsi</v>
          </cell>
          <cell r="B3693" t="str">
            <v>Millipedes, centipedes and woodlice</v>
          </cell>
          <cell r="C3693" t="str">
            <v>Isopoda</v>
          </cell>
          <cell r="D3693" t="str">
            <v>Trichoniscoides sarsi</v>
          </cell>
          <cell r="E3693" t="str">
            <v>LC</v>
          </cell>
          <cell r="F3693" t="str">
            <v>Lee, 2015</v>
          </cell>
          <cell r="G3693" t="str">
            <v>NHMSYS0020322385</v>
          </cell>
          <cell r="H3693" t="str">
            <v>Trichoniscoides sarsi</v>
          </cell>
        </row>
        <row r="3694">
          <cell r="A3694" t="str">
            <v>Trichoniscus provisorius</v>
          </cell>
          <cell r="B3694" t="str">
            <v>Millipedes, centipedes and woodlice</v>
          </cell>
          <cell r="C3694" t="str">
            <v>Isopoda</v>
          </cell>
          <cell r="D3694" t="str">
            <v>Trichoniscus provisorius</v>
          </cell>
          <cell r="E3694" t="str">
            <v>LC</v>
          </cell>
          <cell r="F3694" t="str">
            <v>Lee, 2015</v>
          </cell>
          <cell r="G3694" t="str">
            <v>NHMSYS0001593929</v>
          </cell>
          <cell r="H3694" t="str">
            <v>Trichoniscus provisorius</v>
          </cell>
        </row>
        <row r="3695">
          <cell r="A3695" t="str">
            <v>Trichoniscus pusillus</v>
          </cell>
          <cell r="B3695" t="str">
            <v>Millipedes, centipedes and woodlice</v>
          </cell>
          <cell r="C3695" t="str">
            <v>Isopoda</v>
          </cell>
          <cell r="D3695" t="str">
            <v>Trichoniscus pusillus</v>
          </cell>
          <cell r="E3695" t="str">
            <v>LC</v>
          </cell>
          <cell r="F3695" t="str">
            <v>Lee, 2015</v>
          </cell>
          <cell r="G3695" t="str">
            <v>NBNSYS0000008555</v>
          </cell>
          <cell r="H3695" t="str">
            <v>Trichoniscus pusillus</v>
          </cell>
        </row>
        <row r="3696">
          <cell r="A3696" t="str">
            <v>Trichoniscus pygmaeus</v>
          </cell>
          <cell r="B3696" t="str">
            <v>Millipedes, centipedes and woodlice</v>
          </cell>
          <cell r="C3696" t="str">
            <v>Isopoda</v>
          </cell>
          <cell r="D3696" t="str">
            <v>Trichoniscus pygmaeus</v>
          </cell>
          <cell r="E3696" t="str">
            <v>LC</v>
          </cell>
          <cell r="F3696" t="str">
            <v>Lee, 2015</v>
          </cell>
          <cell r="G3696" t="str">
            <v>NHMSYS0021050627</v>
          </cell>
          <cell r="H3696" t="str">
            <v>Trichoniscus pygmaeus</v>
          </cell>
        </row>
        <row r="3697">
          <cell r="A3697" t="str">
            <v>Abida secale</v>
          </cell>
          <cell r="B3697" t="str">
            <v>Molluscs (non-marine)</v>
          </cell>
          <cell r="C3697" t="str">
            <v>Mollusca</v>
          </cell>
          <cell r="D3697" t="str">
            <v>Abida secale</v>
          </cell>
          <cell r="E3697" t="str">
            <v>LC</v>
          </cell>
          <cell r="F3697" t="str">
            <v>Seddon et al., 2014</v>
          </cell>
          <cell r="G3697" t="str">
            <v>NBNSYS0000006678</v>
          </cell>
          <cell r="H3697" t="str">
            <v>Abida secale</v>
          </cell>
        </row>
        <row r="3698">
          <cell r="A3698" t="str">
            <v>Acanthinula aculeata</v>
          </cell>
          <cell r="B3698" t="str">
            <v>Molluscs (non-marine)</v>
          </cell>
          <cell r="C3698" t="str">
            <v>Mollusca</v>
          </cell>
          <cell r="D3698" t="str">
            <v>Acanthinula aculeata</v>
          </cell>
          <cell r="E3698" t="str">
            <v>LC</v>
          </cell>
          <cell r="F3698" t="str">
            <v>Seddon et al., 2014</v>
          </cell>
          <cell r="G3698" t="str">
            <v>NHMSYS0020528089</v>
          </cell>
          <cell r="H3698" t="str">
            <v>Acanthinula aculeata</v>
          </cell>
        </row>
        <row r="3699">
          <cell r="A3699" t="str">
            <v>Acicula fusca</v>
          </cell>
          <cell r="B3699" t="str">
            <v>Molluscs (non-marine)</v>
          </cell>
          <cell r="C3699" t="str">
            <v>Mollusca</v>
          </cell>
          <cell r="D3699" t="str">
            <v>Acicula fusca</v>
          </cell>
          <cell r="E3699" t="str">
            <v>LC</v>
          </cell>
          <cell r="F3699" t="str">
            <v>Seddon et al., 2014</v>
          </cell>
          <cell r="G3699" t="str">
            <v>NBNSYS0000006618</v>
          </cell>
          <cell r="H3699" t="str">
            <v>Acicula fusca</v>
          </cell>
        </row>
        <row r="3700">
          <cell r="A3700" t="str">
            <v>Acroloxus lacustris</v>
          </cell>
          <cell r="B3700" t="str">
            <v>Molluscs (non-marine)</v>
          </cell>
          <cell r="C3700" t="str">
            <v>Mollusca</v>
          </cell>
          <cell r="D3700" t="str">
            <v>Acroloxus lacustris</v>
          </cell>
          <cell r="E3700" t="str">
            <v>LC</v>
          </cell>
          <cell r="F3700" t="str">
            <v>Seddon et al., 2014</v>
          </cell>
          <cell r="G3700" t="str">
            <v>NHMSYS0001701871</v>
          </cell>
          <cell r="H3700" t="str">
            <v>Acroloxus lacustris</v>
          </cell>
        </row>
        <row r="3701">
          <cell r="A3701" t="str">
            <v>Aegopinella nitidula</v>
          </cell>
          <cell r="B3701" t="str">
            <v>Molluscs (non-marine)</v>
          </cell>
          <cell r="C3701" t="str">
            <v>Mollusca</v>
          </cell>
          <cell r="D3701" t="str">
            <v>Aegopinella nitidula</v>
          </cell>
          <cell r="E3701" t="str">
            <v>LC</v>
          </cell>
          <cell r="F3701" t="str">
            <v>Seddon et al., 2014</v>
          </cell>
          <cell r="G3701" t="str">
            <v>NBNSYS0000006714</v>
          </cell>
          <cell r="H3701" t="str">
            <v>Aegopinella nitidula</v>
          </cell>
        </row>
        <row r="3702">
          <cell r="A3702" t="str">
            <v>Aegopinella pura</v>
          </cell>
          <cell r="B3702" t="str">
            <v>Molluscs (non-marine)</v>
          </cell>
          <cell r="C3702" t="str">
            <v>Mollusca</v>
          </cell>
          <cell r="D3702" t="str">
            <v>Aegopinella pura</v>
          </cell>
          <cell r="E3702" t="str">
            <v>LC</v>
          </cell>
          <cell r="F3702" t="str">
            <v>Seddon et al., 2014</v>
          </cell>
          <cell r="G3702" t="str">
            <v>NBNSYS0000006713</v>
          </cell>
          <cell r="H3702" t="str">
            <v>Aegopinella pura</v>
          </cell>
        </row>
        <row r="3703">
          <cell r="A3703" t="str">
            <v>Ancylus fluviatilis</v>
          </cell>
          <cell r="B3703" t="str">
            <v>Molluscs (non-marine)</v>
          </cell>
          <cell r="C3703" t="str">
            <v>Mollusca</v>
          </cell>
          <cell r="D3703" t="str">
            <v>Ancylus fluviatilis</v>
          </cell>
          <cell r="E3703" t="str">
            <v>LC</v>
          </cell>
          <cell r="F3703" t="str">
            <v>Seddon et al., 2014</v>
          </cell>
          <cell r="G3703" t="str">
            <v>NHMSYS0020528096</v>
          </cell>
          <cell r="H3703" t="str">
            <v>Ancylus fluviatilis</v>
          </cell>
        </row>
        <row r="3704">
          <cell r="A3704" t="str">
            <v>Anisus leucostoma</v>
          </cell>
          <cell r="B3704" t="str">
            <v>Molluscs (non-marine)</v>
          </cell>
          <cell r="C3704" t="str">
            <v>Mollusca</v>
          </cell>
          <cell r="D3704" t="str">
            <v>Anisus leucostoma</v>
          </cell>
          <cell r="E3704" t="str">
            <v>LC</v>
          </cell>
          <cell r="F3704" t="str">
            <v>Seddon et al., 2014</v>
          </cell>
          <cell r="G3704" t="str">
            <v>NHMSYS0001701879</v>
          </cell>
          <cell r="H3704" t="str">
            <v>Anisus leucostoma</v>
          </cell>
        </row>
        <row r="3705">
          <cell r="A3705" t="str">
            <v>Anisus vortex</v>
          </cell>
          <cell r="B3705" t="str">
            <v>Molluscs (non-marine)</v>
          </cell>
          <cell r="C3705" t="str">
            <v>Mollusca</v>
          </cell>
          <cell r="D3705" t="str">
            <v>Anisus vortex</v>
          </cell>
          <cell r="E3705" t="str">
            <v>LC</v>
          </cell>
          <cell r="F3705" t="str">
            <v>Seddon et al., 2014</v>
          </cell>
          <cell r="G3705" t="str">
            <v>NHMSYS0001701882</v>
          </cell>
          <cell r="H3705" t="str">
            <v>Anisus vortex</v>
          </cell>
        </row>
        <row r="3706">
          <cell r="A3706" t="str">
            <v>Anisus vorticulus</v>
          </cell>
          <cell r="B3706" t="str">
            <v>Molluscs (non-marine)</v>
          </cell>
          <cell r="C3706" t="str">
            <v>Mollusca</v>
          </cell>
          <cell r="D3706" t="str">
            <v>Anisus vorticulus</v>
          </cell>
          <cell r="E3706" t="str">
            <v>VU</v>
          </cell>
          <cell r="F3706" t="str">
            <v>Seddon et al., 2014</v>
          </cell>
          <cell r="G3706" t="str">
            <v>NHMSYS0001701883</v>
          </cell>
          <cell r="H3706" t="str">
            <v>Anisus vorticulus</v>
          </cell>
        </row>
        <row r="3707">
          <cell r="A3707" t="str">
            <v>Anodonta anatina</v>
          </cell>
          <cell r="B3707" t="str">
            <v>Molluscs (non-marine)</v>
          </cell>
          <cell r="C3707" t="str">
            <v>Mollusca</v>
          </cell>
          <cell r="D3707" t="str">
            <v>Anodonta anatina</v>
          </cell>
          <cell r="E3707" t="str">
            <v>LC</v>
          </cell>
          <cell r="F3707" t="str">
            <v>Seddon et al., 2014</v>
          </cell>
          <cell r="G3707" t="str">
            <v>NHMSYS0001701887</v>
          </cell>
          <cell r="H3707" t="str">
            <v>Anodonta anatina</v>
          </cell>
        </row>
        <row r="3708">
          <cell r="A3708" t="str">
            <v>Anodonta cygnea</v>
          </cell>
          <cell r="B3708" t="str">
            <v>Molluscs (non-marine)</v>
          </cell>
          <cell r="C3708" t="str">
            <v>Mollusca</v>
          </cell>
          <cell r="D3708" t="str">
            <v>Anodonta cygnea</v>
          </cell>
          <cell r="E3708" t="str">
            <v>LC</v>
          </cell>
          <cell r="F3708" t="str">
            <v>Seddon et al., 2014</v>
          </cell>
          <cell r="G3708" t="str">
            <v>NHMSYS0001701888</v>
          </cell>
          <cell r="H3708" t="str">
            <v>Anodonta cygnea</v>
          </cell>
        </row>
        <row r="3709">
          <cell r="A3709" t="str">
            <v>Aplexa hypnorum</v>
          </cell>
          <cell r="B3709" t="str">
            <v>Molluscs (non-marine)</v>
          </cell>
          <cell r="C3709" t="str">
            <v>Mollusca</v>
          </cell>
          <cell r="D3709" t="str">
            <v>Aplexa hypnorum</v>
          </cell>
          <cell r="E3709" t="str">
            <v>LC</v>
          </cell>
          <cell r="F3709" t="str">
            <v>Seddon et al., 2014</v>
          </cell>
          <cell r="G3709" t="str">
            <v>NHMSYS0001701890</v>
          </cell>
          <cell r="H3709" t="str">
            <v>Aplexa hypnorum</v>
          </cell>
        </row>
        <row r="3710">
          <cell r="A3710" t="str">
            <v>Arianta arbustorum</v>
          </cell>
          <cell r="B3710" t="str">
            <v>Molluscs (non-marine)</v>
          </cell>
          <cell r="C3710" t="str">
            <v>Mollusca</v>
          </cell>
          <cell r="D3710" t="str">
            <v>Arianta arbustorum</v>
          </cell>
          <cell r="E3710" t="str">
            <v>LC</v>
          </cell>
          <cell r="F3710" t="str">
            <v>Seddon et al., 2014</v>
          </cell>
          <cell r="G3710" t="str">
            <v>NBNSYS0000006770</v>
          </cell>
          <cell r="H3710" t="str">
            <v>Arianta arbustorum</v>
          </cell>
        </row>
        <row r="3711">
          <cell r="A3711" t="str">
            <v>Arion circumscriptus</v>
          </cell>
          <cell r="B3711" t="str">
            <v>Molluscs (non-marine)</v>
          </cell>
          <cell r="C3711" t="str">
            <v>Mollusca</v>
          </cell>
          <cell r="D3711" t="str">
            <v>Arion circumscriptus</v>
          </cell>
          <cell r="E3711" t="str">
            <v>LC</v>
          </cell>
          <cell r="F3711" t="str">
            <v>Seddon et al., 2014</v>
          </cell>
          <cell r="G3711" t="str">
            <v>NHMSYS0001701900</v>
          </cell>
          <cell r="H3711" t="str">
            <v>Arion circumscriptus</v>
          </cell>
        </row>
        <row r="3712">
          <cell r="A3712" t="str">
            <v>Arion distinctus</v>
          </cell>
          <cell r="B3712" t="str">
            <v>Molluscs (non-marine)</v>
          </cell>
          <cell r="C3712" t="str">
            <v>Mollusca</v>
          </cell>
          <cell r="D3712" t="str">
            <v>Arion distinctus</v>
          </cell>
          <cell r="E3712" t="str">
            <v>LC</v>
          </cell>
          <cell r="F3712" t="str">
            <v>Seddon et al., 2014</v>
          </cell>
          <cell r="G3712" t="str">
            <v>NHMSYS0020528110</v>
          </cell>
          <cell r="H3712" t="str">
            <v>Arion distinctus</v>
          </cell>
        </row>
        <row r="3713">
          <cell r="A3713" t="str">
            <v>Arion fasciatus</v>
          </cell>
          <cell r="B3713" t="str">
            <v>Molluscs (non-marine)</v>
          </cell>
          <cell r="C3713" t="str">
            <v>Mollusca</v>
          </cell>
          <cell r="D3713" t="str">
            <v>Arion fasciatus</v>
          </cell>
          <cell r="E3713" t="str">
            <v>LC</v>
          </cell>
          <cell r="F3713" t="str">
            <v>Seddon et al., 2014</v>
          </cell>
          <cell r="G3713" t="str">
            <v>NHMSYS0001701901</v>
          </cell>
          <cell r="H3713" t="str">
            <v>Arion fasciatus</v>
          </cell>
        </row>
        <row r="3714">
          <cell r="A3714" t="str">
            <v>Arion flagellus</v>
          </cell>
          <cell r="B3714" t="str">
            <v>Molluscs (non-marine)</v>
          </cell>
          <cell r="C3714" t="str">
            <v>Mollusca</v>
          </cell>
          <cell r="D3714" t="str">
            <v>Arion flagellus</v>
          </cell>
          <cell r="E3714" t="str">
            <v>LC</v>
          </cell>
          <cell r="F3714" t="str">
            <v>Seddon et al., 2014</v>
          </cell>
          <cell r="G3714" t="str">
            <v>NHMSYS0001701896</v>
          </cell>
          <cell r="H3714" t="str">
            <v>Arion flagellus</v>
          </cell>
        </row>
        <row r="3715">
          <cell r="A3715" t="str">
            <v>Arion hortensis</v>
          </cell>
          <cell r="B3715" t="str">
            <v>Molluscs (non-marine)</v>
          </cell>
          <cell r="C3715" t="str">
            <v>Mollusca</v>
          </cell>
          <cell r="D3715" t="str">
            <v>Arion hortensis</v>
          </cell>
          <cell r="E3715" t="str">
            <v>LC</v>
          </cell>
          <cell r="F3715" t="str">
            <v>Seddon et al., 2014</v>
          </cell>
          <cell r="G3715" t="str">
            <v>NHMSYS0001701912</v>
          </cell>
          <cell r="H3715" t="str">
            <v>Arion hortensis</v>
          </cell>
        </row>
        <row r="3716">
          <cell r="A3716" t="str">
            <v>Arion intermedius</v>
          </cell>
          <cell r="B3716" t="str">
            <v>Molluscs (non-marine)</v>
          </cell>
          <cell r="C3716" t="str">
            <v>Mollusca</v>
          </cell>
          <cell r="D3716" t="str">
            <v>Arion intermedius</v>
          </cell>
          <cell r="E3716" t="str">
            <v>LC</v>
          </cell>
          <cell r="F3716" t="str">
            <v>Seddon et al., 2014</v>
          </cell>
          <cell r="G3716" t="str">
            <v>NHMSYS0001701906</v>
          </cell>
          <cell r="H3716" t="str">
            <v>Arion intermedius</v>
          </cell>
        </row>
        <row r="3717">
          <cell r="A3717" t="str">
            <v>Arion owenii</v>
          </cell>
          <cell r="B3717" t="str">
            <v>Molluscs (non-marine)</v>
          </cell>
          <cell r="C3717" t="str">
            <v>Mollusca</v>
          </cell>
          <cell r="D3717" t="str">
            <v>Arion owenii</v>
          </cell>
          <cell r="E3717" t="str">
            <v>LC</v>
          </cell>
          <cell r="F3717" t="str">
            <v>Seddon et al., 2014</v>
          </cell>
          <cell r="G3717" t="str">
            <v>NHMSYS0001701908</v>
          </cell>
          <cell r="H3717" t="str">
            <v>Arion owenii</v>
          </cell>
        </row>
        <row r="3718">
          <cell r="A3718" t="str">
            <v>Arion rufus</v>
          </cell>
          <cell r="B3718" t="str">
            <v>Molluscs (non-marine)</v>
          </cell>
          <cell r="C3718" t="str">
            <v>Mollusca</v>
          </cell>
          <cell r="D3718" t="str">
            <v>Arion rufus</v>
          </cell>
          <cell r="E3718" t="str">
            <v>LC</v>
          </cell>
          <cell r="F3718" t="str">
            <v>Seddon et al., 2014</v>
          </cell>
          <cell r="G3718" t="str">
            <v>NHMSYS0001701897</v>
          </cell>
          <cell r="H3718" t="str">
            <v>Arion rufus</v>
          </cell>
        </row>
        <row r="3719">
          <cell r="A3719" t="str">
            <v>Arion silvaticus</v>
          </cell>
          <cell r="B3719" t="str">
            <v>Molluscs (non-marine)</v>
          </cell>
          <cell r="C3719" t="str">
            <v>Mollusca</v>
          </cell>
          <cell r="D3719" t="str">
            <v>Arion silvaticus</v>
          </cell>
          <cell r="E3719" t="str">
            <v>LC</v>
          </cell>
          <cell r="F3719" t="str">
            <v>Seddon et al., 2014</v>
          </cell>
          <cell r="G3719" t="str">
            <v>NHMSYS0021009872</v>
          </cell>
          <cell r="H3719" t="str">
            <v>Arion silvaticus</v>
          </cell>
        </row>
        <row r="3720">
          <cell r="A3720" t="str">
            <v>Arion subfuscus</v>
          </cell>
          <cell r="B3720" t="str">
            <v>Molluscs (non-marine)</v>
          </cell>
          <cell r="C3720" t="str">
            <v>Mollusca</v>
          </cell>
          <cell r="D3720" t="str">
            <v>Arion subfuscus</v>
          </cell>
          <cell r="E3720" t="str">
            <v>LC</v>
          </cell>
          <cell r="F3720" t="str">
            <v>Seddon et al., 2014</v>
          </cell>
          <cell r="G3720" t="str">
            <v>NHMSYS0001701911</v>
          </cell>
          <cell r="H3720" t="str">
            <v>Arion subfuscus</v>
          </cell>
        </row>
        <row r="3721">
          <cell r="A3721" t="str">
            <v>Arion vulgaris</v>
          </cell>
          <cell r="B3721" t="str">
            <v>Molluscs (non-marine)</v>
          </cell>
          <cell r="C3721" t="str">
            <v>Mollusca</v>
          </cell>
          <cell r="D3721" t="str">
            <v>Arion vulgaris</v>
          </cell>
          <cell r="E3721" t="str">
            <v>LC</v>
          </cell>
          <cell r="F3721" t="str">
            <v>Seddon et al., 2014</v>
          </cell>
          <cell r="G3721" t="str">
            <v>NHMSYS0001701898</v>
          </cell>
          <cell r="H3721" t="str">
            <v>Arion vulgaris</v>
          </cell>
        </row>
        <row r="3722">
          <cell r="A3722" t="str">
            <v>Ashfordia granulata</v>
          </cell>
          <cell r="B3722" t="str">
            <v>Molluscs (non-marine)</v>
          </cell>
          <cell r="C3722" t="str">
            <v>Mollusca</v>
          </cell>
          <cell r="D3722" t="str">
            <v>Ashfordia granulata</v>
          </cell>
          <cell r="E3722" t="str">
            <v>LC</v>
          </cell>
          <cell r="F3722" t="str">
            <v>Seddon et al., 2014</v>
          </cell>
          <cell r="G3722" t="str">
            <v>NBNSYS0000006760</v>
          </cell>
          <cell r="H3722" t="str">
            <v>Ashfordia granulata</v>
          </cell>
        </row>
        <row r="3723">
          <cell r="A3723" t="str">
            <v>Assiminea grayana</v>
          </cell>
          <cell r="B3723" t="str">
            <v>Molluscs (non-marine)</v>
          </cell>
          <cell r="C3723" t="str">
            <v>Mollusca</v>
          </cell>
          <cell r="D3723" t="str">
            <v>Assiminea grayana</v>
          </cell>
          <cell r="E3723" t="str">
            <v>LC</v>
          </cell>
          <cell r="F3723" t="str">
            <v>Seddon et al., 2014</v>
          </cell>
          <cell r="G3723" t="str">
            <v>NBNSYS0000006617</v>
          </cell>
          <cell r="H3723" t="str">
            <v>Assiminea grayana</v>
          </cell>
        </row>
        <row r="3724">
          <cell r="A3724" t="str">
            <v>Azeca goodalli</v>
          </cell>
          <cell r="B3724" t="str">
            <v>Molluscs (non-marine)</v>
          </cell>
          <cell r="C3724" t="str">
            <v>Mollusca</v>
          </cell>
          <cell r="D3724" t="str">
            <v>Azeca goodalli</v>
          </cell>
          <cell r="E3724" t="str">
            <v>LC</v>
          </cell>
          <cell r="F3724" t="str">
            <v>Seddon et al., 2014</v>
          </cell>
          <cell r="G3724" t="str">
            <v>NHMSYS0020528119</v>
          </cell>
          <cell r="H3724" t="str">
            <v>Azeca goodalli</v>
          </cell>
        </row>
        <row r="3725">
          <cell r="A3725" t="str">
            <v>Balea biplicata</v>
          </cell>
          <cell r="B3725" t="str">
            <v>Molluscs (non-marine)</v>
          </cell>
          <cell r="C3725" t="str">
            <v>Mollusca</v>
          </cell>
          <cell r="D3725" t="str">
            <v>Balea biplicata</v>
          </cell>
          <cell r="E3725" t="str">
            <v>VU</v>
          </cell>
          <cell r="F3725" t="str">
            <v>Seddon et al., 2014</v>
          </cell>
          <cell r="G3725" t="str">
            <v>NHMSYS0001701922</v>
          </cell>
          <cell r="H3725" t="str">
            <v>Balea biplicata</v>
          </cell>
        </row>
        <row r="3726">
          <cell r="A3726" t="str">
            <v>Balea perversa</v>
          </cell>
          <cell r="B3726" t="str">
            <v>Molluscs (non-marine)</v>
          </cell>
          <cell r="C3726" t="str">
            <v>Mollusca</v>
          </cell>
          <cell r="D3726" t="str">
            <v>Balea perversa</v>
          </cell>
          <cell r="E3726" t="str">
            <v>LC</v>
          </cell>
          <cell r="F3726" t="str">
            <v>Seddon et al., 2014</v>
          </cell>
          <cell r="G3726" t="str">
            <v>NHMSYS0001701925</v>
          </cell>
          <cell r="H3726" t="str">
            <v>Balea perversa</v>
          </cell>
        </row>
        <row r="3727">
          <cell r="A3727" t="str">
            <v>Balea sarsii</v>
          </cell>
          <cell r="B3727" t="str">
            <v>Molluscs (non-marine)</v>
          </cell>
          <cell r="C3727" t="str">
            <v>Mollusca</v>
          </cell>
          <cell r="D3727" t="str">
            <v>Balea sarsii</v>
          </cell>
          <cell r="E3727" t="str">
            <v>LC</v>
          </cell>
          <cell r="F3727" t="str">
            <v>Seddon et al., 2014</v>
          </cell>
          <cell r="G3727" t="str">
            <v>NHMSYS0021109153</v>
          </cell>
          <cell r="H3727" t="str">
            <v>Balea sarsii</v>
          </cell>
        </row>
        <row r="3728">
          <cell r="A3728" t="str">
            <v>Bathyomphalus contortus</v>
          </cell>
          <cell r="B3728" t="str">
            <v>Molluscs (non-marine)</v>
          </cell>
          <cell r="C3728" t="str">
            <v>Mollusca</v>
          </cell>
          <cell r="D3728" t="str">
            <v>Bathyomphalus contortus</v>
          </cell>
          <cell r="E3728" t="str">
            <v>LC</v>
          </cell>
          <cell r="F3728" t="str">
            <v>Seddon et al., 2014</v>
          </cell>
          <cell r="G3728" t="str">
            <v>NHMSYS0001701927</v>
          </cell>
          <cell r="H3728" t="str">
            <v>Bathyomphalus contortus</v>
          </cell>
        </row>
        <row r="3729">
          <cell r="A3729" t="str">
            <v>Bithynia leachii</v>
          </cell>
          <cell r="B3729" t="str">
            <v>Molluscs (non-marine)</v>
          </cell>
          <cell r="C3729" t="str">
            <v>Mollusca</v>
          </cell>
          <cell r="D3729" t="str">
            <v>Bithynia leachii</v>
          </cell>
          <cell r="E3729" t="str">
            <v>LC</v>
          </cell>
          <cell r="F3729" t="str">
            <v>Seddon et al., 2014</v>
          </cell>
          <cell r="G3729" t="str">
            <v>NBNSYS0000006616</v>
          </cell>
          <cell r="H3729" t="str">
            <v>Bithynia leachii</v>
          </cell>
        </row>
        <row r="3730">
          <cell r="A3730" t="str">
            <v>Bithynia tentaculata</v>
          </cell>
          <cell r="B3730" t="str">
            <v>Molluscs (non-marine)</v>
          </cell>
          <cell r="C3730" t="str">
            <v>Mollusca</v>
          </cell>
          <cell r="D3730" t="str">
            <v>Bithynia tentaculata</v>
          </cell>
          <cell r="E3730" t="str">
            <v>LC</v>
          </cell>
          <cell r="F3730" t="str">
            <v>Seddon et al., 2014</v>
          </cell>
          <cell r="G3730" t="str">
            <v>NHMSYS0021055580</v>
          </cell>
          <cell r="H3730" t="str">
            <v>Bithynia tentaculata</v>
          </cell>
        </row>
        <row r="3731">
          <cell r="A3731" t="str">
            <v>Candidula gigaxii</v>
          </cell>
          <cell r="B3731" t="str">
            <v>Molluscs (non-marine)</v>
          </cell>
          <cell r="C3731" t="str">
            <v>Mollusca</v>
          </cell>
          <cell r="D3731" t="str">
            <v>Candidula gigaxii</v>
          </cell>
          <cell r="E3731" t="str">
            <v>LC</v>
          </cell>
          <cell r="F3731" t="str">
            <v>Seddon et al., 2014</v>
          </cell>
          <cell r="G3731" t="str">
            <v>NHMSYS0021311632</v>
          </cell>
          <cell r="H3731" t="str">
            <v>Candidula gigaxii</v>
          </cell>
        </row>
        <row r="3732">
          <cell r="A3732" t="str">
            <v>Candidula intersecta</v>
          </cell>
          <cell r="B3732" t="str">
            <v>Molluscs (non-marine)</v>
          </cell>
          <cell r="C3732" t="str">
            <v>Mollusca</v>
          </cell>
          <cell r="D3732" t="str">
            <v>Candidula intersecta</v>
          </cell>
          <cell r="E3732" t="str">
            <v>LC</v>
          </cell>
          <cell r="F3732" t="str">
            <v>Seddon et al., 2014</v>
          </cell>
          <cell r="G3732" t="str">
            <v>NHMSYS0021311642</v>
          </cell>
          <cell r="H3732" t="str">
            <v>Candidula intersecta</v>
          </cell>
        </row>
        <row r="3733">
          <cell r="A3733" t="str">
            <v>Carychium minimum</v>
          </cell>
          <cell r="B3733" t="str">
            <v>Molluscs (non-marine)</v>
          </cell>
          <cell r="C3733" t="str">
            <v>Mollusca</v>
          </cell>
          <cell r="D3733" t="str">
            <v>Carychium minimum</v>
          </cell>
          <cell r="E3733" t="str">
            <v>LC</v>
          </cell>
          <cell r="F3733" t="str">
            <v>Seddon et al., 2014</v>
          </cell>
          <cell r="G3733" t="str">
            <v>NHMSYS0020528130</v>
          </cell>
          <cell r="H3733" t="str">
            <v>Carychium minimum</v>
          </cell>
        </row>
        <row r="3734">
          <cell r="A3734" t="str">
            <v>Carychium tridentatum</v>
          </cell>
          <cell r="B3734" t="str">
            <v>Molluscs (non-marine)</v>
          </cell>
          <cell r="C3734" t="str">
            <v>Mollusca</v>
          </cell>
          <cell r="D3734" t="str">
            <v>Carychium tridentatum</v>
          </cell>
          <cell r="E3734" t="str">
            <v>LC</v>
          </cell>
          <cell r="F3734" t="str">
            <v>Seddon et al., 2014</v>
          </cell>
          <cell r="G3734" t="str">
            <v>NBNSYS0000006621</v>
          </cell>
          <cell r="H3734" t="str">
            <v>Carychium tridentatum</v>
          </cell>
        </row>
        <row r="3735">
          <cell r="A3735" t="str">
            <v>Cecilioides acicula</v>
          </cell>
          <cell r="B3735" t="str">
            <v>Molluscs (non-marine)</v>
          </cell>
          <cell r="C3735" t="str">
            <v>Mollusca</v>
          </cell>
          <cell r="D3735" t="str">
            <v>Cecilioides acicula</v>
          </cell>
          <cell r="E3735" t="str">
            <v>LC</v>
          </cell>
          <cell r="F3735" t="str">
            <v>Seddon et al., 2014</v>
          </cell>
          <cell r="G3735" t="str">
            <v>NHMSYS0020528133</v>
          </cell>
          <cell r="H3735" t="str">
            <v>Cecilioides acicula</v>
          </cell>
        </row>
        <row r="3736">
          <cell r="A3736" t="str">
            <v>Cepaea hortensis</v>
          </cell>
          <cell r="B3736" t="str">
            <v>Molluscs (non-marine)</v>
          </cell>
          <cell r="C3736" t="str">
            <v>Mollusca</v>
          </cell>
          <cell r="D3736" t="str">
            <v>Cepaea hortensis</v>
          </cell>
          <cell r="E3736" t="str">
            <v>LC</v>
          </cell>
          <cell r="F3736" t="str">
            <v>Seddon et al., 2014</v>
          </cell>
          <cell r="G3736" t="str">
            <v>NHMSYS0020528135</v>
          </cell>
          <cell r="H3736" t="str">
            <v>Cepaea hortensis</v>
          </cell>
        </row>
        <row r="3737">
          <cell r="A3737" t="str">
            <v>Cepaea nemoralis</v>
          </cell>
          <cell r="B3737" t="str">
            <v>Molluscs (non-marine)</v>
          </cell>
          <cell r="C3737" t="str">
            <v>Mollusca</v>
          </cell>
          <cell r="D3737" t="str">
            <v>Cepaea nemoralis</v>
          </cell>
          <cell r="E3737" t="str">
            <v>LC</v>
          </cell>
          <cell r="F3737" t="str">
            <v>Seddon et al., 2014</v>
          </cell>
          <cell r="G3737" t="str">
            <v>NHMSYS0001701949</v>
          </cell>
          <cell r="H3737" t="str">
            <v>Cepaea nemoralis</v>
          </cell>
        </row>
        <row r="3738">
          <cell r="A3738" t="str">
            <v>Cernuella virgata</v>
          </cell>
          <cell r="B3738" t="str">
            <v>Molluscs (non-marine)</v>
          </cell>
          <cell r="C3738" t="str">
            <v>Mollusca</v>
          </cell>
          <cell r="D3738" t="str">
            <v>Cernuella virgata</v>
          </cell>
          <cell r="E3738" t="str">
            <v>LC</v>
          </cell>
          <cell r="F3738" t="str">
            <v>Seddon et al., 2014</v>
          </cell>
          <cell r="G3738" t="str">
            <v>NHMSYS0001701953</v>
          </cell>
          <cell r="H3738" t="str">
            <v>Cernuella virgata</v>
          </cell>
        </row>
        <row r="3739">
          <cell r="A3739" t="str">
            <v>Clausilia bidentata</v>
          </cell>
          <cell r="B3739" t="str">
            <v>Molluscs (non-marine)</v>
          </cell>
          <cell r="C3739" t="str">
            <v>Mollusca</v>
          </cell>
          <cell r="D3739" t="str">
            <v>Clausilia bidentata</v>
          </cell>
          <cell r="E3739" t="str">
            <v>LC</v>
          </cell>
          <cell r="F3739" t="str">
            <v>Seddon et al., 2014</v>
          </cell>
          <cell r="G3739" t="str">
            <v>NHMSYS0001701961</v>
          </cell>
          <cell r="H3739" t="str">
            <v>Clausilia bidentata</v>
          </cell>
        </row>
        <row r="3740">
          <cell r="A3740" t="str">
            <v>Clausilia dubia</v>
          </cell>
          <cell r="B3740" t="str">
            <v>Molluscs (non-marine)</v>
          </cell>
          <cell r="C3740" t="str">
            <v>Mollusca</v>
          </cell>
          <cell r="D3740" t="str">
            <v>Clausilia dubia</v>
          </cell>
          <cell r="E3740" t="str">
            <v>LC</v>
          </cell>
          <cell r="F3740" t="str">
            <v>Seddon et al., 2014</v>
          </cell>
          <cell r="G3740" t="str">
            <v>NHMSYS0001701959</v>
          </cell>
          <cell r="H3740" t="str">
            <v>Clausilia dubia</v>
          </cell>
        </row>
        <row r="3741">
          <cell r="A3741" t="str">
            <v>Cochlicella acuta</v>
          </cell>
          <cell r="B3741" t="str">
            <v>Molluscs (non-marine)</v>
          </cell>
          <cell r="C3741" t="str">
            <v>Mollusca</v>
          </cell>
          <cell r="D3741" t="str">
            <v>Cochlicella acuta</v>
          </cell>
          <cell r="E3741" t="str">
            <v>LC</v>
          </cell>
          <cell r="F3741" t="str">
            <v>Seddon et al., 2014</v>
          </cell>
          <cell r="G3741" t="str">
            <v>NHMSYS0020528143</v>
          </cell>
          <cell r="H3741" t="str">
            <v>Cochlicella acuta</v>
          </cell>
        </row>
        <row r="3742">
          <cell r="A3742" t="str">
            <v>Cochlodina laminata</v>
          </cell>
          <cell r="B3742" t="str">
            <v>Molluscs (non-marine)</v>
          </cell>
          <cell r="C3742" t="str">
            <v>Mollusca</v>
          </cell>
          <cell r="D3742" t="str">
            <v>Cochlodina laminata</v>
          </cell>
          <cell r="E3742" t="str">
            <v>LC</v>
          </cell>
          <cell r="F3742" t="str">
            <v>Seddon et al., 2014</v>
          </cell>
          <cell r="G3742" t="str">
            <v>NHMSYS0001701975</v>
          </cell>
          <cell r="H3742" t="str">
            <v>Cochlodina laminata</v>
          </cell>
        </row>
        <row r="3743">
          <cell r="A3743" t="str">
            <v>Columella aspera</v>
          </cell>
          <cell r="B3743" t="str">
            <v>Molluscs (non-marine)</v>
          </cell>
          <cell r="C3743" t="str">
            <v>Mollusca</v>
          </cell>
          <cell r="D3743" t="str">
            <v>Columella aspera</v>
          </cell>
          <cell r="E3743" t="str">
            <v>LC</v>
          </cell>
          <cell r="F3743" t="str">
            <v>Seddon et al., 2014</v>
          </cell>
          <cell r="G3743" t="str">
            <v>NHMSYS0001701977</v>
          </cell>
          <cell r="H3743" t="str">
            <v>Columella aspera</v>
          </cell>
        </row>
        <row r="3744">
          <cell r="A3744" t="str">
            <v>Columella edentula</v>
          </cell>
          <cell r="B3744" t="str">
            <v>Molluscs (non-marine)</v>
          </cell>
          <cell r="C3744" t="str">
            <v>Mollusca</v>
          </cell>
          <cell r="D3744" t="str">
            <v>Columella edentula</v>
          </cell>
          <cell r="E3744" t="str">
            <v>LC</v>
          </cell>
          <cell r="F3744" t="str">
            <v>Seddon et al., 2014</v>
          </cell>
          <cell r="G3744" t="str">
            <v>NBNSYS0100002543</v>
          </cell>
          <cell r="H3744" t="str">
            <v>Columella edentula</v>
          </cell>
        </row>
        <row r="3745">
          <cell r="A3745" t="str">
            <v>Cornu aspersum</v>
          </cell>
          <cell r="B3745" t="str">
            <v>Molluscs (non-marine)</v>
          </cell>
          <cell r="C3745" t="str">
            <v>Mollusca</v>
          </cell>
          <cell r="D3745" t="str">
            <v>Cornu aspersum</v>
          </cell>
          <cell r="E3745" t="str">
            <v>LC</v>
          </cell>
          <cell r="F3745" t="str">
            <v>Seddon et al., 2014</v>
          </cell>
          <cell r="G3745" t="str">
            <v>NHMSYS0020528153</v>
          </cell>
          <cell r="H3745" t="str">
            <v>Cornu aspersum</v>
          </cell>
        </row>
        <row r="3746">
          <cell r="A3746" t="str">
            <v>Deroceras agreste</v>
          </cell>
          <cell r="B3746" t="str">
            <v>Molluscs (non-marine)</v>
          </cell>
          <cell r="C3746" t="str">
            <v>Mollusca</v>
          </cell>
          <cell r="D3746" t="str">
            <v>Deroceras agreste</v>
          </cell>
          <cell r="E3746" t="str">
            <v>LC</v>
          </cell>
          <cell r="F3746" t="str">
            <v>Seddon et al., 2014</v>
          </cell>
          <cell r="G3746" t="str">
            <v>NHMSYS0001701986</v>
          </cell>
          <cell r="H3746" t="str">
            <v>Deroceras agreste</v>
          </cell>
        </row>
        <row r="3747">
          <cell r="A3747" t="str">
            <v>Deroceras invadens</v>
          </cell>
          <cell r="B3747" t="str">
            <v>Molluscs (non-marine)</v>
          </cell>
          <cell r="C3747" t="str">
            <v>Mollusca</v>
          </cell>
          <cell r="D3747" t="str">
            <v>Deroceras invadens</v>
          </cell>
          <cell r="E3747" t="str">
            <v>LC</v>
          </cell>
          <cell r="F3747" t="str">
            <v>Seddon et al., 2014</v>
          </cell>
          <cell r="G3747" t="str">
            <v>NHMSYS0021009932</v>
          </cell>
          <cell r="H3747" t="str">
            <v>Deroceras invadens</v>
          </cell>
        </row>
        <row r="3748">
          <cell r="A3748" t="str">
            <v>Deroceras laeve</v>
          </cell>
          <cell r="B3748" t="str">
            <v>Molluscs (non-marine)</v>
          </cell>
          <cell r="C3748" t="str">
            <v>Mollusca</v>
          </cell>
          <cell r="D3748" t="str">
            <v>Deroceras laeve</v>
          </cell>
          <cell r="E3748" t="str">
            <v>LC</v>
          </cell>
          <cell r="F3748" t="str">
            <v>Seddon et al., 2014</v>
          </cell>
          <cell r="G3748" t="str">
            <v>NHMSYS0020528154</v>
          </cell>
          <cell r="H3748" t="str">
            <v>Deroceras laeve</v>
          </cell>
        </row>
        <row r="3749">
          <cell r="A3749" t="str">
            <v>Deroceras reticulatum</v>
          </cell>
          <cell r="B3749" t="str">
            <v>Molluscs (non-marine)</v>
          </cell>
          <cell r="C3749" t="str">
            <v>Mollusca</v>
          </cell>
          <cell r="D3749" t="str">
            <v>Deroceras reticulatum</v>
          </cell>
          <cell r="E3749" t="str">
            <v>LC</v>
          </cell>
          <cell r="F3749" t="str">
            <v>Seddon et al., 2014</v>
          </cell>
          <cell r="G3749" t="str">
            <v>NHMSYS0020528155</v>
          </cell>
          <cell r="H3749" t="str">
            <v>Deroceras reticulatum</v>
          </cell>
        </row>
        <row r="3750">
          <cell r="A3750" t="str">
            <v>Discus rotundatus</v>
          </cell>
          <cell r="B3750" t="str">
            <v>Molluscs (non-marine)</v>
          </cell>
          <cell r="C3750" t="str">
            <v>Mollusca</v>
          </cell>
          <cell r="D3750" t="str">
            <v>Discus rotundatus</v>
          </cell>
          <cell r="E3750" t="str">
            <v>LC</v>
          </cell>
          <cell r="F3750" t="str">
            <v>Seddon et al., 2014</v>
          </cell>
          <cell r="G3750" t="str">
            <v>NHMSYS0001701992</v>
          </cell>
          <cell r="H3750" t="str">
            <v>Discus rotundatus</v>
          </cell>
        </row>
        <row r="3751">
          <cell r="A3751" t="str">
            <v>Ena montana</v>
          </cell>
          <cell r="B3751" t="str">
            <v>Molluscs (non-marine)</v>
          </cell>
          <cell r="C3751" t="str">
            <v>Mollusca</v>
          </cell>
          <cell r="D3751" t="str">
            <v>Ena montana</v>
          </cell>
          <cell r="E3751" t="str">
            <v>NT</v>
          </cell>
          <cell r="F3751" t="str">
            <v>Seddon et al., 2014</v>
          </cell>
          <cell r="G3751" t="str">
            <v>NBNSYS0000006689</v>
          </cell>
          <cell r="H3751" t="str">
            <v>Ena montana</v>
          </cell>
        </row>
        <row r="3752">
          <cell r="A3752" t="str">
            <v>Galba truncatula</v>
          </cell>
          <cell r="B3752" t="str">
            <v>Molluscs (non-marine)</v>
          </cell>
          <cell r="C3752" t="str">
            <v>Mollusca</v>
          </cell>
          <cell r="D3752" t="str">
            <v>Galba truncatula</v>
          </cell>
          <cell r="E3752" t="str">
            <v>LC</v>
          </cell>
          <cell r="F3752" t="str">
            <v>Seddon et al., 2014</v>
          </cell>
          <cell r="G3752" t="str">
            <v>NHMSYS0020528171</v>
          </cell>
          <cell r="H3752" t="str">
            <v>Galba truncatula</v>
          </cell>
        </row>
        <row r="3753">
          <cell r="A3753" t="str">
            <v>Gyraulus acronicus</v>
          </cell>
          <cell r="B3753" t="str">
            <v>Molluscs (non-marine)</v>
          </cell>
          <cell r="C3753" t="str">
            <v>Mollusca</v>
          </cell>
          <cell r="D3753" t="str">
            <v>Gyraulus acronicus</v>
          </cell>
          <cell r="E3753" t="str">
            <v>VU</v>
          </cell>
          <cell r="F3753" t="str">
            <v>Seddon et al., 2014</v>
          </cell>
          <cell r="G3753" t="str">
            <v>NHMSYS0020528176</v>
          </cell>
          <cell r="H3753" t="str">
            <v>Gyraulus acronicus</v>
          </cell>
        </row>
        <row r="3754">
          <cell r="A3754" t="str">
            <v>Gyraulus albus</v>
          </cell>
          <cell r="B3754" t="str">
            <v>Molluscs (non-marine)</v>
          </cell>
          <cell r="C3754" t="str">
            <v>Mollusca</v>
          </cell>
          <cell r="D3754" t="str">
            <v>Gyraulus albus</v>
          </cell>
          <cell r="E3754" t="str">
            <v>LC</v>
          </cell>
          <cell r="F3754" t="str">
            <v>Seddon et al., 2014</v>
          </cell>
          <cell r="G3754" t="str">
            <v>NHMSYS0020528177</v>
          </cell>
          <cell r="H3754" t="str">
            <v>Gyraulus albus</v>
          </cell>
        </row>
        <row r="3755">
          <cell r="A3755" t="str">
            <v>Gyraulus crista</v>
          </cell>
          <cell r="B3755" t="str">
            <v>Molluscs (non-marine)</v>
          </cell>
          <cell r="C3755" t="str">
            <v>Mollusca</v>
          </cell>
          <cell r="D3755" t="str">
            <v>Gyraulus crista</v>
          </cell>
          <cell r="E3755" t="str">
            <v>LC</v>
          </cell>
          <cell r="F3755" t="str">
            <v>Seddon et al., 2014</v>
          </cell>
          <cell r="G3755" t="str">
            <v>NHMSYS0001702020</v>
          </cell>
          <cell r="H3755" t="str">
            <v>Gyraulus crista</v>
          </cell>
        </row>
        <row r="3756">
          <cell r="A3756" t="str">
            <v>Gyraulus laevis</v>
          </cell>
          <cell r="B3756" t="str">
            <v>Molluscs (non-marine)</v>
          </cell>
          <cell r="C3756" t="str">
            <v>Mollusca</v>
          </cell>
          <cell r="D3756" t="str">
            <v>Gyraulus laevis</v>
          </cell>
          <cell r="E3756" t="str">
            <v>LC</v>
          </cell>
          <cell r="F3756" t="str">
            <v>Seddon et al., 2014</v>
          </cell>
          <cell r="G3756" t="str">
            <v>NHMSYS0001702026</v>
          </cell>
          <cell r="H3756" t="str">
            <v>Gyraulus laevis</v>
          </cell>
        </row>
        <row r="3757">
          <cell r="A3757" t="str">
            <v>Heleobia stagnorum</v>
          </cell>
          <cell r="B3757" t="str">
            <v>Molluscs (non-marine)</v>
          </cell>
          <cell r="C3757" t="str">
            <v>Mollusca</v>
          </cell>
          <cell r="D3757" t="str">
            <v>Heleobia stagnorum</v>
          </cell>
          <cell r="E3757" t="str">
            <v>CR</v>
          </cell>
          <cell r="F3757" t="str">
            <v>Seddon et al., 2014</v>
          </cell>
          <cell r="G3757" t="str">
            <v>NHMSYS0021120688</v>
          </cell>
          <cell r="H3757" t="str">
            <v>Heleobia stagnorum</v>
          </cell>
        </row>
        <row r="3758">
          <cell r="A3758" t="str">
            <v>Helicella itala</v>
          </cell>
          <cell r="B3758" t="str">
            <v>Molluscs (non-marine)</v>
          </cell>
          <cell r="C3758" t="str">
            <v>Mollusca</v>
          </cell>
          <cell r="D3758" t="str">
            <v>Helicella itala</v>
          </cell>
          <cell r="E3758" t="str">
            <v>LC</v>
          </cell>
          <cell r="F3758" t="str">
            <v>Seddon et al., 2014</v>
          </cell>
          <cell r="G3758" t="str">
            <v>NBNSYS0000006754</v>
          </cell>
          <cell r="H3758" t="str">
            <v>Helicella itala</v>
          </cell>
        </row>
        <row r="3759">
          <cell r="A3759" t="str">
            <v>Helicigona lapicida</v>
          </cell>
          <cell r="B3759" t="str">
            <v>Molluscs (non-marine)</v>
          </cell>
          <cell r="C3759" t="str">
            <v>Mollusca</v>
          </cell>
          <cell r="D3759" t="str">
            <v>Helicigona lapicida</v>
          </cell>
          <cell r="E3759" t="str">
            <v>LC</v>
          </cell>
          <cell r="F3759" t="str">
            <v>Seddon et al., 2014</v>
          </cell>
          <cell r="G3759" t="str">
            <v>NBNSYS0000006771</v>
          </cell>
          <cell r="H3759" t="str">
            <v>Helicigona lapicida</v>
          </cell>
        </row>
        <row r="3760">
          <cell r="A3760" t="str">
            <v>Helicodonta obvoluta</v>
          </cell>
          <cell r="B3760" t="str">
            <v>Molluscs (non-marine)</v>
          </cell>
          <cell r="C3760" t="str">
            <v>Mollusca</v>
          </cell>
          <cell r="D3760" t="str">
            <v>Helicodonta obvoluta</v>
          </cell>
          <cell r="E3760" t="str">
            <v>VU</v>
          </cell>
          <cell r="F3760" t="str">
            <v>Seddon et al., 2014</v>
          </cell>
          <cell r="G3760" t="str">
            <v>NHMSYS0000343141</v>
          </cell>
          <cell r="H3760" t="str">
            <v>Helicodonta obvoluta</v>
          </cell>
        </row>
        <row r="3761">
          <cell r="A3761" t="str">
            <v>Helix pomatia</v>
          </cell>
          <cell r="B3761" t="str">
            <v>Molluscs (non-marine)</v>
          </cell>
          <cell r="C3761" t="str">
            <v>Mollusca</v>
          </cell>
          <cell r="D3761" t="str">
            <v>Helix pomatia</v>
          </cell>
          <cell r="E3761" t="str">
            <v>LC</v>
          </cell>
          <cell r="F3761" t="str">
            <v>Seddon et al., 2014</v>
          </cell>
          <cell r="G3761" t="str">
            <v>NHMSYS0001702042</v>
          </cell>
          <cell r="H3761" t="str">
            <v>Helix pomatia</v>
          </cell>
        </row>
        <row r="3762">
          <cell r="A3762" t="str">
            <v>Hippeutis complanatus</v>
          </cell>
          <cell r="B3762" t="str">
            <v>Molluscs (non-marine)</v>
          </cell>
          <cell r="C3762" t="str">
            <v>Mollusca</v>
          </cell>
          <cell r="D3762" t="str">
            <v>Hippeutis complanatus</v>
          </cell>
          <cell r="E3762" t="str">
            <v>LC</v>
          </cell>
          <cell r="F3762" t="str">
            <v>Seddon et al., 2014</v>
          </cell>
          <cell r="G3762" t="str">
            <v>NHMSYS0001702044</v>
          </cell>
          <cell r="H3762" t="str">
            <v>Hippeutis complanatus</v>
          </cell>
        </row>
        <row r="3763">
          <cell r="A3763" t="str">
            <v>Hydrobia acuta neglecta</v>
          </cell>
          <cell r="B3763" t="str">
            <v>Molluscs (non-marine)</v>
          </cell>
          <cell r="C3763" t="str">
            <v>Mollusca</v>
          </cell>
          <cell r="D3763" t="str">
            <v>Hydrobia acuta (subsp.) neglecta</v>
          </cell>
          <cell r="E3763" t="str">
            <v>NT</v>
          </cell>
          <cell r="F3763" t="str">
            <v>Seddon et al., 2014</v>
          </cell>
          <cell r="G3763" t="str">
            <v>NHMSYS0021055596</v>
          </cell>
          <cell r="H3763" t="str">
            <v>Hydrobia acuta neglecta</v>
          </cell>
        </row>
        <row r="3764">
          <cell r="A3764" t="str">
            <v>Lauria cylindracea</v>
          </cell>
          <cell r="B3764" t="str">
            <v>Molluscs (non-marine)</v>
          </cell>
          <cell r="C3764" t="str">
            <v>Mollusca</v>
          </cell>
          <cell r="D3764" t="str">
            <v>Lauria cylindracea</v>
          </cell>
          <cell r="E3764" t="str">
            <v>LC</v>
          </cell>
          <cell r="F3764" t="str">
            <v>Seddon et al., 2014</v>
          </cell>
          <cell r="G3764" t="str">
            <v>NHMSYS0001702057</v>
          </cell>
          <cell r="H3764" t="str">
            <v>Lauria cylindracea</v>
          </cell>
        </row>
        <row r="3765">
          <cell r="A3765" t="str">
            <v>Lauria sempronii</v>
          </cell>
          <cell r="B3765" t="str">
            <v>Molluscs (non-marine)</v>
          </cell>
          <cell r="C3765" t="str">
            <v>Mollusca</v>
          </cell>
          <cell r="D3765" t="str">
            <v>Lauria sempronii</v>
          </cell>
          <cell r="E3765" t="str">
            <v>VU</v>
          </cell>
          <cell r="F3765" t="str">
            <v>Seddon et al., 2014</v>
          </cell>
          <cell r="G3765" t="str">
            <v>NHMSYS0001702058</v>
          </cell>
          <cell r="H3765" t="str">
            <v>Lauria sempronii</v>
          </cell>
        </row>
        <row r="3766">
          <cell r="A3766" t="str">
            <v>Lehmannia marginata</v>
          </cell>
          <cell r="B3766" t="str">
            <v>Molluscs (non-marine)</v>
          </cell>
          <cell r="C3766" t="str">
            <v>Mollusca</v>
          </cell>
          <cell r="D3766" t="str">
            <v>Lehmannia marginata</v>
          </cell>
          <cell r="E3766" t="str">
            <v>LC</v>
          </cell>
          <cell r="F3766" t="str">
            <v>Seddon et al., 2014</v>
          </cell>
          <cell r="G3766" t="str">
            <v>NHMSYS0020528201</v>
          </cell>
          <cell r="H3766" t="str">
            <v>Lehmannia marginata</v>
          </cell>
        </row>
        <row r="3767">
          <cell r="A3767" t="str">
            <v>Leiostyla anglica</v>
          </cell>
          <cell r="B3767" t="str">
            <v>Molluscs (non-marine)</v>
          </cell>
          <cell r="C3767" t="str">
            <v>Mollusca</v>
          </cell>
          <cell r="D3767" t="str">
            <v>Leiostyla anglica</v>
          </cell>
          <cell r="E3767" t="str">
            <v>LC</v>
          </cell>
          <cell r="F3767" t="str">
            <v>Seddon et al., 2014</v>
          </cell>
          <cell r="G3767" t="str">
            <v>NHMSYS0020528204</v>
          </cell>
          <cell r="H3767" t="str">
            <v>Leiostyla anglica</v>
          </cell>
        </row>
        <row r="3768">
          <cell r="A3768" t="str">
            <v>Leucophytia bidentata</v>
          </cell>
          <cell r="B3768" t="str">
            <v>Molluscs (non-marine)</v>
          </cell>
          <cell r="C3768" t="str">
            <v>Mollusca</v>
          </cell>
          <cell r="D3768" t="str">
            <v>Leucophytia bidentata</v>
          </cell>
          <cell r="E3768" t="str">
            <v>LC</v>
          </cell>
          <cell r="F3768" t="str">
            <v>Seddon et al., 2014</v>
          </cell>
          <cell r="G3768" t="str">
            <v>NHMSYS0000343150</v>
          </cell>
          <cell r="H3768" t="str">
            <v>Leucophytia bidentata</v>
          </cell>
        </row>
        <row r="3769">
          <cell r="A3769" t="str">
            <v>Limacus maculatus</v>
          </cell>
          <cell r="B3769" t="str">
            <v>Molluscs (non-marine)</v>
          </cell>
          <cell r="C3769" t="str">
            <v>Mollusca</v>
          </cell>
          <cell r="D3769" t="str">
            <v>Limacus maculatus</v>
          </cell>
          <cell r="E3769" t="str">
            <v>LC</v>
          </cell>
          <cell r="F3769" t="str">
            <v>Seddon et al., 2014</v>
          </cell>
          <cell r="G3769" t="str">
            <v>NHMSYS0001702070</v>
          </cell>
          <cell r="H3769" t="str">
            <v>Limacus maculatus</v>
          </cell>
        </row>
        <row r="3770">
          <cell r="A3770" t="str">
            <v>Limax cinereoniger</v>
          </cell>
          <cell r="B3770" t="str">
            <v>Molluscs (non-marine)</v>
          </cell>
          <cell r="C3770" t="str">
            <v>Mollusca</v>
          </cell>
          <cell r="D3770" t="str">
            <v>Limax cinereoniger</v>
          </cell>
          <cell r="E3770" t="str">
            <v>LC</v>
          </cell>
          <cell r="F3770" t="str">
            <v>Seddon et al., 2014</v>
          </cell>
          <cell r="G3770" t="str">
            <v>NBNSYS0000006728</v>
          </cell>
          <cell r="H3770" t="str">
            <v>Limax cinereoniger</v>
          </cell>
        </row>
        <row r="3771">
          <cell r="A3771" t="str">
            <v>Limax flavus</v>
          </cell>
          <cell r="B3771" t="str">
            <v>Molluscs (non-marine)</v>
          </cell>
          <cell r="C3771" t="str">
            <v>Mollusca</v>
          </cell>
          <cell r="D3771" t="str">
            <v>Limax flavus</v>
          </cell>
          <cell r="E3771" t="str">
            <v>LC</v>
          </cell>
          <cell r="F3771" t="str">
            <v>Seddon et al., 2014</v>
          </cell>
          <cell r="G3771" t="str">
            <v>NHMSYS0001702069</v>
          </cell>
          <cell r="H3771" t="str">
            <v>Limax flavus</v>
          </cell>
        </row>
        <row r="3772">
          <cell r="A3772" t="str">
            <v>Limax maximus</v>
          </cell>
          <cell r="B3772" t="str">
            <v>Molluscs (non-marine)</v>
          </cell>
          <cell r="C3772" t="str">
            <v>Mollusca</v>
          </cell>
          <cell r="D3772" t="str">
            <v>Limax maximus</v>
          </cell>
          <cell r="E3772" t="str">
            <v>LC</v>
          </cell>
          <cell r="F3772" t="str">
            <v>Seddon et al., 2014</v>
          </cell>
          <cell r="G3772" t="str">
            <v>NBNSYS0000006727</v>
          </cell>
          <cell r="H3772" t="str">
            <v>Limax maximus</v>
          </cell>
        </row>
        <row r="3773">
          <cell r="A3773" t="str">
            <v>Lymnaea stagnalis</v>
          </cell>
          <cell r="B3773" t="str">
            <v>Molluscs (non-marine)</v>
          </cell>
          <cell r="C3773" t="str">
            <v>Mollusca</v>
          </cell>
          <cell r="D3773" t="str">
            <v>Lymnaea stagnalis</v>
          </cell>
          <cell r="E3773" t="str">
            <v>LC</v>
          </cell>
          <cell r="F3773" t="str">
            <v>Seddon et al., 2014</v>
          </cell>
          <cell r="G3773" t="str">
            <v>NHMSYS0021056362</v>
          </cell>
          <cell r="H3773" t="str">
            <v>Lymnaea stagnalis</v>
          </cell>
        </row>
        <row r="3774">
          <cell r="A3774" t="str">
            <v>Macrogastra rolphii</v>
          </cell>
          <cell r="B3774" t="str">
            <v>Molluscs (non-marine)</v>
          </cell>
          <cell r="C3774" t="str">
            <v>Mollusca</v>
          </cell>
          <cell r="D3774" t="str">
            <v>Macrogastra rolphii</v>
          </cell>
          <cell r="E3774" t="str">
            <v>LC</v>
          </cell>
          <cell r="F3774" t="str">
            <v>Seddon et al., 2014</v>
          </cell>
          <cell r="G3774" t="str">
            <v>NHMSYS0001702086</v>
          </cell>
          <cell r="H3774" t="str">
            <v>Macrogastra rolphii</v>
          </cell>
        </row>
        <row r="3775">
          <cell r="A3775" t="str">
            <v>Malacolimax tenellus</v>
          </cell>
          <cell r="B3775" t="str">
            <v>Molluscs (non-marine)</v>
          </cell>
          <cell r="C3775" t="str">
            <v>Mollusca</v>
          </cell>
          <cell r="D3775" t="str">
            <v>Malacolimax tenellus</v>
          </cell>
          <cell r="E3775" t="str">
            <v>LC</v>
          </cell>
          <cell r="F3775" t="str">
            <v>Seddon et al., 2014</v>
          </cell>
          <cell r="G3775" t="str">
            <v>NHMSYS0020528213</v>
          </cell>
          <cell r="H3775" t="str">
            <v>Malacolimax tenellus</v>
          </cell>
        </row>
        <row r="3776">
          <cell r="A3776" t="str">
            <v>Margaritifera margaritifera</v>
          </cell>
          <cell r="B3776" t="str">
            <v>Molluscs (non-marine)</v>
          </cell>
          <cell r="C3776" t="str">
            <v>Mollusca</v>
          </cell>
          <cell r="D3776" t="str">
            <v>Margaritifera margaritifera</v>
          </cell>
          <cell r="E3776" t="str">
            <v>CR</v>
          </cell>
          <cell r="F3776" t="str">
            <v>Seddon et al., 2014</v>
          </cell>
          <cell r="G3776" t="str">
            <v>NHMSYS0001702090</v>
          </cell>
          <cell r="H3776" t="str">
            <v>Margaritifera margaritifera</v>
          </cell>
        </row>
        <row r="3777">
          <cell r="A3777" t="str">
            <v>Marstoniopsis insubrica</v>
          </cell>
          <cell r="B3777" t="str">
            <v>Molluscs (non-marine)</v>
          </cell>
          <cell r="C3777" t="str">
            <v>Mollusca</v>
          </cell>
          <cell r="D3777" t="str">
            <v>Marstoniopsis insubrica</v>
          </cell>
          <cell r="E3777" t="str">
            <v>EN</v>
          </cell>
          <cell r="F3777" t="str">
            <v>Seddon et al., 2014</v>
          </cell>
          <cell r="G3777" t="str">
            <v>NHMSYS0001702093</v>
          </cell>
          <cell r="H3777" t="str">
            <v>Marstoniopsis insubrica</v>
          </cell>
        </row>
        <row r="3778">
          <cell r="A3778" t="str">
            <v>Merdigera obscura</v>
          </cell>
          <cell r="B3778" t="str">
            <v>Molluscs (non-marine)</v>
          </cell>
          <cell r="C3778" t="str">
            <v>Mollusca</v>
          </cell>
          <cell r="D3778" t="str">
            <v>Merdigera obscura</v>
          </cell>
          <cell r="E3778" t="str">
            <v>LC</v>
          </cell>
          <cell r="F3778" t="str">
            <v>Seddon et al., 2014</v>
          </cell>
          <cell r="G3778" t="str">
            <v>NHMSYS0020528224</v>
          </cell>
          <cell r="H3778" t="str">
            <v>Merdigera obscura</v>
          </cell>
        </row>
        <row r="3779">
          <cell r="A3779" t="str">
            <v>Milax gagates</v>
          </cell>
          <cell r="B3779" t="str">
            <v>Molluscs (non-marine)</v>
          </cell>
          <cell r="C3779" t="str">
            <v>Mollusca</v>
          </cell>
          <cell r="D3779" t="str">
            <v>Milax gagates</v>
          </cell>
          <cell r="E3779" t="str">
            <v>LC</v>
          </cell>
          <cell r="F3779" t="str">
            <v>Seddon et al., 2014</v>
          </cell>
          <cell r="G3779" t="str">
            <v>NBNSYS0000006721</v>
          </cell>
          <cell r="H3779" t="str">
            <v>Milax gagates</v>
          </cell>
        </row>
        <row r="3780">
          <cell r="A3780" t="str">
            <v>Monacha cantiana</v>
          </cell>
          <cell r="B3780" t="str">
            <v>Molluscs (non-marine)</v>
          </cell>
          <cell r="C3780" t="str">
            <v>Mollusca</v>
          </cell>
          <cell r="D3780" t="str">
            <v>Monacha cantiana</v>
          </cell>
          <cell r="E3780" t="str">
            <v>LC</v>
          </cell>
          <cell r="F3780" t="str">
            <v>Seddon et al., 2014</v>
          </cell>
          <cell r="G3780" t="str">
            <v>NHMSYS0001702106</v>
          </cell>
          <cell r="H3780" t="str">
            <v>Monacha cantiana</v>
          </cell>
        </row>
        <row r="3781">
          <cell r="A3781" t="str">
            <v>Monacha cartusiana</v>
          </cell>
          <cell r="B3781" t="str">
            <v>Molluscs (non-marine)</v>
          </cell>
          <cell r="C3781" t="str">
            <v>Mollusca</v>
          </cell>
          <cell r="D3781" t="str">
            <v>Monacha cartusiana</v>
          </cell>
          <cell r="E3781" t="str">
            <v>NT</v>
          </cell>
          <cell r="F3781" t="str">
            <v>Seddon et al., 2014</v>
          </cell>
          <cell r="G3781" t="str">
            <v>NHMSYS0020528227</v>
          </cell>
          <cell r="H3781" t="str">
            <v>Monacha cartusiana</v>
          </cell>
        </row>
        <row r="3782">
          <cell r="A3782" t="str">
            <v>Musculium lacustre</v>
          </cell>
          <cell r="B3782" t="str">
            <v>Molluscs (non-marine)</v>
          </cell>
          <cell r="C3782" t="str">
            <v>Mollusca</v>
          </cell>
          <cell r="D3782" t="str">
            <v>Musculium lacustre</v>
          </cell>
          <cell r="E3782" t="str">
            <v>LC</v>
          </cell>
          <cell r="F3782" t="str">
            <v>Seddon et al., 2014</v>
          </cell>
          <cell r="G3782" t="str">
            <v>NHMSYS0021342719</v>
          </cell>
          <cell r="H3782" t="str">
            <v>Musculium lacustre</v>
          </cell>
        </row>
        <row r="3783">
          <cell r="A3783" t="str">
            <v>Myosotella myosotis</v>
          </cell>
          <cell r="B3783" t="str">
            <v>Molluscs (non-marine)</v>
          </cell>
          <cell r="C3783" t="str">
            <v>Mollusca</v>
          </cell>
          <cell r="D3783" t="str">
            <v>Myosotella myosotis</v>
          </cell>
          <cell r="E3783" t="str">
            <v>LC</v>
          </cell>
          <cell r="F3783" t="str">
            <v>Seddon et al., 2014</v>
          </cell>
          <cell r="G3783" t="str">
            <v>NHMSYS0001702112</v>
          </cell>
          <cell r="H3783" t="str">
            <v>Myosotella myosotis</v>
          </cell>
        </row>
        <row r="3784">
          <cell r="A3784" t="str">
            <v>Myxas glutinosa</v>
          </cell>
          <cell r="B3784" t="str">
            <v>Molluscs (non-marine)</v>
          </cell>
          <cell r="C3784" t="str">
            <v>Mollusca</v>
          </cell>
          <cell r="D3784" t="str">
            <v>Myxas glutinosa</v>
          </cell>
          <cell r="E3784" t="str">
            <v>CR</v>
          </cell>
          <cell r="F3784" t="str">
            <v>Seddon et al., 2014</v>
          </cell>
          <cell r="G3784" t="str">
            <v>NHMSYS0020528230</v>
          </cell>
          <cell r="H3784" t="str">
            <v>Myxas glutinosa</v>
          </cell>
        </row>
        <row r="3785">
          <cell r="A3785" t="str">
            <v>Nesovitrea hammonis</v>
          </cell>
          <cell r="B3785" t="str">
            <v>Molluscs (non-marine)</v>
          </cell>
          <cell r="C3785" t="str">
            <v>Mollusca</v>
          </cell>
          <cell r="D3785" t="str">
            <v>Nesovitrea hammonis</v>
          </cell>
          <cell r="E3785" t="str">
            <v>LC</v>
          </cell>
          <cell r="F3785" t="str">
            <v>Seddon et al., 2014</v>
          </cell>
          <cell r="G3785" t="str">
            <v>NHMSYS0001702122</v>
          </cell>
          <cell r="H3785" t="str">
            <v>Nesovitrea hammonis</v>
          </cell>
        </row>
        <row r="3786">
          <cell r="A3786" t="str">
            <v>Omphiscola glabra</v>
          </cell>
          <cell r="B3786" t="str">
            <v>Molluscs (non-marine)</v>
          </cell>
          <cell r="C3786" t="str">
            <v>Mollusca</v>
          </cell>
          <cell r="D3786" t="str">
            <v>Omphiscola glabra</v>
          </cell>
          <cell r="E3786" t="str">
            <v>LC</v>
          </cell>
          <cell r="F3786" t="str">
            <v>Seddon et al., 2014</v>
          </cell>
          <cell r="G3786" t="str">
            <v>NHMSYS0020528236</v>
          </cell>
          <cell r="H3786" t="str">
            <v>Omphiscola glabra</v>
          </cell>
        </row>
        <row r="3787">
          <cell r="A3787" t="str">
            <v>Oxychilus alliarius</v>
          </cell>
          <cell r="B3787" t="str">
            <v>Molluscs (non-marine)</v>
          </cell>
          <cell r="C3787" t="str">
            <v>Mollusca</v>
          </cell>
          <cell r="D3787" t="str">
            <v>Oxychilus alliarius</v>
          </cell>
          <cell r="E3787" t="str">
            <v>LC</v>
          </cell>
          <cell r="F3787" t="str">
            <v>Seddon et al., 2014</v>
          </cell>
          <cell r="G3787" t="str">
            <v>NHMSYS0020528243</v>
          </cell>
          <cell r="H3787" t="str">
            <v>Oxychilus alliarius</v>
          </cell>
        </row>
        <row r="3788">
          <cell r="A3788" t="str">
            <v>Oxychilus cellarius</v>
          </cell>
          <cell r="B3788" t="str">
            <v>Molluscs (non-marine)</v>
          </cell>
          <cell r="C3788" t="str">
            <v>Mollusca</v>
          </cell>
          <cell r="D3788" t="str">
            <v>Oxychilus cellarius</v>
          </cell>
          <cell r="E3788" t="str">
            <v>LC</v>
          </cell>
          <cell r="F3788" t="str">
            <v>Seddon et al., 2014</v>
          </cell>
          <cell r="G3788" t="str">
            <v>NHMSYS0020528244</v>
          </cell>
          <cell r="H3788" t="str">
            <v>Oxychilus cellarius</v>
          </cell>
        </row>
        <row r="3789">
          <cell r="A3789" t="str">
            <v>Oxychilus draparnaudi</v>
          </cell>
          <cell r="B3789" t="str">
            <v>Molluscs (non-marine)</v>
          </cell>
          <cell r="C3789" t="str">
            <v>Mollusca</v>
          </cell>
          <cell r="D3789" t="str">
            <v>Oxychilus draparnaudi</v>
          </cell>
          <cell r="E3789" t="str">
            <v>LC</v>
          </cell>
          <cell r="F3789" t="str">
            <v>Seddon et al., 2014</v>
          </cell>
          <cell r="G3789" t="str">
            <v>NHMSYS0020528245</v>
          </cell>
          <cell r="H3789" t="str">
            <v>Oxychilus draparnaudi</v>
          </cell>
        </row>
        <row r="3790">
          <cell r="A3790" t="str">
            <v>Oxychilus navarricus</v>
          </cell>
          <cell r="B3790" t="str">
            <v>Molluscs (non-marine)</v>
          </cell>
          <cell r="C3790" t="str">
            <v>Mollusca</v>
          </cell>
          <cell r="D3790" t="str">
            <v>Oxychilus navarricus</v>
          </cell>
          <cell r="E3790" t="str">
            <v>LC</v>
          </cell>
          <cell r="F3790" t="str">
            <v>Seddon et al., 2014</v>
          </cell>
          <cell r="G3790" t="str">
            <v>NHMSYS0001702139</v>
          </cell>
          <cell r="H3790" t="str">
            <v>Oxychilus navarricus</v>
          </cell>
        </row>
        <row r="3791">
          <cell r="A3791" t="str">
            <v>Oxyloma elegans</v>
          </cell>
          <cell r="B3791" t="str">
            <v>Molluscs (non-marine)</v>
          </cell>
          <cell r="C3791" t="str">
            <v>Mollusca</v>
          </cell>
          <cell r="D3791" t="str">
            <v>Oxyloma elegans</v>
          </cell>
          <cell r="E3791" t="str">
            <v>LC</v>
          </cell>
          <cell r="F3791" t="str">
            <v>Seddon et al., 2014</v>
          </cell>
          <cell r="G3791" t="str">
            <v>NHMSYS0001702143</v>
          </cell>
          <cell r="H3791" t="str">
            <v>Oxyloma elegans</v>
          </cell>
        </row>
        <row r="3792">
          <cell r="A3792" t="str">
            <v>Oxyloma sarsi</v>
          </cell>
          <cell r="B3792" t="str">
            <v>Molluscs (non-marine)</v>
          </cell>
          <cell r="C3792" t="str">
            <v>Mollusca</v>
          </cell>
          <cell r="D3792" t="str">
            <v>Oxyloma sarsi</v>
          </cell>
          <cell r="E3792" t="str">
            <v>NT</v>
          </cell>
          <cell r="F3792" t="str">
            <v>Seddon et al., 2014</v>
          </cell>
          <cell r="G3792" t="str">
            <v>NHMSYS0020528247</v>
          </cell>
          <cell r="H3792" t="str">
            <v>Oxyloma sarsi</v>
          </cell>
        </row>
        <row r="3793">
          <cell r="A3793" t="str">
            <v>Peringia ulvae</v>
          </cell>
          <cell r="B3793" t="str">
            <v>Molluscs (non-marine)</v>
          </cell>
          <cell r="C3793" t="str">
            <v>Mollusca</v>
          </cell>
          <cell r="D3793" t="str">
            <v>Peringia ulvae</v>
          </cell>
          <cell r="E3793" t="str">
            <v>LC</v>
          </cell>
          <cell r="F3793" t="str">
            <v>Seddon et al., 2014</v>
          </cell>
          <cell r="G3793" t="str">
            <v>NHMSYS0001702153</v>
          </cell>
          <cell r="H3793" t="str">
            <v>Peringia ulvae</v>
          </cell>
        </row>
        <row r="3794">
          <cell r="A3794" t="str">
            <v>Phenacolimax major</v>
          </cell>
          <cell r="B3794" t="str">
            <v>Molluscs (non-marine)</v>
          </cell>
          <cell r="C3794" t="str">
            <v>Mollusca</v>
          </cell>
          <cell r="D3794" t="str">
            <v>Phenacolimax major</v>
          </cell>
          <cell r="E3794" t="str">
            <v>LC</v>
          </cell>
          <cell r="F3794" t="str">
            <v>Seddon et al., 2014</v>
          </cell>
          <cell r="G3794" t="str">
            <v>NHMSYS0020528255</v>
          </cell>
          <cell r="H3794" t="str">
            <v>Phenacolimax major</v>
          </cell>
        </row>
        <row r="3795">
          <cell r="A3795" t="str">
            <v>Physa fontinalis</v>
          </cell>
          <cell r="B3795" t="str">
            <v>Molluscs (non-marine)</v>
          </cell>
          <cell r="C3795" t="str">
            <v>Mollusca</v>
          </cell>
          <cell r="D3795" t="str">
            <v>Physa fontinalis</v>
          </cell>
          <cell r="E3795" t="str">
            <v>LC</v>
          </cell>
          <cell r="F3795" t="str">
            <v>Seddon et al., 2014</v>
          </cell>
          <cell r="G3795" t="str">
            <v>NHMSYS0001702157</v>
          </cell>
          <cell r="H3795" t="str">
            <v>Physa fontinalis</v>
          </cell>
        </row>
        <row r="3796">
          <cell r="A3796" t="str">
            <v>Pisidium amnicum</v>
          </cell>
          <cell r="B3796" t="str">
            <v>Molluscs (non-marine)</v>
          </cell>
          <cell r="C3796" t="str">
            <v>Mollusca</v>
          </cell>
          <cell r="D3796" t="str">
            <v>Pisidium amnicum</v>
          </cell>
          <cell r="E3796" t="str">
            <v>LC</v>
          </cell>
          <cell r="F3796" t="str">
            <v>Seddon et al., 2014</v>
          </cell>
          <cell r="G3796" t="str">
            <v>NHMSYS0020528258</v>
          </cell>
          <cell r="H3796" t="str">
            <v>Pisidium amnicum</v>
          </cell>
        </row>
        <row r="3797">
          <cell r="A3797" t="str">
            <v>Pisidium casertanum</v>
          </cell>
          <cell r="B3797" t="str">
            <v>Molluscs (non-marine)</v>
          </cell>
          <cell r="C3797" t="str">
            <v>Mollusca</v>
          </cell>
          <cell r="D3797" t="str">
            <v>Pisidium casertanum</v>
          </cell>
          <cell r="E3797" t="str">
            <v>LC</v>
          </cell>
          <cell r="F3797" t="str">
            <v>Seddon et al., 2014</v>
          </cell>
          <cell r="G3797" t="str">
            <v>NHMSYS0021342639</v>
          </cell>
          <cell r="H3797" t="str">
            <v>Pisidium casertanum</v>
          </cell>
        </row>
        <row r="3798">
          <cell r="A3798" t="str">
            <v>Pisidium conventus</v>
          </cell>
          <cell r="B3798" t="str">
            <v>Molluscs (non-marine)</v>
          </cell>
          <cell r="C3798" t="str">
            <v>Mollusca</v>
          </cell>
          <cell r="D3798" t="str">
            <v>Pisidium conventus</v>
          </cell>
          <cell r="E3798" t="str">
            <v>VU</v>
          </cell>
          <cell r="F3798" t="str">
            <v>Seddon et al., 2014</v>
          </cell>
          <cell r="G3798" t="str">
            <v>NHMSYS0021342644</v>
          </cell>
          <cell r="H3798" t="str">
            <v>Pisidium conventus</v>
          </cell>
        </row>
        <row r="3799">
          <cell r="A3799" t="str">
            <v>Pisidium henslowanum</v>
          </cell>
          <cell r="B3799" t="str">
            <v>Molluscs (non-marine)</v>
          </cell>
          <cell r="C3799" t="str">
            <v>Mollusca</v>
          </cell>
          <cell r="D3799" t="str">
            <v>Pisidium henslowanum</v>
          </cell>
          <cell r="E3799" t="str">
            <v>LC</v>
          </cell>
          <cell r="F3799" t="str">
            <v>Seddon et al., 2014</v>
          </cell>
          <cell r="G3799" t="str">
            <v>NHMSYS0021342649</v>
          </cell>
          <cell r="H3799" t="str">
            <v>Pisidium henslowanum</v>
          </cell>
        </row>
        <row r="3800">
          <cell r="A3800" t="str">
            <v>Pisidium hibernicum</v>
          </cell>
          <cell r="B3800" t="str">
            <v>Molluscs (non-marine)</v>
          </cell>
          <cell r="C3800" t="str">
            <v>Mollusca</v>
          </cell>
          <cell r="D3800" t="str">
            <v>Pisidium hibernicum</v>
          </cell>
          <cell r="E3800" t="str">
            <v>LC</v>
          </cell>
          <cell r="F3800" t="str">
            <v>Seddon et al., 2014</v>
          </cell>
          <cell r="G3800" t="str">
            <v>NHMSYS0021342654</v>
          </cell>
          <cell r="H3800" t="str">
            <v>Pisidium hibernicum</v>
          </cell>
        </row>
        <row r="3801">
          <cell r="A3801" t="str">
            <v>Pisidium lilljeborgii</v>
          </cell>
          <cell r="B3801" t="str">
            <v>Molluscs (non-marine)</v>
          </cell>
          <cell r="C3801" t="str">
            <v>Mollusca</v>
          </cell>
          <cell r="D3801" t="str">
            <v>Pisidium lilljeborgii</v>
          </cell>
          <cell r="E3801" t="str">
            <v>LC</v>
          </cell>
          <cell r="F3801" t="str">
            <v>Seddon et al., 2014</v>
          </cell>
          <cell r="G3801" t="str">
            <v>NHMSYS0021342659</v>
          </cell>
          <cell r="H3801" t="str">
            <v>Pisidium lilljeborgii</v>
          </cell>
        </row>
        <row r="3802">
          <cell r="A3802" t="str">
            <v>Pisidium milium</v>
          </cell>
          <cell r="B3802" t="str">
            <v>Molluscs (non-marine)</v>
          </cell>
          <cell r="C3802" t="str">
            <v>Mollusca</v>
          </cell>
          <cell r="D3802" t="str">
            <v>Pisidium milium</v>
          </cell>
          <cell r="E3802" t="str">
            <v>LC</v>
          </cell>
          <cell r="F3802" t="str">
            <v>Seddon et al., 2014</v>
          </cell>
          <cell r="G3802" t="str">
            <v>NHMSYS0021342664</v>
          </cell>
          <cell r="H3802" t="str">
            <v>Pisidium milium</v>
          </cell>
        </row>
        <row r="3803">
          <cell r="A3803" t="str">
            <v>Pisidium moitessierianum</v>
          </cell>
          <cell r="B3803" t="str">
            <v>Molluscs (non-marine)</v>
          </cell>
          <cell r="C3803" t="str">
            <v>Mollusca</v>
          </cell>
          <cell r="D3803" t="str">
            <v>Pisidium moitessierianum</v>
          </cell>
          <cell r="E3803" t="str">
            <v>LC</v>
          </cell>
          <cell r="F3803" t="str">
            <v>Seddon et al., 2014</v>
          </cell>
          <cell r="G3803" t="str">
            <v>NHMSYS0021342704</v>
          </cell>
          <cell r="H3803" t="str">
            <v>Pisidium moitessierianum</v>
          </cell>
        </row>
        <row r="3804">
          <cell r="A3804" t="str">
            <v>Pisidium nitidum</v>
          </cell>
          <cell r="B3804" t="str">
            <v>Molluscs (non-marine)</v>
          </cell>
          <cell r="C3804" t="str">
            <v>Mollusca</v>
          </cell>
          <cell r="D3804" t="str">
            <v>Pisidium nitidum</v>
          </cell>
          <cell r="E3804" t="str">
            <v>LC</v>
          </cell>
          <cell r="F3804" t="str">
            <v>Seddon et al., 2014</v>
          </cell>
          <cell r="G3804" t="str">
            <v>NHMSYS0021342669</v>
          </cell>
          <cell r="H3804" t="str">
            <v>Pisidium nitidum</v>
          </cell>
        </row>
        <row r="3805">
          <cell r="A3805" t="str">
            <v>Pisidium obtusale</v>
          </cell>
          <cell r="B3805" t="str">
            <v>Molluscs (non-marine)</v>
          </cell>
          <cell r="C3805" t="str">
            <v>Mollusca</v>
          </cell>
          <cell r="D3805" t="str">
            <v>Pisidium obtusale</v>
          </cell>
          <cell r="E3805" t="str">
            <v>LC</v>
          </cell>
          <cell r="F3805" t="str">
            <v>Seddon et al., 2014</v>
          </cell>
          <cell r="G3805" t="str">
            <v>NHMSYS0021342674</v>
          </cell>
          <cell r="H3805" t="str">
            <v>Pisidium obtusale</v>
          </cell>
        </row>
        <row r="3806">
          <cell r="A3806" t="str">
            <v>Pisidium personatum</v>
          </cell>
          <cell r="B3806" t="str">
            <v>Molluscs (non-marine)</v>
          </cell>
          <cell r="C3806" t="str">
            <v>Mollusca</v>
          </cell>
          <cell r="D3806" t="str">
            <v>Pisidium personatum</v>
          </cell>
          <cell r="E3806" t="str">
            <v>LC</v>
          </cell>
          <cell r="F3806" t="str">
            <v>Seddon et al., 2014</v>
          </cell>
          <cell r="G3806" t="str">
            <v>NHMSYS0021342679</v>
          </cell>
          <cell r="H3806" t="str">
            <v>Pisidium personatum</v>
          </cell>
        </row>
        <row r="3807">
          <cell r="A3807" t="str">
            <v>Pisidium pseudosphaerium</v>
          </cell>
          <cell r="B3807" t="str">
            <v>Molluscs (non-marine)</v>
          </cell>
          <cell r="C3807" t="str">
            <v>Mollusca</v>
          </cell>
          <cell r="D3807" t="str">
            <v>Pisidium pseudosphaerium</v>
          </cell>
          <cell r="E3807" t="str">
            <v>LC</v>
          </cell>
          <cell r="F3807" t="str">
            <v>Seddon et al., 2014</v>
          </cell>
          <cell r="G3807" t="str">
            <v>NHMSYS0021342684</v>
          </cell>
          <cell r="H3807" t="str">
            <v>Pisidium pseudosphaerium</v>
          </cell>
        </row>
        <row r="3808">
          <cell r="A3808" t="str">
            <v>Pisidium pulchellum</v>
          </cell>
          <cell r="B3808" t="str">
            <v>Molluscs (non-marine)</v>
          </cell>
          <cell r="C3808" t="str">
            <v>Mollusca</v>
          </cell>
          <cell r="D3808" t="str">
            <v>Pisidium pulchellum</v>
          </cell>
          <cell r="E3808" t="str">
            <v>LC</v>
          </cell>
          <cell r="F3808" t="str">
            <v>Seddon et al., 2014</v>
          </cell>
          <cell r="G3808" t="str">
            <v>NHMSYS0021342689</v>
          </cell>
          <cell r="H3808" t="str">
            <v>Pisidium pulchellum</v>
          </cell>
        </row>
        <row r="3809">
          <cell r="A3809" t="str">
            <v>Pisidium subtruncatum</v>
          </cell>
          <cell r="B3809" t="str">
            <v>Molluscs (non-marine)</v>
          </cell>
          <cell r="C3809" t="str">
            <v>Mollusca</v>
          </cell>
          <cell r="D3809" t="str">
            <v>Pisidium subtruncatum</v>
          </cell>
          <cell r="E3809" t="str">
            <v>LC</v>
          </cell>
          <cell r="F3809" t="str">
            <v>Seddon et al., 2014</v>
          </cell>
          <cell r="G3809" t="str">
            <v>NHMSYS0021342694</v>
          </cell>
          <cell r="H3809" t="str">
            <v>Pisidium subtruncatum</v>
          </cell>
        </row>
        <row r="3810">
          <cell r="A3810" t="str">
            <v>Pisidium supinum</v>
          </cell>
          <cell r="B3810" t="str">
            <v>Molluscs (non-marine)</v>
          </cell>
          <cell r="C3810" t="str">
            <v>Mollusca</v>
          </cell>
          <cell r="D3810" t="str">
            <v>Pisidium supinum</v>
          </cell>
          <cell r="E3810" t="str">
            <v>LC</v>
          </cell>
          <cell r="F3810" t="str">
            <v>Seddon et al., 2014</v>
          </cell>
          <cell r="G3810" t="str">
            <v>NHMSYS0021342699</v>
          </cell>
          <cell r="H3810" t="str">
            <v>Pisidium supinum</v>
          </cell>
        </row>
        <row r="3811">
          <cell r="A3811" t="str">
            <v>Pisidium tenuilineatum</v>
          </cell>
          <cell r="B3811" t="str">
            <v>Molluscs (non-marine)</v>
          </cell>
          <cell r="C3811" t="str">
            <v>Mollusca</v>
          </cell>
          <cell r="D3811" t="str">
            <v>Pisidium tenuilineatum</v>
          </cell>
          <cell r="E3811" t="str">
            <v>LC</v>
          </cell>
          <cell r="F3811" t="str">
            <v>Seddon et al., 2014</v>
          </cell>
          <cell r="G3811" t="str">
            <v>NHMSYS0021342709</v>
          </cell>
          <cell r="H3811" t="str">
            <v>Pisidium tenuilineatum</v>
          </cell>
        </row>
        <row r="3812">
          <cell r="A3812" t="str">
            <v>Planorbarius corneus</v>
          </cell>
          <cell r="B3812" t="str">
            <v>Molluscs (non-marine)</v>
          </cell>
          <cell r="C3812" t="str">
            <v>Mollusca</v>
          </cell>
          <cell r="D3812" t="str">
            <v>Planorbarius corneus</v>
          </cell>
          <cell r="E3812" t="str">
            <v>LC</v>
          </cell>
          <cell r="F3812" t="str">
            <v>Seddon et al., 2014</v>
          </cell>
          <cell r="G3812" t="str">
            <v>NHMSYS0001702166</v>
          </cell>
          <cell r="H3812" t="str">
            <v>Planorbarius corneus</v>
          </cell>
        </row>
        <row r="3813">
          <cell r="A3813" t="str">
            <v>Planorbis carinatus</v>
          </cell>
          <cell r="B3813" t="str">
            <v>Molluscs (non-marine)</v>
          </cell>
          <cell r="C3813" t="str">
            <v>Mollusca</v>
          </cell>
          <cell r="D3813" t="str">
            <v>Planorbis carinatus</v>
          </cell>
          <cell r="E3813" t="str">
            <v>LC</v>
          </cell>
          <cell r="F3813" t="str">
            <v>Seddon et al., 2014</v>
          </cell>
          <cell r="G3813" t="str">
            <v>NHMSYS0020528265</v>
          </cell>
          <cell r="H3813" t="str">
            <v>Planorbis carinatus</v>
          </cell>
        </row>
        <row r="3814">
          <cell r="A3814" t="str">
            <v>Planorbis planorbis</v>
          </cell>
          <cell r="B3814" t="str">
            <v>Molluscs (non-marine)</v>
          </cell>
          <cell r="C3814" t="str">
            <v>Mollusca</v>
          </cell>
          <cell r="D3814" t="str">
            <v>Planorbis planorbis</v>
          </cell>
          <cell r="E3814" t="str">
            <v>LC</v>
          </cell>
          <cell r="F3814" t="str">
            <v>Seddon et al., 2014</v>
          </cell>
          <cell r="G3814" t="str">
            <v>NHMSYS0001702171</v>
          </cell>
          <cell r="H3814" t="str">
            <v>Planorbis planorbis</v>
          </cell>
        </row>
        <row r="3815">
          <cell r="A3815" t="str">
            <v>Pomatias elegans</v>
          </cell>
          <cell r="B3815" t="str">
            <v>Molluscs (non-marine)</v>
          </cell>
          <cell r="C3815" t="str">
            <v>Mollusca</v>
          </cell>
          <cell r="D3815" t="str">
            <v>Pomatias elegans</v>
          </cell>
          <cell r="E3815" t="str">
            <v>LC</v>
          </cell>
          <cell r="F3815" t="str">
            <v>Seddon et al., 2014</v>
          </cell>
          <cell r="G3815" t="str">
            <v>NHMSYS0020528268</v>
          </cell>
          <cell r="H3815" t="str">
            <v>Pomatias elegans</v>
          </cell>
        </row>
        <row r="3816">
          <cell r="A3816" t="str">
            <v>Ponentina subvirescens</v>
          </cell>
          <cell r="B3816" t="str">
            <v>Molluscs (non-marine)</v>
          </cell>
          <cell r="C3816" t="str">
            <v>Mollusca</v>
          </cell>
          <cell r="D3816" t="str">
            <v>Ponentina subvirescens</v>
          </cell>
          <cell r="E3816" t="str">
            <v>LC</v>
          </cell>
          <cell r="F3816" t="str">
            <v>Seddon et al., 2014</v>
          </cell>
          <cell r="G3816" t="str">
            <v>NBNSYS0000006768</v>
          </cell>
          <cell r="H3816" t="str">
            <v>Ponentina subvirescens</v>
          </cell>
        </row>
        <row r="3817">
          <cell r="A3817" t="str">
            <v>Pseudanodonta complanata</v>
          </cell>
          <cell r="B3817" t="str">
            <v>Molluscs (non-marine)</v>
          </cell>
          <cell r="C3817" t="str">
            <v>Mollusca</v>
          </cell>
          <cell r="D3817" t="str">
            <v>Pseudanodonta complanata</v>
          </cell>
          <cell r="E3817" t="str">
            <v>LC</v>
          </cell>
          <cell r="F3817" t="str">
            <v>Seddon et al., 2014</v>
          </cell>
          <cell r="G3817" t="str">
            <v>NHMSYS0000336867</v>
          </cell>
          <cell r="H3817" t="str">
            <v>Pseudanodonta complanata</v>
          </cell>
        </row>
        <row r="3818">
          <cell r="A3818" t="str">
            <v>Pseudotrichia rubiginosa</v>
          </cell>
          <cell r="B3818" t="str">
            <v>Molluscs (non-marine)</v>
          </cell>
          <cell r="C3818" t="str">
            <v>Mollusca</v>
          </cell>
          <cell r="D3818" t="str">
            <v>Pseudotrichia rubiginosa</v>
          </cell>
          <cell r="E3818" t="str">
            <v>NT</v>
          </cell>
          <cell r="F3818" t="str">
            <v>Seddon et al., 2014</v>
          </cell>
          <cell r="G3818" t="str">
            <v>NHMSYS0001702184</v>
          </cell>
          <cell r="H3818" t="str">
            <v>Pseudotrichia rubiginosa</v>
          </cell>
        </row>
        <row r="3819">
          <cell r="A3819" t="str">
            <v>Punctum pusillum</v>
          </cell>
          <cell r="B3819" t="str">
            <v>Molluscs (non-marine)</v>
          </cell>
          <cell r="C3819" t="str">
            <v>Mollusca</v>
          </cell>
          <cell r="D3819" t="str">
            <v>Punctum pusillum</v>
          </cell>
          <cell r="E3819" t="str">
            <v>LC</v>
          </cell>
          <cell r="F3819" t="str">
            <v>Seddon et al., 2014</v>
          </cell>
          <cell r="G3819" t="str">
            <v>NHMSYS0001702150</v>
          </cell>
          <cell r="H3819" t="str">
            <v>Punctum pusillum</v>
          </cell>
        </row>
        <row r="3820">
          <cell r="A3820" t="str">
            <v>Pupilla muscorum</v>
          </cell>
          <cell r="B3820" t="str">
            <v>Molluscs (non-marine)</v>
          </cell>
          <cell r="C3820" t="str">
            <v>Mollusca</v>
          </cell>
          <cell r="D3820" t="str">
            <v>Pupilla muscorum</v>
          </cell>
          <cell r="E3820" t="str">
            <v>LC</v>
          </cell>
          <cell r="F3820" t="str">
            <v>Seddon et al., 2014</v>
          </cell>
          <cell r="G3820" t="str">
            <v>NHMSYS0001702192</v>
          </cell>
          <cell r="H3820" t="str">
            <v>Pupilla muscorum</v>
          </cell>
        </row>
        <row r="3821">
          <cell r="A3821" t="str">
            <v>Pyramidula pusilla</v>
          </cell>
          <cell r="B3821" t="str">
            <v>Molluscs (non-marine)</v>
          </cell>
          <cell r="C3821" t="str">
            <v>Mollusca</v>
          </cell>
          <cell r="D3821" t="str">
            <v>Pyramidula pusilla</v>
          </cell>
          <cell r="E3821" t="str">
            <v>LC</v>
          </cell>
          <cell r="F3821" t="str">
            <v>Seddon et al., 2014</v>
          </cell>
          <cell r="G3821" t="str">
            <v>NHMSYS0021342614</v>
          </cell>
          <cell r="H3821" t="str">
            <v>Pyramidula pusilla</v>
          </cell>
        </row>
        <row r="3822">
          <cell r="A3822" t="str">
            <v>Quickella arenaria</v>
          </cell>
          <cell r="B3822" t="str">
            <v>Molluscs (non-marine)</v>
          </cell>
          <cell r="C3822" t="str">
            <v>Mollusca</v>
          </cell>
          <cell r="D3822" t="str">
            <v>Quickella arenaria</v>
          </cell>
          <cell r="E3822" t="str">
            <v>VU</v>
          </cell>
          <cell r="F3822" t="str">
            <v>Seddon et al., 2014</v>
          </cell>
          <cell r="G3822" t="str">
            <v>NHMSYS0001702198</v>
          </cell>
          <cell r="H3822" t="str">
            <v>Quickella arenaria</v>
          </cell>
        </row>
        <row r="3823">
          <cell r="A3823" t="str">
            <v>Radix auricularia</v>
          </cell>
          <cell r="B3823" t="str">
            <v>Molluscs (non-marine)</v>
          </cell>
          <cell r="C3823" t="str">
            <v>Mollusca</v>
          </cell>
          <cell r="D3823" t="str">
            <v>Radix auricularia</v>
          </cell>
          <cell r="E3823" t="str">
            <v>LC</v>
          </cell>
          <cell r="F3823" t="str">
            <v>Seddon et al., 2014</v>
          </cell>
          <cell r="G3823" t="str">
            <v>NHMSYS0001702200</v>
          </cell>
          <cell r="H3823" t="str">
            <v>Radix auricularia</v>
          </cell>
        </row>
        <row r="3824">
          <cell r="A3824" t="str">
            <v>Radix balthica</v>
          </cell>
          <cell r="B3824" t="str">
            <v>Molluscs (non-marine)</v>
          </cell>
          <cell r="C3824" t="str">
            <v>Mollusca</v>
          </cell>
          <cell r="D3824" t="str">
            <v>Radix balthica</v>
          </cell>
          <cell r="E3824" t="str">
            <v>LC</v>
          </cell>
          <cell r="F3824" t="str">
            <v>Seddon et al., 2014</v>
          </cell>
          <cell r="G3824" t="str">
            <v>NHMSYS0021342749</v>
          </cell>
          <cell r="H3824" t="str">
            <v>Radix balthica</v>
          </cell>
        </row>
        <row r="3825">
          <cell r="A3825" t="str">
            <v>Segmentina nitida</v>
          </cell>
          <cell r="B3825" t="str">
            <v>Molluscs (non-marine)</v>
          </cell>
          <cell r="C3825" t="str">
            <v>Mollusca</v>
          </cell>
          <cell r="D3825" t="str">
            <v>Segmentina nitida</v>
          </cell>
          <cell r="E3825" t="str">
            <v>LC</v>
          </cell>
          <cell r="F3825" t="str">
            <v>Seddon et al., 2014</v>
          </cell>
          <cell r="G3825" t="str">
            <v>NHMSYS0020528277</v>
          </cell>
          <cell r="H3825" t="str">
            <v>Segmentina nitida</v>
          </cell>
        </row>
        <row r="3826">
          <cell r="A3826" t="str">
            <v>Spermodea lamellata</v>
          </cell>
          <cell r="B3826" t="str">
            <v>Molluscs (non-marine)</v>
          </cell>
          <cell r="C3826" t="str">
            <v>Mollusca</v>
          </cell>
          <cell r="D3826" t="str">
            <v>Spermodea lamellata</v>
          </cell>
          <cell r="E3826" t="str">
            <v>LC</v>
          </cell>
          <cell r="F3826" t="str">
            <v>Seddon et al., 2014</v>
          </cell>
          <cell r="G3826" t="str">
            <v>NHMSYS0000343190</v>
          </cell>
          <cell r="H3826" t="str">
            <v>Spermodea lamellata</v>
          </cell>
        </row>
        <row r="3827">
          <cell r="A3827" t="str">
            <v>Sphaerium corneum</v>
          </cell>
          <cell r="B3827" t="str">
            <v>Molluscs (non-marine)</v>
          </cell>
          <cell r="C3827" t="str">
            <v>Mollusca</v>
          </cell>
          <cell r="D3827" t="str">
            <v>Sphaerium corneum</v>
          </cell>
          <cell r="E3827" t="str">
            <v>LC</v>
          </cell>
          <cell r="F3827" t="str">
            <v>Seddon et al., 2014</v>
          </cell>
          <cell r="G3827" t="str">
            <v>NBNSYS0000006786</v>
          </cell>
          <cell r="H3827" t="str">
            <v>Sphaerium corneum</v>
          </cell>
        </row>
        <row r="3828">
          <cell r="A3828" t="str">
            <v>Sphaerium rivicola</v>
          </cell>
          <cell r="B3828" t="str">
            <v>Molluscs (non-marine)</v>
          </cell>
          <cell r="C3828" t="str">
            <v>Mollusca</v>
          </cell>
          <cell r="D3828" t="str">
            <v>Sphaerium rivicola</v>
          </cell>
          <cell r="E3828" t="str">
            <v>LC</v>
          </cell>
          <cell r="F3828" t="str">
            <v>Seddon et al., 2014</v>
          </cell>
          <cell r="G3828" t="str">
            <v>NBNSYS0000006787</v>
          </cell>
          <cell r="H3828" t="str">
            <v>Sphaerium rivicola</v>
          </cell>
        </row>
        <row r="3829">
          <cell r="A3829" t="str">
            <v>Sphaerium solidum</v>
          </cell>
          <cell r="B3829" t="str">
            <v>Molluscs (non-marine)</v>
          </cell>
          <cell r="C3829" t="str">
            <v>Mollusca</v>
          </cell>
          <cell r="D3829" t="str">
            <v>Sphaerium solidum</v>
          </cell>
          <cell r="E3829" t="str">
            <v>CR</v>
          </cell>
          <cell r="F3829" t="str">
            <v>Seddon et al., 2014</v>
          </cell>
          <cell r="G3829" t="str">
            <v>NBNSYS0000006788</v>
          </cell>
          <cell r="H3829" t="str">
            <v>Sphaerium solidum</v>
          </cell>
        </row>
        <row r="3830">
          <cell r="A3830" t="str">
            <v>Stagnicola fuscus</v>
          </cell>
          <cell r="B3830" t="str">
            <v>Molluscs (non-marine)</v>
          </cell>
          <cell r="C3830" t="str">
            <v>Mollusca</v>
          </cell>
          <cell r="D3830" t="str">
            <v>Stagnicola fuscus</v>
          </cell>
          <cell r="E3830" t="str">
            <v>LC</v>
          </cell>
          <cell r="F3830" t="str">
            <v>Seddon et al., 2014</v>
          </cell>
          <cell r="G3830" t="str">
            <v>NHMSYS0021233277</v>
          </cell>
          <cell r="H3830" t="str">
            <v>Stagnicola fuscus</v>
          </cell>
        </row>
        <row r="3831">
          <cell r="A3831" t="str">
            <v>Succinea putris</v>
          </cell>
          <cell r="B3831" t="str">
            <v>Molluscs (non-marine)</v>
          </cell>
          <cell r="C3831" t="str">
            <v>Mollusca</v>
          </cell>
          <cell r="D3831" t="str">
            <v>Succinea putris</v>
          </cell>
          <cell r="E3831" t="str">
            <v>LC</v>
          </cell>
          <cell r="F3831" t="str">
            <v>Seddon et al., 2014</v>
          </cell>
          <cell r="G3831" t="str">
            <v>NHMSYS0001702223</v>
          </cell>
          <cell r="H3831" t="str">
            <v>Succinea putris</v>
          </cell>
        </row>
        <row r="3832">
          <cell r="A3832" t="str">
            <v>Succinella oblonga</v>
          </cell>
          <cell r="B3832" t="str">
            <v>Molluscs (non-marine)</v>
          </cell>
          <cell r="C3832" t="str">
            <v>Mollusca</v>
          </cell>
          <cell r="D3832" t="str">
            <v>Succinella oblonga</v>
          </cell>
          <cell r="E3832" t="str">
            <v>VU</v>
          </cell>
          <cell r="F3832" t="str">
            <v>Seddon et al., 2014</v>
          </cell>
          <cell r="G3832" t="str">
            <v>NHMSYS0020528289</v>
          </cell>
          <cell r="H3832" t="str">
            <v>Succinella oblonga</v>
          </cell>
        </row>
        <row r="3833">
          <cell r="A3833" t="str">
            <v>Tandonia budapestensis</v>
          </cell>
          <cell r="B3833" t="str">
            <v>Molluscs (non-marine)</v>
          </cell>
          <cell r="C3833" t="str">
            <v>Mollusca</v>
          </cell>
          <cell r="D3833" t="str">
            <v>Tandonia budapestensis</v>
          </cell>
          <cell r="E3833" t="str">
            <v>LC</v>
          </cell>
          <cell r="F3833" t="str">
            <v>Seddon et al., 2014</v>
          </cell>
          <cell r="G3833" t="str">
            <v>NHMSYS0020528290</v>
          </cell>
          <cell r="H3833" t="str">
            <v>Tandonia budapestensis</v>
          </cell>
        </row>
        <row r="3834">
          <cell r="A3834" t="str">
            <v>Tandonia sowerbyi</v>
          </cell>
          <cell r="B3834" t="str">
            <v>Molluscs (non-marine)</v>
          </cell>
          <cell r="C3834" t="str">
            <v>Mollusca</v>
          </cell>
          <cell r="D3834" t="str">
            <v>Tandonia sowerbyi</v>
          </cell>
          <cell r="E3834" t="str">
            <v>LC</v>
          </cell>
          <cell r="F3834" t="str">
            <v>Seddon et al., 2014</v>
          </cell>
          <cell r="G3834" t="str">
            <v>NHMSYS0020528291</v>
          </cell>
          <cell r="H3834" t="str">
            <v>Tandonia sowerbyi</v>
          </cell>
        </row>
        <row r="3835">
          <cell r="A3835" t="str">
            <v>Testacella haliotidea</v>
          </cell>
          <cell r="B3835" t="str">
            <v>Molluscs (non-marine)</v>
          </cell>
          <cell r="C3835" t="str">
            <v>Mollusca</v>
          </cell>
          <cell r="D3835" t="str">
            <v>Testacella haliotidea</v>
          </cell>
          <cell r="E3835" t="str">
            <v>LC</v>
          </cell>
          <cell r="F3835" t="str">
            <v>Seddon et al., 2014</v>
          </cell>
          <cell r="G3835" t="str">
            <v>NHMSYS0001702230</v>
          </cell>
          <cell r="H3835" t="str">
            <v>Testacella haliotidea</v>
          </cell>
        </row>
        <row r="3836">
          <cell r="A3836" t="str">
            <v>Testacella maugei</v>
          </cell>
          <cell r="B3836" t="str">
            <v>Molluscs (non-marine)</v>
          </cell>
          <cell r="C3836" t="str">
            <v>Mollusca</v>
          </cell>
          <cell r="D3836" t="str">
            <v>Testacella maugei</v>
          </cell>
          <cell r="E3836" t="str">
            <v>LC</v>
          </cell>
          <cell r="F3836" t="str">
            <v>Seddon et al., 2014</v>
          </cell>
          <cell r="G3836" t="str">
            <v>NHMSYS0020528292</v>
          </cell>
          <cell r="H3836" t="str">
            <v>Testacella maugei</v>
          </cell>
        </row>
        <row r="3837">
          <cell r="A3837" t="str">
            <v>Theodoxus fluviatilis</v>
          </cell>
          <cell r="B3837" t="str">
            <v>Molluscs (non-marine)</v>
          </cell>
          <cell r="C3837" t="str">
            <v>Mollusca</v>
          </cell>
          <cell r="D3837" t="str">
            <v>Theodoxus fluviatilis</v>
          </cell>
          <cell r="E3837" t="str">
            <v>LC</v>
          </cell>
          <cell r="F3837" t="str">
            <v>Seddon et al., 2014</v>
          </cell>
          <cell r="G3837" t="str">
            <v>NBNSYS0000006601</v>
          </cell>
          <cell r="H3837" t="str">
            <v>Theodoxus fluviatilis</v>
          </cell>
        </row>
        <row r="3838">
          <cell r="A3838" t="str">
            <v>Trochulus hispidus</v>
          </cell>
          <cell r="B3838" t="str">
            <v>Molluscs (non-marine)</v>
          </cell>
          <cell r="C3838" t="str">
            <v>Mollusca</v>
          </cell>
          <cell r="D3838" t="str">
            <v>Trochulus hispidus</v>
          </cell>
          <cell r="E3838" t="str">
            <v>LC</v>
          </cell>
          <cell r="F3838" t="str">
            <v>Seddon et al., 2014</v>
          </cell>
          <cell r="G3838" t="str">
            <v>NHMSYS0020826431</v>
          </cell>
          <cell r="H3838" t="str">
            <v>Trochulus hispidus</v>
          </cell>
        </row>
        <row r="3839">
          <cell r="A3839" t="str">
            <v>Trochulus sericeus</v>
          </cell>
          <cell r="B3839" t="str">
            <v>Molluscs (non-marine)</v>
          </cell>
          <cell r="C3839" t="str">
            <v>Mollusca</v>
          </cell>
          <cell r="D3839" t="str">
            <v>Trochulus sericeus</v>
          </cell>
          <cell r="E3839" t="str">
            <v>LC</v>
          </cell>
          <cell r="F3839" t="str">
            <v>Seddon et al., 2014</v>
          </cell>
          <cell r="G3839" t="str">
            <v>NHMSYS0001702243</v>
          </cell>
          <cell r="H3839" t="str">
            <v>Trochulus sericeus</v>
          </cell>
        </row>
        <row r="3840">
          <cell r="A3840" t="str">
            <v>Trochulus striolatus</v>
          </cell>
          <cell r="B3840" t="str">
            <v>Molluscs (non-marine)</v>
          </cell>
          <cell r="C3840" t="str">
            <v>Mollusca</v>
          </cell>
          <cell r="D3840" t="str">
            <v>Trochulus striolatus</v>
          </cell>
          <cell r="E3840" t="str">
            <v>LC</v>
          </cell>
          <cell r="F3840" t="str">
            <v>Seddon et al., 2014</v>
          </cell>
          <cell r="G3840" t="str">
            <v>NHMSYS0001702244</v>
          </cell>
          <cell r="H3840" t="str">
            <v>Trochulus striolatus</v>
          </cell>
        </row>
        <row r="3841">
          <cell r="A3841" t="str">
            <v>Truncatella subcylindrica</v>
          </cell>
          <cell r="B3841" t="str">
            <v>Molluscs (non-marine)</v>
          </cell>
          <cell r="C3841" t="str">
            <v>Mollusca</v>
          </cell>
          <cell r="D3841" t="str">
            <v>Truncatella subcylindrica</v>
          </cell>
          <cell r="E3841" t="str">
            <v>NT</v>
          </cell>
          <cell r="F3841" t="str">
            <v>Seddon et al., 2014</v>
          </cell>
          <cell r="G3841" t="str">
            <v>NBNSYS0000022324</v>
          </cell>
          <cell r="H3841" t="str">
            <v>Truncatella subcylindrica</v>
          </cell>
        </row>
        <row r="3842">
          <cell r="A3842" t="str">
            <v>Truncatellina callicratis</v>
          </cell>
          <cell r="B3842" t="str">
            <v>Molluscs (non-marine)</v>
          </cell>
          <cell r="C3842" t="str">
            <v>Mollusca</v>
          </cell>
          <cell r="D3842" t="str">
            <v>Truncatellina callicratis</v>
          </cell>
          <cell r="E3842" t="str">
            <v>NT</v>
          </cell>
          <cell r="F3842" t="str">
            <v>Seddon et al., 2014</v>
          </cell>
          <cell r="G3842" t="str">
            <v>NBNSYS0000006666</v>
          </cell>
          <cell r="H3842" t="str">
            <v>Truncatellina callicratis</v>
          </cell>
        </row>
        <row r="3843">
          <cell r="A3843" t="str">
            <v>Truncatellina cylindrica</v>
          </cell>
          <cell r="B3843" t="str">
            <v>Molluscs (non-marine)</v>
          </cell>
          <cell r="C3843" t="str">
            <v>Mollusca</v>
          </cell>
          <cell r="D3843" t="str">
            <v>Truncatellina cylindrica</v>
          </cell>
          <cell r="E3843" t="str">
            <v>EN</v>
          </cell>
          <cell r="F3843" t="str">
            <v>Seddon et al., 2014</v>
          </cell>
          <cell r="G3843" t="str">
            <v>NHMSYS0020528301</v>
          </cell>
          <cell r="H3843" t="str">
            <v>Truncatellina cylindrica</v>
          </cell>
        </row>
        <row r="3844">
          <cell r="A3844" t="str">
            <v>Unio pictorum</v>
          </cell>
          <cell r="B3844" t="str">
            <v>Molluscs (non-marine)</v>
          </cell>
          <cell r="C3844" t="str">
            <v>Mollusca</v>
          </cell>
          <cell r="D3844" t="str">
            <v>Unio pictorum</v>
          </cell>
          <cell r="E3844" t="str">
            <v>LC</v>
          </cell>
          <cell r="F3844" t="str">
            <v>Seddon et al., 2014</v>
          </cell>
          <cell r="G3844" t="str">
            <v>NHMSYS0001702250</v>
          </cell>
          <cell r="H3844" t="str">
            <v>Unio pictorum</v>
          </cell>
        </row>
        <row r="3845">
          <cell r="A3845" t="str">
            <v>Unio tumidus</v>
          </cell>
          <cell r="B3845" t="str">
            <v>Molluscs (non-marine)</v>
          </cell>
          <cell r="C3845" t="str">
            <v>Mollusca</v>
          </cell>
          <cell r="D3845" t="str">
            <v>Unio tumidus</v>
          </cell>
          <cell r="E3845" t="str">
            <v>LC</v>
          </cell>
          <cell r="F3845" t="str">
            <v>Seddon et al., 2014</v>
          </cell>
          <cell r="G3845" t="str">
            <v>NHMSYS0020528302</v>
          </cell>
          <cell r="H3845" t="str">
            <v>Unio tumidus</v>
          </cell>
        </row>
        <row r="3846">
          <cell r="A3846" t="str">
            <v>Vallonia costata</v>
          </cell>
          <cell r="B3846" t="str">
            <v>Molluscs (non-marine)</v>
          </cell>
          <cell r="C3846" t="str">
            <v>Mollusca</v>
          </cell>
          <cell r="D3846" t="str">
            <v>Vallonia costata</v>
          </cell>
          <cell r="E3846" t="str">
            <v>LC</v>
          </cell>
          <cell r="F3846" t="str">
            <v>Seddon et al., 2014</v>
          </cell>
          <cell r="G3846" t="str">
            <v>NHMSYS0020528303</v>
          </cell>
          <cell r="H3846" t="str">
            <v>Vallonia costata</v>
          </cell>
        </row>
        <row r="3847">
          <cell r="A3847" t="str">
            <v>Vallonia excentrica</v>
          </cell>
          <cell r="B3847" t="str">
            <v>Molluscs (non-marine)</v>
          </cell>
          <cell r="C3847" t="str">
            <v>Mollusca</v>
          </cell>
          <cell r="D3847" t="str">
            <v>Vallonia excentrica</v>
          </cell>
          <cell r="E3847" t="str">
            <v>LC</v>
          </cell>
          <cell r="F3847" t="str">
            <v>Seddon et al., 2014</v>
          </cell>
          <cell r="G3847" t="str">
            <v>NHMSYS0001702255</v>
          </cell>
          <cell r="H3847" t="str">
            <v>Vallonia excentrica</v>
          </cell>
        </row>
        <row r="3848">
          <cell r="A3848" t="str">
            <v>Vallonia pulchella </v>
          </cell>
          <cell r="B3848" t="str">
            <v>Molluscs (non-marine)</v>
          </cell>
          <cell r="C3848" t="str">
            <v>Mollusca</v>
          </cell>
          <cell r="D3848" t="str">
            <v>Vallonia pulchella</v>
          </cell>
          <cell r="E3848" t="str">
            <v>LC</v>
          </cell>
          <cell r="F3848" t="str">
            <v>Seddon et al., 2014</v>
          </cell>
          <cell r="G3848" t="str">
            <v>NHMSYS0020528304</v>
          </cell>
          <cell r="H3848" t="str">
            <v>Vallonia pulchella </v>
          </cell>
        </row>
        <row r="3849">
          <cell r="A3849" t="str">
            <v>Valvata cristata</v>
          </cell>
          <cell r="B3849" t="str">
            <v>Molluscs (non-marine)</v>
          </cell>
          <cell r="C3849" t="str">
            <v>Mollusca</v>
          </cell>
          <cell r="D3849" t="str">
            <v>Valvata cristata</v>
          </cell>
          <cell r="E3849" t="str">
            <v>LC</v>
          </cell>
          <cell r="F3849" t="str">
            <v>Seddon et al., 2014</v>
          </cell>
          <cell r="G3849" t="str">
            <v>NHMSYS0021055991</v>
          </cell>
          <cell r="H3849" t="str">
            <v>Valvata cristata</v>
          </cell>
        </row>
        <row r="3850">
          <cell r="A3850" t="str">
            <v>Valvata macrostoma</v>
          </cell>
          <cell r="B3850" t="str">
            <v>Molluscs (non-marine)</v>
          </cell>
          <cell r="C3850" t="str">
            <v>Mollusca</v>
          </cell>
          <cell r="D3850" t="str">
            <v>Valvata macrostoma</v>
          </cell>
          <cell r="E3850" t="str">
            <v>VU</v>
          </cell>
          <cell r="F3850" t="str">
            <v>Seddon et al., 2014</v>
          </cell>
          <cell r="G3850" t="str">
            <v>NHMSYS0021055992</v>
          </cell>
          <cell r="H3850" t="str">
            <v>Valvata macrostoma</v>
          </cell>
        </row>
        <row r="3851">
          <cell r="A3851" t="str">
            <v>Valvata piscinalis</v>
          </cell>
          <cell r="B3851" t="str">
            <v>Molluscs (non-marine)</v>
          </cell>
          <cell r="C3851" t="str">
            <v>Mollusca</v>
          </cell>
          <cell r="D3851" t="str">
            <v>Valvata piscinalis</v>
          </cell>
          <cell r="E3851" t="str">
            <v>LC</v>
          </cell>
          <cell r="F3851" t="str">
            <v>Seddon et al., 2014</v>
          </cell>
          <cell r="G3851" t="str">
            <v>NHMSYS0021055993</v>
          </cell>
          <cell r="H3851" t="str">
            <v>Valvata piscinalis</v>
          </cell>
        </row>
        <row r="3852">
          <cell r="A3852" t="str">
            <v>Ventrosia ventrosa</v>
          </cell>
          <cell r="B3852" t="str">
            <v>Molluscs (non-marine)</v>
          </cell>
          <cell r="C3852" t="str">
            <v>Mollusca</v>
          </cell>
          <cell r="D3852" t="str">
            <v>Ventrosia ventrosa</v>
          </cell>
          <cell r="E3852" t="str">
            <v>LC</v>
          </cell>
          <cell r="F3852" t="str">
            <v>Seddon et al., 2014</v>
          </cell>
          <cell r="G3852" t="str">
            <v>NHMSYS0021055595</v>
          </cell>
          <cell r="H3852" t="str">
            <v>Ventrosia ventrosa</v>
          </cell>
        </row>
        <row r="3853">
          <cell r="A3853" t="str">
            <v>Vertigo alpestris</v>
          </cell>
          <cell r="B3853" t="str">
            <v>Molluscs (non-marine)</v>
          </cell>
          <cell r="C3853" t="str">
            <v>Mollusca</v>
          </cell>
          <cell r="D3853" t="str">
            <v>Vertigo alpestris</v>
          </cell>
          <cell r="E3853" t="str">
            <v>LC</v>
          </cell>
          <cell r="F3853" t="str">
            <v>Seddon et al., 2014</v>
          </cell>
          <cell r="G3853" t="str">
            <v>NHMSYS0020528315</v>
          </cell>
          <cell r="H3853" t="str">
            <v>Vertigo alpestris</v>
          </cell>
        </row>
        <row r="3854">
          <cell r="A3854" t="str">
            <v>Vertigo angustior</v>
          </cell>
          <cell r="B3854" t="str">
            <v>Molluscs (non-marine)</v>
          </cell>
          <cell r="C3854" t="str">
            <v>Mollusca</v>
          </cell>
          <cell r="D3854" t="str">
            <v>Vertigo angustior</v>
          </cell>
          <cell r="E3854" t="str">
            <v>VU</v>
          </cell>
          <cell r="F3854" t="str">
            <v>Seddon et al., 2014</v>
          </cell>
          <cell r="G3854" t="str">
            <v>NHMSYS0001702280</v>
          </cell>
          <cell r="H3854" t="str">
            <v>Vertigo angustior</v>
          </cell>
        </row>
        <row r="3855">
          <cell r="A3855" t="str">
            <v>Vertigo antivertigo</v>
          </cell>
          <cell r="B3855" t="str">
            <v>Molluscs (non-marine)</v>
          </cell>
          <cell r="C3855" t="str">
            <v>Mollusca</v>
          </cell>
          <cell r="D3855" t="str">
            <v>Vertigo antivertigo</v>
          </cell>
          <cell r="E3855" t="str">
            <v>LC</v>
          </cell>
          <cell r="F3855" t="str">
            <v>Seddon et al., 2014</v>
          </cell>
          <cell r="G3855" t="str">
            <v>NHMSYS0001702270</v>
          </cell>
          <cell r="H3855" t="str">
            <v>Vertigo antivertigo</v>
          </cell>
        </row>
        <row r="3856">
          <cell r="A3856" t="str">
            <v>Vertigo genesii</v>
          </cell>
          <cell r="B3856" t="str">
            <v>Molluscs (non-marine)</v>
          </cell>
          <cell r="C3856" t="str">
            <v>Mollusca</v>
          </cell>
          <cell r="D3856" t="str">
            <v>Vertigo genesii</v>
          </cell>
          <cell r="E3856" t="str">
            <v>NT</v>
          </cell>
          <cell r="F3856" t="str">
            <v>Seddon et al., 2014</v>
          </cell>
          <cell r="G3856" t="str">
            <v>NHMSYS0001702271</v>
          </cell>
          <cell r="H3856" t="str">
            <v>Vertigo genesii</v>
          </cell>
        </row>
        <row r="3857">
          <cell r="A3857" t="str">
            <v>Vertigo geyeri</v>
          </cell>
          <cell r="B3857" t="str">
            <v>Molluscs (non-marine)</v>
          </cell>
          <cell r="C3857" t="str">
            <v>Mollusca</v>
          </cell>
          <cell r="D3857" t="str">
            <v>Vertigo geyeri</v>
          </cell>
          <cell r="E3857" t="str">
            <v>NT</v>
          </cell>
          <cell r="F3857" t="str">
            <v>Seddon et al., 2014</v>
          </cell>
          <cell r="G3857" t="str">
            <v>NHMSYS0001702272</v>
          </cell>
          <cell r="H3857" t="str">
            <v>Vertigo geyeri</v>
          </cell>
        </row>
        <row r="3858">
          <cell r="A3858" t="str">
            <v>Vertigo lilljeborgi</v>
          </cell>
          <cell r="B3858" t="str">
            <v>Molluscs (non-marine)</v>
          </cell>
          <cell r="C3858" t="str">
            <v>Mollusca</v>
          </cell>
          <cell r="D3858" t="str">
            <v>Vertigo lilljeborgi</v>
          </cell>
          <cell r="E3858" t="str">
            <v>NT</v>
          </cell>
          <cell r="F3858" t="str">
            <v>Seddon et al., 2014</v>
          </cell>
          <cell r="G3858" t="str">
            <v>NHMSYS0001702273</v>
          </cell>
          <cell r="H3858" t="str">
            <v>Vertigo lilljeborgi</v>
          </cell>
        </row>
        <row r="3859">
          <cell r="A3859" t="str">
            <v>Vertigo moulinsiana</v>
          </cell>
          <cell r="B3859" t="str">
            <v>Molluscs (non-marine)</v>
          </cell>
          <cell r="C3859" t="str">
            <v>Mollusca</v>
          </cell>
          <cell r="D3859" t="str">
            <v>Vertigo moulinsiana</v>
          </cell>
          <cell r="E3859" t="str">
            <v>VU</v>
          </cell>
          <cell r="F3859" t="str">
            <v>Seddon et al., 2014</v>
          </cell>
          <cell r="G3859" t="str">
            <v>NHMSYS0001702275</v>
          </cell>
          <cell r="H3859" t="str">
            <v>Vertigo moulinsiana</v>
          </cell>
        </row>
        <row r="3860">
          <cell r="A3860" t="str">
            <v>Vertigo pusilla</v>
          </cell>
          <cell r="B3860" t="str">
            <v>Molluscs (non-marine)</v>
          </cell>
          <cell r="C3860" t="str">
            <v>Mollusca</v>
          </cell>
          <cell r="D3860" t="str">
            <v>Vertigo pusilla</v>
          </cell>
          <cell r="E3860" t="str">
            <v>LC</v>
          </cell>
          <cell r="F3860" t="str">
            <v>Seddon et al., 2014</v>
          </cell>
          <cell r="G3860" t="str">
            <v>NHMSYS0020528317</v>
          </cell>
          <cell r="H3860" t="str">
            <v>Vertigo pusilla</v>
          </cell>
        </row>
        <row r="3861">
          <cell r="A3861" t="str">
            <v>Vertigo pygmaea</v>
          </cell>
          <cell r="B3861" t="str">
            <v>Molluscs (non-marine)</v>
          </cell>
          <cell r="C3861" t="str">
            <v>Mollusca</v>
          </cell>
          <cell r="D3861" t="str">
            <v>Vertigo pygmaea</v>
          </cell>
          <cell r="E3861" t="str">
            <v>LC</v>
          </cell>
          <cell r="F3861" t="str">
            <v>Seddon et al., 2014</v>
          </cell>
          <cell r="G3861" t="str">
            <v>NHMSYS0001702277</v>
          </cell>
          <cell r="H3861" t="str">
            <v>Vertigo pygmaea</v>
          </cell>
        </row>
        <row r="3862">
          <cell r="A3862" t="str">
            <v>Vertigo substriata</v>
          </cell>
          <cell r="B3862" t="str">
            <v>Molluscs (non-marine)</v>
          </cell>
          <cell r="C3862" t="str">
            <v>Mollusca</v>
          </cell>
          <cell r="D3862" t="str">
            <v>Vertigo substriata</v>
          </cell>
          <cell r="E3862" t="str">
            <v>LC</v>
          </cell>
          <cell r="F3862" t="str">
            <v>Seddon et al., 2014</v>
          </cell>
          <cell r="G3862" t="str">
            <v>NHMSYS0001702278</v>
          </cell>
          <cell r="H3862" t="str">
            <v>Vertigo substriata</v>
          </cell>
        </row>
        <row r="3863">
          <cell r="A3863" t="str">
            <v>Vitrea contracta</v>
          </cell>
          <cell r="B3863" t="str">
            <v>Molluscs (non-marine)</v>
          </cell>
          <cell r="C3863" t="str">
            <v>Mollusca</v>
          </cell>
          <cell r="D3863" t="str">
            <v>Vitrea contracta</v>
          </cell>
          <cell r="E3863" t="str">
            <v>LC</v>
          </cell>
          <cell r="F3863" t="str">
            <v>Seddon et al., 2014</v>
          </cell>
          <cell r="G3863" t="str">
            <v>NBNSYS0000006711</v>
          </cell>
          <cell r="H3863" t="str">
            <v>Vitrea contracta</v>
          </cell>
        </row>
        <row r="3864">
          <cell r="A3864" t="str">
            <v>Vitrea crystallina</v>
          </cell>
          <cell r="B3864" t="str">
            <v>Molluscs (non-marine)</v>
          </cell>
          <cell r="C3864" t="str">
            <v>Mollusca</v>
          </cell>
          <cell r="D3864" t="str">
            <v>Vitrea crystallina</v>
          </cell>
          <cell r="E3864" t="str">
            <v>LC</v>
          </cell>
          <cell r="F3864" t="str">
            <v>Seddon et al., 2014</v>
          </cell>
          <cell r="G3864" t="str">
            <v>NHMSYS0020528319</v>
          </cell>
          <cell r="H3864" t="str">
            <v>Vitrea crystallina</v>
          </cell>
        </row>
        <row r="3865">
          <cell r="A3865" t="str">
            <v>Vitrea subrimata</v>
          </cell>
          <cell r="B3865" t="str">
            <v>Molluscs (non-marine)</v>
          </cell>
          <cell r="C3865" t="str">
            <v>Mollusca</v>
          </cell>
          <cell r="D3865" t="str">
            <v>Vitrea subrimata</v>
          </cell>
          <cell r="E3865" t="str">
            <v>LC</v>
          </cell>
          <cell r="F3865" t="str">
            <v>Seddon et al., 2014</v>
          </cell>
          <cell r="G3865" t="str">
            <v>NBNSYS0000006708</v>
          </cell>
          <cell r="H3865" t="str">
            <v>Vitrea subrimata</v>
          </cell>
        </row>
        <row r="3866">
          <cell r="A3866" t="str">
            <v>Vitrina pellucida</v>
          </cell>
          <cell r="B3866" t="str">
            <v>Molluscs (non-marine)</v>
          </cell>
          <cell r="C3866" t="str">
            <v>Mollusca</v>
          </cell>
          <cell r="D3866" t="str">
            <v>Vitrina pellucida</v>
          </cell>
          <cell r="E3866" t="str">
            <v>LC</v>
          </cell>
          <cell r="F3866" t="str">
            <v>Seddon et al., 2014</v>
          </cell>
          <cell r="G3866" t="str">
            <v>NHMSYS0020528320</v>
          </cell>
          <cell r="H3866" t="str">
            <v>Vitrina pellucida</v>
          </cell>
        </row>
        <row r="3867">
          <cell r="A3867" t="str">
            <v>Viviparus contectus</v>
          </cell>
          <cell r="B3867" t="str">
            <v>Molluscs (non-marine)</v>
          </cell>
          <cell r="C3867" t="str">
            <v>Mollusca</v>
          </cell>
          <cell r="D3867" t="str">
            <v>Viviparus contectus</v>
          </cell>
          <cell r="E3867" t="str">
            <v>LC</v>
          </cell>
          <cell r="F3867" t="str">
            <v>Seddon et al., 2014</v>
          </cell>
          <cell r="G3867" t="str">
            <v>NHMSYS0021055421</v>
          </cell>
          <cell r="H3867" t="str">
            <v>Viviparus contectus</v>
          </cell>
        </row>
        <row r="3868">
          <cell r="A3868" t="str">
            <v>Viviparus viviparus</v>
          </cell>
          <cell r="B3868" t="str">
            <v>Molluscs (non-marine)</v>
          </cell>
          <cell r="C3868" t="str">
            <v>Mollusca</v>
          </cell>
          <cell r="D3868" t="str">
            <v>Viviparus viviparus</v>
          </cell>
          <cell r="E3868" t="str">
            <v>LC</v>
          </cell>
          <cell r="F3868" t="str">
            <v>Seddon et al., 2014</v>
          </cell>
          <cell r="G3868" t="str">
            <v>NHMSYS0001702286</v>
          </cell>
          <cell r="H3868" t="str">
            <v>Viviparus viviparus</v>
          </cell>
        </row>
        <row r="3869">
          <cell r="A3869" t="str">
            <v>Zenobiella subrufescens</v>
          </cell>
          <cell r="B3869" t="str">
            <v>Molluscs (non-marine)</v>
          </cell>
          <cell r="C3869" t="str">
            <v>Mollusca</v>
          </cell>
          <cell r="D3869" t="str">
            <v>Zenobiella subrufescens</v>
          </cell>
          <cell r="E3869" t="str">
            <v>LC</v>
          </cell>
          <cell r="F3869" t="str">
            <v>Seddon et al., 2014</v>
          </cell>
          <cell r="G3869" t="str">
            <v>NHMSYS0021342734</v>
          </cell>
          <cell r="H3869" t="str">
            <v>Zenobiella subrufescens</v>
          </cell>
        </row>
        <row r="3870">
          <cell r="A3870" t="str">
            <v>Zonitoides excavatus</v>
          </cell>
          <cell r="B3870" t="str">
            <v>Molluscs (non-marine)</v>
          </cell>
          <cell r="C3870" t="str">
            <v>Mollusca</v>
          </cell>
          <cell r="D3870" t="str">
            <v>Zonitoides excavatus</v>
          </cell>
          <cell r="E3870" t="str">
            <v>LC</v>
          </cell>
          <cell r="F3870" t="str">
            <v>Seddon et al., 2014</v>
          </cell>
          <cell r="G3870" t="str">
            <v>NHMSYS0020528327</v>
          </cell>
          <cell r="H3870" t="str">
            <v>Zonitoides excavatus</v>
          </cell>
        </row>
        <row r="3871">
          <cell r="A3871" t="str">
            <v>Zonitoides nitidus</v>
          </cell>
          <cell r="B3871" t="str">
            <v>Molluscs (non-marine)</v>
          </cell>
          <cell r="C3871" t="str">
            <v>Mollusca</v>
          </cell>
          <cell r="D3871" t="str">
            <v>Zonitoides nitidus</v>
          </cell>
          <cell r="E3871" t="str">
            <v>LC</v>
          </cell>
          <cell r="F3871" t="str">
            <v>Seddon et al., 2014</v>
          </cell>
          <cell r="G3871" t="str">
            <v>NHMSYS0020528328</v>
          </cell>
          <cell r="H3871" t="str">
            <v>Zonitoides nitidus</v>
          </cell>
        </row>
        <row r="3872">
          <cell r="A3872" t="str">
            <v>Abietinella abietina</v>
          </cell>
          <cell r="B3872" t="str">
            <v>Mosses and liverworts</v>
          </cell>
          <cell r="C3872" t="str">
            <v>Bryophyta</v>
          </cell>
          <cell r="D3872" t="str">
            <v>Abietinella abietina</v>
          </cell>
          <cell r="E3872" t="str">
            <v>LC</v>
          </cell>
          <cell r="F3872" t="str">
            <v>Callaghan, 2022</v>
          </cell>
          <cell r="G3872" t="str">
            <v>NBNSYS0000140834</v>
          </cell>
          <cell r="H3872" t="str">
            <v>Abietinella abietina</v>
          </cell>
        </row>
        <row r="3873">
          <cell r="A3873" t="str">
            <v>Acaulon mediterraneum</v>
          </cell>
          <cell r="B3873" t="str">
            <v>Mosses and liverworts</v>
          </cell>
          <cell r="C3873" t="str">
            <v>Bryophyta</v>
          </cell>
          <cell r="D3873" t="str">
            <v>Acaulon mediterraneum</v>
          </cell>
          <cell r="E3873" t="str">
            <v>LC</v>
          </cell>
          <cell r="F3873" t="str">
            <v>Callaghan, 2022</v>
          </cell>
          <cell r="G3873" t="str">
            <v>NBNSYS0000140867</v>
          </cell>
          <cell r="H3873" t="str">
            <v>Acaulon mediterraneum</v>
          </cell>
        </row>
        <row r="3874">
          <cell r="A3874" t="str">
            <v>Acaulon muticum</v>
          </cell>
          <cell r="B3874" t="str">
            <v>Mosses and liverworts</v>
          </cell>
          <cell r="C3874" t="str">
            <v>Bryophyta</v>
          </cell>
          <cell r="D3874" t="str">
            <v>Acaulon muticum</v>
          </cell>
          <cell r="E3874" t="str">
            <v>LC</v>
          </cell>
          <cell r="F3874" t="str">
            <v>Callaghan, 2022</v>
          </cell>
          <cell r="G3874" t="str">
            <v>NHMSYS0000309284</v>
          </cell>
          <cell r="H3874" t="str">
            <v>Acaulon muticum</v>
          </cell>
        </row>
        <row r="3875">
          <cell r="A3875" t="str">
            <v>Acaulon triquetrum</v>
          </cell>
          <cell r="B3875" t="str">
            <v>Mosses and liverworts</v>
          </cell>
          <cell r="C3875" t="str">
            <v>Bryophyta</v>
          </cell>
          <cell r="D3875" t="str">
            <v>Acaulon triquetrum</v>
          </cell>
          <cell r="E3875" t="str">
            <v>VU</v>
          </cell>
          <cell r="F3875" t="str">
            <v>Callaghan, 2022</v>
          </cell>
          <cell r="G3875" t="str">
            <v>NHMSYS0000309287</v>
          </cell>
          <cell r="H3875" t="str">
            <v>Acaulon triquetrum</v>
          </cell>
        </row>
        <row r="3876">
          <cell r="A3876" t="str">
            <v>Aloina aloides</v>
          </cell>
          <cell r="B3876" t="str">
            <v>Mosses and liverworts</v>
          </cell>
          <cell r="C3876" t="str">
            <v>Bryophyta</v>
          </cell>
          <cell r="D3876" t="str">
            <v>Aloina aloides</v>
          </cell>
          <cell r="E3876" t="str">
            <v>LC</v>
          </cell>
          <cell r="F3876" t="str">
            <v>Callaghan, 2022</v>
          </cell>
          <cell r="G3876" t="str">
            <v>NBNSYS0000036328</v>
          </cell>
          <cell r="H3876" t="str">
            <v>Aloina aloides</v>
          </cell>
        </row>
        <row r="3877">
          <cell r="A3877" t="str">
            <v>Aloina ambigua</v>
          </cell>
          <cell r="B3877" t="str">
            <v>Mosses and liverworts</v>
          </cell>
          <cell r="C3877" t="str">
            <v>Bryophyta</v>
          </cell>
          <cell r="D3877" t="str">
            <v>Aloina ambigua</v>
          </cell>
          <cell r="E3877" t="str">
            <v>LC</v>
          </cell>
          <cell r="F3877" t="str">
            <v>Callaghan, 2022</v>
          </cell>
          <cell r="G3877" t="str">
            <v>NHMSYS0000309305</v>
          </cell>
          <cell r="H3877" t="str">
            <v>Aloina ambigua</v>
          </cell>
        </row>
        <row r="3878">
          <cell r="A3878" t="str">
            <v>Aloina brevirostris</v>
          </cell>
          <cell r="B3878" t="str">
            <v>Mosses and liverworts</v>
          </cell>
          <cell r="C3878" t="str">
            <v>Bryophyta</v>
          </cell>
          <cell r="D3878" t="str">
            <v>Aloina brevirostris</v>
          </cell>
          <cell r="E3878" t="str">
            <v>LC</v>
          </cell>
          <cell r="F3878" t="str">
            <v>Callaghan, 2022</v>
          </cell>
          <cell r="G3878" t="str">
            <v>NBNSYS0000036326</v>
          </cell>
          <cell r="H3878" t="str">
            <v>Aloina brevirostris</v>
          </cell>
        </row>
        <row r="3879">
          <cell r="A3879" t="str">
            <v>Aloina rigida</v>
          </cell>
          <cell r="B3879" t="str">
            <v>Mosses and liverworts</v>
          </cell>
          <cell r="C3879" t="str">
            <v>Bryophyta</v>
          </cell>
          <cell r="D3879" t="str">
            <v>Aloina rigida</v>
          </cell>
          <cell r="E3879" t="str">
            <v>LC</v>
          </cell>
          <cell r="F3879" t="str">
            <v>Callaghan, 2022</v>
          </cell>
          <cell r="G3879" t="str">
            <v>NBNSYS0000036327</v>
          </cell>
          <cell r="H3879" t="str">
            <v>Aloina rigida</v>
          </cell>
        </row>
        <row r="3880">
          <cell r="A3880" t="str">
            <v>Amblyodon dealbatus</v>
          </cell>
          <cell r="B3880" t="str">
            <v>Mosses and liverworts</v>
          </cell>
          <cell r="C3880" t="str">
            <v>Bryophyta</v>
          </cell>
          <cell r="D3880" t="str">
            <v>Amblyodon dealbatus</v>
          </cell>
          <cell r="E3880" t="str">
            <v>LC</v>
          </cell>
          <cell r="F3880" t="str">
            <v>Callaghan, 2022</v>
          </cell>
          <cell r="G3880" t="str">
            <v>NHMSYS0000309307</v>
          </cell>
          <cell r="H3880" t="str">
            <v>Amblyodon dealbatus</v>
          </cell>
        </row>
        <row r="3881">
          <cell r="A3881" t="str">
            <v>Amblystegium serpens</v>
          </cell>
          <cell r="B3881" t="str">
            <v>Mosses and liverworts</v>
          </cell>
          <cell r="C3881" t="str">
            <v>Bryophyta</v>
          </cell>
          <cell r="D3881" t="str">
            <v>Amblystegium serpens</v>
          </cell>
          <cell r="E3881" t="str">
            <v>LC</v>
          </cell>
          <cell r="F3881" t="str">
            <v>Callaghan, 2022</v>
          </cell>
          <cell r="G3881" t="str">
            <v>NHMSYS0000309320</v>
          </cell>
          <cell r="H3881" t="str">
            <v>Amblystegium serpens</v>
          </cell>
        </row>
        <row r="3882">
          <cell r="A3882" t="str">
            <v>Amphidium lapponicum</v>
          </cell>
          <cell r="B3882" t="str">
            <v>Mosses and liverworts</v>
          </cell>
          <cell r="C3882" t="str">
            <v>Bryophyta</v>
          </cell>
          <cell r="D3882" t="str">
            <v>Amphidium lapponicum</v>
          </cell>
          <cell r="E3882" t="str">
            <v>LC</v>
          </cell>
          <cell r="F3882" t="str">
            <v>Callaghan, 2022</v>
          </cell>
          <cell r="G3882" t="str">
            <v>NBNSYS0000036689</v>
          </cell>
          <cell r="H3882" t="str">
            <v>Amphidium lapponicum</v>
          </cell>
        </row>
        <row r="3883">
          <cell r="A3883" t="str">
            <v>Amphidium mougeotii</v>
          </cell>
          <cell r="B3883" t="str">
            <v>Mosses and liverworts</v>
          </cell>
          <cell r="C3883" t="str">
            <v>Bryophyta</v>
          </cell>
          <cell r="D3883" t="str">
            <v>Amphidium mougeotii</v>
          </cell>
          <cell r="E3883" t="str">
            <v>LC</v>
          </cell>
          <cell r="F3883" t="str">
            <v>Callaghan, 2022</v>
          </cell>
          <cell r="G3883" t="str">
            <v>NHMSYS0000309325</v>
          </cell>
          <cell r="H3883" t="str">
            <v>Amphidium mougeotii</v>
          </cell>
        </row>
        <row r="3884">
          <cell r="A3884" t="str">
            <v>Anastrepta orcadensis</v>
          </cell>
          <cell r="B3884" t="str">
            <v>Mosses and liverworts</v>
          </cell>
          <cell r="C3884" t="str">
            <v>Bryophyta</v>
          </cell>
          <cell r="D3884" t="str">
            <v>Anastrepta orcadensis</v>
          </cell>
          <cell r="E3884" t="str">
            <v>LC</v>
          </cell>
          <cell r="F3884" t="str">
            <v>Callaghan, 2022</v>
          </cell>
          <cell r="G3884" t="str">
            <v>NBNSYS0000035836</v>
          </cell>
          <cell r="H3884" t="str">
            <v>Anastrepta orcadensis</v>
          </cell>
        </row>
        <row r="3885">
          <cell r="A3885" t="str">
            <v>Anastrophyllum hellerianum</v>
          </cell>
          <cell r="B3885" t="str">
            <v>Mosses and liverworts</v>
          </cell>
          <cell r="C3885" t="str">
            <v>Bryophyta</v>
          </cell>
          <cell r="D3885" t="str">
            <v>Anastrophyllum hellerianum</v>
          </cell>
          <cell r="E3885" t="str">
            <v>LC</v>
          </cell>
          <cell r="F3885" t="str">
            <v>Callaghan, 2022</v>
          </cell>
          <cell r="G3885" t="str">
            <v>NHMSYS0000309328</v>
          </cell>
          <cell r="H3885" t="str">
            <v>Anastrophyllum hellerianum</v>
          </cell>
        </row>
        <row r="3886">
          <cell r="A3886" t="str">
            <v>Andreaea frigida</v>
          </cell>
          <cell r="B3886" t="str">
            <v>Mosses and liverworts</v>
          </cell>
          <cell r="C3886" t="str">
            <v>Bryophyta</v>
          </cell>
          <cell r="D3886" t="str">
            <v>Andreaea frigida</v>
          </cell>
          <cell r="E3886" t="str">
            <v>VU</v>
          </cell>
          <cell r="F3886" t="str">
            <v>Callaghan, 2022</v>
          </cell>
          <cell r="G3886" t="str">
            <v>NHMSYS0000309332</v>
          </cell>
          <cell r="H3886" t="str">
            <v>Andreaea frigida</v>
          </cell>
        </row>
        <row r="3887">
          <cell r="A3887" t="str">
            <v>Andreaea hookeri</v>
          </cell>
          <cell r="B3887" t="str">
            <v>Mosses and liverworts</v>
          </cell>
          <cell r="C3887" t="str">
            <v>Bryophyta</v>
          </cell>
          <cell r="D3887" t="str">
            <v>Andreaea hookeri</v>
          </cell>
          <cell r="E3887" t="str">
            <v>LC</v>
          </cell>
          <cell r="F3887" t="str">
            <v>Callaghan, 2022</v>
          </cell>
          <cell r="G3887" t="str">
            <v>NBNSYS0000036108</v>
          </cell>
          <cell r="H3887" t="str">
            <v>Andreaea hookeri</v>
          </cell>
        </row>
        <row r="3888">
          <cell r="A3888" t="str">
            <v>Andreaea megistospora</v>
          </cell>
          <cell r="B3888" t="str">
            <v>Mosses and liverworts</v>
          </cell>
          <cell r="C3888" t="str">
            <v>Bryophyta</v>
          </cell>
          <cell r="D3888" t="str">
            <v>Andreaea megistospora</v>
          </cell>
          <cell r="E3888" t="str">
            <v>LC</v>
          </cell>
          <cell r="F3888" t="str">
            <v>Callaghan, 2022</v>
          </cell>
          <cell r="G3888" t="str">
            <v>NHMSYS0000309333</v>
          </cell>
          <cell r="H3888" t="str">
            <v>Andreaea megistospora</v>
          </cell>
        </row>
        <row r="3889">
          <cell r="A3889" t="str">
            <v>Andreaea mutabilis</v>
          </cell>
          <cell r="B3889" t="str">
            <v>Mosses and liverworts</v>
          </cell>
          <cell r="C3889" t="str">
            <v>Bryophyta</v>
          </cell>
          <cell r="D3889" t="str">
            <v>Andreaea mutabilis</v>
          </cell>
          <cell r="E3889" t="str">
            <v>LC</v>
          </cell>
          <cell r="F3889" t="str">
            <v>Callaghan, 2022</v>
          </cell>
          <cell r="G3889" t="str">
            <v>NHMSYS0000309334</v>
          </cell>
          <cell r="H3889" t="str">
            <v>Andreaea mutabilis</v>
          </cell>
        </row>
        <row r="3890">
          <cell r="A3890" t="str">
            <v>Andreaea rothii</v>
          </cell>
          <cell r="B3890" t="str">
            <v>Mosses and liverworts</v>
          </cell>
          <cell r="C3890" t="str">
            <v>Bryophyta</v>
          </cell>
          <cell r="D3890" t="str">
            <v>Andreaea rothii</v>
          </cell>
          <cell r="E3890" t="str">
            <v>LC</v>
          </cell>
          <cell r="F3890" t="str">
            <v>Callaghan, 2022</v>
          </cell>
          <cell r="G3890" t="str">
            <v>NHMSYS0000309335</v>
          </cell>
          <cell r="H3890" t="str">
            <v>Andreaea rothii</v>
          </cell>
        </row>
        <row r="3891">
          <cell r="A3891" t="str">
            <v>Andreaea rupestris</v>
          </cell>
          <cell r="B3891" t="str">
            <v>Mosses and liverworts</v>
          </cell>
          <cell r="C3891" t="str">
            <v>Bryophyta</v>
          </cell>
          <cell r="D3891" t="str">
            <v>Andreaea rupestris</v>
          </cell>
          <cell r="E3891" t="str">
            <v>LC</v>
          </cell>
          <cell r="F3891" t="str">
            <v>Callaghan, 2022</v>
          </cell>
          <cell r="G3891" t="str">
            <v>NBNSYS0000036110</v>
          </cell>
          <cell r="H3891" t="str">
            <v>Andreaea rupestris</v>
          </cell>
        </row>
        <row r="3892">
          <cell r="A3892" t="str">
            <v>Aneura mirabilis</v>
          </cell>
          <cell r="B3892" t="str">
            <v>Mosses and liverworts</v>
          </cell>
          <cell r="C3892" t="str">
            <v>Bryophyta</v>
          </cell>
          <cell r="D3892" t="str">
            <v>Aneura mirabilis</v>
          </cell>
          <cell r="E3892" t="str">
            <v>LC</v>
          </cell>
          <cell r="F3892" t="str">
            <v>Callaghan, 2022</v>
          </cell>
          <cell r="G3892" t="str">
            <v>NHMSYS0021194578</v>
          </cell>
          <cell r="H3892" t="str">
            <v>Aneura mirabilis</v>
          </cell>
        </row>
        <row r="3893">
          <cell r="A3893" t="str">
            <v>Aneura pinguis</v>
          </cell>
          <cell r="B3893" t="str">
            <v>Mosses and liverworts</v>
          </cell>
          <cell r="C3893" t="str">
            <v>Bryophyta</v>
          </cell>
          <cell r="D3893" t="str">
            <v>Aneura pinguis</v>
          </cell>
          <cell r="E3893" t="str">
            <v>LC</v>
          </cell>
          <cell r="F3893" t="str">
            <v>Callaghan, 2022</v>
          </cell>
          <cell r="G3893" t="str">
            <v>NHMSYS0000309344</v>
          </cell>
          <cell r="H3893" t="str">
            <v>Aneura pinguis</v>
          </cell>
        </row>
        <row r="3894">
          <cell r="A3894" t="str">
            <v>Anoectangium aestivum</v>
          </cell>
          <cell r="B3894" t="str">
            <v>Mosses and liverworts</v>
          </cell>
          <cell r="C3894" t="str">
            <v>Bryophyta</v>
          </cell>
          <cell r="D3894" t="str">
            <v>Anoectangium aestivum</v>
          </cell>
          <cell r="E3894" t="str">
            <v>LC</v>
          </cell>
          <cell r="F3894" t="str">
            <v>Callaghan, 2022</v>
          </cell>
          <cell r="G3894" t="str">
            <v>NBNSYS0000036398</v>
          </cell>
          <cell r="H3894" t="str">
            <v>Anoectangium aestivum</v>
          </cell>
        </row>
        <row r="3895">
          <cell r="A3895" t="str">
            <v>Anomodon longifolius</v>
          </cell>
          <cell r="B3895" t="str">
            <v>Mosses and liverworts</v>
          </cell>
          <cell r="C3895" t="str">
            <v>Bryophyta</v>
          </cell>
          <cell r="D3895" t="str">
            <v>Anomodon longifolius</v>
          </cell>
          <cell r="E3895" t="str">
            <v>VU</v>
          </cell>
          <cell r="F3895" t="str">
            <v>Callaghan, 2022</v>
          </cell>
          <cell r="G3895" t="str">
            <v>NBNSYS0000036778</v>
          </cell>
          <cell r="H3895" t="str">
            <v>Anomodon longifolius</v>
          </cell>
        </row>
        <row r="3896">
          <cell r="A3896" t="str">
            <v>Anomodon viticulosus</v>
          </cell>
          <cell r="B3896" t="str">
            <v>Mosses and liverworts</v>
          </cell>
          <cell r="C3896" t="str">
            <v>Bryophyta</v>
          </cell>
          <cell r="D3896" t="str">
            <v>Anomodon viticulosus</v>
          </cell>
          <cell r="E3896" t="str">
            <v>LC</v>
          </cell>
          <cell r="F3896" t="str">
            <v>Callaghan, 2022</v>
          </cell>
          <cell r="G3896" t="str">
            <v>NHMSYS0000309356</v>
          </cell>
          <cell r="H3896" t="str">
            <v>Anomodon viticulosus</v>
          </cell>
        </row>
        <row r="3897">
          <cell r="A3897" t="str">
            <v>Anthelia julacea</v>
          </cell>
          <cell r="B3897" t="str">
            <v>Mosses and liverworts</v>
          </cell>
          <cell r="C3897" t="str">
            <v>Bryophyta</v>
          </cell>
          <cell r="D3897" t="str">
            <v>Anthelia julacea</v>
          </cell>
          <cell r="E3897" t="str">
            <v>LC</v>
          </cell>
          <cell r="F3897" t="str">
            <v>Callaghan, 2022</v>
          </cell>
          <cell r="G3897" t="str">
            <v>NHMSYS0000309358</v>
          </cell>
          <cell r="H3897" t="str">
            <v>Anthelia julacea</v>
          </cell>
        </row>
        <row r="3898">
          <cell r="A3898" t="str">
            <v>Anthoceros agrestis</v>
          </cell>
          <cell r="B3898" t="str">
            <v>Mosses and liverworts</v>
          </cell>
          <cell r="C3898" t="str">
            <v>Bryophyta</v>
          </cell>
          <cell r="D3898" t="str">
            <v>Anthoceros agrestis</v>
          </cell>
          <cell r="E3898" t="str">
            <v>LC</v>
          </cell>
          <cell r="F3898" t="str">
            <v>Callaghan, 2022</v>
          </cell>
          <cell r="G3898" t="str">
            <v>NBNSYS0000036062</v>
          </cell>
          <cell r="H3898" t="str">
            <v>Anthoceros agrestis</v>
          </cell>
        </row>
        <row r="3899">
          <cell r="A3899" t="str">
            <v>Anthoceros punctatus</v>
          </cell>
          <cell r="B3899" t="str">
            <v>Mosses and liverworts</v>
          </cell>
          <cell r="C3899" t="str">
            <v>Bryophyta</v>
          </cell>
          <cell r="D3899" t="str">
            <v>Anthoceros punctatus</v>
          </cell>
          <cell r="E3899" t="str">
            <v>LC</v>
          </cell>
          <cell r="F3899" t="str">
            <v>Callaghan, 2022</v>
          </cell>
          <cell r="G3899" t="str">
            <v>NBNSYS0000036061</v>
          </cell>
          <cell r="H3899" t="str">
            <v>Anthoceros punctatus</v>
          </cell>
        </row>
        <row r="3900">
          <cell r="A3900" t="str">
            <v>Antitrichia curtipendula</v>
          </cell>
          <cell r="B3900" t="str">
            <v>Mosses and liverworts</v>
          </cell>
          <cell r="C3900" t="str">
            <v>Bryophyta</v>
          </cell>
          <cell r="D3900" t="str">
            <v>Antitrichia curtipendula</v>
          </cell>
          <cell r="E3900" t="str">
            <v>LC</v>
          </cell>
          <cell r="F3900" t="str">
            <v>Callaghan, 2022</v>
          </cell>
          <cell r="G3900" t="str">
            <v>NBNSYS0000036740</v>
          </cell>
          <cell r="H3900" t="str">
            <v>Antitrichia curtipendula</v>
          </cell>
        </row>
        <row r="3901">
          <cell r="A3901" t="str">
            <v>Aplodon wormskioldii</v>
          </cell>
          <cell r="B3901" t="str">
            <v>Mosses and liverworts</v>
          </cell>
          <cell r="C3901" t="str">
            <v>Bryophyta</v>
          </cell>
          <cell r="D3901" t="str">
            <v>Aplodon wormskioldii</v>
          </cell>
          <cell r="E3901" t="str">
            <v>CR(PE)</v>
          </cell>
          <cell r="F3901" t="str">
            <v>Callaghan, 2022</v>
          </cell>
          <cell r="G3901" t="str">
            <v>NHMSYS0021195133</v>
          </cell>
          <cell r="H3901" t="str">
            <v>Aplodon wormskioldii</v>
          </cell>
        </row>
        <row r="3902">
          <cell r="A3902" t="str">
            <v>Archidium alternifolium</v>
          </cell>
          <cell r="B3902" t="str">
            <v>Mosses and liverworts</v>
          </cell>
          <cell r="C3902" t="str">
            <v>Bryophyta</v>
          </cell>
          <cell r="D3902" t="str">
            <v>Archidium alternifolium</v>
          </cell>
          <cell r="E3902" t="str">
            <v>LC</v>
          </cell>
          <cell r="F3902" t="str">
            <v>Callaghan, 2022</v>
          </cell>
          <cell r="G3902" t="str">
            <v>NBNSYS0000036155</v>
          </cell>
          <cell r="H3902" t="str">
            <v>Archidium alternifolium</v>
          </cell>
        </row>
        <row r="3903">
          <cell r="A3903" t="str">
            <v>Arctoa fulvella</v>
          </cell>
          <cell r="B3903" t="str">
            <v>Mosses and liverworts</v>
          </cell>
          <cell r="C3903" t="str">
            <v>Bryophyta</v>
          </cell>
          <cell r="D3903" t="str">
            <v>Arctoa fulvella</v>
          </cell>
          <cell r="E3903" t="str">
            <v>LC</v>
          </cell>
          <cell r="F3903" t="str">
            <v>Callaghan, 2022</v>
          </cell>
          <cell r="G3903" t="str">
            <v>NHMSYS0000309380</v>
          </cell>
          <cell r="H3903" t="str">
            <v>Arctoa fulvella</v>
          </cell>
        </row>
        <row r="3904">
          <cell r="A3904" t="str">
            <v>Atrichum angustatum</v>
          </cell>
          <cell r="B3904" t="str">
            <v>Mosses and liverworts</v>
          </cell>
          <cell r="C3904" t="str">
            <v>Bryophyta</v>
          </cell>
          <cell r="D3904" t="str">
            <v>Atrichum angustatum</v>
          </cell>
          <cell r="E3904" t="str">
            <v>CR</v>
          </cell>
          <cell r="F3904" t="str">
            <v>Callaghan, 2022</v>
          </cell>
          <cell r="G3904" t="str">
            <v>NHMSYS0000309385</v>
          </cell>
          <cell r="H3904" t="str">
            <v>Atrichum angustatum</v>
          </cell>
        </row>
        <row r="3905">
          <cell r="A3905" t="str">
            <v>Atrichum tenellum</v>
          </cell>
          <cell r="B3905" t="str">
            <v>Mosses and liverworts</v>
          </cell>
          <cell r="C3905" t="str">
            <v>Bryophyta</v>
          </cell>
          <cell r="D3905" t="str">
            <v>Atrichum tenellum</v>
          </cell>
          <cell r="E3905" t="str">
            <v>LC</v>
          </cell>
          <cell r="F3905" t="str">
            <v>Callaghan, 2022</v>
          </cell>
          <cell r="G3905" t="str">
            <v>NHMSYS0000309387</v>
          </cell>
          <cell r="H3905" t="str">
            <v>Atrichum tenellum</v>
          </cell>
        </row>
        <row r="3906">
          <cell r="A3906" t="str">
            <v>Atrichum undulatum</v>
          </cell>
          <cell r="B3906" t="str">
            <v>Mosses and liverworts</v>
          </cell>
          <cell r="C3906" t="str">
            <v>Bryophyta</v>
          </cell>
          <cell r="D3906" t="str">
            <v>Atrichum undulatum</v>
          </cell>
          <cell r="E3906" t="str">
            <v>LC</v>
          </cell>
          <cell r="F3906" t="str">
            <v>Callaghan, 2022</v>
          </cell>
          <cell r="G3906" t="str">
            <v>NBNSYS0000036148</v>
          </cell>
          <cell r="H3906" t="str">
            <v>Atrichum undulatum</v>
          </cell>
        </row>
        <row r="3907">
          <cell r="A3907" t="str">
            <v>Aulacomnium androgynum</v>
          </cell>
          <cell r="B3907" t="str">
            <v>Mosses and liverworts</v>
          </cell>
          <cell r="C3907" t="str">
            <v>Bryophyta</v>
          </cell>
          <cell r="D3907" t="str">
            <v>Aulacomnium androgynum</v>
          </cell>
          <cell r="E3907" t="str">
            <v>LC</v>
          </cell>
          <cell r="F3907" t="str">
            <v>Callaghan, 2022</v>
          </cell>
          <cell r="G3907" t="str">
            <v>NBNSYS0000036665</v>
          </cell>
          <cell r="H3907" t="str">
            <v>Aulacomnium androgynum</v>
          </cell>
        </row>
        <row r="3908">
          <cell r="A3908" t="str">
            <v>Aulacomnium palustre</v>
          </cell>
          <cell r="B3908" t="str">
            <v>Mosses and liverworts</v>
          </cell>
          <cell r="C3908" t="str">
            <v>Bryophyta</v>
          </cell>
          <cell r="D3908" t="str">
            <v>Aulacomnium palustre</v>
          </cell>
          <cell r="E3908" t="str">
            <v>LC</v>
          </cell>
          <cell r="F3908" t="str">
            <v>Callaghan, 2022</v>
          </cell>
          <cell r="G3908" t="str">
            <v>NBNSYS0000036662</v>
          </cell>
          <cell r="H3908" t="str">
            <v>Aulacomnium palustre</v>
          </cell>
        </row>
        <row r="3909">
          <cell r="A3909" t="str">
            <v>Aulacomnium turgidum</v>
          </cell>
          <cell r="B3909" t="str">
            <v>Mosses and liverworts</v>
          </cell>
          <cell r="C3909" t="str">
            <v>Bryophyta</v>
          </cell>
          <cell r="D3909" t="str">
            <v>Aulacomnium turgidum</v>
          </cell>
          <cell r="E3909" t="str">
            <v>LC</v>
          </cell>
          <cell r="F3909" t="str">
            <v>Callaghan, 2022</v>
          </cell>
          <cell r="G3909" t="str">
            <v>NBNSYS0000036664</v>
          </cell>
          <cell r="H3909" t="str">
            <v>Aulacomnium turgidum</v>
          </cell>
        </row>
        <row r="3910">
          <cell r="A3910" t="str">
            <v>Barbilophozia barbata</v>
          </cell>
          <cell r="B3910" t="str">
            <v>Mosses and liverworts</v>
          </cell>
          <cell r="C3910" t="str">
            <v>Bryophyta</v>
          </cell>
          <cell r="D3910" t="str">
            <v>Barbilophozia barbata</v>
          </cell>
          <cell r="E3910" t="str">
            <v>LC</v>
          </cell>
          <cell r="F3910" t="str">
            <v>Callaghan, 2022</v>
          </cell>
          <cell r="G3910" t="str">
            <v>NHMSYS0000309397</v>
          </cell>
          <cell r="H3910" t="str">
            <v>Barbilophozia barbata</v>
          </cell>
        </row>
        <row r="3911">
          <cell r="A3911" t="str">
            <v>Barbilophozia hatcheri</v>
          </cell>
          <cell r="B3911" t="str">
            <v>Mosses and liverworts</v>
          </cell>
          <cell r="C3911" t="str">
            <v>Bryophyta</v>
          </cell>
          <cell r="D3911" t="str">
            <v>Barbilophozia hatcheri</v>
          </cell>
          <cell r="E3911" t="str">
            <v>LC</v>
          </cell>
          <cell r="F3911" t="str">
            <v>Callaghan, 2022</v>
          </cell>
          <cell r="G3911" t="str">
            <v>NHMSYS0000309399</v>
          </cell>
          <cell r="H3911" t="str">
            <v>Barbilophozia hatcheri</v>
          </cell>
        </row>
        <row r="3912">
          <cell r="A3912" t="str">
            <v>Barbilophozia kunzeana</v>
          </cell>
          <cell r="B3912" t="str">
            <v>Mosses and liverworts</v>
          </cell>
          <cell r="C3912" t="str">
            <v>Bryophyta</v>
          </cell>
          <cell r="D3912" t="str">
            <v>Barbilophozia kunzeana</v>
          </cell>
          <cell r="E3912" t="str">
            <v>VU</v>
          </cell>
          <cell r="F3912" t="str">
            <v>Callaghan, 2022</v>
          </cell>
          <cell r="G3912" t="str">
            <v>NHMSYS0000309400</v>
          </cell>
          <cell r="H3912" t="str">
            <v>Barbilophozia kunzeana</v>
          </cell>
        </row>
        <row r="3913">
          <cell r="A3913" t="str">
            <v>Barbilophozia lycopodioides</v>
          </cell>
          <cell r="B3913" t="str">
            <v>Mosses and liverworts</v>
          </cell>
          <cell r="C3913" t="str">
            <v>Bryophyta</v>
          </cell>
          <cell r="D3913" t="str">
            <v>Barbilophozia lycopodioides</v>
          </cell>
          <cell r="E3913" t="str">
            <v>LC</v>
          </cell>
          <cell r="F3913" t="str">
            <v>Callaghan, 2022</v>
          </cell>
          <cell r="G3913" t="str">
            <v>NBNSYS0000035834</v>
          </cell>
          <cell r="H3913" t="str">
            <v>Barbilophozia lycopodioides</v>
          </cell>
        </row>
        <row r="3914">
          <cell r="A3914" t="str">
            <v>Barbilophozia sudetica</v>
          </cell>
          <cell r="B3914" t="str">
            <v>Mosses and liverworts</v>
          </cell>
          <cell r="C3914" t="str">
            <v>Bryophyta</v>
          </cell>
          <cell r="D3914" t="str">
            <v>Barbilophozia sudetica</v>
          </cell>
          <cell r="E3914" t="str">
            <v>LC</v>
          </cell>
          <cell r="F3914" t="str">
            <v>Callaghan, 2022</v>
          </cell>
          <cell r="G3914" t="str">
            <v>NHMSYS0000309928</v>
          </cell>
          <cell r="H3914" t="str">
            <v>Barbilophozia sudetica</v>
          </cell>
        </row>
        <row r="3915">
          <cell r="A3915" t="str">
            <v>Barbula unguiculata</v>
          </cell>
          <cell r="B3915" t="str">
            <v>Mosses and liverworts</v>
          </cell>
          <cell r="C3915" t="str">
            <v>Bryophyta</v>
          </cell>
          <cell r="D3915" t="str">
            <v>Barbula unguiculata</v>
          </cell>
          <cell r="E3915" t="str">
            <v>LC</v>
          </cell>
          <cell r="F3915" t="str">
            <v>Callaghan, 2022</v>
          </cell>
          <cell r="G3915" t="str">
            <v>NBNSYS0000036367</v>
          </cell>
          <cell r="H3915" t="str">
            <v>Barbula unguiculata</v>
          </cell>
        </row>
        <row r="3916">
          <cell r="A3916" t="str">
            <v>Bartramia aprica</v>
          </cell>
          <cell r="B3916" t="str">
            <v>Mosses and liverworts</v>
          </cell>
          <cell r="C3916" t="str">
            <v>Bryophyta</v>
          </cell>
          <cell r="D3916" t="str">
            <v>Bartramia aprica</v>
          </cell>
          <cell r="E3916" t="str">
            <v>EN</v>
          </cell>
          <cell r="F3916" t="str">
            <v>Callaghan, 2022</v>
          </cell>
          <cell r="G3916" t="str">
            <v>NHMSYS0000309427</v>
          </cell>
          <cell r="H3916" t="str">
            <v>Bartramia aprica</v>
          </cell>
        </row>
        <row r="3917">
          <cell r="A3917" t="str">
            <v>Bartramia halleriana</v>
          </cell>
          <cell r="B3917" t="str">
            <v>Mosses and liverworts</v>
          </cell>
          <cell r="C3917" t="str">
            <v>Bryophyta</v>
          </cell>
          <cell r="D3917" t="str">
            <v>Bartramia halleriana</v>
          </cell>
          <cell r="E3917" t="str">
            <v>LC</v>
          </cell>
          <cell r="F3917" t="str">
            <v>Callaghan, 2022</v>
          </cell>
          <cell r="G3917" t="str">
            <v>NBNSYS0000036674</v>
          </cell>
          <cell r="H3917" t="str">
            <v>Bartramia halleriana</v>
          </cell>
        </row>
        <row r="3918">
          <cell r="A3918" t="str">
            <v>Bartramia ithyphylla</v>
          </cell>
          <cell r="B3918" t="str">
            <v>Mosses and liverworts</v>
          </cell>
          <cell r="C3918" t="str">
            <v>Bryophyta</v>
          </cell>
          <cell r="D3918" t="str">
            <v>Bartramia ithyphylla</v>
          </cell>
          <cell r="E3918" t="str">
            <v>LC</v>
          </cell>
          <cell r="F3918" t="str">
            <v>Callaghan, 2022</v>
          </cell>
          <cell r="G3918" t="str">
            <v>NBNSYS0000036675</v>
          </cell>
          <cell r="H3918" t="str">
            <v>Bartramia ithyphylla</v>
          </cell>
        </row>
        <row r="3919">
          <cell r="A3919" t="str">
            <v>Bartramia pomiformis</v>
          </cell>
          <cell r="B3919" t="str">
            <v>Mosses and liverworts</v>
          </cell>
          <cell r="C3919" t="str">
            <v>Bryophyta</v>
          </cell>
          <cell r="D3919" t="str">
            <v>Bartramia pomiformis</v>
          </cell>
          <cell r="E3919" t="str">
            <v>LC</v>
          </cell>
          <cell r="F3919" t="str">
            <v>Callaghan, 2022</v>
          </cell>
          <cell r="G3919" t="str">
            <v>NBNSYS0000036673</v>
          </cell>
          <cell r="H3919" t="str">
            <v>Bartramia pomiformis</v>
          </cell>
        </row>
        <row r="3920">
          <cell r="A3920" t="str">
            <v>Bazzania tricrenata</v>
          </cell>
          <cell r="B3920" t="str">
            <v>Mosses and liverworts</v>
          </cell>
          <cell r="C3920" t="str">
            <v>Bryophyta</v>
          </cell>
          <cell r="D3920" t="str">
            <v>Bazzania tricrenata</v>
          </cell>
          <cell r="E3920" t="str">
            <v>LC</v>
          </cell>
          <cell r="F3920" t="str">
            <v>Callaghan, 2022</v>
          </cell>
          <cell r="G3920" t="str">
            <v>NHMSYS0000309432</v>
          </cell>
          <cell r="H3920" t="str">
            <v>Bazzania tricrenata</v>
          </cell>
        </row>
        <row r="3921">
          <cell r="A3921" t="str">
            <v>Bazzania trilobata</v>
          </cell>
          <cell r="B3921" t="str">
            <v>Mosses and liverworts</v>
          </cell>
          <cell r="C3921" t="str">
            <v>Bryophyta</v>
          </cell>
          <cell r="D3921" t="str">
            <v>Bazzania trilobata</v>
          </cell>
          <cell r="E3921" t="str">
            <v>LC</v>
          </cell>
          <cell r="F3921" t="str">
            <v>Callaghan, 2022</v>
          </cell>
          <cell r="G3921" t="str">
            <v>NHMSYS0000309433</v>
          </cell>
          <cell r="H3921" t="str">
            <v>Bazzania trilobata</v>
          </cell>
        </row>
        <row r="3922">
          <cell r="A3922" t="str">
            <v>Biantheridion undulifolium</v>
          </cell>
          <cell r="B3922" t="str">
            <v>Mosses and liverworts</v>
          </cell>
          <cell r="C3922" t="str">
            <v>Bryophyta</v>
          </cell>
          <cell r="D3922" t="str">
            <v>Biantheridion undulifolium</v>
          </cell>
          <cell r="E3922" t="str">
            <v>VU</v>
          </cell>
          <cell r="F3922" t="str">
            <v>Callaghan, 2022</v>
          </cell>
          <cell r="G3922" t="str">
            <v>NHMSYS0000310108</v>
          </cell>
          <cell r="H3922" t="str">
            <v>Biantheridion undulifolium</v>
          </cell>
        </row>
        <row r="3923">
          <cell r="A3923" t="str">
            <v>Blasia pusilla</v>
          </cell>
          <cell r="B3923" t="str">
            <v>Mosses and liverworts</v>
          </cell>
          <cell r="C3923" t="str">
            <v>Bryophyta</v>
          </cell>
          <cell r="D3923" t="str">
            <v>Blasia pusilla</v>
          </cell>
          <cell r="E3923" t="str">
            <v>LC</v>
          </cell>
          <cell r="F3923" t="str">
            <v>Callaghan, 2022</v>
          </cell>
          <cell r="G3923" t="str">
            <v>NBNSYS0000036027</v>
          </cell>
          <cell r="H3923" t="str">
            <v>Blasia pusilla</v>
          </cell>
        </row>
        <row r="3924">
          <cell r="A3924" t="str">
            <v>Blepharostoma trichophyllum</v>
          </cell>
          <cell r="B3924" t="str">
            <v>Mosses and liverworts</v>
          </cell>
          <cell r="C3924" t="str">
            <v>Bryophyta</v>
          </cell>
          <cell r="D3924" t="str">
            <v>Blepharostoma trichophyllum</v>
          </cell>
          <cell r="E3924" t="str">
            <v>LC</v>
          </cell>
          <cell r="F3924" t="str">
            <v>Callaghan, 2022</v>
          </cell>
          <cell r="G3924" t="str">
            <v>NHMSYS0000309438</v>
          </cell>
          <cell r="H3924" t="str">
            <v>Blepharostoma trichophyllum</v>
          </cell>
        </row>
        <row r="3925">
          <cell r="A3925" t="str">
            <v>Blindia acuta</v>
          </cell>
          <cell r="B3925" t="str">
            <v>Mosses and liverworts</v>
          </cell>
          <cell r="C3925" t="str">
            <v>Bryophyta</v>
          </cell>
          <cell r="D3925" t="str">
            <v>Blindia acuta</v>
          </cell>
          <cell r="E3925" t="str">
            <v>LC</v>
          </cell>
          <cell r="F3925" t="str">
            <v>Callaghan, 2022</v>
          </cell>
          <cell r="G3925" t="str">
            <v>NHMSYS0000309440</v>
          </cell>
          <cell r="H3925" t="str">
            <v>Blindia acuta</v>
          </cell>
        </row>
        <row r="3926">
          <cell r="A3926" t="str">
            <v>Blindiadelphus campylopodus</v>
          </cell>
          <cell r="B3926" t="str">
            <v>Mosses and liverworts</v>
          </cell>
          <cell r="C3926" t="str">
            <v>Bryophyta</v>
          </cell>
          <cell r="D3926" t="str">
            <v>Blindiadelphus campylopodus</v>
          </cell>
          <cell r="E3926" t="str">
            <v>VU</v>
          </cell>
          <cell r="F3926" t="str">
            <v>Callaghan, 2022</v>
          </cell>
          <cell r="G3926" t="str">
            <v>NHMSYS0000310623</v>
          </cell>
          <cell r="H3926" t="str">
            <v>Blindiadelphus campylopodus</v>
          </cell>
        </row>
        <row r="3927">
          <cell r="A3927" t="str">
            <v>Blindiadelphus diversifolius</v>
          </cell>
          <cell r="B3927" t="str">
            <v>Mosses and liverworts</v>
          </cell>
          <cell r="C3927" t="str">
            <v>Bryophyta</v>
          </cell>
          <cell r="D3927" t="str">
            <v>Blindiadelphus diversifolius</v>
          </cell>
          <cell r="E3927" t="str">
            <v>CR(PE)</v>
          </cell>
          <cell r="F3927" t="str">
            <v>Callaghan, 2022</v>
          </cell>
          <cell r="G3927" t="str">
            <v>NBNSYS0000036180</v>
          </cell>
          <cell r="H3927" t="str">
            <v>Blindiadelphus diversifolius</v>
          </cell>
        </row>
        <row r="3928">
          <cell r="A3928" t="str">
            <v>Blindiadelphus recurvatus</v>
          </cell>
          <cell r="B3928" t="str">
            <v>Mosses and liverworts</v>
          </cell>
          <cell r="C3928" t="str">
            <v>Bryophyta</v>
          </cell>
          <cell r="D3928" t="str">
            <v>Blindiadelphus recurvatus</v>
          </cell>
          <cell r="E3928" t="str">
            <v>LC</v>
          </cell>
          <cell r="F3928" t="str">
            <v>Callaghan, 2022</v>
          </cell>
          <cell r="G3928" t="str">
            <v>NHMSYS0000310629</v>
          </cell>
          <cell r="H3928" t="str">
            <v>Blindiadelphus recurvatus</v>
          </cell>
        </row>
        <row r="3929">
          <cell r="A3929" t="str">
            <v>Brachydontium trichodes</v>
          </cell>
          <cell r="B3929" t="str">
            <v>Mosses and liverworts</v>
          </cell>
          <cell r="C3929" t="str">
            <v>Bryophyta</v>
          </cell>
          <cell r="D3929" t="str">
            <v>Brachydontium trichodes</v>
          </cell>
          <cell r="E3929" t="str">
            <v>LC</v>
          </cell>
          <cell r="F3929" t="str">
            <v>Callaghan, 2022</v>
          </cell>
          <cell r="G3929" t="str">
            <v>NHMSYS0000309444</v>
          </cell>
          <cell r="H3929" t="str">
            <v>Brachydontium trichodes</v>
          </cell>
        </row>
        <row r="3930">
          <cell r="A3930" t="str">
            <v>Brachytheciastrum velutinum</v>
          </cell>
          <cell r="B3930" t="str">
            <v>Mosses and liverworts</v>
          </cell>
          <cell r="C3930" t="str">
            <v>Bryophyta</v>
          </cell>
          <cell r="D3930" t="str">
            <v>Brachytheciastrum velutinum</v>
          </cell>
          <cell r="E3930" t="str">
            <v>LC</v>
          </cell>
          <cell r="F3930" t="str">
            <v>Callaghan, 2022</v>
          </cell>
          <cell r="G3930" t="str">
            <v>NHMSYS0020695851</v>
          </cell>
          <cell r="H3930" t="str">
            <v>Brachytheciastrum velutinum</v>
          </cell>
        </row>
        <row r="3931">
          <cell r="A3931" t="str">
            <v>Brachythecium albicans</v>
          </cell>
          <cell r="B3931" t="str">
            <v>Mosses and liverworts</v>
          </cell>
          <cell r="C3931" t="str">
            <v>Bryophyta</v>
          </cell>
          <cell r="D3931" t="str">
            <v>Brachythecium albicans</v>
          </cell>
          <cell r="E3931" t="str">
            <v>LC</v>
          </cell>
          <cell r="F3931" t="str">
            <v>Callaghan, 2022</v>
          </cell>
          <cell r="G3931" t="str">
            <v>NHMSYS0000309447</v>
          </cell>
          <cell r="H3931" t="str">
            <v>Brachythecium albicans</v>
          </cell>
        </row>
        <row r="3932">
          <cell r="A3932" t="str">
            <v>Brachythecium glareosum</v>
          </cell>
          <cell r="B3932" t="str">
            <v>Mosses and liverworts</v>
          </cell>
          <cell r="C3932" t="str">
            <v>Bryophyta</v>
          </cell>
          <cell r="D3932" t="str">
            <v>Brachythecium glareosum</v>
          </cell>
          <cell r="E3932" t="str">
            <v>LC</v>
          </cell>
          <cell r="F3932" t="str">
            <v>Callaghan, 2022</v>
          </cell>
          <cell r="G3932" t="str">
            <v>NHMSYS0000309451</v>
          </cell>
          <cell r="H3932" t="str">
            <v>Brachythecium glareosum</v>
          </cell>
        </row>
        <row r="3933">
          <cell r="A3933" t="str">
            <v>Brachythecium mildeanum</v>
          </cell>
          <cell r="B3933" t="str">
            <v>Mosses and liverworts</v>
          </cell>
          <cell r="C3933" t="str">
            <v>Bryophyta</v>
          </cell>
          <cell r="D3933" t="str">
            <v>Brachythecium mildeanum</v>
          </cell>
          <cell r="E3933" t="str">
            <v>LC</v>
          </cell>
          <cell r="F3933" t="str">
            <v>Callaghan, 2022</v>
          </cell>
          <cell r="G3933" t="str">
            <v>NHMSYS0000309452</v>
          </cell>
          <cell r="H3933" t="str">
            <v>Brachythecium mildeanum</v>
          </cell>
        </row>
        <row r="3934">
          <cell r="A3934" t="str">
            <v>Brachythecium rivulare</v>
          </cell>
          <cell r="B3934" t="str">
            <v>Mosses and liverworts</v>
          </cell>
          <cell r="C3934" t="str">
            <v>Bryophyta</v>
          </cell>
          <cell r="D3934" t="str">
            <v>Brachythecium rivulare</v>
          </cell>
          <cell r="E3934" t="str">
            <v>LC</v>
          </cell>
          <cell r="F3934" t="str">
            <v>Callaghan, 2022</v>
          </cell>
          <cell r="G3934" t="str">
            <v>NHMSYS0000309456</v>
          </cell>
          <cell r="H3934" t="str">
            <v>Brachythecium rivulare</v>
          </cell>
        </row>
        <row r="3935">
          <cell r="A3935" t="str">
            <v>Brachythecium rutabulum</v>
          </cell>
          <cell r="B3935" t="str">
            <v>Mosses and liverworts</v>
          </cell>
          <cell r="C3935" t="str">
            <v>Bryophyta</v>
          </cell>
          <cell r="D3935" t="str">
            <v>Brachythecium rutabulum</v>
          </cell>
          <cell r="E3935" t="str">
            <v>LC</v>
          </cell>
          <cell r="F3935" t="str">
            <v>Callaghan, 2022</v>
          </cell>
          <cell r="G3935" t="str">
            <v>NHMSYS0000309457</v>
          </cell>
          <cell r="H3935" t="str">
            <v>Brachythecium rutabulum</v>
          </cell>
        </row>
        <row r="3936">
          <cell r="A3936" t="str">
            <v>Brachythecium salebrosum</v>
          </cell>
          <cell r="B3936" t="str">
            <v>Mosses and liverworts</v>
          </cell>
          <cell r="C3936" t="str">
            <v>Bryophyta</v>
          </cell>
          <cell r="D3936" t="str">
            <v>Brachythecium salebrosum</v>
          </cell>
          <cell r="E3936" t="str">
            <v>LC</v>
          </cell>
          <cell r="F3936" t="str">
            <v>Callaghan, 2022</v>
          </cell>
          <cell r="G3936" t="str">
            <v>NHMSYS0000309458</v>
          </cell>
          <cell r="H3936" t="str">
            <v>Brachythecium salebrosum</v>
          </cell>
        </row>
        <row r="3937">
          <cell r="A3937" t="str">
            <v>Braunia imberbis</v>
          </cell>
          <cell r="B3937" t="str">
            <v>Mosses and liverworts</v>
          </cell>
          <cell r="C3937" t="str">
            <v>Bryophyta</v>
          </cell>
          <cell r="D3937" t="str">
            <v>Braunia imberbis</v>
          </cell>
          <cell r="E3937" t="str">
            <v>LC</v>
          </cell>
          <cell r="F3937" t="str">
            <v>Callaghan, 2022</v>
          </cell>
          <cell r="G3937" t="str">
            <v>NBNSYS0000036725</v>
          </cell>
          <cell r="H3937" t="str">
            <v>Braunia imberbis</v>
          </cell>
        </row>
        <row r="3938">
          <cell r="A3938" t="str">
            <v>Breutelia chrysocoma</v>
          </cell>
          <cell r="B3938" t="str">
            <v>Mosses and liverworts</v>
          </cell>
          <cell r="C3938" t="str">
            <v>Bryophyta</v>
          </cell>
          <cell r="D3938" t="str">
            <v>Breutelia chrysocoma</v>
          </cell>
          <cell r="E3938" t="str">
            <v>LC</v>
          </cell>
          <cell r="F3938" t="str">
            <v>Callaghan, 2022</v>
          </cell>
          <cell r="G3938" t="str">
            <v>NHMSYS0000309463</v>
          </cell>
          <cell r="H3938" t="str">
            <v>Breutelia chrysocoma</v>
          </cell>
        </row>
        <row r="3939">
          <cell r="A3939" t="str">
            <v>Bruchia vogesiaca</v>
          </cell>
          <cell r="B3939" t="str">
            <v>Mosses and liverworts</v>
          </cell>
          <cell r="C3939" t="str">
            <v>Bryophyta</v>
          </cell>
          <cell r="D3939" t="str">
            <v>Bruchia vogesiaca</v>
          </cell>
          <cell r="E3939" t="str">
            <v>CR(PE)</v>
          </cell>
          <cell r="F3939" t="str">
            <v>Callaghan, 2022</v>
          </cell>
          <cell r="G3939" t="str">
            <v>NBNSYS0000163957</v>
          </cell>
          <cell r="H3939" t="str">
            <v>Bruchia vogesiaca</v>
          </cell>
        </row>
        <row r="3940">
          <cell r="A3940" t="str">
            <v>Bryoerythrophyllum ferruginascens</v>
          </cell>
          <cell r="B3940" t="str">
            <v>Mosses and liverworts</v>
          </cell>
          <cell r="C3940" t="str">
            <v>Bryophyta</v>
          </cell>
          <cell r="D3940" t="str">
            <v>Bryoerythrophyllum ferruginascens</v>
          </cell>
          <cell r="E3940" t="str">
            <v>LC</v>
          </cell>
          <cell r="F3940" t="str">
            <v>Callaghan, 2022</v>
          </cell>
          <cell r="G3940" t="str">
            <v>NHMSYS0000309468</v>
          </cell>
          <cell r="H3940" t="str">
            <v>Bryoerythrophyllum ferruginascens</v>
          </cell>
        </row>
        <row r="3941">
          <cell r="A3941" t="str">
            <v>Bryoerythrophyllum recurvirostrum</v>
          </cell>
          <cell r="B3941" t="str">
            <v>Mosses and liverworts</v>
          </cell>
          <cell r="C3941" t="str">
            <v>Bryophyta</v>
          </cell>
          <cell r="D3941" t="str">
            <v>Bryoerythrophyllum recurvirostrum</v>
          </cell>
          <cell r="E3941" t="str">
            <v>LC</v>
          </cell>
          <cell r="F3941" t="str">
            <v>Callaghan, 2022</v>
          </cell>
          <cell r="G3941" t="str">
            <v>NHMSYS0000309469</v>
          </cell>
          <cell r="H3941" t="str">
            <v>Bryoerythrophyllum recurvirostrum</v>
          </cell>
        </row>
        <row r="3942">
          <cell r="A3942" t="str">
            <v>Bryum algovicum</v>
          </cell>
          <cell r="B3942" t="str">
            <v>Mosses and liverworts</v>
          </cell>
          <cell r="C3942" t="str">
            <v>Bryophyta</v>
          </cell>
          <cell r="D3942" t="str">
            <v>Bryum algovicum</v>
          </cell>
          <cell r="E3942" t="str">
            <v>LC</v>
          </cell>
          <cell r="F3942" t="str">
            <v>Callaghan, 2022</v>
          </cell>
          <cell r="G3942" t="str">
            <v>NHMSYS0000309472</v>
          </cell>
          <cell r="H3942" t="str">
            <v>Bryum algovicum</v>
          </cell>
        </row>
        <row r="3943">
          <cell r="A3943" t="str">
            <v>Bryum alpinum</v>
          </cell>
          <cell r="B3943" t="str">
            <v>Mosses and liverworts</v>
          </cell>
          <cell r="C3943" t="str">
            <v>Bryophyta</v>
          </cell>
          <cell r="D3943" t="str">
            <v>Bryum alpinum</v>
          </cell>
          <cell r="E3943" t="str">
            <v>LC</v>
          </cell>
          <cell r="F3943" t="str">
            <v>Callaghan, 2022</v>
          </cell>
          <cell r="G3943" t="str">
            <v>NHMSYS0000309474</v>
          </cell>
          <cell r="H3943" t="str">
            <v>Bryum alpinum</v>
          </cell>
        </row>
        <row r="3944">
          <cell r="A3944" t="str">
            <v>Bryum archangelicum</v>
          </cell>
          <cell r="B3944" t="str">
            <v>Mosses and liverworts</v>
          </cell>
          <cell r="C3944" t="str">
            <v>Bryophyta</v>
          </cell>
          <cell r="D3944" t="str">
            <v>Bryum archangelicum</v>
          </cell>
          <cell r="E3944" t="str">
            <v>LC</v>
          </cell>
          <cell r="F3944" t="str">
            <v>Callaghan, 2022</v>
          </cell>
          <cell r="G3944" t="str">
            <v>NHMSYS0000309475</v>
          </cell>
          <cell r="H3944" t="str">
            <v>Bryum archangelicum</v>
          </cell>
        </row>
        <row r="3945">
          <cell r="A3945" t="str">
            <v>Bryum argenteum</v>
          </cell>
          <cell r="B3945" t="str">
            <v>Mosses and liverworts</v>
          </cell>
          <cell r="C3945" t="str">
            <v>Bryophyta</v>
          </cell>
          <cell r="D3945" t="str">
            <v>Bryum argenteum</v>
          </cell>
          <cell r="E3945" t="str">
            <v>LC</v>
          </cell>
          <cell r="F3945" t="str">
            <v>Callaghan, 2022</v>
          </cell>
          <cell r="G3945" t="str">
            <v>NBNSYS0000036628</v>
          </cell>
          <cell r="H3945" t="str">
            <v>Bryum argenteum</v>
          </cell>
        </row>
        <row r="3946">
          <cell r="A3946" t="str">
            <v>Bryum bornholmense</v>
          </cell>
          <cell r="B3946" t="str">
            <v>Mosses and liverworts</v>
          </cell>
          <cell r="C3946" t="str">
            <v>Bryophyta</v>
          </cell>
          <cell r="D3946" t="str">
            <v>Bryum bornholmense</v>
          </cell>
          <cell r="E3946" t="str">
            <v>LC</v>
          </cell>
          <cell r="F3946" t="str">
            <v>Callaghan, 2022</v>
          </cell>
          <cell r="G3946" t="str">
            <v>NHMSYS0000309480</v>
          </cell>
          <cell r="H3946" t="str">
            <v>Bryum bornholmense</v>
          </cell>
        </row>
        <row r="3947">
          <cell r="A3947" t="str">
            <v>Bryum caespiticium</v>
          </cell>
          <cell r="B3947" t="str">
            <v>Mosses and liverworts</v>
          </cell>
          <cell r="C3947" t="str">
            <v>Bryophyta</v>
          </cell>
          <cell r="D3947" t="str">
            <v>Bryum caespiticium</v>
          </cell>
          <cell r="E3947" t="str">
            <v>LC</v>
          </cell>
          <cell r="F3947" t="str">
            <v>Callaghan, 2022</v>
          </cell>
          <cell r="G3947" t="str">
            <v>NHMSYS0000310855</v>
          </cell>
          <cell r="H3947" t="str">
            <v>Bryum caespiticium</v>
          </cell>
        </row>
        <row r="3948">
          <cell r="A3948" t="str">
            <v>Bryum calophyllum</v>
          </cell>
          <cell r="B3948" t="str">
            <v>Mosses and liverworts</v>
          </cell>
          <cell r="C3948" t="str">
            <v>Bryophyta</v>
          </cell>
          <cell r="D3948" t="str">
            <v>Bryum calophyllum</v>
          </cell>
          <cell r="E3948" t="str">
            <v>EN</v>
          </cell>
          <cell r="F3948" t="str">
            <v>Callaghan, 2022</v>
          </cell>
          <cell r="G3948" t="str">
            <v>NBNSYS0000036581</v>
          </cell>
          <cell r="H3948" t="str">
            <v>Bryum calophyllum</v>
          </cell>
        </row>
        <row r="3949">
          <cell r="A3949" t="str">
            <v>Bryum canariense</v>
          </cell>
          <cell r="B3949" t="str">
            <v>Mosses and liverworts</v>
          </cell>
          <cell r="C3949" t="str">
            <v>Bryophyta</v>
          </cell>
          <cell r="D3949" t="str">
            <v>Bryum canariense</v>
          </cell>
          <cell r="E3949" t="str">
            <v>LC</v>
          </cell>
          <cell r="F3949" t="str">
            <v>Callaghan, 2022</v>
          </cell>
          <cell r="G3949" t="str">
            <v>NBNSYS0000036607</v>
          </cell>
          <cell r="H3949" t="str">
            <v>Bryum canariense</v>
          </cell>
        </row>
        <row r="3950">
          <cell r="A3950" t="str">
            <v>Bryum capillare</v>
          </cell>
          <cell r="B3950" t="str">
            <v>Mosses and liverworts</v>
          </cell>
          <cell r="C3950" t="str">
            <v>Bryophyta</v>
          </cell>
          <cell r="D3950" t="str">
            <v>Bryum capillare</v>
          </cell>
          <cell r="E3950" t="str">
            <v>LC</v>
          </cell>
          <cell r="F3950" t="str">
            <v>Callaghan, 2022</v>
          </cell>
          <cell r="G3950" t="str">
            <v>NBNSYS0000036600</v>
          </cell>
          <cell r="H3950" t="str">
            <v>Bryum capillare</v>
          </cell>
        </row>
        <row r="3951">
          <cell r="A3951" t="str">
            <v>Bryum concinnatum</v>
          </cell>
          <cell r="B3951" t="str">
            <v>Mosses and liverworts</v>
          </cell>
          <cell r="C3951" t="str">
            <v>Bryophyta</v>
          </cell>
          <cell r="D3951" t="str">
            <v>Bryum concinnatum</v>
          </cell>
          <cell r="E3951" t="str">
            <v>LC</v>
          </cell>
          <cell r="F3951" t="str">
            <v>Callaghan, 2022</v>
          </cell>
          <cell r="G3951" t="str">
            <v>NBNSYS0000141848</v>
          </cell>
          <cell r="H3951" t="str">
            <v>Bryum concinnatum</v>
          </cell>
        </row>
        <row r="3952">
          <cell r="A3952" t="str">
            <v>Bryum cyclophyllum</v>
          </cell>
          <cell r="B3952" t="str">
            <v>Mosses and liverworts</v>
          </cell>
          <cell r="C3952" t="str">
            <v>Bryophyta</v>
          </cell>
          <cell r="D3952" t="str">
            <v>Bryum cyclophyllum</v>
          </cell>
          <cell r="E3952" t="str">
            <v>CR</v>
          </cell>
          <cell r="F3952" t="str">
            <v>Callaghan, 2022</v>
          </cell>
          <cell r="G3952" t="str">
            <v>NHMSYS0000309487</v>
          </cell>
          <cell r="H3952" t="str">
            <v>Bryum cyclophyllum</v>
          </cell>
        </row>
        <row r="3953">
          <cell r="A3953" t="str">
            <v>Bryum dichotomum</v>
          </cell>
          <cell r="B3953" t="str">
            <v>Mosses and liverworts</v>
          </cell>
          <cell r="C3953" t="str">
            <v>Bryophyta</v>
          </cell>
          <cell r="D3953" t="str">
            <v>Bryum dichotomum</v>
          </cell>
          <cell r="E3953" t="str">
            <v>LC</v>
          </cell>
          <cell r="F3953" t="str">
            <v>Callaghan, 2022</v>
          </cell>
          <cell r="G3953" t="str">
            <v>NHMSYS0000309488</v>
          </cell>
          <cell r="H3953" t="str">
            <v>Bryum dichotomum</v>
          </cell>
        </row>
        <row r="3954">
          <cell r="A3954" t="str">
            <v>Bryum donianum</v>
          </cell>
          <cell r="B3954" t="str">
            <v>Mosses and liverworts</v>
          </cell>
          <cell r="C3954" t="str">
            <v>Bryophyta</v>
          </cell>
          <cell r="D3954" t="str">
            <v>Bryum donianum</v>
          </cell>
          <cell r="E3954" t="str">
            <v>LC</v>
          </cell>
          <cell r="F3954" t="str">
            <v>Callaghan, 2022</v>
          </cell>
          <cell r="G3954" t="str">
            <v>NBNSYS0000036599</v>
          </cell>
          <cell r="H3954" t="str">
            <v>Bryum donianum</v>
          </cell>
        </row>
        <row r="3955">
          <cell r="A3955" t="str">
            <v>Bryum dyffrynense</v>
          </cell>
          <cell r="B3955" t="str">
            <v>Mosses and liverworts</v>
          </cell>
          <cell r="C3955" t="str">
            <v>Bryophyta</v>
          </cell>
          <cell r="D3955" t="str">
            <v>Bryum dyffrynense</v>
          </cell>
          <cell r="E3955" t="str">
            <v>NT</v>
          </cell>
          <cell r="F3955" t="str">
            <v>Callaghan, 2022</v>
          </cell>
          <cell r="G3955" t="str">
            <v>NHMSYS0000309491</v>
          </cell>
          <cell r="H3955" t="str">
            <v>Bryum dyffrynense</v>
          </cell>
        </row>
        <row r="3956">
          <cell r="A3956" t="str">
            <v>Bryum elegans</v>
          </cell>
          <cell r="B3956" t="str">
            <v>Mosses and liverworts</v>
          </cell>
          <cell r="C3956" t="str">
            <v>Bryophyta</v>
          </cell>
          <cell r="D3956" t="str">
            <v>Bryum elegans</v>
          </cell>
          <cell r="E3956" t="str">
            <v>LC</v>
          </cell>
          <cell r="F3956" t="str">
            <v>Callaghan, 2022</v>
          </cell>
          <cell r="G3956" t="str">
            <v>NBNSYS0000036603</v>
          </cell>
          <cell r="H3956" t="str">
            <v>Bryum elegans</v>
          </cell>
        </row>
        <row r="3957">
          <cell r="A3957" t="str">
            <v>Bryum gemmiferum</v>
          </cell>
          <cell r="B3957" t="str">
            <v>Mosses and liverworts</v>
          </cell>
          <cell r="C3957" t="str">
            <v>Bryophyta</v>
          </cell>
          <cell r="D3957" t="str">
            <v>Bryum gemmiferum</v>
          </cell>
          <cell r="E3957" t="str">
            <v>LC</v>
          </cell>
          <cell r="F3957" t="str">
            <v>Callaghan, 2022</v>
          </cell>
          <cell r="G3957" t="str">
            <v>NHMSYS0000309494</v>
          </cell>
          <cell r="H3957" t="str">
            <v>Bryum gemmiferum</v>
          </cell>
        </row>
        <row r="3958">
          <cell r="A3958" t="str">
            <v>Bryum gemmilucens</v>
          </cell>
          <cell r="B3958" t="str">
            <v>Mosses and liverworts</v>
          </cell>
          <cell r="C3958" t="str">
            <v>Bryophyta</v>
          </cell>
          <cell r="D3958" t="str">
            <v>Bryum gemmilucens</v>
          </cell>
          <cell r="E3958" t="str">
            <v>LC</v>
          </cell>
          <cell r="F3958" t="str">
            <v>Callaghan, 2022</v>
          </cell>
          <cell r="G3958" t="str">
            <v>NHMSYS0000309495</v>
          </cell>
          <cell r="H3958" t="str">
            <v>Bryum gemmilucens</v>
          </cell>
        </row>
        <row r="3959">
          <cell r="A3959" t="str">
            <v>Bryum gemmiparum</v>
          </cell>
          <cell r="B3959" t="str">
            <v>Mosses and liverworts</v>
          </cell>
          <cell r="C3959" t="str">
            <v>Bryophyta</v>
          </cell>
          <cell r="D3959" t="str">
            <v>Bryum gemmiparum</v>
          </cell>
          <cell r="E3959" t="str">
            <v>EN</v>
          </cell>
          <cell r="F3959" t="str">
            <v>Callaghan, 2022</v>
          </cell>
          <cell r="G3959" t="str">
            <v>NBNSYS0000036618</v>
          </cell>
          <cell r="H3959" t="str">
            <v>Bryum gemmiparum</v>
          </cell>
        </row>
        <row r="3960">
          <cell r="A3960" t="str">
            <v>Bryum intermedium</v>
          </cell>
          <cell r="B3960" t="str">
            <v>Mosses and liverworts</v>
          </cell>
          <cell r="C3960" t="str">
            <v>Bryophyta</v>
          </cell>
          <cell r="D3960" t="str">
            <v>Bryum intermedium</v>
          </cell>
          <cell r="E3960" t="str">
            <v>LC</v>
          </cell>
          <cell r="F3960" t="str">
            <v>Callaghan, 2022</v>
          </cell>
          <cell r="G3960" t="str">
            <v>NHMSYS0000309498</v>
          </cell>
          <cell r="H3960" t="str">
            <v>Bryum intermedium</v>
          </cell>
        </row>
        <row r="3961">
          <cell r="A3961" t="str">
            <v>Bryum julaceum</v>
          </cell>
          <cell r="B3961" t="str">
            <v>Mosses and liverworts</v>
          </cell>
          <cell r="C3961" t="str">
            <v>Bryophyta</v>
          </cell>
          <cell r="D3961" t="str">
            <v>Bryum julaceum</v>
          </cell>
          <cell r="E3961" t="str">
            <v>LC</v>
          </cell>
          <cell r="F3961" t="str">
            <v>Callaghan, 2022</v>
          </cell>
          <cell r="G3961" t="str">
            <v>NHMSYS0000309352</v>
          </cell>
          <cell r="H3961" t="str">
            <v>Bryum julaceum</v>
          </cell>
        </row>
        <row r="3962">
          <cell r="A3962" t="str">
            <v>Bryum klinggraeffii</v>
          </cell>
          <cell r="B3962" t="str">
            <v>Mosses and liverworts</v>
          </cell>
          <cell r="C3962" t="str">
            <v>Bryophyta</v>
          </cell>
          <cell r="D3962" t="str">
            <v>Bryum klinggraeffii</v>
          </cell>
          <cell r="E3962" t="str">
            <v>LC</v>
          </cell>
          <cell r="F3962" t="str">
            <v>Callaghan, 2022</v>
          </cell>
          <cell r="G3962" t="str">
            <v>NHMSYS0000309499</v>
          </cell>
          <cell r="H3962" t="str">
            <v>Bryum klinggraeffii</v>
          </cell>
        </row>
        <row r="3963">
          <cell r="A3963" t="str">
            <v>Bryum knowltonii</v>
          </cell>
          <cell r="B3963" t="str">
            <v>Mosses and liverworts</v>
          </cell>
          <cell r="C3963" t="str">
            <v>Bryophyta</v>
          </cell>
          <cell r="D3963" t="str">
            <v>Bryum knowltonii</v>
          </cell>
          <cell r="E3963" t="str">
            <v>VU</v>
          </cell>
          <cell r="F3963" t="str">
            <v>Callaghan, 2022</v>
          </cell>
          <cell r="G3963" t="str">
            <v>NBNSYS0000036597</v>
          </cell>
          <cell r="H3963" t="str">
            <v>Bryum knowltonii</v>
          </cell>
        </row>
        <row r="3964">
          <cell r="A3964" t="str">
            <v>Bryum kunzei</v>
          </cell>
          <cell r="B3964" t="str">
            <v>Mosses and liverworts</v>
          </cell>
          <cell r="C3964" t="str">
            <v>Bryophyta</v>
          </cell>
          <cell r="D3964" t="str">
            <v>Bryum kunzei</v>
          </cell>
          <cell r="E3964" t="str">
            <v>LC</v>
          </cell>
          <cell r="F3964" t="str">
            <v>Callaghan, 2022</v>
          </cell>
          <cell r="G3964" t="str">
            <v>NHMSYS0020442298</v>
          </cell>
          <cell r="H3964" t="str">
            <v>Bryum kunzei</v>
          </cell>
        </row>
        <row r="3965">
          <cell r="A3965" t="str">
            <v>Bryum marratii</v>
          </cell>
          <cell r="B3965" t="str">
            <v>Mosses and liverworts</v>
          </cell>
          <cell r="C3965" t="str">
            <v>Bryophyta</v>
          </cell>
          <cell r="D3965" t="str">
            <v>Bryum marratii</v>
          </cell>
          <cell r="E3965" t="str">
            <v>EN</v>
          </cell>
          <cell r="F3965" t="str">
            <v>Callaghan, 2022</v>
          </cell>
          <cell r="G3965" t="str">
            <v>NHMSYS0000309503</v>
          </cell>
          <cell r="H3965" t="str">
            <v>Bryum marratii</v>
          </cell>
        </row>
        <row r="3966">
          <cell r="A3966" t="str">
            <v>Bryum moravicum</v>
          </cell>
          <cell r="B3966" t="str">
            <v>Mosses and liverworts</v>
          </cell>
          <cell r="C3966" t="str">
            <v>Bryophyta</v>
          </cell>
          <cell r="D3966" t="str">
            <v>Bryum moravicum</v>
          </cell>
          <cell r="E3966" t="str">
            <v>LC</v>
          </cell>
          <cell r="F3966" t="str">
            <v>Callaghan, 2022</v>
          </cell>
          <cell r="G3966" t="str">
            <v>NHMSYS0021194590</v>
          </cell>
          <cell r="H3966" t="str">
            <v>Bryum moravicum</v>
          </cell>
        </row>
        <row r="3967">
          <cell r="A3967" t="str">
            <v>Bryum pallens</v>
          </cell>
          <cell r="B3967" t="str">
            <v>Mosses and liverworts</v>
          </cell>
          <cell r="C3967" t="str">
            <v>Bryophyta</v>
          </cell>
          <cell r="D3967" t="str">
            <v>Bryum pallens</v>
          </cell>
          <cell r="E3967" t="str">
            <v>LC</v>
          </cell>
          <cell r="F3967" t="str">
            <v>Callaghan, 2022</v>
          </cell>
          <cell r="G3967" t="str">
            <v>NBNSYS0000022271</v>
          </cell>
          <cell r="H3967" t="str">
            <v>Bryum pallens</v>
          </cell>
        </row>
        <row r="3968">
          <cell r="A3968" t="str">
            <v>Bryum pallescens</v>
          </cell>
          <cell r="B3968" t="str">
            <v>Mosses and liverworts</v>
          </cell>
          <cell r="C3968" t="str">
            <v>Bryophyta</v>
          </cell>
          <cell r="D3968" t="str">
            <v>Bryum pallescens</v>
          </cell>
          <cell r="E3968" t="str">
            <v>LC</v>
          </cell>
          <cell r="F3968" t="str">
            <v>Callaghan, 2022</v>
          </cell>
          <cell r="G3968" t="str">
            <v>NBNSYS0000036609</v>
          </cell>
          <cell r="H3968" t="str">
            <v>Bryum pallescens</v>
          </cell>
        </row>
        <row r="3969">
          <cell r="A3969" t="str">
            <v>Bryum pseudotriquetrum</v>
          </cell>
          <cell r="B3969" t="str">
            <v>Mosses and liverworts</v>
          </cell>
          <cell r="C3969" t="str">
            <v>Bryophyta</v>
          </cell>
          <cell r="D3969" t="str">
            <v>Bryum pseudotriquetrum</v>
          </cell>
          <cell r="E3969" t="str">
            <v>LC</v>
          </cell>
          <cell r="F3969" t="str">
            <v>Callaghan, 2022</v>
          </cell>
          <cell r="G3969" t="str">
            <v>NHMSYS0000309510</v>
          </cell>
          <cell r="H3969" t="str">
            <v>Bryum pseudotriquetrum</v>
          </cell>
        </row>
        <row r="3970">
          <cell r="A3970" t="str">
            <v>Bryum radiculosum</v>
          </cell>
          <cell r="B3970" t="str">
            <v>Mosses and liverworts</v>
          </cell>
          <cell r="C3970" t="str">
            <v>Bryophyta</v>
          </cell>
          <cell r="D3970" t="str">
            <v>Bryum radiculosum</v>
          </cell>
          <cell r="E3970" t="str">
            <v>LC</v>
          </cell>
          <cell r="F3970" t="str">
            <v>Callaghan, 2022</v>
          </cell>
          <cell r="G3970" t="str">
            <v>NBNSYS0000036631</v>
          </cell>
          <cell r="H3970" t="str">
            <v>Bryum radiculosum</v>
          </cell>
        </row>
        <row r="3971">
          <cell r="A3971" t="str">
            <v>Bryum riparium</v>
          </cell>
          <cell r="B3971" t="str">
            <v>Mosses and liverworts</v>
          </cell>
          <cell r="C3971" t="str">
            <v>Bryophyta</v>
          </cell>
          <cell r="D3971" t="str">
            <v>Bryum riparium</v>
          </cell>
          <cell r="E3971" t="str">
            <v>LC</v>
          </cell>
          <cell r="F3971" t="str">
            <v>Callaghan, 2022</v>
          </cell>
          <cell r="G3971" t="str">
            <v>NHMSYS0000309513</v>
          </cell>
          <cell r="H3971" t="str">
            <v>Bryum riparium</v>
          </cell>
        </row>
        <row r="3972">
          <cell r="A3972" t="str">
            <v>Bryum rubens</v>
          </cell>
          <cell r="B3972" t="str">
            <v>Mosses and liverworts</v>
          </cell>
          <cell r="C3972" t="str">
            <v>Bryophyta</v>
          </cell>
          <cell r="D3972" t="str">
            <v>Bryum rubens</v>
          </cell>
          <cell r="E3972" t="str">
            <v>LC</v>
          </cell>
          <cell r="F3972" t="str">
            <v>Callaghan, 2022</v>
          </cell>
          <cell r="G3972" t="str">
            <v>NBNSYS0000036639</v>
          </cell>
          <cell r="H3972" t="str">
            <v>Bryum rubens</v>
          </cell>
        </row>
        <row r="3973">
          <cell r="A3973" t="str">
            <v>Bryum ruderale</v>
          </cell>
          <cell r="B3973" t="str">
            <v>Mosses and liverworts</v>
          </cell>
          <cell r="C3973" t="str">
            <v>Bryophyta</v>
          </cell>
          <cell r="D3973" t="str">
            <v>Bryum ruderale</v>
          </cell>
          <cell r="E3973" t="str">
            <v>LC</v>
          </cell>
          <cell r="F3973" t="str">
            <v>Callaghan, 2022</v>
          </cell>
          <cell r="G3973" t="str">
            <v>NBNSYS0000036632</v>
          </cell>
          <cell r="H3973" t="str">
            <v>Bryum ruderale</v>
          </cell>
        </row>
        <row r="3974">
          <cell r="A3974" t="str">
            <v>Bryum sauteri</v>
          </cell>
          <cell r="B3974" t="str">
            <v>Mosses and liverworts</v>
          </cell>
          <cell r="C3974" t="str">
            <v>Bryophyta</v>
          </cell>
          <cell r="D3974" t="str">
            <v>Bryum sauteri</v>
          </cell>
          <cell r="E3974" t="str">
            <v>LC</v>
          </cell>
          <cell r="F3974" t="str">
            <v>Callaghan, 2022</v>
          </cell>
          <cell r="G3974" t="str">
            <v>NHMSYS0000309515</v>
          </cell>
          <cell r="H3974" t="str">
            <v>Bryum sauteri</v>
          </cell>
        </row>
        <row r="3975">
          <cell r="A3975" t="str">
            <v>Bryum subapiculatum</v>
          </cell>
          <cell r="B3975" t="str">
            <v>Mosses and liverworts</v>
          </cell>
          <cell r="C3975" t="str">
            <v>Bryophyta</v>
          </cell>
          <cell r="D3975" t="str">
            <v>Bryum subapiculatum</v>
          </cell>
          <cell r="E3975" t="str">
            <v>LC</v>
          </cell>
          <cell r="F3975" t="str">
            <v>Callaghan, 2022</v>
          </cell>
          <cell r="G3975" t="str">
            <v>NBNSYS0000143315</v>
          </cell>
          <cell r="H3975" t="str">
            <v>Bryum subapiculatum</v>
          </cell>
        </row>
        <row r="3976">
          <cell r="A3976" t="str">
            <v>Bryum tenuisetum</v>
          </cell>
          <cell r="B3976" t="str">
            <v>Mosses and liverworts</v>
          </cell>
          <cell r="C3976" t="str">
            <v>Bryophyta</v>
          </cell>
          <cell r="D3976" t="str">
            <v>Bryum tenuisetum</v>
          </cell>
          <cell r="E3976" t="str">
            <v>LC</v>
          </cell>
          <cell r="F3976" t="str">
            <v>Callaghan, 2022</v>
          </cell>
          <cell r="G3976" t="str">
            <v>NBNSYS0000036636</v>
          </cell>
          <cell r="H3976" t="str">
            <v>Bryum tenuisetum</v>
          </cell>
        </row>
        <row r="3977">
          <cell r="A3977" t="str">
            <v>Bryum torquescens</v>
          </cell>
          <cell r="B3977" t="str">
            <v>Mosses and liverworts</v>
          </cell>
          <cell r="C3977" t="str">
            <v>Bryophyta</v>
          </cell>
          <cell r="D3977" t="str">
            <v>Bryum torquescens</v>
          </cell>
          <cell r="E3977" t="str">
            <v>LC</v>
          </cell>
          <cell r="F3977" t="str">
            <v>Callaghan, 2022</v>
          </cell>
          <cell r="G3977" t="str">
            <v>NHMSYS0000309518</v>
          </cell>
          <cell r="H3977" t="str">
            <v>Bryum torquescens</v>
          </cell>
        </row>
        <row r="3978">
          <cell r="A3978" t="str">
            <v>Bryum turbinatum</v>
          </cell>
          <cell r="B3978" t="str">
            <v>Mosses and liverworts</v>
          </cell>
          <cell r="C3978" t="str">
            <v>Bryophyta</v>
          </cell>
          <cell r="D3978" t="str">
            <v>Bryum turbinatum</v>
          </cell>
          <cell r="E3978" t="str">
            <v>CR(PE)</v>
          </cell>
          <cell r="F3978" t="str">
            <v>Callaghan, 2022</v>
          </cell>
          <cell r="G3978" t="str">
            <v>NHMSYS0000309520</v>
          </cell>
          <cell r="H3978" t="str">
            <v>Bryum turbinatum</v>
          </cell>
        </row>
        <row r="3979">
          <cell r="A3979" t="str">
            <v>Bryum uliginosum</v>
          </cell>
          <cell r="B3979" t="str">
            <v>Mosses and liverworts</v>
          </cell>
          <cell r="C3979" t="str">
            <v>Bryophyta</v>
          </cell>
          <cell r="D3979" t="str">
            <v>Bryum uliginosum</v>
          </cell>
          <cell r="E3979" t="str">
            <v>CR(PE)</v>
          </cell>
          <cell r="F3979" t="str">
            <v>Callaghan, 2022</v>
          </cell>
          <cell r="G3979" t="str">
            <v>NHMSYS0000309521</v>
          </cell>
          <cell r="H3979" t="str">
            <v>Bryum uliginosum</v>
          </cell>
        </row>
        <row r="3980">
          <cell r="A3980" t="str">
            <v>Bryum violaceum</v>
          </cell>
          <cell r="B3980" t="str">
            <v>Mosses and liverworts</v>
          </cell>
          <cell r="C3980" t="str">
            <v>Bryophyta</v>
          </cell>
          <cell r="D3980" t="str">
            <v>Bryum violaceum</v>
          </cell>
          <cell r="E3980" t="str">
            <v>LC</v>
          </cell>
          <cell r="F3980" t="str">
            <v>Callaghan, 2022</v>
          </cell>
          <cell r="G3980" t="str">
            <v>NBNSYS0000036633</v>
          </cell>
          <cell r="H3980" t="str">
            <v>Bryum violaceum</v>
          </cell>
        </row>
        <row r="3981">
          <cell r="A3981" t="str">
            <v>Bryum warneum</v>
          </cell>
          <cell r="B3981" t="str">
            <v>Mosses and liverworts</v>
          </cell>
          <cell r="C3981" t="str">
            <v>Bryophyta</v>
          </cell>
          <cell r="D3981" t="str">
            <v>Bryum warneum</v>
          </cell>
          <cell r="E3981" t="str">
            <v>EN</v>
          </cell>
          <cell r="F3981" t="str">
            <v>Callaghan, 2022</v>
          </cell>
          <cell r="G3981" t="str">
            <v>NHMSYS0000309522</v>
          </cell>
          <cell r="H3981" t="str">
            <v>Bryum warneum</v>
          </cell>
        </row>
        <row r="3982">
          <cell r="A3982" t="str">
            <v>Bryum weigelii</v>
          </cell>
          <cell r="B3982" t="str">
            <v>Mosses and liverworts</v>
          </cell>
          <cell r="C3982" t="str">
            <v>Bryophyta</v>
          </cell>
          <cell r="D3982" t="str">
            <v>Bryum weigelii</v>
          </cell>
          <cell r="E3982" t="str">
            <v>LC</v>
          </cell>
          <cell r="F3982" t="str">
            <v>Callaghan, 2022</v>
          </cell>
          <cell r="G3982" t="str">
            <v>NBNSYS0000036591</v>
          </cell>
          <cell r="H3982" t="str">
            <v>Bryum weigelii</v>
          </cell>
        </row>
        <row r="3983">
          <cell r="A3983" t="str">
            <v>Bryum zieri</v>
          </cell>
          <cell r="B3983" t="str">
            <v>Mosses and liverworts</v>
          </cell>
          <cell r="C3983" t="str">
            <v>Bryophyta</v>
          </cell>
          <cell r="D3983" t="str">
            <v>Bryum zieri</v>
          </cell>
          <cell r="E3983" t="str">
            <v>LC</v>
          </cell>
          <cell r="F3983" t="str">
            <v>Callaghan, 2022</v>
          </cell>
          <cell r="G3983" t="str">
            <v>NBNSYS0000036573</v>
          </cell>
          <cell r="H3983" t="str">
            <v>Bryum zieri</v>
          </cell>
        </row>
        <row r="3984">
          <cell r="A3984" t="str">
            <v>Buxbaumia aphylla</v>
          </cell>
          <cell r="B3984" t="str">
            <v>Mosses and liverworts</v>
          </cell>
          <cell r="C3984" t="str">
            <v>Bryophyta</v>
          </cell>
          <cell r="D3984" t="str">
            <v>Buxbaumia aphylla</v>
          </cell>
          <cell r="E3984" t="str">
            <v>EN</v>
          </cell>
          <cell r="F3984" t="str">
            <v>Callaghan, 2022</v>
          </cell>
          <cell r="G3984" t="str">
            <v>NBNSYS0000036153</v>
          </cell>
          <cell r="H3984" t="str">
            <v>Buxbaumia aphylla</v>
          </cell>
        </row>
        <row r="3985">
          <cell r="A3985" t="str">
            <v>Calliergon cordifolium</v>
          </cell>
          <cell r="B3985" t="str">
            <v>Mosses and liverworts</v>
          </cell>
          <cell r="C3985" t="str">
            <v>Bryophyta</v>
          </cell>
          <cell r="D3985" t="str">
            <v>Calliergon cordifolium</v>
          </cell>
          <cell r="E3985" t="str">
            <v>LC</v>
          </cell>
          <cell r="F3985" t="str">
            <v>Callaghan, 2022</v>
          </cell>
          <cell r="G3985" t="str">
            <v>NBNSYS0000036844</v>
          </cell>
          <cell r="H3985" t="str">
            <v>Calliergon cordifolium</v>
          </cell>
        </row>
        <row r="3986">
          <cell r="A3986" t="str">
            <v>Calliergon giganteum</v>
          </cell>
          <cell r="B3986" t="str">
            <v>Mosses and liverworts</v>
          </cell>
          <cell r="C3986" t="str">
            <v>Bryophyta</v>
          </cell>
          <cell r="D3986" t="str">
            <v>Calliergon giganteum</v>
          </cell>
          <cell r="E3986" t="str">
            <v>LC</v>
          </cell>
          <cell r="F3986" t="str">
            <v>Callaghan, 2022</v>
          </cell>
          <cell r="G3986" t="str">
            <v>NBNSYS0000036845</v>
          </cell>
          <cell r="H3986" t="str">
            <v>Calliergon giganteum</v>
          </cell>
        </row>
        <row r="3987">
          <cell r="A3987" t="str">
            <v>Calliergonella cuspidata</v>
          </cell>
          <cell r="B3987" t="str">
            <v>Mosses and liverworts</v>
          </cell>
          <cell r="C3987" t="str">
            <v>Bryophyta</v>
          </cell>
          <cell r="D3987" t="str">
            <v>Calliergonella cuspidata</v>
          </cell>
          <cell r="E3987" t="str">
            <v>LC</v>
          </cell>
          <cell r="F3987" t="str">
            <v>Callaghan, 2022</v>
          </cell>
          <cell r="G3987" t="str">
            <v>NBNSYS0000143447</v>
          </cell>
          <cell r="H3987" t="str">
            <v>Calliergonella cuspidata</v>
          </cell>
        </row>
        <row r="3988">
          <cell r="A3988" t="str">
            <v>Calliergonella lindbergii</v>
          </cell>
          <cell r="B3988" t="str">
            <v>Mosses and liverworts</v>
          </cell>
          <cell r="C3988" t="str">
            <v>Bryophyta</v>
          </cell>
          <cell r="D3988" t="str">
            <v>Calliergonella lindbergii</v>
          </cell>
          <cell r="E3988" t="str">
            <v>LC</v>
          </cell>
          <cell r="F3988" t="str">
            <v>Callaghan, 2022</v>
          </cell>
          <cell r="G3988" t="str">
            <v>NHMSYS0021194596</v>
          </cell>
          <cell r="H3988" t="str">
            <v>Calliergonella lindbergii</v>
          </cell>
        </row>
        <row r="3989">
          <cell r="A3989" t="str">
            <v>Calypogeia arguta</v>
          </cell>
          <cell r="B3989" t="str">
            <v>Mosses and liverworts</v>
          </cell>
          <cell r="C3989" t="str">
            <v>Bryophyta</v>
          </cell>
          <cell r="D3989" t="str">
            <v>Calypogeia arguta</v>
          </cell>
          <cell r="E3989" t="str">
            <v>LC</v>
          </cell>
          <cell r="F3989" t="str">
            <v>Callaghan, 2022</v>
          </cell>
          <cell r="G3989" t="str">
            <v>NHMSYS0000309533</v>
          </cell>
          <cell r="H3989" t="str">
            <v>Calypogeia arguta</v>
          </cell>
        </row>
        <row r="3990">
          <cell r="A3990" t="str">
            <v>Calypogeia azurea</v>
          </cell>
          <cell r="B3990" t="str">
            <v>Mosses and liverworts</v>
          </cell>
          <cell r="C3990" t="str">
            <v>Bryophyta</v>
          </cell>
          <cell r="D3990" t="str">
            <v>Calypogeia azurea</v>
          </cell>
          <cell r="E3990" t="str">
            <v>LC</v>
          </cell>
          <cell r="F3990" t="str">
            <v>Callaghan, 2022</v>
          </cell>
          <cell r="G3990" t="str">
            <v>NBNSYS0000035787</v>
          </cell>
          <cell r="H3990" t="str">
            <v>Calypogeia azurea</v>
          </cell>
        </row>
        <row r="3991">
          <cell r="A3991" t="str">
            <v>Calypogeia fissa</v>
          </cell>
          <cell r="B3991" t="str">
            <v>Mosses and liverworts</v>
          </cell>
          <cell r="C3991" t="str">
            <v>Bryophyta</v>
          </cell>
          <cell r="D3991" t="str">
            <v>Calypogeia fissa</v>
          </cell>
          <cell r="E3991" t="str">
            <v>LC</v>
          </cell>
          <cell r="F3991" t="str">
            <v>Callaghan, 2022</v>
          </cell>
          <cell r="G3991" t="str">
            <v>NBNSYS0000035781</v>
          </cell>
          <cell r="H3991" t="str">
            <v>Calypogeia fissa</v>
          </cell>
        </row>
        <row r="3992">
          <cell r="A3992" t="str">
            <v>Calypogeia integristipula</v>
          </cell>
          <cell r="B3992" t="str">
            <v>Mosses and liverworts</v>
          </cell>
          <cell r="C3992" t="str">
            <v>Bryophyta</v>
          </cell>
          <cell r="D3992" t="str">
            <v>Calypogeia integristipula</v>
          </cell>
          <cell r="E3992" t="str">
            <v>LC</v>
          </cell>
          <cell r="F3992" t="str">
            <v>Callaghan, 2022</v>
          </cell>
          <cell r="G3992" t="str">
            <v>NBNSYS0000035784</v>
          </cell>
          <cell r="H3992" t="str">
            <v>Calypogeia integristipula</v>
          </cell>
        </row>
        <row r="3993">
          <cell r="A3993" t="str">
            <v>Calypogeia muelleriana</v>
          </cell>
          <cell r="B3993" t="str">
            <v>Mosses and liverworts</v>
          </cell>
          <cell r="C3993" t="str">
            <v>Bryophyta</v>
          </cell>
          <cell r="D3993" t="str">
            <v>Calypogeia muelleriana</v>
          </cell>
          <cell r="E3993" t="str">
            <v>LC</v>
          </cell>
          <cell r="F3993" t="str">
            <v>Callaghan, 2022</v>
          </cell>
          <cell r="G3993" t="str">
            <v>NHMSYS0000309536</v>
          </cell>
          <cell r="H3993" t="str">
            <v>Calypogeia muelleriana</v>
          </cell>
        </row>
        <row r="3994">
          <cell r="A3994" t="str">
            <v>Calypogeia neesiana</v>
          </cell>
          <cell r="B3994" t="str">
            <v>Mosses and liverworts</v>
          </cell>
          <cell r="C3994" t="str">
            <v>Bryophyta</v>
          </cell>
          <cell r="D3994" t="str">
            <v>Calypogeia neesiana</v>
          </cell>
          <cell r="E3994" t="str">
            <v>LC</v>
          </cell>
          <cell r="F3994" t="str">
            <v>Callaghan, 2022</v>
          </cell>
          <cell r="G3994" t="str">
            <v>NHMSYS0000309539</v>
          </cell>
          <cell r="H3994" t="str">
            <v>Calypogeia neesiana</v>
          </cell>
        </row>
        <row r="3995">
          <cell r="A3995" t="str">
            <v>Calypogeia sphagnicola</v>
          </cell>
          <cell r="B3995" t="str">
            <v>Mosses and liverworts</v>
          </cell>
          <cell r="C3995" t="str">
            <v>Bryophyta</v>
          </cell>
          <cell r="D3995" t="str">
            <v>Calypogeia sphagnicola</v>
          </cell>
          <cell r="E3995" t="str">
            <v>LC</v>
          </cell>
          <cell r="F3995" t="str">
            <v>Callaghan, 2022</v>
          </cell>
          <cell r="G3995" t="str">
            <v>NHMSYS0000309541</v>
          </cell>
          <cell r="H3995" t="str">
            <v>Calypogeia sphagnicola</v>
          </cell>
        </row>
        <row r="3996">
          <cell r="A3996" t="str">
            <v>Campylium chrysophyllum</v>
          </cell>
          <cell r="B3996" t="str">
            <v>Mosses and liverworts</v>
          </cell>
          <cell r="C3996" t="str">
            <v>Bryophyta</v>
          </cell>
          <cell r="D3996" t="str">
            <v>Campylium chrysophyllum</v>
          </cell>
          <cell r="E3996" t="str">
            <v>LC</v>
          </cell>
          <cell r="F3996" t="str">
            <v>Callaghan, 2022</v>
          </cell>
          <cell r="G3996" t="str">
            <v>NBNSYS0100002174</v>
          </cell>
          <cell r="H3996" t="str">
            <v>Campylium chrysophyllum</v>
          </cell>
        </row>
        <row r="3997">
          <cell r="A3997" t="str">
            <v>Campylium protensum</v>
          </cell>
          <cell r="B3997" t="str">
            <v>Mosses and liverworts</v>
          </cell>
          <cell r="C3997" t="str">
            <v>Bryophyta</v>
          </cell>
          <cell r="D3997" t="str">
            <v>Campylium protensum</v>
          </cell>
          <cell r="E3997" t="str">
            <v>LC</v>
          </cell>
          <cell r="F3997" t="str">
            <v>Callaghan, 2022</v>
          </cell>
          <cell r="G3997" t="str">
            <v>NBNSYS0000143585</v>
          </cell>
          <cell r="H3997" t="str">
            <v>Campylium protensum</v>
          </cell>
        </row>
        <row r="3998">
          <cell r="A3998" t="str">
            <v>Campylium stellatum</v>
          </cell>
          <cell r="B3998" t="str">
            <v>Mosses and liverworts</v>
          </cell>
          <cell r="C3998" t="str">
            <v>Bryophyta</v>
          </cell>
          <cell r="D3998" t="str">
            <v>Campylium stellatum</v>
          </cell>
          <cell r="E3998" t="str">
            <v>LC</v>
          </cell>
          <cell r="F3998" t="str">
            <v>Callaghan, 2022</v>
          </cell>
          <cell r="G3998" t="str">
            <v>NHMSYS0021195185</v>
          </cell>
          <cell r="H3998" t="str">
            <v>Campylium stellatum</v>
          </cell>
        </row>
        <row r="3999">
          <cell r="A3999" t="str">
            <v>Campylophyllopsis calcarea</v>
          </cell>
          <cell r="B3999" t="str">
            <v>Mosses and liverworts</v>
          </cell>
          <cell r="C3999" t="str">
            <v>Bryophyta</v>
          </cell>
          <cell r="D3999" t="str">
            <v>Campylophyllopsis calcarea</v>
          </cell>
          <cell r="E3999" t="str">
            <v>LC</v>
          </cell>
          <cell r="F3999" t="str">
            <v>Callaghan, 2022</v>
          </cell>
          <cell r="G3999" t="str">
            <v>NHMSYS0000309562</v>
          </cell>
          <cell r="H3999" t="str">
            <v>Campylophyllopsis calcarea</v>
          </cell>
        </row>
        <row r="4000">
          <cell r="A4000" t="str">
            <v>Campylopus atrovirens</v>
          </cell>
          <cell r="B4000" t="str">
            <v>Mosses and liverworts</v>
          </cell>
          <cell r="C4000" t="str">
            <v>Bryophyta</v>
          </cell>
          <cell r="D4000" t="str">
            <v>Campylopus atrovirens</v>
          </cell>
          <cell r="E4000" t="str">
            <v>LC</v>
          </cell>
          <cell r="F4000" t="str">
            <v>Callaghan, 2022</v>
          </cell>
          <cell r="G4000" t="str">
            <v>NBNSYS0000036257</v>
          </cell>
          <cell r="H4000" t="str">
            <v>Campylopus atrovirens</v>
          </cell>
        </row>
        <row r="4001">
          <cell r="A4001" t="str">
            <v>Campylopus brevipilus</v>
          </cell>
          <cell r="B4001" t="str">
            <v>Mosses and liverworts</v>
          </cell>
          <cell r="C4001" t="str">
            <v>Bryophyta</v>
          </cell>
          <cell r="D4001" t="str">
            <v>Campylopus brevipilus</v>
          </cell>
          <cell r="E4001" t="str">
            <v>LC</v>
          </cell>
          <cell r="F4001" t="str">
            <v>Callaghan, 2022</v>
          </cell>
          <cell r="G4001" t="str">
            <v>NHMSYS0000309567</v>
          </cell>
          <cell r="H4001" t="str">
            <v>Campylopus brevipilus</v>
          </cell>
        </row>
        <row r="4002">
          <cell r="A4002" t="str">
            <v>Campylopus flexuosus</v>
          </cell>
          <cell r="B4002" t="str">
            <v>Mosses and liverworts</v>
          </cell>
          <cell r="C4002" t="str">
            <v>Bryophyta</v>
          </cell>
          <cell r="D4002" t="str">
            <v>Campylopus flexuosus</v>
          </cell>
          <cell r="E4002" t="str">
            <v>LC</v>
          </cell>
          <cell r="F4002" t="str">
            <v>Callaghan, 2022</v>
          </cell>
          <cell r="G4002" t="str">
            <v>NHMSYS0000309568</v>
          </cell>
          <cell r="H4002" t="str">
            <v>Campylopus flexuosus</v>
          </cell>
        </row>
        <row r="4003">
          <cell r="A4003" t="str">
            <v>Campylopus fragilis</v>
          </cell>
          <cell r="B4003" t="str">
            <v>Mosses and liverworts</v>
          </cell>
          <cell r="C4003" t="str">
            <v>Bryophyta</v>
          </cell>
          <cell r="D4003" t="str">
            <v>Campylopus fragilis</v>
          </cell>
          <cell r="E4003" t="str">
            <v>LC</v>
          </cell>
          <cell r="F4003" t="str">
            <v>Callaghan, 2022</v>
          </cell>
          <cell r="G4003" t="str">
            <v>NHMSYS0000309569</v>
          </cell>
          <cell r="H4003" t="str">
            <v>Campylopus fragilis</v>
          </cell>
        </row>
        <row r="4004">
          <cell r="A4004" t="str">
            <v>Campylopus gracilis</v>
          </cell>
          <cell r="B4004" t="str">
            <v>Mosses and liverworts</v>
          </cell>
          <cell r="C4004" t="str">
            <v>Bryophyta</v>
          </cell>
          <cell r="D4004" t="str">
            <v>Campylopus gracilis</v>
          </cell>
          <cell r="E4004" t="str">
            <v>LC</v>
          </cell>
          <cell r="F4004" t="str">
            <v>Callaghan, 2022</v>
          </cell>
          <cell r="G4004" t="str">
            <v>NBNSYS0100002179</v>
          </cell>
          <cell r="H4004" t="str">
            <v>Campylopus gracilis</v>
          </cell>
        </row>
        <row r="4005">
          <cell r="A4005" t="str">
            <v>Campylopus pilifer</v>
          </cell>
          <cell r="B4005" t="str">
            <v>Mosses and liverworts</v>
          </cell>
          <cell r="C4005" t="str">
            <v>Bryophyta</v>
          </cell>
          <cell r="D4005" t="str">
            <v>Campylopus pilifer</v>
          </cell>
          <cell r="E4005" t="str">
            <v>LC</v>
          </cell>
          <cell r="F4005" t="str">
            <v>Callaghan, 2022</v>
          </cell>
          <cell r="G4005" t="str">
            <v>NBNSYS0000143595</v>
          </cell>
          <cell r="H4005" t="str">
            <v>Campylopus pilifer</v>
          </cell>
        </row>
        <row r="4006">
          <cell r="A4006" t="str">
            <v>Campylopus pyriformis</v>
          </cell>
          <cell r="B4006" t="str">
            <v>Mosses and liverworts</v>
          </cell>
          <cell r="C4006" t="str">
            <v>Bryophyta</v>
          </cell>
          <cell r="D4006" t="str">
            <v>Campylopus pyriformis</v>
          </cell>
          <cell r="E4006" t="str">
            <v>LC</v>
          </cell>
          <cell r="F4006" t="str">
            <v>Callaghan, 2022</v>
          </cell>
          <cell r="G4006" t="str">
            <v>NBNSYS0000036250</v>
          </cell>
          <cell r="H4006" t="str">
            <v>Campylopus pyriformis</v>
          </cell>
        </row>
        <row r="4007">
          <cell r="A4007" t="str">
            <v>Campylopus setifolius</v>
          </cell>
          <cell r="B4007" t="str">
            <v>Mosses and liverworts</v>
          </cell>
          <cell r="C4007" t="str">
            <v>Bryophyta</v>
          </cell>
          <cell r="D4007" t="str">
            <v>Campylopus setifolius</v>
          </cell>
          <cell r="E4007" t="str">
            <v>LC</v>
          </cell>
          <cell r="F4007" t="str">
            <v>Callaghan, 2022</v>
          </cell>
          <cell r="G4007" t="str">
            <v>NHMSYS0000309576</v>
          </cell>
          <cell r="H4007" t="str">
            <v>Campylopus setifolius</v>
          </cell>
        </row>
        <row r="4008">
          <cell r="A4008" t="str">
            <v>Campylopus subulatus</v>
          </cell>
          <cell r="B4008" t="str">
            <v>Mosses and liverworts</v>
          </cell>
          <cell r="C4008" t="str">
            <v>Bryophyta</v>
          </cell>
          <cell r="D4008" t="str">
            <v>Campylopus subulatus</v>
          </cell>
          <cell r="E4008" t="str">
            <v>LC</v>
          </cell>
          <cell r="F4008" t="str">
            <v>Callaghan, 2022</v>
          </cell>
          <cell r="G4008" t="str">
            <v>NHMSYS0000309578</v>
          </cell>
          <cell r="H4008" t="str">
            <v>Campylopus subulatus</v>
          </cell>
        </row>
        <row r="4009">
          <cell r="A4009" t="str">
            <v>Campylostelium saxicola</v>
          </cell>
          <cell r="B4009" t="str">
            <v>Mosses and liverworts</v>
          </cell>
          <cell r="C4009" t="str">
            <v>Bryophyta</v>
          </cell>
          <cell r="D4009" t="str">
            <v>Campylostelium saxicola</v>
          </cell>
          <cell r="E4009" t="str">
            <v>LC</v>
          </cell>
          <cell r="F4009" t="str">
            <v>Callaghan, 2022</v>
          </cell>
          <cell r="G4009" t="str">
            <v>NHMSYS0000309580</v>
          </cell>
          <cell r="H4009" t="str">
            <v>Campylostelium saxicola</v>
          </cell>
        </row>
        <row r="4010">
          <cell r="A4010" t="str">
            <v>Catoscopium nigritum</v>
          </cell>
          <cell r="B4010" t="str">
            <v>Mosses and liverworts</v>
          </cell>
          <cell r="C4010" t="str">
            <v>Bryophyta</v>
          </cell>
          <cell r="D4010" t="str">
            <v>Catoscopium nigritum</v>
          </cell>
          <cell r="E4010" t="str">
            <v>NT</v>
          </cell>
          <cell r="F4010" t="str">
            <v>Callaghan, 2022</v>
          </cell>
          <cell r="G4010" t="str">
            <v>NBNSYS0000036670</v>
          </cell>
          <cell r="H4010" t="str">
            <v>Catoscopium nigritum</v>
          </cell>
        </row>
        <row r="4011">
          <cell r="A4011" t="str">
            <v>Cephalozia bicuspidata</v>
          </cell>
          <cell r="B4011" t="str">
            <v>Mosses and liverworts</v>
          </cell>
          <cell r="C4011" t="str">
            <v>Bryophyta</v>
          </cell>
          <cell r="D4011" t="str">
            <v>Cephalozia bicuspidata</v>
          </cell>
          <cell r="E4011" t="str">
            <v>LC</v>
          </cell>
          <cell r="F4011" t="str">
            <v>Callaghan, 2022</v>
          </cell>
          <cell r="G4011" t="str">
            <v>NHMSYS0000309586</v>
          </cell>
          <cell r="H4011" t="str">
            <v>Cephalozia bicuspidata</v>
          </cell>
        </row>
        <row r="4012">
          <cell r="A4012" t="str">
            <v>Cephalozia catenulata</v>
          </cell>
          <cell r="B4012" t="str">
            <v>Mosses and liverworts</v>
          </cell>
          <cell r="C4012" t="str">
            <v>Bryophyta</v>
          </cell>
          <cell r="D4012" t="str">
            <v>Cephalozia catenulata</v>
          </cell>
          <cell r="E4012" t="str">
            <v>LC</v>
          </cell>
          <cell r="F4012" t="str">
            <v>Callaghan, 2022</v>
          </cell>
          <cell r="G4012" t="str">
            <v>NHMSYS0000309590</v>
          </cell>
          <cell r="H4012" t="str">
            <v>Cephalozia catenulata</v>
          </cell>
        </row>
        <row r="4013">
          <cell r="A4013" t="str">
            <v>Cephalozia connivens</v>
          </cell>
          <cell r="B4013" t="str">
            <v>Mosses and liverworts</v>
          </cell>
          <cell r="C4013" t="str">
            <v>Bryophyta</v>
          </cell>
          <cell r="D4013" t="str">
            <v>Cephalozia connivens</v>
          </cell>
          <cell r="E4013" t="str">
            <v>LC</v>
          </cell>
          <cell r="F4013" t="str">
            <v>Callaghan, 2022</v>
          </cell>
          <cell r="G4013" t="str">
            <v>NBNSYS0000035801</v>
          </cell>
          <cell r="H4013" t="str">
            <v>Cephalozia connivens</v>
          </cell>
        </row>
        <row r="4014">
          <cell r="A4014" t="str">
            <v>Cephalozia curvifolia</v>
          </cell>
          <cell r="B4014" t="str">
            <v>Mosses and liverworts</v>
          </cell>
          <cell r="C4014" t="str">
            <v>Bryophyta</v>
          </cell>
          <cell r="D4014" t="str">
            <v>Cephalozia curvifolia</v>
          </cell>
          <cell r="E4014" t="str">
            <v>LC</v>
          </cell>
          <cell r="F4014" t="str">
            <v>Callaghan, 2022</v>
          </cell>
          <cell r="G4014" t="str">
            <v>NBNSYS0000035803</v>
          </cell>
          <cell r="H4014" t="str">
            <v>Cephalozia curvifolia</v>
          </cell>
        </row>
        <row r="4015">
          <cell r="A4015" t="str">
            <v>Cephalozia leucantha</v>
          </cell>
          <cell r="B4015" t="str">
            <v>Mosses and liverworts</v>
          </cell>
          <cell r="C4015" t="str">
            <v>Bryophyta</v>
          </cell>
          <cell r="D4015" t="str">
            <v>Cephalozia leucantha</v>
          </cell>
          <cell r="E4015" t="str">
            <v>NT</v>
          </cell>
          <cell r="F4015" t="str">
            <v>Callaghan, 2022</v>
          </cell>
          <cell r="G4015" t="str">
            <v>NBNSYS0000035797</v>
          </cell>
          <cell r="H4015" t="str">
            <v>Cephalozia leucantha</v>
          </cell>
        </row>
        <row r="4016">
          <cell r="A4016" t="str">
            <v>Cephalozia loitlesbergeri</v>
          </cell>
          <cell r="B4016" t="str">
            <v>Mosses and liverworts</v>
          </cell>
          <cell r="C4016" t="str">
            <v>Bryophyta</v>
          </cell>
          <cell r="D4016" t="str">
            <v>Cephalozia loitlesbergeri</v>
          </cell>
          <cell r="E4016" t="str">
            <v>LC</v>
          </cell>
          <cell r="F4016" t="str">
            <v>Callaghan, 2022</v>
          </cell>
          <cell r="G4016" t="str">
            <v>NBNSYS0000035800</v>
          </cell>
          <cell r="H4016" t="str">
            <v>Cephalozia loitlesbergeri</v>
          </cell>
        </row>
        <row r="4017">
          <cell r="A4017" t="str">
            <v>Cephalozia lunulifolia</v>
          </cell>
          <cell r="B4017" t="str">
            <v>Mosses and liverworts</v>
          </cell>
          <cell r="C4017" t="str">
            <v>Bryophyta</v>
          </cell>
          <cell r="D4017" t="str">
            <v>Cephalozia lunulifolia</v>
          </cell>
          <cell r="E4017" t="str">
            <v>LC</v>
          </cell>
          <cell r="F4017" t="str">
            <v>Callaghan, 2022</v>
          </cell>
          <cell r="G4017" t="str">
            <v>NHMSYS0000309592</v>
          </cell>
          <cell r="H4017" t="str">
            <v>Cephalozia lunulifolia</v>
          </cell>
        </row>
        <row r="4018">
          <cell r="A4018" t="str">
            <v>Cephalozia macrostachya</v>
          </cell>
          <cell r="B4018" t="str">
            <v>Mosses and liverworts</v>
          </cell>
          <cell r="C4018" t="str">
            <v>Bryophyta</v>
          </cell>
          <cell r="D4018" t="str">
            <v>Cephalozia macrostachya</v>
          </cell>
          <cell r="E4018" t="str">
            <v>LC</v>
          </cell>
          <cell r="F4018" t="str">
            <v>Callaghan, 2022</v>
          </cell>
          <cell r="G4018" t="str">
            <v>NBNSYS0000035794</v>
          </cell>
          <cell r="H4018" t="str">
            <v>Cephalozia macrostachya</v>
          </cell>
        </row>
        <row r="4019">
          <cell r="A4019" t="str">
            <v>Cephalozia pleniceps</v>
          </cell>
          <cell r="B4019" t="str">
            <v>Mosses and liverworts</v>
          </cell>
          <cell r="C4019" t="str">
            <v>Bryophyta</v>
          </cell>
          <cell r="D4019" t="str">
            <v>Cephalozia pleniceps</v>
          </cell>
          <cell r="E4019" t="str">
            <v>LC</v>
          </cell>
          <cell r="F4019" t="str">
            <v>Callaghan, 2022</v>
          </cell>
          <cell r="G4019" t="str">
            <v>NHMSYS0000309596</v>
          </cell>
          <cell r="H4019" t="str">
            <v>Cephalozia pleniceps</v>
          </cell>
        </row>
        <row r="4020">
          <cell r="A4020" t="str">
            <v>Cephaloziella baumgartneri</v>
          </cell>
          <cell r="B4020" t="str">
            <v>Mosses and liverworts</v>
          </cell>
          <cell r="C4020" t="str">
            <v>Bryophyta</v>
          </cell>
          <cell r="D4020" t="str">
            <v>Cephaloziella baumgartneri</v>
          </cell>
          <cell r="E4020" t="str">
            <v>EN</v>
          </cell>
          <cell r="F4020" t="str">
            <v>Callaghan, 2022</v>
          </cell>
          <cell r="G4020" t="str">
            <v>NBNSYS0000035817</v>
          </cell>
          <cell r="H4020" t="str">
            <v>Cephaloziella baumgartneri</v>
          </cell>
        </row>
        <row r="4021">
          <cell r="A4021" t="str">
            <v>Cephaloziella calyculata</v>
          </cell>
          <cell r="B4021" t="str">
            <v>Mosses and liverworts</v>
          </cell>
          <cell r="C4021" t="str">
            <v>Bryophyta</v>
          </cell>
          <cell r="D4021" t="str">
            <v>Cephaloziella calyculata</v>
          </cell>
          <cell r="E4021" t="str">
            <v>EN</v>
          </cell>
          <cell r="F4021" t="str">
            <v>Callaghan, 2022</v>
          </cell>
          <cell r="G4021" t="str">
            <v>NHMSYS0000309599</v>
          </cell>
          <cell r="H4021" t="str">
            <v>Cephaloziella calyculata</v>
          </cell>
        </row>
        <row r="4022">
          <cell r="A4022" t="str">
            <v>Cephaloziella dentata</v>
          </cell>
          <cell r="B4022" t="str">
            <v>Mosses and liverworts</v>
          </cell>
          <cell r="C4022" t="str">
            <v>Bryophyta</v>
          </cell>
          <cell r="D4022" t="str">
            <v>Cephaloziella dentata</v>
          </cell>
          <cell r="E4022" t="str">
            <v>EN</v>
          </cell>
          <cell r="F4022" t="str">
            <v>Callaghan, 2022</v>
          </cell>
          <cell r="G4022" t="str">
            <v>NHMSYS0000309600</v>
          </cell>
          <cell r="H4022" t="str">
            <v>Cephaloziella dentata</v>
          </cell>
        </row>
        <row r="4023">
          <cell r="A4023" t="str">
            <v>Cephaloziella divaricata</v>
          </cell>
          <cell r="B4023" t="str">
            <v>Mosses and liverworts</v>
          </cell>
          <cell r="C4023" t="str">
            <v>Bryophyta</v>
          </cell>
          <cell r="D4023" t="str">
            <v>Cephaloziella divaricata</v>
          </cell>
          <cell r="E4023" t="str">
            <v>LC</v>
          </cell>
          <cell r="F4023" t="str">
            <v>Callaghan, 2022</v>
          </cell>
          <cell r="G4023" t="str">
            <v>NBNSYS0000035818</v>
          </cell>
          <cell r="H4023" t="str">
            <v>Cephaloziella divaricata</v>
          </cell>
        </row>
        <row r="4024">
          <cell r="A4024" t="str">
            <v>Cephaloziella hampeana</v>
          </cell>
          <cell r="B4024" t="str">
            <v>Mosses and liverworts</v>
          </cell>
          <cell r="C4024" t="str">
            <v>Bryophyta</v>
          </cell>
          <cell r="D4024" t="str">
            <v>Cephaloziella hampeana</v>
          </cell>
          <cell r="E4024" t="str">
            <v>LC</v>
          </cell>
          <cell r="F4024" t="str">
            <v>Callaghan, 2022</v>
          </cell>
          <cell r="G4024" t="str">
            <v>NBNSYS0000035816</v>
          </cell>
          <cell r="H4024" t="str">
            <v>Cephaloziella hampeana</v>
          </cell>
        </row>
        <row r="4025">
          <cell r="A4025" t="str">
            <v>Cephaloziella integerrima</v>
          </cell>
          <cell r="B4025" t="str">
            <v>Mosses and liverworts</v>
          </cell>
          <cell r="C4025" t="str">
            <v>Bryophyta</v>
          </cell>
          <cell r="D4025" t="str">
            <v>Cephaloziella integerrima</v>
          </cell>
          <cell r="E4025" t="str">
            <v>EN</v>
          </cell>
          <cell r="F4025" t="str">
            <v>Callaghan, 2022</v>
          </cell>
          <cell r="G4025" t="str">
            <v>NBNSYS0000035824</v>
          </cell>
          <cell r="H4025" t="str">
            <v>Cephaloziella integerrima</v>
          </cell>
        </row>
        <row r="4026">
          <cell r="A4026" t="str">
            <v>Cephaloziella massalongoi</v>
          </cell>
          <cell r="B4026" t="str">
            <v>Mosses and liverworts</v>
          </cell>
          <cell r="C4026" t="str">
            <v>Bryophyta</v>
          </cell>
          <cell r="D4026" t="str">
            <v>Cephaloziella massalongoi</v>
          </cell>
          <cell r="E4026" t="str">
            <v>EN</v>
          </cell>
          <cell r="F4026" t="str">
            <v>Callaghan, 2022</v>
          </cell>
          <cell r="G4026" t="str">
            <v>NHMSYS0000309602</v>
          </cell>
          <cell r="H4026" t="str">
            <v>Cephaloziella massalongoi</v>
          </cell>
        </row>
        <row r="4027">
          <cell r="A4027" t="str">
            <v>Cephaloziella nicholsonii</v>
          </cell>
          <cell r="B4027" t="str">
            <v>Mosses and liverworts</v>
          </cell>
          <cell r="C4027" t="str">
            <v>Bryophyta</v>
          </cell>
          <cell r="D4027" t="str">
            <v>Cephaloziella nicholsonii</v>
          </cell>
          <cell r="E4027" t="str">
            <v>VU</v>
          </cell>
          <cell r="F4027" t="str">
            <v>Callaghan, 2022</v>
          </cell>
          <cell r="G4027" t="str">
            <v>NHMSYS0000309603</v>
          </cell>
          <cell r="H4027" t="str">
            <v>Cephaloziella nicholsonii</v>
          </cell>
        </row>
        <row r="4028">
          <cell r="A4028" t="str">
            <v>Cephaloziella rubella</v>
          </cell>
          <cell r="B4028" t="str">
            <v>Mosses and liverworts</v>
          </cell>
          <cell r="C4028" t="str">
            <v>Bryophyta</v>
          </cell>
          <cell r="D4028" t="str">
            <v>Cephaloziella rubella</v>
          </cell>
          <cell r="E4028" t="str">
            <v>LC</v>
          </cell>
          <cell r="F4028" t="str">
            <v>Callaghan, 2022</v>
          </cell>
          <cell r="G4028" t="str">
            <v>NBNSYS0000035815</v>
          </cell>
          <cell r="H4028" t="str">
            <v>Cephaloziella rubella</v>
          </cell>
        </row>
        <row r="4029">
          <cell r="A4029" t="str">
            <v>Cephaloziella spinigera</v>
          </cell>
          <cell r="B4029" t="str">
            <v>Mosses and liverworts</v>
          </cell>
          <cell r="C4029" t="str">
            <v>Bryophyta</v>
          </cell>
          <cell r="D4029" t="str">
            <v>Cephaloziella spinigera</v>
          </cell>
          <cell r="E4029" t="str">
            <v>LC</v>
          </cell>
          <cell r="F4029" t="str">
            <v>Callaghan, 2022</v>
          </cell>
          <cell r="G4029" t="str">
            <v>NHMSYS0000309605</v>
          </cell>
          <cell r="H4029" t="str">
            <v>Cephaloziella spinigera</v>
          </cell>
        </row>
        <row r="4030">
          <cell r="A4030" t="str">
            <v>Cephaloziella stellulifera</v>
          </cell>
          <cell r="B4030" t="str">
            <v>Mosses and liverworts</v>
          </cell>
          <cell r="C4030" t="str">
            <v>Bryophyta</v>
          </cell>
          <cell r="D4030" t="str">
            <v>Cephaloziella stellulifera</v>
          </cell>
          <cell r="E4030" t="str">
            <v>NT</v>
          </cell>
          <cell r="F4030" t="str">
            <v>Callaghan, 2022</v>
          </cell>
          <cell r="G4030" t="str">
            <v>NHMSYS0000309606</v>
          </cell>
          <cell r="H4030" t="str">
            <v>Cephaloziella stellulifera</v>
          </cell>
        </row>
        <row r="4031">
          <cell r="A4031" t="str">
            <v>Cephaloziella turneri</v>
          </cell>
          <cell r="B4031" t="str">
            <v>Mosses and liverworts</v>
          </cell>
          <cell r="C4031" t="str">
            <v>Bryophyta</v>
          </cell>
          <cell r="D4031" t="str">
            <v>Cephaloziella turneri</v>
          </cell>
          <cell r="E4031" t="str">
            <v>NT</v>
          </cell>
          <cell r="F4031" t="str">
            <v>Callaghan, 2022</v>
          </cell>
          <cell r="G4031" t="str">
            <v>NHMSYS0000309608</v>
          </cell>
          <cell r="H4031" t="str">
            <v>Cephaloziella turneri</v>
          </cell>
        </row>
        <row r="4032">
          <cell r="A4032" t="str">
            <v>Ceratodon purpureus</v>
          </cell>
          <cell r="B4032" t="str">
            <v>Mosses and liverworts</v>
          </cell>
          <cell r="C4032" t="str">
            <v>Bryophyta</v>
          </cell>
          <cell r="D4032" t="str">
            <v>Ceratodon purpureus</v>
          </cell>
          <cell r="E4032" t="str">
            <v>LC</v>
          </cell>
          <cell r="F4032" t="str">
            <v>Callaghan, 2022</v>
          </cell>
          <cell r="G4032" t="str">
            <v>NHMSYS0000310860</v>
          </cell>
          <cell r="H4032" t="str">
            <v>Ceratodon purpureus</v>
          </cell>
        </row>
        <row r="4033">
          <cell r="A4033" t="str">
            <v>Cheilothela chloropus</v>
          </cell>
          <cell r="B4033" t="str">
            <v>Mosses and liverworts</v>
          </cell>
          <cell r="C4033" t="str">
            <v>Bryophyta</v>
          </cell>
          <cell r="D4033" t="str">
            <v>Cheilothela chloropus</v>
          </cell>
          <cell r="E4033" t="str">
            <v>EN</v>
          </cell>
          <cell r="F4033" t="str">
            <v>Callaghan, 2022</v>
          </cell>
          <cell r="G4033" t="str">
            <v>NHMSYS0000309618</v>
          </cell>
          <cell r="H4033" t="str">
            <v>Cheilothela chloropus</v>
          </cell>
        </row>
        <row r="4034">
          <cell r="A4034" t="str">
            <v>Chenia leptophylla</v>
          </cell>
          <cell r="B4034" t="str">
            <v>Mosses and liverworts</v>
          </cell>
          <cell r="C4034" t="str">
            <v>Bryophyta</v>
          </cell>
          <cell r="D4034" t="str">
            <v>Chenia leptophylla</v>
          </cell>
          <cell r="E4034" t="str">
            <v>LC</v>
          </cell>
          <cell r="F4034" t="str">
            <v>Callaghan, 2022</v>
          </cell>
          <cell r="G4034" t="str">
            <v>NHMSYS0021194686</v>
          </cell>
          <cell r="H4034" t="str">
            <v>Chenia leptophylla</v>
          </cell>
        </row>
        <row r="4035">
          <cell r="A4035" t="str">
            <v>Chiloscyphus pallescens</v>
          </cell>
          <cell r="B4035" t="str">
            <v>Mosses and liverworts</v>
          </cell>
          <cell r="C4035" t="str">
            <v>Bryophyta</v>
          </cell>
          <cell r="D4035" t="str">
            <v>Chiloscyphus pallescens</v>
          </cell>
          <cell r="E4035" t="str">
            <v>LC</v>
          </cell>
          <cell r="F4035" t="str">
            <v>Callaghan, 2022</v>
          </cell>
          <cell r="G4035" t="str">
            <v>NHMSYS0000309622</v>
          </cell>
          <cell r="H4035" t="str">
            <v>Chiloscyphus pallescens</v>
          </cell>
        </row>
        <row r="4036">
          <cell r="A4036" t="str">
            <v>Chiloscyphus polyanthos</v>
          </cell>
          <cell r="B4036" t="str">
            <v>Mosses and liverworts</v>
          </cell>
          <cell r="C4036" t="str">
            <v>Bryophyta</v>
          </cell>
          <cell r="D4036" t="str">
            <v>Chiloscyphus polyanthos</v>
          </cell>
          <cell r="E4036" t="str">
            <v>LC</v>
          </cell>
          <cell r="F4036" t="str">
            <v>Callaghan, 2022</v>
          </cell>
          <cell r="G4036" t="str">
            <v>NHMSYS0000310861</v>
          </cell>
          <cell r="H4036" t="str">
            <v>Chiloscyphus polyanthos</v>
          </cell>
        </row>
        <row r="4037">
          <cell r="A4037" t="str">
            <v>Chionoloma cylindrotheca</v>
          </cell>
          <cell r="B4037" t="str">
            <v>Mosses and liverworts</v>
          </cell>
          <cell r="C4037" t="str">
            <v>Bryophyta</v>
          </cell>
          <cell r="D4037" t="str">
            <v>Chionoloma cylindrotheca</v>
          </cell>
          <cell r="E4037" t="str">
            <v>LC</v>
          </cell>
          <cell r="F4037" t="str">
            <v>Callaghan, 2022</v>
          </cell>
          <cell r="G4037" t="str">
            <v>NHMSYS0021126019</v>
          </cell>
          <cell r="H4037" t="str">
            <v>Chionoloma cylindrotheca</v>
          </cell>
        </row>
        <row r="4038">
          <cell r="A4038" t="str">
            <v>Chionoloma recurvifolium</v>
          </cell>
          <cell r="B4038" t="str">
            <v>Mosses and liverworts</v>
          </cell>
          <cell r="C4038" t="str">
            <v>Bryophyta</v>
          </cell>
          <cell r="D4038" t="str">
            <v>Chionoloma recurvifolium</v>
          </cell>
          <cell r="E4038" t="str">
            <v>LC</v>
          </cell>
          <cell r="F4038" t="str">
            <v>Callaghan, 2022</v>
          </cell>
          <cell r="G4038" t="str">
            <v>NHMSYS0000310415</v>
          </cell>
          <cell r="H4038" t="str">
            <v>Chionoloma recurvifolium</v>
          </cell>
        </row>
        <row r="4039">
          <cell r="A4039" t="str">
            <v>Chionoloma tenuirostre</v>
          </cell>
          <cell r="B4039" t="str">
            <v>Mosses and liverworts</v>
          </cell>
          <cell r="C4039" t="str">
            <v>Bryophyta</v>
          </cell>
          <cell r="D4039" t="str">
            <v>Chionoloma tenuirostre</v>
          </cell>
          <cell r="E4039" t="str">
            <v>LC</v>
          </cell>
          <cell r="F4039" t="str">
            <v>Callaghan, 2022</v>
          </cell>
          <cell r="G4039" t="str">
            <v>NBNSYS0000036424</v>
          </cell>
          <cell r="H4039" t="str">
            <v>Chionoloma tenuirostre</v>
          </cell>
        </row>
        <row r="4040">
          <cell r="A4040" t="str">
            <v>Cinclidium stygium</v>
          </cell>
          <cell r="B4040" t="str">
            <v>Mosses and liverworts</v>
          </cell>
          <cell r="C4040" t="str">
            <v>Bryophyta</v>
          </cell>
          <cell r="D4040" t="str">
            <v>Cinclidium stygium</v>
          </cell>
          <cell r="E4040" t="str">
            <v>NT</v>
          </cell>
          <cell r="F4040" t="str">
            <v>Callaghan, 2022</v>
          </cell>
          <cell r="G4040" t="str">
            <v>NBNSYS0000036649</v>
          </cell>
          <cell r="H4040" t="str">
            <v>Cinclidium stygium</v>
          </cell>
        </row>
        <row r="4041">
          <cell r="A4041" t="str">
            <v>Cinclidotus fontinaloides</v>
          </cell>
          <cell r="B4041" t="str">
            <v>Mosses and liverworts</v>
          </cell>
          <cell r="C4041" t="str">
            <v>Bryophyta</v>
          </cell>
          <cell r="D4041" t="str">
            <v>Cinclidotus fontinaloides</v>
          </cell>
          <cell r="E4041" t="str">
            <v>LC</v>
          </cell>
          <cell r="F4041" t="str">
            <v>Callaghan, 2022</v>
          </cell>
          <cell r="G4041" t="str">
            <v>NBNSYS0000036442</v>
          </cell>
          <cell r="H4041" t="str">
            <v>Cinclidotus fontinaloides</v>
          </cell>
        </row>
        <row r="4042">
          <cell r="A4042" t="str">
            <v>Cinclidotus riparius</v>
          </cell>
          <cell r="B4042" t="str">
            <v>Mosses and liverworts</v>
          </cell>
          <cell r="C4042" t="str">
            <v>Bryophyta</v>
          </cell>
          <cell r="D4042" t="str">
            <v>Cinclidotus riparius</v>
          </cell>
          <cell r="E4042" t="str">
            <v>VU</v>
          </cell>
          <cell r="F4042" t="str">
            <v>Callaghan, 2022</v>
          </cell>
          <cell r="G4042" t="str">
            <v>NHMSYS0000309630</v>
          </cell>
          <cell r="H4042" t="str">
            <v>Cinclidotus riparius</v>
          </cell>
        </row>
        <row r="4043">
          <cell r="A4043" t="str">
            <v>Cirriphyllum crassinervium</v>
          </cell>
          <cell r="B4043" t="str">
            <v>Mosses and liverworts</v>
          </cell>
          <cell r="C4043" t="str">
            <v>Bryophyta</v>
          </cell>
          <cell r="D4043" t="str">
            <v>Cirriphyllum crassinervium</v>
          </cell>
          <cell r="E4043" t="str">
            <v>LC</v>
          </cell>
          <cell r="F4043" t="str">
            <v>Callaghan, 2022</v>
          </cell>
          <cell r="G4043" t="str">
            <v>NHMSYS0021195217</v>
          </cell>
          <cell r="H4043" t="str">
            <v>Cirriphyllum crassinervium</v>
          </cell>
        </row>
        <row r="4044">
          <cell r="A4044" t="str">
            <v>Cirriphyllum piliferum</v>
          </cell>
          <cell r="B4044" t="str">
            <v>Mosses and liverworts</v>
          </cell>
          <cell r="C4044" t="str">
            <v>Bryophyta</v>
          </cell>
          <cell r="D4044" t="str">
            <v>Cirriphyllum piliferum</v>
          </cell>
          <cell r="E4044" t="str">
            <v>LC</v>
          </cell>
          <cell r="F4044" t="str">
            <v>Callaghan, 2022</v>
          </cell>
          <cell r="G4044" t="str">
            <v>NBNSYS0000036875</v>
          </cell>
          <cell r="H4044" t="str">
            <v>Cirriphyllum piliferum</v>
          </cell>
        </row>
        <row r="4045">
          <cell r="A4045" t="str">
            <v>Climacium dendroides</v>
          </cell>
          <cell r="B4045" t="str">
            <v>Mosses and liverworts</v>
          </cell>
          <cell r="C4045" t="str">
            <v>Bryophyta</v>
          </cell>
          <cell r="D4045" t="str">
            <v>Climacium dendroides</v>
          </cell>
          <cell r="E4045" t="str">
            <v>LC</v>
          </cell>
          <cell r="F4045" t="str">
            <v>Callaghan, 2022</v>
          </cell>
          <cell r="G4045" t="str">
            <v>NHMSYS0000309639</v>
          </cell>
          <cell r="H4045" t="str">
            <v>Climacium dendroides</v>
          </cell>
        </row>
        <row r="4046">
          <cell r="A4046" t="str">
            <v>Codonoblepharon forsteri</v>
          </cell>
          <cell r="B4046" t="str">
            <v>Mosses and liverworts</v>
          </cell>
          <cell r="C4046" t="str">
            <v>Bryophyta</v>
          </cell>
          <cell r="D4046" t="str">
            <v>Codonoblepharon forsteri</v>
          </cell>
          <cell r="E4046" t="str">
            <v>EN</v>
          </cell>
          <cell r="F4046" t="str">
            <v>Callaghan, 2022</v>
          </cell>
          <cell r="G4046" t="str">
            <v>NHMSYS0000310579</v>
          </cell>
          <cell r="H4046" t="str">
            <v>Codonoblepharon forsteri</v>
          </cell>
        </row>
        <row r="4047">
          <cell r="A4047" t="str">
            <v>Cololejeunea calcarea</v>
          </cell>
          <cell r="B4047" t="str">
            <v>Mosses and liverworts</v>
          </cell>
          <cell r="C4047" t="str">
            <v>Bryophyta</v>
          </cell>
          <cell r="D4047" t="str">
            <v>Cololejeunea calcarea</v>
          </cell>
          <cell r="E4047" t="str">
            <v>LC</v>
          </cell>
          <cell r="F4047" t="str">
            <v>Callaghan, 2022</v>
          </cell>
          <cell r="G4047" t="str">
            <v>NHMSYS0000309690</v>
          </cell>
          <cell r="H4047" t="str">
            <v>Cololejeunea calcarea</v>
          </cell>
        </row>
        <row r="4048">
          <cell r="A4048" t="str">
            <v>Cololejeunea microscopica</v>
          </cell>
          <cell r="B4048" t="str">
            <v>Mosses and liverworts</v>
          </cell>
          <cell r="C4048" t="str">
            <v>Bryophyta</v>
          </cell>
          <cell r="D4048" t="str">
            <v>Cololejeunea microscopica</v>
          </cell>
          <cell r="E4048" t="str">
            <v>LC</v>
          </cell>
          <cell r="F4048" t="str">
            <v>Callaghan, 2022</v>
          </cell>
          <cell r="G4048" t="str">
            <v>NHMSYS0000309370</v>
          </cell>
          <cell r="H4048" t="str">
            <v>Cololejeunea microscopica</v>
          </cell>
        </row>
        <row r="4049">
          <cell r="A4049" t="str">
            <v>Cololejeunea rossettiana</v>
          </cell>
          <cell r="B4049" t="str">
            <v>Mosses and liverworts</v>
          </cell>
          <cell r="C4049" t="str">
            <v>Bryophyta</v>
          </cell>
          <cell r="D4049" t="str">
            <v>Cololejeunea rossettiana</v>
          </cell>
          <cell r="E4049" t="str">
            <v>LC</v>
          </cell>
          <cell r="F4049" t="str">
            <v>Callaghan, 2022</v>
          </cell>
          <cell r="G4049" t="str">
            <v>NHMSYS0000309693</v>
          </cell>
          <cell r="H4049" t="str">
            <v>Cololejeunea rossettiana</v>
          </cell>
        </row>
        <row r="4050">
          <cell r="A4050" t="str">
            <v>Colura calyptrifolia</v>
          </cell>
          <cell r="B4050" t="str">
            <v>Mosses and liverworts</v>
          </cell>
          <cell r="C4050" t="str">
            <v>Bryophyta</v>
          </cell>
          <cell r="D4050" t="str">
            <v>Colura calyptrifolia</v>
          </cell>
          <cell r="E4050" t="str">
            <v>LC</v>
          </cell>
          <cell r="F4050" t="str">
            <v>Callaghan, 2022</v>
          </cell>
          <cell r="G4050" t="str">
            <v>NHMSYS0000309695</v>
          </cell>
          <cell r="H4050" t="str">
            <v>Colura calyptrifolia</v>
          </cell>
        </row>
        <row r="4051">
          <cell r="A4051" t="str">
            <v>Conardia compacta</v>
          </cell>
          <cell r="B4051" t="str">
            <v>Mosses and liverworts</v>
          </cell>
          <cell r="C4051" t="str">
            <v>Bryophyta</v>
          </cell>
          <cell r="D4051" t="str">
            <v>Conardia compacta</v>
          </cell>
          <cell r="E4051" t="str">
            <v>NT</v>
          </cell>
          <cell r="F4051" t="str">
            <v>Callaghan, 2022</v>
          </cell>
          <cell r="G4051" t="str">
            <v>NHMSYS0000309697</v>
          </cell>
          <cell r="H4051" t="str">
            <v>Conardia compacta</v>
          </cell>
        </row>
        <row r="4052">
          <cell r="A4052" t="str">
            <v>Conocephalum conicum</v>
          </cell>
          <cell r="B4052" t="str">
            <v>Mosses and liverworts</v>
          </cell>
          <cell r="C4052" t="str">
            <v>Bryophyta</v>
          </cell>
          <cell r="D4052" t="str">
            <v>Conocephalum conicum</v>
          </cell>
          <cell r="E4052" t="str">
            <v>LC</v>
          </cell>
          <cell r="F4052" t="str">
            <v>Callaghan, 2022</v>
          </cell>
          <cell r="G4052" t="str">
            <v>NHMSYS0000309700</v>
          </cell>
          <cell r="H4052" t="str">
            <v>Conocephalum conicum</v>
          </cell>
        </row>
        <row r="4053">
          <cell r="A4053" t="str">
            <v>Conocephalum salebrosum</v>
          </cell>
          <cell r="B4053" t="str">
            <v>Mosses and liverworts</v>
          </cell>
          <cell r="C4053" t="str">
            <v>Bryophyta</v>
          </cell>
          <cell r="D4053" t="str">
            <v>Conocephalum salebrosum</v>
          </cell>
          <cell r="E4053" t="str">
            <v>LC</v>
          </cell>
          <cell r="F4053" t="str">
            <v>Callaghan, 2022</v>
          </cell>
          <cell r="G4053" t="str">
            <v>NHMSYS0001696738</v>
          </cell>
          <cell r="H4053" t="str">
            <v>Conocephalum salebrosum</v>
          </cell>
        </row>
        <row r="4054">
          <cell r="A4054" t="str">
            <v>Conostomum tetragonum</v>
          </cell>
          <cell r="B4054" t="str">
            <v>Mosses and liverworts</v>
          </cell>
          <cell r="C4054" t="str">
            <v>Bryophyta</v>
          </cell>
          <cell r="D4054" t="str">
            <v>Conostomum tetragonum</v>
          </cell>
          <cell r="E4054" t="str">
            <v>NT</v>
          </cell>
          <cell r="F4054" t="str">
            <v>Callaghan, 2022</v>
          </cell>
          <cell r="G4054" t="str">
            <v>NBNSYS0000036676</v>
          </cell>
          <cell r="H4054" t="str">
            <v>Conostomum tetragonum</v>
          </cell>
        </row>
        <row r="4055">
          <cell r="A4055" t="str">
            <v>Coscinodon cribrosus</v>
          </cell>
          <cell r="B4055" t="str">
            <v>Mosses and liverworts</v>
          </cell>
          <cell r="C4055" t="str">
            <v>Bryophyta</v>
          </cell>
          <cell r="D4055" t="str">
            <v>Coscinodon cribrosus</v>
          </cell>
          <cell r="E4055" t="str">
            <v>LC</v>
          </cell>
          <cell r="F4055" t="str">
            <v>Callaghan, 2022</v>
          </cell>
          <cell r="G4055" t="str">
            <v>NBNSYS0000036445</v>
          </cell>
          <cell r="H4055" t="str">
            <v>Coscinodon cribrosus</v>
          </cell>
        </row>
        <row r="4056">
          <cell r="A4056" t="str">
            <v>Cratoneuron filicinum</v>
          </cell>
          <cell r="B4056" t="str">
            <v>Mosses and liverworts</v>
          </cell>
          <cell r="C4056" t="str">
            <v>Bryophyta</v>
          </cell>
          <cell r="D4056" t="str">
            <v>Cratoneuron filicinum</v>
          </cell>
          <cell r="E4056" t="str">
            <v>LC</v>
          </cell>
          <cell r="F4056" t="str">
            <v>Callaghan, 2022</v>
          </cell>
          <cell r="G4056" t="str">
            <v>NBNSYS0000036790</v>
          </cell>
          <cell r="H4056" t="str">
            <v>Cratoneuron filicinum</v>
          </cell>
        </row>
        <row r="4057">
          <cell r="A4057" t="str">
            <v>Crossidium squamiferum</v>
          </cell>
          <cell r="B4057" t="str">
            <v>Mosses and liverworts</v>
          </cell>
          <cell r="C4057" t="str">
            <v>Bryophyta</v>
          </cell>
          <cell r="D4057" t="str">
            <v>Crossidium squamiferum</v>
          </cell>
          <cell r="E4057" t="str">
            <v>CR</v>
          </cell>
          <cell r="F4057" t="str">
            <v>Callaghan, 2022</v>
          </cell>
          <cell r="G4057" t="str">
            <v>NHMSYS0020978999</v>
          </cell>
          <cell r="H4057" t="str">
            <v>Crossidium squamiferum</v>
          </cell>
        </row>
        <row r="4058">
          <cell r="A4058" t="str">
            <v>Cryphaea heteromalla</v>
          </cell>
          <cell r="B4058" t="str">
            <v>Mosses and liverworts</v>
          </cell>
          <cell r="C4058" t="str">
            <v>Bryophyta</v>
          </cell>
          <cell r="D4058" t="str">
            <v>Cryphaea heteromalla</v>
          </cell>
          <cell r="E4058" t="str">
            <v>LC</v>
          </cell>
          <cell r="F4058" t="str">
            <v>Callaghan, 2022</v>
          </cell>
          <cell r="G4058" t="str">
            <v>NHMSYS0000309714</v>
          </cell>
          <cell r="H4058" t="str">
            <v>Cryphaea heteromalla</v>
          </cell>
        </row>
        <row r="4059">
          <cell r="A4059" t="str">
            <v>Ctenidium molluscum</v>
          </cell>
          <cell r="B4059" t="str">
            <v>Mosses and liverworts</v>
          </cell>
          <cell r="C4059" t="str">
            <v>Bryophyta</v>
          </cell>
          <cell r="D4059" t="str">
            <v>Ctenidium molluscum</v>
          </cell>
          <cell r="E4059" t="str">
            <v>LC</v>
          </cell>
          <cell r="F4059" t="str">
            <v>Callaghan, 2022</v>
          </cell>
          <cell r="G4059" t="str">
            <v>NBNSYS0000036948</v>
          </cell>
          <cell r="H4059" t="str">
            <v>Ctenidium molluscum</v>
          </cell>
        </row>
        <row r="4060">
          <cell r="A4060" t="str">
            <v>Cyclodictyon laetevirens</v>
          </cell>
          <cell r="B4060" t="str">
            <v>Mosses and liverworts</v>
          </cell>
          <cell r="C4060" t="str">
            <v>Bryophyta</v>
          </cell>
          <cell r="D4060" t="str">
            <v>Cyclodictyon laetevirens</v>
          </cell>
          <cell r="E4060" t="str">
            <v>CR</v>
          </cell>
          <cell r="F4060" t="str">
            <v>Callaghan, 2022</v>
          </cell>
          <cell r="G4060" t="str">
            <v>NHMSYS0000309724</v>
          </cell>
          <cell r="H4060" t="str">
            <v>Cyclodictyon laetevirens</v>
          </cell>
        </row>
        <row r="4061">
          <cell r="A4061" t="str">
            <v>Cynodontium bruntonii</v>
          </cell>
          <cell r="B4061" t="str">
            <v>Mosses and liverworts</v>
          </cell>
          <cell r="C4061" t="str">
            <v>Bryophyta</v>
          </cell>
          <cell r="D4061" t="str">
            <v>Cynodontium bruntonii</v>
          </cell>
          <cell r="E4061" t="str">
            <v>LC</v>
          </cell>
          <cell r="F4061" t="str">
            <v>Callaghan, 2022</v>
          </cell>
          <cell r="G4061" t="str">
            <v>NHMSYS0000309726</v>
          </cell>
          <cell r="H4061" t="str">
            <v>Cynodontium bruntonii</v>
          </cell>
        </row>
        <row r="4062">
          <cell r="A4062" t="str">
            <v>Cynodontium jenneri</v>
          </cell>
          <cell r="B4062" t="str">
            <v>Mosses and liverworts</v>
          </cell>
          <cell r="C4062" t="str">
            <v>Bryophyta</v>
          </cell>
          <cell r="D4062" t="str">
            <v>Cynodontium jenneri</v>
          </cell>
          <cell r="E4062" t="str">
            <v>LC</v>
          </cell>
          <cell r="F4062" t="str">
            <v>Callaghan, 2022</v>
          </cell>
          <cell r="G4062" t="str">
            <v>NHMSYS0000309727</v>
          </cell>
          <cell r="H4062" t="str">
            <v>Cynodontium jenneri</v>
          </cell>
        </row>
        <row r="4063">
          <cell r="A4063" t="str">
            <v>Cynodontium polycarpon</v>
          </cell>
          <cell r="B4063" t="str">
            <v>Mosses and liverworts</v>
          </cell>
          <cell r="C4063" t="str">
            <v>Bryophyta</v>
          </cell>
          <cell r="D4063" t="str">
            <v>Cynodontium polycarpon</v>
          </cell>
          <cell r="E4063" t="str">
            <v>EN</v>
          </cell>
          <cell r="F4063" t="str">
            <v>Callaghan, 2022</v>
          </cell>
          <cell r="G4063" t="str">
            <v>NBNSYS0000036195</v>
          </cell>
          <cell r="H4063" t="str">
            <v>Cynodontium polycarpon</v>
          </cell>
        </row>
        <row r="4064">
          <cell r="A4064" t="str">
            <v>Daltonia splachnoides</v>
          </cell>
          <cell r="B4064" t="str">
            <v>Mosses and liverworts</v>
          </cell>
          <cell r="C4064" t="str">
            <v>Bryophyta</v>
          </cell>
          <cell r="D4064" t="str">
            <v>Daltonia splachnoides</v>
          </cell>
          <cell r="E4064" t="str">
            <v>LC</v>
          </cell>
          <cell r="F4064" t="str">
            <v>Callaghan, 2022</v>
          </cell>
          <cell r="G4064" t="str">
            <v>NHMSYS0000309731</v>
          </cell>
          <cell r="H4064" t="str">
            <v>Daltonia splachnoides</v>
          </cell>
        </row>
        <row r="4065">
          <cell r="A4065" t="str">
            <v>Dendrocryphaea lamyana</v>
          </cell>
          <cell r="B4065" t="str">
            <v>Mosses and liverworts</v>
          </cell>
          <cell r="C4065" t="str">
            <v>Bryophyta</v>
          </cell>
          <cell r="D4065" t="str">
            <v>Dendrocryphaea lamyana</v>
          </cell>
          <cell r="E4065" t="str">
            <v>VU</v>
          </cell>
          <cell r="F4065" t="str">
            <v>Callaghan, 2022</v>
          </cell>
          <cell r="G4065" t="str">
            <v>NHMSYS0021194614</v>
          </cell>
          <cell r="H4065" t="str">
            <v>Dendrocryphaea lamyana</v>
          </cell>
        </row>
        <row r="4066">
          <cell r="A4066" t="str">
            <v>Dialytrichia mucronata</v>
          </cell>
          <cell r="B4066" t="str">
            <v>Mosses and liverworts</v>
          </cell>
          <cell r="C4066" t="str">
            <v>Bryophyta</v>
          </cell>
          <cell r="D4066" t="str">
            <v>Dialytrichia mucronata</v>
          </cell>
          <cell r="E4066" t="str">
            <v>LC</v>
          </cell>
          <cell r="F4066" t="str">
            <v>Callaghan, 2022</v>
          </cell>
          <cell r="G4066" t="str">
            <v>NBNSYS0000145923</v>
          </cell>
          <cell r="H4066" t="str">
            <v>Dialytrichia mucronata</v>
          </cell>
        </row>
        <row r="4067">
          <cell r="A4067" t="str">
            <v>Dialytrichia saxicola</v>
          </cell>
          <cell r="B4067" t="str">
            <v>Mosses and liverworts</v>
          </cell>
          <cell r="C4067" t="str">
            <v>Bryophyta</v>
          </cell>
          <cell r="D4067" t="str">
            <v>Dialytrichia saxicola</v>
          </cell>
          <cell r="E4067" t="str">
            <v>LC</v>
          </cell>
          <cell r="F4067" t="str">
            <v>Callaghan, 2022</v>
          </cell>
          <cell r="G4067" t="str">
            <v>NHMSYS0020636829</v>
          </cell>
          <cell r="H4067" t="str">
            <v>Dialytrichia saxicola</v>
          </cell>
        </row>
        <row r="4068">
          <cell r="A4068" t="str">
            <v>Dichodontium flavescens</v>
          </cell>
          <cell r="B4068" t="str">
            <v>Mosses and liverworts</v>
          </cell>
          <cell r="C4068" t="str">
            <v>Bryophyta</v>
          </cell>
          <cell r="D4068" t="str">
            <v>Dichodontium flavescens</v>
          </cell>
          <cell r="E4068" t="str">
            <v>LC</v>
          </cell>
          <cell r="F4068" t="str">
            <v>Callaghan, 2022</v>
          </cell>
          <cell r="G4068" t="str">
            <v>NHMSYS0000309740</v>
          </cell>
          <cell r="H4068" t="str">
            <v>Dichodontium flavescens</v>
          </cell>
        </row>
        <row r="4069">
          <cell r="A4069" t="str">
            <v>Dichodontium palustre</v>
          </cell>
          <cell r="B4069" t="str">
            <v>Mosses and liverworts</v>
          </cell>
          <cell r="C4069" t="str">
            <v>Bryophyta</v>
          </cell>
          <cell r="D4069" t="str">
            <v>Dichodontium palustre</v>
          </cell>
          <cell r="E4069" t="str">
            <v>LC</v>
          </cell>
          <cell r="F4069" t="str">
            <v>Callaghan, 2022</v>
          </cell>
          <cell r="G4069" t="str">
            <v>NHMSYS0021178755</v>
          </cell>
          <cell r="H4069" t="str">
            <v>Dichodontium palustre</v>
          </cell>
        </row>
        <row r="4070">
          <cell r="A4070" t="str">
            <v>Dichodontium pellucidum</v>
          </cell>
          <cell r="B4070" t="str">
            <v>Mosses and liverworts</v>
          </cell>
          <cell r="C4070" t="str">
            <v>Bryophyta</v>
          </cell>
          <cell r="D4070" t="str">
            <v>Dichodontium pellucidum</v>
          </cell>
          <cell r="E4070" t="str">
            <v>LC</v>
          </cell>
          <cell r="F4070" t="str">
            <v>Callaghan, 2022</v>
          </cell>
          <cell r="G4070" t="str">
            <v>NHMSYS0000310864</v>
          </cell>
          <cell r="H4070" t="str">
            <v>Dichodontium pellucidum</v>
          </cell>
        </row>
        <row r="4071">
          <cell r="A4071" t="str">
            <v>Dicranella cerviculata</v>
          </cell>
          <cell r="B4071" t="str">
            <v>Mosses and liverworts</v>
          </cell>
          <cell r="C4071" t="str">
            <v>Bryophyta</v>
          </cell>
          <cell r="D4071" t="str">
            <v>Dicranella cerviculata</v>
          </cell>
          <cell r="E4071" t="str">
            <v>LC</v>
          </cell>
          <cell r="F4071" t="str">
            <v>Callaghan, 2022</v>
          </cell>
          <cell r="G4071" t="str">
            <v>NBNSYS0000036215</v>
          </cell>
          <cell r="H4071" t="str">
            <v>Dicranella cerviculata</v>
          </cell>
        </row>
        <row r="4072">
          <cell r="A4072" t="str">
            <v>Dicranella crispa</v>
          </cell>
          <cell r="B4072" t="str">
            <v>Mosses and liverworts</v>
          </cell>
          <cell r="C4072" t="str">
            <v>Bryophyta</v>
          </cell>
          <cell r="D4072" t="str">
            <v>Dicranella crispa</v>
          </cell>
          <cell r="E4072" t="str">
            <v>LC</v>
          </cell>
          <cell r="F4072" t="str">
            <v>Callaghan, 2022</v>
          </cell>
          <cell r="G4072" t="str">
            <v>NBNSYS0000036210</v>
          </cell>
          <cell r="H4072" t="str">
            <v>Dicranella crispa</v>
          </cell>
        </row>
        <row r="4073">
          <cell r="A4073" t="str">
            <v>Dicranella heteromalla</v>
          </cell>
          <cell r="B4073" t="str">
            <v>Mosses and liverworts</v>
          </cell>
          <cell r="C4073" t="str">
            <v>Bryophyta</v>
          </cell>
          <cell r="D4073" t="str">
            <v>Dicranella heteromalla</v>
          </cell>
          <cell r="E4073" t="str">
            <v>LC</v>
          </cell>
          <cell r="F4073" t="str">
            <v>Callaghan, 2022</v>
          </cell>
          <cell r="G4073" t="str">
            <v>NBNSYS0000036216</v>
          </cell>
          <cell r="H4073" t="str">
            <v>Dicranella heteromalla</v>
          </cell>
        </row>
        <row r="4074">
          <cell r="A4074" t="str">
            <v>Dicranella howei</v>
          </cell>
          <cell r="B4074" t="str">
            <v>Mosses and liverworts</v>
          </cell>
          <cell r="C4074" t="str">
            <v>Bryophyta</v>
          </cell>
          <cell r="D4074" t="str">
            <v>Dicranella howei</v>
          </cell>
          <cell r="E4074" t="str">
            <v>LC</v>
          </cell>
          <cell r="F4074" t="str">
            <v>Callaghan, 2022</v>
          </cell>
        </row>
        <row r="4074">
          <cell r="H4074" t="str">
            <v>Dicranella howei</v>
          </cell>
        </row>
        <row r="4075">
          <cell r="A4075" t="str">
            <v>Dicranella rufescens</v>
          </cell>
          <cell r="B4075" t="str">
            <v>Mosses and liverworts</v>
          </cell>
          <cell r="C4075" t="str">
            <v>Bryophyta</v>
          </cell>
          <cell r="D4075" t="str">
            <v>Dicranella rufescens</v>
          </cell>
          <cell r="E4075" t="str">
            <v>LC</v>
          </cell>
          <cell r="F4075" t="str">
            <v>Callaghan, 2022</v>
          </cell>
          <cell r="G4075" t="str">
            <v>NHMSYS0000309747</v>
          </cell>
          <cell r="H4075" t="str">
            <v>Dicranella rufescens</v>
          </cell>
        </row>
        <row r="4076">
          <cell r="A4076" t="str">
            <v>Dicranella schreberiana</v>
          </cell>
          <cell r="B4076" t="str">
            <v>Mosses and liverworts</v>
          </cell>
          <cell r="C4076" t="str">
            <v>Bryophyta</v>
          </cell>
          <cell r="D4076" t="str">
            <v>Dicranella schreberiana</v>
          </cell>
          <cell r="E4076" t="str">
            <v>LC</v>
          </cell>
          <cell r="F4076" t="str">
            <v>Callaghan, 2022</v>
          </cell>
          <cell r="G4076" t="str">
            <v>NBNSYS0100002799</v>
          </cell>
          <cell r="H4076" t="str">
            <v>Dicranella schreberiana</v>
          </cell>
        </row>
        <row r="4077">
          <cell r="A4077" t="str">
            <v>Dicranella staphylina</v>
          </cell>
          <cell r="B4077" t="str">
            <v>Mosses and liverworts</v>
          </cell>
          <cell r="C4077" t="str">
            <v>Bryophyta</v>
          </cell>
          <cell r="D4077" t="str">
            <v>Dicranella staphylina</v>
          </cell>
          <cell r="E4077" t="str">
            <v>LC</v>
          </cell>
          <cell r="F4077" t="str">
            <v>Callaghan, 2022</v>
          </cell>
          <cell r="G4077" t="str">
            <v>NHMSYS0000309750</v>
          </cell>
          <cell r="H4077" t="str">
            <v>Dicranella staphylina</v>
          </cell>
        </row>
        <row r="4078">
          <cell r="A4078" t="str">
            <v>Dicranella subulata</v>
          </cell>
          <cell r="B4078" t="str">
            <v>Mosses and liverworts</v>
          </cell>
          <cell r="C4078" t="str">
            <v>Bryophyta</v>
          </cell>
          <cell r="D4078" t="str">
            <v>Dicranella subulata</v>
          </cell>
          <cell r="E4078" t="str">
            <v>LC</v>
          </cell>
          <cell r="F4078" t="str">
            <v>Callaghan, 2022</v>
          </cell>
          <cell r="G4078" t="str">
            <v>NBNSYS0000036211</v>
          </cell>
          <cell r="H4078" t="str">
            <v>Dicranella subulata</v>
          </cell>
        </row>
        <row r="4079">
          <cell r="A4079" t="str">
            <v>Dicranella varia</v>
          </cell>
          <cell r="B4079" t="str">
            <v>Mosses and liverworts</v>
          </cell>
          <cell r="C4079" t="str">
            <v>Bryophyta</v>
          </cell>
          <cell r="D4079" t="str">
            <v>Dicranella varia</v>
          </cell>
          <cell r="E4079" t="str">
            <v>LC</v>
          </cell>
          <cell r="F4079" t="str">
            <v>Callaghan, 2022</v>
          </cell>
          <cell r="G4079" t="str">
            <v>NBNSYS0000036213</v>
          </cell>
          <cell r="H4079" t="str">
            <v>Dicranella varia</v>
          </cell>
        </row>
        <row r="4080">
          <cell r="A4080" t="str">
            <v>Dicranodontium asperulum</v>
          </cell>
          <cell r="B4080" t="str">
            <v>Mosses and liverworts</v>
          </cell>
          <cell r="C4080" t="str">
            <v>Bryophyta</v>
          </cell>
          <cell r="D4080" t="str">
            <v>Dicranodontium asperulum</v>
          </cell>
          <cell r="E4080" t="str">
            <v>LC</v>
          </cell>
          <cell r="F4080" t="str">
            <v>Callaghan, 2022</v>
          </cell>
          <cell r="G4080" t="str">
            <v>NBNSYS0000036240</v>
          </cell>
          <cell r="H4080" t="str">
            <v>Dicranodontium asperulum</v>
          </cell>
        </row>
        <row r="4081">
          <cell r="A4081" t="str">
            <v>Dicranodontium denudatum</v>
          </cell>
          <cell r="B4081" t="str">
            <v>Mosses and liverworts</v>
          </cell>
          <cell r="C4081" t="str">
            <v>Bryophyta</v>
          </cell>
          <cell r="D4081" t="str">
            <v>Dicranodontium denudatum</v>
          </cell>
          <cell r="E4081" t="str">
            <v>LC</v>
          </cell>
          <cell r="F4081" t="str">
            <v>Callaghan, 2022</v>
          </cell>
          <cell r="G4081" t="str">
            <v>NHMSYS0000309752</v>
          </cell>
          <cell r="H4081" t="str">
            <v>Dicranodontium denudatum</v>
          </cell>
        </row>
        <row r="4082">
          <cell r="A4082" t="str">
            <v>Dicranodontium uncinatum</v>
          </cell>
          <cell r="B4082" t="str">
            <v>Mosses and liverworts</v>
          </cell>
          <cell r="C4082" t="str">
            <v>Bryophyta</v>
          </cell>
          <cell r="D4082" t="str">
            <v>Dicranodontium uncinatum</v>
          </cell>
          <cell r="E4082" t="str">
            <v>LC</v>
          </cell>
          <cell r="F4082" t="str">
            <v>Callaghan, 2022</v>
          </cell>
          <cell r="G4082" t="str">
            <v>NHMSYS0000309755</v>
          </cell>
          <cell r="H4082" t="str">
            <v>Dicranodontium uncinatum</v>
          </cell>
        </row>
        <row r="4083">
          <cell r="A4083" t="str">
            <v>Dicranoweisia cirrata</v>
          </cell>
          <cell r="B4083" t="str">
            <v>Mosses and liverworts</v>
          </cell>
          <cell r="C4083" t="str">
            <v>Bryophyta</v>
          </cell>
          <cell r="D4083" t="str">
            <v>Dicranoweisia cirrata</v>
          </cell>
          <cell r="E4083" t="str">
            <v>LC</v>
          </cell>
          <cell r="F4083" t="str">
            <v>Callaghan, 2022</v>
          </cell>
          <cell r="G4083" t="str">
            <v>NBNSYS0000036217</v>
          </cell>
          <cell r="H4083" t="str">
            <v>Dicranoweisia cirrata</v>
          </cell>
        </row>
        <row r="4084">
          <cell r="A4084" t="str">
            <v>Dicranum bonjeanii</v>
          </cell>
          <cell r="B4084" t="str">
            <v>Mosses and liverworts</v>
          </cell>
          <cell r="C4084" t="str">
            <v>Bryophyta</v>
          </cell>
          <cell r="D4084" t="str">
            <v>Dicranum bonjeanii</v>
          </cell>
          <cell r="E4084" t="str">
            <v>LC</v>
          </cell>
          <cell r="F4084" t="str">
            <v>Callaghan, 2022</v>
          </cell>
          <cell r="G4084" t="str">
            <v>NHMSYS0000309761</v>
          </cell>
          <cell r="H4084" t="str">
            <v>Dicranum bonjeanii</v>
          </cell>
        </row>
        <row r="4085">
          <cell r="A4085" t="str">
            <v>Dicranum elongatum</v>
          </cell>
          <cell r="B4085" t="str">
            <v>Mosses and liverworts</v>
          </cell>
          <cell r="C4085" t="str">
            <v>Bryophyta</v>
          </cell>
          <cell r="D4085" t="str">
            <v>Dicranum elongatum</v>
          </cell>
          <cell r="E4085" t="str">
            <v>CR(PE)</v>
          </cell>
          <cell r="F4085" t="str">
            <v>Callaghan, 2022</v>
          </cell>
          <cell r="G4085" t="str">
            <v>NBNSYS0000036234</v>
          </cell>
          <cell r="H4085" t="str">
            <v>Dicranum elongatum</v>
          </cell>
        </row>
        <row r="4086">
          <cell r="A4086" t="str">
            <v>Dicranum flagellare</v>
          </cell>
          <cell r="B4086" t="str">
            <v>Mosses and liverworts</v>
          </cell>
          <cell r="C4086" t="str">
            <v>Bryophyta</v>
          </cell>
          <cell r="D4086" t="str">
            <v>Dicranum flagellare</v>
          </cell>
          <cell r="E4086" t="str">
            <v>LC</v>
          </cell>
          <cell r="F4086" t="str">
            <v>Callaghan, 2022</v>
          </cell>
          <cell r="G4086" t="str">
            <v>NBNSYS0000036237</v>
          </cell>
          <cell r="H4086" t="str">
            <v>Dicranum flagellare</v>
          </cell>
        </row>
        <row r="4087">
          <cell r="A4087" t="str">
            <v>Dicranum flexicaule</v>
          </cell>
          <cell r="B4087" t="str">
            <v>Mosses and liverworts</v>
          </cell>
          <cell r="C4087" t="str">
            <v>Bryophyta</v>
          </cell>
          <cell r="D4087" t="str">
            <v>Dicranum flexicaule</v>
          </cell>
          <cell r="E4087" t="str">
            <v>LC</v>
          </cell>
          <cell r="F4087" t="str">
            <v>Callaghan, 2022</v>
          </cell>
          <cell r="G4087" t="str">
            <v>NBNSYS0100002835</v>
          </cell>
          <cell r="H4087" t="str">
            <v>Dicranum flexicaule</v>
          </cell>
        </row>
        <row r="4088">
          <cell r="A4088" t="str">
            <v>Dicranum fuscescens</v>
          </cell>
          <cell r="B4088" t="str">
            <v>Mosses and liverworts</v>
          </cell>
          <cell r="C4088" t="str">
            <v>Bryophyta</v>
          </cell>
          <cell r="D4088" t="str">
            <v>Dicranum fuscescens</v>
          </cell>
          <cell r="E4088" t="str">
            <v>LC</v>
          </cell>
          <cell r="F4088" t="str">
            <v>Callaghan, 2022</v>
          </cell>
          <cell r="G4088" t="str">
            <v>NHMSYS0000310865</v>
          </cell>
          <cell r="H4088" t="str">
            <v>Dicranum fuscescens</v>
          </cell>
        </row>
        <row r="4089">
          <cell r="A4089" t="str">
            <v>Dicranum majus</v>
          </cell>
          <cell r="B4089" t="str">
            <v>Mosses and liverworts</v>
          </cell>
          <cell r="C4089" t="str">
            <v>Bryophyta</v>
          </cell>
          <cell r="D4089" t="str">
            <v>Dicranum majus</v>
          </cell>
          <cell r="E4089" t="str">
            <v>LC</v>
          </cell>
          <cell r="F4089" t="str">
            <v>Callaghan, 2022</v>
          </cell>
          <cell r="G4089" t="str">
            <v>NBNSYS0000036228</v>
          </cell>
          <cell r="H4089" t="str">
            <v>Dicranum majus</v>
          </cell>
        </row>
        <row r="4090">
          <cell r="A4090" t="str">
            <v>Dicranum montanum</v>
          </cell>
          <cell r="B4090" t="str">
            <v>Mosses and liverworts</v>
          </cell>
          <cell r="C4090" t="str">
            <v>Bryophyta</v>
          </cell>
          <cell r="D4090" t="str">
            <v>Dicranum montanum</v>
          </cell>
          <cell r="E4090" t="str">
            <v>LC</v>
          </cell>
          <cell r="F4090" t="str">
            <v>Callaghan, 2022</v>
          </cell>
          <cell r="G4090" t="str">
            <v>NBNSYS0000036236</v>
          </cell>
          <cell r="H4090" t="str">
            <v>Dicranum montanum</v>
          </cell>
        </row>
        <row r="4091">
          <cell r="A4091" t="str">
            <v>Dicranum polysetum</v>
          </cell>
          <cell r="B4091" t="str">
            <v>Mosses and liverworts</v>
          </cell>
          <cell r="C4091" t="str">
            <v>Bryophyta</v>
          </cell>
          <cell r="D4091" t="str">
            <v>Dicranum polysetum</v>
          </cell>
          <cell r="E4091" t="str">
            <v>LC</v>
          </cell>
          <cell r="F4091" t="str">
            <v>Callaghan, 2022</v>
          </cell>
          <cell r="G4091" t="str">
            <v>NBNSYS0000036224</v>
          </cell>
          <cell r="H4091" t="str">
            <v>Dicranum polysetum</v>
          </cell>
        </row>
        <row r="4092">
          <cell r="A4092" t="str">
            <v>Dicranum scoparium</v>
          </cell>
          <cell r="B4092" t="str">
            <v>Mosses and liverworts</v>
          </cell>
          <cell r="C4092" t="str">
            <v>Bryophyta</v>
          </cell>
          <cell r="D4092" t="str">
            <v>Dicranum scoparium</v>
          </cell>
          <cell r="E4092" t="str">
            <v>LC</v>
          </cell>
          <cell r="F4092" t="str">
            <v>Callaghan, 2022</v>
          </cell>
          <cell r="G4092" t="str">
            <v>NBNSYS0000036227</v>
          </cell>
          <cell r="H4092" t="str">
            <v>Dicranum scoparium</v>
          </cell>
        </row>
        <row r="4093">
          <cell r="A4093" t="str">
            <v>Dicranum scottianum</v>
          </cell>
          <cell r="B4093" t="str">
            <v>Mosses and liverworts</v>
          </cell>
          <cell r="C4093" t="str">
            <v>Bryophyta</v>
          </cell>
          <cell r="D4093" t="str">
            <v>Dicranum scottianum</v>
          </cell>
          <cell r="E4093" t="str">
            <v>LC</v>
          </cell>
          <cell r="F4093" t="str">
            <v>Callaghan, 2022</v>
          </cell>
          <cell r="G4093" t="str">
            <v>NHMSYS0000309767</v>
          </cell>
          <cell r="H4093" t="str">
            <v>Dicranum scottianum</v>
          </cell>
        </row>
        <row r="4094">
          <cell r="A4094" t="str">
            <v>Dicranum spurium</v>
          </cell>
          <cell r="B4094" t="str">
            <v>Mosses and liverworts</v>
          </cell>
          <cell r="C4094" t="str">
            <v>Bryophyta</v>
          </cell>
          <cell r="D4094" t="str">
            <v>Dicranum spurium</v>
          </cell>
          <cell r="E4094" t="str">
            <v>LC</v>
          </cell>
          <cell r="F4094" t="str">
            <v>Callaghan, 2022</v>
          </cell>
          <cell r="G4094" t="str">
            <v>NBNSYS0000036229</v>
          </cell>
          <cell r="H4094" t="str">
            <v>Dicranum spurium</v>
          </cell>
        </row>
        <row r="4095">
          <cell r="A4095" t="str">
            <v>Dicranum tauricum</v>
          </cell>
          <cell r="B4095" t="str">
            <v>Mosses and liverworts</v>
          </cell>
          <cell r="C4095" t="str">
            <v>Bryophyta</v>
          </cell>
          <cell r="D4095" t="str">
            <v>Dicranum tauricum</v>
          </cell>
          <cell r="E4095" t="str">
            <v>LC</v>
          </cell>
          <cell r="F4095" t="str">
            <v>Callaghan, 2022</v>
          </cell>
          <cell r="G4095" t="str">
            <v>NHMSYS0000309771</v>
          </cell>
          <cell r="H4095" t="str">
            <v>Dicranum tauricum</v>
          </cell>
        </row>
        <row r="4096">
          <cell r="A4096" t="str">
            <v>Dicranum undulatum</v>
          </cell>
          <cell r="B4096" t="str">
            <v>Mosses and liverworts</v>
          </cell>
          <cell r="C4096" t="str">
            <v>Bryophyta</v>
          </cell>
          <cell r="D4096" t="str">
            <v>Dicranum undulatum</v>
          </cell>
          <cell r="E4096" t="str">
            <v>NT</v>
          </cell>
          <cell r="F4096" t="str">
            <v>Callaghan, 2022</v>
          </cell>
          <cell r="G4096" t="str">
            <v>NBNSYS0000036230</v>
          </cell>
          <cell r="H4096" t="str">
            <v>Dicranum undulatum</v>
          </cell>
        </row>
        <row r="4097">
          <cell r="A4097" t="str">
            <v>Didymodon australasiae</v>
          </cell>
          <cell r="B4097" t="str">
            <v>Mosses and liverworts</v>
          </cell>
          <cell r="C4097" t="str">
            <v>Bryophyta</v>
          </cell>
          <cell r="D4097" t="str">
            <v>Didymodon australasiae</v>
          </cell>
          <cell r="E4097" t="str">
            <v>LC</v>
          </cell>
          <cell r="F4097" t="str">
            <v>Callaghan, 2022</v>
          </cell>
          <cell r="G4097" t="str">
            <v>NHMSYS0021239403</v>
          </cell>
          <cell r="H4097" t="str">
            <v>Didymodon australasiae</v>
          </cell>
        </row>
        <row r="4098">
          <cell r="A4098" t="str">
            <v>Didymodon cordatus</v>
          </cell>
          <cell r="B4098" t="str">
            <v>Mosses and liverworts</v>
          </cell>
          <cell r="C4098" t="str">
            <v>Bryophyta</v>
          </cell>
          <cell r="D4098" t="str">
            <v>Didymodon cordatus</v>
          </cell>
          <cell r="E4098" t="str">
            <v>CR</v>
          </cell>
          <cell r="F4098" t="str">
            <v>Callaghan, 2022</v>
          </cell>
          <cell r="G4098" t="str">
            <v>NBNSYS0000146087</v>
          </cell>
          <cell r="H4098" t="str">
            <v>Didymodon cordatus</v>
          </cell>
        </row>
        <row r="4099">
          <cell r="A4099" t="str">
            <v>Didymodon fallax</v>
          </cell>
          <cell r="B4099" t="str">
            <v>Mosses and liverworts</v>
          </cell>
          <cell r="C4099" t="str">
            <v>Bryophyta</v>
          </cell>
          <cell r="D4099" t="str">
            <v>Didymodon fallax</v>
          </cell>
          <cell r="E4099" t="str">
            <v>LC</v>
          </cell>
          <cell r="F4099" t="str">
            <v>Callaghan, 2022</v>
          </cell>
          <cell r="G4099" t="str">
            <v>NHMSYS0000309774</v>
          </cell>
          <cell r="H4099" t="str">
            <v>Didymodon fallax</v>
          </cell>
        </row>
        <row r="4100">
          <cell r="A4100" t="str">
            <v>Didymodon ferrugineus</v>
          </cell>
          <cell r="B4100" t="str">
            <v>Mosses and liverworts</v>
          </cell>
          <cell r="C4100" t="str">
            <v>Bryophyta</v>
          </cell>
          <cell r="D4100" t="str">
            <v>Didymodon ferrugineus</v>
          </cell>
          <cell r="E4100" t="str">
            <v>LC</v>
          </cell>
          <cell r="F4100" t="str">
            <v>Callaghan, 2022</v>
          </cell>
          <cell r="G4100" t="str">
            <v>NBNSYS0000146089</v>
          </cell>
          <cell r="H4100" t="str">
            <v>Didymodon ferrugineus</v>
          </cell>
        </row>
        <row r="4101">
          <cell r="A4101" t="str">
            <v>Didymodon glaucus</v>
          </cell>
          <cell r="B4101" t="str">
            <v>Mosses and liverworts</v>
          </cell>
          <cell r="C4101" t="str">
            <v>Bryophyta</v>
          </cell>
          <cell r="D4101" t="str">
            <v>Didymodon glaucus</v>
          </cell>
          <cell r="E4101" t="str">
            <v>CR</v>
          </cell>
          <cell r="F4101" t="str">
            <v>Callaghan, 2022</v>
          </cell>
          <cell r="G4101" t="str">
            <v>NBNSYS0000146090</v>
          </cell>
          <cell r="H4101" t="str">
            <v>Didymodon glaucus</v>
          </cell>
        </row>
        <row r="4102">
          <cell r="A4102" t="str">
            <v>Didymodon icmadophilus</v>
          </cell>
          <cell r="B4102" t="str">
            <v>Mosses and liverworts</v>
          </cell>
          <cell r="C4102" t="str">
            <v>Bryophyta</v>
          </cell>
          <cell r="D4102" t="str">
            <v>Didymodon icmadophilus</v>
          </cell>
          <cell r="E4102" t="str">
            <v>LC</v>
          </cell>
          <cell r="F4102" t="str">
            <v>Callaghan, 2022</v>
          </cell>
          <cell r="G4102" t="str">
            <v>NHMSYS0021232425</v>
          </cell>
          <cell r="H4102" t="str">
            <v>Didymodon icmadophilus</v>
          </cell>
        </row>
        <row r="4103">
          <cell r="A4103" t="str">
            <v>Didymodon insulanus</v>
          </cell>
          <cell r="B4103" t="str">
            <v>Mosses and liverworts</v>
          </cell>
          <cell r="C4103" t="str">
            <v>Bryophyta</v>
          </cell>
          <cell r="D4103" t="str">
            <v>Didymodon insulanus</v>
          </cell>
          <cell r="E4103" t="str">
            <v>LC</v>
          </cell>
          <cell r="F4103" t="str">
            <v>Callaghan, 2022</v>
          </cell>
          <cell r="G4103" t="str">
            <v>NBNSYS0000146092</v>
          </cell>
          <cell r="H4103" t="str">
            <v>Didymodon insulanus</v>
          </cell>
        </row>
        <row r="4104">
          <cell r="A4104" t="str">
            <v>Didymodon luridus</v>
          </cell>
          <cell r="B4104" t="str">
            <v>Mosses and liverworts</v>
          </cell>
          <cell r="C4104" t="str">
            <v>Bryophyta</v>
          </cell>
          <cell r="D4104" t="str">
            <v>Didymodon luridus</v>
          </cell>
          <cell r="E4104" t="str">
            <v>LC</v>
          </cell>
          <cell r="F4104" t="str">
            <v>Callaghan, 2022</v>
          </cell>
          <cell r="G4104" t="str">
            <v>NBNSYS0000146093</v>
          </cell>
          <cell r="H4104" t="str">
            <v>Didymodon luridus</v>
          </cell>
        </row>
        <row r="4105">
          <cell r="A4105" t="str">
            <v>Didymodon nicholsonii</v>
          </cell>
          <cell r="B4105" t="str">
            <v>Mosses and liverworts</v>
          </cell>
          <cell r="C4105" t="str">
            <v>Bryophyta</v>
          </cell>
          <cell r="D4105" t="str">
            <v>Didymodon nicholsonii</v>
          </cell>
          <cell r="E4105" t="str">
            <v>LC</v>
          </cell>
          <cell r="F4105" t="str">
            <v>Callaghan, 2022</v>
          </cell>
          <cell r="G4105" t="str">
            <v>NBNSYS0000146096</v>
          </cell>
          <cell r="H4105" t="str">
            <v>Didymodon nicholsonii</v>
          </cell>
        </row>
        <row r="4106">
          <cell r="A4106" t="str">
            <v>Didymodon rigidulus</v>
          </cell>
          <cell r="B4106" t="str">
            <v>Mosses and liverworts</v>
          </cell>
          <cell r="C4106" t="str">
            <v>Bryophyta</v>
          </cell>
          <cell r="D4106" t="str">
            <v>Didymodon rigidulus</v>
          </cell>
          <cell r="E4106" t="str">
            <v>LC</v>
          </cell>
          <cell r="F4106" t="str">
            <v>Callaghan, 2022</v>
          </cell>
          <cell r="G4106" t="str">
            <v>NHMSYS0000309777</v>
          </cell>
          <cell r="H4106" t="str">
            <v>Didymodon rigidulus</v>
          </cell>
        </row>
        <row r="4107">
          <cell r="A4107" t="str">
            <v>Didymodon sinuosus</v>
          </cell>
          <cell r="B4107" t="str">
            <v>Mosses and liverworts</v>
          </cell>
          <cell r="C4107" t="str">
            <v>Bryophyta</v>
          </cell>
          <cell r="D4107" t="str">
            <v>Didymodon sinuosus</v>
          </cell>
          <cell r="E4107" t="str">
            <v>LC</v>
          </cell>
          <cell r="F4107" t="str">
            <v>Callaghan, 2022</v>
          </cell>
          <cell r="G4107" t="str">
            <v>NBNSYS0000146098</v>
          </cell>
          <cell r="H4107" t="str">
            <v>Didymodon sinuosus</v>
          </cell>
        </row>
        <row r="4108">
          <cell r="A4108" t="str">
            <v>Didymodon spadiceus</v>
          </cell>
          <cell r="B4108" t="str">
            <v>Mosses and liverworts</v>
          </cell>
          <cell r="C4108" t="str">
            <v>Bryophyta</v>
          </cell>
          <cell r="D4108" t="str">
            <v>Didymodon spadiceus</v>
          </cell>
          <cell r="E4108" t="str">
            <v>LC</v>
          </cell>
          <cell r="F4108" t="str">
            <v>Callaghan, 2022</v>
          </cell>
          <cell r="G4108" t="str">
            <v>NBNSYS0000146099</v>
          </cell>
          <cell r="H4108" t="str">
            <v>Didymodon spadiceus</v>
          </cell>
        </row>
        <row r="4109">
          <cell r="A4109" t="str">
            <v>Didymodon tomaculosus</v>
          </cell>
          <cell r="B4109" t="str">
            <v>Mosses and liverworts</v>
          </cell>
          <cell r="C4109" t="str">
            <v>Bryophyta</v>
          </cell>
          <cell r="D4109" t="str">
            <v>Didymodon tomaculosus</v>
          </cell>
          <cell r="E4109" t="str">
            <v>LC</v>
          </cell>
          <cell r="F4109" t="str">
            <v>Callaghan, 2022</v>
          </cell>
          <cell r="G4109" t="str">
            <v>NHMSYS0000309778</v>
          </cell>
          <cell r="H4109" t="str">
            <v>Didymodon tomaculosus</v>
          </cell>
        </row>
        <row r="4110">
          <cell r="A4110" t="str">
            <v>Didymodon tophaceus</v>
          </cell>
          <cell r="B4110" t="str">
            <v>Mosses and liverworts</v>
          </cell>
          <cell r="C4110" t="str">
            <v>Bryophyta</v>
          </cell>
          <cell r="D4110" t="str">
            <v>Didymodon tophaceus</v>
          </cell>
          <cell r="E4110" t="str">
            <v>LC</v>
          </cell>
          <cell r="F4110" t="str">
            <v>Callaghan, 2022</v>
          </cell>
          <cell r="G4110" t="str">
            <v>NBNSYS0000146101</v>
          </cell>
          <cell r="H4110" t="str">
            <v>Didymodon tophaceus</v>
          </cell>
        </row>
        <row r="4111">
          <cell r="A4111" t="str">
            <v>Didymodon umbrosus</v>
          </cell>
          <cell r="B4111" t="str">
            <v>Mosses and liverworts</v>
          </cell>
          <cell r="C4111" t="str">
            <v>Bryophyta</v>
          </cell>
          <cell r="D4111" t="str">
            <v>Didymodon umbrosus</v>
          </cell>
          <cell r="E4111" t="str">
            <v>LC</v>
          </cell>
          <cell r="F4111" t="str">
            <v>Callaghan, 2022</v>
          </cell>
          <cell r="G4111" t="str">
            <v>NHMSYS0000309779</v>
          </cell>
          <cell r="H4111" t="str">
            <v>Didymodon umbrosus</v>
          </cell>
        </row>
        <row r="4112">
          <cell r="A4112" t="str">
            <v>Didymodon vinealis</v>
          </cell>
          <cell r="B4112" t="str">
            <v>Mosses and liverworts</v>
          </cell>
          <cell r="C4112" t="str">
            <v>Bryophyta</v>
          </cell>
          <cell r="D4112" t="str">
            <v>Didymodon vinealis</v>
          </cell>
          <cell r="E4112" t="str">
            <v>LC</v>
          </cell>
          <cell r="F4112" t="str">
            <v>Callaghan, 2022</v>
          </cell>
          <cell r="G4112" t="str">
            <v>NHMSYS0000309780</v>
          </cell>
          <cell r="H4112" t="str">
            <v>Didymodon vinealis</v>
          </cell>
        </row>
        <row r="4113">
          <cell r="A4113" t="str">
            <v>Diphyscium foliosum</v>
          </cell>
          <cell r="B4113" t="str">
            <v>Mosses and liverworts</v>
          </cell>
          <cell r="C4113" t="str">
            <v>Bryophyta</v>
          </cell>
          <cell r="D4113" t="str">
            <v>Diphyscium foliosum</v>
          </cell>
          <cell r="E4113" t="str">
            <v>LC</v>
          </cell>
          <cell r="F4113" t="str">
            <v>Callaghan, 2022</v>
          </cell>
          <cell r="G4113" t="str">
            <v>NHMSYS0000309782</v>
          </cell>
          <cell r="H4113" t="str">
            <v>Diphyscium foliosum</v>
          </cell>
        </row>
        <row r="4114">
          <cell r="A4114" t="str">
            <v>Diplophyllum albicans</v>
          </cell>
          <cell r="B4114" t="str">
            <v>Mosses and liverworts</v>
          </cell>
          <cell r="C4114" t="str">
            <v>Bryophyta</v>
          </cell>
          <cell r="D4114" t="str">
            <v>Diplophyllum albicans</v>
          </cell>
          <cell r="E4114" t="str">
            <v>LC</v>
          </cell>
          <cell r="F4114" t="str">
            <v>Callaghan, 2022</v>
          </cell>
          <cell r="G4114" t="str">
            <v>NHMSYS0000309784</v>
          </cell>
          <cell r="H4114" t="str">
            <v>Diplophyllum albicans</v>
          </cell>
        </row>
        <row r="4115">
          <cell r="A4115" t="str">
            <v>Diplophyllum obtusifolium</v>
          </cell>
          <cell r="B4115" t="str">
            <v>Mosses and liverworts</v>
          </cell>
          <cell r="C4115" t="str">
            <v>Bryophyta</v>
          </cell>
          <cell r="D4115" t="str">
            <v>Diplophyllum obtusifolium</v>
          </cell>
          <cell r="E4115" t="str">
            <v>LC</v>
          </cell>
          <cell r="F4115" t="str">
            <v>Callaghan, 2022</v>
          </cell>
          <cell r="G4115" t="str">
            <v>NHMSYS0000309785</v>
          </cell>
          <cell r="H4115" t="str">
            <v>Diplophyllum obtusifolium</v>
          </cell>
        </row>
        <row r="4116">
          <cell r="A4116" t="str">
            <v>Diplophyllum taxifolium</v>
          </cell>
          <cell r="B4116" t="str">
            <v>Mosses and liverworts</v>
          </cell>
          <cell r="C4116" t="str">
            <v>Bryophyta</v>
          </cell>
          <cell r="D4116" t="str">
            <v>Diplophyllum taxifolium</v>
          </cell>
          <cell r="E4116" t="str">
            <v>LC</v>
          </cell>
          <cell r="F4116" t="str">
            <v>Callaghan, 2022</v>
          </cell>
          <cell r="G4116" t="str">
            <v>NHMSYS0000309786</v>
          </cell>
          <cell r="H4116" t="str">
            <v>Diplophyllum taxifolium</v>
          </cell>
        </row>
        <row r="4117">
          <cell r="A4117" t="str">
            <v>Discelium nudum</v>
          </cell>
          <cell r="B4117" t="str">
            <v>Mosses and liverworts</v>
          </cell>
          <cell r="C4117" t="str">
            <v>Bryophyta</v>
          </cell>
          <cell r="D4117" t="str">
            <v>Discelium nudum</v>
          </cell>
          <cell r="E4117" t="str">
            <v>LC</v>
          </cell>
          <cell r="F4117" t="str">
            <v>Callaghan, 2022</v>
          </cell>
          <cell r="G4117" t="str">
            <v>NBNSYS0000036511</v>
          </cell>
          <cell r="H4117" t="str">
            <v>Discelium nudum</v>
          </cell>
        </row>
        <row r="4118">
          <cell r="A4118" t="str">
            <v>Distichium capillaceum</v>
          </cell>
          <cell r="B4118" t="str">
            <v>Mosses and liverworts</v>
          </cell>
          <cell r="C4118" t="str">
            <v>Bryophyta</v>
          </cell>
          <cell r="D4118" t="str">
            <v>Distichium capillaceum</v>
          </cell>
          <cell r="E4118" t="str">
            <v>LC</v>
          </cell>
          <cell r="F4118" t="str">
            <v>Callaghan, 2022</v>
          </cell>
          <cell r="G4118" t="str">
            <v>NHMSYS0000309790</v>
          </cell>
          <cell r="H4118" t="str">
            <v>Distichium capillaceum</v>
          </cell>
        </row>
        <row r="4119">
          <cell r="A4119" t="str">
            <v>Distichium inclinatum</v>
          </cell>
          <cell r="B4119" t="str">
            <v>Mosses and liverworts</v>
          </cell>
          <cell r="C4119" t="str">
            <v>Bryophyta</v>
          </cell>
          <cell r="D4119" t="str">
            <v>Distichium inclinatum</v>
          </cell>
          <cell r="E4119" t="str">
            <v>LC</v>
          </cell>
          <cell r="F4119" t="str">
            <v>Callaghan, 2022</v>
          </cell>
          <cell r="G4119" t="str">
            <v>NHMSYS0000309791</v>
          </cell>
          <cell r="H4119" t="str">
            <v>Distichium inclinatum</v>
          </cell>
        </row>
        <row r="4120">
          <cell r="A4120" t="str">
            <v>Ditrichum cornubicum</v>
          </cell>
          <cell r="B4120" t="str">
            <v>Mosses and liverworts</v>
          </cell>
          <cell r="C4120" t="str">
            <v>Bryophyta</v>
          </cell>
          <cell r="D4120" t="str">
            <v>Ditrichum cornubicum</v>
          </cell>
          <cell r="E4120" t="str">
            <v>EN</v>
          </cell>
          <cell r="F4120" t="str">
            <v>Callaghan, 2022</v>
          </cell>
          <cell r="G4120" t="str">
            <v>NBNSYS0000036168</v>
          </cell>
          <cell r="H4120" t="str">
            <v>Ditrichum cornubicum</v>
          </cell>
        </row>
        <row r="4121">
          <cell r="A4121" t="str">
            <v>Ditrichum heteromallum</v>
          </cell>
          <cell r="B4121" t="str">
            <v>Mosses and liverworts</v>
          </cell>
          <cell r="C4121" t="str">
            <v>Bryophyta</v>
          </cell>
          <cell r="D4121" t="str">
            <v>Ditrichum heteromallum</v>
          </cell>
          <cell r="E4121" t="str">
            <v>LC</v>
          </cell>
          <cell r="F4121" t="str">
            <v>Callaghan, 2022</v>
          </cell>
          <cell r="G4121" t="str">
            <v>NHMSYS0000309797</v>
          </cell>
          <cell r="H4121" t="str">
            <v>Ditrichum heteromallum</v>
          </cell>
        </row>
        <row r="4122">
          <cell r="A4122" t="str">
            <v>Ditrichum lineare</v>
          </cell>
          <cell r="B4122" t="str">
            <v>Mosses and liverworts</v>
          </cell>
          <cell r="C4122" t="str">
            <v>Bryophyta</v>
          </cell>
          <cell r="D4122" t="str">
            <v>Ditrichum lineare</v>
          </cell>
          <cell r="E4122" t="str">
            <v>LC</v>
          </cell>
          <cell r="F4122" t="str">
            <v>Callaghan, 2022</v>
          </cell>
          <cell r="G4122" t="str">
            <v>NBNSYS0000036166</v>
          </cell>
          <cell r="H4122" t="str">
            <v>Ditrichum lineare</v>
          </cell>
        </row>
        <row r="4123">
          <cell r="A4123" t="str">
            <v>Ditrichum pallidum</v>
          </cell>
          <cell r="B4123" t="str">
            <v>Mosses and liverworts</v>
          </cell>
          <cell r="C4123" t="str">
            <v>Bryophyta</v>
          </cell>
          <cell r="D4123" t="str">
            <v>Ditrichum pallidum</v>
          </cell>
          <cell r="E4123" t="str">
            <v>CR(PE)</v>
          </cell>
          <cell r="F4123" t="str">
            <v>Callaghan, 2022</v>
          </cell>
          <cell r="G4123" t="str">
            <v>NHMSYS0021008742</v>
          </cell>
          <cell r="H4123" t="str">
            <v>Ditrichum pallidum</v>
          </cell>
        </row>
        <row r="4124">
          <cell r="A4124" t="str">
            <v>Ditrichum plumbicola</v>
          </cell>
          <cell r="B4124" t="str">
            <v>Mosses and liverworts</v>
          </cell>
          <cell r="C4124" t="str">
            <v>Bryophyta</v>
          </cell>
          <cell r="D4124" t="str">
            <v>Ditrichum plumbicola</v>
          </cell>
          <cell r="E4124" t="str">
            <v>EN</v>
          </cell>
          <cell r="F4124" t="str">
            <v>Callaghan, 2022</v>
          </cell>
          <cell r="G4124" t="str">
            <v>NBNSYS0000036167</v>
          </cell>
          <cell r="H4124" t="str">
            <v>Ditrichum plumbicola</v>
          </cell>
        </row>
        <row r="4125">
          <cell r="A4125" t="str">
            <v>Ditrichum pusillum</v>
          </cell>
          <cell r="B4125" t="str">
            <v>Mosses and liverworts</v>
          </cell>
          <cell r="C4125" t="str">
            <v>Bryophyta</v>
          </cell>
          <cell r="D4125" t="str">
            <v>Ditrichum pusillum</v>
          </cell>
          <cell r="E4125" t="str">
            <v>LC</v>
          </cell>
          <cell r="F4125" t="str">
            <v>Callaghan, 2022</v>
          </cell>
          <cell r="G4125" t="str">
            <v>NBNSYS0000036165</v>
          </cell>
          <cell r="H4125" t="str">
            <v>Ditrichum pusillum</v>
          </cell>
        </row>
        <row r="4126">
          <cell r="A4126" t="str">
            <v>Ditrichum subulatum</v>
          </cell>
          <cell r="B4126" t="str">
            <v>Mosses and liverworts</v>
          </cell>
          <cell r="C4126" t="str">
            <v>Bryophyta</v>
          </cell>
          <cell r="D4126" t="str">
            <v>Ditrichum subulatum</v>
          </cell>
          <cell r="E4126" t="str">
            <v>VU</v>
          </cell>
          <cell r="F4126" t="str">
            <v>Callaghan, 2022</v>
          </cell>
          <cell r="G4126" t="str">
            <v>NBNSYS0000036160</v>
          </cell>
          <cell r="H4126" t="str">
            <v>Ditrichum subulatum</v>
          </cell>
        </row>
        <row r="4127">
          <cell r="A4127" t="str">
            <v>Ditrichum zonatum</v>
          </cell>
          <cell r="B4127" t="str">
            <v>Mosses and liverworts</v>
          </cell>
          <cell r="C4127" t="str">
            <v>Bryophyta</v>
          </cell>
          <cell r="D4127" t="str">
            <v>Ditrichum zonatum</v>
          </cell>
          <cell r="E4127" t="str">
            <v>LC</v>
          </cell>
          <cell r="F4127" t="str">
            <v>Callaghan, 2022</v>
          </cell>
          <cell r="G4127" t="str">
            <v>NHMSYS0000309799</v>
          </cell>
          <cell r="H4127" t="str">
            <v>Ditrichum zonatum</v>
          </cell>
        </row>
        <row r="4128">
          <cell r="A4128" t="str">
            <v>Douinia ovata</v>
          </cell>
          <cell r="B4128" t="str">
            <v>Mosses and liverworts</v>
          </cell>
          <cell r="C4128" t="str">
            <v>Bryophyta</v>
          </cell>
          <cell r="D4128" t="str">
            <v>Douinia ovata</v>
          </cell>
          <cell r="E4128" t="str">
            <v>LC</v>
          </cell>
          <cell r="F4128" t="str">
            <v>Callaghan, 2022</v>
          </cell>
          <cell r="G4128" t="str">
            <v>NHMSYS0000309803</v>
          </cell>
          <cell r="H4128" t="str">
            <v>Douinia ovata</v>
          </cell>
        </row>
        <row r="4129">
          <cell r="A4129" t="str">
            <v>Drepanocladus aduncus</v>
          </cell>
          <cell r="B4129" t="str">
            <v>Mosses and liverworts</v>
          </cell>
          <cell r="C4129" t="str">
            <v>Bryophyta</v>
          </cell>
          <cell r="D4129" t="str">
            <v>Drepanocladus aduncus</v>
          </cell>
          <cell r="E4129" t="str">
            <v>LC</v>
          </cell>
          <cell r="F4129" t="str">
            <v>Callaghan, 2022</v>
          </cell>
          <cell r="G4129" t="str">
            <v>NBNSYS0000036817</v>
          </cell>
          <cell r="H4129" t="str">
            <v>Drepanocladus aduncus</v>
          </cell>
        </row>
        <row r="4130">
          <cell r="A4130" t="str">
            <v>Drepanocladus lycopodioides</v>
          </cell>
          <cell r="B4130" t="str">
            <v>Mosses and liverworts</v>
          </cell>
          <cell r="C4130" t="str">
            <v>Bryophyta</v>
          </cell>
          <cell r="D4130" t="str">
            <v>Drepanocladus lycopodioides</v>
          </cell>
          <cell r="E4130" t="str">
            <v>EN</v>
          </cell>
          <cell r="F4130" t="str">
            <v>Callaghan, 2022</v>
          </cell>
          <cell r="G4130" t="str">
            <v>NHMSYS0021008429</v>
          </cell>
          <cell r="H4130" t="str">
            <v>Drepanocladus lycopodioides</v>
          </cell>
        </row>
        <row r="4131">
          <cell r="A4131" t="str">
            <v>Drepanocladus polygamus</v>
          </cell>
          <cell r="B4131" t="str">
            <v>Mosses and liverworts</v>
          </cell>
          <cell r="C4131" t="str">
            <v>Bryophyta</v>
          </cell>
          <cell r="D4131" t="str">
            <v>Drepanocladus polygamus</v>
          </cell>
          <cell r="E4131" t="str">
            <v>LC</v>
          </cell>
          <cell r="F4131" t="str">
            <v>Callaghan, 2022</v>
          </cell>
          <cell r="G4131" t="str">
            <v>NHMSYS0000309809</v>
          </cell>
          <cell r="H4131" t="str">
            <v>Drepanocladus polygamus</v>
          </cell>
        </row>
        <row r="4132">
          <cell r="A4132" t="str">
            <v>Drepanocladus turgescens</v>
          </cell>
          <cell r="B4132" t="str">
            <v>Mosses and liverworts</v>
          </cell>
          <cell r="C4132" t="str">
            <v>Bryophyta</v>
          </cell>
          <cell r="D4132" t="str">
            <v>Drepanocladus turgescens</v>
          </cell>
          <cell r="E4132" t="str">
            <v>CR</v>
          </cell>
          <cell r="F4132" t="str">
            <v>Callaghan, 2022</v>
          </cell>
          <cell r="G4132" t="str">
            <v>NBNSYS0000155067</v>
          </cell>
          <cell r="H4132" t="str">
            <v>Drepanocladus turgescens</v>
          </cell>
        </row>
        <row r="4133">
          <cell r="A4133" t="str">
            <v>Drepanolejeunea hamatifolia</v>
          </cell>
          <cell r="B4133" t="str">
            <v>Mosses and liverworts</v>
          </cell>
          <cell r="C4133" t="str">
            <v>Bryophyta</v>
          </cell>
          <cell r="D4133" t="str">
            <v>Drepanolejeunea hamatifolia</v>
          </cell>
          <cell r="E4133" t="str">
            <v>LC</v>
          </cell>
          <cell r="F4133" t="str">
            <v>Callaghan, 2022</v>
          </cell>
          <cell r="G4133" t="str">
            <v>NHMSYS0000309814</v>
          </cell>
          <cell r="H4133" t="str">
            <v>Drepanolejeunea hamatifolia</v>
          </cell>
        </row>
        <row r="4134">
          <cell r="A4134" t="str">
            <v>Dumortiera hirsuta</v>
          </cell>
          <cell r="B4134" t="str">
            <v>Mosses and liverworts</v>
          </cell>
          <cell r="C4134" t="str">
            <v>Bryophyta</v>
          </cell>
          <cell r="D4134" t="str">
            <v>Dumortiera hirsuta</v>
          </cell>
          <cell r="E4134" t="str">
            <v>VU</v>
          </cell>
          <cell r="F4134" t="str">
            <v>Callaghan, 2022</v>
          </cell>
          <cell r="G4134" t="str">
            <v>NBNSYS0000036045</v>
          </cell>
          <cell r="H4134" t="str">
            <v>Dumortiera hirsuta</v>
          </cell>
        </row>
        <row r="4135">
          <cell r="A4135" t="str">
            <v>Encalypta alpina</v>
          </cell>
          <cell r="B4135" t="str">
            <v>Mosses and liverworts</v>
          </cell>
          <cell r="C4135" t="str">
            <v>Bryophyta</v>
          </cell>
          <cell r="D4135" t="str">
            <v>Encalypta alpina</v>
          </cell>
          <cell r="E4135" t="str">
            <v>LC</v>
          </cell>
          <cell r="F4135" t="str">
            <v>Callaghan, 2022</v>
          </cell>
          <cell r="G4135" t="str">
            <v>NBNSYS0000036291</v>
          </cell>
          <cell r="H4135" t="str">
            <v>Encalypta alpina</v>
          </cell>
        </row>
        <row r="4136">
          <cell r="A4136" t="str">
            <v>Encalypta ciliata</v>
          </cell>
          <cell r="B4136" t="str">
            <v>Mosses and liverworts</v>
          </cell>
          <cell r="C4136" t="str">
            <v>Bryophyta</v>
          </cell>
          <cell r="D4136" t="str">
            <v>Encalypta ciliata</v>
          </cell>
          <cell r="E4136" t="str">
            <v>LC</v>
          </cell>
          <cell r="F4136" t="str">
            <v>Callaghan, 2022</v>
          </cell>
          <cell r="G4136" t="str">
            <v>NBNSYS0000036293</v>
          </cell>
          <cell r="H4136" t="str">
            <v>Encalypta ciliata</v>
          </cell>
        </row>
        <row r="4137">
          <cell r="A4137" t="str">
            <v>Encalypta rhaptocarpa</v>
          </cell>
          <cell r="B4137" t="str">
            <v>Mosses and liverworts</v>
          </cell>
          <cell r="C4137" t="str">
            <v>Bryophyta</v>
          </cell>
          <cell r="D4137" t="str">
            <v>Encalypta rhaptocarpa</v>
          </cell>
          <cell r="E4137" t="str">
            <v>LC</v>
          </cell>
          <cell r="F4137" t="str">
            <v>Callaghan, 2022</v>
          </cell>
          <cell r="G4137" t="str">
            <v>NBNSYS0000036294</v>
          </cell>
          <cell r="H4137" t="str">
            <v>Encalypta rhaptocarpa</v>
          </cell>
        </row>
        <row r="4138">
          <cell r="A4138" t="str">
            <v>Encalypta streptocarpa</v>
          </cell>
          <cell r="B4138" t="str">
            <v>Mosses and liverworts</v>
          </cell>
          <cell r="C4138" t="str">
            <v>Bryophyta</v>
          </cell>
          <cell r="D4138" t="str">
            <v>Encalypta streptocarpa</v>
          </cell>
          <cell r="E4138" t="str">
            <v>LC</v>
          </cell>
          <cell r="F4138" t="str">
            <v>Callaghan, 2022</v>
          </cell>
          <cell r="G4138" t="str">
            <v>NBNSYS0000036296</v>
          </cell>
          <cell r="H4138" t="str">
            <v>Encalypta streptocarpa</v>
          </cell>
        </row>
        <row r="4139">
          <cell r="A4139" t="str">
            <v>Encalypta vulgaris</v>
          </cell>
          <cell r="B4139" t="str">
            <v>Mosses and liverworts</v>
          </cell>
          <cell r="C4139" t="str">
            <v>Bryophyta</v>
          </cell>
          <cell r="D4139" t="str">
            <v>Encalypta vulgaris</v>
          </cell>
          <cell r="E4139" t="str">
            <v>LC</v>
          </cell>
          <cell r="F4139" t="str">
            <v>Callaghan, 2022</v>
          </cell>
          <cell r="G4139" t="str">
            <v>NBNSYS0000036292</v>
          </cell>
          <cell r="H4139" t="str">
            <v>Encalypta vulgaris</v>
          </cell>
        </row>
        <row r="4140">
          <cell r="A4140" t="str">
            <v>Endogemma caespiticia</v>
          </cell>
          <cell r="B4140" t="str">
            <v>Mosses and liverworts</v>
          </cell>
          <cell r="C4140" t="str">
            <v>Bryophyta</v>
          </cell>
          <cell r="D4140" t="str">
            <v>Endogemma caespiticia</v>
          </cell>
          <cell r="E4140" t="str">
            <v>NT</v>
          </cell>
          <cell r="F4140" t="str">
            <v>Callaghan, 2022</v>
          </cell>
          <cell r="G4140" t="str">
            <v>NBNSYS0000156882</v>
          </cell>
          <cell r="H4140" t="str">
            <v>Endogemma caespiticia</v>
          </cell>
        </row>
        <row r="4141">
          <cell r="A4141" t="str">
            <v>Entodon concinnus</v>
          </cell>
          <cell r="B4141" t="str">
            <v>Mosses and liverworts</v>
          </cell>
          <cell r="C4141" t="str">
            <v>Bryophyta</v>
          </cell>
          <cell r="D4141" t="str">
            <v>Entodon concinnus</v>
          </cell>
          <cell r="E4141" t="str">
            <v>LC</v>
          </cell>
          <cell r="F4141" t="str">
            <v>Callaghan, 2022</v>
          </cell>
          <cell r="G4141" t="str">
            <v>NBNSYS0000036906</v>
          </cell>
          <cell r="H4141" t="str">
            <v>Entodon concinnus</v>
          </cell>
        </row>
        <row r="4142">
          <cell r="A4142" t="str">
            <v>Entosthodon attenuatus</v>
          </cell>
          <cell r="B4142" t="str">
            <v>Mosses and liverworts</v>
          </cell>
          <cell r="C4142" t="str">
            <v>Bryophyta</v>
          </cell>
          <cell r="D4142" t="str">
            <v>Entosthodon attenuatus</v>
          </cell>
          <cell r="E4142" t="str">
            <v>LC</v>
          </cell>
          <cell r="F4142" t="str">
            <v>Callaghan, 2022</v>
          </cell>
          <cell r="G4142" t="str">
            <v>NBNSYS0000146844</v>
          </cell>
          <cell r="H4142" t="str">
            <v>Entosthodon attenuatus</v>
          </cell>
        </row>
        <row r="4143">
          <cell r="A4143" t="str">
            <v>Entosthodon fascicularis</v>
          </cell>
          <cell r="B4143" t="str">
            <v>Mosses and liverworts</v>
          </cell>
          <cell r="C4143" t="str">
            <v>Bryophyta</v>
          </cell>
          <cell r="D4143" t="str">
            <v>Entosthodon fascicularis</v>
          </cell>
          <cell r="E4143" t="str">
            <v>LC</v>
          </cell>
          <cell r="F4143" t="str">
            <v>Callaghan, 2022</v>
          </cell>
          <cell r="G4143" t="str">
            <v>NHMSYS0000309827</v>
          </cell>
          <cell r="H4143" t="str">
            <v>Entosthodon fascicularis</v>
          </cell>
        </row>
        <row r="4144">
          <cell r="A4144" t="str">
            <v>Entosthodon muhlenbergii</v>
          </cell>
          <cell r="B4144" t="str">
            <v>Mosses and liverworts</v>
          </cell>
          <cell r="C4144" t="str">
            <v>Bryophyta</v>
          </cell>
          <cell r="D4144" t="str">
            <v>Entosthodon muhlenbergii</v>
          </cell>
          <cell r="E4144" t="str">
            <v>LC</v>
          </cell>
          <cell r="F4144" t="str">
            <v>Callaghan, 2022</v>
          </cell>
          <cell r="G4144" t="str">
            <v>NHMSYS0021194620</v>
          </cell>
          <cell r="H4144" t="str">
            <v>Entosthodon muhlenbergii</v>
          </cell>
        </row>
        <row r="4145">
          <cell r="A4145" t="str">
            <v>Entosthodon obtusus</v>
          </cell>
          <cell r="B4145" t="str">
            <v>Mosses and liverworts</v>
          </cell>
          <cell r="C4145" t="str">
            <v>Bryophyta</v>
          </cell>
          <cell r="D4145" t="str">
            <v>Entosthodon obtusus</v>
          </cell>
          <cell r="E4145" t="str">
            <v>LC</v>
          </cell>
          <cell r="F4145" t="str">
            <v>Callaghan, 2022</v>
          </cell>
          <cell r="G4145" t="str">
            <v>NBNSYS0000146846</v>
          </cell>
          <cell r="H4145" t="str">
            <v>Entosthodon obtusus</v>
          </cell>
        </row>
        <row r="4146">
          <cell r="A4146" t="str">
            <v>Entosthodon pulchellus</v>
          </cell>
          <cell r="B4146" t="str">
            <v>Mosses and liverworts</v>
          </cell>
          <cell r="C4146" t="str">
            <v>Bryophyta</v>
          </cell>
          <cell r="D4146" t="str">
            <v>Entosthodon pulchellus</v>
          </cell>
          <cell r="E4146" t="str">
            <v>NT</v>
          </cell>
          <cell r="F4146" t="str">
            <v>Callaghan, 2022</v>
          </cell>
          <cell r="G4146" t="str">
            <v>NHMSYS0021194626</v>
          </cell>
          <cell r="H4146" t="str">
            <v>Entosthodon pulchellus</v>
          </cell>
        </row>
        <row r="4147">
          <cell r="A4147" t="str">
            <v>Ephemerum cohaerens</v>
          </cell>
          <cell r="B4147" t="str">
            <v>Mosses and liverworts</v>
          </cell>
          <cell r="C4147" t="str">
            <v>Bryophyta</v>
          </cell>
          <cell r="D4147" t="str">
            <v>Ephemerum cohaerens</v>
          </cell>
          <cell r="E4147" t="str">
            <v>LC</v>
          </cell>
          <cell r="F4147" t="str">
            <v>Callaghan, 2022</v>
          </cell>
          <cell r="G4147" t="str">
            <v>NBNSYS0000036525</v>
          </cell>
          <cell r="H4147" t="str">
            <v>Ephemerum cohaerens</v>
          </cell>
        </row>
        <row r="4148">
          <cell r="A4148" t="str">
            <v>Ephemerum crassinervium</v>
          </cell>
          <cell r="B4148" t="str">
            <v>Mosses and liverworts</v>
          </cell>
          <cell r="C4148" t="str">
            <v>Bryophyta</v>
          </cell>
          <cell r="D4148" t="str">
            <v>Ephemerum crassinervium</v>
          </cell>
          <cell r="E4148" t="str">
            <v>LC</v>
          </cell>
          <cell r="F4148" t="str">
            <v>Callaghan, 2022</v>
          </cell>
          <cell r="G4148" t="str">
            <v>NHMSYS0000309836</v>
          </cell>
          <cell r="H4148" t="str">
            <v>Ephemerum crassinervium</v>
          </cell>
        </row>
        <row r="4149">
          <cell r="A4149" t="str">
            <v>Ephemerum recurvifolium</v>
          </cell>
          <cell r="B4149" t="str">
            <v>Mosses and liverworts</v>
          </cell>
          <cell r="C4149" t="str">
            <v>Bryophyta</v>
          </cell>
          <cell r="D4149" t="str">
            <v>Ephemerum recurvifolium</v>
          </cell>
          <cell r="E4149" t="str">
            <v>LC</v>
          </cell>
          <cell r="F4149" t="str">
            <v>Callaghan, 2022</v>
          </cell>
          <cell r="G4149" t="str">
            <v>NHMSYS0000309833</v>
          </cell>
          <cell r="H4149" t="str">
            <v>Ephemerum recurvifolium</v>
          </cell>
        </row>
        <row r="4150">
          <cell r="A4150" t="str">
            <v>Ephemerum serratum</v>
          </cell>
          <cell r="B4150" t="str">
            <v>Mosses and liverworts</v>
          </cell>
          <cell r="C4150" t="str">
            <v>Bryophyta</v>
          </cell>
          <cell r="D4150" t="str">
            <v>Ephemerum serratum</v>
          </cell>
          <cell r="E4150" t="str">
            <v>LC</v>
          </cell>
          <cell r="F4150" t="str">
            <v>Callaghan, 2022</v>
          </cell>
          <cell r="G4150" t="str">
            <v>NHMSYS0020695939</v>
          </cell>
          <cell r="H4150" t="str">
            <v>Ephemerum serratum</v>
          </cell>
        </row>
        <row r="4151">
          <cell r="A4151" t="str">
            <v>Ephemerum stoloniferum</v>
          </cell>
          <cell r="B4151" t="str">
            <v>Mosses and liverworts</v>
          </cell>
          <cell r="C4151" t="str">
            <v>Bryophyta</v>
          </cell>
          <cell r="D4151" t="str">
            <v>Ephemerum stoloniferum</v>
          </cell>
          <cell r="E4151" t="str">
            <v>LC</v>
          </cell>
          <cell r="F4151" t="str">
            <v>Callaghan, 2022</v>
          </cell>
        </row>
        <row r="4151">
          <cell r="H4151" t="str">
            <v>Ephemerum stoloniferum</v>
          </cell>
        </row>
        <row r="4152">
          <cell r="A4152" t="str">
            <v>Epipterygium tozeri</v>
          </cell>
          <cell r="B4152" t="str">
            <v>Mosses and liverworts</v>
          </cell>
          <cell r="C4152" t="str">
            <v>Bryophyta</v>
          </cell>
          <cell r="D4152" t="str">
            <v>Epipterygium tozeri</v>
          </cell>
          <cell r="E4152" t="str">
            <v>LC</v>
          </cell>
          <cell r="F4152" t="str">
            <v>Callaghan, 2022</v>
          </cell>
          <cell r="G4152" t="str">
            <v>NBNSYS0000036572</v>
          </cell>
          <cell r="H4152" t="str">
            <v>Epipterygium tozeri</v>
          </cell>
        </row>
        <row r="4153">
          <cell r="A4153" t="str">
            <v>Eremonotus myriocarpus</v>
          </cell>
          <cell r="B4153" t="str">
            <v>Mosses and liverworts</v>
          </cell>
          <cell r="C4153" t="str">
            <v>Bryophyta</v>
          </cell>
          <cell r="D4153" t="str">
            <v>Eremonotus myriocarpus</v>
          </cell>
          <cell r="E4153" t="str">
            <v>LC</v>
          </cell>
          <cell r="F4153" t="str">
            <v>Callaghan, 2022</v>
          </cell>
          <cell r="G4153" t="str">
            <v>NHMSYS0000309841</v>
          </cell>
          <cell r="H4153" t="str">
            <v>Eremonotus myriocarpus</v>
          </cell>
        </row>
        <row r="4154">
          <cell r="A4154" t="str">
            <v>Eucladium verticillatum</v>
          </cell>
          <cell r="B4154" t="str">
            <v>Mosses and liverworts</v>
          </cell>
          <cell r="C4154" t="str">
            <v>Bryophyta</v>
          </cell>
          <cell r="D4154" t="str">
            <v>Eucladium verticillatum</v>
          </cell>
          <cell r="E4154" t="str">
            <v>LC</v>
          </cell>
          <cell r="F4154" t="str">
            <v>Callaghan, 2022</v>
          </cell>
          <cell r="G4154" t="str">
            <v>NHMSYS0000309844</v>
          </cell>
          <cell r="H4154" t="str">
            <v>Eucladium verticillatum</v>
          </cell>
        </row>
        <row r="4155">
          <cell r="A4155" t="str">
            <v>Eurhynchiastrum diversifolium</v>
          </cell>
          <cell r="B4155" t="str">
            <v>Mosses and liverworts</v>
          </cell>
          <cell r="C4155" t="str">
            <v>Bryophyta</v>
          </cell>
          <cell r="D4155" t="str">
            <v>Eurhynchiastrum diversifolium</v>
          </cell>
          <cell r="E4155" t="str">
            <v>EN</v>
          </cell>
          <cell r="F4155" t="str">
            <v>Callaghan, 2022</v>
          </cell>
          <cell r="G4155" t="str">
            <v>NHMSYS0021194632</v>
          </cell>
          <cell r="H4155" t="str">
            <v>Eurhynchiastrum diversifolium</v>
          </cell>
        </row>
        <row r="4156">
          <cell r="A4156" t="str">
            <v>Eurhynchium striatum</v>
          </cell>
          <cell r="B4156" t="str">
            <v>Mosses and liverworts</v>
          </cell>
          <cell r="C4156" t="str">
            <v>Bryophyta</v>
          </cell>
          <cell r="D4156" t="str">
            <v>Eurhynchium striatum</v>
          </cell>
          <cell r="E4156" t="str">
            <v>LC</v>
          </cell>
          <cell r="F4156" t="str">
            <v>Callaghan, 2022</v>
          </cell>
          <cell r="G4156" t="str">
            <v>NBNSYS0000036884</v>
          </cell>
          <cell r="H4156" t="str">
            <v>Eurhynchium striatum</v>
          </cell>
        </row>
        <row r="4157">
          <cell r="A4157" t="str">
            <v>Fissidens adianthoides</v>
          </cell>
          <cell r="B4157" t="str">
            <v>Mosses and liverworts</v>
          </cell>
          <cell r="C4157" t="str">
            <v>Bryophyta</v>
          </cell>
          <cell r="D4157" t="str">
            <v>Fissidens adianthoides</v>
          </cell>
          <cell r="E4157" t="str">
            <v>LC</v>
          </cell>
          <cell r="F4157" t="str">
            <v>Callaghan, 2022</v>
          </cell>
          <cell r="G4157" t="str">
            <v>NBNSYS0000036287</v>
          </cell>
          <cell r="H4157" t="str">
            <v>Fissidens adianthoides</v>
          </cell>
        </row>
        <row r="4158">
          <cell r="A4158" t="str">
            <v>Fissidens bryoides</v>
          </cell>
          <cell r="B4158" t="str">
            <v>Mosses and liverworts</v>
          </cell>
          <cell r="C4158" t="str">
            <v>Bryophyta</v>
          </cell>
          <cell r="D4158" t="str">
            <v>Fissidens bryoides</v>
          </cell>
          <cell r="E4158" t="str">
            <v>LC</v>
          </cell>
          <cell r="F4158" t="str">
            <v>Callaghan, 2022</v>
          </cell>
          <cell r="G4158" t="str">
            <v>NBNSYS0000036273</v>
          </cell>
          <cell r="H4158" t="str">
            <v>Fissidens bryoides</v>
          </cell>
        </row>
        <row r="4159">
          <cell r="A4159" t="str">
            <v>Fissidens celticus</v>
          </cell>
          <cell r="B4159" t="str">
            <v>Mosses and liverworts</v>
          </cell>
          <cell r="C4159" t="str">
            <v>Bryophyta</v>
          </cell>
          <cell r="D4159" t="str">
            <v>Fissidens celticus</v>
          </cell>
          <cell r="E4159" t="str">
            <v>LC</v>
          </cell>
          <cell r="F4159" t="str">
            <v>Callaghan, 2022</v>
          </cell>
          <cell r="G4159" t="str">
            <v>NBNSYS0000036281</v>
          </cell>
          <cell r="H4159" t="str">
            <v>Fissidens celticus</v>
          </cell>
        </row>
        <row r="4160">
          <cell r="A4160" t="str">
            <v>Fissidens crassipes</v>
          </cell>
          <cell r="B4160" t="str">
            <v>Mosses and liverworts</v>
          </cell>
          <cell r="C4160" t="str">
            <v>Bryophyta</v>
          </cell>
          <cell r="D4160" t="str">
            <v>Fissidens crassipes</v>
          </cell>
          <cell r="E4160" t="str">
            <v>LC</v>
          </cell>
          <cell r="F4160" t="str">
            <v>Callaghan, 2022</v>
          </cell>
          <cell r="G4160" t="str">
            <v>NHMSYS0000309867</v>
          </cell>
          <cell r="H4160" t="str">
            <v>Fissidens crassipes</v>
          </cell>
        </row>
        <row r="4161">
          <cell r="A4161" t="str">
            <v>Fissidens crispus</v>
          </cell>
          <cell r="B4161" t="str">
            <v>Mosses and liverworts</v>
          </cell>
          <cell r="C4161" t="str">
            <v>Bryophyta</v>
          </cell>
          <cell r="D4161" t="str">
            <v>Fissidens crispus</v>
          </cell>
          <cell r="E4161" t="str">
            <v>LC</v>
          </cell>
          <cell r="F4161" t="str">
            <v>Callaghan, 2022</v>
          </cell>
          <cell r="G4161" t="str">
            <v>NHMSYS0021194644</v>
          </cell>
          <cell r="H4161" t="str">
            <v>Fissidens crispus</v>
          </cell>
        </row>
        <row r="4162">
          <cell r="A4162" t="str">
            <v>Fissidens curvatus</v>
          </cell>
          <cell r="B4162" t="str">
            <v>Mosses and liverworts</v>
          </cell>
          <cell r="C4162" t="str">
            <v>Bryophyta</v>
          </cell>
          <cell r="D4162" t="str">
            <v>Fissidens curvatus</v>
          </cell>
          <cell r="E4162" t="str">
            <v>LC</v>
          </cell>
          <cell r="F4162" t="str">
            <v>Callaghan, 2022</v>
          </cell>
          <cell r="G4162" t="str">
            <v>NHMSYS0000309869</v>
          </cell>
          <cell r="H4162" t="str">
            <v>Fissidens curvatus</v>
          </cell>
        </row>
        <row r="4163">
          <cell r="A4163" t="str">
            <v>Fissidens dubius</v>
          </cell>
          <cell r="B4163" t="str">
            <v>Mosses and liverworts</v>
          </cell>
          <cell r="C4163" t="str">
            <v>Bryophyta</v>
          </cell>
          <cell r="D4163" t="str">
            <v>Fissidens dubius</v>
          </cell>
          <cell r="E4163" t="str">
            <v>LC</v>
          </cell>
          <cell r="F4163" t="str">
            <v>Callaghan, 2022</v>
          </cell>
          <cell r="G4163" t="str">
            <v>NBNSYS0000147421</v>
          </cell>
          <cell r="H4163" t="str">
            <v>Fissidens dubius</v>
          </cell>
        </row>
        <row r="4164">
          <cell r="A4164" t="str">
            <v>Fissidens exilis</v>
          </cell>
          <cell r="B4164" t="str">
            <v>Mosses and liverworts</v>
          </cell>
          <cell r="C4164" t="str">
            <v>Bryophyta</v>
          </cell>
          <cell r="D4164" t="str">
            <v>Fissidens exilis</v>
          </cell>
          <cell r="E4164" t="str">
            <v>LC</v>
          </cell>
          <cell r="F4164" t="str">
            <v>Callaghan, 2022</v>
          </cell>
          <cell r="G4164" t="str">
            <v>NBNSYS0000036280</v>
          </cell>
          <cell r="H4164" t="str">
            <v>Fissidens exilis</v>
          </cell>
        </row>
        <row r="4165">
          <cell r="A4165" t="str">
            <v>Fissidens fontanus</v>
          </cell>
          <cell r="B4165" t="str">
            <v>Mosses and liverworts</v>
          </cell>
          <cell r="C4165" t="str">
            <v>Bryophyta</v>
          </cell>
          <cell r="D4165" t="str">
            <v>Fissidens fontanus</v>
          </cell>
          <cell r="E4165" t="str">
            <v>LC</v>
          </cell>
          <cell r="F4165" t="str">
            <v>Callaghan, 2022</v>
          </cell>
          <cell r="G4165" t="str">
            <v>NHMSYS0021195270</v>
          </cell>
          <cell r="H4165" t="str">
            <v>Fissidens fontanus</v>
          </cell>
        </row>
        <row r="4166">
          <cell r="A4166" t="str">
            <v>Fissidens gracilifolius</v>
          </cell>
          <cell r="B4166" t="str">
            <v>Mosses and liverworts</v>
          </cell>
          <cell r="C4166" t="str">
            <v>Bryophyta</v>
          </cell>
          <cell r="D4166" t="str">
            <v>Fissidens gracilifolius</v>
          </cell>
          <cell r="E4166" t="str">
            <v>LC</v>
          </cell>
          <cell r="F4166" t="str">
            <v>Callaghan, 2022</v>
          </cell>
          <cell r="G4166" t="str">
            <v>NHMSYS0000309871</v>
          </cell>
          <cell r="H4166" t="str">
            <v>Fissidens gracilifolius</v>
          </cell>
        </row>
        <row r="4167">
          <cell r="A4167" t="str">
            <v>Fissidens incurvus</v>
          </cell>
          <cell r="B4167" t="str">
            <v>Mosses and liverworts</v>
          </cell>
          <cell r="C4167" t="str">
            <v>Bryophyta</v>
          </cell>
          <cell r="D4167" t="str">
            <v>Fissidens incurvus</v>
          </cell>
          <cell r="E4167" t="str">
            <v>LC</v>
          </cell>
          <cell r="F4167" t="str">
            <v>Callaghan, 2022</v>
          </cell>
          <cell r="G4167" t="str">
            <v>NBNSYS0000036272</v>
          </cell>
          <cell r="H4167" t="str">
            <v>Fissidens incurvus</v>
          </cell>
        </row>
        <row r="4168">
          <cell r="A4168" t="str">
            <v>Fissidens monguillonii</v>
          </cell>
          <cell r="B4168" t="str">
            <v>Mosses and liverworts</v>
          </cell>
          <cell r="C4168" t="str">
            <v>Bryophyta</v>
          </cell>
          <cell r="D4168" t="str">
            <v>Fissidens monguillonii</v>
          </cell>
          <cell r="E4168" t="str">
            <v>LC</v>
          </cell>
          <cell r="F4168" t="str">
            <v>Callaghan, 2022</v>
          </cell>
          <cell r="G4168" t="str">
            <v>NBNSYS0000036276</v>
          </cell>
          <cell r="H4168" t="str">
            <v>Fissidens monguillonii</v>
          </cell>
        </row>
        <row r="4169">
          <cell r="A4169" t="str">
            <v>Fissidens osmundoides</v>
          </cell>
          <cell r="B4169" t="str">
            <v>Mosses and liverworts</v>
          </cell>
          <cell r="C4169" t="str">
            <v>Bryophyta</v>
          </cell>
          <cell r="D4169" t="str">
            <v>Fissidens osmundoides</v>
          </cell>
          <cell r="E4169" t="str">
            <v>LC</v>
          </cell>
          <cell r="F4169" t="str">
            <v>Callaghan, 2022</v>
          </cell>
          <cell r="G4169" t="str">
            <v>NBNSYS0000036282</v>
          </cell>
          <cell r="H4169" t="str">
            <v>Fissidens osmundoides</v>
          </cell>
        </row>
        <row r="4170">
          <cell r="A4170" t="str">
            <v>Fissidens polyphyllus</v>
          </cell>
          <cell r="B4170" t="str">
            <v>Mosses and liverworts</v>
          </cell>
          <cell r="C4170" t="str">
            <v>Bryophyta</v>
          </cell>
          <cell r="D4170" t="str">
            <v>Fissidens polyphyllus</v>
          </cell>
          <cell r="E4170" t="str">
            <v>LC</v>
          </cell>
          <cell r="F4170" t="str">
            <v>Callaghan, 2022</v>
          </cell>
          <cell r="G4170" t="str">
            <v>NHMSYS0000309873</v>
          </cell>
          <cell r="H4170" t="str">
            <v>Fissidens polyphyllus</v>
          </cell>
        </row>
        <row r="4171">
          <cell r="A4171" t="str">
            <v>Fissidens pusillus</v>
          </cell>
          <cell r="B4171" t="str">
            <v>Mosses and liverworts</v>
          </cell>
          <cell r="C4171" t="str">
            <v>Bryophyta</v>
          </cell>
          <cell r="D4171" t="str">
            <v>Fissidens pusillus</v>
          </cell>
          <cell r="E4171" t="str">
            <v>LC</v>
          </cell>
          <cell r="F4171" t="str">
            <v>Callaghan, 2022</v>
          </cell>
          <cell r="G4171" t="str">
            <v>NHMSYS0000310871</v>
          </cell>
          <cell r="H4171" t="str">
            <v>Fissidens pusillus</v>
          </cell>
        </row>
        <row r="4172">
          <cell r="A4172" t="str">
            <v>Fissidens rivularis</v>
          </cell>
          <cell r="B4172" t="str">
            <v>Mosses and liverworts</v>
          </cell>
          <cell r="C4172" t="str">
            <v>Bryophyta</v>
          </cell>
          <cell r="D4172" t="str">
            <v>Fissidens rivularis</v>
          </cell>
          <cell r="E4172" t="str">
            <v>LC</v>
          </cell>
          <cell r="F4172" t="str">
            <v>Callaghan, 2022</v>
          </cell>
          <cell r="G4172" t="str">
            <v>NHMSYS0000309877</v>
          </cell>
          <cell r="H4172" t="str">
            <v>Fissidens rivularis</v>
          </cell>
        </row>
        <row r="4173">
          <cell r="A4173" t="str">
            <v>Fissidens rufulus</v>
          </cell>
          <cell r="B4173" t="str">
            <v>Mosses and liverworts</v>
          </cell>
          <cell r="C4173" t="str">
            <v>Bryophyta</v>
          </cell>
          <cell r="D4173" t="str">
            <v>Fissidens rufulus</v>
          </cell>
          <cell r="E4173" t="str">
            <v>LC</v>
          </cell>
          <cell r="F4173" t="str">
            <v>Callaghan, 2022</v>
          </cell>
          <cell r="G4173" t="str">
            <v>NHMSYS0000309878</v>
          </cell>
          <cell r="H4173" t="str">
            <v>Fissidens rufulus</v>
          </cell>
        </row>
        <row r="4174">
          <cell r="A4174" t="str">
            <v>Fissidens serrulatus</v>
          </cell>
          <cell r="B4174" t="str">
            <v>Mosses and liverworts</v>
          </cell>
          <cell r="C4174" t="str">
            <v>Bryophyta</v>
          </cell>
          <cell r="D4174" t="str">
            <v>Fissidens serrulatus</v>
          </cell>
          <cell r="E4174" t="str">
            <v>VU</v>
          </cell>
          <cell r="F4174" t="str">
            <v>Callaghan, 2022</v>
          </cell>
          <cell r="G4174" t="str">
            <v>NBNSYS0000036288</v>
          </cell>
          <cell r="H4174" t="str">
            <v>Fissidens serrulatus</v>
          </cell>
        </row>
        <row r="4175">
          <cell r="A4175" t="str">
            <v>Fissidens taxifolius</v>
          </cell>
          <cell r="B4175" t="str">
            <v>Mosses and liverworts</v>
          </cell>
          <cell r="C4175" t="str">
            <v>Bryophyta</v>
          </cell>
          <cell r="D4175" t="str">
            <v>Fissidens taxifolius</v>
          </cell>
          <cell r="E4175" t="str">
            <v>LC</v>
          </cell>
          <cell r="F4175" t="str">
            <v>Callaghan, 2022</v>
          </cell>
          <cell r="G4175" t="str">
            <v>NBNSYS0000036284</v>
          </cell>
          <cell r="H4175" t="str">
            <v>Fissidens taxifolius</v>
          </cell>
        </row>
        <row r="4176">
          <cell r="A4176" t="str">
            <v>Fissidens viridulus</v>
          </cell>
          <cell r="B4176" t="str">
            <v>Mosses and liverworts</v>
          </cell>
          <cell r="C4176" t="str">
            <v>Bryophyta</v>
          </cell>
          <cell r="D4176" t="str">
            <v>Fissidens viridulus</v>
          </cell>
          <cell r="E4176" t="str">
            <v>LC</v>
          </cell>
          <cell r="F4176" t="str">
            <v>Callaghan, 2022</v>
          </cell>
          <cell r="G4176" t="str">
            <v>NHMSYS0000310872</v>
          </cell>
          <cell r="H4176" t="str">
            <v>Fissidens viridulus</v>
          </cell>
        </row>
        <row r="4177">
          <cell r="A4177" t="str">
            <v>Flexitrichum flexicaule</v>
          </cell>
          <cell r="B4177" t="str">
            <v>Mosses and liverworts</v>
          </cell>
          <cell r="C4177" t="str">
            <v>Bryophyta</v>
          </cell>
          <cell r="D4177" t="str">
            <v>Flexitrichum flexicaule</v>
          </cell>
          <cell r="E4177" t="str">
            <v>LC</v>
          </cell>
          <cell r="F4177" t="str">
            <v>Callaghan, 2022</v>
          </cell>
          <cell r="G4177" t="str">
            <v>NHMSYS0000310869</v>
          </cell>
          <cell r="H4177" t="str">
            <v>Flexitrichum flexicaule</v>
          </cell>
        </row>
        <row r="4178">
          <cell r="A4178" t="str">
            <v>Flexitrichum gracile</v>
          </cell>
          <cell r="B4178" t="str">
            <v>Mosses and liverworts</v>
          </cell>
          <cell r="C4178" t="str">
            <v>Bryophyta</v>
          </cell>
          <cell r="D4178" t="str">
            <v>Flexitrichum gracile</v>
          </cell>
          <cell r="E4178" t="str">
            <v>LC</v>
          </cell>
          <cell r="F4178" t="str">
            <v>Callaghan, 2022</v>
          </cell>
          <cell r="G4178" t="str">
            <v>NBNSYS0100002871</v>
          </cell>
          <cell r="H4178" t="str">
            <v>Flexitrichum gracile</v>
          </cell>
        </row>
        <row r="4179">
          <cell r="A4179" t="str">
            <v>Fontinalis antipyretica</v>
          </cell>
          <cell r="B4179" t="str">
            <v>Mosses and liverworts</v>
          </cell>
          <cell r="C4179" t="str">
            <v>Bryophyta</v>
          </cell>
          <cell r="D4179" t="str">
            <v>Fontinalis antipyretica</v>
          </cell>
          <cell r="E4179" t="str">
            <v>LC</v>
          </cell>
          <cell r="F4179" t="str">
            <v>Callaghan, 2022</v>
          </cell>
          <cell r="G4179" t="str">
            <v>NBNSYS0000022274</v>
          </cell>
          <cell r="H4179" t="str">
            <v>Fontinalis antipyretica</v>
          </cell>
        </row>
        <row r="4180">
          <cell r="A4180" t="str">
            <v>Fontinalis squamosa</v>
          </cell>
          <cell r="B4180" t="str">
            <v>Mosses and liverworts</v>
          </cell>
          <cell r="C4180" t="str">
            <v>Bryophyta</v>
          </cell>
          <cell r="D4180" t="str">
            <v>Fontinalis squamosa</v>
          </cell>
          <cell r="E4180" t="str">
            <v>LC</v>
          </cell>
          <cell r="F4180" t="str">
            <v>Callaghan, 2022</v>
          </cell>
          <cell r="G4180" t="str">
            <v>NBNSYS0000036730</v>
          </cell>
          <cell r="H4180" t="str">
            <v>Fontinalis squamosa</v>
          </cell>
        </row>
        <row r="4181">
          <cell r="A4181" t="str">
            <v>Fossombronia angulosa</v>
          </cell>
          <cell r="B4181" t="str">
            <v>Mosses and liverworts</v>
          </cell>
          <cell r="C4181" t="str">
            <v>Bryophyta</v>
          </cell>
          <cell r="D4181" t="str">
            <v>Fossombronia angulosa</v>
          </cell>
          <cell r="E4181" t="str">
            <v>NT</v>
          </cell>
          <cell r="F4181" t="str">
            <v>Callaghan, 2022</v>
          </cell>
          <cell r="G4181" t="str">
            <v>NBNSYS0000036010</v>
          </cell>
          <cell r="H4181" t="str">
            <v>Fossombronia angulosa</v>
          </cell>
        </row>
        <row r="4182">
          <cell r="A4182" t="str">
            <v>Fossombronia caespitiformis</v>
          </cell>
          <cell r="B4182" t="str">
            <v>Mosses and liverworts</v>
          </cell>
          <cell r="C4182" t="str">
            <v>Bryophyta</v>
          </cell>
          <cell r="D4182" t="str">
            <v>Fossombronia caespitiformis</v>
          </cell>
          <cell r="E4182" t="str">
            <v>LC</v>
          </cell>
          <cell r="F4182" t="str">
            <v>Callaghan, 2022</v>
          </cell>
          <cell r="G4182" t="str">
            <v>NBNSYS0000036011</v>
          </cell>
          <cell r="H4182" t="str">
            <v>Fossombronia caespitiformis</v>
          </cell>
        </row>
        <row r="4183">
          <cell r="A4183" t="str">
            <v>Fossombronia fimbriata</v>
          </cell>
          <cell r="B4183" t="str">
            <v>Mosses and liverworts</v>
          </cell>
          <cell r="C4183" t="str">
            <v>Bryophyta</v>
          </cell>
          <cell r="D4183" t="str">
            <v>Fossombronia fimbriata</v>
          </cell>
          <cell r="E4183" t="str">
            <v>EN</v>
          </cell>
          <cell r="F4183" t="str">
            <v>Callaghan, 2022</v>
          </cell>
          <cell r="G4183" t="str">
            <v>NBNSYS0000036019</v>
          </cell>
          <cell r="H4183" t="str">
            <v>Fossombronia fimbriata</v>
          </cell>
        </row>
        <row r="4184">
          <cell r="A4184" t="str">
            <v>Fossombronia foveolata</v>
          </cell>
          <cell r="B4184" t="str">
            <v>Mosses and liverworts</v>
          </cell>
          <cell r="C4184" t="str">
            <v>Bryophyta</v>
          </cell>
          <cell r="D4184" t="str">
            <v>Fossombronia foveolata</v>
          </cell>
          <cell r="E4184" t="str">
            <v>LC</v>
          </cell>
          <cell r="F4184" t="str">
            <v>Callaghan, 2022</v>
          </cell>
          <cell r="G4184" t="str">
            <v>NBNSYS0000036009</v>
          </cell>
          <cell r="H4184" t="str">
            <v>Fossombronia foveolata</v>
          </cell>
        </row>
        <row r="4185">
          <cell r="A4185" t="str">
            <v>Fossombronia husnotii</v>
          </cell>
          <cell r="B4185" t="str">
            <v>Mosses and liverworts</v>
          </cell>
          <cell r="C4185" t="str">
            <v>Bryophyta</v>
          </cell>
          <cell r="D4185" t="str">
            <v>Fossombronia husnotii</v>
          </cell>
          <cell r="E4185" t="str">
            <v>LC</v>
          </cell>
          <cell r="F4185" t="str">
            <v>Callaghan, 2022</v>
          </cell>
          <cell r="G4185" t="str">
            <v>NBNSYS0000036012</v>
          </cell>
          <cell r="H4185" t="str">
            <v>Fossombronia husnotii</v>
          </cell>
        </row>
        <row r="4186">
          <cell r="A4186" t="str">
            <v>Fossombronia incurva</v>
          </cell>
          <cell r="B4186" t="str">
            <v>Mosses and liverworts</v>
          </cell>
          <cell r="C4186" t="str">
            <v>Bryophyta</v>
          </cell>
          <cell r="D4186" t="str">
            <v>Fossombronia incurva</v>
          </cell>
          <cell r="E4186" t="str">
            <v>LC</v>
          </cell>
          <cell r="F4186" t="str">
            <v>Callaghan, 2022</v>
          </cell>
          <cell r="G4186" t="str">
            <v>NBNSYS0000036018</v>
          </cell>
          <cell r="H4186" t="str">
            <v>Fossombronia incurva</v>
          </cell>
        </row>
        <row r="4187">
          <cell r="A4187" t="str">
            <v>Fossombronia maritima</v>
          </cell>
          <cell r="B4187" t="str">
            <v>Mosses and liverworts</v>
          </cell>
          <cell r="C4187" t="str">
            <v>Bryophyta</v>
          </cell>
          <cell r="D4187" t="str">
            <v>Fossombronia maritima</v>
          </cell>
          <cell r="E4187" t="str">
            <v>LC</v>
          </cell>
          <cell r="F4187" t="str">
            <v>Callaghan, 2022</v>
          </cell>
          <cell r="G4187" t="str">
            <v>NHMSYS0000309894</v>
          </cell>
          <cell r="H4187" t="str">
            <v>Fossombronia maritima</v>
          </cell>
        </row>
        <row r="4188">
          <cell r="A4188" t="str">
            <v>Fossombronia mittenii</v>
          </cell>
          <cell r="B4188" t="str">
            <v>Mosses and liverworts</v>
          </cell>
          <cell r="C4188" t="str">
            <v>Bryophyta</v>
          </cell>
          <cell r="D4188" t="str">
            <v>Fossombronia mittenii</v>
          </cell>
          <cell r="E4188" t="str">
            <v>CR(PE)</v>
          </cell>
          <cell r="F4188" t="str">
            <v>Callaghan, 2022</v>
          </cell>
          <cell r="G4188" t="str">
            <v>NHMSYS0021194650</v>
          </cell>
          <cell r="H4188" t="str">
            <v>Fossombronia mittenii</v>
          </cell>
        </row>
        <row r="4189">
          <cell r="A4189" t="str">
            <v>Fossombronia pusilla</v>
          </cell>
          <cell r="B4189" t="str">
            <v>Mosses and liverworts</v>
          </cell>
          <cell r="C4189" t="str">
            <v>Bryophyta</v>
          </cell>
          <cell r="D4189" t="str">
            <v>Fossombronia pusilla</v>
          </cell>
          <cell r="E4189" t="str">
            <v>LC</v>
          </cell>
          <cell r="F4189" t="str">
            <v>Callaghan, 2022</v>
          </cell>
          <cell r="G4189" t="str">
            <v>NBNSYS0000036015</v>
          </cell>
          <cell r="H4189" t="str">
            <v>Fossombronia pusilla</v>
          </cell>
        </row>
        <row r="4190">
          <cell r="A4190" t="str">
            <v>Fossombronia wondraczekii</v>
          </cell>
          <cell r="B4190" t="str">
            <v>Mosses and liverworts</v>
          </cell>
          <cell r="C4190" t="str">
            <v>Bryophyta</v>
          </cell>
          <cell r="D4190" t="str">
            <v>Fossombronia wondraczekii</v>
          </cell>
          <cell r="E4190" t="str">
            <v>LC</v>
          </cell>
          <cell r="F4190" t="str">
            <v>Callaghan, 2022</v>
          </cell>
          <cell r="G4190" t="str">
            <v>NHMSYS0000309899</v>
          </cell>
          <cell r="H4190" t="str">
            <v>Fossombronia wondraczekii</v>
          </cell>
        </row>
        <row r="4191">
          <cell r="A4191" t="str">
            <v>Frullania dilatata</v>
          </cell>
          <cell r="B4191" t="str">
            <v>Mosses and liverworts</v>
          </cell>
          <cell r="C4191" t="str">
            <v>Bryophyta</v>
          </cell>
          <cell r="D4191" t="str">
            <v>Frullania dilatata</v>
          </cell>
          <cell r="E4191" t="str">
            <v>LC</v>
          </cell>
          <cell r="F4191" t="str">
            <v>Callaghan, 2022</v>
          </cell>
          <cell r="G4191" t="str">
            <v>NHMSYS0000309902</v>
          </cell>
          <cell r="H4191" t="str">
            <v>Frullania dilatata</v>
          </cell>
        </row>
        <row r="4192">
          <cell r="A4192" t="str">
            <v>Frullania fragilifolia</v>
          </cell>
          <cell r="B4192" t="str">
            <v>Mosses and liverworts</v>
          </cell>
          <cell r="C4192" t="str">
            <v>Bryophyta</v>
          </cell>
          <cell r="D4192" t="str">
            <v>Frullania fragilifolia</v>
          </cell>
          <cell r="E4192" t="str">
            <v>LC</v>
          </cell>
          <cell r="F4192" t="str">
            <v>Callaghan, 2022</v>
          </cell>
          <cell r="G4192" t="str">
            <v>NHMSYS0000309903</v>
          </cell>
          <cell r="H4192" t="str">
            <v>Frullania fragilifolia</v>
          </cell>
        </row>
        <row r="4193">
          <cell r="A4193" t="str">
            <v>Frullania microphylla</v>
          </cell>
          <cell r="B4193" t="str">
            <v>Mosses and liverworts</v>
          </cell>
          <cell r="C4193" t="str">
            <v>Bryophyta</v>
          </cell>
          <cell r="D4193" t="str">
            <v>Frullania microphylla</v>
          </cell>
          <cell r="E4193" t="str">
            <v>LC</v>
          </cell>
          <cell r="F4193" t="str">
            <v>Callaghan, 2022</v>
          </cell>
          <cell r="G4193" t="str">
            <v>NHMSYS0000309905</v>
          </cell>
          <cell r="H4193" t="str">
            <v>Frullania microphylla</v>
          </cell>
        </row>
        <row r="4194">
          <cell r="A4194" t="str">
            <v>Frullania tamarisci</v>
          </cell>
          <cell r="B4194" t="str">
            <v>Mosses and liverworts</v>
          </cell>
          <cell r="C4194" t="str">
            <v>Bryophyta</v>
          </cell>
          <cell r="D4194" t="str">
            <v>Frullania tamarisci</v>
          </cell>
          <cell r="E4194" t="str">
            <v>LC</v>
          </cell>
          <cell r="F4194" t="str">
            <v>Callaghan, 2022</v>
          </cell>
          <cell r="G4194" t="str">
            <v>NHMSYS0000309907</v>
          </cell>
          <cell r="H4194" t="str">
            <v>Frullania tamarisci</v>
          </cell>
        </row>
        <row r="4195">
          <cell r="A4195" t="str">
            <v>Frullania teneriffae</v>
          </cell>
          <cell r="B4195" t="str">
            <v>Mosses and liverworts</v>
          </cell>
          <cell r="C4195" t="str">
            <v>Bryophyta</v>
          </cell>
          <cell r="D4195" t="str">
            <v>Frullania teneriffae</v>
          </cell>
          <cell r="E4195" t="str">
            <v>LC</v>
          </cell>
          <cell r="F4195" t="str">
            <v>Callaghan, 2022</v>
          </cell>
          <cell r="G4195" t="str">
            <v>NHMSYS0000309908</v>
          </cell>
          <cell r="H4195" t="str">
            <v>Frullania teneriffae</v>
          </cell>
        </row>
        <row r="4196">
          <cell r="A4196" t="str">
            <v>Funaria hygrometrica</v>
          </cell>
          <cell r="B4196" t="str">
            <v>Mosses and liverworts</v>
          </cell>
          <cell r="C4196" t="str">
            <v>Bryophyta</v>
          </cell>
          <cell r="D4196" t="str">
            <v>Funaria hygrometrica</v>
          </cell>
          <cell r="E4196" t="str">
            <v>LC</v>
          </cell>
          <cell r="F4196" t="str">
            <v>Callaghan, 2022</v>
          </cell>
          <cell r="G4196" t="str">
            <v>NBNSYS0000036512</v>
          </cell>
          <cell r="H4196" t="str">
            <v>Funaria hygrometrica</v>
          </cell>
        </row>
        <row r="4197">
          <cell r="A4197" t="str">
            <v>Glyphomitrium daviesii</v>
          </cell>
          <cell r="B4197" t="str">
            <v>Mosses and liverworts</v>
          </cell>
          <cell r="C4197" t="str">
            <v>Bryophyta</v>
          </cell>
          <cell r="D4197" t="str">
            <v>Glyphomitrium daviesii</v>
          </cell>
          <cell r="E4197" t="str">
            <v>LC</v>
          </cell>
          <cell r="F4197" t="str">
            <v>Callaghan, 2022</v>
          </cell>
          <cell r="G4197" t="str">
            <v>NBNSYS0000036509</v>
          </cell>
          <cell r="H4197" t="str">
            <v>Glyphomitrium daviesii</v>
          </cell>
        </row>
        <row r="4198">
          <cell r="A4198" t="str">
            <v>Gongylanthus ericetorum</v>
          </cell>
          <cell r="B4198" t="str">
            <v>Mosses and liverworts</v>
          </cell>
          <cell r="C4198" t="str">
            <v>Bryophyta</v>
          </cell>
          <cell r="D4198" t="str">
            <v>Gongylanthus ericetorum</v>
          </cell>
          <cell r="E4198" t="str">
            <v>EN</v>
          </cell>
          <cell r="F4198" t="str">
            <v>Callaghan, 2022</v>
          </cell>
          <cell r="G4198" t="str">
            <v>NBNSYS0000035969</v>
          </cell>
          <cell r="H4198" t="str">
            <v>Gongylanthus ericetorum</v>
          </cell>
        </row>
        <row r="4199">
          <cell r="A4199" t="str">
            <v>Grimmia anodon</v>
          </cell>
          <cell r="B4199" t="str">
            <v>Mosses and liverworts</v>
          </cell>
          <cell r="C4199" t="str">
            <v>Bryophyta</v>
          </cell>
          <cell r="D4199" t="str">
            <v>Grimmia anodon</v>
          </cell>
          <cell r="E4199" t="str">
            <v>CR</v>
          </cell>
          <cell r="F4199" t="str">
            <v>Callaghan, 2022</v>
          </cell>
          <cell r="G4199" t="str">
            <v>NHMSYS0000309650</v>
          </cell>
          <cell r="H4199" t="str">
            <v>Grimmia anodon</v>
          </cell>
        </row>
        <row r="4200">
          <cell r="A4200" t="str">
            <v>Grimmia arenaria</v>
          </cell>
          <cell r="B4200" t="str">
            <v>Mosses and liverworts</v>
          </cell>
          <cell r="C4200" t="str">
            <v>Bryophyta</v>
          </cell>
          <cell r="D4200" t="str">
            <v>Grimmia arenaria</v>
          </cell>
          <cell r="E4200" t="str">
            <v>VU</v>
          </cell>
          <cell r="F4200" t="str">
            <v>Callaghan, 2022</v>
          </cell>
          <cell r="G4200" t="str">
            <v>NBNSYS0000036464</v>
          </cell>
          <cell r="H4200" t="str">
            <v>Grimmia arenaria</v>
          </cell>
        </row>
        <row r="4201">
          <cell r="A4201" t="str">
            <v>Grimmia atrata</v>
          </cell>
          <cell r="B4201" t="str">
            <v>Mosses and liverworts</v>
          </cell>
          <cell r="C4201" t="str">
            <v>Bryophyta</v>
          </cell>
          <cell r="D4201" t="str">
            <v>Grimmia atrata</v>
          </cell>
          <cell r="E4201" t="str">
            <v>NT</v>
          </cell>
          <cell r="F4201" t="str">
            <v>Callaghan, 2022</v>
          </cell>
          <cell r="G4201" t="str">
            <v>NHMSYS0000309652</v>
          </cell>
          <cell r="H4201" t="str">
            <v>Grimmia atrata</v>
          </cell>
        </row>
        <row r="4202">
          <cell r="A4202" t="str">
            <v>Grimmia crinita</v>
          </cell>
          <cell r="B4202" t="str">
            <v>Mosses and liverworts</v>
          </cell>
          <cell r="C4202" t="str">
            <v>Bryophyta</v>
          </cell>
          <cell r="D4202" t="str">
            <v>Grimmia crinita</v>
          </cell>
          <cell r="E4202" t="str">
            <v>CR</v>
          </cell>
          <cell r="F4202" t="str">
            <v>Callaghan, 2022</v>
          </cell>
          <cell r="G4202" t="str">
            <v>NBNSYS0000036460</v>
          </cell>
          <cell r="H4202" t="str">
            <v>Grimmia crinita</v>
          </cell>
        </row>
        <row r="4203">
          <cell r="A4203" t="str">
            <v>Grimmia decipiens</v>
          </cell>
          <cell r="B4203" t="str">
            <v>Mosses and liverworts</v>
          </cell>
          <cell r="C4203" t="str">
            <v>Bryophyta</v>
          </cell>
          <cell r="D4203" t="str">
            <v>Grimmia decipiens</v>
          </cell>
          <cell r="E4203" t="str">
            <v>LC</v>
          </cell>
          <cell r="F4203" t="str">
            <v>Callaghan, 2022</v>
          </cell>
          <cell r="G4203" t="str">
            <v>NHMSYS0000309964</v>
          </cell>
          <cell r="H4203" t="str">
            <v>Grimmia decipiens</v>
          </cell>
        </row>
        <row r="4204">
          <cell r="A4204" t="str">
            <v>Grimmia dissimulata</v>
          </cell>
          <cell r="B4204" t="str">
            <v>Mosses and liverworts</v>
          </cell>
          <cell r="C4204" t="str">
            <v>Bryophyta</v>
          </cell>
          <cell r="D4204" t="str">
            <v>Grimmia dissimulata</v>
          </cell>
          <cell r="E4204" t="str">
            <v>LC</v>
          </cell>
          <cell r="F4204" t="str">
            <v>Callaghan, 2022</v>
          </cell>
          <cell r="G4204" t="str">
            <v>NHMSYS0001682649</v>
          </cell>
          <cell r="H4204" t="str">
            <v>Grimmia dissimulata</v>
          </cell>
        </row>
        <row r="4205">
          <cell r="A4205" t="str">
            <v>Grimmia donniana</v>
          </cell>
          <cell r="B4205" t="str">
            <v>Mosses and liverworts</v>
          </cell>
          <cell r="C4205" t="str">
            <v>Bryophyta</v>
          </cell>
          <cell r="D4205" t="str">
            <v>Grimmia donniana</v>
          </cell>
          <cell r="E4205" t="str">
            <v>LC</v>
          </cell>
          <cell r="F4205" t="str">
            <v>Callaghan, 2022</v>
          </cell>
          <cell r="G4205" t="str">
            <v>NBNSYS0000036465</v>
          </cell>
          <cell r="H4205" t="str">
            <v>Grimmia donniana</v>
          </cell>
        </row>
        <row r="4206">
          <cell r="A4206" t="str">
            <v>Grimmia elongata</v>
          </cell>
          <cell r="B4206" t="str">
            <v>Mosses and liverworts</v>
          </cell>
          <cell r="C4206" t="str">
            <v>Bryophyta</v>
          </cell>
          <cell r="D4206" t="str">
            <v>Grimmia elongata</v>
          </cell>
          <cell r="E4206" t="str">
            <v>LC</v>
          </cell>
          <cell r="F4206" t="str">
            <v>Callaghan, 2022</v>
          </cell>
          <cell r="G4206" t="str">
            <v>NHMSYS0000309970</v>
          </cell>
          <cell r="H4206" t="str">
            <v>Grimmia elongata</v>
          </cell>
        </row>
        <row r="4207">
          <cell r="A4207" t="str">
            <v>Grimmia funalis</v>
          </cell>
          <cell r="B4207" t="str">
            <v>Mosses and liverworts</v>
          </cell>
          <cell r="C4207" t="str">
            <v>Bryophyta</v>
          </cell>
          <cell r="D4207" t="str">
            <v>Grimmia funalis</v>
          </cell>
          <cell r="E4207" t="str">
            <v>LC</v>
          </cell>
          <cell r="F4207" t="str">
            <v>Callaghan, 2022</v>
          </cell>
          <cell r="G4207" t="str">
            <v>NHMSYS0000309971</v>
          </cell>
          <cell r="H4207" t="str">
            <v>Grimmia funalis</v>
          </cell>
        </row>
        <row r="4208">
          <cell r="A4208" t="str">
            <v>Grimmia hartmanii</v>
          </cell>
          <cell r="B4208" t="str">
            <v>Mosses and liverworts</v>
          </cell>
          <cell r="C4208" t="str">
            <v>Bryophyta</v>
          </cell>
          <cell r="D4208" t="str">
            <v>Grimmia hartmanii</v>
          </cell>
          <cell r="E4208" t="str">
            <v>LC</v>
          </cell>
          <cell r="F4208" t="str">
            <v>Callaghan, 2022</v>
          </cell>
          <cell r="G4208" t="str">
            <v>NBNSYS0000036485</v>
          </cell>
          <cell r="H4208" t="str">
            <v>Grimmia hartmanii</v>
          </cell>
        </row>
        <row r="4209">
          <cell r="A4209" t="str">
            <v>Grimmia incurva</v>
          </cell>
          <cell r="B4209" t="str">
            <v>Mosses and liverworts</v>
          </cell>
          <cell r="C4209" t="str">
            <v>Bryophyta</v>
          </cell>
          <cell r="D4209" t="str">
            <v>Grimmia incurva</v>
          </cell>
          <cell r="E4209" t="str">
            <v>LC</v>
          </cell>
          <cell r="F4209" t="str">
            <v>Callaghan, 2022</v>
          </cell>
          <cell r="G4209" t="str">
            <v>NBNSYS0000036472</v>
          </cell>
          <cell r="H4209" t="str">
            <v>Grimmia incurva</v>
          </cell>
        </row>
        <row r="4210">
          <cell r="A4210" t="str">
            <v>Grimmia laevigata</v>
          </cell>
          <cell r="B4210" t="str">
            <v>Mosses and liverworts</v>
          </cell>
          <cell r="C4210" t="str">
            <v>Bryophyta</v>
          </cell>
          <cell r="D4210" t="str">
            <v>Grimmia laevigata</v>
          </cell>
          <cell r="E4210" t="str">
            <v>LC</v>
          </cell>
          <cell r="F4210" t="str">
            <v>Callaghan, 2022</v>
          </cell>
          <cell r="G4210" t="str">
            <v>NBNSYS0000036461</v>
          </cell>
          <cell r="H4210" t="str">
            <v>Grimmia laevigata</v>
          </cell>
        </row>
        <row r="4211">
          <cell r="A4211" t="str">
            <v>Grimmia lisae</v>
          </cell>
          <cell r="B4211" t="str">
            <v>Mosses and liverworts</v>
          </cell>
          <cell r="C4211" t="str">
            <v>Bryophyta</v>
          </cell>
          <cell r="D4211" t="str">
            <v>Grimmia lisae</v>
          </cell>
          <cell r="E4211" t="str">
            <v>LC</v>
          </cell>
          <cell r="F4211" t="str">
            <v>Callaghan, 2022</v>
          </cell>
          <cell r="G4211" t="str">
            <v>NBNSYS0000147927</v>
          </cell>
          <cell r="H4211" t="str">
            <v>Grimmia lisae</v>
          </cell>
        </row>
        <row r="4212">
          <cell r="A4212" t="str">
            <v>Grimmia longirostris</v>
          </cell>
          <cell r="B4212" t="str">
            <v>Mosses and liverworts</v>
          </cell>
          <cell r="C4212" t="str">
            <v>Bryophyta</v>
          </cell>
          <cell r="D4212" t="str">
            <v>Grimmia longirostris</v>
          </cell>
          <cell r="E4212" t="str">
            <v>LC</v>
          </cell>
          <cell r="F4212" t="str">
            <v>Callaghan, 2022</v>
          </cell>
          <cell r="G4212" t="str">
            <v>NBNSYS0100003298</v>
          </cell>
          <cell r="H4212" t="str">
            <v>Grimmia longirostris</v>
          </cell>
        </row>
        <row r="4213">
          <cell r="A4213" t="str">
            <v>Grimmia montana</v>
          </cell>
          <cell r="B4213" t="str">
            <v>Mosses and liverworts</v>
          </cell>
          <cell r="C4213" t="str">
            <v>Bryophyta</v>
          </cell>
          <cell r="D4213" t="str">
            <v>Grimmia montana</v>
          </cell>
          <cell r="E4213" t="str">
            <v>LC</v>
          </cell>
          <cell r="F4213" t="str">
            <v>Callaghan, 2022</v>
          </cell>
          <cell r="G4213" t="str">
            <v>NHMSYS0000309973</v>
          </cell>
          <cell r="H4213" t="str">
            <v>Grimmia montana</v>
          </cell>
        </row>
        <row r="4214">
          <cell r="A4214" t="str">
            <v>Grimmia orbicularis</v>
          </cell>
          <cell r="B4214" t="str">
            <v>Mosses and liverworts</v>
          </cell>
          <cell r="C4214" t="str">
            <v>Bryophyta</v>
          </cell>
          <cell r="D4214" t="str">
            <v>Grimmia orbicularis</v>
          </cell>
          <cell r="E4214" t="str">
            <v>LC</v>
          </cell>
          <cell r="F4214" t="str">
            <v>Callaghan, 2022</v>
          </cell>
          <cell r="G4214" t="str">
            <v>NHMSYS0000309975</v>
          </cell>
          <cell r="H4214" t="str">
            <v>Grimmia orbicularis</v>
          </cell>
        </row>
        <row r="4215">
          <cell r="A4215" t="str">
            <v>Grimmia ovalis</v>
          </cell>
          <cell r="B4215" t="str">
            <v>Mosses and liverworts</v>
          </cell>
          <cell r="C4215" t="str">
            <v>Bryophyta</v>
          </cell>
          <cell r="D4215" t="str">
            <v>Grimmia ovalis</v>
          </cell>
          <cell r="E4215" t="str">
            <v>LC</v>
          </cell>
          <cell r="F4215" t="str">
            <v>Callaghan, 2022</v>
          </cell>
          <cell r="G4215" t="str">
            <v>NBNSYS0000036469</v>
          </cell>
          <cell r="H4215" t="str">
            <v>Grimmia ovalis</v>
          </cell>
        </row>
        <row r="4216">
          <cell r="A4216" t="str">
            <v>Grimmia pulvinata</v>
          </cell>
          <cell r="B4216" t="str">
            <v>Mosses and liverworts</v>
          </cell>
          <cell r="C4216" t="str">
            <v>Bryophyta</v>
          </cell>
          <cell r="D4216" t="str">
            <v>Grimmia pulvinata</v>
          </cell>
          <cell r="E4216" t="str">
            <v>LC</v>
          </cell>
          <cell r="F4216" t="str">
            <v>Callaghan, 2022</v>
          </cell>
          <cell r="G4216" t="str">
            <v>NBNSYS0000036475</v>
          </cell>
          <cell r="H4216" t="str">
            <v>Grimmia pulvinata</v>
          </cell>
        </row>
        <row r="4217">
          <cell r="A4217" t="str">
            <v>Grimmia ramondii</v>
          </cell>
          <cell r="B4217" t="str">
            <v>Mosses and liverworts</v>
          </cell>
          <cell r="C4217" t="str">
            <v>Bryophyta</v>
          </cell>
          <cell r="D4217" t="str">
            <v>Grimmia ramondii</v>
          </cell>
          <cell r="E4217" t="str">
            <v>LC</v>
          </cell>
          <cell r="F4217" t="str">
            <v>Callaghan, 2022</v>
          </cell>
          <cell r="G4217" t="str">
            <v>NHMSYS0021194656</v>
          </cell>
          <cell r="H4217" t="str">
            <v>Grimmia ramondii</v>
          </cell>
        </row>
        <row r="4218">
          <cell r="A4218" t="str">
            <v>Grimmia tergestina</v>
          </cell>
          <cell r="B4218" t="str">
            <v>Mosses and liverworts</v>
          </cell>
          <cell r="C4218" t="str">
            <v>Bryophyta</v>
          </cell>
          <cell r="D4218" t="str">
            <v>Grimmia tergestina</v>
          </cell>
          <cell r="E4218" t="str">
            <v>LC</v>
          </cell>
          <cell r="F4218" t="str">
            <v>Callaghan, 2022</v>
          </cell>
          <cell r="G4218" t="str">
            <v>NHMSYS0000309982</v>
          </cell>
          <cell r="H4218" t="str">
            <v>Grimmia tergestina</v>
          </cell>
        </row>
        <row r="4219">
          <cell r="A4219" t="str">
            <v>Grimmia torquata</v>
          </cell>
          <cell r="B4219" t="str">
            <v>Mosses and liverworts</v>
          </cell>
          <cell r="C4219" t="str">
            <v>Bryophyta</v>
          </cell>
          <cell r="D4219" t="str">
            <v>Grimmia torquata</v>
          </cell>
          <cell r="E4219" t="str">
            <v>LC</v>
          </cell>
          <cell r="F4219" t="str">
            <v>Callaghan, 2022</v>
          </cell>
          <cell r="G4219" t="str">
            <v>NHMSYS0000309983</v>
          </cell>
          <cell r="H4219" t="str">
            <v>Grimmia torquata</v>
          </cell>
        </row>
        <row r="4220">
          <cell r="A4220" t="str">
            <v>Grimmia trichophylla</v>
          </cell>
          <cell r="B4220" t="str">
            <v>Mosses and liverworts</v>
          </cell>
          <cell r="C4220" t="str">
            <v>Bryophyta</v>
          </cell>
          <cell r="D4220" t="str">
            <v>Grimmia trichophylla</v>
          </cell>
          <cell r="E4220" t="str">
            <v>LC</v>
          </cell>
          <cell r="F4220" t="str">
            <v>Callaghan, 2022</v>
          </cell>
          <cell r="G4220" t="str">
            <v>NBNSYS0000036483</v>
          </cell>
          <cell r="H4220" t="str">
            <v>Grimmia trichophylla</v>
          </cell>
        </row>
        <row r="4221">
          <cell r="A4221" t="str">
            <v>Gymnocolea inflata</v>
          </cell>
          <cell r="B4221" t="str">
            <v>Mosses and liverworts</v>
          </cell>
          <cell r="C4221" t="str">
            <v>Bryophyta</v>
          </cell>
          <cell r="D4221" t="str">
            <v>Gymnocolea inflata</v>
          </cell>
          <cell r="E4221" t="str">
            <v>LC</v>
          </cell>
          <cell r="F4221" t="str">
            <v>Callaghan, 2022</v>
          </cell>
          <cell r="G4221" t="str">
            <v>NHMSYS0000309993</v>
          </cell>
          <cell r="H4221" t="str">
            <v>Gymnocolea inflata</v>
          </cell>
        </row>
        <row r="4222">
          <cell r="A4222" t="str">
            <v>Gymnomitrion adustum</v>
          </cell>
          <cell r="B4222" t="str">
            <v>Mosses and liverworts</v>
          </cell>
          <cell r="C4222" t="str">
            <v>Bryophyta</v>
          </cell>
          <cell r="D4222" t="str">
            <v>Gymnomitrion adustum</v>
          </cell>
          <cell r="E4222" t="str">
            <v>LC</v>
          </cell>
          <cell r="F4222" t="str">
            <v>Callaghan, 2022</v>
          </cell>
          <cell r="G4222" t="str">
            <v>NHMSYS0000309951</v>
          </cell>
          <cell r="H4222" t="str">
            <v>Gymnomitrion adustum</v>
          </cell>
        </row>
        <row r="4223">
          <cell r="A4223" t="str">
            <v>Gymnomitrion alpinum</v>
          </cell>
          <cell r="B4223" t="str">
            <v>Mosses and liverworts</v>
          </cell>
          <cell r="C4223" t="str">
            <v>Bryophyta</v>
          </cell>
          <cell r="D4223" t="str">
            <v>Gymnomitrion alpinum</v>
          </cell>
          <cell r="E4223" t="str">
            <v>LC</v>
          </cell>
          <cell r="F4223" t="str">
            <v>Callaghan, 2022</v>
          </cell>
          <cell r="G4223" t="str">
            <v>NHMSYS0000309952</v>
          </cell>
          <cell r="H4223" t="str">
            <v>Gymnomitrion alpinum</v>
          </cell>
        </row>
        <row r="4224">
          <cell r="A4224" t="str">
            <v>Gymnomitrion concinnatum</v>
          </cell>
          <cell r="B4224" t="str">
            <v>Mosses and liverworts</v>
          </cell>
          <cell r="C4224" t="str">
            <v>Bryophyta</v>
          </cell>
          <cell r="D4224" t="str">
            <v>Gymnomitrion concinnatum</v>
          </cell>
          <cell r="E4224" t="str">
            <v>LC</v>
          </cell>
          <cell r="F4224" t="str">
            <v>Callaghan, 2022</v>
          </cell>
          <cell r="G4224" t="str">
            <v>NHMSYS0000309998</v>
          </cell>
          <cell r="H4224" t="str">
            <v>Gymnomitrion concinnatum</v>
          </cell>
        </row>
        <row r="4225">
          <cell r="A4225" t="str">
            <v>Gymnomitrion crenulatum</v>
          </cell>
          <cell r="B4225" t="str">
            <v>Mosses and liverworts</v>
          </cell>
          <cell r="C4225" t="str">
            <v>Bryophyta</v>
          </cell>
          <cell r="D4225" t="str">
            <v>Gymnomitrion crenulatum</v>
          </cell>
          <cell r="E4225" t="str">
            <v>LC</v>
          </cell>
          <cell r="F4225" t="str">
            <v>Callaghan, 2022</v>
          </cell>
          <cell r="G4225" t="str">
            <v>NHMSYS0000309999</v>
          </cell>
          <cell r="H4225" t="str">
            <v>Gymnomitrion crenulatum</v>
          </cell>
        </row>
        <row r="4226">
          <cell r="A4226" t="str">
            <v>Gymnomitrion obtusum</v>
          </cell>
          <cell r="B4226" t="str">
            <v>Mosses and liverworts</v>
          </cell>
          <cell r="C4226" t="str">
            <v>Bryophyta</v>
          </cell>
          <cell r="D4226" t="str">
            <v>Gymnomitrion obtusum</v>
          </cell>
          <cell r="E4226" t="str">
            <v>LC</v>
          </cell>
          <cell r="F4226" t="str">
            <v>Callaghan, 2022</v>
          </cell>
          <cell r="G4226" t="str">
            <v>NHMSYS0000310000</v>
          </cell>
          <cell r="H4226" t="str">
            <v>Gymnomitrion obtusum</v>
          </cell>
        </row>
        <row r="4227">
          <cell r="A4227" t="str">
            <v>Gymnostomum aeruginosum</v>
          </cell>
          <cell r="B4227" t="str">
            <v>Mosses and liverworts</v>
          </cell>
          <cell r="C4227" t="str">
            <v>Bryophyta</v>
          </cell>
          <cell r="D4227" t="str">
            <v>Gymnostomum aeruginosum</v>
          </cell>
          <cell r="E4227" t="str">
            <v>LC</v>
          </cell>
          <cell r="F4227" t="str">
            <v>Callaghan, 2022</v>
          </cell>
          <cell r="G4227" t="str">
            <v>NBNSYS0000036392</v>
          </cell>
          <cell r="H4227" t="str">
            <v>Gymnostomum aeruginosum</v>
          </cell>
        </row>
        <row r="4228">
          <cell r="A4228" t="str">
            <v>Gymnostomum calcareum</v>
          </cell>
          <cell r="B4228" t="str">
            <v>Mosses and liverworts</v>
          </cell>
          <cell r="C4228" t="str">
            <v>Bryophyta</v>
          </cell>
          <cell r="D4228" t="str">
            <v>Gymnostomum calcareum</v>
          </cell>
          <cell r="E4228" t="str">
            <v>LC</v>
          </cell>
          <cell r="F4228" t="str">
            <v>Callaghan, 2022</v>
          </cell>
          <cell r="G4228" t="str">
            <v>NBNSYS0000036390</v>
          </cell>
          <cell r="H4228" t="str">
            <v>Gymnostomum calcareum</v>
          </cell>
        </row>
        <row r="4229">
          <cell r="A4229" t="str">
            <v>Gymnostomum viridulum</v>
          </cell>
          <cell r="B4229" t="str">
            <v>Mosses and liverworts</v>
          </cell>
          <cell r="C4229" t="str">
            <v>Bryophyta</v>
          </cell>
          <cell r="D4229" t="str">
            <v>Gymnostomum viridulum</v>
          </cell>
          <cell r="E4229" t="str">
            <v>LC</v>
          </cell>
          <cell r="F4229" t="str">
            <v>Callaghan, 2022</v>
          </cell>
          <cell r="G4229" t="str">
            <v>NBNSYS0000036391</v>
          </cell>
          <cell r="H4229" t="str">
            <v>Gymnostomum viridulum</v>
          </cell>
        </row>
        <row r="4230">
          <cell r="A4230" t="str">
            <v>Gyroweisia reflexa</v>
          </cell>
          <cell r="B4230" t="str">
            <v>Mosses and liverworts</v>
          </cell>
          <cell r="C4230" t="str">
            <v>Bryophyta</v>
          </cell>
          <cell r="D4230" t="str">
            <v>Gyroweisia reflexa</v>
          </cell>
          <cell r="E4230" t="str">
            <v>RE</v>
          </cell>
          <cell r="F4230" t="str">
            <v>Callaghan, 2022</v>
          </cell>
          <cell r="G4230" t="str">
            <v>NBNSYS0000036396</v>
          </cell>
          <cell r="H4230" t="str">
            <v>Gyroweisia reflexa</v>
          </cell>
        </row>
        <row r="4231">
          <cell r="A4231" t="str">
            <v>Gyroweisia tenuis</v>
          </cell>
          <cell r="B4231" t="str">
            <v>Mosses and liverworts</v>
          </cell>
          <cell r="C4231" t="str">
            <v>Bryophyta</v>
          </cell>
          <cell r="D4231" t="str">
            <v>Gyroweisia tenuis</v>
          </cell>
          <cell r="E4231" t="str">
            <v>LC</v>
          </cell>
          <cell r="F4231" t="str">
            <v>Callaghan, 2022</v>
          </cell>
          <cell r="G4231" t="str">
            <v>NBNSYS0000036395</v>
          </cell>
          <cell r="H4231" t="str">
            <v>Gyroweisia tenuis</v>
          </cell>
        </row>
        <row r="4232">
          <cell r="A4232" t="str">
            <v>Habrodon perpusillus</v>
          </cell>
          <cell r="B4232" t="str">
            <v>Mosses and liverworts</v>
          </cell>
          <cell r="C4232" t="str">
            <v>Bryophyta</v>
          </cell>
          <cell r="D4232" t="str">
            <v>Habrodon perpusillus</v>
          </cell>
          <cell r="E4232" t="str">
            <v>NT</v>
          </cell>
          <cell r="F4232" t="str">
            <v>Callaghan, 2022</v>
          </cell>
          <cell r="G4232" t="str">
            <v>NBNSYS0000036761</v>
          </cell>
          <cell r="H4232" t="str">
            <v>Habrodon perpusillus</v>
          </cell>
        </row>
        <row r="4233">
          <cell r="A4233" t="str">
            <v>Hageniella micans</v>
          </cell>
          <cell r="B4233" t="str">
            <v>Mosses and liverworts</v>
          </cell>
          <cell r="C4233" t="str">
            <v>Bryophyta</v>
          </cell>
          <cell r="D4233" t="str">
            <v>Hageniella micans</v>
          </cell>
          <cell r="E4233" t="str">
            <v>VU</v>
          </cell>
          <cell r="F4233" t="str">
            <v>Callaghan, 2022</v>
          </cell>
          <cell r="G4233" t="str">
            <v>NHMSYS0021194662</v>
          </cell>
          <cell r="H4233" t="str">
            <v>Hageniella micans</v>
          </cell>
        </row>
        <row r="4234">
          <cell r="A4234" t="str">
            <v>Hamatocaulis vernicosus</v>
          </cell>
          <cell r="B4234" t="str">
            <v>Mosses and liverworts</v>
          </cell>
          <cell r="C4234" t="str">
            <v>Bryophyta</v>
          </cell>
          <cell r="D4234" t="str">
            <v>Hamatocaulis vernicosus</v>
          </cell>
          <cell r="E4234" t="str">
            <v>LC</v>
          </cell>
          <cell r="F4234" t="str">
            <v>Callaghan, 2022</v>
          </cell>
          <cell r="G4234" t="str">
            <v>NHMSYS0000310012</v>
          </cell>
          <cell r="H4234" t="str">
            <v>Hamatocaulis vernicosus</v>
          </cell>
        </row>
        <row r="4235">
          <cell r="A4235" t="str">
            <v>Haplomitrium hookeri</v>
          </cell>
          <cell r="B4235" t="str">
            <v>Mosses and liverworts</v>
          </cell>
          <cell r="C4235" t="str">
            <v>Bryophyta</v>
          </cell>
          <cell r="D4235" t="str">
            <v>Haplomitrium hookeri</v>
          </cell>
          <cell r="E4235" t="str">
            <v>LC</v>
          </cell>
          <cell r="F4235" t="str">
            <v>Callaghan, 2022</v>
          </cell>
          <cell r="G4235" t="str">
            <v>NBNSYS0000035761</v>
          </cell>
          <cell r="H4235" t="str">
            <v>Haplomitrium hookeri</v>
          </cell>
        </row>
        <row r="4236">
          <cell r="A4236" t="str">
            <v>Harpalejeunea molleri</v>
          </cell>
          <cell r="B4236" t="str">
            <v>Mosses and liverworts</v>
          </cell>
          <cell r="C4236" t="str">
            <v>Bryophyta</v>
          </cell>
          <cell r="D4236" t="str">
            <v>Harpalejeunea molleri</v>
          </cell>
          <cell r="E4236" t="str">
            <v>LC</v>
          </cell>
          <cell r="F4236" t="str">
            <v>Callaghan, 2022</v>
          </cell>
          <cell r="G4236" t="str">
            <v>NBNSYS0100003335</v>
          </cell>
          <cell r="H4236" t="str">
            <v>Harpalejeunea molleri</v>
          </cell>
        </row>
        <row r="4237">
          <cell r="A4237" t="str">
            <v>Harpanthus flotovianus</v>
          </cell>
          <cell r="B4237" t="str">
            <v>Mosses and liverworts</v>
          </cell>
          <cell r="C4237" t="str">
            <v>Bryophyta</v>
          </cell>
          <cell r="D4237" t="str">
            <v>Harpanthus flotovianus</v>
          </cell>
          <cell r="E4237" t="str">
            <v>LC</v>
          </cell>
          <cell r="F4237" t="str">
            <v>Callaghan, 2022</v>
          </cell>
          <cell r="G4237" t="str">
            <v>NBNSYS0000035954</v>
          </cell>
          <cell r="H4237" t="str">
            <v>Harpanthus flotovianus</v>
          </cell>
        </row>
        <row r="4238">
          <cell r="A4238" t="str">
            <v>Harpanthus scutatus</v>
          </cell>
          <cell r="B4238" t="str">
            <v>Mosses and liverworts</v>
          </cell>
          <cell r="C4238" t="str">
            <v>Bryophyta</v>
          </cell>
          <cell r="D4238" t="str">
            <v>Harpanthus scutatus</v>
          </cell>
          <cell r="E4238" t="str">
            <v>LC</v>
          </cell>
          <cell r="F4238" t="str">
            <v>Callaghan, 2022</v>
          </cell>
          <cell r="G4238" t="str">
            <v>NHMSYS0000310019</v>
          </cell>
          <cell r="H4238" t="str">
            <v>Harpanthus scutatus</v>
          </cell>
        </row>
        <row r="4239">
          <cell r="A4239" t="str">
            <v>Hedwigia ciliata</v>
          </cell>
          <cell r="B4239" t="str">
            <v>Mosses and liverworts</v>
          </cell>
          <cell r="C4239" t="str">
            <v>Bryophyta</v>
          </cell>
          <cell r="D4239" t="str">
            <v>Hedwigia ciliata</v>
          </cell>
          <cell r="E4239" t="str">
            <v>LC</v>
          </cell>
          <cell r="F4239" t="str">
            <v>Callaghan, 2022</v>
          </cell>
          <cell r="G4239" t="str">
            <v>NBNSYS0000022273</v>
          </cell>
          <cell r="H4239" t="str">
            <v>Hedwigia ciliata</v>
          </cell>
        </row>
        <row r="4240">
          <cell r="A4240" t="str">
            <v>Hedwigia stellata</v>
          </cell>
          <cell r="B4240" t="str">
            <v>Mosses and liverworts</v>
          </cell>
          <cell r="C4240" t="str">
            <v>Bryophyta</v>
          </cell>
          <cell r="D4240" t="str">
            <v>Hedwigia stellata</v>
          </cell>
          <cell r="E4240" t="str">
            <v>LC</v>
          </cell>
          <cell r="F4240" t="str">
            <v>Callaghan, 2022</v>
          </cell>
          <cell r="G4240" t="str">
            <v>NHMSYS0000310025</v>
          </cell>
          <cell r="H4240" t="str">
            <v>Hedwigia stellata</v>
          </cell>
        </row>
        <row r="4241">
          <cell r="A4241" t="str">
            <v>Helodium blandowii</v>
          </cell>
          <cell r="B4241" t="str">
            <v>Mosses and liverworts</v>
          </cell>
          <cell r="C4241" t="str">
            <v>Bryophyta</v>
          </cell>
          <cell r="D4241" t="str">
            <v>Helodium blandowii</v>
          </cell>
          <cell r="E4241" t="str">
            <v>RE</v>
          </cell>
          <cell r="F4241" t="str">
            <v>Callaghan, 2022</v>
          </cell>
          <cell r="G4241" t="str">
            <v>NHMSYS0000310028</v>
          </cell>
          <cell r="H4241" t="str">
            <v>Helodium blandowii</v>
          </cell>
        </row>
        <row r="4242">
          <cell r="A4242" t="str">
            <v>Hennediella heimii</v>
          </cell>
          <cell r="B4242" t="str">
            <v>Mosses and liverworts</v>
          </cell>
          <cell r="C4242" t="str">
            <v>Bryophyta</v>
          </cell>
          <cell r="D4242" t="str">
            <v>Hennediella heimii</v>
          </cell>
          <cell r="E4242" t="str">
            <v>LC</v>
          </cell>
          <cell r="F4242" t="str">
            <v>Callaghan, 2022</v>
          </cell>
          <cell r="G4242" t="str">
            <v>NBNSYS0100003437</v>
          </cell>
          <cell r="H4242" t="str">
            <v>Hennediella heimii</v>
          </cell>
        </row>
        <row r="4243">
          <cell r="A4243" t="str">
            <v>Hennediella macrophylla</v>
          </cell>
          <cell r="B4243" t="str">
            <v>Mosses and liverworts</v>
          </cell>
          <cell r="C4243" t="str">
            <v>Bryophyta</v>
          </cell>
          <cell r="D4243" t="str">
            <v>Hennediella macrophylla</v>
          </cell>
          <cell r="E4243" t="str">
            <v>LC</v>
          </cell>
          <cell r="F4243" t="str">
            <v>Callaghan, 2022</v>
          </cell>
          <cell r="G4243" t="str">
            <v>NHMSYS0000310030</v>
          </cell>
          <cell r="H4243" t="str">
            <v>Hennediella macrophylla</v>
          </cell>
        </row>
        <row r="4244">
          <cell r="A4244" t="str">
            <v>Hennediella stanfordensis</v>
          </cell>
          <cell r="B4244" t="str">
            <v>Mosses and liverworts</v>
          </cell>
          <cell r="C4244" t="str">
            <v>Bryophyta</v>
          </cell>
          <cell r="D4244" t="str">
            <v>Hennediella stanfordensis</v>
          </cell>
          <cell r="E4244" t="str">
            <v>LC</v>
          </cell>
          <cell r="F4244" t="str">
            <v>Callaghan, 2022</v>
          </cell>
          <cell r="G4244" t="str">
            <v>NBNSYS0000036362</v>
          </cell>
          <cell r="H4244" t="str">
            <v>Hennediella stanfordensis</v>
          </cell>
        </row>
        <row r="4245">
          <cell r="A4245" t="str">
            <v>Herbertus hutchinsiae</v>
          </cell>
          <cell r="B4245" t="str">
            <v>Mosses and liverworts</v>
          </cell>
          <cell r="C4245" t="str">
            <v>Bryophyta</v>
          </cell>
          <cell r="D4245" t="str">
            <v>Herbertus hutchinsiae</v>
          </cell>
          <cell r="E4245" t="str">
            <v>LC</v>
          </cell>
          <cell r="F4245" t="str">
            <v>Callaghan, 2022</v>
          </cell>
          <cell r="G4245" t="str">
            <v>NHMSYS0000310036</v>
          </cell>
          <cell r="H4245" t="str">
            <v>Herbertus hutchinsiae</v>
          </cell>
        </row>
        <row r="4246">
          <cell r="A4246" t="str">
            <v>Herbertus stramineus</v>
          </cell>
          <cell r="B4246" t="str">
            <v>Mosses and liverworts</v>
          </cell>
          <cell r="C4246" t="str">
            <v>Bryophyta</v>
          </cell>
          <cell r="D4246" t="str">
            <v>Herbertus stramineus</v>
          </cell>
          <cell r="E4246" t="str">
            <v>LC</v>
          </cell>
          <cell r="F4246" t="str">
            <v>Callaghan, 2022</v>
          </cell>
          <cell r="G4246" t="str">
            <v>NHMSYS0000310038</v>
          </cell>
          <cell r="H4246" t="str">
            <v>Herbertus stramineus</v>
          </cell>
        </row>
        <row r="4247">
          <cell r="A4247" t="str">
            <v>Herzogiella seligeri</v>
          </cell>
          <cell r="B4247" t="str">
            <v>Mosses and liverworts</v>
          </cell>
          <cell r="C4247" t="str">
            <v>Bryophyta</v>
          </cell>
          <cell r="D4247" t="str">
            <v>Herzogiella seligeri</v>
          </cell>
          <cell r="E4247" t="str">
            <v>LC</v>
          </cell>
          <cell r="F4247" t="str">
            <v>Callaghan, 2022</v>
          </cell>
          <cell r="G4247" t="str">
            <v>NHMSYS0000310040</v>
          </cell>
          <cell r="H4247" t="str">
            <v>Herzogiella seligeri</v>
          </cell>
        </row>
        <row r="4248">
          <cell r="A4248" t="str">
            <v>Heterocladium flaccidum</v>
          </cell>
          <cell r="B4248" t="str">
            <v>Mosses and liverworts</v>
          </cell>
          <cell r="C4248" t="str">
            <v>Bryophyta</v>
          </cell>
          <cell r="D4248" t="str">
            <v>Heterocladium flaccidum</v>
          </cell>
          <cell r="E4248" t="str">
            <v>LC</v>
          </cell>
          <cell r="F4248" t="str">
            <v>Callaghan, 2022</v>
          </cell>
          <cell r="G4248" t="str">
            <v>NHMSYS0000310045</v>
          </cell>
          <cell r="H4248" t="str">
            <v>Heterocladium flaccidum</v>
          </cell>
        </row>
        <row r="4249">
          <cell r="A4249" t="str">
            <v>Heterocladium heteropterum</v>
          </cell>
          <cell r="B4249" t="str">
            <v>Mosses and liverworts</v>
          </cell>
          <cell r="C4249" t="str">
            <v>Bryophyta</v>
          </cell>
          <cell r="D4249" t="str">
            <v>Heterocladium heteropterum</v>
          </cell>
          <cell r="E4249" t="str">
            <v>LC</v>
          </cell>
          <cell r="F4249" t="str">
            <v>Callaghan, 2022</v>
          </cell>
          <cell r="G4249" t="str">
            <v>NHMSYS0000310044</v>
          </cell>
          <cell r="H4249" t="str">
            <v>Heterocladium heteropterum</v>
          </cell>
        </row>
        <row r="4250">
          <cell r="A4250" t="str">
            <v>Heterocladium wulfsbergii</v>
          </cell>
          <cell r="B4250" t="str">
            <v>Mosses and liverworts</v>
          </cell>
          <cell r="C4250" t="str">
            <v>Bryophyta</v>
          </cell>
          <cell r="D4250" t="str">
            <v>Heterocladium wulfsbergii</v>
          </cell>
          <cell r="E4250" t="str">
            <v>LC</v>
          </cell>
          <cell r="F4250" t="str">
            <v>Callaghan, 2022</v>
          </cell>
          <cell r="G4250" t="str">
            <v>NHMSYS0000310048</v>
          </cell>
          <cell r="H4250" t="str">
            <v>Heterocladium wulfsbergii</v>
          </cell>
        </row>
        <row r="4251">
          <cell r="A4251" t="str">
            <v>Heterogemma capitata</v>
          </cell>
          <cell r="B4251" t="str">
            <v>Mosses and liverworts</v>
          </cell>
          <cell r="C4251" t="str">
            <v>Bryophyta</v>
          </cell>
          <cell r="D4251" t="str">
            <v>Heterogemma capitata</v>
          </cell>
          <cell r="E4251" t="str">
            <v>VU</v>
          </cell>
          <cell r="F4251" t="str">
            <v>Callaghan, 2022</v>
          </cell>
          <cell r="G4251" t="str">
            <v>NBNSYS0000035849</v>
          </cell>
          <cell r="H4251" t="str">
            <v>Heterogemma capitata</v>
          </cell>
        </row>
        <row r="4252">
          <cell r="A4252" t="str">
            <v>Homalia trichomanoides</v>
          </cell>
          <cell r="B4252" t="str">
            <v>Mosses and liverworts</v>
          </cell>
          <cell r="C4252" t="str">
            <v>Bryophyta</v>
          </cell>
          <cell r="D4252" t="str">
            <v>Homalia trichomanoides</v>
          </cell>
          <cell r="E4252" t="str">
            <v>LC</v>
          </cell>
          <cell r="F4252" t="str">
            <v>Callaghan, 2022</v>
          </cell>
          <cell r="G4252" t="str">
            <v>NHMSYS0000310050</v>
          </cell>
          <cell r="H4252" t="str">
            <v>Homalia trichomanoides</v>
          </cell>
        </row>
        <row r="4253">
          <cell r="A4253" t="str">
            <v>Homalothecium lutescens</v>
          </cell>
          <cell r="B4253" t="str">
            <v>Mosses and liverworts</v>
          </cell>
          <cell r="C4253" t="str">
            <v>Bryophyta</v>
          </cell>
          <cell r="D4253" t="str">
            <v>Homalothecium lutescens</v>
          </cell>
          <cell r="E4253" t="str">
            <v>LC</v>
          </cell>
          <cell r="F4253" t="str">
            <v>Callaghan, 2022</v>
          </cell>
          <cell r="G4253" t="str">
            <v>NHMSYS0000310052</v>
          </cell>
          <cell r="H4253" t="str">
            <v>Homalothecium lutescens</v>
          </cell>
        </row>
        <row r="4254">
          <cell r="A4254" t="str">
            <v>Homalothecium sericeum</v>
          </cell>
          <cell r="B4254" t="str">
            <v>Mosses and liverworts</v>
          </cell>
          <cell r="C4254" t="str">
            <v>Bryophyta</v>
          </cell>
          <cell r="D4254" t="str">
            <v>Homalothecium sericeum</v>
          </cell>
          <cell r="E4254" t="str">
            <v>LC</v>
          </cell>
          <cell r="F4254" t="str">
            <v>Callaghan, 2022</v>
          </cell>
          <cell r="G4254" t="str">
            <v>NHMSYS0000310054</v>
          </cell>
          <cell r="H4254" t="str">
            <v>Homalothecium sericeum</v>
          </cell>
        </row>
        <row r="4255">
          <cell r="A4255" t="str">
            <v>Homomallium incurvatum</v>
          </cell>
          <cell r="B4255" t="str">
            <v>Mosses and liverworts</v>
          </cell>
          <cell r="C4255" t="str">
            <v>Bryophyta</v>
          </cell>
          <cell r="D4255" t="str">
            <v>Homomallium incurvatum</v>
          </cell>
          <cell r="E4255" t="str">
            <v>EN</v>
          </cell>
          <cell r="F4255" t="str">
            <v>Callaghan, 2022</v>
          </cell>
          <cell r="G4255" t="str">
            <v>NBNSYS0000036930</v>
          </cell>
          <cell r="H4255" t="str">
            <v>Homomallium incurvatum</v>
          </cell>
        </row>
        <row r="4256">
          <cell r="A4256" t="str">
            <v>Hookeria lucens</v>
          </cell>
          <cell r="B4256" t="str">
            <v>Mosses and liverworts</v>
          </cell>
          <cell r="C4256" t="str">
            <v>Bryophyta</v>
          </cell>
          <cell r="D4256" t="str">
            <v>Hookeria lucens</v>
          </cell>
          <cell r="E4256" t="str">
            <v>LC</v>
          </cell>
          <cell r="F4256" t="str">
            <v>Callaghan, 2022</v>
          </cell>
          <cell r="G4256" t="str">
            <v>NBNSYS0000036752</v>
          </cell>
          <cell r="H4256" t="str">
            <v>Hookeria lucens</v>
          </cell>
        </row>
        <row r="4257">
          <cell r="A4257" t="str">
            <v>Hygroamblystegium fluviatile</v>
          </cell>
          <cell r="B4257" t="str">
            <v>Mosses and liverworts</v>
          </cell>
          <cell r="C4257" t="str">
            <v>Bryophyta</v>
          </cell>
          <cell r="D4257" t="str">
            <v>Hygroamblystegium fluviatile</v>
          </cell>
          <cell r="E4257" t="str">
            <v>LC</v>
          </cell>
          <cell r="F4257" t="str">
            <v>Callaghan, 2022</v>
          </cell>
          <cell r="G4257" t="str">
            <v>NBNSYS0000149094</v>
          </cell>
          <cell r="H4257" t="str">
            <v>Hygroamblystegium fluviatile</v>
          </cell>
        </row>
        <row r="4258">
          <cell r="A4258" t="str">
            <v>Hygroamblystegium humile</v>
          </cell>
          <cell r="B4258" t="str">
            <v>Mosses and liverworts</v>
          </cell>
          <cell r="C4258" t="str">
            <v>Bryophyta</v>
          </cell>
          <cell r="D4258" t="str">
            <v>Hygroamblystegium humile</v>
          </cell>
          <cell r="E4258" t="str">
            <v>LC</v>
          </cell>
          <cell r="F4258" t="str">
            <v>Callaghan, 2022</v>
          </cell>
          <cell r="G4258" t="str">
            <v>NHMSYS0021125981</v>
          </cell>
          <cell r="H4258" t="str">
            <v>Hygroamblystegium humile</v>
          </cell>
        </row>
        <row r="4259">
          <cell r="A4259" t="str">
            <v>Hygroamblystegium tenax</v>
          </cell>
          <cell r="B4259" t="str">
            <v>Mosses and liverworts</v>
          </cell>
          <cell r="C4259" t="str">
            <v>Bryophyta</v>
          </cell>
          <cell r="D4259" t="str">
            <v>Hygroamblystegium tenax</v>
          </cell>
          <cell r="E4259" t="str">
            <v>LC</v>
          </cell>
          <cell r="F4259" t="str">
            <v>Callaghan, 2022</v>
          </cell>
          <cell r="G4259" t="str">
            <v>NBNSYS0000149096</v>
          </cell>
          <cell r="H4259" t="str">
            <v>Hygroamblystegium tenax</v>
          </cell>
        </row>
        <row r="4260">
          <cell r="A4260" t="str">
            <v>Hygroamblystegium varium</v>
          </cell>
          <cell r="B4260" t="str">
            <v>Mosses and liverworts</v>
          </cell>
          <cell r="C4260" t="str">
            <v>Bryophyta</v>
          </cell>
          <cell r="D4260" t="str">
            <v>Hygroamblystegium varium</v>
          </cell>
          <cell r="E4260" t="str">
            <v>LC</v>
          </cell>
          <cell r="F4260" t="str">
            <v>Callaghan, 2022</v>
          </cell>
          <cell r="G4260" t="str">
            <v>NHMSYS0021125987</v>
          </cell>
          <cell r="H4260" t="str">
            <v>Hygroamblystegium varium</v>
          </cell>
        </row>
        <row r="4261">
          <cell r="A4261" t="str">
            <v>Hygrobiella laxifolia</v>
          </cell>
          <cell r="B4261" t="str">
            <v>Mosses and liverworts</v>
          </cell>
          <cell r="C4261" t="str">
            <v>Bryophyta</v>
          </cell>
          <cell r="D4261" t="str">
            <v>Hygrobiella laxifolia</v>
          </cell>
          <cell r="E4261" t="str">
            <v>LC</v>
          </cell>
          <cell r="F4261" t="str">
            <v>Callaghan, 2022</v>
          </cell>
          <cell r="G4261" t="str">
            <v>NBNSYS0000035807</v>
          </cell>
          <cell r="H4261" t="str">
            <v>Hygrobiella laxifolia</v>
          </cell>
        </row>
        <row r="4262">
          <cell r="A4262" t="str">
            <v>Hygrohypnella ochracea</v>
          </cell>
          <cell r="B4262" t="str">
            <v>Mosses and liverworts</v>
          </cell>
          <cell r="C4262" t="str">
            <v>Bryophyta</v>
          </cell>
          <cell r="D4262" t="str">
            <v>Hygrohypnella ochracea</v>
          </cell>
          <cell r="E4262" t="str">
            <v>LC</v>
          </cell>
          <cell r="F4262" t="str">
            <v>Callaghan, 2022</v>
          </cell>
          <cell r="G4262" t="str">
            <v>NHMSYS0000310065</v>
          </cell>
          <cell r="H4262" t="str">
            <v>Hygrohypnella ochracea</v>
          </cell>
        </row>
        <row r="4263">
          <cell r="A4263" t="str">
            <v>Hygrohypnum luridum</v>
          </cell>
          <cell r="B4263" t="str">
            <v>Mosses and liverworts</v>
          </cell>
          <cell r="C4263" t="str">
            <v>Bryophyta</v>
          </cell>
          <cell r="D4263" t="str">
            <v>Hygrohypnum luridum</v>
          </cell>
          <cell r="E4263" t="str">
            <v>LC</v>
          </cell>
          <cell r="F4263" t="str">
            <v>Callaghan, 2022</v>
          </cell>
          <cell r="G4263" t="str">
            <v>NBNSYS0000036832</v>
          </cell>
          <cell r="H4263" t="str">
            <v>Hygrohypnum luridum</v>
          </cell>
        </row>
        <row r="4264">
          <cell r="A4264" t="str">
            <v>Hylocomiadelphus triquetrus</v>
          </cell>
          <cell r="B4264" t="str">
            <v>Mosses and liverworts</v>
          </cell>
          <cell r="C4264" t="str">
            <v>Bryophyta</v>
          </cell>
          <cell r="D4264" t="str">
            <v>Hylocomiadelphus triquetrus</v>
          </cell>
          <cell r="E4264" t="str">
            <v>LC</v>
          </cell>
          <cell r="F4264" t="str">
            <v>Callaghan, 2022</v>
          </cell>
          <cell r="G4264" t="str">
            <v>NBNSYS0000022279</v>
          </cell>
          <cell r="H4264" t="str">
            <v>Hylocomiadelphus triquetrus</v>
          </cell>
        </row>
        <row r="4265">
          <cell r="A4265" t="str">
            <v>Hylocomiastrum umbratum</v>
          </cell>
          <cell r="B4265" t="str">
            <v>Mosses and liverworts</v>
          </cell>
          <cell r="C4265" t="str">
            <v>Bryophyta</v>
          </cell>
          <cell r="D4265" t="str">
            <v>Hylocomiastrum umbratum</v>
          </cell>
          <cell r="E4265" t="str">
            <v>LC</v>
          </cell>
          <cell r="F4265" t="str">
            <v>Callaghan, 2022</v>
          </cell>
          <cell r="G4265" t="str">
            <v>NBNSYS0000149207</v>
          </cell>
          <cell r="H4265" t="str">
            <v>Hylocomiastrum umbratum</v>
          </cell>
        </row>
        <row r="4266">
          <cell r="A4266" t="str">
            <v>Hylocomium splendens</v>
          </cell>
          <cell r="B4266" t="str">
            <v>Mosses and liverworts</v>
          </cell>
          <cell r="C4266" t="str">
            <v>Bryophyta</v>
          </cell>
          <cell r="D4266" t="str">
            <v>Hylocomium splendens</v>
          </cell>
          <cell r="E4266" t="str">
            <v>LC</v>
          </cell>
          <cell r="F4266" t="str">
            <v>Callaghan, 2022</v>
          </cell>
          <cell r="G4266" t="str">
            <v>NHMSYS0000310068</v>
          </cell>
          <cell r="H4266" t="str">
            <v>Hylocomium splendens</v>
          </cell>
        </row>
        <row r="4267">
          <cell r="A4267" t="str">
            <v>Hymenoloma crispulum</v>
          </cell>
          <cell r="B4267" t="str">
            <v>Mosses and liverworts</v>
          </cell>
          <cell r="C4267" t="str">
            <v>Bryophyta</v>
          </cell>
          <cell r="D4267" t="str">
            <v>Hymenoloma crispulum</v>
          </cell>
          <cell r="E4267" t="str">
            <v>LC</v>
          </cell>
          <cell r="F4267" t="str">
            <v>Callaghan, 2022</v>
          </cell>
          <cell r="G4267" t="str">
            <v>NBNSYS0000036218</v>
          </cell>
          <cell r="H4267" t="str">
            <v>Hymenoloma crispulum</v>
          </cell>
        </row>
        <row r="4268">
          <cell r="A4268" t="str">
            <v>Hymenostylium recurvirostrum</v>
          </cell>
          <cell r="B4268" t="str">
            <v>Mosses and liverworts</v>
          </cell>
          <cell r="C4268" t="str">
            <v>Bryophyta</v>
          </cell>
          <cell r="D4268" t="str">
            <v>Hymenostylium recurvirostrum</v>
          </cell>
          <cell r="E4268" t="str">
            <v>LC</v>
          </cell>
          <cell r="F4268" t="str">
            <v>Callaghan, 2022</v>
          </cell>
          <cell r="G4268" t="str">
            <v>NHMSYS0000309278</v>
          </cell>
          <cell r="H4268" t="str">
            <v>Hymenostylium recurvirostrum</v>
          </cell>
        </row>
        <row r="4269">
          <cell r="A4269" t="str">
            <v>Hyocomium armoricum</v>
          </cell>
          <cell r="B4269" t="str">
            <v>Mosses and liverworts</v>
          </cell>
          <cell r="C4269" t="str">
            <v>Bryophyta</v>
          </cell>
          <cell r="D4269" t="str">
            <v>Hyocomium armoricum</v>
          </cell>
          <cell r="E4269" t="str">
            <v>LC</v>
          </cell>
          <cell r="F4269" t="str">
            <v>Callaghan, 2022</v>
          </cell>
          <cell r="G4269" t="str">
            <v>NHMSYS0000310074</v>
          </cell>
          <cell r="H4269" t="str">
            <v>Hyocomium armoricum</v>
          </cell>
        </row>
        <row r="4270">
          <cell r="A4270" t="str">
            <v>Hypnum andoi</v>
          </cell>
          <cell r="B4270" t="str">
            <v>Mosses and liverworts</v>
          </cell>
          <cell r="C4270" t="str">
            <v>Bryophyta</v>
          </cell>
          <cell r="D4270" t="str">
            <v>Hypnum andoi</v>
          </cell>
          <cell r="E4270" t="str">
            <v>LC</v>
          </cell>
          <cell r="F4270" t="str">
            <v>Callaghan, 2022</v>
          </cell>
          <cell r="G4270" t="str">
            <v>NHMSYS0000310078</v>
          </cell>
          <cell r="H4270" t="str">
            <v>Hypnum andoi</v>
          </cell>
        </row>
        <row r="4271">
          <cell r="A4271" t="str">
            <v>Hypnum cupressiforme</v>
          </cell>
          <cell r="B4271" t="str">
            <v>Mosses and liverworts</v>
          </cell>
          <cell r="C4271" t="str">
            <v>Bryophyta</v>
          </cell>
          <cell r="D4271" t="str">
            <v>Hypnum cupressiforme</v>
          </cell>
          <cell r="E4271" t="str">
            <v>LC</v>
          </cell>
          <cell r="F4271" t="str">
            <v>Callaghan, 2022</v>
          </cell>
          <cell r="G4271" t="str">
            <v>NHMSYS0000310080</v>
          </cell>
          <cell r="H4271" t="str">
            <v>Hypnum cupressiforme</v>
          </cell>
        </row>
        <row r="4272">
          <cell r="A4272" t="str">
            <v>Hypnum imponens</v>
          </cell>
          <cell r="B4272" t="str">
            <v>Mosses and liverworts</v>
          </cell>
          <cell r="C4272" t="str">
            <v>Bryophyta</v>
          </cell>
          <cell r="D4272" t="str">
            <v>Hypnum imponens</v>
          </cell>
          <cell r="E4272" t="str">
            <v>LC</v>
          </cell>
          <cell r="F4272" t="str">
            <v>Callaghan, 2022</v>
          </cell>
          <cell r="G4272" t="str">
            <v>NBNSYS0000036939</v>
          </cell>
          <cell r="H4272" t="str">
            <v>Hypnum imponens</v>
          </cell>
        </row>
        <row r="4273">
          <cell r="A4273" t="str">
            <v>Hypnum jutlandicum</v>
          </cell>
          <cell r="B4273" t="str">
            <v>Mosses and liverworts</v>
          </cell>
          <cell r="C4273" t="str">
            <v>Bryophyta</v>
          </cell>
          <cell r="D4273" t="str">
            <v>Hypnum jutlandicum</v>
          </cell>
          <cell r="E4273" t="str">
            <v>LC</v>
          </cell>
          <cell r="F4273" t="str">
            <v>Callaghan, 2022</v>
          </cell>
          <cell r="G4273" t="str">
            <v>NHMSYS0000310087</v>
          </cell>
          <cell r="H4273" t="str">
            <v>Hypnum jutlandicum</v>
          </cell>
        </row>
        <row r="4274">
          <cell r="A4274" t="str">
            <v>Isopaches bicrenatus</v>
          </cell>
          <cell r="B4274" t="str">
            <v>Mosses and liverworts</v>
          </cell>
          <cell r="C4274" t="str">
            <v>Bryophyta</v>
          </cell>
          <cell r="D4274" t="str">
            <v>Isopaches bicrenatus</v>
          </cell>
          <cell r="E4274" t="str">
            <v>LC</v>
          </cell>
          <cell r="F4274" t="str">
            <v>Callaghan, 2022</v>
          </cell>
          <cell r="G4274" t="str">
            <v>NHMSYS0000309671</v>
          </cell>
          <cell r="H4274" t="str">
            <v>Isopaches bicrenatus</v>
          </cell>
        </row>
        <row r="4275">
          <cell r="A4275" t="str">
            <v>Isopterygiopsis pulchella</v>
          </cell>
          <cell r="B4275" t="str">
            <v>Mosses and liverworts</v>
          </cell>
          <cell r="C4275" t="str">
            <v>Bryophyta</v>
          </cell>
          <cell r="D4275" t="str">
            <v>Isopterygiopsis pulchella</v>
          </cell>
          <cell r="E4275" t="str">
            <v>LC</v>
          </cell>
          <cell r="F4275" t="str">
            <v>Callaghan, 2022</v>
          </cell>
          <cell r="G4275" t="str">
            <v>NHMSYS0000310094</v>
          </cell>
          <cell r="H4275" t="str">
            <v>Isopterygiopsis pulchella</v>
          </cell>
        </row>
        <row r="4276">
          <cell r="A4276" t="str">
            <v>Isothecium alopecuroides</v>
          </cell>
          <cell r="B4276" t="str">
            <v>Mosses and liverworts</v>
          </cell>
          <cell r="C4276" t="str">
            <v>Bryophyta</v>
          </cell>
          <cell r="D4276" t="str">
            <v>Isothecium alopecuroides</v>
          </cell>
          <cell r="E4276" t="str">
            <v>LC</v>
          </cell>
          <cell r="F4276" t="str">
            <v>Callaghan, 2022</v>
          </cell>
          <cell r="G4276" t="str">
            <v>NHMSYS0000310101</v>
          </cell>
          <cell r="H4276" t="str">
            <v>Isothecium alopecuroides</v>
          </cell>
        </row>
        <row r="4277">
          <cell r="A4277" t="str">
            <v>Isothecium holtii</v>
          </cell>
          <cell r="B4277" t="str">
            <v>Mosses and liverworts</v>
          </cell>
          <cell r="C4277" t="str">
            <v>Bryophyta</v>
          </cell>
          <cell r="D4277" t="str">
            <v>Isothecium holtii</v>
          </cell>
          <cell r="E4277" t="str">
            <v>LC</v>
          </cell>
          <cell r="F4277" t="str">
            <v>Callaghan, 2022</v>
          </cell>
          <cell r="G4277" t="str">
            <v>NBNSYS0000036852</v>
          </cell>
          <cell r="H4277" t="str">
            <v>Isothecium holtii</v>
          </cell>
        </row>
        <row r="4278">
          <cell r="A4278" t="str">
            <v>Isothecium interludens</v>
          </cell>
          <cell r="B4278" t="str">
            <v>Mosses and liverworts</v>
          </cell>
          <cell r="C4278" t="str">
            <v>Bryophyta</v>
          </cell>
          <cell r="D4278" t="str">
            <v>Isothecium interludens</v>
          </cell>
          <cell r="E4278" t="str">
            <v>LC</v>
          </cell>
          <cell r="F4278" t="str">
            <v>Callaghan, 2022</v>
          </cell>
          <cell r="G4278" t="str">
            <v>NHMSYS0000310102</v>
          </cell>
          <cell r="H4278" t="str">
            <v>Isothecium interludens</v>
          </cell>
        </row>
        <row r="4279">
          <cell r="A4279" t="str">
            <v>Isothecium myosuroides</v>
          </cell>
          <cell r="B4279" t="str">
            <v>Mosses and liverworts</v>
          </cell>
          <cell r="C4279" t="str">
            <v>Bryophyta</v>
          </cell>
          <cell r="D4279" t="str">
            <v>Isothecium myosuroides</v>
          </cell>
          <cell r="E4279" t="str">
            <v>LC</v>
          </cell>
          <cell r="F4279" t="str">
            <v>Callaghan, 2022</v>
          </cell>
          <cell r="G4279" t="str">
            <v>NBNSYS0000036849</v>
          </cell>
          <cell r="H4279" t="str">
            <v>Isothecium myosuroides</v>
          </cell>
        </row>
        <row r="4280">
          <cell r="A4280" t="str">
            <v>Jubula hutchinsiae</v>
          </cell>
          <cell r="B4280" t="str">
            <v>Mosses and liverworts</v>
          </cell>
          <cell r="C4280" t="str">
            <v>Bryophyta</v>
          </cell>
          <cell r="D4280" t="str">
            <v>Jubula hutchinsiae</v>
          </cell>
          <cell r="E4280" t="str">
            <v>LC</v>
          </cell>
          <cell r="F4280" t="str">
            <v>Callaghan, 2022</v>
          </cell>
          <cell r="G4280" t="str">
            <v>NHMSYS0000310110</v>
          </cell>
          <cell r="H4280" t="str">
            <v>Jubula hutchinsiae</v>
          </cell>
        </row>
        <row r="4281">
          <cell r="A4281" t="str">
            <v>Jungermannia atrovirens</v>
          </cell>
          <cell r="B4281" t="str">
            <v>Mosses and liverworts</v>
          </cell>
          <cell r="C4281" t="str">
            <v>Bryophyta</v>
          </cell>
          <cell r="D4281" t="str">
            <v>Jungermannia atrovirens</v>
          </cell>
          <cell r="E4281" t="str">
            <v>LC</v>
          </cell>
          <cell r="F4281" t="str">
            <v>Callaghan, 2022</v>
          </cell>
          <cell r="G4281" t="str">
            <v>NHMSYS0000310113</v>
          </cell>
          <cell r="H4281" t="str">
            <v>Jungermannia atrovirens</v>
          </cell>
        </row>
        <row r="4282">
          <cell r="A4282" t="str">
            <v>Jungermannia eucordifolia</v>
          </cell>
          <cell r="B4282" t="str">
            <v>Mosses and liverworts</v>
          </cell>
          <cell r="C4282" t="str">
            <v>Bryophyta</v>
          </cell>
          <cell r="D4282" t="str">
            <v>Jungermannia eucordifolia</v>
          </cell>
          <cell r="E4282" t="str">
            <v>LC</v>
          </cell>
          <cell r="F4282" t="str">
            <v>Callaghan, 2022</v>
          </cell>
          <cell r="G4282" t="str">
            <v>NBNSYS0000035884</v>
          </cell>
          <cell r="H4282" t="str">
            <v>Jungermannia eucordifolia</v>
          </cell>
        </row>
        <row r="4283">
          <cell r="A4283" t="str">
            <v>Jungermannia pumila</v>
          </cell>
          <cell r="B4283" t="str">
            <v>Mosses and liverworts</v>
          </cell>
          <cell r="C4283" t="str">
            <v>Bryophyta</v>
          </cell>
          <cell r="D4283" t="str">
            <v>Jungermannia pumila</v>
          </cell>
          <cell r="E4283" t="str">
            <v>LC</v>
          </cell>
          <cell r="F4283" t="str">
            <v>Callaghan, 2022</v>
          </cell>
          <cell r="G4283" t="str">
            <v>NBNSYS0000035881</v>
          </cell>
          <cell r="H4283" t="str">
            <v>Jungermannia pumila</v>
          </cell>
        </row>
        <row r="4284">
          <cell r="A4284" t="str">
            <v>Kandaea elodes</v>
          </cell>
          <cell r="B4284" t="str">
            <v>Mosses and liverworts</v>
          </cell>
          <cell r="C4284" t="str">
            <v>Bryophyta</v>
          </cell>
          <cell r="D4284" t="str">
            <v>Kandaea elodes</v>
          </cell>
          <cell r="E4284" t="str">
            <v>LC</v>
          </cell>
          <cell r="F4284" t="str">
            <v>Callaghan, 2022</v>
          </cell>
          <cell r="G4284" t="str">
            <v>NBNSYS0100002175</v>
          </cell>
          <cell r="H4284" t="str">
            <v>Kandaea elodes</v>
          </cell>
        </row>
        <row r="4285">
          <cell r="A4285" t="str">
            <v>Kiaeria blyttii</v>
          </cell>
          <cell r="B4285" t="str">
            <v>Mosses and liverworts</v>
          </cell>
          <cell r="C4285" t="str">
            <v>Bryophyta</v>
          </cell>
          <cell r="D4285" t="str">
            <v>Kiaeria blyttii</v>
          </cell>
          <cell r="E4285" t="str">
            <v>LC</v>
          </cell>
          <cell r="F4285" t="str">
            <v>Callaghan, 2022</v>
          </cell>
          <cell r="G4285" t="str">
            <v>NHMSYS0000310122</v>
          </cell>
          <cell r="H4285" t="str">
            <v>Kiaeria blyttii</v>
          </cell>
        </row>
        <row r="4286">
          <cell r="A4286" t="str">
            <v>Kiaeria falcata</v>
          </cell>
          <cell r="B4286" t="str">
            <v>Mosses and liverworts</v>
          </cell>
          <cell r="C4286" t="str">
            <v>Bryophyta</v>
          </cell>
          <cell r="D4286" t="str">
            <v>Kiaeria falcata</v>
          </cell>
          <cell r="E4286" t="str">
            <v>NT</v>
          </cell>
          <cell r="F4286" t="str">
            <v>Callaghan, 2022</v>
          </cell>
          <cell r="G4286" t="str">
            <v>NHMSYS0000310123</v>
          </cell>
          <cell r="H4286" t="str">
            <v>Kiaeria falcata</v>
          </cell>
        </row>
        <row r="4287">
          <cell r="A4287" t="str">
            <v>Kiaeria starkei</v>
          </cell>
          <cell r="B4287" t="str">
            <v>Mosses and liverworts</v>
          </cell>
          <cell r="C4287" t="str">
            <v>Bryophyta</v>
          </cell>
          <cell r="D4287" t="str">
            <v>Kiaeria starkei</v>
          </cell>
          <cell r="E4287" t="str">
            <v>NT</v>
          </cell>
          <cell r="F4287" t="str">
            <v>Callaghan, 2022</v>
          </cell>
          <cell r="G4287" t="str">
            <v>NHMSYS0000310125</v>
          </cell>
          <cell r="H4287" t="str">
            <v>Kiaeria starkei</v>
          </cell>
        </row>
        <row r="4288">
          <cell r="A4288" t="str">
            <v>Kindbergia praelonga</v>
          </cell>
          <cell r="B4288" t="str">
            <v>Mosses and liverworts</v>
          </cell>
          <cell r="C4288" t="str">
            <v>Bryophyta</v>
          </cell>
          <cell r="D4288" t="str">
            <v>Kindbergia praelonga</v>
          </cell>
          <cell r="E4288" t="str">
            <v>LC</v>
          </cell>
          <cell r="F4288" t="str">
            <v>Callaghan, 2022</v>
          </cell>
          <cell r="G4288" t="str">
            <v>NBNSYS0000149724</v>
          </cell>
          <cell r="H4288" t="str">
            <v>Kindbergia praelonga</v>
          </cell>
        </row>
        <row r="4289">
          <cell r="A4289" t="str">
            <v>Kurzia pauciflora</v>
          </cell>
          <cell r="B4289" t="str">
            <v>Mosses and liverworts</v>
          </cell>
          <cell r="C4289" t="str">
            <v>Bryophyta</v>
          </cell>
          <cell r="D4289" t="str">
            <v>Kurzia pauciflora</v>
          </cell>
          <cell r="E4289" t="str">
            <v>LC</v>
          </cell>
          <cell r="F4289" t="str">
            <v>Callaghan, 2022</v>
          </cell>
          <cell r="G4289" t="str">
            <v>NBNSYS0000035772</v>
          </cell>
          <cell r="H4289" t="str">
            <v>Kurzia pauciflora</v>
          </cell>
        </row>
        <row r="4290">
          <cell r="A4290" t="str">
            <v>Kurzia sylvatica</v>
          </cell>
          <cell r="B4290" t="str">
            <v>Mosses and liverworts</v>
          </cell>
          <cell r="C4290" t="str">
            <v>Bryophyta</v>
          </cell>
          <cell r="D4290" t="str">
            <v>Kurzia sylvatica</v>
          </cell>
          <cell r="E4290" t="str">
            <v>LC</v>
          </cell>
          <cell r="F4290" t="str">
            <v>Callaghan, 2022</v>
          </cell>
          <cell r="G4290" t="str">
            <v>NHMSYS0000310127</v>
          </cell>
          <cell r="H4290" t="str">
            <v>Kurzia sylvatica</v>
          </cell>
        </row>
        <row r="4291">
          <cell r="A4291" t="str">
            <v>Kurzia trichoclados</v>
          </cell>
          <cell r="B4291" t="str">
            <v>Mosses and liverworts</v>
          </cell>
          <cell r="C4291" t="str">
            <v>Bryophyta</v>
          </cell>
          <cell r="D4291" t="str">
            <v>Kurzia trichoclados</v>
          </cell>
          <cell r="E4291" t="str">
            <v>LC</v>
          </cell>
          <cell r="F4291" t="str">
            <v>Callaghan, 2022</v>
          </cell>
          <cell r="G4291" t="str">
            <v>NHMSYS0000310128</v>
          </cell>
          <cell r="H4291" t="str">
            <v>Kurzia trichoclados</v>
          </cell>
        </row>
        <row r="4292">
          <cell r="A4292" t="str">
            <v>Lejeunea cavifolia</v>
          </cell>
          <cell r="B4292" t="str">
            <v>Mosses and liverworts</v>
          </cell>
          <cell r="C4292" t="str">
            <v>Bryophyta</v>
          </cell>
          <cell r="D4292" t="str">
            <v>Lejeunea cavifolia</v>
          </cell>
          <cell r="E4292" t="str">
            <v>LC</v>
          </cell>
          <cell r="F4292" t="str">
            <v>Callaghan, 2022</v>
          </cell>
          <cell r="G4292" t="str">
            <v>NBNSYS0000035994</v>
          </cell>
          <cell r="H4292" t="str">
            <v>Lejeunea cavifolia</v>
          </cell>
        </row>
        <row r="4293">
          <cell r="A4293" t="str">
            <v>Lejeunea lamacerina</v>
          </cell>
          <cell r="B4293" t="str">
            <v>Mosses and liverworts</v>
          </cell>
          <cell r="C4293" t="str">
            <v>Bryophyta</v>
          </cell>
          <cell r="D4293" t="str">
            <v>Lejeunea lamacerina</v>
          </cell>
          <cell r="E4293" t="str">
            <v>LC</v>
          </cell>
          <cell r="F4293" t="str">
            <v>Callaghan, 2022</v>
          </cell>
          <cell r="G4293" t="str">
            <v>NBNSYS0000035995</v>
          </cell>
          <cell r="H4293" t="str">
            <v>Lejeunea lamacerina</v>
          </cell>
        </row>
        <row r="4294">
          <cell r="A4294" t="str">
            <v>Lejeunea mandonii</v>
          </cell>
          <cell r="B4294" t="str">
            <v>Mosses and liverworts</v>
          </cell>
          <cell r="C4294" t="str">
            <v>Bryophyta</v>
          </cell>
          <cell r="D4294" t="str">
            <v>Lejeunea mandonii</v>
          </cell>
          <cell r="E4294" t="str">
            <v>EN</v>
          </cell>
          <cell r="F4294" t="str">
            <v>Callaghan, 2022</v>
          </cell>
          <cell r="G4294" t="str">
            <v>NHMSYS0000310143</v>
          </cell>
          <cell r="H4294" t="str">
            <v>Lejeunea mandonii</v>
          </cell>
        </row>
        <row r="4295">
          <cell r="A4295" t="str">
            <v>Lejeunea patens</v>
          </cell>
          <cell r="B4295" t="str">
            <v>Mosses and liverworts</v>
          </cell>
          <cell r="C4295" t="str">
            <v>Bryophyta</v>
          </cell>
          <cell r="D4295" t="str">
            <v>Lejeunea patens</v>
          </cell>
          <cell r="E4295" t="str">
            <v>LC</v>
          </cell>
          <cell r="F4295" t="str">
            <v>Callaghan, 2022</v>
          </cell>
          <cell r="G4295" t="str">
            <v>NBNSYS0000035996</v>
          </cell>
          <cell r="H4295" t="str">
            <v>Lejeunea patens</v>
          </cell>
        </row>
        <row r="4296">
          <cell r="A4296" t="str">
            <v>Lepidozia cupressina</v>
          </cell>
          <cell r="B4296" t="str">
            <v>Mosses and liverworts</v>
          </cell>
          <cell r="C4296" t="str">
            <v>Bryophyta</v>
          </cell>
          <cell r="D4296" t="str">
            <v>Lepidozia cupressina</v>
          </cell>
          <cell r="E4296" t="str">
            <v>LC</v>
          </cell>
          <cell r="F4296" t="str">
            <v>Callaghan, 2022</v>
          </cell>
          <cell r="G4296" t="str">
            <v>NHMSYS0000310149</v>
          </cell>
          <cell r="H4296" t="str">
            <v>Lepidozia cupressina</v>
          </cell>
        </row>
        <row r="4297">
          <cell r="A4297" t="str">
            <v>Lepidozia pearsonii</v>
          </cell>
          <cell r="B4297" t="str">
            <v>Mosses and liverworts</v>
          </cell>
          <cell r="C4297" t="str">
            <v>Bryophyta</v>
          </cell>
          <cell r="D4297" t="str">
            <v>Lepidozia pearsonii</v>
          </cell>
          <cell r="E4297" t="str">
            <v>LC</v>
          </cell>
          <cell r="F4297" t="str">
            <v>Callaghan, 2022</v>
          </cell>
          <cell r="G4297" t="str">
            <v>NBNSYS0000035776</v>
          </cell>
          <cell r="H4297" t="str">
            <v>Lepidozia pearsonii</v>
          </cell>
        </row>
        <row r="4298">
          <cell r="A4298" t="str">
            <v>Lepidozia reptans</v>
          </cell>
          <cell r="B4298" t="str">
            <v>Mosses and liverworts</v>
          </cell>
          <cell r="C4298" t="str">
            <v>Bryophyta</v>
          </cell>
          <cell r="D4298" t="str">
            <v>Lepidozia reptans</v>
          </cell>
          <cell r="E4298" t="str">
            <v>LC</v>
          </cell>
          <cell r="F4298" t="str">
            <v>Callaghan, 2022</v>
          </cell>
          <cell r="G4298" t="str">
            <v>NHMSYS0000310151</v>
          </cell>
          <cell r="H4298" t="str">
            <v>Lepidozia reptans</v>
          </cell>
        </row>
        <row r="4299">
          <cell r="A4299" t="str">
            <v>Leptobarbula berica</v>
          </cell>
          <cell r="B4299" t="str">
            <v>Mosses and liverworts</v>
          </cell>
          <cell r="C4299" t="str">
            <v>Bryophyta</v>
          </cell>
          <cell r="D4299" t="str">
            <v>Leptobarbula berica</v>
          </cell>
          <cell r="E4299" t="str">
            <v>LC</v>
          </cell>
          <cell r="F4299" t="str">
            <v>Callaghan, 2022</v>
          </cell>
          <cell r="G4299" t="str">
            <v>NBNSYS0000036397</v>
          </cell>
          <cell r="H4299" t="str">
            <v>Leptobarbula berica</v>
          </cell>
        </row>
        <row r="4300">
          <cell r="A4300" t="str">
            <v>Leptobryum pyriforme</v>
          </cell>
          <cell r="B4300" t="str">
            <v>Mosses and liverworts</v>
          </cell>
          <cell r="C4300" t="str">
            <v>Bryophyta</v>
          </cell>
          <cell r="D4300" t="str">
            <v>Leptobryum pyriforme</v>
          </cell>
          <cell r="E4300" t="str">
            <v>LC</v>
          </cell>
          <cell r="F4300" t="str">
            <v>Callaghan, 2022</v>
          </cell>
          <cell r="G4300" t="str">
            <v>NHMSYS0000310158</v>
          </cell>
          <cell r="H4300" t="str">
            <v>Leptobryum pyriforme</v>
          </cell>
        </row>
        <row r="4301">
          <cell r="A4301" t="str">
            <v>Leptodictyum riparium</v>
          </cell>
          <cell r="B4301" t="str">
            <v>Mosses and liverworts</v>
          </cell>
          <cell r="C4301" t="str">
            <v>Bryophyta</v>
          </cell>
          <cell r="D4301" t="str">
            <v>Leptodictyum riparium</v>
          </cell>
          <cell r="E4301" t="str">
            <v>LC</v>
          </cell>
          <cell r="F4301" t="str">
            <v>Callaghan, 2022</v>
          </cell>
          <cell r="G4301" t="str">
            <v>NBNSYS0000150326</v>
          </cell>
          <cell r="H4301" t="str">
            <v>Leptodictyum riparium</v>
          </cell>
        </row>
        <row r="4302">
          <cell r="A4302" t="str">
            <v>Leptodontium flexifolium</v>
          </cell>
          <cell r="B4302" t="str">
            <v>Mosses and liverworts</v>
          </cell>
          <cell r="C4302" t="str">
            <v>Bryophyta</v>
          </cell>
          <cell r="D4302" t="str">
            <v>Leptodontium flexifolium</v>
          </cell>
          <cell r="E4302" t="str">
            <v>LC</v>
          </cell>
          <cell r="F4302" t="str">
            <v>Callaghan, 2022</v>
          </cell>
          <cell r="G4302" t="str">
            <v>NBNSYS0000036439</v>
          </cell>
          <cell r="H4302" t="str">
            <v>Leptodontium flexifolium</v>
          </cell>
        </row>
        <row r="4303">
          <cell r="A4303" t="str">
            <v>Leptodontium gemmascens</v>
          </cell>
          <cell r="B4303" t="str">
            <v>Mosses and liverworts</v>
          </cell>
          <cell r="C4303" t="str">
            <v>Bryophyta</v>
          </cell>
          <cell r="D4303" t="str">
            <v>Leptodontium gemmascens</v>
          </cell>
          <cell r="E4303" t="str">
            <v>NT</v>
          </cell>
          <cell r="F4303" t="str">
            <v>Callaghan, 2022</v>
          </cell>
          <cell r="G4303" t="str">
            <v>NBNSYS0000036440</v>
          </cell>
          <cell r="H4303" t="str">
            <v>Leptodontium gemmascens</v>
          </cell>
        </row>
        <row r="4304">
          <cell r="A4304" t="str">
            <v>Leskea polycarpa</v>
          </cell>
          <cell r="B4304" t="str">
            <v>Mosses and liverworts</v>
          </cell>
          <cell r="C4304" t="str">
            <v>Bryophyta</v>
          </cell>
          <cell r="D4304" t="str">
            <v>Leskea polycarpa</v>
          </cell>
          <cell r="E4304" t="str">
            <v>LC</v>
          </cell>
          <cell r="F4304" t="str">
            <v>Callaghan, 2022</v>
          </cell>
          <cell r="G4304" t="str">
            <v>NBNSYS0000036766</v>
          </cell>
          <cell r="H4304" t="str">
            <v>Leskea polycarpa</v>
          </cell>
        </row>
        <row r="4305">
          <cell r="A4305" t="str">
            <v>Leucobryum albidum</v>
          </cell>
          <cell r="B4305" t="str">
            <v>Mosses and liverworts</v>
          </cell>
          <cell r="C4305" t="str">
            <v>Bryophyta</v>
          </cell>
          <cell r="D4305" t="str">
            <v>Leucobryum albidum</v>
          </cell>
          <cell r="E4305" t="str">
            <v>LC</v>
          </cell>
          <cell r="F4305" t="str">
            <v>Callaghan, 2022</v>
          </cell>
          <cell r="G4305" t="str">
            <v>NHMSYS0000310177</v>
          </cell>
          <cell r="H4305" t="str">
            <v>Leucobryum albidum</v>
          </cell>
        </row>
        <row r="4306">
          <cell r="A4306" t="str">
            <v>Leucobryum glaucum</v>
          </cell>
          <cell r="B4306" t="str">
            <v>Mosses and liverworts</v>
          </cell>
          <cell r="C4306" t="str">
            <v>Bryophyta</v>
          </cell>
          <cell r="D4306" t="str">
            <v>Leucobryum glaucum</v>
          </cell>
          <cell r="E4306" t="str">
            <v>LC</v>
          </cell>
          <cell r="F4306" t="str">
            <v>Callaghan, 2022</v>
          </cell>
          <cell r="G4306" t="str">
            <v>NHMSYS0000310176</v>
          </cell>
          <cell r="H4306" t="str">
            <v>Leucobryum glaucum</v>
          </cell>
        </row>
        <row r="4307">
          <cell r="A4307" t="str">
            <v>Leucobryum juniperoideum</v>
          </cell>
          <cell r="B4307" t="str">
            <v>Mosses and liverworts</v>
          </cell>
          <cell r="C4307" t="str">
            <v>Bryophyta</v>
          </cell>
          <cell r="D4307" t="str">
            <v>Leucobryum juniperoideum</v>
          </cell>
          <cell r="E4307" t="str">
            <v>LC</v>
          </cell>
          <cell r="F4307" t="str">
            <v>Callaghan, 2022</v>
          </cell>
          <cell r="G4307" t="str">
            <v>NHMSYS0000310177</v>
          </cell>
          <cell r="H4307" t="str">
            <v>Leucobryum juniperoideum</v>
          </cell>
        </row>
        <row r="4308">
          <cell r="A4308" t="str">
            <v>Leucodon sciuroides</v>
          </cell>
          <cell r="B4308" t="str">
            <v>Mosses and liverworts</v>
          </cell>
          <cell r="C4308" t="str">
            <v>Bryophyta</v>
          </cell>
          <cell r="D4308" t="str">
            <v>Leucodon sciuroides</v>
          </cell>
          <cell r="E4308" t="str">
            <v>LC</v>
          </cell>
          <cell r="F4308" t="str">
            <v>Callaghan, 2022</v>
          </cell>
          <cell r="G4308" t="str">
            <v>NHMSYS0000310179</v>
          </cell>
          <cell r="H4308" t="str">
            <v>Leucodon sciuroides</v>
          </cell>
        </row>
        <row r="4309">
          <cell r="A4309" t="str">
            <v>Lewinskya affinis</v>
          </cell>
          <cell r="B4309" t="str">
            <v>Mosses and liverworts</v>
          </cell>
          <cell r="C4309" t="str">
            <v>Bryophyta</v>
          </cell>
          <cell r="D4309" t="str">
            <v>Lewinskya affinis</v>
          </cell>
          <cell r="E4309" t="str">
            <v>LC</v>
          </cell>
          <cell r="F4309" t="str">
            <v>Callaghan, 2022</v>
          </cell>
          <cell r="G4309" t="str">
            <v>NBNSYS0000022272</v>
          </cell>
          <cell r="H4309" t="str">
            <v>Lewinskya affinis</v>
          </cell>
        </row>
        <row r="4310">
          <cell r="A4310" t="str">
            <v>Lewinskya rupestris</v>
          </cell>
          <cell r="B4310" t="str">
            <v>Mosses and liverworts</v>
          </cell>
          <cell r="C4310" t="str">
            <v>Bryophyta</v>
          </cell>
          <cell r="D4310" t="str">
            <v>Lewinskya rupestris</v>
          </cell>
          <cell r="E4310" t="str">
            <v>LC</v>
          </cell>
          <cell r="F4310" t="str">
            <v>Callaghan, 2022</v>
          </cell>
          <cell r="G4310" t="str">
            <v>NBNSYS0000036703</v>
          </cell>
          <cell r="H4310" t="str">
            <v>Lewinskya rupestris</v>
          </cell>
        </row>
        <row r="4311">
          <cell r="A4311" t="str">
            <v>Lewinskya speciosa</v>
          </cell>
          <cell r="B4311" t="str">
            <v>Mosses and liverworts</v>
          </cell>
          <cell r="C4311" t="str">
            <v>Bryophyta</v>
          </cell>
          <cell r="D4311" t="str">
            <v>Lewinskya speciosa</v>
          </cell>
          <cell r="E4311" t="str">
            <v>LC</v>
          </cell>
          <cell r="F4311" t="str">
            <v>Callaghan, 2022</v>
          </cell>
          <cell r="G4311" t="str">
            <v>NHMSYS0000310260</v>
          </cell>
          <cell r="H4311" t="str">
            <v>Lewinskya speciosa</v>
          </cell>
        </row>
        <row r="4312">
          <cell r="A4312" t="str">
            <v>Lewinskya striata</v>
          </cell>
          <cell r="B4312" t="str">
            <v>Mosses and liverworts</v>
          </cell>
          <cell r="C4312" t="str">
            <v>Bryophyta</v>
          </cell>
          <cell r="D4312" t="str">
            <v>Lewinskya striata</v>
          </cell>
          <cell r="E4312" t="str">
            <v>LC</v>
          </cell>
          <cell r="F4312" t="str">
            <v>Callaghan, 2022</v>
          </cell>
          <cell r="G4312" t="str">
            <v>NBNSYS0000036700</v>
          </cell>
          <cell r="H4312" t="str">
            <v>Lewinskya striata</v>
          </cell>
        </row>
        <row r="4313">
          <cell r="A4313" t="str">
            <v>Liochlaena lanceolata</v>
          </cell>
          <cell r="B4313" t="str">
            <v>Mosses and liverworts</v>
          </cell>
          <cell r="C4313" t="str">
            <v>Bryophyta</v>
          </cell>
          <cell r="D4313" t="str">
            <v>Liochlaena lanceolata</v>
          </cell>
          <cell r="E4313" t="str">
            <v>CR</v>
          </cell>
          <cell r="F4313" t="str">
            <v>Callaghan, 2022</v>
          </cell>
          <cell r="G4313" t="str">
            <v>NHMSYS0021194692</v>
          </cell>
          <cell r="H4313" t="str">
            <v>Liochlaena lanceolata</v>
          </cell>
        </row>
        <row r="4314">
          <cell r="A4314" t="str">
            <v>Loeskeobryum brevirostre</v>
          </cell>
          <cell r="B4314" t="str">
            <v>Mosses and liverworts</v>
          </cell>
          <cell r="C4314" t="str">
            <v>Bryophyta</v>
          </cell>
          <cell r="D4314" t="str">
            <v>Loeskeobryum brevirostre</v>
          </cell>
          <cell r="E4314" t="str">
            <v>LC</v>
          </cell>
          <cell r="F4314" t="str">
            <v>Callaghan, 2022</v>
          </cell>
          <cell r="G4314" t="str">
            <v>NHMSYS0021195352</v>
          </cell>
          <cell r="H4314" t="str">
            <v>Loeskeobryum brevirostre</v>
          </cell>
        </row>
        <row r="4315">
          <cell r="A4315" t="str">
            <v>Lophocolea bidentata</v>
          </cell>
          <cell r="B4315" t="str">
            <v>Mosses and liverworts</v>
          </cell>
          <cell r="C4315" t="str">
            <v>Bryophyta</v>
          </cell>
          <cell r="D4315" t="str">
            <v>Lophocolea bidentata</v>
          </cell>
          <cell r="E4315" t="str">
            <v>LC</v>
          </cell>
          <cell r="F4315" t="str">
            <v>Callaghan, 2022</v>
          </cell>
          <cell r="G4315" t="str">
            <v>NHMSYS0000309660</v>
          </cell>
          <cell r="H4315" t="str">
            <v>Lophocolea bidentata</v>
          </cell>
        </row>
        <row r="4316">
          <cell r="A4316" t="str">
            <v>Lophocolea fragrans</v>
          </cell>
          <cell r="B4316" t="str">
            <v>Mosses and liverworts</v>
          </cell>
          <cell r="C4316" t="str">
            <v>Bryophyta</v>
          </cell>
          <cell r="D4316" t="str">
            <v>Lophocolea fragrans</v>
          </cell>
          <cell r="E4316" t="str">
            <v>LC</v>
          </cell>
          <cell r="F4316" t="str">
            <v>Callaghan, 2022</v>
          </cell>
          <cell r="G4316" t="str">
            <v>NHMSYS0000309665</v>
          </cell>
          <cell r="H4316" t="str">
            <v>Lophocolea fragrans</v>
          </cell>
        </row>
        <row r="4317">
          <cell r="A4317" t="str">
            <v>Lophocolea heterophylla</v>
          </cell>
          <cell r="B4317" t="str">
            <v>Mosses and liverworts</v>
          </cell>
          <cell r="C4317" t="str">
            <v>Bryophyta</v>
          </cell>
          <cell r="D4317" t="str">
            <v>Lophocolea heterophylla</v>
          </cell>
          <cell r="E4317" t="str">
            <v>LC</v>
          </cell>
          <cell r="F4317" t="str">
            <v>Callaghan, 2022</v>
          </cell>
          <cell r="G4317" t="str">
            <v>NHMSYS0000309666</v>
          </cell>
          <cell r="H4317" t="str">
            <v>Lophocolea heterophylla</v>
          </cell>
        </row>
        <row r="4318">
          <cell r="A4318" t="str">
            <v>Lophozia excisa</v>
          </cell>
          <cell r="B4318" t="str">
            <v>Mosses and liverworts</v>
          </cell>
          <cell r="C4318" t="str">
            <v>Bryophyta</v>
          </cell>
          <cell r="D4318" t="str">
            <v>Lophozia excisa</v>
          </cell>
          <cell r="E4318" t="str">
            <v>LC</v>
          </cell>
          <cell r="F4318" t="str">
            <v>Callaghan, 2022</v>
          </cell>
          <cell r="G4318" t="str">
            <v>NHMSYS0000309673</v>
          </cell>
          <cell r="H4318" t="str">
            <v>Lophozia excisa</v>
          </cell>
        </row>
        <row r="4319">
          <cell r="A4319" t="str">
            <v>Lophozia longidens</v>
          </cell>
          <cell r="B4319" t="str">
            <v>Mosses and liverworts</v>
          </cell>
          <cell r="C4319" t="str">
            <v>Bryophyta</v>
          </cell>
          <cell r="D4319" t="str">
            <v>Lophozia longidens</v>
          </cell>
          <cell r="E4319" t="str">
            <v>LC</v>
          </cell>
          <cell r="F4319" t="str">
            <v>Callaghan, 2022</v>
          </cell>
          <cell r="G4319" t="str">
            <v>NBNSYS0000035837</v>
          </cell>
          <cell r="H4319" t="str">
            <v>Lophozia longidens</v>
          </cell>
        </row>
        <row r="4320">
          <cell r="A4320" t="str">
            <v>Lophozia ventricosa</v>
          </cell>
          <cell r="B4320" t="str">
            <v>Mosses and liverworts</v>
          </cell>
          <cell r="C4320" t="str">
            <v>Bryophyta</v>
          </cell>
          <cell r="D4320" t="str">
            <v>Lophozia ventricosa</v>
          </cell>
          <cell r="E4320" t="str">
            <v>LC</v>
          </cell>
          <cell r="F4320" t="str">
            <v>Callaghan, 2022</v>
          </cell>
          <cell r="G4320" t="str">
            <v>NHMSYS0000309930</v>
          </cell>
          <cell r="H4320" t="str">
            <v>Lophozia ventricosa</v>
          </cell>
        </row>
        <row r="4321">
          <cell r="A4321" t="str">
            <v>Lunularia cruciata</v>
          </cell>
          <cell r="B4321" t="str">
            <v>Mosses and liverworts</v>
          </cell>
          <cell r="C4321" t="str">
            <v>Bryophyta</v>
          </cell>
          <cell r="D4321" t="str">
            <v>Lunularia cruciata</v>
          </cell>
          <cell r="E4321" t="str">
            <v>LC</v>
          </cell>
          <cell r="F4321" t="str">
            <v>Callaghan, 2022</v>
          </cell>
          <cell r="G4321" t="str">
            <v>NHMSYS0000309936</v>
          </cell>
          <cell r="H4321" t="str">
            <v>Lunularia cruciata</v>
          </cell>
        </row>
        <row r="4322">
          <cell r="A4322" t="str">
            <v>Marchantia polymorpha</v>
          </cell>
          <cell r="B4322" t="str">
            <v>Mosses and liverworts</v>
          </cell>
          <cell r="C4322" t="str">
            <v>Bryophyta</v>
          </cell>
          <cell r="D4322" t="str">
            <v>Marchantia polymorpha</v>
          </cell>
          <cell r="E4322" t="str">
            <v>LC</v>
          </cell>
          <cell r="F4322" t="str">
            <v>Callaghan, 2022</v>
          </cell>
          <cell r="G4322" t="str">
            <v>NHMSYS0000309941</v>
          </cell>
          <cell r="H4322" t="str">
            <v>Marchantia polymorpha</v>
          </cell>
        </row>
        <row r="4323">
          <cell r="A4323" t="str">
            <v>Marchantia quadrata</v>
          </cell>
          <cell r="B4323" t="str">
            <v>Mosses and liverworts</v>
          </cell>
          <cell r="C4323" t="str">
            <v>Bryophyta</v>
          </cell>
          <cell r="D4323" t="str">
            <v>Marchantia quadrata</v>
          </cell>
          <cell r="E4323" t="str">
            <v>LC</v>
          </cell>
          <cell r="F4323" t="str">
            <v>Callaghan, 2022</v>
          </cell>
          <cell r="G4323" t="str">
            <v>NBNSYS0000022262</v>
          </cell>
          <cell r="H4323" t="str">
            <v>Marchantia quadrata</v>
          </cell>
        </row>
        <row r="4324">
          <cell r="A4324" t="str">
            <v>Marchesinia mackaii</v>
          </cell>
          <cell r="B4324" t="str">
            <v>Mosses and liverworts</v>
          </cell>
          <cell r="C4324" t="str">
            <v>Bryophyta</v>
          </cell>
          <cell r="D4324" t="str">
            <v>Marchesinia mackaii</v>
          </cell>
          <cell r="E4324" t="str">
            <v>LC</v>
          </cell>
          <cell r="F4324" t="str">
            <v>Callaghan, 2022</v>
          </cell>
          <cell r="G4324" t="str">
            <v>NHMSYS0000309949</v>
          </cell>
          <cell r="H4324" t="str">
            <v>Marchesinia mackaii</v>
          </cell>
        </row>
        <row r="4325">
          <cell r="A4325" t="str">
            <v>Marsupella aquatica</v>
          </cell>
          <cell r="B4325" t="str">
            <v>Mosses and liverworts</v>
          </cell>
          <cell r="C4325" t="str">
            <v>Bryophyta</v>
          </cell>
          <cell r="D4325" t="str">
            <v>Marsupella aquatica</v>
          </cell>
          <cell r="E4325" t="str">
            <v>LC</v>
          </cell>
          <cell r="F4325" t="str">
            <v>Callaghan, 2022</v>
          </cell>
          <cell r="G4325" t="str">
            <v>NHMSYS0000309960</v>
          </cell>
          <cell r="H4325" t="str">
            <v>Marsupella aquatica</v>
          </cell>
        </row>
        <row r="4326">
          <cell r="A4326" t="str">
            <v>Marsupella emarginata</v>
          </cell>
          <cell r="B4326" t="str">
            <v>Mosses and liverworts</v>
          </cell>
          <cell r="C4326" t="str">
            <v>Bryophyta</v>
          </cell>
          <cell r="D4326" t="str">
            <v>Marsupella emarginata</v>
          </cell>
          <cell r="E4326" t="str">
            <v>LC</v>
          </cell>
          <cell r="F4326" t="str">
            <v>Callaghan, 2022</v>
          </cell>
          <cell r="G4326" t="str">
            <v>NHMSYS0000309960</v>
          </cell>
          <cell r="H4326" t="str">
            <v>Marsupella emarginata</v>
          </cell>
        </row>
        <row r="4327">
          <cell r="A4327" t="str">
            <v>Marsupella funckii</v>
          </cell>
          <cell r="B4327" t="str">
            <v>Mosses and liverworts</v>
          </cell>
          <cell r="C4327" t="str">
            <v>Bryophyta</v>
          </cell>
          <cell r="D4327" t="str">
            <v>Marsupella funckii</v>
          </cell>
          <cell r="E4327" t="str">
            <v>LC</v>
          </cell>
          <cell r="F4327" t="str">
            <v>Callaghan, 2022</v>
          </cell>
          <cell r="G4327" t="str">
            <v>NHMSYS0000309676</v>
          </cell>
          <cell r="H4327" t="str">
            <v>Marsupella funckii</v>
          </cell>
        </row>
        <row r="4328">
          <cell r="A4328" t="str">
            <v>Marsupella profunda</v>
          </cell>
          <cell r="B4328" t="str">
            <v>Mosses and liverworts</v>
          </cell>
          <cell r="C4328" t="str">
            <v>Bryophyta</v>
          </cell>
          <cell r="D4328" t="str">
            <v>Marsupella profunda</v>
          </cell>
          <cell r="E4328" t="str">
            <v>EN</v>
          </cell>
          <cell r="F4328" t="str">
            <v>Callaghan, 2022</v>
          </cell>
          <cell r="G4328" t="str">
            <v>NBNSYS0000035904</v>
          </cell>
          <cell r="H4328" t="str">
            <v>Marsupella profunda</v>
          </cell>
        </row>
        <row r="4329">
          <cell r="A4329" t="str">
            <v>Marsupella sphacelata</v>
          </cell>
          <cell r="B4329" t="str">
            <v>Mosses and liverworts</v>
          </cell>
          <cell r="C4329" t="str">
            <v>Bryophyta</v>
          </cell>
          <cell r="D4329" t="str">
            <v>Marsupella sphacelata</v>
          </cell>
          <cell r="E4329" t="str">
            <v>LC</v>
          </cell>
          <cell r="F4329" t="str">
            <v>Callaghan, 2022</v>
          </cell>
          <cell r="G4329" t="str">
            <v>NHMSYS0000309678</v>
          </cell>
          <cell r="H4329" t="str">
            <v>Marsupella sphacelata</v>
          </cell>
        </row>
        <row r="4330">
          <cell r="A4330" t="str">
            <v>Marsupella sprucei</v>
          </cell>
          <cell r="B4330" t="str">
            <v>Mosses and liverworts</v>
          </cell>
          <cell r="C4330" t="str">
            <v>Bryophyta</v>
          </cell>
          <cell r="D4330" t="str">
            <v>Marsupella sprucei</v>
          </cell>
          <cell r="E4330" t="str">
            <v>LC</v>
          </cell>
          <cell r="F4330" t="str">
            <v>Callaghan, 2022</v>
          </cell>
          <cell r="G4330" t="str">
            <v>NHMSYS0000309679</v>
          </cell>
          <cell r="H4330" t="str">
            <v>Marsupella sprucei</v>
          </cell>
        </row>
        <row r="4331">
          <cell r="A4331" t="str">
            <v>Marsupella stableri</v>
          </cell>
          <cell r="B4331" t="str">
            <v>Mosses and liverworts</v>
          </cell>
          <cell r="C4331" t="str">
            <v>Bryophyta</v>
          </cell>
          <cell r="D4331" t="str">
            <v>Marsupella stableri</v>
          </cell>
          <cell r="E4331" t="str">
            <v>NT</v>
          </cell>
          <cell r="F4331" t="str">
            <v>Callaghan, 2022</v>
          </cell>
          <cell r="G4331" t="str">
            <v>NBNSYS0000151133</v>
          </cell>
          <cell r="H4331" t="str">
            <v>Marsupella stableri</v>
          </cell>
        </row>
        <row r="4332">
          <cell r="A4332" t="str">
            <v>Meesia uliginosa</v>
          </cell>
          <cell r="B4332" t="str">
            <v>Mosses and liverworts</v>
          </cell>
          <cell r="C4332" t="str">
            <v>Bryophyta</v>
          </cell>
          <cell r="D4332" t="str">
            <v>Meesia uliginosa</v>
          </cell>
          <cell r="E4332" t="str">
            <v>LC</v>
          </cell>
          <cell r="F4332" t="str">
            <v>Callaghan, 2022</v>
          </cell>
          <cell r="G4332" t="str">
            <v>NBNSYS0000036667</v>
          </cell>
          <cell r="H4332" t="str">
            <v>Meesia uliginosa</v>
          </cell>
        </row>
        <row r="4333">
          <cell r="A4333" t="str">
            <v>Mesoptychia badensis</v>
          </cell>
          <cell r="B4333" t="str">
            <v>Mosses and liverworts</v>
          </cell>
          <cell r="C4333" t="str">
            <v>Bryophyta</v>
          </cell>
          <cell r="D4333" t="str">
            <v>Mesoptychia badensis</v>
          </cell>
          <cell r="E4333" t="str">
            <v>LC</v>
          </cell>
          <cell r="F4333" t="str">
            <v>Callaghan, 2022</v>
          </cell>
          <cell r="G4333" t="str">
            <v>NHMSYS0000310131</v>
          </cell>
          <cell r="H4333" t="str">
            <v>Mesoptychia badensis</v>
          </cell>
        </row>
        <row r="4334">
          <cell r="A4334" t="str">
            <v>Mesoptychia bantriensis</v>
          </cell>
          <cell r="B4334" t="str">
            <v>Mosses and liverworts</v>
          </cell>
          <cell r="C4334" t="str">
            <v>Bryophyta</v>
          </cell>
          <cell r="D4334" t="str">
            <v>Mesoptychia bantriensis</v>
          </cell>
          <cell r="E4334" t="str">
            <v>LC</v>
          </cell>
          <cell r="F4334" t="str">
            <v>Callaghan, 2022</v>
          </cell>
          <cell r="G4334" t="str">
            <v>NBNSYS0000035855</v>
          </cell>
          <cell r="H4334" t="str">
            <v>Mesoptychia bantriensis</v>
          </cell>
        </row>
        <row r="4335">
          <cell r="A4335" t="str">
            <v>Mesoptychia collaris</v>
          </cell>
          <cell r="B4335" t="str">
            <v>Mosses and liverworts</v>
          </cell>
          <cell r="C4335" t="str">
            <v>Bryophyta</v>
          </cell>
          <cell r="D4335" t="str">
            <v>Mesoptychia collaris</v>
          </cell>
          <cell r="E4335" t="str">
            <v>LC</v>
          </cell>
          <cell r="F4335" t="str">
            <v>Callaghan, 2022</v>
          </cell>
          <cell r="G4335" t="str">
            <v>NBNSYS0000150097</v>
          </cell>
          <cell r="H4335" t="str">
            <v>Mesoptychia collaris</v>
          </cell>
        </row>
        <row r="4336">
          <cell r="A4336" t="str">
            <v>Mesoptychia gillmanii</v>
          </cell>
          <cell r="B4336" t="str">
            <v>Mosses and liverworts</v>
          </cell>
          <cell r="C4336" t="str">
            <v>Bryophyta</v>
          </cell>
          <cell r="D4336" t="str">
            <v>Mesoptychia gillmanii</v>
          </cell>
          <cell r="E4336" t="str">
            <v>NT</v>
          </cell>
          <cell r="F4336" t="str">
            <v>Callaghan, 2022</v>
          </cell>
          <cell r="G4336" t="str">
            <v>NHMSYS0000310133</v>
          </cell>
          <cell r="H4336" t="str">
            <v>Mesoptychia gillmanii</v>
          </cell>
        </row>
        <row r="4337">
          <cell r="A4337" t="str">
            <v>Mesoptychia heterocolpos</v>
          </cell>
          <cell r="B4337" t="str">
            <v>Mosses and liverworts</v>
          </cell>
          <cell r="C4337" t="str">
            <v>Bryophyta</v>
          </cell>
          <cell r="D4337" t="str">
            <v>Mesoptychia heterocolpos</v>
          </cell>
          <cell r="E4337" t="str">
            <v>LC</v>
          </cell>
          <cell r="F4337" t="str">
            <v>Callaghan, 2022</v>
          </cell>
          <cell r="G4337" t="str">
            <v>NHMSYS0000310134</v>
          </cell>
          <cell r="H4337" t="str">
            <v>Mesoptychia heterocolpos</v>
          </cell>
        </row>
        <row r="4338">
          <cell r="A4338" t="str">
            <v>Mesoptychia rutheana</v>
          </cell>
          <cell r="B4338" t="str">
            <v>Mosses and liverworts</v>
          </cell>
          <cell r="C4338" t="str">
            <v>Bryophyta</v>
          </cell>
          <cell r="D4338" t="str">
            <v>Mesoptychia rutheana</v>
          </cell>
          <cell r="E4338" t="str">
            <v>CR</v>
          </cell>
          <cell r="F4338" t="str">
            <v>Callaghan, 2022</v>
          </cell>
          <cell r="G4338" t="str">
            <v>NHMSYS0000310136</v>
          </cell>
          <cell r="H4338" t="str">
            <v>Mesoptychia rutheana</v>
          </cell>
        </row>
        <row r="4339">
          <cell r="A4339" t="str">
            <v>Mesoptychia turbinata</v>
          </cell>
          <cell r="B4339" t="str">
            <v>Mosses and liverworts</v>
          </cell>
          <cell r="C4339" t="str">
            <v>Bryophyta</v>
          </cell>
          <cell r="D4339" t="str">
            <v>Mesoptychia turbinata</v>
          </cell>
          <cell r="E4339" t="str">
            <v>LC</v>
          </cell>
          <cell r="F4339" t="str">
            <v>Callaghan, 2022</v>
          </cell>
          <cell r="G4339" t="str">
            <v>NHMSYS0000310138</v>
          </cell>
          <cell r="H4339" t="str">
            <v>Mesoptychia turbinata</v>
          </cell>
        </row>
        <row r="4340">
          <cell r="A4340" t="str">
            <v>Metzgeria conjugata</v>
          </cell>
          <cell r="B4340" t="str">
            <v>Mosses and liverworts</v>
          </cell>
          <cell r="C4340" t="str">
            <v>Bryophyta</v>
          </cell>
          <cell r="D4340" t="str">
            <v>Metzgeria conjugata</v>
          </cell>
          <cell r="E4340" t="str">
            <v>LC</v>
          </cell>
          <cell r="F4340" t="str">
            <v>Callaghan, 2022</v>
          </cell>
          <cell r="G4340" t="str">
            <v>NBNSYS0000036039</v>
          </cell>
          <cell r="H4340" t="str">
            <v>Metzgeria conjugata</v>
          </cell>
        </row>
        <row r="4341">
          <cell r="A4341" t="str">
            <v>Metzgeria consanguinea</v>
          </cell>
          <cell r="B4341" t="str">
            <v>Mosses and liverworts</v>
          </cell>
          <cell r="C4341" t="str">
            <v>Bryophyta</v>
          </cell>
          <cell r="D4341" t="str">
            <v>Metzgeria consanguinea</v>
          </cell>
          <cell r="E4341" t="str">
            <v>LC</v>
          </cell>
          <cell r="F4341" t="str">
            <v>Callaghan, 2022</v>
          </cell>
          <cell r="G4341" t="str">
            <v>NHMSYS0020695875</v>
          </cell>
          <cell r="H4341" t="str">
            <v>Metzgeria consanguinea</v>
          </cell>
        </row>
        <row r="4342">
          <cell r="A4342" t="str">
            <v>Metzgeria furcata</v>
          </cell>
          <cell r="B4342" t="str">
            <v>Mosses and liverworts</v>
          </cell>
          <cell r="C4342" t="str">
            <v>Bryophyta</v>
          </cell>
          <cell r="D4342" t="str">
            <v>Metzgeria furcata</v>
          </cell>
          <cell r="E4342" t="str">
            <v>LC</v>
          </cell>
          <cell r="F4342" t="str">
            <v>Callaghan, 2022</v>
          </cell>
          <cell r="G4342" t="str">
            <v>NHMSYS0000310185</v>
          </cell>
          <cell r="H4342" t="str">
            <v>Metzgeria furcata</v>
          </cell>
        </row>
        <row r="4343">
          <cell r="A4343" t="str">
            <v>Metzgeria leptoneura</v>
          </cell>
          <cell r="B4343" t="str">
            <v>Mosses and liverworts</v>
          </cell>
          <cell r="C4343" t="str">
            <v>Bryophyta</v>
          </cell>
          <cell r="D4343" t="str">
            <v>Metzgeria leptoneura</v>
          </cell>
          <cell r="E4343" t="str">
            <v>LC</v>
          </cell>
          <cell r="F4343" t="str">
            <v>Callaghan, 2022</v>
          </cell>
          <cell r="G4343" t="str">
            <v>NBNSYS0000036040</v>
          </cell>
          <cell r="H4343" t="str">
            <v>Metzgeria leptoneura</v>
          </cell>
        </row>
        <row r="4344">
          <cell r="A4344" t="str">
            <v>Metzgeria pubescens</v>
          </cell>
          <cell r="B4344" t="str">
            <v>Mosses and liverworts</v>
          </cell>
          <cell r="C4344" t="str">
            <v>Bryophyta</v>
          </cell>
          <cell r="D4344" t="str">
            <v>Metzgeria pubescens</v>
          </cell>
          <cell r="E4344" t="str">
            <v>LC</v>
          </cell>
          <cell r="F4344" t="str">
            <v>Callaghan, 2022</v>
          </cell>
          <cell r="G4344" t="str">
            <v>NBNSYS0000037057</v>
          </cell>
          <cell r="H4344" t="str">
            <v>Metzgeria pubescens</v>
          </cell>
        </row>
        <row r="4345">
          <cell r="A4345" t="str">
            <v>Metzgeria violacea</v>
          </cell>
          <cell r="B4345" t="str">
            <v>Mosses and liverworts</v>
          </cell>
          <cell r="C4345" t="str">
            <v>Bryophyta</v>
          </cell>
          <cell r="D4345" t="str">
            <v>Metzgeria violacea</v>
          </cell>
          <cell r="E4345" t="str">
            <v>LC</v>
          </cell>
          <cell r="F4345" t="str">
            <v>Callaghan, 2022</v>
          </cell>
          <cell r="G4345" t="str">
            <v>NHMSYS0020695881</v>
          </cell>
          <cell r="H4345" t="str">
            <v>Metzgeria violacea</v>
          </cell>
        </row>
        <row r="4346">
          <cell r="A4346" t="str">
            <v>Microbryum curvicollum</v>
          </cell>
          <cell r="B4346" t="str">
            <v>Mosses and liverworts</v>
          </cell>
          <cell r="C4346" t="str">
            <v>Bryophyta</v>
          </cell>
          <cell r="D4346" t="str">
            <v>Microbryum curvicollum</v>
          </cell>
          <cell r="E4346" t="str">
            <v>LC</v>
          </cell>
          <cell r="F4346" t="str">
            <v>Callaghan, 2022</v>
          </cell>
          <cell r="G4346" t="str">
            <v>NHMSYS0021177838</v>
          </cell>
          <cell r="H4346" t="str">
            <v>Microbryum curvicollum</v>
          </cell>
        </row>
        <row r="4347">
          <cell r="A4347" t="str">
            <v>Microbryum davallianum</v>
          </cell>
          <cell r="B4347" t="str">
            <v>Mosses and liverworts</v>
          </cell>
          <cell r="C4347" t="str">
            <v>Bryophyta</v>
          </cell>
          <cell r="D4347" t="str">
            <v>Microbryum davallianum</v>
          </cell>
          <cell r="E4347" t="str">
            <v>LC</v>
          </cell>
          <cell r="F4347" t="str">
            <v>Callaghan, 2022</v>
          </cell>
          <cell r="G4347" t="str">
            <v>NBNSYS0100004045</v>
          </cell>
          <cell r="H4347" t="str">
            <v>Microbryum davallianum</v>
          </cell>
        </row>
        <row r="4348">
          <cell r="A4348" t="str">
            <v>Microbryum floerkeanum</v>
          </cell>
          <cell r="B4348" t="str">
            <v>Mosses and liverworts</v>
          </cell>
          <cell r="C4348" t="str">
            <v>Bryophyta</v>
          </cell>
          <cell r="D4348" t="str">
            <v>Microbryum floerkeanum</v>
          </cell>
          <cell r="E4348" t="str">
            <v>LC</v>
          </cell>
          <cell r="F4348" t="str">
            <v>Callaghan, 2022</v>
          </cell>
          <cell r="G4348" t="str">
            <v>NBNSYS0100004046</v>
          </cell>
          <cell r="H4348" t="str">
            <v>Microbryum floerkeanum</v>
          </cell>
        </row>
        <row r="4349">
          <cell r="A4349" t="str">
            <v>Microbryum rectum</v>
          </cell>
          <cell r="B4349" t="str">
            <v>Mosses and liverworts</v>
          </cell>
          <cell r="C4349" t="str">
            <v>Bryophyta</v>
          </cell>
          <cell r="D4349" t="str">
            <v>Microbryum rectum</v>
          </cell>
          <cell r="E4349" t="str">
            <v>LC</v>
          </cell>
          <cell r="F4349" t="str">
            <v>Callaghan, 2022</v>
          </cell>
          <cell r="G4349" t="str">
            <v>NBNSYS0100004047</v>
          </cell>
          <cell r="H4349" t="str">
            <v>Microbryum rectum</v>
          </cell>
        </row>
        <row r="4350">
          <cell r="A4350" t="str">
            <v>Microbryum starckeanum</v>
          </cell>
          <cell r="B4350" t="str">
            <v>Mosses and liverworts</v>
          </cell>
          <cell r="C4350" t="str">
            <v>Bryophyta</v>
          </cell>
          <cell r="D4350" t="str">
            <v>Microbryum starckeanum</v>
          </cell>
          <cell r="E4350" t="str">
            <v>LC</v>
          </cell>
          <cell r="F4350" t="str">
            <v>Callaghan, 2022</v>
          </cell>
          <cell r="G4350" t="str">
            <v>NHMSYS0001682651</v>
          </cell>
          <cell r="H4350" t="str">
            <v>Microbryum starckeanum</v>
          </cell>
        </row>
        <row r="4351">
          <cell r="A4351" t="str">
            <v>Microeurhynchium pumilum</v>
          </cell>
          <cell r="B4351" t="str">
            <v>Mosses and liverworts</v>
          </cell>
          <cell r="C4351" t="str">
            <v>Bryophyta</v>
          </cell>
          <cell r="D4351" t="str">
            <v>Microeurhynchium pumilum</v>
          </cell>
          <cell r="E4351" t="str">
            <v>LC</v>
          </cell>
          <cell r="F4351" t="str">
            <v>Callaghan, 2022</v>
          </cell>
          <cell r="G4351" t="str">
            <v>NHMSYS0021195415</v>
          </cell>
          <cell r="H4351" t="str">
            <v>Microeurhynchium pumilum</v>
          </cell>
        </row>
        <row r="4352">
          <cell r="A4352" t="str">
            <v>Microlejeunea ulicina</v>
          </cell>
          <cell r="B4352" t="str">
            <v>Mosses and liverworts</v>
          </cell>
          <cell r="C4352" t="str">
            <v>Bryophyta</v>
          </cell>
          <cell r="D4352" t="str">
            <v>Microlejeunea ulicina</v>
          </cell>
          <cell r="E4352" t="str">
            <v>LC</v>
          </cell>
          <cell r="F4352" t="str">
            <v>Callaghan, 2022</v>
          </cell>
          <cell r="G4352" t="str">
            <v>NHMSYS0000310190</v>
          </cell>
          <cell r="H4352" t="str">
            <v>Microlejeunea ulicina</v>
          </cell>
        </row>
        <row r="4353">
          <cell r="A4353" t="str">
            <v>Micromitrium tenerum</v>
          </cell>
          <cell r="B4353" t="str">
            <v>Mosses and liverworts</v>
          </cell>
          <cell r="C4353" t="str">
            <v>Bryophyta</v>
          </cell>
          <cell r="D4353" t="str">
            <v>Micromitrium tenerum</v>
          </cell>
          <cell r="E4353" t="str">
            <v>CR</v>
          </cell>
          <cell r="F4353" t="str">
            <v>Callaghan, 2022</v>
          </cell>
          <cell r="G4353" t="str">
            <v>NHMSYS0000310192</v>
          </cell>
          <cell r="H4353" t="str">
            <v>Micromitrium tenerum</v>
          </cell>
        </row>
        <row r="4354">
          <cell r="A4354" t="str">
            <v>Mielichhoferia elongata</v>
          </cell>
          <cell r="B4354" t="str">
            <v>Mosses and liverworts</v>
          </cell>
          <cell r="C4354" t="str">
            <v>Bryophyta</v>
          </cell>
          <cell r="D4354" t="str">
            <v>Mielichhoferia elongata</v>
          </cell>
          <cell r="E4354" t="str">
            <v>VU</v>
          </cell>
          <cell r="F4354" t="str">
            <v>Callaghan, 2022</v>
          </cell>
          <cell r="G4354" t="str">
            <v>NHMSYS0000310194</v>
          </cell>
          <cell r="H4354" t="str">
            <v>Mielichhoferia elongata</v>
          </cell>
        </row>
        <row r="4355">
          <cell r="A4355" t="str">
            <v>Mnium hornum</v>
          </cell>
          <cell r="B4355" t="str">
            <v>Mosses and liverworts</v>
          </cell>
          <cell r="C4355" t="str">
            <v>Bryophyta</v>
          </cell>
          <cell r="D4355" t="str">
            <v>Mnium hornum</v>
          </cell>
          <cell r="E4355" t="str">
            <v>LC</v>
          </cell>
          <cell r="F4355" t="str">
            <v>Callaghan, 2022</v>
          </cell>
          <cell r="G4355" t="str">
            <v>NBNSYS0000036641</v>
          </cell>
          <cell r="H4355" t="str">
            <v>Mnium hornum</v>
          </cell>
        </row>
        <row r="4356">
          <cell r="A4356" t="str">
            <v>Mnium marginatum</v>
          </cell>
          <cell r="B4356" t="str">
            <v>Mosses and liverworts</v>
          </cell>
          <cell r="C4356" t="str">
            <v>Bryophyta</v>
          </cell>
          <cell r="D4356" t="str">
            <v>Mnium marginatum</v>
          </cell>
          <cell r="E4356" t="str">
            <v>LC</v>
          </cell>
          <cell r="F4356" t="str">
            <v>Callaghan, 2022</v>
          </cell>
          <cell r="G4356" t="str">
            <v>NBNSYS0000036644</v>
          </cell>
          <cell r="H4356" t="str">
            <v>Mnium marginatum</v>
          </cell>
        </row>
        <row r="4357">
          <cell r="A4357" t="str">
            <v>Mnium stellare</v>
          </cell>
          <cell r="B4357" t="str">
            <v>Mosses and liverworts</v>
          </cell>
          <cell r="C4357" t="str">
            <v>Bryophyta</v>
          </cell>
          <cell r="D4357" t="str">
            <v>Mnium stellare</v>
          </cell>
          <cell r="E4357" t="str">
            <v>LC</v>
          </cell>
          <cell r="F4357" t="str">
            <v>Callaghan, 2022</v>
          </cell>
          <cell r="G4357" t="str">
            <v>NBNSYS0000036648</v>
          </cell>
          <cell r="H4357" t="str">
            <v>Mnium stellare</v>
          </cell>
        </row>
        <row r="4358">
          <cell r="A4358" t="str">
            <v>Mnium thomsonii</v>
          </cell>
          <cell r="B4358" t="str">
            <v>Mosses and liverworts</v>
          </cell>
          <cell r="C4358" t="str">
            <v>Bryophyta</v>
          </cell>
          <cell r="D4358" t="str">
            <v>Mnium thomsonii</v>
          </cell>
          <cell r="E4358" t="str">
            <v>LC</v>
          </cell>
          <cell r="F4358" t="str">
            <v>Callaghan, 2022</v>
          </cell>
          <cell r="G4358" t="str">
            <v>NBNSYS0000036642</v>
          </cell>
          <cell r="H4358" t="str">
            <v>Mnium thomsonii</v>
          </cell>
        </row>
        <row r="4359">
          <cell r="A4359" t="str">
            <v>Moerckia flotoviana</v>
          </cell>
          <cell r="B4359" t="str">
            <v>Mosses and liverworts</v>
          </cell>
          <cell r="C4359" t="str">
            <v>Bryophyta</v>
          </cell>
          <cell r="D4359" t="str">
            <v>Moerckia flotoviana</v>
          </cell>
          <cell r="E4359" t="str">
            <v>LC</v>
          </cell>
          <cell r="F4359" t="str">
            <v>Callaghan, 2022</v>
          </cell>
          <cell r="G4359" t="str">
            <v>NHMSYS0020636806</v>
          </cell>
          <cell r="H4359" t="str">
            <v>Moerckia flotoviana</v>
          </cell>
        </row>
        <row r="4360">
          <cell r="A4360" t="str">
            <v>Mylia anomala</v>
          </cell>
          <cell r="B4360" t="str">
            <v>Mosses and liverworts</v>
          </cell>
          <cell r="C4360" t="str">
            <v>Bryophyta</v>
          </cell>
          <cell r="D4360" t="str">
            <v>Mylia anomala</v>
          </cell>
          <cell r="E4360" t="str">
            <v>LC</v>
          </cell>
          <cell r="F4360" t="str">
            <v>Callaghan, 2022</v>
          </cell>
          <cell r="G4360" t="str">
            <v>NHMSYS0000310214</v>
          </cell>
          <cell r="H4360" t="str">
            <v>Mylia anomala</v>
          </cell>
        </row>
        <row r="4361">
          <cell r="A4361" t="str">
            <v>Mylia taylorii</v>
          </cell>
          <cell r="B4361" t="str">
            <v>Mosses and liverworts</v>
          </cell>
          <cell r="C4361" t="str">
            <v>Bryophyta</v>
          </cell>
          <cell r="D4361" t="str">
            <v>Mylia taylorii</v>
          </cell>
          <cell r="E4361" t="str">
            <v>LC</v>
          </cell>
          <cell r="F4361" t="str">
            <v>Callaghan, 2022</v>
          </cell>
          <cell r="G4361" t="str">
            <v>NHMSYS0000310216</v>
          </cell>
          <cell r="H4361" t="str">
            <v>Mylia taylorii</v>
          </cell>
        </row>
        <row r="4362">
          <cell r="A4362" t="str">
            <v>Myrinia pulvinata</v>
          </cell>
          <cell r="B4362" t="str">
            <v>Mosses and liverworts</v>
          </cell>
          <cell r="C4362" t="str">
            <v>Bryophyta</v>
          </cell>
          <cell r="D4362" t="str">
            <v>Myrinia pulvinata</v>
          </cell>
          <cell r="E4362" t="str">
            <v>NT</v>
          </cell>
          <cell r="F4362" t="str">
            <v>Callaghan, 2022</v>
          </cell>
          <cell r="G4362" t="str">
            <v>NBNSYS0000036760</v>
          </cell>
          <cell r="H4362" t="str">
            <v>Myrinia pulvinata</v>
          </cell>
        </row>
        <row r="4363">
          <cell r="A4363" t="str">
            <v>Myriocoleopsis minutissima</v>
          </cell>
          <cell r="B4363" t="str">
            <v>Mosses and liverworts</v>
          </cell>
          <cell r="C4363" t="str">
            <v>Bryophyta</v>
          </cell>
          <cell r="D4363" t="str">
            <v>Myriocoleopsis minutissima</v>
          </cell>
          <cell r="E4363" t="str">
            <v>LC</v>
          </cell>
          <cell r="F4363" t="str">
            <v>Callaghan, 2022</v>
          </cell>
          <cell r="G4363" t="str">
            <v>NHMSYS0000309692</v>
          </cell>
          <cell r="H4363" t="str">
            <v>Myriocoleopsis minutissima</v>
          </cell>
        </row>
        <row r="4364">
          <cell r="A4364" t="str">
            <v>Myurella julacea</v>
          </cell>
          <cell r="B4364" t="str">
            <v>Mosses and liverworts</v>
          </cell>
          <cell r="C4364" t="str">
            <v>Bryophyta</v>
          </cell>
          <cell r="D4364" t="str">
            <v>Myurella julacea</v>
          </cell>
          <cell r="E4364" t="str">
            <v>LC</v>
          </cell>
          <cell r="F4364" t="str">
            <v>Callaghan, 2022</v>
          </cell>
          <cell r="G4364" t="str">
            <v>NHMSYS0000310220</v>
          </cell>
          <cell r="H4364" t="str">
            <v>Myurella julacea</v>
          </cell>
        </row>
        <row r="4365">
          <cell r="A4365" t="str">
            <v>Nardia compressa</v>
          </cell>
          <cell r="B4365" t="str">
            <v>Mosses and liverworts</v>
          </cell>
          <cell r="C4365" t="str">
            <v>Bryophyta</v>
          </cell>
          <cell r="D4365" t="str">
            <v>Nardia compressa</v>
          </cell>
          <cell r="E4365" t="str">
            <v>LC</v>
          </cell>
          <cell r="F4365" t="str">
            <v>Callaghan, 2022</v>
          </cell>
          <cell r="G4365" t="str">
            <v>NHMSYS0000310227</v>
          </cell>
          <cell r="H4365" t="str">
            <v>Nardia compressa</v>
          </cell>
        </row>
        <row r="4366">
          <cell r="A4366" t="str">
            <v>Nardia geoscyphus</v>
          </cell>
          <cell r="B4366" t="str">
            <v>Mosses and liverworts</v>
          </cell>
          <cell r="C4366" t="str">
            <v>Bryophyta</v>
          </cell>
          <cell r="D4366" t="str">
            <v>Nardia geoscyphus</v>
          </cell>
          <cell r="E4366" t="str">
            <v>LC</v>
          </cell>
          <cell r="F4366" t="str">
            <v>Callaghan, 2022</v>
          </cell>
          <cell r="G4366" t="str">
            <v>NBNSYS0000035894</v>
          </cell>
          <cell r="H4366" t="str">
            <v>Nardia geoscyphus</v>
          </cell>
        </row>
        <row r="4367">
          <cell r="A4367" t="str">
            <v>Nardia insecta</v>
          </cell>
          <cell r="B4367" t="str">
            <v>Mosses and liverworts</v>
          </cell>
          <cell r="C4367" t="str">
            <v>Bryophyta</v>
          </cell>
          <cell r="D4367" t="str">
            <v>Nardia insecta</v>
          </cell>
          <cell r="E4367" t="str">
            <v>CR</v>
          </cell>
          <cell r="F4367" t="str">
            <v>Callaghan, 2022</v>
          </cell>
          <cell r="G4367" t="str">
            <v>NBNSYS0000041595</v>
          </cell>
          <cell r="H4367" t="str">
            <v>Nardia insecta</v>
          </cell>
        </row>
        <row r="4368">
          <cell r="A4368" t="str">
            <v>Nardia scalaris</v>
          </cell>
          <cell r="B4368" t="str">
            <v>Mosses and liverworts</v>
          </cell>
          <cell r="C4368" t="str">
            <v>Bryophyta</v>
          </cell>
          <cell r="D4368" t="str">
            <v>Nardia scalaris</v>
          </cell>
          <cell r="E4368" t="str">
            <v>LC</v>
          </cell>
          <cell r="F4368" t="str">
            <v>Callaghan, 2022</v>
          </cell>
          <cell r="G4368" t="str">
            <v>NHMSYS0000310228</v>
          </cell>
          <cell r="H4368" t="str">
            <v>Nardia scalaris</v>
          </cell>
        </row>
        <row r="4369">
          <cell r="A4369" t="str">
            <v>Neckera complanata</v>
          </cell>
          <cell r="B4369" t="str">
            <v>Mosses and liverworts</v>
          </cell>
          <cell r="C4369" t="str">
            <v>Bryophyta</v>
          </cell>
          <cell r="D4369" t="str">
            <v>Neckera complanata</v>
          </cell>
          <cell r="E4369" t="str">
            <v>LC</v>
          </cell>
          <cell r="F4369" t="str">
            <v>Callaghan, 2022</v>
          </cell>
          <cell r="G4369" t="str">
            <v>NHMSYS0000310230</v>
          </cell>
          <cell r="H4369" t="str">
            <v>Neckera complanata</v>
          </cell>
        </row>
        <row r="4370">
          <cell r="A4370" t="str">
            <v>Neckera crispa</v>
          </cell>
          <cell r="B4370" t="str">
            <v>Mosses and liverworts</v>
          </cell>
          <cell r="C4370" t="str">
            <v>Bryophyta</v>
          </cell>
          <cell r="D4370" t="str">
            <v>Neckera crispa</v>
          </cell>
          <cell r="E4370" t="str">
            <v>LC</v>
          </cell>
          <cell r="F4370" t="str">
            <v>Callaghan, 2022</v>
          </cell>
          <cell r="G4370" t="str">
            <v>NBNSYS0000036745</v>
          </cell>
          <cell r="H4370" t="str">
            <v>Neckera crispa</v>
          </cell>
        </row>
        <row r="4371">
          <cell r="A4371" t="str">
            <v>Neckera pumila</v>
          </cell>
          <cell r="B4371" t="str">
            <v>Mosses and liverworts</v>
          </cell>
          <cell r="C4371" t="str">
            <v>Bryophyta</v>
          </cell>
          <cell r="D4371" t="str">
            <v>Neckera pumila</v>
          </cell>
          <cell r="E4371" t="str">
            <v>LC</v>
          </cell>
          <cell r="F4371" t="str">
            <v>Callaghan, 2022</v>
          </cell>
          <cell r="G4371" t="str">
            <v>NBNSYS0000036746</v>
          </cell>
          <cell r="H4371" t="str">
            <v>Neckera pumila</v>
          </cell>
        </row>
        <row r="4372">
          <cell r="A4372" t="str">
            <v>Neckera smithii</v>
          </cell>
          <cell r="B4372" t="str">
            <v>Mosses and liverworts</v>
          </cell>
          <cell r="C4372" t="str">
            <v>Bryophyta</v>
          </cell>
          <cell r="D4372" t="str">
            <v>Neckera smithii</v>
          </cell>
          <cell r="E4372" t="str">
            <v>LC</v>
          </cell>
          <cell r="F4372" t="str">
            <v>Callaghan, 2022</v>
          </cell>
          <cell r="G4372" t="str">
            <v>NHMSYS0000310161</v>
          </cell>
          <cell r="H4372" t="str">
            <v>Neckera smithii</v>
          </cell>
        </row>
        <row r="4373">
          <cell r="A4373" t="str">
            <v>Nogopterium gracile</v>
          </cell>
          <cell r="B4373" t="str">
            <v>Mosses and liverworts</v>
          </cell>
          <cell r="C4373" t="str">
            <v>Bryophyta</v>
          </cell>
          <cell r="D4373" t="str">
            <v>Nogopterium gracile</v>
          </cell>
          <cell r="E4373" t="str">
            <v>LC</v>
          </cell>
          <cell r="F4373" t="str">
            <v>Callaghan, 2022</v>
          </cell>
          <cell r="G4373" t="str">
            <v>NBNSYS0000036741</v>
          </cell>
          <cell r="H4373" t="str">
            <v>Nogopterium gracile</v>
          </cell>
        </row>
        <row r="4374">
          <cell r="A4374" t="str">
            <v>Nyholmiella obtusifolia</v>
          </cell>
          <cell r="B4374" t="str">
            <v>Mosses and liverworts</v>
          </cell>
          <cell r="C4374" t="str">
            <v>Bryophyta</v>
          </cell>
          <cell r="D4374" t="str">
            <v>Nyholmiella obtusifolia</v>
          </cell>
          <cell r="E4374" t="str">
            <v>LC</v>
          </cell>
          <cell r="F4374" t="str">
            <v>Callaghan, 2022</v>
          </cell>
          <cell r="G4374" t="str">
            <v>NBNSYS0000036699</v>
          </cell>
          <cell r="H4374" t="str">
            <v>Nyholmiella obtusifolia</v>
          </cell>
        </row>
        <row r="4375">
          <cell r="A4375" t="str">
            <v>Obtusifolium obtusum</v>
          </cell>
          <cell r="B4375" t="str">
            <v>Mosses and liverworts</v>
          </cell>
          <cell r="C4375" t="str">
            <v>Bryophyta</v>
          </cell>
          <cell r="D4375" t="str">
            <v>Obtusifolium obtusum</v>
          </cell>
          <cell r="E4375" t="str">
            <v>LC</v>
          </cell>
          <cell r="F4375" t="str">
            <v>Callaghan, 2022</v>
          </cell>
          <cell r="G4375" t="str">
            <v>NHMSYS0000309923</v>
          </cell>
          <cell r="H4375" t="str">
            <v>Obtusifolium obtusum</v>
          </cell>
        </row>
        <row r="4376">
          <cell r="A4376" t="str">
            <v>Odontoschisma denudatum</v>
          </cell>
          <cell r="B4376" t="str">
            <v>Mosses and liverworts</v>
          </cell>
          <cell r="C4376" t="str">
            <v>Bryophyta</v>
          </cell>
          <cell r="D4376" t="str">
            <v>Odontoschisma denudatum</v>
          </cell>
          <cell r="E4376" t="str">
            <v>LC</v>
          </cell>
          <cell r="F4376" t="str">
            <v>Callaghan, 2022</v>
          </cell>
          <cell r="G4376" t="str">
            <v>NHMSYS0000310236</v>
          </cell>
          <cell r="H4376" t="str">
            <v>Odontoschisma denudatum</v>
          </cell>
        </row>
        <row r="4377">
          <cell r="A4377" t="str">
            <v>Odontoschisma fluitans</v>
          </cell>
          <cell r="B4377" t="str">
            <v>Mosses and liverworts</v>
          </cell>
          <cell r="C4377" t="str">
            <v>Bryophyta</v>
          </cell>
          <cell r="D4377" t="str">
            <v>Odontoschisma fluitans</v>
          </cell>
          <cell r="E4377" t="str">
            <v>LC</v>
          </cell>
          <cell r="F4377" t="str">
            <v>Callaghan, 2022</v>
          </cell>
          <cell r="G4377" t="str">
            <v>NHMSYS0000309634</v>
          </cell>
          <cell r="H4377" t="str">
            <v>Odontoschisma fluitans</v>
          </cell>
        </row>
        <row r="4378">
          <cell r="A4378" t="str">
            <v>Odontoschisma francisci</v>
          </cell>
          <cell r="B4378" t="str">
            <v>Mosses and liverworts</v>
          </cell>
          <cell r="C4378" t="str">
            <v>Bryophyta</v>
          </cell>
          <cell r="D4378" t="str">
            <v>Odontoschisma francisci</v>
          </cell>
          <cell r="E4378" t="str">
            <v>LC</v>
          </cell>
          <cell r="F4378" t="str">
            <v>Callaghan, 2022</v>
          </cell>
          <cell r="G4378" t="str">
            <v>NHMSYS0000309635</v>
          </cell>
          <cell r="H4378" t="str">
            <v>Odontoschisma francisci</v>
          </cell>
        </row>
        <row r="4379">
          <cell r="A4379" t="str">
            <v>Odontoschisma sphagni</v>
          </cell>
          <cell r="B4379" t="str">
            <v>Mosses and liverworts</v>
          </cell>
          <cell r="C4379" t="str">
            <v>Bryophyta</v>
          </cell>
          <cell r="D4379" t="str">
            <v>Odontoschisma sphagni</v>
          </cell>
          <cell r="E4379" t="str">
            <v>LC</v>
          </cell>
          <cell r="F4379" t="str">
            <v>Callaghan, 2022</v>
          </cell>
          <cell r="G4379" t="str">
            <v>NHMSYS0000310239</v>
          </cell>
          <cell r="H4379" t="str">
            <v>Odontoschisma sphagni</v>
          </cell>
        </row>
        <row r="4380">
          <cell r="A4380" t="str">
            <v>Oedipodium griffithianum</v>
          </cell>
          <cell r="B4380" t="str">
            <v>Mosses and liverworts</v>
          </cell>
          <cell r="C4380" t="str">
            <v>Bryophyta</v>
          </cell>
          <cell r="D4380" t="str">
            <v>Oedipodium griffithianum</v>
          </cell>
          <cell r="E4380" t="str">
            <v>NT</v>
          </cell>
          <cell r="F4380" t="str">
            <v>Callaghan, 2022</v>
          </cell>
          <cell r="G4380" t="str">
            <v>NBNSYS0000036531</v>
          </cell>
          <cell r="H4380" t="str">
            <v>Oedipodium griffithianum</v>
          </cell>
        </row>
        <row r="4381">
          <cell r="A4381" t="str">
            <v>Oleolophozia perssonii</v>
          </cell>
          <cell r="B4381" t="str">
            <v>Mosses and liverworts</v>
          </cell>
          <cell r="C4381" t="str">
            <v>Bryophyta</v>
          </cell>
          <cell r="D4381" t="str">
            <v>Oleolophozia perssonii</v>
          </cell>
          <cell r="E4381" t="str">
            <v>LC</v>
          </cell>
          <cell r="F4381" t="str">
            <v>Callaghan, 2022</v>
          </cell>
          <cell r="G4381" t="str">
            <v>NHMSYS0000309925</v>
          </cell>
          <cell r="H4381" t="str">
            <v>Oleolophozia perssonii</v>
          </cell>
        </row>
        <row r="4382">
          <cell r="A4382" t="str">
            <v>Oligotrichum hercynicum</v>
          </cell>
          <cell r="B4382" t="str">
            <v>Mosses and liverworts</v>
          </cell>
          <cell r="C4382" t="str">
            <v>Bryophyta</v>
          </cell>
          <cell r="D4382" t="str">
            <v>Oligotrichum hercynicum</v>
          </cell>
          <cell r="E4382" t="str">
            <v>LC</v>
          </cell>
          <cell r="F4382" t="str">
            <v>Callaghan, 2022</v>
          </cell>
          <cell r="G4382" t="str">
            <v>NBNSYS0000036145</v>
          </cell>
          <cell r="H4382" t="str">
            <v>Oligotrichum hercynicum</v>
          </cell>
        </row>
        <row r="4383">
          <cell r="A4383" t="str">
            <v>Oncophorus virens</v>
          </cell>
          <cell r="B4383" t="str">
            <v>Mosses and liverworts</v>
          </cell>
          <cell r="C4383" t="str">
            <v>Bryophyta</v>
          </cell>
          <cell r="D4383" t="str">
            <v>Oncophorus virens</v>
          </cell>
          <cell r="E4383" t="str">
            <v>NT</v>
          </cell>
          <cell r="F4383" t="str">
            <v>Callaghan, 2022</v>
          </cell>
          <cell r="G4383" t="str">
            <v>NHMSYS0021239474</v>
          </cell>
          <cell r="H4383" t="str">
            <v>Oncophorus virens</v>
          </cell>
        </row>
        <row r="4384">
          <cell r="A4384" t="str">
            <v>Orthocaulis atlanticus</v>
          </cell>
          <cell r="B4384" t="str">
            <v>Mosses and liverworts</v>
          </cell>
          <cell r="C4384" t="str">
            <v>Bryophyta</v>
          </cell>
          <cell r="D4384" t="str">
            <v>Orthocaulis atlanticus</v>
          </cell>
          <cell r="E4384" t="str">
            <v>LC</v>
          </cell>
          <cell r="F4384" t="str">
            <v>Callaghan, 2022</v>
          </cell>
          <cell r="G4384" t="str">
            <v>NHMSYS0000309396</v>
          </cell>
          <cell r="H4384" t="str">
            <v>Orthocaulis atlanticus</v>
          </cell>
        </row>
        <row r="4385">
          <cell r="A4385" t="str">
            <v>Orthocaulis attenuatus</v>
          </cell>
          <cell r="B4385" t="str">
            <v>Mosses and liverworts</v>
          </cell>
          <cell r="C4385" t="str">
            <v>Bryophyta</v>
          </cell>
          <cell r="D4385" t="str">
            <v>Orthocaulis attenuatus</v>
          </cell>
          <cell r="E4385" t="str">
            <v>LC</v>
          </cell>
          <cell r="F4385" t="str">
            <v>Callaghan, 2022</v>
          </cell>
          <cell r="G4385" t="str">
            <v>NBNSYS0000035832</v>
          </cell>
          <cell r="H4385" t="str">
            <v>Orthocaulis attenuatus</v>
          </cell>
        </row>
        <row r="4386">
          <cell r="A4386" t="str">
            <v>Orthocaulis floerkei</v>
          </cell>
          <cell r="B4386" t="str">
            <v>Mosses and liverworts</v>
          </cell>
          <cell r="C4386" t="str">
            <v>Bryophyta</v>
          </cell>
          <cell r="D4386" t="str">
            <v>Orthocaulis floerkei</v>
          </cell>
          <cell r="E4386" t="str">
            <v>LC</v>
          </cell>
          <cell r="F4386" t="str">
            <v>Callaghan, 2022</v>
          </cell>
          <cell r="G4386" t="str">
            <v>NHMSYS0000309398</v>
          </cell>
          <cell r="H4386" t="str">
            <v>Orthocaulis floerkei</v>
          </cell>
        </row>
        <row r="4387">
          <cell r="A4387" t="str">
            <v>Orthodontium gracile</v>
          </cell>
          <cell r="B4387" t="str">
            <v>Mosses and liverworts</v>
          </cell>
          <cell r="C4387" t="str">
            <v>Bryophyta</v>
          </cell>
          <cell r="D4387" t="str">
            <v>Orthodontium gracile</v>
          </cell>
          <cell r="E4387" t="str">
            <v>CR</v>
          </cell>
          <cell r="F4387" t="str">
            <v>Callaghan, 2022</v>
          </cell>
          <cell r="G4387" t="str">
            <v>NHMSYS0000310246</v>
          </cell>
          <cell r="H4387" t="str">
            <v>Orthodontium gracile</v>
          </cell>
        </row>
        <row r="4388">
          <cell r="A4388" t="str">
            <v>Orthothecium intricatum</v>
          </cell>
          <cell r="B4388" t="str">
            <v>Mosses and liverworts</v>
          </cell>
          <cell r="C4388" t="str">
            <v>Bryophyta</v>
          </cell>
          <cell r="D4388" t="str">
            <v>Orthothecium intricatum</v>
          </cell>
          <cell r="E4388" t="str">
            <v>LC</v>
          </cell>
          <cell r="F4388" t="str">
            <v>Callaghan, 2022</v>
          </cell>
          <cell r="G4388" t="str">
            <v>NHMSYS0000310248</v>
          </cell>
          <cell r="H4388" t="str">
            <v>Orthothecium intricatum</v>
          </cell>
        </row>
        <row r="4389">
          <cell r="A4389" t="str">
            <v>Orthothecium rufescens</v>
          </cell>
          <cell r="B4389" t="str">
            <v>Mosses and liverworts</v>
          </cell>
          <cell r="C4389" t="str">
            <v>Bryophyta</v>
          </cell>
          <cell r="D4389" t="str">
            <v>Orthothecium rufescens</v>
          </cell>
          <cell r="E4389" t="str">
            <v>LC</v>
          </cell>
          <cell r="F4389" t="str">
            <v>Callaghan, 2022</v>
          </cell>
          <cell r="G4389" t="str">
            <v>NHMSYS0000310249</v>
          </cell>
          <cell r="H4389" t="str">
            <v>Orthothecium rufescens</v>
          </cell>
        </row>
        <row r="4390">
          <cell r="A4390" t="str">
            <v>Orthotrichum anomalum</v>
          </cell>
          <cell r="B4390" t="str">
            <v>Mosses and liverworts</v>
          </cell>
          <cell r="C4390" t="str">
            <v>Bryophyta</v>
          </cell>
          <cell r="D4390" t="str">
            <v>Orthotrichum anomalum</v>
          </cell>
          <cell r="E4390" t="str">
            <v>LC</v>
          </cell>
          <cell r="F4390" t="str">
            <v>Callaghan, 2022</v>
          </cell>
          <cell r="G4390" t="str">
            <v>NBNSYS0000036706</v>
          </cell>
          <cell r="H4390" t="str">
            <v>Orthotrichum anomalum</v>
          </cell>
        </row>
        <row r="4391">
          <cell r="A4391" t="str">
            <v>Orthotrichum cupulatum</v>
          </cell>
          <cell r="B4391" t="str">
            <v>Mosses and liverworts</v>
          </cell>
          <cell r="C4391" t="str">
            <v>Bryophyta</v>
          </cell>
          <cell r="D4391" t="str">
            <v>Orthotrichum cupulatum</v>
          </cell>
          <cell r="E4391" t="str">
            <v>LC</v>
          </cell>
          <cell r="F4391" t="str">
            <v>Callaghan, 2022</v>
          </cell>
          <cell r="G4391" t="str">
            <v>NBNSYS0000036709</v>
          </cell>
          <cell r="H4391" t="str">
            <v>Orthotrichum cupulatum</v>
          </cell>
        </row>
        <row r="4392">
          <cell r="A4392" t="str">
            <v>Orthotrichum diaphanum</v>
          </cell>
          <cell r="B4392" t="str">
            <v>Mosses and liverworts</v>
          </cell>
          <cell r="C4392" t="str">
            <v>Bryophyta</v>
          </cell>
          <cell r="D4392" t="str">
            <v>Orthotrichum diaphanum</v>
          </cell>
          <cell r="E4392" t="str">
            <v>LC</v>
          </cell>
          <cell r="F4392" t="str">
            <v>Callaghan, 2022</v>
          </cell>
          <cell r="G4392" t="str">
            <v>NBNSYS0000036715</v>
          </cell>
          <cell r="H4392" t="str">
            <v>Orthotrichum diaphanum</v>
          </cell>
        </row>
        <row r="4393">
          <cell r="A4393" t="str">
            <v>Orthotrichum pallens</v>
          </cell>
          <cell r="B4393" t="str">
            <v>Mosses and liverworts</v>
          </cell>
          <cell r="C4393" t="str">
            <v>Bryophyta</v>
          </cell>
          <cell r="D4393" t="str">
            <v>Orthotrichum pallens</v>
          </cell>
          <cell r="E4393" t="str">
            <v>LC</v>
          </cell>
          <cell r="F4393" t="str">
            <v>Callaghan, 2022</v>
          </cell>
          <cell r="G4393" t="str">
            <v>NBNSYS0000036713</v>
          </cell>
          <cell r="H4393" t="str">
            <v>Orthotrichum pallens</v>
          </cell>
        </row>
        <row r="4394">
          <cell r="A4394" t="str">
            <v>Orthotrichum patens</v>
          </cell>
          <cell r="B4394" t="str">
            <v>Mosses and liverworts</v>
          </cell>
          <cell r="C4394" t="str">
            <v>Bryophyta</v>
          </cell>
          <cell r="D4394" t="str">
            <v>Orthotrichum patens</v>
          </cell>
          <cell r="E4394" t="str">
            <v>CR</v>
          </cell>
          <cell r="F4394" t="str">
            <v>Callaghan, 2022</v>
          </cell>
          <cell r="G4394" t="str">
            <v>NHMSYS0021232407</v>
          </cell>
          <cell r="H4394" t="str">
            <v>Orthotrichum patens</v>
          </cell>
        </row>
        <row r="4395">
          <cell r="A4395" t="str">
            <v>Orthotrichum pulchellum</v>
          </cell>
          <cell r="B4395" t="str">
            <v>Mosses and liverworts</v>
          </cell>
          <cell r="C4395" t="str">
            <v>Bryophyta</v>
          </cell>
          <cell r="D4395" t="str">
            <v>Orthotrichum pulchellum</v>
          </cell>
          <cell r="E4395" t="str">
            <v>LC</v>
          </cell>
          <cell r="F4395" t="str">
            <v>Callaghan, 2022</v>
          </cell>
          <cell r="G4395" t="str">
            <v>NHMSYS0000310256</v>
          </cell>
          <cell r="H4395" t="str">
            <v>Orthotrichum pulchellum</v>
          </cell>
        </row>
        <row r="4396">
          <cell r="A4396" t="str">
            <v>Orthotrichum rivulare</v>
          </cell>
          <cell r="B4396" t="str">
            <v>Mosses and liverworts</v>
          </cell>
          <cell r="C4396" t="str">
            <v>Bryophyta</v>
          </cell>
          <cell r="D4396" t="str">
            <v>Orthotrichum rivulare</v>
          </cell>
          <cell r="E4396" t="str">
            <v>LC</v>
          </cell>
          <cell r="F4396" t="str">
            <v>Callaghan, 2022</v>
          </cell>
          <cell r="G4396" t="str">
            <v>NHMSYS0000310257</v>
          </cell>
          <cell r="H4396" t="str">
            <v>Orthotrichum rivulare</v>
          </cell>
        </row>
        <row r="4397">
          <cell r="A4397" t="str">
            <v>Orthotrichum sprucei</v>
          </cell>
          <cell r="B4397" t="str">
            <v>Mosses and liverworts</v>
          </cell>
          <cell r="C4397" t="str">
            <v>Bryophyta</v>
          </cell>
          <cell r="D4397" t="str">
            <v>Orthotrichum sprucei</v>
          </cell>
          <cell r="E4397" t="str">
            <v>LC</v>
          </cell>
          <cell r="F4397" t="str">
            <v>Callaghan, 2022</v>
          </cell>
          <cell r="G4397" t="str">
            <v>NHMSYS0000310261</v>
          </cell>
          <cell r="H4397" t="str">
            <v>Orthotrichum sprucei</v>
          </cell>
        </row>
        <row r="4398">
          <cell r="A4398" t="str">
            <v>Orthotrichum stramineum</v>
          </cell>
          <cell r="B4398" t="str">
            <v>Mosses and liverworts</v>
          </cell>
          <cell r="C4398" t="str">
            <v>Bryophyta</v>
          </cell>
          <cell r="D4398" t="str">
            <v>Orthotrichum stramineum</v>
          </cell>
          <cell r="E4398" t="str">
            <v>LC</v>
          </cell>
          <cell r="F4398" t="str">
            <v>Callaghan, 2022</v>
          </cell>
          <cell r="G4398" t="str">
            <v>NBNSYS0000036712</v>
          </cell>
          <cell r="H4398" t="str">
            <v>Orthotrichum stramineum</v>
          </cell>
        </row>
        <row r="4399">
          <cell r="A4399" t="str">
            <v>Orthotrichum tenellum</v>
          </cell>
          <cell r="B4399" t="str">
            <v>Mosses and liverworts</v>
          </cell>
          <cell r="C4399" t="str">
            <v>Bryophyta</v>
          </cell>
          <cell r="D4399" t="str">
            <v>Orthotrichum tenellum</v>
          </cell>
          <cell r="E4399" t="str">
            <v>LC</v>
          </cell>
          <cell r="F4399" t="str">
            <v>Callaghan, 2022</v>
          </cell>
          <cell r="G4399" t="str">
            <v>NBNSYS0000036714</v>
          </cell>
          <cell r="H4399" t="str">
            <v>Orthotrichum tenellum</v>
          </cell>
        </row>
        <row r="4400">
          <cell r="A4400" t="str">
            <v>Oxyrrhynchium hians</v>
          </cell>
          <cell r="B4400" t="str">
            <v>Mosses and liverworts</v>
          </cell>
          <cell r="C4400" t="str">
            <v>Bryophyta</v>
          </cell>
          <cell r="D4400" t="str">
            <v>Oxyrrhynchium hians</v>
          </cell>
          <cell r="E4400" t="str">
            <v>LC</v>
          </cell>
          <cell r="F4400" t="str">
            <v>Callaghan, 2022</v>
          </cell>
          <cell r="G4400" t="str">
            <v>NHMSYS0020695887</v>
          </cell>
          <cell r="H4400" t="str">
            <v>Oxyrrhynchium hians</v>
          </cell>
        </row>
        <row r="4401">
          <cell r="A4401" t="str">
            <v>Oxyrrhynchium schleicheri</v>
          </cell>
          <cell r="B4401" t="str">
            <v>Mosses and liverworts</v>
          </cell>
          <cell r="C4401" t="str">
            <v>Bryophyta</v>
          </cell>
          <cell r="D4401" t="str">
            <v>Oxyrrhynchium schleicheri</v>
          </cell>
          <cell r="E4401" t="str">
            <v>LC</v>
          </cell>
          <cell r="F4401" t="str">
            <v>Callaghan, 2022</v>
          </cell>
          <cell r="G4401" t="str">
            <v>NHMSYS0021195421</v>
          </cell>
          <cell r="H4401" t="str">
            <v>Oxyrrhynchium schleicheri</v>
          </cell>
        </row>
        <row r="4402">
          <cell r="A4402" t="str">
            <v>Oxyrrhynchium speciosum</v>
          </cell>
          <cell r="B4402" t="str">
            <v>Mosses and liverworts</v>
          </cell>
          <cell r="C4402" t="str">
            <v>Bryophyta</v>
          </cell>
          <cell r="D4402" t="str">
            <v>Oxyrrhynchium speciosum</v>
          </cell>
          <cell r="E4402" t="str">
            <v>LC</v>
          </cell>
          <cell r="F4402" t="str">
            <v>Callaghan, 2022</v>
          </cell>
          <cell r="G4402" t="str">
            <v>NBNSYS0000153057</v>
          </cell>
          <cell r="H4402" t="str">
            <v>Oxyrrhynchium speciosum</v>
          </cell>
        </row>
        <row r="4403">
          <cell r="A4403" t="str">
            <v>Pallavicinia lyellii</v>
          </cell>
          <cell r="B4403" t="str">
            <v>Mosses and liverworts</v>
          </cell>
          <cell r="C4403" t="str">
            <v>Bryophyta</v>
          </cell>
          <cell r="D4403" t="str">
            <v>Pallavicinia lyellii</v>
          </cell>
          <cell r="E4403" t="str">
            <v>EN</v>
          </cell>
          <cell r="F4403" t="str">
            <v>Callaghan, 2022</v>
          </cell>
          <cell r="G4403" t="str">
            <v>NBNSYS0000036024</v>
          </cell>
          <cell r="H4403" t="str">
            <v>Pallavicinia lyellii</v>
          </cell>
        </row>
        <row r="4404">
          <cell r="A4404" t="str">
            <v>Paludella squarrosa</v>
          </cell>
          <cell r="B4404" t="str">
            <v>Mosses and liverworts</v>
          </cell>
          <cell r="C4404" t="str">
            <v>Bryophyta</v>
          </cell>
          <cell r="D4404" t="str">
            <v>Paludella squarrosa</v>
          </cell>
          <cell r="E4404" t="str">
            <v>RE</v>
          </cell>
          <cell r="F4404" t="str">
            <v>Callaghan, 2022</v>
          </cell>
          <cell r="G4404" t="str">
            <v>NBNSYS0000036666</v>
          </cell>
          <cell r="H4404" t="str">
            <v>Paludella squarrosa</v>
          </cell>
        </row>
        <row r="4405">
          <cell r="A4405" t="str">
            <v>Palustriella commutata</v>
          </cell>
          <cell r="B4405" t="str">
            <v>Mosses and liverworts</v>
          </cell>
          <cell r="C4405" t="str">
            <v>Bryophyta</v>
          </cell>
          <cell r="D4405" t="str">
            <v>Palustriella commutata</v>
          </cell>
          <cell r="E4405" t="str">
            <v>LC</v>
          </cell>
          <cell r="F4405" t="str">
            <v>Callaghan, 2022</v>
          </cell>
          <cell r="G4405" t="str">
            <v>NBNSYS0000153140</v>
          </cell>
          <cell r="H4405" t="str">
            <v>Palustriella commutata</v>
          </cell>
        </row>
        <row r="4406">
          <cell r="A4406" t="str">
            <v>Palustriella falcata</v>
          </cell>
          <cell r="B4406" t="str">
            <v>Mosses and liverworts</v>
          </cell>
          <cell r="C4406" t="str">
            <v>Bryophyta</v>
          </cell>
          <cell r="D4406" t="str">
            <v>Palustriella falcata</v>
          </cell>
          <cell r="E4406" t="str">
            <v>LC</v>
          </cell>
          <cell r="F4406" t="str">
            <v>Callaghan, 2022</v>
          </cell>
          <cell r="G4406" t="str">
            <v>NHMSYS0020955192</v>
          </cell>
          <cell r="H4406" t="str">
            <v>Palustriella falcata</v>
          </cell>
        </row>
        <row r="4407">
          <cell r="A4407" t="str">
            <v>Pedinophyllum interruptum</v>
          </cell>
          <cell r="B4407" t="str">
            <v>Mosses and liverworts</v>
          </cell>
          <cell r="C4407" t="str">
            <v>Bryophyta</v>
          </cell>
          <cell r="D4407" t="str">
            <v>Pedinophyllum interruptum</v>
          </cell>
          <cell r="E4407" t="str">
            <v>LC</v>
          </cell>
          <cell r="F4407" t="str">
            <v>Callaghan, 2022</v>
          </cell>
          <cell r="G4407" t="str">
            <v>NBNSYS0000035958</v>
          </cell>
          <cell r="H4407" t="str">
            <v>Pedinophyllum interruptum</v>
          </cell>
        </row>
        <row r="4408">
          <cell r="A4408" t="str">
            <v>Pellia endiviifolia</v>
          </cell>
          <cell r="B4408" t="str">
            <v>Mosses and liverworts</v>
          </cell>
          <cell r="C4408" t="str">
            <v>Bryophyta</v>
          </cell>
          <cell r="D4408" t="str">
            <v>Pellia endiviifolia</v>
          </cell>
          <cell r="E4408" t="str">
            <v>LC</v>
          </cell>
          <cell r="F4408" t="str">
            <v>Callaghan, 2022</v>
          </cell>
          <cell r="G4408" t="str">
            <v>NHMSYS0000310420</v>
          </cell>
          <cell r="H4408" t="str">
            <v>Pellia endiviifolia</v>
          </cell>
        </row>
        <row r="4409">
          <cell r="A4409" t="str">
            <v>Pellia epiphylla</v>
          </cell>
          <cell r="B4409" t="str">
            <v>Mosses and liverworts</v>
          </cell>
          <cell r="C4409" t="str">
            <v>Bryophyta</v>
          </cell>
          <cell r="D4409" t="str">
            <v>Pellia epiphylla</v>
          </cell>
          <cell r="E4409" t="str">
            <v>LC</v>
          </cell>
          <cell r="F4409" t="str">
            <v>Callaghan, 2022</v>
          </cell>
          <cell r="G4409" t="str">
            <v>NHMSYS0000310421</v>
          </cell>
          <cell r="H4409" t="str">
            <v>Pellia epiphylla</v>
          </cell>
        </row>
        <row r="4410">
          <cell r="A4410" t="str">
            <v>Pellia neesiana</v>
          </cell>
          <cell r="B4410" t="str">
            <v>Mosses and liverworts</v>
          </cell>
          <cell r="C4410" t="str">
            <v>Bryophyta</v>
          </cell>
          <cell r="D4410" t="str">
            <v>Pellia neesiana</v>
          </cell>
          <cell r="E4410" t="str">
            <v>LC</v>
          </cell>
          <cell r="F4410" t="str">
            <v>Callaghan, 2022</v>
          </cell>
          <cell r="G4410" t="str">
            <v>NHMSYS0000310423</v>
          </cell>
          <cell r="H4410" t="str">
            <v>Pellia neesiana</v>
          </cell>
        </row>
        <row r="4411">
          <cell r="A4411" t="str">
            <v>Petalophyllum ralfsii</v>
          </cell>
          <cell r="B4411" t="str">
            <v>Mosses and liverworts</v>
          </cell>
          <cell r="C4411" t="str">
            <v>Bryophyta</v>
          </cell>
          <cell r="D4411" t="str">
            <v>Petalophyllum ralfsii</v>
          </cell>
          <cell r="E4411" t="str">
            <v>VU</v>
          </cell>
          <cell r="F4411" t="str">
            <v>Callaghan, 2022</v>
          </cell>
          <cell r="G4411" t="str">
            <v>NHMSYS0000310426</v>
          </cell>
          <cell r="H4411" t="str">
            <v>Petalophyllum ralfsii</v>
          </cell>
        </row>
        <row r="4412">
          <cell r="A4412" t="str">
            <v>Phaeoceros carolinianus</v>
          </cell>
          <cell r="B4412" t="str">
            <v>Mosses and liverworts</v>
          </cell>
          <cell r="C4412" t="str">
            <v>Bryophyta</v>
          </cell>
          <cell r="D4412" t="str">
            <v>Phaeoceros carolinianus</v>
          </cell>
          <cell r="E4412" t="str">
            <v>LC</v>
          </cell>
          <cell r="F4412" t="str">
            <v>Callaghan, 2022</v>
          </cell>
          <cell r="G4412" t="str">
            <v>NBNSYS0000153517</v>
          </cell>
          <cell r="H4412" t="str">
            <v>Phaeoceros carolinianus</v>
          </cell>
        </row>
        <row r="4413">
          <cell r="A4413" t="str">
            <v>Phaeoceros laevis</v>
          </cell>
          <cell r="B4413" t="str">
            <v>Mosses and liverworts</v>
          </cell>
          <cell r="C4413" t="str">
            <v>Bryophyta</v>
          </cell>
          <cell r="D4413" t="str">
            <v>Phaeoceros laevis</v>
          </cell>
          <cell r="E4413" t="str">
            <v>LC</v>
          </cell>
          <cell r="F4413" t="str">
            <v>Callaghan, 2022</v>
          </cell>
          <cell r="G4413" t="str">
            <v>NHMSYS0000310891</v>
          </cell>
          <cell r="H4413" t="str">
            <v>Phaeoceros laevis</v>
          </cell>
        </row>
        <row r="4414">
          <cell r="A4414" t="str">
            <v>Philonotis caespitosa</v>
          </cell>
          <cell r="B4414" t="str">
            <v>Mosses and liverworts</v>
          </cell>
          <cell r="C4414" t="str">
            <v>Bryophyta</v>
          </cell>
          <cell r="D4414" t="str">
            <v>Philonotis caespitosa</v>
          </cell>
          <cell r="E4414" t="str">
            <v>LC</v>
          </cell>
          <cell r="F4414" t="str">
            <v>Callaghan, 2022</v>
          </cell>
          <cell r="G4414" t="str">
            <v>NHMSYS0000310277</v>
          </cell>
          <cell r="H4414" t="str">
            <v>Philonotis caespitosa</v>
          </cell>
        </row>
        <row r="4415">
          <cell r="A4415" t="str">
            <v>Philonotis calcarea</v>
          </cell>
          <cell r="B4415" t="str">
            <v>Mosses and liverworts</v>
          </cell>
          <cell r="C4415" t="str">
            <v>Bryophyta</v>
          </cell>
          <cell r="D4415" t="str">
            <v>Philonotis calcarea</v>
          </cell>
          <cell r="E4415" t="str">
            <v>LC</v>
          </cell>
          <cell r="F4415" t="str">
            <v>Callaghan, 2022</v>
          </cell>
          <cell r="G4415" t="str">
            <v>NHMSYS0000310278</v>
          </cell>
          <cell r="H4415" t="str">
            <v>Philonotis calcarea</v>
          </cell>
        </row>
        <row r="4416">
          <cell r="A4416" t="str">
            <v>Philonotis capillaris</v>
          </cell>
          <cell r="B4416" t="str">
            <v>Mosses and liverworts</v>
          </cell>
          <cell r="C4416" t="str">
            <v>Bryophyta</v>
          </cell>
          <cell r="D4416" t="str">
            <v>Philonotis capillaris</v>
          </cell>
          <cell r="E4416" t="str">
            <v>LC</v>
          </cell>
          <cell r="F4416" t="str">
            <v>Callaghan, 2022</v>
          </cell>
          <cell r="G4416" t="str">
            <v>NBNSYS0000036680</v>
          </cell>
          <cell r="H4416" t="str">
            <v>Philonotis capillaris</v>
          </cell>
        </row>
        <row r="4417">
          <cell r="A4417" t="str">
            <v>Philonotis fontana</v>
          </cell>
          <cell r="B4417" t="str">
            <v>Mosses and liverworts</v>
          </cell>
          <cell r="C4417" t="str">
            <v>Bryophyta</v>
          </cell>
          <cell r="D4417" t="str">
            <v>Philonotis fontana</v>
          </cell>
          <cell r="E4417" t="str">
            <v>LC</v>
          </cell>
          <cell r="F4417" t="str">
            <v>Callaghan, 2022</v>
          </cell>
          <cell r="G4417" t="str">
            <v>NBNSYS0000036682</v>
          </cell>
          <cell r="H4417" t="str">
            <v>Philonotis fontana</v>
          </cell>
        </row>
        <row r="4418">
          <cell r="A4418" t="str">
            <v>Philonotis marchica</v>
          </cell>
          <cell r="B4418" t="str">
            <v>Mosses and liverworts</v>
          </cell>
          <cell r="C4418" t="str">
            <v>Bryophyta</v>
          </cell>
          <cell r="D4418" t="str">
            <v>Philonotis marchica</v>
          </cell>
          <cell r="E4418" t="str">
            <v>CR</v>
          </cell>
          <cell r="F4418" t="str">
            <v>Callaghan, 2022</v>
          </cell>
          <cell r="G4418" t="str">
            <v>NBNSYS0000036679</v>
          </cell>
          <cell r="H4418" t="str">
            <v>Philonotis marchica</v>
          </cell>
        </row>
        <row r="4419">
          <cell r="A4419" t="str">
            <v>Philonotis rigida</v>
          </cell>
          <cell r="B4419" t="str">
            <v>Mosses and liverworts</v>
          </cell>
          <cell r="C4419" t="str">
            <v>Bryophyta</v>
          </cell>
          <cell r="D4419" t="str">
            <v>Philonotis rigida</v>
          </cell>
          <cell r="E4419" t="str">
            <v>VU</v>
          </cell>
          <cell r="F4419" t="str">
            <v>Callaghan, 2022</v>
          </cell>
          <cell r="G4419" t="str">
            <v>NBNSYS0000036678</v>
          </cell>
          <cell r="H4419" t="str">
            <v>Philonotis rigida</v>
          </cell>
        </row>
        <row r="4420">
          <cell r="A4420" t="str">
            <v>Philonotis tomentella</v>
          </cell>
          <cell r="B4420" t="str">
            <v>Mosses and liverworts</v>
          </cell>
          <cell r="C4420" t="str">
            <v>Bryophyta</v>
          </cell>
          <cell r="D4420" t="str">
            <v>Philonotis tomentella</v>
          </cell>
          <cell r="E4420" t="str">
            <v>VU</v>
          </cell>
          <cell r="F4420" t="str">
            <v>Callaghan, 2022</v>
          </cell>
          <cell r="G4420" t="str">
            <v>NHMSYS0000310282</v>
          </cell>
          <cell r="H4420" t="str">
            <v>Philonotis tomentella</v>
          </cell>
        </row>
        <row r="4421">
          <cell r="A4421" t="str">
            <v>Physcomitrium eurystomum</v>
          </cell>
          <cell r="B4421" t="str">
            <v>Mosses and liverworts</v>
          </cell>
          <cell r="C4421" t="str">
            <v>Bryophyta</v>
          </cell>
          <cell r="D4421" t="str">
            <v>Physcomitrium eurystomum</v>
          </cell>
          <cell r="E4421" t="str">
            <v>EN</v>
          </cell>
          <cell r="F4421" t="str">
            <v>Callaghan, 2022</v>
          </cell>
          <cell r="G4421" t="str">
            <v>NBNSYS0000036519</v>
          </cell>
          <cell r="H4421" t="str">
            <v>Physcomitrium eurystomum</v>
          </cell>
        </row>
        <row r="4422">
          <cell r="A4422" t="str">
            <v>Physcomitrium patens</v>
          </cell>
          <cell r="B4422" t="str">
            <v>Mosses and liverworts</v>
          </cell>
          <cell r="C4422" t="str">
            <v>Bryophyta</v>
          </cell>
          <cell r="D4422" t="str">
            <v>Physcomitrium patens</v>
          </cell>
          <cell r="E4422" t="str">
            <v>LC</v>
          </cell>
          <cell r="F4422" t="str">
            <v>Callaghan, 2022</v>
          </cell>
          <cell r="G4422" t="str">
            <v>NHMSYS0000309372</v>
          </cell>
          <cell r="H4422" t="str">
            <v>Physcomitrium patens</v>
          </cell>
        </row>
        <row r="4423">
          <cell r="A4423" t="str">
            <v>Physcomitrium pyriforme</v>
          </cell>
          <cell r="B4423" t="str">
            <v>Mosses and liverworts</v>
          </cell>
          <cell r="C4423" t="str">
            <v>Bryophyta</v>
          </cell>
          <cell r="D4423" t="str">
            <v>Physcomitrium pyriforme</v>
          </cell>
          <cell r="E4423" t="str">
            <v>LC</v>
          </cell>
          <cell r="F4423" t="str">
            <v>Callaghan, 2022</v>
          </cell>
          <cell r="G4423" t="str">
            <v>NBNSYS0000036518</v>
          </cell>
          <cell r="H4423" t="str">
            <v>Physcomitrium pyriforme</v>
          </cell>
        </row>
        <row r="4424">
          <cell r="A4424" t="str">
            <v>Physcomitrium sphaericum</v>
          </cell>
          <cell r="B4424" t="str">
            <v>Mosses and liverworts</v>
          </cell>
          <cell r="C4424" t="str">
            <v>Bryophyta</v>
          </cell>
          <cell r="D4424" t="str">
            <v>Physcomitrium sphaericum</v>
          </cell>
          <cell r="E4424" t="str">
            <v>LC</v>
          </cell>
          <cell r="F4424" t="str">
            <v>Callaghan, 2022</v>
          </cell>
          <cell r="G4424" t="str">
            <v>NHMSYS0000310285</v>
          </cell>
          <cell r="H4424" t="str">
            <v>Physcomitrium sphaericum</v>
          </cell>
        </row>
        <row r="4425">
          <cell r="A4425" t="str">
            <v>Plagiochila asplenioides</v>
          </cell>
          <cell r="B4425" t="str">
            <v>Mosses and liverworts</v>
          </cell>
          <cell r="C4425" t="str">
            <v>Bryophyta</v>
          </cell>
          <cell r="D4425" t="str">
            <v>Plagiochila asplenioides</v>
          </cell>
          <cell r="E4425" t="str">
            <v>LC</v>
          </cell>
          <cell r="F4425" t="str">
            <v>Callaghan, 2022</v>
          </cell>
          <cell r="G4425" t="str">
            <v>NHMSYS0000310292</v>
          </cell>
          <cell r="H4425" t="str">
            <v>Plagiochila asplenioides</v>
          </cell>
        </row>
        <row r="4426">
          <cell r="A4426" t="str">
            <v>Plagiochila bifaria</v>
          </cell>
          <cell r="B4426" t="str">
            <v>Mosses and liverworts</v>
          </cell>
          <cell r="C4426" t="str">
            <v>Bryophyta</v>
          </cell>
          <cell r="D4426" t="str">
            <v>Plagiochila bifaria</v>
          </cell>
          <cell r="E4426" t="str">
            <v>LC</v>
          </cell>
          <cell r="F4426" t="str">
            <v>Callaghan, 2022</v>
          </cell>
          <cell r="G4426" t="str">
            <v>NHMSYS0021194710</v>
          </cell>
          <cell r="H4426" t="str">
            <v>Plagiochila bifaria</v>
          </cell>
        </row>
        <row r="4427">
          <cell r="A4427" t="str">
            <v>Plagiochila britannica</v>
          </cell>
          <cell r="B4427" t="str">
            <v>Mosses and liverworts</v>
          </cell>
          <cell r="C4427" t="str">
            <v>Bryophyta</v>
          </cell>
          <cell r="D4427" t="str">
            <v>Plagiochila britannica</v>
          </cell>
          <cell r="E4427" t="str">
            <v>LC</v>
          </cell>
          <cell r="F4427" t="str">
            <v>Callaghan, 2022</v>
          </cell>
          <cell r="G4427" t="str">
            <v>NBNSYS0000035962</v>
          </cell>
          <cell r="H4427" t="str">
            <v>Plagiochila britannica</v>
          </cell>
        </row>
        <row r="4428">
          <cell r="A4428" t="str">
            <v>Plagiochila exigua</v>
          </cell>
          <cell r="B4428" t="str">
            <v>Mosses and liverworts</v>
          </cell>
          <cell r="C4428" t="str">
            <v>Bryophyta</v>
          </cell>
          <cell r="D4428" t="str">
            <v>Plagiochila exigua</v>
          </cell>
          <cell r="E4428" t="str">
            <v>LC</v>
          </cell>
          <cell r="F4428" t="str">
            <v>Callaghan, 2022</v>
          </cell>
          <cell r="G4428" t="str">
            <v>NHMSYS0000310298</v>
          </cell>
          <cell r="H4428" t="str">
            <v>Plagiochila exigua</v>
          </cell>
        </row>
        <row r="4429">
          <cell r="A4429" t="str">
            <v>Plagiochila heterophylla</v>
          </cell>
          <cell r="B4429" t="str">
            <v>Mosses and liverworts</v>
          </cell>
          <cell r="C4429" t="str">
            <v>Bryophyta</v>
          </cell>
          <cell r="D4429" t="str">
            <v>Plagiochila heterophylla</v>
          </cell>
          <cell r="E4429" t="str">
            <v>LC</v>
          </cell>
          <cell r="F4429" t="str">
            <v>Callaghan, 2022</v>
          </cell>
          <cell r="G4429" t="str">
            <v>NHMSYS0021194716</v>
          </cell>
          <cell r="H4429" t="str">
            <v>Plagiochila heterophylla</v>
          </cell>
        </row>
        <row r="4430">
          <cell r="A4430" t="str">
            <v>Plagiochila porelloides</v>
          </cell>
          <cell r="B4430" t="str">
            <v>Mosses and liverworts</v>
          </cell>
          <cell r="C4430" t="str">
            <v>Bryophyta</v>
          </cell>
          <cell r="D4430" t="str">
            <v>Plagiochila porelloides</v>
          </cell>
          <cell r="E4430" t="str">
            <v>LC</v>
          </cell>
          <cell r="F4430" t="str">
            <v>Callaghan, 2022</v>
          </cell>
          <cell r="G4430" t="str">
            <v>NHMSYS0000310301</v>
          </cell>
          <cell r="H4430" t="str">
            <v>Plagiochila porelloides</v>
          </cell>
        </row>
        <row r="4431">
          <cell r="A4431" t="str">
            <v>Plagiochila punctata</v>
          </cell>
          <cell r="B4431" t="str">
            <v>Mosses and liverworts</v>
          </cell>
          <cell r="C4431" t="str">
            <v>Bryophyta</v>
          </cell>
          <cell r="D4431" t="str">
            <v>Plagiochila punctata</v>
          </cell>
          <cell r="E4431" t="str">
            <v>LC</v>
          </cell>
          <cell r="F4431" t="str">
            <v>Callaghan, 2022</v>
          </cell>
          <cell r="G4431" t="str">
            <v>NHMSYS0000310302</v>
          </cell>
          <cell r="H4431" t="str">
            <v>Plagiochila punctata</v>
          </cell>
        </row>
        <row r="4432">
          <cell r="A4432" t="str">
            <v>Plagiochila spinulosa</v>
          </cell>
          <cell r="B4432" t="str">
            <v>Mosses and liverworts</v>
          </cell>
          <cell r="C4432" t="str">
            <v>Bryophyta</v>
          </cell>
          <cell r="D4432" t="str">
            <v>Plagiochila spinulosa</v>
          </cell>
          <cell r="E4432" t="str">
            <v>LC</v>
          </cell>
          <cell r="F4432" t="str">
            <v>Callaghan, 2022</v>
          </cell>
          <cell r="G4432" t="str">
            <v>NHMSYS0000310896</v>
          </cell>
          <cell r="H4432" t="str">
            <v>Plagiochila spinulosa</v>
          </cell>
        </row>
        <row r="4433">
          <cell r="A4433" t="str">
            <v>Plagiomnium affine</v>
          </cell>
          <cell r="B4433" t="str">
            <v>Mosses and liverworts</v>
          </cell>
          <cell r="C4433" t="str">
            <v>Bryophyta</v>
          </cell>
          <cell r="D4433" t="str">
            <v>Plagiomnium affine</v>
          </cell>
          <cell r="E4433" t="str">
            <v>LC</v>
          </cell>
          <cell r="F4433" t="str">
            <v>Callaghan, 2022</v>
          </cell>
          <cell r="G4433" t="str">
            <v>NHMSYS0000310310</v>
          </cell>
          <cell r="H4433" t="str">
            <v>Plagiomnium affine</v>
          </cell>
        </row>
        <row r="4434">
          <cell r="A4434" t="str">
            <v>Plagiomnium cuspidatum</v>
          </cell>
          <cell r="B4434" t="str">
            <v>Mosses and liverworts</v>
          </cell>
          <cell r="C4434" t="str">
            <v>Bryophyta</v>
          </cell>
          <cell r="D4434" t="str">
            <v>Plagiomnium cuspidatum</v>
          </cell>
          <cell r="E4434" t="str">
            <v>LC</v>
          </cell>
          <cell r="F4434" t="str">
            <v>Callaghan, 2022</v>
          </cell>
          <cell r="G4434" t="str">
            <v>NHMSYS0000310311</v>
          </cell>
          <cell r="H4434" t="str">
            <v>Plagiomnium cuspidatum</v>
          </cell>
        </row>
        <row r="4435">
          <cell r="A4435" t="str">
            <v>Plagiomnium elatum</v>
          </cell>
          <cell r="B4435" t="str">
            <v>Mosses and liverworts</v>
          </cell>
          <cell r="C4435" t="str">
            <v>Bryophyta</v>
          </cell>
          <cell r="D4435" t="str">
            <v>Plagiomnium elatum</v>
          </cell>
          <cell r="E4435" t="str">
            <v>LC</v>
          </cell>
          <cell r="F4435" t="str">
            <v>Callaghan, 2022</v>
          </cell>
          <cell r="G4435" t="str">
            <v>NHMSYS0000310312</v>
          </cell>
          <cell r="H4435" t="str">
            <v>Plagiomnium elatum</v>
          </cell>
        </row>
        <row r="4436">
          <cell r="A4436" t="str">
            <v>Plagiomnium ellipticum</v>
          </cell>
          <cell r="B4436" t="str">
            <v>Mosses and liverworts</v>
          </cell>
          <cell r="C4436" t="str">
            <v>Bryophyta</v>
          </cell>
          <cell r="D4436" t="str">
            <v>Plagiomnium ellipticum</v>
          </cell>
          <cell r="E4436" t="str">
            <v>LC</v>
          </cell>
          <cell r="F4436" t="str">
            <v>Callaghan, 2022</v>
          </cell>
          <cell r="G4436" t="str">
            <v>NHMSYS0000310313</v>
          </cell>
          <cell r="H4436" t="str">
            <v>Plagiomnium ellipticum</v>
          </cell>
        </row>
        <row r="4437">
          <cell r="A4437" t="str">
            <v>Plagiomnium rostratum</v>
          </cell>
          <cell r="B4437" t="str">
            <v>Mosses and liverworts</v>
          </cell>
          <cell r="C4437" t="str">
            <v>Bryophyta</v>
          </cell>
          <cell r="D4437" t="str">
            <v>Plagiomnium rostratum</v>
          </cell>
          <cell r="E4437" t="str">
            <v>LC</v>
          </cell>
          <cell r="F4437" t="str">
            <v>Callaghan, 2022</v>
          </cell>
          <cell r="G4437" t="str">
            <v>NHMSYS0000310315</v>
          </cell>
          <cell r="H4437" t="str">
            <v>Plagiomnium rostratum</v>
          </cell>
        </row>
        <row r="4438">
          <cell r="A4438" t="str">
            <v>Plagiomnium undulatum</v>
          </cell>
          <cell r="B4438" t="str">
            <v>Mosses and liverworts</v>
          </cell>
          <cell r="C4438" t="str">
            <v>Bryophyta</v>
          </cell>
          <cell r="D4438" t="str">
            <v>Plagiomnium undulatum</v>
          </cell>
          <cell r="E4438" t="str">
            <v>LC</v>
          </cell>
          <cell r="F4438" t="str">
            <v>Callaghan, 2022</v>
          </cell>
          <cell r="G4438" t="str">
            <v>NHMSYS0000310316</v>
          </cell>
          <cell r="H4438" t="str">
            <v>Plagiomnium undulatum</v>
          </cell>
        </row>
        <row r="4439">
          <cell r="A4439" t="str">
            <v>Plagiopus oederianus</v>
          </cell>
          <cell r="B4439" t="str">
            <v>Mosses and liverworts</v>
          </cell>
          <cell r="C4439" t="str">
            <v>Bryophyta</v>
          </cell>
          <cell r="D4439" t="str">
            <v>Plagiopus oederianus</v>
          </cell>
          <cell r="E4439" t="str">
            <v>LC</v>
          </cell>
          <cell r="F4439" t="str">
            <v>Callaghan, 2022</v>
          </cell>
          <cell r="G4439" t="str">
            <v>NBNSYS0100004737</v>
          </cell>
          <cell r="H4439" t="str">
            <v>Plagiopus oederianus</v>
          </cell>
        </row>
        <row r="4440">
          <cell r="A4440" t="str">
            <v>Plagiothecium cavifolium</v>
          </cell>
          <cell r="B4440" t="str">
            <v>Mosses and liverworts</v>
          </cell>
          <cell r="C4440" t="str">
            <v>Bryophyta</v>
          </cell>
          <cell r="D4440" t="str">
            <v>Plagiothecium cavifolium</v>
          </cell>
          <cell r="E4440" t="str">
            <v>LC</v>
          </cell>
          <cell r="F4440" t="str">
            <v>Callaghan, 2022</v>
          </cell>
          <cell r="G4440" t="str">
            <v>NHMSYS0000310322</v>
          </cell>
          <cell r="H4440" t="str">
            <v>Plagiothecium cavifolium</v>
          </cell>
        </row>
        <row r="4441">
          <cell r="A4441" t="str">
            <v>Plagiothecium curvifolium</v>
          </cell>
          <cell r="B4441" t="str">
            <v>Mosses and liverworts</v>
          </cell>
          <cell r="C4441" t="str">
            <v>Bryophyta</v>
          </cell>
          <cell r="D4441" t="str">
            <v>Plagiothecium curvifolium</v>
          </cell>
          <cell r="E4441" t="str">
            <v>LC</v>
          </cell>
          <cell r="F4441" t="str">
            <v>Callaghan, 2022</v>
          </cell>
          <cell r="G4441" t="str">
            <v>NHMSYS0000310323</v>
          </cell>
          <cell r="H4441" t="str">
            <v>Plagiothecium curvifolium</v>
          </cell>
        </row>
        <row r="4442">
          <cell r="A4442" t="str">
            <v>Plagiothecium denticulatum</v>
          </cell>
          <cell r="B4442" t="str">
            <v>Mosses and liverworts</v>
          </cell>
          <cell r="C4442" t="str">
            <v>Bryophyta</v>
          </cell>
          <cell r="D4442" t="str">
            <v>Plagiothecium denticulatum</v>
          </cell>
          <cell r="E4442" t="str">
            <v>LC</v>
          </cell>
          <cell r="F4442" t="str">
            <v>Callaghan, 2022</v>
          </cell>
          <cell r="G4442" t="str">
            <v>NHMSYS0000310324</v>
          </cell>
          <cell r="H4442" t="str">
            <v>Plagiothecium denticulatum</v>
          </cell>
        </row>
        <row r="4443">
          <cell r="A4443" t="str">
            <v>Plagiothecium laetum</v>
          </cell>
          <cell r="B4443" t="str">
            <v>Mosses and liverworts</v>
          </cell>
          <cell r="C4443" t="str">
            <v>Bryophyta</v>
          </cell>
          <cell r="D4443" t="str">
            <v>Plagiothecium laetum</v>
          </cell>
          <cell r="E4443" t="str">
            <v>LC</v>
          </cell>
          <cell r="F4443" t="str">
            <v>Callaghan, 2022</v>
          </cell>
          <cell r="G4443" t="str">
            <v>NHMSYS0000310327</v>
          </cell>
          <cell r="H4443" t="str">
            <v>Plagiothecium laetum</v>
          </cell>
        </row>
        <row r="4444">
          <cell r="A4444" t="str">
            <v>Plagiothecium latebricola</v>
          </cell>
          <cell r="B4444" t="str">
            <v>Mosses and liverworts</v>
          </cell>
          <cell r="C4444" t="str">
            <v>Bryophyta</v>
          </cell>
          <cell r="D4444" t="str">
            <v>Plagiothecium latebricola</v>
          </cell>
          <cell r="E4444" t="str">
            <v>LC</v>
          </cell>
          <cell r="F4444" t="str">
            <v>Callaghan, 2022</v>
          </cell>
          <cell r="G4444" t="str">
            <v>NHMSYS0000310328</v>
          </cell>
          <cell r="H4444" t="str">
            <v>Plagiothecium latebricola</v>
          </cell>
        </row>
        <row r="4445">
          <cell r="A4445" t="str">
            <v>Plagiothecium nemorale</v>
          </cell>
          <cell r="B4445" t="str">
            <v>Mosses and liverworts</v>
          </cell>
          <cell r="C4445" t="str">
            <v>Bryophyta</v>
          </cell>
          <cell r="D4445" t="str">
            <v>Plagiothecium nemorale</v>
          </cell>
          <cell r="E4445" t="str">
            <v>LC</v>
          </cell>
          <cell r="F4445" t="str">
            <v>Callaghan, 2022</v>
          </cell>
          <cell r="G4445" t="str">
            <v>NHMSYS0000310329</v>
          </cell>
          <cell r="H4445" t="str">
            <v>Plagiothecium nemorale</v>
          </cell>
        </row>
        <row r="4446">
          <cell r="A4446" t="str">
            <v>Plagiothecium platyphyllum</v>
          </cell>
          <cell r="B4446" t="str">
            <v>Mosses and liverworts</v>
          </cell>
          <cell r="C4446" t="str">
            <v>Bryophyta</v>
          </cell>
          <cell r="D4446" t="str">
            <v>Plagiothecium platyphyllum</v>
          </cell>
          <cell r="E4446" t="str">
            <v>LC</v>
          </cell>
          <cell r="F4446" t="str">
            <v>Callaghan, 2022</v>
          </cell>
          <cell r="G4446" t="str">
            <v>NBNSYS0000036915</v>
          </cell>
          <cell r="H4446" t="str">
            <v>Plagiothecium platyphyllum</v>
          </cell>
        </row>
        <row r="4447">
          <cell r="A4447" t="str">
            <v>Plagiothecium succulentum</v>
          </cell>
          <cell r="B4447" t="str">
            <v>Mosses and liverworts</v>
          </cell>
          <cell r="C4447" t="str">
            <v>Bryophyta</v>
          </cell>
          <cell r="D4447" t="str">
            <v>Plagiothecium succulentum</v>
          </cell>
          <cell r="E4447" t="str">
            <v>LC</v>
          </cell>
          <cell r="F4447" t="str">
            <v>Callaghan, 2022</v>
          </cell>
          <cell r="G4447" t="str">
            <v>NHMSYS0000310333</v>
          </cell>
          <cell r="H4447" t="str">
            <v>Plagiothecium succulentum</v>
          </cell>
        </row>
        <row r="4448">
          <cell r="A4448" t="str">
            <v>Plagiothecium undulatum</v>
          </cell>
          <cell r="B4448" t="str">
            <v>Mosses and liverworts</v>
          </cell>
          <cell r="C4448" t="str">
            <v>Bryophyta</v>
          </cell>
          <cell r="D4448" t="str">
            <v>Plagiothecium undulatum</v>
          </cell>
          <cell r="E4448" t="str">
            <v>LC</v>
          </cell>
          <cell r="F4448" t="str">
            <v>Callaghan, 2022</v>
          </cell>
          <cell r="G4448" t="str">
            <v>NHMSYS0000310335</v>
          </cell>
          <cell r="H4448" t="str">
            <v>Plagiothecium undulatum</v>
          </cell>
        </row>
        <row r="4449">
          <cell r="A4449" t="str">
            <v>Plasteurhynchium meridionale</v>
          </cell>
          <cell r="B4449" t="str">
            <v>Mosses and liverworts</v>
          </cell>
          <cell r="C4449" t="str">
            <v>Bryophyta</v>
          </cell>
          <cell r="D4449" t="str">
            <v>Plasteurhynchium meridionale</v>
          </cell>
          <cell r="E4449" t="str">
            <v>CR</v>
          </cell>
          <cell r="F4449" t="str">
            <v>Callaghan, 2022</v>
          </cell>
          <cell r="G4449" t="str">
            <v>NBNSYS0000154157</v>
          </cell>
          <cell r="H4449" t="str">
            <v>Plasteurhynchium meridionale</v>
          </cell>
        </row>
        <row r="4450">
          <cell r="A4450" t="str">
            <v>Plasteurhynchium striatulum</v>
          </cell>
          <cell r="B4450" t="str">
            <v>Mosses and liverworts</v>
          </cell>
          <cell r="C4450" t="str">
            <v>Bryophyta</v>
          </cell>
          <cell r="D4450" t="str">
            <v>Plasteurhynchium striatulum</v>
          </cell>
          <cell r="E4450" t="str">
            <v>LC</v>
          </cell>
          <cell r="F4450" t="str">
            <v>Callaghan, 2022</v>
          </cell>
          <cell r="G4450" t="str">
            <v>NBNSYS0000154158</v>
          </cell>
          <cell r="H4450" t="str">
            <v>Plasteurhynchium striatulum</v>
          </cell>
        </row>
        <row r="4451">
          <cell r="A4451" t="str">
            <v>Platydictya jungermannioides</v>
          </cell>
          <cell r="B4451" t="str">
            <v>Mosses and liverworts</v>
          </cell>
          <cell r="C4451" t="str">
            <v>Bryophyta</v>
          </cell>
          <cell r="D4451" t="str">
            <v>Platydictya jungermannioides</v>
          </cell>
          <cell r="E4451" t="str">
            <v>LC</v>
          </cell>
          <cell r="F4451" t="str">
            <v>Callaghan, 2022</v>
          </cell>
          <cell r="G4451" t="str">
            <v>NHMSYS0000310338</v>
          </cell>
          <cell r="H4451" t="str">
            <v>Platydictya jungermannioides</v>
          </cell>
        </row>
        <row r="4452">
          <cell r="A4452" t="str">
            <v>Platygyrium repens</v>
          </cell>
          <cell r="B4452" t="str">
            <v>Mosses and liverworts</v>
          </cell>
          <cell r="C4452" t="str">
            <v>Bryophyta</v>
          </cell>
          <cell r="D4452" t="str">
            <v>Platygyrium repens</v>
          </cell>
          <cell r="E4452" t="str">
            <v>LC</v>
          </cell>
          <cell r="F4452" t="str">
            <v>Callaghan, 2022</v>
          </cell>
          <cell r="G4452" t="str">
            <v>NHMSYS0000310340</v>
          </cell>
          <cell r="H4452" t="str">
            <v>Platygyrium repens</v>
          </cell>
        </row>
        <row r="4453">
          <cell r="A4453" t="str">
            <v>Platyhypnum duriusculum</v>
          </cell>
          <cell r="B4453" t="str">
            <v>Mosses and liverworts</v>
          </cell>
          <cell r="C4453" t="str">
            <v>Bryophyta</v>
          </cell>
          <cell r="D4453" t="str">
            <v>Platyhypnum duriusculum</v>
          </cell>
          <cell r="E4453" t="str">
            <v>LC</v>
          </cell>
          <cell r="F4453" t="str">
            <v>Callaghan, 2022</v>
          </cell>
          <cell r="G4453" t="str">
            <v>NBNSYS0000149116</v>
          </cell>
          <cell r="H4453" t="str">
            <v>Platyhypnum duriusculum</v>
          </cell>
        </row>
        <row r="4454">
          <cell r="A4454" t="str">
            <v>Plenogemma phyllantha</v>
          </cell>
          <cell r="B4454" t="str">
            <v>Mosses and liverworts</v>
          </cell>
          <cell r="C4454" t="str">
            <v>Bryophyta</v>
          </cell>
          <cell r="D4454" t="str">
            <v>Plenogemma phyllantha</v>
          </cell>
          <cell r="E4454" t="str">
            <v>LC</v>
          </cell>
          <cell r="F4454" t="str">
            <v>Callaghan, 2022</v>
          </cell>
          <cell r="G4454" t="str">
            <v>NBNSYS0000036724</v>
          </cell>
          <cell r="H4454" t="str">
            <v>Plenogemma phyllantha</v>
          </cell>
        </row>
        <row r="4455">
          <cell r="A4455" t="str">
            <v>Pleuridium acuminatum</v>
          </cell>
          <cell r="B4455" t="str">
            <v>Mosses and liverworts</v>
          </cell>
          <cell r="C4455" t="str">
            <v>Bryophyta</v>
          </cell>
          <cell r="D4455" t="str">
            <v>Pleuridium acuminatum</v>
          </cell>
          <cell r="E4455" t="str">
            <v>LC</v>
          </cell>
          <cell r="F4455" t="str">
            <v>Callaghan, 2022</v>
          </cell>
          <cell r="G4455" t="str">
            <v>NBNSYS0000036156</v>
          </cell>
          <cell r="H4455" t="str">
            <v>Pleuridium acuminatum</v>
          </cell>
        </row>
        <row r="4456">
          <cell r="A4456" t="str">
            <v>Pleuridium subulatum</v>
          </cell>
          <cell r="B4456" t="str">
            <v>Mosses and liverworts</v>
          </cell>
          <cell r="C4456" t="str">
            <v>Bryophyta</v>
          </cell>
          <cell r="D4456" t="str">
            <v>Pleuridium subulatum</v>
          </cell>
          <cell r="E4456" t="str">
            <v>LC</v>
          </cell>
          <cell r="F4456" t="str">
            <v>Callaghan, 2022</v>
          </cell>
          <cell r="G4456" t="str">
            <v>NHMSYS0000310345</v>
          </cell>
          <cell r="H4456" t="str">
            <v>Pleuridium subulatum</v>
          </cell>
        </row>
        <row r="4457">
          <cell r="A4457" t="str">
            <v>Pleurozium schreberi</v>
          </cell>
          <cell r="B4457" t="str">
            <v>Mosses and liverworts</v>
          </cell>
          <cell r="C4457" t="str">
            <v>Bryophyta</v>
          </cell>
          <cell r="D4457" t="str">
            <v>Pleurozium schreberi</v>
          </cell>
          <cell r="E4457" t="str">
            <v>LC</v>
          </cell>
          <cell r="F4457" t="str">
            <v>Callaghan, 2022</v>
          </cell>
          <cell r="G4457" t="str">
            <v>NHMSYS0000310352</v>
          </cell>
          <cell r="H4457" t="str">
            <v>Pleurozium schreberi</v>
          </cell>
        </row>
        <row r="4458">
          <cell r="A4458" t="str">
            <v>Pogonatum aloides</v>
          </cell>
          <cell r="B4458" t="str">
            <v>Mosses and liverworts</v>
          </cell>
          <cell r="C4458" t="str">
            <v>Bryophyta</v>
          </cell>
          <cell r="D4458" t="str">
            <v>Pogonatum aloides</v>
          </cell>
          <cell r="E4458" t="str">
            <v>LC</v>
          </cell>
          <cell r="F4458" t="str">
            <v>Callaghan, 2022</v>
          </cell>
          <cell r="G4458" t="str">
            <v>NBNSYS0000036142</v>
          </cell>
          <cell r="H4458" t="str">
            <v>Pogonatum aloides</v>
          </cell>
        </row>
        <row r="4459">
          <cell r="A4459" t="str">
            <v>Pogonatum nanum</v>
          </cell>
          <cell r="B4459" t="str">
            <v>Mosses and liverworts</v>
          </cell>
          <cell r="C4459" t="str">
            <v>Bryophyta</v>
          </cell>
          <cell r="D4459" t="str">
            <v>Pogonatum nanum</v>
          </cell>
          <cell r="E4459" t="str">
            <v>LC</v>
          </cell>
          <cell r="F4459" t="str">
            <v>Callaghan, 2022</v>
          </cell>
          <cell r="G4459" t="str">
            <v>NBNSYS0000036140</v>
          </cell>
          <cell r="H4459" t="str">
            <v>Pogonatum nanum</v>
          </cell>
        </row>
        <row r="4460">
          <cell r="A4460" t="str">
            <v>Pogonatum urnigerum</v>
          </cell>
          <cell r="B4460" t="str">
            <v>Mosses and liverworts</v>
          </cell>
          <cell r="C4460" t="str">
            <v>Bryophyta</v>
          </cell>
          <cell r="D4460" t="str">
            <v>Pogonatum urnigerum</v>
          </cell>
          <cell r="E4460" t="str">
            <v>LC</v>
          </cell>
          <cell r="F4460" t="str">
            <v>Callaghan, 2022</v>
          </cell>
          <cell r="G4460" t="str">
            <v>NBNSYS0000036144</v>
          </cell>
          <cell r="H4460" t="str">
            <v>Pogonatum urnigerum</v>
          </cell>
        </row>
        <row r="4461">
          <cell r="A4461" t="str">
            <v>Pohlia annotina</v>
          </cell>
          <cell r="B4461" t="str">
            <v>Mosses and liverworts</v>
          </cell>
          <cell r="C4461" t="str">
            <v>Bryophyta</v>
          </cell>
          <cell r="D4461" t="str">
            <v>Pohlia annotina</v>
          </cell>
          <cell r="E4461" t="str">
            <v>LC</v>
          </cell>
          <cell r="F4461" t="str">
            <v>Callaghan, 2022</v>
          </cell>
          <cell r="G4461" t="str">
            <v>NBNSYS0000036560</v>
          </cell>
          <cell r="H4461" t="str">
            <v>Pohlia annotina</v>
          </cell>
        </row>
        <row r="4462">
          <cell r="A4462" t="str">
            <v>Pohlia bulbifera</v>
          </cell>
          <cell r="B4462" t="str">
            <v>Mosses and liverworts</v>
          </cell>
          <cell r="C4462" t="str">
            <v>Bryophyta</v>
          </cell>
          <cell r="D4462" t="str">
            <v>Pohlia bulbifera</v>
          </cell>
          <cell r="E4462" t="str">
            <v>LC</v>
          </cell>
          <cell r="F4462" t="str">
            <v>Callaghan, 2022</v>
          </cell>
          <cell r="G4462" t="str">
            <v>NBNSYS0000036559</v>
          </cell>
          <cell r="H4462" t="str">
            <v>Pohlia bulbifera</v>
          </cell>
        </row>
        <row r="4463">
          <cell r="A4463" t="str">
            <v>Pohlia camptotrachela</v>
          </cell>
          <cell r="B4463" t="str">
            <v>Mosses and liverworts</v>
          </cell>
          <cell r="C4463" t="str">
            <v>Bryophyta</v>
          </cell>
          <cell r="D4463" t="str">
            <v>Pohlia camptotrachela</v>
          </cell>
          <cell r="E4463" t="str">
            <v>LC</v>
          </cell>
          <cell r="F4463" t="str">
            <v>Callaghan, 2022</v>
          </cell>
          <cell r="G4463" t="str">
            <v>NHMSYS0000310360</v>
          </cell>
          <cell r="H4463" t="str">
            <v>Pohlia camptotrachela</v>
          </cell>
        </row>
        <row r="4464">
          <cell r="A4464" t="str">
            <v>Pohlia cruda</v>
          </cell>
          <cell r="B4464" t="str">
            <v>Mosses and liverworts</v>
          </cell>
          <cell r="C4464" t="str">
            <v>Bryophyta</v>
          </cell>
          <cell r="D4464" t="str">
            <v>Pohlia cruda</v>
          </cell>
          <cell r="E4464" t="str">
            <v>LC</v>
          </cell>
          <cell r="F4464" t="str">
            <v>Callaghan, 2022</v>
          </cell>
          <cell r="G4464" t="str">
            <v>NBNSYS0000036552</v>
          </cell>
          <cell r="H4464" t="str">
            <v>Pohlia cruda</v>
          </cell>
        </row>
        <row r="4465">
          <cell r="A4465" t="str">
            <v>Pohlia drummondii</v>
          </cell>
          <cell r="B4465" t="str">
            <v>Mosses and liverworts</v>
          </cell>
          <cell r="C4465" t="str">
            <v>Bryophyta</v>
          </cell>
          <cell r="D4465" t="str">
            <v>Pohlia drummondii</v>
          </cell>
          <cell r="E4465" t="str">
            <v>LC</v>
          </cell>
          <cell r="F4465" t="str">
            <v>Callaghan, 2022</v>
          </cell>
          <cell r="G4465" t="str">
            <v>NHMSYS0000310364</v>
          </cell>
          <cell r="H4465" t="str">
            <v>Pohlia drummondii</v>
          </cell>
        </row>
        <row r="4466">
          <cell r="A4466" t="str">
            <v>Pohlia elongata</v>
          </cell>
          <cell r="B4466" t="str">
            <v>Mosses and liverworts</v>
          </cell>
          <cell r="C4466" t="str">
            <v>Bryophyta</v>
          </cell>
          <cell r="D4466" t="str">
            <v>Pohlia elongata</v>
          </cell>
          <cell r="E4466" t="str">
            <v>LC</v>
          </cell>
          <cell r="F4466" t="str">
            <v>Callaghan, 2022</v>
          </cell>
          <cell r="G4466" t="str">
            <v>NBNSYS0000036547</v>
          </cell>
          <cell r="H4466" t="str">
            <v>Pohlia elongata</v>
          </cell>
        </row>
        <row r="4467">
          <cell r="A4467" t="str">
            <v>Pohlia filum</v>
          </cell>
          <cell r="B4467" t="str">
            <v>Mosses and liverworts</v>
          </cell>
          <cell r="C4467" t="str">
            <v>Bryophyta</v>
          </cell>
          <cell r="D4467" t="str">
            <v>Pohlia filum</v>
          </cell>
          <cell r="E4467" t="str">
            <v>LC</v>
          </cell>
          <cell r="F4467" t="str">
            <v>Callaghan, 2022</v>
          </cell>
          <cell r="G4467" t="str">
            <v>NHMSYS0000310368</v>
          </cell>
          <cell r="H4467" t="str">
            <v>Pohlia filum</v>
          </cell>
        </row>
        <row r="4468">
          <cell r="A4468" t="str">
            <v>Pohlia flexuosa</v>
          </cell>
          <cell r="B4468" t="str">
            <v>Mosses and liverworts</v>
          </cell>
          <cell r="C4468" t="str">
            <v>Bryophyta</v>
          </cell>
          <cell r="D4468" t="str">
            <v>Pohlia flexuosa</v>
          </cell>
          <cell r="E4468" t="str">
            <v>LC</v>
          </cell>
          <cell r="F4468" t="str">
            <v>Callaghan, 2022</v>
          </cell>
          <cell r="G4468" t="str">
            <v>NHMSYS0000310369</v>
          </cell>
          <cell r="H4468" t="str">
            <v>Pohlia flexuosa</v>
          </cell>
        </row>
        <row r="4469">
          <cell r="A4469" t="str">
            <v>Pohlia lescuriana</v>
          </cell>
          <cell r="B4469" t="str">
            <v>Mosses and liverworts</v>
          </cell>
          <cell r="C4469" t="str">
            <v>Bryophyta</v>
          </cell>
          <cell r="D4469" t="str">
            <v>Pohlia lescuriana</v>
          </cell>
          <cell r="E4469" t="str">
            <v>LC</v>
          </cell>
          <cell r="F4469" t="str">
            <v>Callaghan, 2022</v>
          </cell>
          <cell r="G4469" t="str">
            <v>NHMSYS0000310371</v>
          </cell>
          <cell r="H4469" t="str">
            <v>Pohlia lescuriana</v>
          </cell>
        </row>
        <row r="4470">
          <cell r="A4470" t="str">
            <v>Pohlia ludwigii</v>
          </cell>
          <cell r="B4470" t="str">
            <v>Mosses and liverworts</v>
          </cell>
          <cell r="C4470" t="str">
            <v>Bryophyta</v>
          </cell>
          <cell r="D4470" t="str">
            <v>Pohlia ludwigii</v>
          </cell>
          <cell r="E4470" t="str">
            <v>NT</v>
          </cell>
          <cell r="F4470" t="str">
            <v>Callaghan, 2022</v>
          </cell>
          <cell r="G4470" t="str">
            <v>NHMSYS0000310372</v>
          </cell>
          <cell r="H4470" t="str">
            <v>Pohlia ludwigii</v>
          </cell>
        </row>
        <row r="4471">
          <cell r="A4471" t="str">
            <v>Pohlia lutescens</v>
          </cell>
          <cell r="B4471" t="str">
            <v>Mosses and liverworts</v>
          </cell>
          <cell r="C4471" t="str">
            <v>Bryophyta</v>
          </cell>
          <cell r="D4471" t="str">
            <v>Pohlia lutescens</v>
          </cell>
          <cell r="E4471" t="str">
            <v>LC</v>
          </cell>
          <cell r="F4471" t="str">
            <v>Callaghan, 2022</v>
          </cell>
          <cell r="G4471" t="str">
            <v>NHMSYS0000310373</v>
          </cell>
          <cell r="H4471" t="str">
            <v>Pohlia lutescens</v>
          </cell>
        </row>
        <row r="4472">
          <cell r="A4472" t="str">
            <v>Pohlia melanodon</v>
          </cell>
          <cell r="B4472" t="str">
            <v>Mosses and liverworts</v>
          </cell>
          <cell r="C4472" t="str">
            <v>Bryophyta</v>
          </cell>
          <cell r="D4472" t="str">
            <v>Pohlia melanodon</v>
          </cell>
          <cell r="E4472" t="str">
            <v>LC</v>
          </cell>
          <cell r="F4472" t="str">
            <v>Callaghan, 2022</v>
          </cell>
          <cell r="G4472" t="str">
            <v>NHMSYS0000310374</v>
          </cell>
          <cell r="H4472" t="str">
            <v>Pohlia melanodon</v>
          </cell>
        </row>
        <row r="4473">
          <cell r="A4473" t="str">
            <v>Pohlia nutans</v>
          </cell>
          <cell r="B4473" t="str">
            <v>Mosses and liverworts</v>
          </cell>
          <cell r="C4473" t="str">
            <v>Bryophyta</v>
          </cell>
          <cell r="D4473" t="str">
            <v>Pohlia nutans</v>
          </cell>
          <cell r="E4473" t="str">
            <v>LC</v>
          </cell>
          <cell r="F4473" t="str">
            <v>Callaghan, 2022</v>
          </cell>
          <cell r="G4473" t="str">
            <v>NBNSYS0000036553</v>
          </cell>
          <cell r="H4473" t="str">
            <v>Pohlia nutans</v>
          </cell>
        </row>
        <row r="4474">
          <cell r="A4474" t="str">
            <v>Pohlia proligera</v>
          </cell>
          <cell r="B4474" t="str">
            <v>Mosses and liverworts</v>
          </cell>
          <cell r="C4474" t="str">
            <v>Bryophyta</v>
          </cell>
          <cell r="D4474" t="str">
            <v>Pohlia proligera</v>
          </cell>
          <cell r="E4474" t="str">
            <v>LC</v>
          </cell>
          <cell r="F4474" t="str">
            <v>Callaghan, 2022</v>
          </cell>
          <cell r="G4474" t="str">
            <v>NBNSYS0000154398</v>
          </cell>
          <cell r="H4474" t="str">
            <v>Pohlia proligera</v>
          </cell>
        </row>
        <row r="4475">
          <cell r="A4475" t="str">
            <v>Pohlia wahlenbergii</v>
          </cell>
          <cell r="B4475" t="str">
            <v>Mosses and liverworts</v>
          </cell>
          <cell r="C4475" t="str">
            <v>Bryophyta</v>
          </cell>
          <cell r="D4475" t="str">
            <v>Pohlia wahlenbergii</v>
          </cell>
          <cell r="E4475" t="str">
            <v>LC</v>
          </cell>
          <cell r="F4475" t="str">
            <v>Callaghan, 2022</v>
          </cell>
          <cell r="G4475" t="str">
            <v>NHMSYS0000310381</v>
          </cell>
          <cell r="H4475" t="str">
            <v>Pohlia wahlenbergii</v>
          </cell>
        </row>
        <row r="4476">
          <cell r="A4476" t="str">
            <v>Polytrichastrum alpinum</v>
          </cell>
          <cell r="B4476" t="str">
            <v>Mosses and liverworts</v>
          </cell>
          <cell r="C4476" t="str">
            <v>Bryophyta</v>
          </cell>
          <cell r="D4476" t="str">
            <v>Polytrichastrum alpinum</v>
          </cell>
          <cell r="E4476" t="str">
            <v>LC</v>
          </cell>
          <cell r="F4476" t="str">
            <v>Callaghan, 2022</v>
          </cell>
          <cell r="G4476" t="str">
            <v>NBNSYS0000154678</v>
          </cell>
          <cell r="H4476" t="str">
            <v>Polytrichastrum alpinum</v>
          </cell>
        </row>
        <row r="4477">
          <cell r="A4477" t="str">
            <v>Polytrichum commune</v>
          </cell>
          <cell r="B4477" t="str">
            <v>Mosses and liverworts</v>
          </cell>
          <cell r="C4477" t="str">
            <v>Bryophyta</v>
          </cell>
          <cell r="D4477" t="str">
            <v>Polytrichum commune</v>
          </cell>
          <cell r="E4477" t="str">
            <v>LC</v>
          </cell>
          <cell r="F4477" t="str">
            <v>Callaghan, 2022</v>
          </cell>
          <cell r="G4477" t="str">
            <v>NBNSYS0000036135</v>
          </cell>
          <cell r="H4477" t="str">
            <v>Polytrichum commune</v>
          </cell>
        </row>
        <row r="4478">
          <cell r="A4478" t="str">
            <v>Polytrichum formosum</v>
          </cell>
          <cell r="B4478" t="str">
            <v>Mosses and liverworts</v>
          </cell>
          <cell r="C4478" t="str">
            <v>Bryophyta</v>
          </cell>
          <cell r="D4478" t="str">
            <v>Polytrichum formosum</v>
          </cell>
          <cell r="E4478" t="str">
            <v>LC</v>
          </cell>
          <cell r="F4478" t="str">
            <v>Callaghan, 2022</v>
          </cell>
          <cell r="G4478" t="str">
            <v>NBNSYS0000154679</v>
          </cell>
          <cell r="H4478" t="str">
            <v>Polytrichum formosum</v>
          </cell>
        </row>
        <row r="4479">
          <cell r="A4479" t="str">
            <v>Polytrichum juniperinum</v>
          </cell>
          <cell r="B4479" t="str">
            <v>Mosses and liverworts</v>
          </cell>
          <cell r="C4479" t="str">
            <v>Bryophyta</v>
          </cell>
          <cell r="D4479" t="str">
            <v>Polytrichum juniperinum</v>
          </cell>
          <cell r="E4479" t="str">
            <v>LC</v>
          </cell>
          <cell r="F4479" t="str">
            <v>Callaghan, 2022</v>
          </cell>
          <cell r="G4479" t="str">
            <v>NBNSYS0000036138</v>
          </cell>
          <cell r="H4479" t="str">
            <v>Polytrichum juniperinum</v>
          </cell>
        </row>
        <row r="4480">
          <cell r="A4480" t="str">
            <v>Polytrichum longisetum</v>
          </cell>
          <cell r="B4480" t="str">
            <v>Mosses and liverworts</v>
          </cell>
          <cell r="C4480" t="str">
            <v>Bryophyta</v>
          </cell>
          <cell r="D4480" t="str">
            <v>Polytrichum longisetum</v>
          </cell>
          <cell r="E4480" t="str">
            <v>LC</v>
          </cell>
          <cell r="F4480" t="str">
            <v>Callaghan, 2022</v>
          </cell>
          <cell r="G4480" t="str">
            <v>NBNSYS0000154680</v>
          </cell>
          <cell r="H4480" t="str">
            <v>Polytrichum longisetum</v>
          </cell>
        </row>
        <row r="4481">
          <cell r="A4481" t="str">
            <v>Polytrichum perigoniale</v>
          </cell>
          <cell r="B4481" t="str">
            <v>Mosses and liverworts</v>
          </cell>
          <cell r="C4481" t="str">
            <v>Bryophyta</v>
          </cell>
          <cell r="D4481" t="str">
            <v>Polytrichum perigoniale</v>
          </cell>
          <cell r="E4481" t="str">
            <v>LC</v>
          </cell>
          <cell r="F4481" t="str">
            <v>Callaghan, 2022</v>
          </cell>
          <cell r="G4481" t="str">
            <v>NBNSYS0000036127</v>
          </cell>
          <cell r="H4481" t="str">
            <v>Polytrichum perigoniale</v>
          </cell>
        </row>
        <row r="4482">
          <cell r="A4482" t="str">
            <v>Polytrichum piliferum</v>
          </cell>
          <cell r="B4482" t="str">
            <v>Mosses and liverworts</v>
          </cell>
          <cell r="C4482" t="str">
            <v>Bryophyta</v>
          </cell>
          <cell r="D4482" t="str">
            <v>Polytrichum piliferum</v>
          </cell>
          <cell r="E4482" t="str">
            <v>LC</v>
          </cell>
          <cell r="F4482" t="str">
            <v>Callaghan, 2022</v>
          </cell>
          <cell r="G4482" t="str">
            <v>NBNSYS0000036137</v>
          </cell>
          <cell r="H4482" t="str">
            <v>Polytrichum piliferum</v>
          </cell>
        </row>
        <row r="4483">
          <cell r="A4483" t="str">
            <v>Polytrichum strictum</v>
          </cell>
          <cell r="B4483" t="str">
            <v>Mosses and liverworts</v>
          </cell>
          <cell r="C4483" t="str">
            <v>Bryophyta</v>
          </cell>
          <cell r="D4483" t="str">
            <v>Polytrichum strictum</v>
          </cell>
          <cell r="E4483" t="str">
            <v>LC</v>
          </cell>
          <cell r="F4483" t="str">
            <v>Callaghan, 2022</v>
          </cell>
          <cell r="G4483" t="str">
            <v>NHMSYS0000310397</v>
          </cell>
          <cell r="H4483" t="str">
            <v>Polytrichum strictum</v>
          </cell>
        </row>
        <row r="4484">
          <cell r="A4484" t="str">
            <v>Porella arboris-vitae</v>
          </cell>
          <cell r="B4484" t="str">
            <v>Mosses and liverworts</v>
          </cell>
          <cell r="C4484" t="str">
            <v>Bryophyta</v>
          </cell>
          <cell r="D4484" t="str">
            <v>Porella arboris-vitae</v>
          </cell>
          <cell r="E4484" t="str">
            <v>LC</v>
          </cell>
          <cell r="F4484" t="str">
            <v>Callaghan, 2022</v>
          </cell>
          <cell r="G4484" t="str">
            <v>NBNSYS0000035981</v>
          </cell>
          <cell r="H4484" t="str">
            <v>Porella arboris-vitae</v>
          </cell>
        </row>
        <row r="4485">
          <cell r="A4485" t="str">
            <v>Porella cordaeana</v>
          </cell>
          <cell r="B4485" t="str">
            <v>Mosses and liverworts</v>
          </cell>
          <cell r="C4485" t="str">
            <v>Bryophyta</v>
          </cell>
          <cell r="D4485" t="str">
            <v>Porella cordaeana</v>
          </cell>
          <cell r="E4485" t="str">
            <v>LC</v>
          </cell>
          <cell r="F4485" t="str">
            <v>Callaghan, 2022</v>
          </cell>
          <cell r="G4485" t="str">
            <v>NHMSYS0000310401</v>
          </cell>
          <cell r="H4485" t="str">
            <v>Porella cordaeana</v>
          </cell>
        </row>
        <row r="4486">
          <cell r="A4486" t="str">
            <v>Porella obtusata</v>
          </cell>
          <cell r="B4486" t="str">
            <v>Mosses and liverworts</v>
          </cell>
          <cell r="C4486" t="str">
            <v>Bryophyta</v>
          </cell>
          <cell r="D4486" t="str">
            <v>Porella obtusata</v>
          </cell>
          <cell r="E4486" t="str">
            <v>LC</v>
          </cell>
          <cell r="F4486" t="str">
            <v>Callaghan, 2022</v>
          </cell>
          <cell r="G4486" t="str">
            <v>NHMSYS0000310404</v>
          </cell>
          <cell r="H4486" t="str">
            <v>Porella obtusata</v>
          </cell>
        </row>
        <row r="4487">
          <cell r="A4487" t="str">
            <v>Porella pinnata</v>
          </cell>
          <cell r="B4487" t="str">
            <v>Mosses and liverworts</v>
          </cell>
          <cell r="C4487" t="str">
            <v>Bryophyta</v>
          </cell>
          <cell r="D4487" t="str">
            <v>Porella pinnata</v>
          </cell>
          <cell r="E4487" t="str">
            <v>LC</v>
          </cell>
          <cell r="F4487" t="str">
            <v>Callaghan, 2022</v>
          </cell>
          <cell r="G4487" t="str">
            <v>NBNSYS0000035980</v>
          </cell>
          <cell r="H4487" t="str">
            <v>Porella pinnata</v>
          </cell>
        </row>
        <row r="4488">
          <cell r="A4488" t="str">
            <v>Porella platyphylla</v>
          </cell>
          <cell r="B4488" t="str">
            <v>Mosses and liverworts</v>
          </cell>
          <cell r="C4488" t="str">
            <v>Bryophyta</v>
          </cell>
          <cell r="D4488" t="str">
            <v>Porella platyphylla</v>
          </cell>
          <cell r="E4488" t="str">
            <v>LC</v>
          </cell>
          <cell r="F4488" t="str">
            <v>Callaghan, 2022</v>
          </cell>
          <cell r="G4488" t="str">
            <v>NBNSYS0000022259</v>
          </cell>
          <cell r="H4488" t="str">
            <v>Porella platyphylla</v>
          </cell>
        </row>
        <row r="4489">
          <cell r="A4489" t="str">
            <v>Pottiopsis caespitosa</v>
          </cell>
          <cell r="B4489" t="str">
            <v>Mosses and liverworts</v>
          </cell>
          <cell r="C4489" t="str">
            <v>Bryophyta</v>
          </cell>
          <cell r="D4489" t="str">
            <v>Pottiopsis caespitosa</v>
          </cell>
          <cell r="E4489" t="str">
            <v>LC</v>
          </cell>
          <cell r="F4489" t="str">
            <v>Callaghan, 2022</v>
          </cell>
          <cell r="G4489" t="str">
            <v>NBNSYS0100004852</v>
          </cell>
          <cell r="H4489" t="str">
            <v>Pottiopsis caespitosa</v>
          </cell>
        </row>
        <row r="4490">
          <cell r="A4490" t="str">
            <v>Protolophozia herzogiana</v>
          </cell>
          <cell r="B4490" t="str">
            <v>Mosses and liverworts</v>
          </cell>
          <cell r="C4490" t="str">
            <v>Bryophyta</v>
          </cell>
          <cell r="D4490" t="str">
            <v>Protolophozia herzogiana</v>
          </cell>
          <cell r="E4490" t="str">
            <v>CR</v>
          </cell>
          <cell r="F4490" t="str">
            <v>Callaghan, 2022</v>
          </cell>
          <cell r="G4490" t="str">
            <v>NHMSYS0000309919</v>
          </cell>
          <cell r="H4490" t="str">
            <v>Protolophozia herzogiana</v>
          </cell>
        </row>
        <row r="4491">
          <cell r="A4491" t="str">
            <v>Pseudanomodon attenuatus</v>
          </cell>
          <cell r="B4491" t="str">
            <v>Mosses and liverworts</v>
          </cell>
          <cell r="C4491" t="str">
            <v>Bryophyta</v>
          </cell>
          <cell r="D4491" t="str">
            <v>Pseudanomodon attenuatus</v>
          </cell>
          <cell r="E4491" t="str">
            <v>CR</v>
          </cell>
          <cell r="F4491" t="str">
            <v>Callaghan, 2022</v>
          </cell>
          <cell r="G4491" t="str">
            <v>NHMSYS0000309355</v>
          </cell>
          <cell r="H4491" t="str">
            <v>Pseudanomodon attenuatus</v>
          </cell>
        </row>
        <row r="4492">
          <cell r="A4492" t="str">
            <v>Pseudephemerum nitidum</v>
          </cell>
          <cell r="B4492" t="str">
            <v>Mosses and liverworts</v>
          </cell>
          <cell r="C4492" t="str">
            <v>Bryophyta</v>
          </cell>
          <cell r="D4492" t="str">
            <v>Pseudephemerum nitidum</v>
          </cell>
          <cell r="E4492" t="str">
            <v>LC</v>
          </cell>
          <cell r="F4492" t="str">
            <v>Callaghan, 2022</v>
          </cell>
          <cell r="G4492" t="str">
            <v>NHMSYS0000310497</v>
          </cell>
          <cell r="H4492" t="str">
            <v>Pseudephemerum nitidum</v>
          </cell>
        </row>
        <row r="4493">
          <cell r="A4493" t="str">
            <v>Pseudobryum cinclidioides</v>
          </cell>
          <cell r="B4493" t="str">
            <v>Mosses and liverworts</v>
          </cell>
          <cell r="C4493" t="str">
            <v>Bryophyta</v>
          </cell>
          <cell r="D4493" t="str">
            <v>Pseudobryum cinclidioides</v>
          </cell>
          <cell r="E4493" t="str">
            <v>LC</v>
          </cell>
          <cell r="F4493" t="str">
            <v>Callaghan, 2022</v>
          </cell>
          <cell r="G4493" t="str">
            <v>NHMSYS0000310499</v>
          </cell>
          <cell r="H4493" t="str">
            <v>Pseudobryum cinclidioides</v>
          </cell>
        </row>
        <row r="4494">
          <cell r="A4494" t="str">
            <v>Pseudocampylium radicale</v>
          </cell>
          <cell r="B4494" t="str">
            <v>Mosses and liverworts</v>
          </cell>
          <cell r="C4494" t="str">
            <v>Bryophyta</v>
          </cell>
          <cell r="D4494" t="str">
            <v>Pseudocampylium radicale</v>
          </cell>
          <cell r="E4494" t="str">
            <v>LC</v>
          </cell>
          <cell r="F4494" t="str">
            <v>Callaghan, 2022</v>
          </cell>
          <cell r="G4494" t="str">
            <v>NHMSYS0000309317</v>
          </cell>
          <cell r="H4494" t="str">
            <v>Pseudocampylium radicale</v>
          </cell>
        </row>
        <row r="4495">
          <cell r="A4495" t="str">
            <v>Pseudocrossidium hornschuchianum</v>
          </cell>
          <cell r="B4495" t="str">
            <v>Mosses and liverworts</v>
          </cell>
          <cell r="C4495" t="str">
            <v>Bryophyta</v>
          </cell>
          <cell r="D4495" t="str">
            <v>Pseudocrossidium hornschuchianum</v>
          </cell>
          <cell r="E4495" t="str">
            <v>LC</v>
          </cell>
          <cell r="F4495" t="str">
            <v>Callaghan, 2022</v>
          </cell>
          <cell r="G4495" t="str">
            <v>NHMSYS0000310501</v>
          </cell>
          <cell r="H4495" t="str">
            <v>Pseudocrossidium hornschuchianum</v>
          </cell>
        </row>
        <row r="4496">
          <cell r="A4496" t="str">
            <v>Pseudocrossidium revolutum</v>
          </cell>
          <cell r="B4496" t="str">
            <v>Mosses and liverworts</v>
          </cell>
          <cell r="C4496" t="str">
            <v>Bryophyta</v>
          </cell>
          <cell r="D4496" t="str">
            <v>Pseudocrossidium revolutum</v>
          </cell>
          <cell r="E4496" t="str">
            <v>LC</v>
          </cell>
          <cell r="F4496" t="str">
            <v>Callaghan, 2022</v>
          </cell>
          <cell r="G4496" t="str">
            <v>NHMSYS0000310502</v>
          </cell>
          <cell r="H4496" t="str">
            <v>Pseudocrossidium revolutum</v>
          </cell>
        </row>
        <row r="4497">
          <cell r="A4497" t="str">
            <v>Pseudohygrohypnum eugyrium</v>
          </cell>
          <cell r="B4497" t="str">
            <v>Mosses and liverworts</v>
          </cell>
          <cell r="C4497" t="str">
            <v>Bryophyta</v>
          </cell>
          <cell r="D4497" t="str">
            <v>Pseudohygrohypnum eugyrium</v>
          </cell>
          <cell r="E4497" t="str">
            <v>LC</v>
          </cell>
          <cell r="F4497" t="str">
            <v>Callaghan, 2022</v>
          </cell>
          <cell r="G4497" t="str">
            <v>NHMSYS0021571773</v>
          </cell>
          <cell r="H4497" t="str">
            <v>Pseudohygrohypnum eugyrium</v>
          </cell>
        </row>
        <row r="4498">
          <cell r="A4498" t="str">
            <v>Pseudohygrohypnum subeugyrium</v>
          </cell>
          <cell r="B4498" t="str">
            <v>Mosses and liverworts</v>
          </cell>
          <cell r="C4498" t="str">
            <v>Bryophyta</v>
          </cell>
          <cell r="D4498" t="str">
            <v>Pseudohygrohypnum subeugyrium</v>
          </cell>
          <cell r="E4498" t="str">
            <v>LC</v>
          </cell>
          <cell r="F4498" t="str">
            <v>Callaghan, 2022</v>
          </cell>
          <cell r="G4498" t="str">
            <v>NHMSYS0021571778</v>
          </cell>
          <cell r="H4498" t="str">
            <v>Pseudohygrohypnum subeugyrium</v>
          </cell>
        </row>
        <row r="4499">
          <cell r="A4499" t="str">
            <v>Pseudoleskeella catenulata</v>
          </cell>
          <cell r="B4499" t="str">
            <v>Mosses and liverworts</v>
          </cell>
          <cell r="C4499" t="str">
            <v>Bryophyta</v>
          </cell>
          <cell r="D4499" t="str">
            <v>Pseudoleskeella catenulata</v>
          </cell>
          <cell r="E4499" t="str">
            <v>LC</v>
          </cell>
          <cell r="F4499" t="str">
            <v>Callaghan, 2022</v>
          </cell>
          <cell r="G4499" t="str">
            <v>NHMSYS0000310509</v>
          </cell>
          <cell r="H4499" t="str">
            <v>Pseudoleskeella catenulata</v>
          </cell>
        </row>
        <row r="4500">
          <cell r="A4500" t="str">
            <v>Pseudoleskeella rupestris</v>
          </cell>
          <cell r="B4500" t="str">
            <v>Mosses and liverworts</v>
          </cell>
          <cell r="C4500" t="str">
            <v>Bryophyta</v>
          </cell>
          <cell r="D4500" t="str">
            <v>Pseudoleskeella rupestris</v>
          </cell>
          <cell r="E4500" t="str">
            <v>LC</v>
          </cell>
          <cell r="F4500" t="str">
            <v>Callaghan, 2022</v>
          </cell>
          <cell r="G4500" t="str">
            <v>NHMSYS0000310511</v>
          </cell>
          <cell r="H4500" t="str">
            <v>Pseudoleskeella rupestris</v>
          </cell>
        </row>
        <row r="4501">
          <cell r="A4501" t="str">
            <v>Pseudomarsupidium decipiens</v>
          </cell>
          <cell r="B4501" t="str">
            <v>Mosses and liverworts</v>
          </cell>
          <cell r="C4501" t="str">
            <v>Bryophyta</v>
          </cell>
          <cell r="D4501" t="str">
            <v>Pseudomarsupidium decipiens</v>
          </cell>
          <cell r="E4501" t="str">
            <v>LC</v>
          </cell>
          <cell r="F4501" t="str">
            <v>Callaghan, 2022</v>
          </cell>
          <cell r="G4501" t="str">
            <v>NBNSYS0000035789</v>
          </cell>
          <cell r="H4501" t="str">
            <v>Pseudomarsupidium decipiens</v>
          </cell>
        </row>
        <row r="4502">
          <cell r="A4502" t="str">
            <v>Pseudoscleropodium purum</v>
          </cell>
          <cell r="B4502" t="str">
            <v>Mosses and liverworts</v>
          </cell>
          <cell r="C4502" t="str">
            <v>Bryophyta</v>
          </cell>
          <cell r="D4502" t="str">
            <v>Pseudoscleropodium purum</v>
          </cell>
          <cell r="E4502" t="str">
            <v>LC</v>
          </cell>
          <cell r="F4502" t="str">
            <v>Callaghan, 2022</v>
          </cell>
          <cell r="G4502" t="str">
            <v>NHMSYS0000310512</v>
          </cell>
          <cell r="H4502" t="str">
            <v>Pseudoscleropodium purum</v>
          </cell>
        </row>
        <row r="4503">
          <cell r="A4503" t="str">
            <v>Pseudotaxiphyllum elegans</v>
          </cell>
          <cell r="B4503" t="str">
            <v>Mosses and liverworts</v>
          </cell>
          <cell r="C4503" t="str">
            <v>Bryophyta</v>
          </cell>
          <cell r="D4503" t="str">
            <v>Pseudotaxiphyllum elegans</v>
          </cell>
          <cell r="E4503" t="str">
            <v>LC</v>
          </cell>
          <cell r="F4503" t="str">
            <v>Callaghan, 2022</v>
          </cell>
          <cell r="G4503" t="str">
            <v>NHMSYS0000310514</v>
          </cell>
          <cell r="H4503" t="str">
            <v>Pseudotaxiphyllum elegans</v>
          </cell>
        </row>
        <row r="4504">
          <cell r="A4504" t="str">
            <v>Pterigynandrum filiforme</v>
          </cell>
          <cell r="B4504" t="str">
            <v>Mosses and liverworts</v>
          </cell>
          <cell r="C4504" t="str">
            <v>Bryophyta</v>
          </cell>
          <cell r="D4504" t="str">
            <v>Pterigynandrum filiforme</v>
          </cell>
          <cell r="E4504" t="str">
            <v>LC</v>
          </cell>
          <cell r="F4504" t="str">
            <v>Callaghan, 2022</v>
          </cell>
          <cell r="G4504" t="str">
            <v>NBNSYS0000036772</v>
          </cell>
          <cell r="H4504" t="str">
            <v>Pterigynandrum filiforme</v>
          </cell>
        </row>
        <row r="4505">
          <cell r="A4505" t="str">
            <v>Pterygoneurum lamellatum</v>
          </cell>
          <cell r="B4505" t="str">
            <v>Mosses and liverworts</v>
          </cell>
          <cell r="C4505" t="str">
            <v>Bryophyta</v>
          </cell>
          <cell r="D4505" t="str">
            <v>Pterygoneurum lamellatum</v>
          </cell>
          <cell r="E4505" t="str">
            <v>CR(PE)</v>
          </cell>
          <cell r="F4505" t="str">
            <v>Callaghan, 2022</v>
          </cell>
          <cell r="G4505" t="str">
            <v>NBNSYS0000036336</v>
          </cell>
          <cell r="H4505" t="str">
            <v>Pterygoneurum lamellatum</v>
          </cell>
        </row>
        <row r="4506">
          <cell r="A4506" t="str">
            <v>Pterygoneurum ovatum</v>
          </cell>
          <cell r="B4506" t="str">
            <v>Mosses and liverworts</v>
          </cell>
          <cell r="C4506" t="str">
            <v>Bryophyta</v>
          </cell>
          <cell r="D4506" t="str">
            <v>Pterygoneurum ovatum</v>
          </cell>
          <cell r="E4506" t="str">
            <v>LC</v>
          </cell>
          <cell r="F4506" t="str">
            <v>Callaghan, 2022</v>
          </cell>
          <cell r="G4506" t="str">
            <v>NHMSYS0000310521</v>
          </cell>
          <cell r="H4506" t="str">
            <v>Pterygoneurum ovatum</v>
          </cell>
        </row>
        <row r="4507">
          <cell r="A4507" t="str">
            <v>Pterygoneurum papillosum</v>
          </cell>
          <cell r="B4507" t="str">
            <v>Mosses and liverworts</v>
          </cell>
          <cell r="C4507" t="str">
            <v>Bryophyta</v>
          </cell>
          <cell r="D4507" t="str">
            <v>Pterygoneurum papillosum</v>
          </cell>
          <cell r="E4507" t="str">
            <v>VU</v>
          </cell>
          <cell r="F4507" t="str">
            <v>Callaghan, 2022</v>
          </cell>
          <cell r="G4507" t="str">
            <v>NHMSYS0021125907</v>
          </cell>
          <cell r="H4507" t="str">
            <v>Pterygoneurum papillosum</v>
          </cell>
        </row>
        <row r="4508">
          <cell r="A4508" t="str">
            <v>Ptilidium ciliare</v>
          </cell>
          <cell r="B4508" t="str">
            <v>Mosses and liverworts</v>
          </cell>
          <cell r="C4508" t="str">
            <v>Bryophyta</v>
          </cell>
          <cell r="D4508" t="str">
            <v>Ptilidium ciliare</v>
          </cell>
          <cell r="E4508" t="str">
            <v>LC</v>
          </cell>
          <cell r="F4508" t="str">
            <v>Callaghan, 2022</v>
          </cell>
          <cell r="G4508" t="str">
            <v>NBNSYS0000035978</v>
          </cell>
          <cell r="H4508" t="str">
            <v>Ptilidium ciliare</v>
          </cell>
        </row>
        <row r="4509">
          <cell r="A4509" t="str">
            <v>Ptilidium pulcherrimum</v>
          </cell>
          <cell r="B4509" t="str">
            <v>Mosses and liverworts</v>
          </cell>
          <cell r="C4509" t="str">
            <v>Bryophyta</v>
          </cell>
          <cell r="D4509" t="str">
            <v>Ptilidium pulcherrimum</v>
          </cell>
          <cell r="E4509" t="str">
            <v>LC</v>
          </cell>
          <cell r="F4509" t="str">
            <v>Callaghan, 2022</v>
          </cell>
          <cell r="G4509" t="str">
            <v>NHMSYS0000310525</v>
          </cell>
          <cell r="H4509" t="str">
            <v>Ptilidium pulcherrimum</v>
          </cell>
        </row>
        <row r="4510">
          <cell r="A4510" t="str">
            <v>Ptilium crista-castrensis</v>
          </cell>
          <cell r="B4510" t="str">
            <v>Mosses and liverworts</v>
          </cell>
          <cell r="C4510" t="str">
            <v>Bryophyta</v>
          </cell>
          <cell r="D4510" t="str">
            <v>Ptilium crista-castrensis</v>
          </cell>
          <cell r="E4510" t="str">
            <v>LC</v>
          </cell>
          <cell r="F4510" t="str">
            <v>Callaghan, 2022</v>
          </cell>
          <cell r="G4510" t="str">
            <v>NBNSYS0000036944</v>
          </cell>
          <cell r="H4510" t="str">
            <v>Ptilium crista-castrensis</v>
          </cell>
        </row>
        <row r="4511">
          <cell r="A4511" t="str">
            <v>Ptychomitrium polyphyllum</v>
          </cell>
          <cell r="B4511" t="str">
            <v>Mosses and liverworts</v>
          </cell>
          <cell r="C4511" t="str">
            <v>Bryophyta</v>
          </cell>
          <cell r="D4511" t="str">
            <v>Ptychomitrium polyphyllum</v>
          </cell>
          <cell r="E4511" t="str">
            <v>LC</v>
          </cell>
          <cell r="F4511" t="str">
            <v>Callaghan, 2022</v>
          </cell>
          <cell r="G4511" t="str">
            <v>NHMSYS0000310531</v>
          </cell>
          <cell r="H4511" t="str">
            <v>Ptychomitrium polyphyllum</v>
          </cell>
        </row>
        <row r="4512">
          <cell r="A4512" t="str">
            <v>Pulvigera lyellii</v>
          </cell>
          <cell r="B4512" t="str">
            <v>Mosses and liverworts</v>
          </cell>
          <cell r="C4512" t="str">
            <v>Bryophyta</v>
          </cell>
          <cell r="D4512" t="str">
            <v>Pulvigera lyellii</v>
          </cell>
          <cell r="E4512" t="str">
            <v>LC</v>
          </cell>
          <cell r="F4512" t="str">
            <v>Callaghan, 2022</v>
          </cell>
          <cell r="G4512" t="str">
            <v>NHMSYS0000310255</v>
          </cell>
          <cell r="H4512" t="str">
            <v>Pulvigera lyellii</v>
          </cell>
        </row>
        <row r="4513">
          <cell r="A4513" t="str">
            <v>Pylaisia polyantha</v>
          </cell>
          <cell r="B4513" t="str">
            <v>Mosses and liverworts</v>
          </cell>
          <cell r="C4513" t="str">
            <v>Bryophyta</v>
          </cell>
          <cell r="D4513" t="str">
            <v>Pylaisia polyantha</v>
          </cell>
          <cell r="E4513" t="str">
            <v>LC</v>
          </cell>
          <cell r="F4513" t="str">
            <v>Callaghan, 2022</v>
          </cell>
          <cell r="G4513" t="str">
            <v>NHMSYS0000310533</v>
          </cell>
          <cell r="H4513" t="str">
            <v>Pylaisia polyantha</v>
          </cell>
        </row>
        <row r="4514">
          <cell r="A4514" t="str">
            <v>Racomitrium aciculare</v>
          </cell>
          <cell r="B4514" t="str">
            <v>Mosses and liverworts</v>
          </cell>
          <cell r="C4514" t="str">
            <v>Bryophyta</v>
          </cell>
          <cell r="D4514" t="str">
            <v>Racomitrium aciculare</v>
          </cell>
          <cell r="E4514" t="str">
            <v>LC</v>
          </cell>
          <cell r="F4514" t="str">
            <v>Callaghan, 2022</v>
          </cell>
          <cell r="G4514" t="str">
            <v>NBNSYS0000036491</v>
          </cell>
          <cell r="H4514" t="str">
            <v>Racomitrium aciculare</v>
          </cell>
        </row>
        <row r="4515">
          <cell r="A4515" t="str">
            <v>Racomitrium affine</v>
          </cell>
          <cell r="B4515" t="str">
            <v>Mosses and liverworts</v>
          </cell>
          <cell r="C4515" t="str">
            <v>Bryophyta</v>
          </cell>
          <cell r="D4515" t="str">
            <v>Racomitrium affine</v>
          </cell>
          <cell r="E4515" t="str">
            <v>LC</v>
          </cell>
          <cell r="F4515" t="str">
            <v>Callaghan, 2022</v>
          </cell>
          <cell r="G4515" t="str">
            <v>NHMSYS0000310536</v>
          </cell>
          <cell r="H4515" t="str">
            <v>Racomitrium affine</v>
          </cell>
        </row>
        <row r="4516">
          <cell r="A4516" t="str">
            <v>Racomitrium aquaticum</v>
          </cell>
          <cell r="B4516" t="str">
            <v>Mosses and liverworts</v>
          </cell>
          <cell r="C4516" t="str">
            <v>Bryophyta</v>
          </cell>
          <cell r="D4516" t="str">
            <v>Racomitrium aquaticum</v>
          </cell>
          <cell r="E4516" t="str">
            <v>LC</v>
          </cell>
          <cell r="F4516" t="str">
            <v>Callaghan, 2022</v>
          </cell>
          <cell r="G4516" t="str">
            <v>NBNSYS0000036492</v>
          </cell>
          <cell r="H4516" t="str">
            <v>Racomitrium aquaticum</v>
          </cell>
        </row>
        <row r="4517">
          <cell r="A4517" t="str">
            <v>Racomitrium canescens</v>
          </cell>
          <cell r="B4517" t="str">
            <v>Mosses and liverworts</v>
          </cell>
          <cell r="C4517" t="str">
            <v>Bryophyta</v>
          </cell>
          <cell r="D4517" t="str">
            <v>Racomitrium canescens</v>
          </cell>
          <cell r="E4517" t="str">
            <v>LC</v>
          </cell>
          <cell r="F4517" t="str">
            <v>Callaghan, 2022</v>
          </cell>
          <cell r="G4517" t="str">
            <v>NHMSYS0000310539</v>
          </cell>
          <cell r="H4517" t="str">
            <v>Racomitrium canescens</v>
          </cell>
        </row>
        <row r="4518">
          <cell r="A4518" t="str">
            <v>Racomitrium ellipticum</v>
          </cell>
          <cell r="B4518" t="str">
            <v>Mosses and liverworts</v>
          </cell>
          <cell r="C4518" t="str">
            <v>Bryophyta</v>
          </cell>
          <cell r="D4518" t="str">
            <v>Racomitrium ellipticum</v>
          </cell>
          <cell r="E4518" t="str">
            <v>LC</v>
          </cell>
          <cell r="F4518" t="str">
            <v>Callaghan, 2022</v>
          </cell>
          <cell r="G4518" t="str">
            <v>NHMSYS0000310540</v>
          </cell>
          <cell r="H4518" t="str">
            <v>Racomitrium ellipticum</v>
          </cell>
        </row>
        <row r="4519">
          <cell r="A4519" t="str">
            <v>Racomitrium elongatum</v>
          </cell>
          <cell r="B4519" t="str">
            <v>Mosses and liverworts</v>
          </cell>
          <cell r="C4519" t="str">
            <v>Bryophyta</v>
          </cell>
          <cell r="D4519" t="str">
            <v>Racomitrium elongatum</v>
          </cell>
          <cell r="E4519" t="str">
            <v>LC</v>
          </cell>
          <cell r="F4519" t="str">
            <v>Callaghan, 2022</v>
          </cell>
          <cell r="G4519" t="str">
            <v>NBNSYS0000036505</v>
          </cell>
          <cell r="H4519" t="str">
            <v>Racomitrium elongatum</v>
          </cell>
        </row>
        <row r="4520">
          <cell r="A4520" t="str">
            <v>Racomitrium ericoides</v>
          </cell>
          <cell r="B4520" t="str">
            <v>Mosses and liverworts</v>
          </cell>
          <cell r="C4520" t="str">
            <v>Bryophyta</v>
          </cell>
          <cell r="D4520" t="str">
            <v>Racomitrium ericoides</v>
          </cell>
          <cell r="E4520" t="str">
            <v>LC</v>
          </cell>
          <cell r="F4520" t="str">
            <v>Callaghan, 2022</v>
          </cell>
          <cell r="G4520" t="str">
            <v>NBNSYS0000036504</v>
          </cell>
          <cell r="H4520" t="str">
            <v>Racomitrium ericoides</v>
          </cell>
        </row>
        <row r="4521">
          <cell r="A4521" t="str">
            <v>Racomitrium fasciculare</v>
          </cell>
          <cell r="B4521" t="str">
            <v>Mosses and liverworts</v>
          </cell>
          <cell r="C4521" t="str">
            <v>Bryophyta</v>
          </cell>
          <cell r="D4521" t="str">
            <v>Racomitrium fasciculare</v>
          </cell>
          <cell r="E4521" t="str">
            <v>LC</v>
          </cell>
          <cell r="F4521" t="str">
            <v>Callaghan, 2022</v>
          </cell>
          <cell r="G4521" t="str">
            <v>NBNSYS0000036493</v>
          </cell>
          <cell r="H4521" t="str">
            <v>Racomitrium fasciculare</v>
          </cell>
        </row>
        <row r="4522">
          <cell r="A4522" t="str">
            <v>Racomitrium heterostichum</v>
          </cell>
          <cell r="B4522" t="str">
            <v>Mosses and liverworts</v>
          </cell>
          <cell r="C4522" t="str">
            <v>Bryophyta</v>
          </cell>
          <cell r="D4522" t="str">
            <v>Racomitrium heterostichum</v>
          </cell>
          <cell r="E4522" t="str">
            <v>LC</v>
          </cell>
          <cell r="F4522" t="str">
            <v>Callaghan, 2022</v>
          </cell>
          <cell r="G4522" t="str">
            <v>NBNSYS0000036498</v>
          </cell>
          <cell r="H4522" t="str">
            <v>Racomitrium heterostichum</v>
          </cell>
        </row>
        <row r="4523">
          <cell r="A4523" t="str">
            <v>Racomitrium lanuginosum</v>
          </cell>
          <cell r="B4523" t="str">
            <v>Mosses and liverworts</v>
          </cell>
          <cell r="C4523" t="str">
            <v>Bryophyta</v>
          </cell>
          <cell r="D4523" t="str">
            <v>Racomitrium lanuginosum</v>
          </cell>
          <cell r="E4523" t="str">
            <v>LC</v>
          </cell>
          <cell r="F4523" t="str">
            <v>Callaghan, 2022</v>
          </cell>
          <cell r="G4523" t="str">
            <v>NBNSYS0000036501</v>
          </cell>
          <cell r="H4523" t="str">
            <v>Racomitrium lanuginosum</v>
          </cell>
        </row>
        <row r="4524">
          <cell r="A4524" t="str">
            <v>Racomitrium macounii</v>
          </cell>
          <cell r="B4524" t="str">
            <v>Mosses and liverworts</v>
          </cell>
          <cell r="C4524" t="str">
            <v>Bryophyta</v>
          </cell>
          <cell r="D4524" t="str">
            <v>Racomitrium macounii</v>
          </cell>
          <cell r="E4524" t="str">
            <v>LC</v>
          </cell>
          <cell r="F4524" t="str">
            <v>Callaghan, 2022</v>
          </cell>
          <cell r="G4524" t="str">
            <v>NBNSYS0000036507</v>
          </cell>
          <cell r="H4524" t="str">
            <v>Racomitrium macounii</v>
          </cell>
        </row>
        <row r="4525">
          <cell r="A4525" t="str">
            <v>Racomitrium obtusum</v>
          </cell>
          <cell r="B4525" t="str">
            <v>Mosses and liverworts</v>
          </cell>
          <cell r="C4525" t="str">
            <v>Bryophyta</v>
          </cell>
          <cell r="D4525" t="str">
            <v>Racomitrium obtusum</v>
          </cell>
          <cell r="E4525" t="str">
            <v>LC</v>
          </cell>
          <cell r="F4525" t="str">
            <v>Callaghan, 2022</v>
          </cell>
          <cell r="G4525" t="str">
            <v>NBNSYS0000036498</v>
          </cell>
          <cell r="H4525" t="str">
            <v>Racomitrium obtusum</v>
          </cell>
        </row>
        <row r="4526">
          <cell r="A4526" t="str">
            <v>Racomitrium sudeticum</v>
          </cell>
          <cell r="B4526" t="str">
            <v>Mosses and liverworts</v>
          </cell>
          <cell r="C4526" t="str">
            <v>Bryophyta</v>
          </cell>
          <cell r="D4526" t="str">
            <v>Racomitrium sudeticum</v>
          </cell>
          <cell r="E4526" t="str">
            <v>LC</v>
          </cell>
          <cell r="F4526" t="str">
            <v>Callaghan, 2022</v>
          </cell>
          <cell r="G4526" t="str">
            <v>NHMSYS0000310545</v>
          </cell>
          <cell r="H4526" t="str">
            <v>Racomitrium sudeticum</v>
          </cell>
        </row>
        <row r="4527">
          <cell r="A4527" t="str">
            <v>Radula aquilegia</v>
          </cell>
          <cell r="B4527" t="str">
            <v>Mosses and liverworts</v>
          </cell>
          <cell r="C4527" t="str">
            <v>Bryophyta</v>
          </cell>
          <cell r="D4527" t="str">
            <v>Radula aquilegia</v>
          </cell>
          <cell r="E4527" t="str">
            <v>LC</v>
          </cell>
          <cell r="F4527" t="str">
            <v>Callaghan, 2022</v>
          </cell>
          <cell r="G4527" t="str">
            <v>NHMSYS0000310547</v>
          </cell>
          <cell r="H4527" t="str">
            <v>Radula aquilegia</v>
          </cell>
        </row>
        <row r="4528">
          <cell r="A4528" t="str">
            <v>Radula complanata</v>
          </cell>
          <cell r="B4528" t="str">
            <v>Mosses and liverworts</v>
          </cell>
          <cell r="C4528" t="str">
            <v>Bryophyta</v>
          </cell>
          <cell r="D4528" t="str">
            <v>Radula complanata</v>
          </cell>
          <cell r="E4528" t="str">
            <v>LC</v>
          </cell>
          <cell r="F4528" t="str">
            <v>Callaghan, 2022</v>
          </cell>
          <cell r="G4528" t="str">
            <v>NHMSYS0000310549</v>
          </cell>
          <cell r="H4528" t="str">
            <v>Radula complanata</v>
          </cell>
        </row>
        <row r="4529">
          <cell r="A4529" t="str">
            <v>Radula lindenbergiana</v>
          </cell>
          <cell r="B4529" t="str">
            <v>Mosses and liverworts</v>
          </cell>
          <cell r="C4529" t="str">
            <v>Bryophyta</v>
          </cell>
          <cell r="D4529" t="str">
            <v>Radula lindenbergiana</v>
          </cell>
          <cell r="E4529" t="str">
            <v>LC</v>
          </cell>
          <cell r="F4529" t="str">
            <v>Callaghan, 2022</v>
          </cell>
          <cell r="G4529" t="str">
            <v>NHMSYS0000310550</v>
          </cell>
          <cell r="H4529" t="str">
            <v>Radula lindenbergiana</v>
          </cell>
        </row>
        <row r="4530">
          <cell r="A4530" t="str">
            <v>Radula voluta</v>
          </cell>
          <cell r="B4530" t="str">
            <v>Mosses and liverworts</v>
          </cell>
          <cell r="C4530" t="str">
            <v>Bryophyta</v>
          </cell>
          <cell r="D4530" t="str">
            <v>Radula voluta</v>
          </cell>
          <cell r="E4530" t="str">
            <v>NT</v>
          </cell>
          <cell r="F4530" t="str">
            <v>Callaghan, 2022</v>
          </cell>
          <cell r="G4530" t="str">
            <v>NHMSYS0000310551</v>
          </cell>
          <cell r="H4530" t="str">
            <v>Radula voluta</v>
          </cell>
        </row>
        <row r="4531">
          <cell r="A4531" t="str">
            <v>Reboulia hemisphaerica</v>
          </cell>
          <cell r="B4531" t="str">
            <v>Mosses and liverworts</v>
          </cell>
          <cell r="C4531" t="str">
            <v>Bryophyta</v>
          </cell>
          <cell r="D4531" t="str">
            <v>Reboulia hemisphaerica</v>
          </cell>
          <cell r="E4531" t="str">
            <v>LC</v>
          </cell>
          <cell r="F4531" t="str">
            <v>Callaghan, 2022</v>
          </cell>
          <cell r="G4531" t="str">
            <v>NBNSYS0000036046</v>
          </cell>
          <cell r="H4531" t="str">
            <v>Reboulia hemisphaerica</v>
          </cell>
        </row>
        <row r="4532">
          <cell r="A4532" t="str">
            <v>Rhabdoweisia crenulata</v>
          </cell>
          <cell r="B4532" t="str">
            <v>Mosses and liverworts</v>
          </cell>
          <cell r="C4532" t="str">
            <v>Bryophyta</v>
          </cell>
          <cell r="D4532" t="str">
            <v>Rhabdoweisia crenulata</v>
          </cell>
          <cell r="E4532" t="str">
            <v>LC</v>
          </cell>
          <cell r="F4532" t="str">
            <v>Callaghan, 2022</v>
          </cell>
          <cell r="G4532" t="str">
            <v>NHMSYS0000310557</v>
          </cell>
          <cell r="H4532" t="str">
            <v>Rhabdoweisia crenulata</v>
          </cell>
        </row>
        <row r="4533">
          <cell r="A4533" t="str">
            <v>Rhabdoweisia crispata</v>
          </cell>
          <cell r="B4533" t="str">
            <v>Mosses and liverworts</v>
          </cell>
          <cell r="C4533" t="str">
            <v>Bryophyta</v>
          </cell>
          <cell r="D4533" t="str">
            <v>Rhabdoweisia crispata</v>
          </cell>
          <cell r="E4533" t="str">
            <v>LC</v>
          </cell>
          <cell r="F4533" t="str">
            <v>Callaghan, 2022</v>
          </cell>
          <cell r="G4533" t="str">
            <v>NBNSYS0000036192</v>
          </cell>
          <cell r="H4533" t="str">
            <v>Rhabdoweisia crispata</v>
          </cell>
        </row>
        <row r="4534">
          <cell r="A4534" t="str">
            <v>Rhabdoweisia fugax</v>
          </cell>
          <cell r="B4534" t="str">
            <v>Mosses and liverworts</v>
          </cell>
          <cell r="C4534" t="str">
            <v>Bryophyta</v>
          </cell>
          <cell r="D4534" t="str">
            <v>Rhabdoweisia fugax</v>
          </cell>
          <cell r="E4534" t="str">
            <v>LC</v>
          </cell>
          <cell r="F4534" t="str">
            <v>Callaghan, 2022</v>
          </cell>
          <cell r="G4534" t="str">
            <v>NHMSYS0000310559</v>
          </cell>
          <cell r="H4534" t="str">
            <v>Rhabdoweisia fugax</v>
          </cell>
        </row>
        <row r="4535">
          <cell r="A4535" t="str">
            <v>Rhizomnium pseudopunctatum</v>
          </cell>
          <cell r="B4535" t="str">
            <v>Mosses and liverworts</v>
          </cell>
          <cell r="C4535" t="str">
            <v>Bryophyta</v>
          </cell>
          <cell r="D4535" t="str">
            <v>Rhizomnium pseudopunctatum</v>
          </cell>
          <cell r="E4535" t="str">
            <v>LC</v>
          </cell>
          <cell r="F4535" t="str">
            <v>Callaghan, 2022</v>
          </cell>
          <cell r="G4535" t="str">
            <v>NHMSYS0000310568</v>
          </cell>
          <cell r="H4535" t="str">
            <v>Rhizomnium pseudopunctatum</v>
          </cell>
        </row>
        <row r="4536">
          <cell r="A4536" t="str">
            <v>Rhizomnium punctatum</v>
          </cell>
          <cell r="B4536" t="str">
            <v>Mosses and liverworts</v>
          </cell>
          <cell r="C4536" t="str">
            <v>Bryophyta</v>
          </cell>
          <cell r="D4536" t="str">
            <v>Rhizomnium punctatum</v>
          </cell>
          <cell r="E4536" t="str">
            <v>LC</v>
          </cell>
          <cell r="F4536" t="str">
            <v>Callaghan, 2022</v>
          </cell>
          <cell r="G4536" t="str">
            <v>NHMSYS0000310569</v>
          </cell>
          <cell r="H4536" t="str">
            <v>Rhizomnium punctatum</v>
          </cell>
        </row>
        <row r="4537">
          <cell r="A4537" t="str">
            <v>Rhodobryum roseum</v>
          </cell>
          <cell r="B4537" t="str">
            <v>Mosses and liverworts</v>
          </cell>
          <cell r="C4537" t="str">
            <v>Bryophyta</v>
          </cell>
          <cell r="D4537" t="str">
            <v>Rhodobryum roseum</v>
          </cell>
          <cell r="E4537" t="str">
            <v>LC</v>
          </cell>
          <cell r="F4537" t="str">
            <v>Callaghan, 2022</v>
          </cell>
          <cell r="G4537" t="str">
            <v>NBNSYS0000036640</v>
          </cell>
          <cell r="H4537" t="str">
            <v>Rhodobryum roseum</v>
          </cell>
        </row>
        <row r="4538">
          <cell r="A4538" t="str">
            <v>Rhynchostegiella curviseta</v>
          </cell>
          <cell r="B4538" t="str">
            <v>Mosses and liverworts</v>
          </cell>
          <cell r="C4538" t="str">
            <v>Bryophyta</v>
          </cell>
          <cell r="D4538" t="str">
            <v>Rhynchostegiella curviseta</v>
          </cell>
          <cell r="E4538" t="str">
            <v>LC</v>
          </cell>
          <cell r="F4538" t="str">
            <v>Callaghan, 2022</v>
          </cell>
          <cell r="G4538" t="str">
            <v>NBNSYS0000036902</v>
          </cell>
          <cell r="H4538" t="str">
            <v>Rhynchostegiella curviseta</v>
          </cell>
        </row>
        <row r="4539">
          <cell r="A4539" t="str">
            <v>Rhynchostegiella litorea</v>
          </cell>
          <cell r="B4539" t="str">
            <v>Mosses and liverworts</v>
          </cell>
          <cell r="C4539" t="str">
            <v>Bryophyta</v>
          </cell>
          <cell r="D4539" t="str">
            <v>Rhynchostegiella litorea</v>
          </cell>
          <cell r="E4539" t="str">
            <v>LC</v>
          </cell>
          <cell r="F4539" t="str">
            <v>Callaghan, 2022</v>
          </cell>
          <cell r="G4539" t="str">
            <v>NBNSYS0100005162</v>
          </cell>
          <cell r="H4539" t="str">
            <v>Rhynchostegiella litorea</v>
          </cell>
        </row>
        <row r="4540">
          <cell r="A4540" t="str">
            <v>Rhynchostegiella tenella</v>
          </cell>
          <cell r="B4540" t="str">
            <v>Mosses and liverworts</v>
          </cell>
          <cell r="C4540" t="str">
            <v>Bryophyta</v>
          </cell>
          <cell r="D4540" t="str">
            <v>Rhynchostegiella tenella</v>
          </cell>
          <cell r="E4540" t="str">
            <v>LC</v>
          </cell>
          <cell r="F4540" t="str">
            <v>Callaghan, 2022</v>
          </cell>
          <cell r="G4540" t="str">
            <v>NBNSYS0000036901</v>
          </cell>
          <cell r="H4540" t="str">
            <v>Rhynchostegiella tenella</v>
          </cell>
        </row>
        <row r="4541">
          <cell r="A4541" t="str">
            <v>Rhynchostegiella teneriffae</v>
          </cell>
          <cell r="B4541" t="str">
            <v>Mosses and liverworts</v>
          </cell>
          <cell r="C4541" t="str">
            <v>Bryophyta</v>
          </cell>
          <cell r="D4541" t="str">
            <v>Rhynchostegiella teneriffae</v>
          </cell>
          <cell r="E4541" t="str">
            <v>LC</v>
          </cell>
          <cell r="F4541" t="str">
            <v>Callaghan, 2022</v>
          </cell>
          <cell r="G4541" t="str">
            <v>NBNSYS0100005163</v>
          </cell>
          <cell r="H4541" t="str">
            <v>Rhynchostegiella teneriffae</v>
          </cell>
        </row>
        <row r="4542">
          <cell r="A4542" t="str">
            <v>Rhynchostegium alopecuroides</v>
          </cell>
          <cell r="B4542" t="str">
            <v>Mosses and liverworts</v>
          </cell>
          <cell r="C4542" t="str">
            <v>Bryophyta</v>
          </cell>
          <cell r="D4542" t="str">
            <v>Rhynchostegium alopecuroides</v>
          </cell>
          <cell r="E4542" t="str">
            <v>LC</v>
          </cell>
          <cell r="F4542" t="str">
            <v>Callaghan, 2022</v>
          </cell>
          <cell r="G4542" t="str">
            <v>NHMSYS0021178773</v>
          </cell>
          <cell r="H4542" t="str">
            <v>Rhynchostegium alopecuroides</v>
          </cell>
        </row>
        <row r="4543">
          <cell r="A4543" t="str">
            <v>Rhynchostegium confertum</v>
          </cell>
          <cell r="B4543" t="str">
            <v>Mosses and liverworts</v>
          </cell>
          <cell r="C4543" t="str">
            <v>Bryophyta</v>
          </cell>
          <cell r="D4543" t="str">
            <v>Rhynchostegium confertum</v>
          </cell>
          <cell r="E4543" t="str">
            <v>LC</v>
          </cell>
          <cell r="F4543" t="str">
            <v>Callaghan, 2022</v>
          </cell>
          <cell r="G4543" t="str">
            <v>NHMSYS0000310433</v>
          </cell>
          <cell r="H4543" t="str">
            <v>Rhynchostegium confertum</v>
          </cell>
        </row>
        <row r="4544">
          <cell r="A4544" t="str">
            <v>Rhynchostegium megapolitanum</v>
          </cell>
          <cell r="B4544" t="str">
            <v>Mosses and liverworts</v>
          </cell>
          <cell r="C4544" t="str">
            <v>Bryophyta</v>
          </cell>
          <cell r="D4544" t="str">
            <v>Rhynchostegium megapolitanum</v>
          </cell>
          <cell r="E4544" t="str">
            <v>LC</v>
          </cell>
          <cell r="F4544" t="str">
            <v>Callaghan, 2022</v>
          </cell>
          <cell r="G4544" t="str">
            <v>NHMSYS0000310435</v>
          </cell>
          <cell r="H4544" t="str">
            <v>Rhynchostegium megapolitanum</v>
          </cell>
        </row>
        <row r="4545">
          <cell r="A4545" t="str">
            <v>Rhynchostegium murale</v>
          </cell>
          <cell r="B4545" t="str">
            <v>Mosses and liverworts</v>
          </cell>
          <cell r="C4545" t="str">
            <v>Bryophyta</v>
          </cell>
          <cell r="D4545" t="str">
            <v>Rhynchostegium murale</v>
          </cell>
          <cell r="E4545" t="str">
            <v>LC</v>
          </cell>
          <cell r="F4545" t="str">
            <v>Callaghan, 2022</v>
          </cell>
          <cell r="G4545" t="str">
            <v>NHMSYS0000310436</v>
          </cell>
          <cell r="H4545" t="str">
            <v>Rhynchostegium murale</v>
          </cell>
        </row>
        <row r="4546">
          <cell r="A4546" t="str">
            <v>Rhynchostegium riparioides</v>
          </cell>
          <cell r="B4546" t="str">
            <v>Mosses and liverworts</v>
          </cell>
          <cell r="C4546" t="str">
            <v>Bryophyta</v>
          </cell>
          <cell r="D4546" t="str">
            <v>Rhynchostegium riparioides</v>
          </cell>
          <cell r="E4546" t="str">
            <v>LC</v>
          </cell>
          <cell r="F4546" t="str">
            <v>Callaghan, 2022</v>
          </cell>
          <cell r="G4546" t="str">
            <v>NHMSYS0021178797</v>
          </cell>
          <cell r="H4546" t="str">
            <v>Rhynchostegium riparioides</v>
          </cell>
        </row>
        <row r="4547">
          <cell r="A4547" t="str">
            <v>Rhynchostegium rotundifolium</v>
          </cell>
          <cell r="B4547" t="str">
            <v>Mosses and liverworts</v>
          </cell>
          <cell r="C4547" t="str">
            <v>Bryophyta</v>
          </cell>
          <cell r="D4547" t="str">
            <v>Rhynchostegium rotundifolium</v>
          </cell>
          <cell r="E4547" t="str">
            <v>CR</v>
          </cell>
          <cell r="F4547" t="str">
            <v>Callaghan, 2022</v>
          </cell>
          <cell r="G4547" t="str">
            <v>NHMSYS0000310438</v>
          </cell>
          <cell r="H4547" t="str">
            <v>Rhynchostegium rotundifolium</v>
          </cell>
        </row>
        <row r="4548">
          <cell r="A4548" t="str">
            <v>Rhytidiadelphus loreus</v>
          </cell>
          <cell r="B4548" t="str">
            <v>Mosses and liverworts</v>
          </cell>
          <cell r="C4548" t="str">
            <v>Bryophyta</v>
          </cell>
          <cell r="D4548" t="str">
            <v>Rhytidiadelphus loreus</v>
          </cell>
          <cell r="E4548" t="str">
            <v>LC</v>
          </cell>
          <cell r="F4548" t="str">
            <v>Callaghan, 2022</v>
          </cell>
          <cell r="G4548" t="str">
            <v>NBNSYS0000022281</v>
          </cell>
          <cell r="H4548" t="str">
            <v>Rhytidiadelphus loreus</v>
          </cell>
        </row>
        <row r="4549">
          <cell r="A4549" t="str">
            <v>Rhytidiadelphus squarrosus</v>
          </cell>
          <cell r="B4549" t="str">
            <v>Mosses and liverworts</v>
          </cell>
          <cell r="C4549" t="str">
            <v>Bryophyta</v>
          </cell>
          <cell r="D4549" t="str">
            <v>Rhytidiadelphus squarrosus</v>
          </cell>
          <cell r="E4549" t="str">
            <v>LC</v>
          </cell>
          <cell r="F4549" t="str">
            <v>Callaghan, 2022</v>
          </cell>
          <cell r="G4549" t="str">
            <v>NBNSYS0000022280</v>
          </cell>
          <cell r="H4549" t="str">
            <v>Rhytidiadelphus squarrosus</v>
          </cell>
        </row>
        <row r="4550">
          <cell r="A4550" t="str">
            <v>Rhytidiadelphus subpinnatus</v>
          </cell>
          <cell r="B4550" t="str">
            <v>Mosses and liverworts</v>
          </cell>
          <cell r="C4550" t="str">
            <v>Bryophyta</v>
          </cell>
          <cell r="D4550" t="str">
            <v>Rhytidiadelphus subpinnatus</v>
          </cell>
          <cell r="E4550" t="str">
            <v>LC</v>
          </cell>
          <cell r="F4550" t="str">
            <v>Callaghan, 2022</v>
          </cell>
          <cell r="G4550" t="str">
            <v>NHMSYS0000310441</v>
          </cell>
          <cell r="H4550" t="str">
            <v>Rhytidiadelphus subpinnatus</v>
          </cell>
        </row>
        <row r="4551">
          <cell r="A4551" t="str">
            <v>Rhytidium rugosum</v>
          </cell>
          <cell r="B4551" t="str">
            <v>Mosses and liverworts</v>
          </cell>
          <cell r="C4551" t="str">
            <v>Bryophyta</v>
          </cell>
          <cell r="D4551" t="str">
            <v>Rhytidium rugosum</v>
          </cell>
          <cell r="E4551" t="str">
            <v>LC</v>
          </cell>
          <cell r="F4551" t="str">
            <v>Callaghan, 2022</v>
          </cell>
          <cell r="G4551" t="str">
            <v>NBNSYS0000036953</v>
          </cell>
          <cell r="H4551" t="str">
            <v>Rhytidium rugosum</v>
          </cell>
        </row>
        <row r="4552">
          <cell r="A4552" t="str">
            <v>Riccardia chamedryfolia</v>
          </cell>
          <cell r="B4552" t="str">
            <v>Mosses and liverworts</v>
          </cell>
          <cell r="C4552" t="str">
            <v>Bryophyta</v>
          </cell>
          <cell r="D4552" t="str">
            <v>Riccardia chamedryfolia</v>
          </cell>
          <cell r="E4552" t="str">
            <v>LC</v>
          </cell>
          <cell r="F4552" t="str">
            <v>Callaghan, 2022</v>
          </cell>
          <cell r="G4552" t="str">
            <v>NBNSYS0000036031</v>
          </cell>
          <cell r="H4552" t="str">
            <v>Riccardia chamedryfolia</v>
          </cell>
        </row>
        <row r="4553">
          <cell r="A4553" t="str">
            <v>Riccardia incurvata</v>
          </cell>
          <cell r="B4553" t="str">
            <v>Mosses and liverworts</v>
          </cell>
          <cell r="C4553" t="str">
            <v>Bryophyta</v>
          </cell>
          <cell r="D4553" t="str">
            <v>Riccardia incurvata</v>
          </cell>
          <cell r="E4553" t="str">
            <v>LC</v>
          </cell>
          <cell r="F4553" t="str">
            <v>Callaghan, 2022</v>
          </cell>
          <cell r="G4553" t="str">
            <v>NBNSYS0000036032</v>
          </cell>
          <cell r="H4553" t="str">
            <v>Riccardia incurvata</v>
          </cell>
        </row>
        <row r="4554">
          <cell r="A4554" t="str">
            <v>Riccardia latifrons</v>
          </cell>
          <cell r="B4554" t="str">
            <v>Mosses and liverworts</v>
          </cell>
          <cell r="C4554" t="str">
            <v>Bryophyta</v>
          </cell>
          <cell r="D4554" t="str">
            <v>Riccardia latifrons</v>
          </cell>
          <cell r="E4554" t="str">
            <v>LC</v>
          </cell>
          <cell r="F4554" t="str">
            <v>Callaghan, 2022</v>
          </cell>
          <cell r="G4554" t="str">
            <v>NBNSYS0000036034</v>
          </cell>
          <cell r="H4554" t="str">
            <v>Riccardia latifrons</v>
          </cell>
        </row>
        <row r="4555">
          <cell r="A4555" t="str">
            <v>Riccardia multifida</v>
          </cell>
          <cell r="B4555" t="str">
            <v>Mosses and liverworts</v>
          </cell>
          <cell r="C4555" t="str">
            <v>Bryophyta</v>
          </cell>
          <cell r="D4555" t="str">
            <v>Riccardia multifida</v>
          </cell>
          <cell r="E4555" t="str">
            <v>LC</v>
          </cell>
          <cell r="F4555" t="str">
            <v>Callaghan, 2022</v>
          </cell>
          <cell r="G4555" t="str">
            <v>NHMSYS0000310444</v>
          </cell>
          <cell r="H4555" t="str">
            <v>Riccardia multifida</v>
          </cell>
        </row>
        <row r="4556">
          <cell r="A4556" t="str">
            <v>Riccardia palmata</v>
          </cell>
          <cell r="B4556" t="str">
            <v>Mosses and liverworts</v>
          </cell>
          <cell r="C4556" t="str">
            <v>Bryophyta</v>
          </cell>
          <cell r="D4556" t="str">
            <v>Riccardia palmata</v>
          </cell>
          <cell r="E4556" t="str">
            <v>LC</v>
          </cell>
          <cell r="F4556" t="str">
            <v>Callaghan, 2022</v>
          </cell>
          <cell r="G4556" t="str">
            <v>NBNSYS0000036033</v>
          </cell>
          <cell r="H4556" t="str">
            <v>Riccardia palmata</v>
          </cell>
        </row>
        <row r="4557">
          <cell r="A4557" t="str">
            <v>Riccia beyrichiana</v>
          </cell>
          <cell r="B4557" t="str">
            <v>Mosses and liverworts</v>
          </cell>
          <cell r="C4557" t="str">
            <v>Bryophyta</v>
          </cell>
          <cell r="D4557" t="str">
            <v>Riccia beyrichiana</v>
          </cell>
          <cell r="E4557" t="str">
            <v>LC</v>
          </cell>
          <cell r="F4557" t="str">
            <v>Callaghan, 2022</v>
          </cell>
          <cell r="G4557" t="str">
            <v>NBNSYS0000036059</v>
          </cell>
          <cell r="H4557" t="str">
            <v>Riccia beyrichiana</v>
          </cell>
        </row>
        <row r="4558">
          <cell r="A4558" t="str">
            <v>Riccia bifurca</v>
          </cell>
          <cell r="B4558" t="str">
            <v>Mosses and liverworts</v>
          </cell>
          <cell r="C4558" t="str">
            <v>Bryophyta</v>
          </cell>
          <cell r="D4558" t="str">
            <v>Riccia bifurca</v>
          </cell>
          <cell r="E4558" t="str">
            <v>EN</v>
          </cell>
          <cell r="F4558" t="str">
            <v>Callaghan, 2022</v>
          </cell>
          <cell r="G4558" t="str">
            <v>NBNSYS0000036056</v>
          </cell>
          <cell r="H4558" t="str">
            <v>Riccia bifurca</v>
          </cell>
        </row>
        <row r="4559">
          <cell r="A4559" t="str">
            <v>Riccia canaliculata</v>
          </cell>
          <cell r="B4559" t="str">
            <v>Mosses and liverworts</v>
          </cell>
          <cell r="C4559" t="str">
            <v>Bryophyta</v>
          </cell>
          <cell r="D4559" t="str">
            <v>Riccia canaliculata</v>
          </cell>
          <cell r="E4559" t="str">
            <v>VU</v>
          </cell>
          <cell r="F4559" t="str">
            <v>Callaghan, 2022</v>
          </cell>
          <cell r="G4559" t="str">
            <v>NBNSYS0000036053</v>
          </cell>
          <cell r="H4559" t="str">
            <v>Riccia canaliculata</v>
          </cell>
        </row>
        <row r="4560">
          <cell r="A4560" t="str">
            <v>Riccia cavernosa</v>
          </cell>
          <cell r="B4560" t="str">
            <v>Mosses and liverworts</v>
          </cell>
          <cell r="C4560" t="str">
            <v>Bryophyta</v>
          </cell>
          <cell r="D4560" t="str">
            <v>Riccia cavernosa</v>
          </cell>
          <cell r="E4560" t="str">
            <v>LC</v>
          </cell>
          <cell r="F4560" t="str">
            <v>Callaghan, 2022</v>
          </cell>
          <cell r="G4560" t="str">
            <v>NHMSYS0000310447</v>
          </cell>
          <cell r="H4560" t="str">
            <v>Riccia cavernosa</v>
          </cell>
        </row>
        <row r="4561">
          <cell r="A4561" t="str">
            <v>Riccia crystallina</v>
          </cell>
          <cell r="B4561" t="str">
            <v>Mosses and liverworts</v>
          </cell>
          <cell r="C4561" t="str">
            <v>Bryophyta</v>
          </cell>
          <cell r="D4561" t="str">
            <v>Riccia crystallina</v>
          </cell>
          <cell r="E4561" t="str">
            <v>LC</v>
          </cell>
          <cell r="F4561" t="str">
            <v>Callaghan, 2022</v>
          </cell>
          <cell r="G4561" t="str">
            <v>NHMSYS0000310448</v>
          </cell>
          <cell r="H4561" t="str">
            <v>Riccia crystallina</v>
          </cell>
        </row>
        <row r="4562">
          <cell r="A4562" t="str">
            <v>Riccia fluitans</v>
          </cell>
          <cell r="B4562" t="str">
            <v>Mosses and liverworts</v>
          </cell>
          <cell r="C4562" t="str">
            <v>Bryophyta</v>
          </cell>
          <cell r="D4562" t="str">
            <v>Riccia fluitans</v>
          </cell>
          <cell r="E4562" t="str">
            <v>LC</v>
          </cell>
          <cell r="F4562" t="str">
            <v>Callaghan, 2022</v>
          </cell>
          <cell r="G4562" t="str">
            <v>NHMSYS0000310449</v>
          </cell>
          <cell r="H4562" t="str">
            <v>Riccia fluitans</v>
          </cell>
        </row>
        <row r="4563">
          <cell r="A4563" t="str">
            <v>Riccia glauca</v>
          </cell>
          <cell r="B4563" t="str">
            <v>Mosses and liverworts</v>
          </cell>
          <cell r="C4563" t="str">
            <v>Bryophyta</v>
          </cell>
          <cell r="D4563" t="str">
            <v>Riccia glauca</v>
          </cell>
          <cell r="E4563" t="str">
            <v>LC</v>
          </cell>
          <cell r="F4563" t="str">
            <v>Callaghan, 2022</v>
          </cell>
          <cell r="G4563" t="str">
            <v>NBNSYS0000036055</v>
          </cell>
          <cell r="H4563" t="str">
            <v>Riccia glauca</v>
          </cell>
        </row>
        <row r="4564">
          <cell r="A4564" t="str">
            <v>Riccia huebeneriana</v>
          </cell>
          <cell r="B4564" t="str">
            <v>Mosses and liverworts</v>
          </cell>
          <cell r="C4564" t="str">
            <v>Bryophyta</v>
          </cell>
          <cell r="D4564" t="str">
            <v>Riccia huebeneriana</v>
          </cell>
          <cell r="E4564" t="str">
            <v>LC</v>
          </cell>
          <cell r="F4564" t="str">
            <v>Callaghan, 2022</v>
          </cell>
          <cell r="G4564" t="str">
            <v>NBNSYS0000036050</v>
          </cell>
          <cell r="H4564" t="str">
            <v>Riccia huebeneriana</v>
          </cell>
        </row>
        <row r="4565">
          <cell r="A4565" t="str">
            <v>Riccia nigrella</v>
          </cell>
          <cell r="B4565" t="str">
            <v>Mosses and liverworts</v>
          </cell>
          <cell r="C4565" t="str">
            <v>Bryophyta</v>
          </cell>
          <cell r="D4565" t="str">
            <v>Riccia nigrella</v>
          </cell>
          <cell r="E4565" t="str">
            <v>CR</v>
          </cell>
          <cell r="F4565" t="str">
            <v>Callaghan, 2022</v>
          </cell>
          <cell r="G4565" t="str">
            <v>NBNSYS0000036058</v>
          </cell>
          <cell r="H4565" t="str">
            <v>Riccia nigrella</v>
          </cell>
        </row>
        <row r="4566">
          <cell r="A4566" t="str">
            <v>Riccia sorocarpa</v>
          </cell>
          <cell r="B4566" t="str">
            <v>Mosses and liverworts</v>
          </cell>
          <cell r="C4566" t="str">
            <v>Bryophyta</v>
          </cell>
          <cell r="D4566" t="str">
            <v>Riccia sorocarpa</v>
          </cell>
          <cell r="E4566" t="str">
            <v>LC</v>
          </cell>
          <cell r="F4566" t="str">
            <v>Callaghan, 2022</v>
          </cell>
          <cell r="G4566" t="str">
            <v>NBNSYS0000036054</v>
          </cell>
          <cell r="H4566" t="str">
            <v>Riccia sorocarpa</v>
          </cell>
        </row>
        <row r="4567">
          <cell r="A4567" t="str">
            <v>Riccia subbifurca</v>
          </cell>
          <cell r="B4567" t="str">
            <v>Mosses and liverworts</v>
          </cell>
          <cell r="C4567" t="str">
            <v>Bryophyta</v>
          </cell>
          <cell r="D4567" t="str">
            <v>Riccia subbifurca</v>
          </cell>
          <cell r="E4567" t="str">
            <v>LC</v>
          </cell>
          <cell r="F4567" t="str">
            <v>Callaghan, 2022</v>
          </cell>
          <cell r="G4567" t="str">
            <v>NHMSYS0000310452</v>
          </cell>
          <cell r="H4567" t="str">
            <v>Riccia subbifurca</v>
          </cell>
        </row>
        <row r="4568">
          <cell r="A4568" t="str">
            <v>Ricciocarpos natans</v>
          </cell>
          <cell r="B4568" t="str">
            <v>Mosses and liverworts</v>
          </cell>
          <cell r="C4568" t="str">
            <v>Bryophyta</v>
          </cell>
          <cell r="D4568" t="str">
            <v>Ricciocarpos natans</v>
          </cell>
          <cell r="E4568" t="str">
            <v>LC</v>
          </cell>
          <cell r="F4568" t="str">
            <v>Callaghan, 2022</v>
          </cell>
          <cell r="G4568" t="str">
            <v>NHMSYS0000310456</v>
          </cell>
          <cell r="H4568" t="str">
            <v>Ricciocarpos natans</v>
          </cell>
        </row>
        <row r="4569">
          <cell r="A4569" t="str">
            <v>Saccogyna viticulosa</v>
          </cell>
          <cell r="B4569" t="str">
            <v>Mosses and liverworts</v>
          </cell>
          <cell r="C4569" t="str">
            <v>Bryophyta</v>
          </cell>
          <cell r="D4569" t="str">
            <v>Saccogyna viticulosa</v>
          </cell>
          <cell r="E4569" t="str">
            <v>LC</v>
          </cell>
          <cell r="F4569" t="str">
            <v>Callaghan, 2022</v>
          </cell>
          <cell r="G4569" t="str">
            <v>NHMSYS0000310458</v>
          </cell>
          <cell r="H4569" t="str">
            <v>Saccogyna viticulosa</v>
          </cell>
        </row>
        <row r="4570">
          <cell r="A4570" t="str">
            <v>Sanionia uncinata</v>
          </cell>
          <cell r="B4570" t="str">
            <v>Mosses and liverworts</v>
          </cell>
          <cell r="C4570" t="str">
            <v>Bryophyta</v>
          </cell>
          <cell r="D4570" t="str">
            <v>Sanionia uncinata</v>
          </cell>
          <cell r="E4570" t="str">
            <v>LC</v>
          </cell>
          <cell r="F4570" t="str">
            <v>Callaghan, 2022</v>
          </cell>
          <cell r="G4570" t="str">
            <v>NBNSYS0100005382</v>
          </cell>
          <cell r="H4570" t="str">
            <v>Sanionia uncinata</v>
          </cell>
        </row>
        <row r="4571">
          <cell r="A4571" t="str">
            <v>Sarmentypnum exannulatum</v>
          </cell>
          <cell r="B4571" t="str">
            <v>Mosses and liverworts</v>
          </cell>
          <cell r="C4571" t="str">
            <v>Bryophyta</v>
          </cell>
          <cell r="D4571" t="str">
            <v>Sarmentypnum exannulatum</v>
          </cell>
          <cell r="E4571" t="str">
            <v>LC</v>
          </cell>
          <cell r="F4571" t="str">
            <v>Callaghan, 2022</v>
          </cell>
          <cell r="G4571" t="str">
            <v>NHMSYS0021194734</v>
          </cell>
          <cell r="H4571" t="str">
            <v>Sarmentypnum exannulatum</v>
          </cell>
        </row>
        <row r="4572">
          <cell r="A4572" t="str">
            <v>Sarmentypnum sarmentosum</v>
          </cell>
          <cell r="B4572" t="str">
            <v>Mosses and liverworts</v>
          </cell>
          <cell r="C4572" t="str">
            <v>Bryophyta</v>
          </cell>
          <cell r="D4572" t="str">
            <v>Sarmentypnum sarmentosum</v>
          </cell>
          <cell r="E4572" t="str">
            <v>LC</v>
          </cell>
          <cell r="F4572" t="str">
            <v>Callaghan, 2022</v>
          </cell>
          <cell r="G4572" t="str">
            <v>NBNSYS0000156307</v>
          </cell>
          <cell r="H4572" t="str">
            <v>Sarmentypnum sarmentosum</v>
          </cell>
        </row>
        <row r="4573">
          <cell r="A4573" t="str">
            <v>Scapania aequiloba</v>
          </cell>
          <cell r="B4573" t="str">
            <v>Mosses and liverworts</v>
          </cell>
          <cell r="C4573" t="str">
            <v>Bryophyta</v>
          </cell>
          <cell r="D4573" t="str">
            <v>Scapania aequiloba</v>
          </cell>
          <cell r="E4573" t="str">
            <v>LC</v>
          </cell>
          <cell r="F4573" t="str">
            <v>Callaghan, 2022</v>
          </cell>
          <cell r="G4573" t="str">
            <v>NHMSYS0000310462</v>
          </cell>
          <cell r="H4573" t="str">
            <v>Scapania aequiloba</v>
          </cell>
        </row>
        <row r="4574">
          <cell r="A4574" t="str">
            <v>Scapania aspera</v>
          </cell>
          <cell r="B4574" t="str">
            <v>Mosses and liverworts</v>
          </cell>
          <cell r="C4574" t="str">
            <v>Bryophyta</v>
          </cell>
          <cell r="D4574" t="str">
            <v>Scapania aspera</v>
          </cell>
          <cell r="E4574" t="str">
            <v>LC</v>
          </cell>
          <cell r="F4574" t="str">
            <v>Callaghan, 2022</v>
          </cell>
          <cell r="G4574" t="str">
            <v>NHMSYS0000310463</v>
          </cell>
          <cell r="H4574" t="str">
            <v>Scapania aspera</v>
          </cell>
        </row>
        <row r="4575">
          <cell r="A4575" t="str">
            <v>Scapania compacta</v>
          </cell>
          <cell r="B4575" t="str">
            <v>Mosses and liverworts</v>
          </cell>
          <cell r="C4575" t="str">
            <v>Bryophyta</v>
          </cell>
          <cell r="D4575" t="str">
            <v>Scapania compacta</v>
          </cell>
          <cell r="E4575" t="str">
            <v>LC</v>
          </cell>
          <cell r="F4575" t="str">
            <v>Callaghan, 2022</v>
          </cell>
          <cell r="G4575" t="str">
            <v>NHMSYS0000310465</v>
          </cell>
          <cell r="H4575" t="str">
            <v>Scapania compacta</v>
          </cell>
        </row>
        <row r="4576">
          <cell r="A4576" t="str">
            <v>Scapania cuspiduligera</v>
          </cell>
          <cell r="B4576" t="str">
            <v>Mosses and liverworts</v>
          </cell>
          <cell r="C4576" t="str">
            <v>Bryophyta</v>
          </cell>
          <cell r="D4576" t="str">
            <v>Scapania cuspiduligera</v>
          </cell>
          <cell r="E4576" t="str">
            <v>LC</v>
          </cell>
          <cell r="F4576" t="str">
            <v>Callaghan, 2022</v>
          </cell>
          <cell r="G4576" t="str">
            <v>NHMSYS0000310467</v>
          </cell>
          <cell r="H4576" t="str">
            <v>Scapania cuspiduligera</v>
          </cell>
        </row>
        <row r="4577">
          <cell r="A4577" t="str">
            <v>Scapania degenii</v>
          </cell>
          <cell r="B4577" t="str">
            <v>Mosses and liverworts</v>
          </cell>
          <cell r="C4577" t="str">
            <v>Bryophyta</v>
          </cell>
          <cell r="D4577" t="str">
            <v>Scapania degenii</v>
          </cell>
          <cell r="E4577" t="str">
            <v>LC</v>
          </cell>
          <cell r="F4577" t="str">
            <v>Callaghan, 2022</v>
          </cell>
          <cell r="G4577" t="str">
            <v>NHMSYS0000310468</v>
          </cell>
          <cell r="H4577" t="str">
            <v>Scapania degenii</v>
          </cell>
        </row>
        <row r="4578">
          <cell r="A4578" t="str">
            <v>Scapania gracilis</v>
          </cell>
          <cell r="B4578" t="str">
            <v>Mosses and liverworts</v>
          </cell>
          <cell r="C4578" t="str">
            <v>Bryophyta</v>
          </cell>
          <cell r="D4578" t="str">
            <v>Scapania gracilis</v>
          </cell>
          <cell r="E4578" t="str">
            <v>LC</v>
          </cell>
          <cell r="F4578" t="str">
            <v>Callaghan, 2022</v>
          </cell>
          <cell r="G4578" t="str">
            <v>NBNSYS0000035941</v>
          </cell>
          <cell r="H4578" t="str">
            <v>Scapania gracilis</v>
          </cell>
        </row>
        <row r="4579">
          <cell r="A4579" t="str">
            <v>Scapania irrigua</v>
          </cell>
          <cell r="B4579" t="str">
            <v>Mosses and liverworts</v>
          </cell>
          <cell r="C4579" t="str">
            <v>Bryophyta</v>
          </cell>
          <cell r="D4579" t="str">
            <v>Scapania irrigua</v>
          </cell>
          <cell r="E4579" t="str">
            <v>LC</v>
          </cell>
          <cell r="F4579" t="str">
            <v>Callaghan, 2022</v>
          </cell>
          <cell r="G4579" t="str">
            <v>NBNSYS0000035931</v>
          </cell>
          <cell r="H4579" t="str">
            <v>Scapania irrigua</v>
          </cell>
        </row>
        <row r="4580">
          <cell r="A4580" t="str">
            <v>Scapania lingulata</v>
          </cell>
          <cell r="B4580" t="str">
            <v>Mosses and liverworts</v>
          </cell>
          <cell r="C4580" t="str">
            <v>Bryophyta</v>
          </cell>
          <cell r="D4580" t="str">
            <v>Scapania lingulata</v>
          </cell>
          <cell r="E4580" t="str">
            <v>LC</v>
          </cell>
          <cell r="F4580" t="str">
            <v>Callaghan, 2022</v>
          </cell>
          <cell r="G4580" t="str">
            <v>NHMSYS0000310470</v>
          </cell>
          <cell r="H4580" t="str">
            <v>Scapania lingulata</v>
          </cell>
        </row>
        <row r="4581">
          <cell r="A4581" t="str">
            <v>Scapania nemorea</v>
          </cell>
          <cell r="B4581" t="str">
            <v>Mosses and liverworts</v>
          </cell>
          <cell r="C4581" t="str">
            <v>Bryophyta</v>
          </cell>
          <cell r="D4581" t="str">
            <v>Scapania nemorea</v>
          </cell>
          <cell r="E4581" t="str">
            <v>LC</v>
          </cell>
          <cell r="F4581" t="str">
            <v>Callaghan, 2022</v>
          </cell>
          <cell r="G4581" t="str">
            <v>NBNSYS0000022266</v>
          </cell>
          <cell r="H4581" t="str">
            <v>Scapania nemorea</v>
          </cell>
        </row>
        <row r="4582">
          <cell r="A4582" t="str">
            <v>Scapania ornithopoides</v>
          </cell>
          <cell r="B4582" t="str">
            <v>Mosses and liverworts</v>
          </cell>
          <cell r="C4582" t="str">
            <v>Bryophyta</v>
          </cell>
          <cell r="D4582" t="str">
            <v>Scapania ornithopoides</v>
          </cell>
          <cell r="E4582" t="str">
            <v>LC</v>
          </cell>
          <cell r="F4582" t="str">
            <v>Callaghan, 2022</v>
          </cell>
          <cell r="G4582" t="str">
            <v>NBNSYS0000035942</v>
          </cell>
          <cell r="H4582" t="str">
            <v>Scapania ornithopoides</v>
          </cell>
        </row>
        <row r="4583">
          <cell r="A4583" t="str">
            <v>Scapania paludosa</v>
          </cell>
          <cell r="B4583" t="str">
            <v>Mosses and liverworts</v>
          </cell>
          <cell r="C4583" t="str">
            <v>Bryophyta</v>
          </cell>
          <cell r="D4583" t="str">
            <v>Scapania paludosa</v>
          </cell>
          <cell r="E4583" t="str">
            <v>NT</v>
          </cell>
          <cell r="F4583" t="str">
            <v>Callaghan, 2022</v>
          </cell>
          <cell r="G4583" t="str">
            <v>NHMSYS0000310475</v>
          </cell>
          <cell r="H4583" t="str">
            <v>Scapania paludosa</v>
          </cell>
        </row>
        <row r="4584">
          <cell r="A4584" t="str">
            <v>Scapania praetervisa</v>
          </cell>
          <cell r="B4584" t="str">
            <v>Mosses and liverworts</v>
          </cell>
          <cell r="C4584" t="str">
            <v>Bryophyta</v>
          </cell>
          <cell r="D4584" t="str">
            <v>Scapania praetervisa</v>
          </cell>
          <cell r="E4584" t="str">
            <v>EN</v>
          </cell>
          <cell r="F4584" t="str">
            <v>Callaghan, 2022</v>
          </cell>
          <cell r="G4584" t="str">
            <v>NBNSYS0000035929</v>
          </cell>
          <cell r="H4584" t="str">
            <v>Scapania praetervisa</v>
          </cell>
        </row>
        <row r="4585">
          <cell r="A4585" t="str">
            <v>Scapania scandica</v>
          </cell>
          <cell r="B4585" t="str">
            <v>Mosses and liverworts</v>
          </cell>
          <cell r="C4585" t="str">
            <v>Bryophyta</v>
          </cell>
          <cell r="D4585" t="str">
            <v>Scapania scandica</v>
          </cell>
          <cell r="E4585" t="str">
            <v>LC</v>
          </cell>
          <cell r="F4585" t="str">
            <v>Callaghan, 2022</v>
          </cell>
          <cell r="G4585" t="str">
            <v>NHMSYS0000310476</v>
          </cell>
          <cell r="H4585" t="str">
            <v>Scapania scandica</v>
          </cell>
        </row>
        <row r="4586">
          <cell r="A4586" t="str">
            <v>Scapania subalpina</v>
          </cell>
          <cell r="B4586" t="str">
            <v>Mosses and liverworts</v>
          </cell>
          <cell r="C4586" t="str">
            <v>Bryophyta</v>
          </cell>
          <cell r="D4586" t="str">
            <v>Scapania subalpina</v>
          </cell>
          <cell r="E4586" t="str">
            <v>LC</v>
          </cell>
          <cell r="F4586" t="str">
            <v>Callaghan, 2022</v>
          </cell>
          <cell r="G4586" t="str">
            <v>NHMSYS0000310477</v>
          </cell>
          <cell r="H4586" t="str">
            <v>Scapania subalpina</v>
          </cell>
        </row>
        <row r="4587">
          <cell r="A4587" t="str">
            <v>Scapania uliginosa</v>
          </cell>
          <cell r="B4587" t="str">
            <v>Mosses and liverworts</v>
          </cell>
          <cell r="C4587" t="str">
            <v>Bryophyta</v>
          </cell>
          <cell r="D4587" t="str">
            <v>Scapania uliginosa</v>
          </cell>
          <cell r="E4587" t="str">
            <v>LC</v>
          </cell>
          <cell r="F4587" t="str">
            <v>Callaghan, 2022</v>
          </cell>
          <cell r="G4587" t="str">
            <v>NHMSYS0000310478</v>
          </cell>
          <cell r="H4587" t="str">
            <v>Scapania uliginosa</v>
          </cell>
        </row>
        <row r="4588">
          <cell r="A4588" t="str">
            <v>Scapania umbrosa</v>
          </cell>
          <cell r="B4588" t="str">
            <v>Mosses and liverworts</v>
          </cell>
          <cell r="C4588" t="str">
            <v>Bryophyta</v>
          </cell>
          <cell r="D4588" t="str">
            <v>Scapania umbrosa</v>
          </cell>
          <cell r="E4588" t="str">
            <v>LC</v>
          </cell>
          <cell r="F4588" t="str">
            <v>Callaghan, 2022</v>
          </cell>
          <cell r="G4588" t="str">
            <v>NHMSYS0000310586</v>
          </cell>
          <cell r="H4588" t="str">
            <v>Scapania umbrosa</v>
          </cell>
        </row>
        <row r="4589">
          <cell r="A4589" t="str">
            <v>Scapania undulata</v>
          </cell>
          <cell r="B4589" t="str">
            <v>Mosses and liverworts</v>
          </cell>
          <cell r="C4589" t="str">
            <v>Bryophyta</v>
          </cell>
          <cell r="D4589" t="str">
            <v>Scapania undulata</v>
          </cell>
          <cell r="E4589" t="str">
            <v>LC</v>
          </cell>
          <cell r="F4589" t="str">
            <v>Callaghan, 2022</v>
          </cell>
          <cell r="G4589" t="str">
            <v>NHMSYS0000310587</v>
          </cell>
          <cell r="H4589" t="str">
            <v>Scapania undulata</v>
          </cell>
        </row>
        <row r="4590">
          <cell r="A4590" t="str">
            <v>Schistidium agassizii</v>
          </cell>
          <cell r="B4590" t="str">
            <v>Mosses and liverworts</v>
          </cell>
          <cell r="C4590" t="str">
            <v>Bryophyta</v>
          </cell>
          <cell r="D4590" t="str">
            <v>Schistidium agassizii</v>
          </cell>
          <cell r="E4590" t="str">
            <v>LC</v>
          </cell>
          <cell r="F4590" t="str">
            <v>Callaghan, 2022</v>
          </cell>
          <cell r="G4590" t="str">
            <v>NHMSYS0000310590</v>
          </cell>
          <cell r="H4590" t="str">
            <v>Schistidium agassizii</v>
          </cell>
        </row>
        <row r="4591">
          <cell r="A4591" t="str">
            <v>Schistidium apocarpum</v>
          </cell>
          <cell r="B4591" t="str">
            <v>Mosses and liverworts</v>
          </cell>
          <cell r="C4591" t="str">
            <v>Bryophyta</v>
          </cell>
          <cell r="D4591" t="str">
            <v>Schistidium apocarpum</v>
          </cell>
          <cell r="E4591" t="str">
            <v>LC</v>
          </cell>
          <cell r="F4591" t="str">
            <v>Callaghan, 2022</v>
          </cell>
          <cell r="G4591" t="str">
            <v>NHMSYS0000309281</v>
          </cell>
          <cell r="H4591" t="str">
            <v>Schistidium apocarpum</v>
          </cell>
        </row>
        <row r="4592">
          <cell r="A4592" t="str">
            <v>Schistidium confertum</v>
          </cell>
          <cell r="B4592" t="str">
            <v>Mosses and liverworts</v>
          </cell>
          <cell r="C4592" t="str">
            <v>Bryophyta</v>
          </cell>
          <cell r="D4592" t="str">
            <v>Schistidium confertum</v>
          </cell>
          <cell r="E4592" t="str">
            <v>LC</v>
          </cell>
          <cell r="F4592" t="str">
            <v>Callaghan, 2022</v>
          </cell>
          <cell r="G4592" t="str">
            <v>NHMSYS0000310597</v>
          </cell>
          <cell r="H4592" t="str">
            <v>Schistidium confertum</v>
          </cell>
        </row>
        <row r="4593">
          <cell r="A4593" t="str">
            <v>Schistidium crassipilum</v>
          </cell>
          <cell r="B4593" t="str">
            <v>Mosses and liverworts</v>
          </cell>
          <cell r="C4593" t="str">
            <v>Bryophyta</v>
          </cell>
          <cell r="D4593" t="str">
            <v>Schistidium crassipilum</v>
          </cell>
          <cell r="E4593" t="str">
            <v>LC</v>
          </cell>
          <cell r="F4593" t="str">
            <v>Callaghan, 2022</v>
          </cell>
          <cell r="G4593" t="str">
            <v>NBNSYS0100005429</v>
          </cell>
          <cell r="H4593" t="str">
            <v>Schistidium crassipilum</v>
          </cell>
        </row>
        <row r="4594">
          <cell r="A4594" t="str">
            <v>Schistidium elegantulum</v>
          </cell>
          <cell r="B4594" t="str">
            <v>Mosses and liverworts</v>
          </cell>
          <cell r="C4594" t="str">
            <v>Bryophyta</v>
          </cell>
          <cell r="D4594" t="str">
            <v>Schistidium elegantulum</v>
          </cell>
          <cell r="E4594" t="str">
            <v>LC</v>
          </cell>
          <cell r="F4594" t="str">
            <v>Callaghan, 2022</v>
          </cell>
          <cell r="G4594" t="str">
            <v>NBNSYS0100005431</v>
          </cell>
          <cell r="H4594" t="str">
            <v>Schistidium elegantulum</v>
          </cell>
        </row>
        <row r="4595">
          <cell r="A4595" t="str">
            <v>Schistidium frigidum</v>
          </cell>
          <cell r="B4595" t="str">
            <v>Mosses and liverworts</v>
          </cell>
          <cell r="C4595" t="str">
            <v>Bryophyta</v>
          </cell>
          <cell r="D4595" t="str">
            <v>Schistidium frigidum</v>
          </cell>
          <cell r="E4595" t="str">
            <v>LC</v>
          </cell>
          <cell r="F4595" t="str">
            <v>Callaghan, 2022</v>
          </cell>
          <cell r="G4595" t="str">
            <v>NBNSYS0100005435</v>
          </cell>
          <cell r="H4595" t="str">
            <v>Schistidium frigidum</v>
          </cell>
        </row>
        <row r="4596">
          <cell r="A4596" t="str">
            <v>Schistidium maritimum</v>
          </cell>
          <cell r="B4596" t="str">
            <v>Mosses and liverworts</v>
          </cell>
          <cell r="C4596" t="str">
            <v>Bryophyta</v>
          </cell>
          <cell r="D4596" t="str">
            <v>Schistidium maritimum</v>
          </cell>
          <cell r="E4596" t="str">
            <v>LC</v>
          </cell>
          <cell r="F4596" t="str">
            <v>Callaghan, 2022</v>
          </cell>
          <cell r="G4596" t="str">
            <v>NHMSYS0000310601</v>
          </cell>
          <cell r="H4596" t="str">
            <v>Schistidium maritimum</v>
          </cell>
        </row>
        <row r="4597">
          <cell r="A4597" t="str">
            <v>Schistidium platyphyllum</v>
          </cell>
          <cell r="B4597" t="str">
            <v>Mosses and liverworts</v>
          </cell>
          <cell r="C4597" t="str">
            <v>Bryophyta</v>
          </cell>
          <cell r="D4597" t="str">
            <v>Schistidium platyphyllum</v>
          </cell>
          <cell r="E4597" t="str">
            <v>LC</v>
          </cell>
          <cell r="F4597" t="str">
            <v>Callaghan, 2022</v>
          </cell>
          <cell r="G4597" t="str">
            <v>NBNSYS0100005439</v>
          </cell>
          <cell r="H4597" t="str">
            <v>Schistidium platyphyllum</v>
          </cell>
        </row>
        <row r="4598">
          <cell r="A4598" t="str">
            <v>Schistidium pruinosum</v>
          </cell>
          <cell r="B4598" t="str">
            <v>Mosses and liverworts</v>
          </cell>
          <cell r="C4598" t="str">
            <v>Bryophyta</v>
          </cell>
          <cell r="D4598" t="str">
            <v>Schistidium pruinosum</v>
          </cell>
          <cell r="E4598" t="str">
            <v>LC</v>
          </cell>
          <cell r="F4598" t="str">
            <v>Callaghan, 2022</v>
          </cell>
          <cell r="G4598" t="str">
            <v>NBNSYS0100005440</v>
          </cell>
          <cell r="H4598" t="str">
            <v>Schistidium pruinosum</v>
          </cell>
        </row>
        <row r="4599">
          <cell r="A4599" t="str">
            <v>Schistidium rivulare</v>
          </cell>
          <cell r="B4599" t="str">
            <v>Mosses and liverworts</v>
          </cell>
          <cell r="C4599" t="str">
            <v>Bryophyta</v>
          </cell>
          <cell r="D4599" t="str">
            <v>Schistidium rivulare</v>
          </cell>
          <cell r="E4599" t="str">
            <v>LC</v>
          </cell>
          <cell r="F4599" t="str">
            <v>Callaghan, 2022</v>
          </cell>
          <cell r="G4599" t="str">
            <v>NHMSYS0000310914</v>
          </cell>
          <cell r="H4599" t="str">
            <v>Schistidium rivulare</v>
          </cell>
        </row>
        <row r="4600">
          <cell r="A4600" t="str">
            <v>Schistidium robustum</v>
          </cell>
          <cell r="B4600" t="str">
            <v>Mosses and liverworts</v>
          </cell>
          <cell r="C4600" t="str">
            <v>Bryophyta</v>
          </cell>
          <cell r="D4600" t="str">
            <v>Schistidium robustum</v>
          </cell>
          <cell r="E4600" t="str">
            <v>LC</v>
          </cell>
          <cell r="F4600" t="str">
            <v>Callaghan, 2022</v>
          </cell>
          <cell r="G4600" t="str">
            <v>NHMSYS0000310603</v>
          </cell>
          <cell r="H4600" t="str">
            <v>Schistidium robustum</v>
          </cell>
        </row>
        <row r="4601">
          <cell r="A4601" t="str">
            <v>Schistidium strictum</v>
          </cell>
          <cell r="B4601" t="str">
            <v>Mosses and liverworts</v>
          </cell>
          <cell r="C4601" t="str">
            <v>Bryophyta</v>
          </cell>
          <cell r="D4601" t="str">
            <v>Schistidium strictum</v>
          </cell>
          <cell r="E4601" t="str">
            <v>LC</v>
          </cell>
          <cell r="F4601" t="str">
            <v>Callaghan, 2022</v>
          </cell>
          <cell r="G4601" t="str">
            <v>NHMSYS0000310604</v>
          </cell>
          <cell r="H4601" t="str">
            <v>Schistidium strictum</v>
          </cell>
        </row>
        <row r="4602">
          <cell r="A4602" t="str">
            <v>Schistidium trichodon</v>
          </cell>
          <cell r="B4602" t="str">
            <v>Mosses and liverworts</v>
          </cell>
          <cell r="C4602" t="str">
            <v>Bryophyta</v>
          </cell>
          <cell r="D4602" t="str">
            <v>Schistidium trichodon</v>
          </cell>
          <cell r="E4602" t="str">
            <v>LC</v>
          </cell>
          <cell r="F4602" t="str">
            <v>Callaghan, 2022</v>
          </cell>
          <cell r="G4602" t="str">
            <v>NBNSYS0000036458</v>
          </cell>
          <cell r="H4602" t="str">
            <v>Schistidium trichodon</v>
          </cell>
        </row>
        <row r="4603">
          <cell r="A4603" t="str">
            <v>Schistochilopsis incisa</v>
          </cell>
          <cell r="B4603" t="str">
            <v>Mosses and liverworts</v>
          </cell>
          <cell r="C4603" t="str">
            <v>Bryophyta</v>
          </cell>
          <cell r="D4603" t="str">
            <v>Schistochilopsis incisa</v>
          </cell>
          <cell r="E4603" t="str">
            <v>LC</v>
          </cell>
          <cell r="F4603" t="str">
            <v>Callaghan, 2022</v>
          </cell>
          <cell r="G4603" t="str">
            <v>NHMSYS0000309921</v>
          </cell>
          <cell r="H4603" t="str">
            <v>Schistochilopsis incisa</v>
          </cell>
        </row>
        <row r="4604">
          <cell r="A4604" t="str">
            <v>Schistochilopsis opacifolia</v>
          </cell>
          <cell r="B4604" t="str">
            <v>Mosses and liverworts</v>
          </cell>
          <cell r="C4604" t="str">
            <v>Bryophyta</v>
          </cell>
          <cell r="D4604" t="str">
            <v>Schistochilopsis opacifolia</v>
          </cell>
          <cell r="E4604" t="str">
            <v>LC</v>
          </cell>
          <cell r="F4604" t="str">
            <v>Callaghan, 2022</v>
          </cell>
          <cell r="G4604" t="str">
            <v>NHMSYS0000309924</v>
          </cell>
          <cell r="H4604" t="str">
            <v>Schistochilopsis opacifolia</v>
          </cell>
        </row>
        <row r="4605">
          <cell r="A4605" t="str">
            <v>Schistostega pennata</v>
          </cell>
          <cell r="B4605" t="str">
            <v>Mosses and liverworts</v>
          </cell>
          <cell r="C4605" t="str">
            <v>Bryophyta</v>
          </cell>
          <cell r="D4605" t="str">
            <v>Schistostega pennata</v>
          </cell>
          <cell r="E4605" t="str">
            <v>LC</v>
          </cell>
          <cell r="F4605" t="str">
            <v>Callaghan, 2022</v>
          </cell>
          <cell r="G4605" t="str">
            <v>NHMSYS0000310606</v>
          </cell>
          <cell r="H4605" t="str">
            <v>Schistostega pennata</v>
          </cell>
        </row>
        <row r="4606">
          <cell r="A4606" t="str">
            <v>Sciuro-hypnum plumosum</v>
          </cell>
          <cell r="B4606" t="str">
            <v>Mosses and liverworts</v>
          </cell>
          <cell r="C4606" t="str">
            <v>Bryophyta</v>
          </cell>
          <cell r="D4606" t="str">
            <v>Sciuro-hypnum plumosum</v>
          </cell>
          <cell r="E4606" t="str">
            <v>LC</v>
          </cell>
          <cell r="F4606" t="str">
            <v>Callaghan, 2022</v>
          </cell>
          <cell r="G4606" t="str">
            <v>NHMSYS0020695899</v>
          </cell>
          <cell r="H4606" t="str">
            <v>Sciuro-hypnum plumosum</v>
          </cell>
        </row>
        <row r="4607">
          <cell r="A4607" t="str">
            <v>Sciuro-hypnum populeum</v>
          </cell>
          <cell r="B4607" t="str">
            <v>Mosses and liverworts</v>
          </cell>
          <cell r="C4607" t="str">
            <v>Bryophyta</v>
          </cell>
          <cell r="D4607" t="str">
            <v>Sciuro-hypnum populeum</v>
          </cell>
          <cell r="E4607" t="str">
            <v>LC</v>
          </cell>
          <cell r="F4607" t="str">
            <v>Callaghan, 2022</v>
          </cell>
          <cell r="G4607" t="str">
            <v>NHMSYS0020695905</v>
          </cell>
          <cell r="H4607" t="str">
            <v>Sciuro-hypnum populeum</v>
          </cell>
        </row>
        <row r="4608">
          <cell r="A4608" t="str">
            <v>Scleropodium cespitans</v>
          </cell>
          <cell r="B4608" t="str">
            <v>Mosses and liverworts</v>
          </cell>
          <cell r="C4608" t="str">
            <v>Bryophyta</v>
          </cell>
          <cell r="D4608" t="str">
            <v>Scleropodium cespitans</v>
          </cell>
          <cell r="E4608" t="str">
            <v>LC</v>
          </cell>
          <cell r="F4608" t="str">
            <v>Callaghan, 2022</v>
          </cell>
          <cell r="G4608" t="str">
            <v>NHMSYS0000310611</v>
          </cell>
          <cell r="H4608" t="str">
            <v>Scleropodium cespitans</v>
          </cell>
        </row>
        <row r="4609">
          <cell r="A4609" t="str">
            <v>Scleropodium touretii</v>
          </cell>
          <cell r="B4609" t="str">
            <v>Mosses and liverworts</v>
          </cell>
          <cell r="C4609" t="str">
            <v>Bryophyta</v>
          </cell>
          <cell r="D4609" t="str">
            <v>Scleropodium touretii</v>
          </cell>
          <cell r="E4609" t="str">
            <v>LC</v>
          </cell>
          <cell r="F4609" t="str">
            <v>Callaghan, 2022</v>
          </cell>
          <cell r="G4609" t="str">
            <v>NHMSYS0021177844</v>
          </cell>
          <cell r="H4609" t="str">
            <v>Scleropodium touretii</v>
          </cell>
        </row>
        <row r="4610">
          <cell r="A4610" t="str">
            <v>Scopelophila cataractae</v>
          </cell>
          <cell r="B4610" t="str">
            <v>Mosses and liverworts</v>
          </cell>
          <cell r="C4610" t="str">
            <v>Bryophyta</v>
          </cell>
          <cell r="D4610" t="str">
            <v>Scopelophila cataractae</v>
          </cell>
          <cell r="E4610" t="str">
            <v>EN</v>
          </cell>
          <cell r="F4610" t="str">
            <v>Callaghan, 2022</v>
          </cell>
          <cell r="G4610" t="str">
            <v>NBNSYS0000036332</v>
          </cell>
          <cell r="H4610" t="str">
            <v>Scopelophila cataractae</v>
          </cell>
        </row>
        <row r="4611">
          <cell r="A4611" t="str">
            <v>Scorpidium cossonii</v>
          </cell>
          <cell r="B4611" t="str">
            <v>Mosses and liverworts</v>
          </cell>
          <cell r="C4611" t="str">
            <v>Bryophyta</v>
          </cell>
          <cell r="D4611" t="str">
            <v>Scorpidium cossonii</v>
          </cell>
          <cell r="E4611" t="str">
            <v>LC</v>
          </cell>
          <cell r="F4611" t="str">
            <v>Callaghan, 2022</v>
          </cell>
          <cell r="G4611" t="str">
            <v>NBNSYS0000156552</v>
          </cell>
          <cell r="H4611" t="str">
            <v>Scorpidium cossonii</v>
          </cell>
        </row>
        <row r="4612">
          <cell r="A4612" t="str">
            <v>Scorpidium revolvens</v>
          </cell>
          <cell r="B4612" t="str">
            <v>Mosses and liverworts</v>
          </cell>
          <cell r="C4612" t="str">
            <v>Bryophyta</v>
          </cell>
          <cell r="D4612" t="str">
            <v>Scorpidium revolvens</v>
          </cell>
          <cell r="E4612" t="str">
            <v>LC</v>
          </cell>
          <cell r="F4612" t="str">
            <v>Callaghan, 2022</v>
          </cell>
          <cell r="G4612" t="str">
            <v>NBNSYS0000156554</v>
          </cell>
          <cell r="H4612" t="str">
            <v>Scorpidium revolvens</v>
          </cell>
        </row>
        <row r="4613">
          <cell r="A4613" t="str">
            <v>Scorpidium scorpioides</v>
          </cell>
          <cell r="B4613" t="str">
            <v>Mosses and liverworts</v>
          </cell>
          <cell r="C4613" t="str">
            <v>Bryophyta</v>
          </cell>
          <cell r="D4613" t="str">
            <v>Scorpidium scorpioides</v>
          </cell>
          <cell r="E4613" t="str">
            <v>LC</v>
          </cell>
          <cell r="F4613" t="str">
            <v>Callaghan, 2022</v>
          </cell>
          <cell r="G4613" t="str">
            <v>NBNSYS0000036840</v>
          </cell>
          <cell r="H4613" t="str">
            <v>Scorpidium scorpioides</v>
          </cell>
        </row>
        <row r="4614">
          <cell r="A4614" t="str">
            <v>Scorpiurium circinatum</v>
          </cell>
          <cell r="B4614" t="str">
            <v>Mosses and liverworts</v>
          </cell>
          <cell r="C4614" t="str">
            <v>Bryophyta</v>
          </cell>
          <cell r="D4614" t="str">
            <v>Scorpiurium circinatum</v>
          </cell>
          <cell r="E4614" t="str">
            <v>LC</v>
          </cell>
          <cell r="F4614" t="str">
            <v>Callaghan, 2022</v>
          </cell>
          <cell r="G4614" t="str">
            <v>NHMSYS0000310618</v>
          </cell>
          <cell r="H4614" t="str">
            <v>Scorpiurium circinatum</v>
          </cell>
        </row>
        <row r="4615">
          <cell r="A4615" t="str">
            <v>Seligeria acutifolia</v>
          </cell>
          <cell r="B4615" t="str">
            <v>Mosses and liverworts</v>
          </cell>
          <cell r="C4615" t="str">
            <v>Bryophyta</v>
          </cell>
          <cell r="D4615" t="str">
            <v>Seligeria acutifolia</v>
          </cell>
          <cell r="E4615" t="str">
            <v>LC</v>
          </cell>
          <cell r="F4615" t="str">
            <v>Callaghan, 2022</v>
          </cell>
          <cell r="G4615" t="str">
            <v>NHMSYS0000310620</v>
          </cell>
          <cell r="H4615" t="str">
            <v>Seligeria acutifolia</v>
          </cell>
        </row>
        <row r="4616">
          <cell r="A4616" t="str">
            <v>Seligeria brevifolia</v>
          </cell>
          <cell r="B4616" t="str">
            <v>Mosses and liverworts</v>
          </cell>
          <cell r="C4616" t="str">
            <v>Bryophyta</v>
          </cell>
          <cell r="D4616" t="str">
            <v>Seligeria brevifolia</v>
          </cell>
          <cell r="E4616" t="str">
            <v>EN</v>
          </cell>
          <cell r="F4616" t="str">
            <v>Callaghan, 2022</v>
          </cell>
          <cell r="G4616" t="str">
            <v>NBNSYS0000036175</v>
          </cell>
          <cell r="H4616" t="str">
            <v>Seligeria brevifolia</v>
          </cell>
        </row>
        <row r="4617">
          <cell r="A4617" t="str">
            <v>Seligeria calcarea</v>
          </cell>
          <cell r="B4617" t="str">
            <v>Mosses and liverworts</v>
          </cell>
          <cell r="C4617" t="str">
            <v>Bryophyta</v>
          </cell>
          <cell r="D4617" t="str">
            <v>Seligeria calcarea</v>
          </cell>
          <cell r="E4617" t="str">
            <v>LC</v>
          </cell>
          <cell r="F4617" t="str">
            <v>Callaghan, 2022</v>
          </cell>
          <cell r="G4617" t="str">
            <v>NHMSYS0000310621</v>
          </cell>
          <cell r="H4617" t="str">
            <v>Seligeria calcarea</v>
          </cell>
        </row>
        <row r="4618">
          <cell r="A4618" t="str">
            <v>Seligeria calycina</v>
          </cell>
          <cell r="B4618" t="str">
            <v>Mosses and liverworts</v>
          </cell>
          <cell r="C4618" t="str">
            <v>Bryophyta</v>
          </cell>
          <cell r="D4618" t="str">
            <v>Seligeria calycina</v>
          </cell>
          <cell r="E4618" t="str">
            <v>LC</v>
          </cell>
          <cell r="F4618" t="str">
            <v>Callaghan, 2022</v>
          </cell>
          <cell r="G4618" t="str">
            <v>NHMSYS0000310622</v>
          </cell>
          <cell r="H4618" t="str">
            <v>Seligeria calycina</v>
          </cell>
        </row>
        <row r="4619">
          <cell r="A4619" t="str">
            <v>Seligeria carniolica</v>
          </cell>
          <cell r="B4619" t="str">
            <v>Mosses and liverworts</v>
          </cell>
          <cell r="C4619" t="str">
            <v>Bryophyta</v>
          </cell>
          <cell r="D4619" t="str">
            <v>Seligeria carniolica</v>
          </cell>
          <cell r="E4619" t="str">
            <v>EN</v>
          </cell>
          <cell r="F4619" t="str">
            <v>Callaghan, 2022</v>
          </cell>
          <cell r="G4619" t="str">
            <v>NBNSYS0000036183</v>
          </cell>
          <cell r="H4619" t="str">
            <v>Seligeria carniolica</v>
          </cell>
        </row>
        <row r="4620">
          <cell r="A4620" t="str">
            <v>Seligeria donniana</v>
          </cell>
          <cell r="B4620" t="str">
            <v>Mosses and liverworts</v>
          </cell>
          <cell r="C4620" t="str">
            <v>Bryophyta</v>
          </cell>
          <cell r="D4620" t="str">
            <v>Seligeria donniana</v>
          </cell>
          <cell r="E4620" t="str">
            <v>LC</v>
          </cell>
          <cell r="F4620" t="str">
            <v>Callaghan, 2022</v>
          </cell>
          <cell r="G4620" t="str">
            <v>NHMSYS0000310624</v>
          </cell>
          <cell r="H4620" t="str">
            <v>Seligeria donniana</v>
          </cell>
        </row>
        <row r="4621">
          <cell r="A4621" t="str">
            <v>Seligeria patula</v>
          </cell>
          <cell r="B4621" t="str">
            <v>Mosses and liverworts</v>
          </cell>
          <cell r="C4621" t="str">
            <v>Bryophyta</v>
          </cell>
          <cell r="D4621" t="str">
            <v>Seligeria patula</v>
          </cell>
          <cell r="E4621" t="str">
            <v>NT</v>
          </cell>
          <cell r="F4621" t="str">
            <v>Callaghan, 2022</v>
          </cell>
          <cell r="G4621" t="str">
            <v>NHMSYS0000310626</v>
          </cell>
          <cell r="H4621" t="str">
            <v>Seligeria patula</v>
          </cell>
        </row>
        <row r="4622">
          <cell r="A4622" t="str">
            <v>Seligeria pusilla</v>
          </cell>
          <cell r="B4622" t="str">
            <v>Mosses and liverworts</v>
          </cell>
          <cell r="C4622" t="str">
            <v>Bryophyta</v>
          </cell>
          <cell r="D4622" t="str">
            <v>Seligeria pusilla</v>
          </cell>
          <cell r="E4622" t="str">
            <v>LC</v>
          </cell>
          <cell r="F4622" t="str">
            <v>Callaghan, 2022</v>
          </cell>
          <cell r="G4622" t="str">
            <v>NHMSYS0000310628</v>
          </cell>
          <cell r="H4622" t="str">
            <v>Seligeria pusilla</v>
          </cell>
        </row>
        <row r="4623">
          <cell r="A4623" t="str">
            <v>Sematophyllum substrumulosum</v>
          </cell>
          <cell r="B4623" t="str">
            <v>Mosses and liverworts</v>
          </cell>
          <cell r="C4623" t="str">
            <v>Bryophyta</v>
          </cell>
          <cell r="D4623" t="str">
            <v>Sematophyllum substrumulosum</v>
          </cell>
          <cell r="E4623" t="str">
            <v>LC</v>
          </cell>
          <cell r="F4623" t="str">
            <v>Callaghan, 2022</v>
          </cell>
          <cell r="G4623" t="str">
            <v>NHMSYS0000310635</v>
          </cell>
          <cell r="H4623" t="str">
            <v>Sematophyllum substrumulosum</v>
          </cell>
        </row>
        <row r="4624">
          <cell r="A4624" t="str">
            <v>Serpoleskea confervoides</v>
          </cell>
          <cell r="B4624" t="str">
            <v>Mosses and liverworts</v>
          </cell>
          <cell r="C4624" t="str">
            <v>Bryophyta</v>
          </cell>
          <cell r="D4624" t="str">
            <v>Serpoleskea confervoides</v>
          </cell>
          <cell r="E4624" t="str">
            <v>LC</v>
          </cell>
          <cell r="F4624" t="str">
            <v>Callaghan, 2022</v>
          </cell>
          <cell r="G4624" t="str">
            <v>NHMSYS0000309313</v>
          </cell>
          <cell r="H4624" t="str">
            <v>Serpoleskea confervoides</v>
          </cell>
        </row>
        <row r="4625">
          <cell r="A4625" t="str">
            <v>Solenostoma confertissimum</v>
          </cell>
          <cell r="B4625" t="str">
            <v>Mosses and liverworts</v>
          </cell>
          <cell r="C4625" t="str">
            <v>Bryophyta</v>
          </cell>
          <cell r="D4625" t="str">
            <v>Solenostoma confertissimum</v>
          </cell>
          <cell r="E4625" t="str">
            <v>LC</v>
          </cell>
          <cell r="F4625" t="str">
            <v>Callaghan, 2022</v>
          </cell>
          <cell r="G4625" t="str">
            <v>NHMSYS0021194752</v>
          </cell>
          <cell r="H4625" t="str">
            <v>Solenostoma confertissimum</v>
          </cell>
        </row>
        <row r="4626">
          <cell r="A4626" t="str">
            <v>Solenostoma gracillimum</v>
          </cell>
          <cell r="B4626" t="str">
            <v>Mosses and liverworts</v>
          </cell>
          <cell r="C4626" t="str">
            <v>Bryophyta</v>
          </cell>
          <cell r="D4626" t="str">
            <v>Solenostoma gracillimum</v>
          </cell>
          <cell r="E4626" t="str">
            <v>LC</v>
          </cell>
          <cell r="F4626" t="str">
            <v>Callaghan, 2022</v>
          </cell>
          <cell r="G4626" t="str">
            <v>NBNSYS0000156885</v>
          </cell>
          <cell r="H4626" t="str">
            <v>Solenostoma gracillimum</v>
          </cell>
        </row>
        <row r="4627">
          <cell r="A4627" t="str">
            <v>Solenostoma hyalinum</v>
          </cell>
          <cell r="B4627" t="str">
            <v>Mosses and liverworts</v>
          </cell>
          <cell r="C4627" t="str">
            <v>Bryophyta</v>
          </cell>
          <cell r="D4627" t="str">
            <v>Solenostoma hyalinum</v>
          </cell>
          <cell r="E4627" t="str">
            <v>LC</v>
          </cell>
          <cell r="F4627" t="str">
            <v>Callaghan, 2022</v>
          </cell>
          <cell r="G4627" t="str">
            <v>NBNSYS0000156886</v>
          </cell>
          <cell r="H4627" t="str">
            <v>Solenostoma hyalinum</v>
          </cell>
        </row>
        <row r="4628">
          <cell r="A4628" t="str">
            <v>Solenostoma obovatum</v>
          </cell>
          <cell r="B4628" t="str">
            <v>Mosses and liverworts</v>
          </cell>
          <cell r="C4628" t="str">
            <v>Bryophyta</v>
          </cell>
          <cell r="D4628" t="str">
            <v>Solenostoma obovatum</v>
          </cell>
          <cell r="E4628" t="str">
            <v>LC</v>
          </cell>
          <cell r="F4628" t="str">
            <v>Callaghan, 2022</v>
          </cell>
          <cell r="G4628" t="str">
            <v>NBNSYS0000156889</v>
          </cell>
          <cell r="H4628" t="str">
            <v>Solenostoma obovatum</v>
          </cell>
        </row>
        <row r="4629">
          <cell r="A4629" t="str">
            <v>Solenostoma paroicum</v>
          </cell>
          <cell r="B4629" t="str">
            <v>Mosses and liverworts</v>
          </cell>
          <cell r="C4629" t="str">
            <v>Bryophyta</v>
          </cell>
          <cell r="D4629" t="str">
            <v>Solenostoma paroicum</v>
          </cell>
          <cell r="E4629" t="str">
            <v>LC</v>
          </cell>
          <cell r="F4629" t="str">
            <v>Callaghan, 2022</v>
          </cell>
          <cell r="G4629" t="str">
            <v>NBNSYS0000156891</v>
          </cell>
          <cell r="H4629" t="str">
            <v>Solenostoma paroicum</v>
          </cell>
        </row>
        <row r="4630">
          <cell r="A4630" t="str">
            <v>Solenostoma sphaerocarpum</v>
          </cell>
          <cell r="B4630" t="str">
            <v>Mosses and liverworts</v>
          </cell>
          <cell r="C4630" t="str">
            <v>Bryophyta</v>
          </cell>
          <cell r="D4630" t="str">
            <v>Solenostoma sphaerocarpum</v>
          </cell>
          <cell r="E4630" t="str">
            <v>LC</v>
          </cell>
          <cell r="F4630" t="str">
            <v>Callaghan, 2022</v>
          </cell>
          <cell r="G4630" t="str">
            <v>NBNSYS0000156891</v>
          </cell>
          <cell r="H4630" t="str">
            <v>Solenostoma sphaerocarpum</v>
          </cell>
        </row>
        <row r="4631">
          <cell r="A4631" t="str">
            <v>Solenostoma subellipticum</v>
          </cell>
          <cell r="B4631" t="str">
            <v>Mosses and liverworts</v>
          </cell>
          <cell r="C4631" t="str">
            <v>Bryophyta</v>
          </cell>
          <cell r="D4631" t="str">
            <v>Solenostoma subellipticum</v>
          </cell>
          <cell r="E4631" t="str">
            <v>LC</v>
          </cell>
          <cell r="F4631" t="str">
            <v>Callaghan, 2022</v>
          </cell>
          <cell r="G4631" t="str">
            <v>NBNSYS0000156896</v>
          </cell>
          <cell r="H4631" t="str">
            <v>Solenostoma subellipticum</v>
          </cell>
        </row>
        <row r="4632">
          <cell r="A4632" t="str">
            <v>Southbya nigrella</v>
          </cell>
          <cell r="B4632" t="str">
            <v>Mosses and liverworts</v>
          </cell>
          <cell r="C4632" t="str">
            <v>Bryophyta</v>
          </cell>
          <cell r="D4632" t="str">
            <v>Southbya nigrella</v>
          </cell>
          <cell r="E4632" t="str">
            <v>CR</v>
          </cell>
          <cell r="F4632" t="str">
            <v>Callaghan, 2022</v>
          </cell>
          <cell r="G4632" t="str">
            <v>NHMSYS0000310647</v>
          </cell>
          <cell r="H4632" t="str">
            <v>Southbya nigrella</v>
          </cell>
        </row>
        <row r="4633">
          <cell r="A4633" t="str">
            <v>Southbya tophacea</v>
          </cell>
          <cell r="B4633" t="str">
            <v>Mosses and liverworts</v>
          </cell>
          <cell r="C4633" t="str">
            <v>Bryophyta</v>
          </cell>
          <cell r="D4633" t="str">
            <v>Southbya tophacea</v>
          </cell>
          <cell r="E4633" t="str">
            <v>EN</v>
          </cell>
          <cell r="F4633" t="str">
            <v>Callaghan, 2022</v>
          </cell>
          <cell r="G4633" t="str">
            <v>NBNSYS0000035967</v>
          </cell>
          <cell r="H4633" t="str">
            <v>Southbya tophacea</v>
          </cell>
        </row>
        <row r="4634">
          <cell r="A4634" t="str">
            <v>Sphaerocarpos europaeus</v>
          </cell>
          <cell r="B4634" t="str">
            <v>Mosses and liverworts</v>
          </cell>
          <cell r="C4634" t="str">
            <v>Bryophyta</v>
          </cell>
          <cell r="D4634" t="str">
            <v>Sphaerocarpos europaeus</v>
          </cell>
          <cell r="E4634" t="str">
            <v>LC</v>
          </cell>
          <cell r="F4634" t="str">
            <v>Callaghan, 2022</v>
          </cell>
          <cell r="G4634" t="str">
            <v>NHMSYS0000310650</v>
          </cell>
          <cell r="H4634" t="str">
            <v>Sphaerocarpos europaeus</v>
          </cell>
        </row>
        <row r="4635">
          <cell r="A4635" t="str">
            <v>Sphaerocarpos michelii</v>
          </cell>
          <cell r="B4635" t="str">
            <v>Mosses and liverworts</v>
          </cell>
          <cell r="C4635" t="str">
            <v>Bryophyta</v>
          </cell>
          <cell r="D4635" t="str">
            <v>Sphaerocarpos michelii</v>
          </cell>
          <cell r="E4635" t="str">
            <v>LC</v>
          </cell>
          <cell r="F4635" t="str">
            <v>Callaghan, 2022</v>
          </cell>
          <cell r="G4635" t="str">
            <v>NBNSYS0000036042</v>
          </cell>
          <cell r="H4635" t="str">
            <v>Sphaerocarpos michelii</v>
          </cell>
        </row>
        <row r="4636">
          <cell r="A4636" t="str">
            <v>Sphagnum affine</v>
          </cell>
          <cell r="B4636" t="str">
            <v>Mosses and liverworts</v>
          </cell>
          <cell r="C4636" t="str">
            <v>Bryophyta</v>
          </cell>
          <cell r="D4636" t="str">
            <v>Sphagnum affine</v>
          </cell>
          <cell r="E4636" t="str">
            <v>LC</v>
          </cell>
          <cell r="F4636" t="str">
            <v>Callaghan, 2022</v>
          </cell>
          <cell r="G4636" t="str">
            <v>NHMSYS0000310653</v>
          </cell>
          <cell r="H4636" t="str">
            <v>Sphagnum affine</v>
          </cell>
        </row>
        <row r="4637">
          <cell r="A4637" t="str">
            <v>Sphagnum angustifolium</v>
          </cell>
          <cell r="B4637" t="str">
            <v>Mosses and liverworts</v>
          </cell>
          <cell r="C4637" t="str">
            <v>Bryophyta</v>
          </cell>
          <cell r="D4637" t="str">
            <v>Sphagnum angustifolium</v>
          </cell>
          <cell r="E4637" t="str">
            <v>LC</v>
          </cell>
          <cell r="F4637" t="str">
            <v>Callaghan, 2022</v>
          </cell>
          <cell r="G4637" t="str">
            <v>NHMSYS0000310654</v>
          </cell>
          <cell r="H4637" t="str">
            <v>Sphagnum angustifolium</v>
          </cell>
        </row>
        <row r="4638">
          <cell r="A4638" t="str">
            <v>Sphagnum auriculatum</v>
          </cell>
          <cell r="B4638" t="str">
            <v>Mosses and liverworts</v>
          </cell>
          <cell r="C4638" t="str">
            <v>Bryophyta</v>
          </cell>
          <cell r="D4638" t="str">
            <v>Sphagnum auriculatum</v>
          </cell>
          <cell r="E4638" t="str">
            <v>LC</v>
          </cell>
          <cell r="F4638" t="str">
            <v>Callaghan, 2022</v>
          </cell>
          <cell r="G4638" t="str">
            <v>NHMSYS0000310916</v>
          </cell>
          <cell r="H4638" t="str">
            <v>Sphagnum auriculatum</v>
          </cell>
        </row>
        <row r="4639">
          <cell r="A4639" t="str">
            <v>Sphagnum austinii</v>
          </cell>
          <cell r="B4639" t="str">
            <v>Mosses and liverworts</v>
          </cell>
          <cell r="C4639" t="str">
            <v>Bryophyta</v>
          </cell>
          <cell r="D4639" t="str">
            <v>Sphagnum austinii</v>
          </cell>
          <cell r="E4639" t="str">
            <v>LC</v>
          </cell>
          <cell r="F4639" t="str">
            <v>Callaghan, 2022</v>
          </cell>
          <cell r="G4639" t="str">
            <v>NHMSYS0000310658</v>
          </cell>
          <cell r="H4639" t="str">
            <v>Sphagnum austinii</v>
          </cell>
        </row>
        <row r="4640">
          <cell r="A4640" t="str">
            <v>Sphagnum balticum</v>
          </cell>
          <cell r="B4640" t="str">
            <v>Mosses and liverworts</v>
          </cell>
          <cell r="C4640" t="str">
            <v>Bryophyta</v>
          </cell>
          <cell r="D4640" t="str">
            <v>Sphagnum balticum</v>
          </cell>
          <cell r="E4640" t="str">
            <v>VU</v>
          </cell>
          <cell r="F4640" t="str">
            <v>Callaghan, 2022</v>
          </cell>
          <cell r="G4640" t="str">
            <v>NHMSYS0000310659</v>
          </cell>
          <cell r="H4640" t="str">
            <v>Sphagnum balticum</v>
          </cell>
        </row>
        <row r="4641">
          <cell r="A4641" t="str">
            <v>Sphagnum beothuk</v>
          </cell>
          <cell r="B4641" t="str">
            <v>Mosses and liverworts</v>
          </cell>
          <cell r="C4641" t="str">
            <v>Bryophyta</v>
          </cell>
          <cell r="D4641" t="str">
            <v>Sphagnum beothuk</v>
          </cell>
          <cell r="E4641" t="str">
            <v>LC</v>
          </cell>
          <cell r="F4641" t="str">
            <v>Callaghan, 2022</v>
          </cell>
          <cell r="G4641" t="str">
            <v>NHMSYS0021232437</v>
          </cell>
          <cell r="H4641" t="str">
            <v>Sphagnum beothuk</v>
          </cell>
        </row>
        <row r="4642">
          <cell r="A4642" t="str">
            <v>Sphagnum capillifolium</v>
          </cell>
          <cell r="B4642" t="str">
            <v>Mosses and liverworts</v>
          </cell>
          <cell r="C4642" t="str">
            <v>Bryophyta</v>
          </cell>
          <cell r="D4642" t="str">
            <v>Sphagnum capillifolium</v>
          </cell>
          <cell r="E4642" t="str">
            <v>LC</v>
          </cell>
          <cell r="F4642" t="str">
            <v>Callaghan, 2022</v>
          </cell>
          <cell r="G4642" t="str">
            <v>NBNSYS0000036080</v>
          </cell>
          <cell r="H4642" t="str">
            <v>Sphagnum capillifolium</v>
          </cell>
        </row>
        <row r="4643">
          <cell r="A4643" t="str">
            <v>Sphagnum compactum</v>
          </cell>
          <cell r="B4643" t="str">
            <v>Mosses and liverworts</v>
          </cell>
          <cell r="C4643" t="str">
            <v>Bryophyta</v>
          </cell>
          <cell r="D4643" t="str">
            <v>Sphagnum compactum</v>
          </cell>
          <cell r="E4643" t="str">
            <v>LC</v>
          </cell>
          <cell r="F4643" t="str">
            <v>Callaghan, 2022</v>
          </cell>
          <cell r="G4643" t="str">
            <v>NHMSYS0000310662</v>
          </cell>
          <cell r="H4643" t="str">
            <v>Sphagnum compactum</v>
          </cell>
        </row>
        <row r="4644">
          <cell r="A4644" t="str">
            <v>Sphagnum contortum</v>
          </cell>
          <cell r="B4644" t="str">
            <v>Mosses and liverworts</v>
          </cell>
          <cell r="C4644" t="str">
            <v>Bryophyta</v>
          </cell>
          <cell r="D4644" t="str">
            <v>Sphagnum contortum</v>
          </cell>
          <cell r="E4644" t="str">
            <v>LC</v>
          </cell>
          <cell r="F4644" t="str">
            <v>Callaghan, 2022</v>
          </cell>
          <cell r="G4644" t="str">
            <v>NHMSYS0020083535</v>
          </cell>
          <cell r="H4644" t="str">
            <v>Sphagnum contortum</v>
          </cell>
        </row>
        <row r="4645">
          <cell r="A4645" t="str">
            <v>Sphagnum cuspidatum</v>
          </cell>
          <cell r="B4645" t="str">
            <v>Mosses and liverworts</v>
          </cell>
          <cell r="C4645" t="str">
            <v>Bryophyta</v>
          </cell>
          <cell r="D4645" t="str">
            <v>Sphagnum cuspidatum</v>
          </cell>
          <cell r="E4645" t="str">
            <v>LC</v>
          </cell>
          <cell r="F4645" t="str">
            <v>Callaghan, 2022</v>
          </cell>
          <cell r="G4645" t="str">
            <v>NBNSYS0000036095</v>
          </cell>
          <cell r="H4645" t="str">
            <v>Sphagnum cuspidatum</v>
          </cell>
        </row>
        <row r="4646">
          <cell r="A4646" t="str">
            <v>Sphagnum fallax</v>
          </cell>
          <cell r="B4646" t="str">
            <v>Mosses and liverworts</v>
          </cell>
          <cell r="C4646" t="str">
            <v>Bryophyta</v>
          </cell>
          <cell r="D4646" t="str">
            <v>Sphagnum fallax</v>
          </cell>
          <cell r="E4646" t="str">
            <v>LC</v>
          </cell>
          <cell r="F4646" t="str">
            <v>Callaghan, 2022</v>
          </cell>
          <cell r="G4646" t="str">
            <v>NHMSYS0000310665</v>
          </cell>
          <cell r="H4646" t="str">
            <v>Sphagnum fallax</v>
          </cell>
        </row>
        <row r="4647">
          <cell r="A4647" t="str">
            <v>Sphagnum fimbriatum</v>
          </cell>
          <cell r="B4647" t="str">
            <v>Mosses and liverworts</v>
          </cell>
          <cell r="C4647" t="str">
            <v>Bryophyta</v>
          </cell>
          <cell r="D4647" t="str">
            <v>Sphagnum fimbriatum</v>
          </cell>
          <cell r="E4647" t="str">
            <v>LC</v>
          </cell>
          <cell r="F4647" t="str">
            <v>Callaghan, 2022</v>
          </cell>
          <cell r="G4647" t="str">
            <v>NHMSYS0000310667</v>
          </cell>
          <cell r="H4647" t="str">
            <v>Sphagnum fimbriatum</v>
          </cell>
        </row>
        <row r="4648">
          <cell r="A4648" t="str">
            <v>Sphagnum flexuosum</v>
          </cell>
          <cell r="B4648" t="str">
            <v>Mosses and liverworts</v>
          </cell>
          <cell r="C4648" t="str">
            <v>Bryophyta</v>
          </cell>
          <cell r="D4648" t="str">
            <v>Sphagnum flexuosum</v>
          </cell>
          <cell r="E4648" t="str">
            <v>LC</v>
          </cell>
          <cell r="F4648" t="str">
            <v>Callaghan, 2022</v>
          </cell>
          <cell r="G4648" t="str">
            <v>NHMSYS0000310668</v>
          </cell>
          <cell r="H4648" t="str">
            <v>Sphagnum flexuosum</v>
          </cell>
        </row>
        <row r="4649">
          <cell r="A4649" t="str">
            <v>Sphagnum fuscum</v>
          </cell>
          <cell r="B4649" t="str">
            <v>Mosses and liverworts</v>
          </cell>
          <cell r="C4649" t="str">
            <v>Bryophyta</v>
          </cell>
          <cell r="D4649" t="str">
            <v>Sphagnum fuscum</v>
          </cell>
          <cell r="E4649" t="str">
            <v>LC</v>
          </cell>
          <cell r="F4649" t="str">
            <v>Callaghan, 2022</v>
          </cell>
          <cell r="G4649" t="str">
            <v>NHMSYS0021239446</v>
          </cell>
          <cell r="H4649" t="str">
            <v>Sphagnum fuscum</v>
          </cell>
        </row>
        <row r="4650">
          <cell r="A4650" t="str">
            <v>Sphagnum girgensohnii</v>
          </cell>
          <cell r="B4650" t="str">
            <v>Mosses and liverworts</v>
          </cell>
          <cell r="C4650" t="str">
            <v>Bryophyta</v>
          </cell>
          <cell r="D4650" t="str">
            <v>Sphagnum girgensohnii</v>
          </cell>
          <cell r="E4650" t="str">
            <v>LC</v>
          </cell>
          <cell r="F4650" t="str">
            <v>Callaghan, 2022</v>
          </cell>
          <cell r="G4650" t="str">
            <v>NHMSYS0000310670</v>
          </cell>
          <cell r="H4650" t="str">
            <v>Sphagnum girgensohnii</v>
          </cell>
        </row>
        <row r="4651">
          <cell r="A4651" t="str">
            <v>Sphagnum inundatum</v>
          </cell>
          <cell r="B4651" t="str">
            <v>Mosses and liverworts</v>
          </cell>
          <cell r="C4651" t="str">
            <v>Bryophyta</v>
          </cell>
          <cell r="D4651" t="str">
            <v>Sphagnum inundatum</v>
          </cell>
          <cell r="E4651" t="str">
            <v>LC</v>
          </cell>
          <cell r="F4651" t="str">
            <v>Callaghan, 2022</v>
          </cell>
          <cell r="G4651" t="str">
            <v>NHMSYS0000310674</v>
          </cell>
          <cell r="H4651" t="str">
            <v>Sphagnum inundatum</v>
          </cell>
        </row>
        <row r="4652">
          <cell r="A4652" t="str">
            <v>Sphagnum majus</v>
          </cell>
          <cell r="B4652" t="str">
            <v>Mosses and liverworts</v>
          </cell>
          <cell r="C4652" t="str">
            <v>Bryophyta</v>
          </cell>
          <cell r="D4652" t="str">
            <v>Sphagnum majus</v>
          </cell>
          <cell r="E4652" t="str">
            <v>LC</v>
          </cell>
          <cell r="F4652" t="str">
            <v>Callaghan, 2022</v>
          </cell>
          <cell r="G4652" t="str">
            <v>NHMSYS0000310676</v>
          </cell>
          <cell r="H4652" t="str">
            <v>Sphagnum majus</v>
          </cell>
        </row>
        <row r="4653">
          <cell r="A4653" t="str">
            <v>Sphagnum medium</v>
          </cell>
          <cell r="B4653" t="str">
            <v>Mosses and liverworts</v>
          </cell>
          <cell r="C4653" t="str">
            <v>Bryophyta</v>
          </cell>
          <cell r="D4653" t="str">
            <v>Sphagnum medium</v>
          </cell>
          <cell r="E4653" t="str">
            <v>LC</v>
          </cell>
          <cell r="F4653" t="str">
            <v>Callaghan, 2022</v>
          </cell>
          <cell r="G4653" t="str">
            <v>NHMSYS0021239428</v>
          </cell>
          <cell r="H4653" t="str">
            <v>Sphagnum medium</v>
          </cell>
        </row>
        <row r="4654">
          <cell r="A4654" t="str">
            <v>Sphagnum molle</v>
          </cell>
          <cell r="B4654" t="str">
            <v>Mosses and liverworts</v>
          </cell>
          <cell r="C4654" t="str">
            <v>Bryophyta</v>
          </cell>
          <cell r="D4654" t="str">
            <v>Sphagnum molle</v>
          </cell>
          <cell r="E4654" t="str">
            <v>LC</v>
          </cell>
          <cell r="F4654" t="str">
            <v>Callaghan, 2022</v>
          </cell>
          <cell r="G4654" t="str">
            <v>NBNSYS0000036086</v>
          </cell>
          <cell r="H4654" t="str">
            <v>Sphagnum molle</v>
          </cell>
        </row>
        <row r="4655">
          <cell r="A4655" t="str">
            <v>Sphagnum obtusum</v>
          </cell>
          <cell r="B4655" t="str">
            <v>Mosses and liverworts</v>
          </cell>
          <cell r="C4655" t="str">
            <v>Bryophyta</v>
          </cell>
          <cell r="D4655" t="str">
            <v>Sphagnum obtusum</v>
          </cell>
          <cell r="E4655" t="str">
            <v>RE</v>
          </cell>
          <cell r="F4655" t="str">
            <v>Callaghan, 2022</v>
          </cell>
          <cell r="G4655" t="str">
            <v>NBNSYS0000036105</v>
          </cell>
          <cell r="H4655" t="str">
            <v>Sphagnum obtusum</v>
          </cell>
        </row>
        <row r="4656">
          <cell r="A4656" t="str">
            <v>Sphagnum palustre</v>
          </cell>
          <cell r="B4656" t="str">
            <v>Mosses and liverworts</v>
          </cell>
          <cell r="C4656" t="str">
            <v>Bryophyta</v>
          </cell>
          <cell r="D4656" t="str">
            <v>Sphagnum palustre</v>
          </cell>
          <cell r="E4656" t="str">
            <v>LC</v>
          </cell>
          <cell r="F4656" t="str">
            <v>Callaghan, 2022</v>
          </cell>
          <cell r="G4656" t="str">
            <v>NBNSYS0000036070</v>
          </cell>
          <cell r="H4656" t="str">
            <v>Sphagnum palustre</v>
          </cell>
        </row>
        <row r="4657">
          <cell r="A4657" t="str">
            <v>Sphagnum papillosum</v>
          </cell>
          <cell r="B4657" t="str">
            <v>Mosses and liverworts</v>
          </cell>
          <cell r="C4657" t="str">
            <v>Bryophyta</v>
          </cell>
          <cell r="D4657" t="str">
            <v>Sphagnum papillosum</v>
          </cell>
          <cell r="E4657" t="str">
            <v>LC</v>
          </cell>
          <cell r="F4657" t="str">
            <v>Callaghan, 2022</v>
          </cell>
          <cell r="G4657" t="str">
            <v>NBNSYS0000036069</v>
          </cell>
          <cell r="H4657" t="str">
            <v>Sphagnum papillosum</v>
          </cell>
        </row>
        <row r="4658">
          <cell r="A4658" t="str">
            <v>Sphagnum platyphyllum</v>
          </cell>
          <cell r="B4658" t="str">
            <v>Mosses and liverworts</v>
          </cell>
          <cell r="C4658" t="str">
            <v>Bryophyta</v>
          </cell>
          <cell r="D4658" t="str">
            <v>Sphagnum platyphyllum</v>
          </cell>
          <cell r="E4658" t="str">
            <v>LC</v>
          </cell>
          <cell r="F4658" t="str">
            <v>Callaghan, 2022</v>
          </cell>
          <cell r="G4658" t="str">
            <v>NHMSYS0000310681</v>
          </cell>
          <cell r="H4658" t="str">
            <v>Sphagnum platyphyllum</v>
          </cell>
        </row>
        <row r="4659">
          <cell r="A4659" t="str">
            <v>Sphagnum pulchrum</v>
          </cell>
          <cell r="B4659" t="str">
            <v>Mosses and liverworts</v>
          </cell>
          <cell r="C4659" t="str">
            <v>Bryophyta</v>
          </cell>
          <cell r="D4659" t="str">
            <v>Sphagnum pulchrum</v>
          </cell>
          <cell r="E4659" t="str">
            <v>LC</v>
          </cell>
          <cell r="F4659" t="str">
            <v>Callaghan, 2022</v>
          </cell>
          <cell r="G4659" t="str">
            <v>NHMSYS0000310683</v>
          </cell>
          <cell r="H4659" t="str">
            <v>Sphagnum pulchrum</v>
          </cell>
        </row>
        <row r="4660">
          <cell r="A4660" t="str">
            <v>Sphagnum quinquefarium</v>
          </cell>
          <cell r="B4660" t="str">
            <v>Mosses and liverworts</v>
          </cell>
          <cell r="C4660" t="str">
            <v>Bryophyta</v>
          </cell>
          <cell r="D4660" t="str">
            <v>Sphagnum quinquefarium</v>
          </cell>
          <cell r="E4660" t="str">
            <v>LC</v>
          </cell>
          <cell r="F4660" t="str">
            <v>Callaghan, 2022</v>
          </cell>
          <cell r="G4660" t="str">
            <v>NHMSYS0000310684</v>
          </cell>
          <cell r="H4660" t="str">
            <v>Sphagnum quinquefarium</v>
          </cell>
        </row>
        <row r="4661">
          <cell r="A4661" t="str">
            <v>Sphagnum riparium</v>
          </cell>
          <cell r="B4661" t="str">
            <v>Mosses and liverworts</v>
          </cell>
          <cell r="C4661" t="str">
            <v>Bryophyta</v>
          </cell>
          <cell r="D4661" t="str">
            <v>Sphagnum riparium</v>
          </cell>
          <cell r="E4661" t="str">
            <v>LC</v>
          </cell>
          <cell r="F4661" t="str">
            <v>Callaghan, 2022</v>
          </cell>
          <cell r="G4661" t="str">
            <v>NHMSYS0000310689</v>
          </cell>
          <cell r="H4661" t="str">
            <v>Sphagnum riparium</v>
          </cell>
        </row>
        <row r="4662">
          <cell r="A4662" t="str">
            <v>Sphagnum rubellum</v>
          </cell>
          <cell r="B4662" t="str">
            <v>Mosses and liverworts</v>
          </cell>
          <cell r="C4662" t="str">
            <v>Bryophyta</v>
          </cell>
          <cell r="D4662" t="str">
            <v>Sphagnum rubellum</v>
          </cell>
          <cell r="E4662" t="str">
            <v>LC</v>
          </cell>
          <cell r="F4662" t="str">
            <v>Callaghan, 2022</v>
          </cell>
          <cell r="G4662" t="str">
            <v>NHMSYS0000310661</v>
          </cell>
          <cell r="H4662" t="str">
            <v>Sphagnum rubellum</v>
          </cell>
        </row>
        <row r="4663">
          <cell r="A4663" t="str">
            <v>Sphagnum russowii</v>
          </cell>
          <cell r="B4663" t="str">
            <v>Mosses and liverworts</v>
          </cell>
          <cell r="C4663" t="str">
            <v>Bryophyta</v>
          </cell>
          <cell r="D4663" t="str">
            <v>Sphagnum russowii</v>
          </cell>
          <cell r="E4663" t="str">
            <v>LC</v>
          </cell>
          <cell r="F4663" t="str">
            <v>Callaghan, 2022</v>
          </cell>
          <cell r="G4663" t="str">
            <v>NBNSYS0000036076</v>
          </cell>
          <cell r="H4663" t="str">
            <v>Sphagnum russowii</v>
          </cell>
        </row>
        <row r="4664">
          <cell r="A4664" t="str">
            <v>Sphagnum squarrosum</v>
          </cell>
          <cell r="B4664" t="str">
            <v>Mosses and liverworts</v>
          </cell>
          <cell r="C4664" t="str">
            <v>Bryophyta</v>
          </cell>
          <cell r="D4664" t="str">
            <v>Sphagnum squarrosum</v>
          </cell>
          <cell r="E4664" t="str">
            <v>LC</v>
          </cell>
          <cell r="F4664" t="str">
            <v>Callaghan, 2022</v>
          </cell>
          <cell r="G4664" t="str">
            <v>NBNSYS0000036072</v>
          </cell>
          <cell r="H4664" t="str">
            <v>Sphagnum squarrosum</v>
          </cell>
        </row>
        <row r="4665">
          <cell r="A4665" t="str">
            <v>Sphagnum strictum</v>
          </cell>
          <cell r="B4665" t="str">
            <v>Mosses and liverworts</v>
          </cell>
          <cell r="C4665" t="str">
            <v>Bryophyta</v>
          </cell>
          <cell r="D4665" t="str">
            <v>Sphagnum strictum</v>
          </cell>
          <cell r="E4665" t="str">
            <v>LC</v>
          </cell>
          <cell r="F4665" t="str">
            <v>Callaghan, 2022</v>
          </cell>
          <cell r="G4665" t="str">
            <v>NBNSYS0000036087</v>
          </cell>
          <cell r="H4665" t="str">
            <v>Sphagnum strictum</v>
          </cell>
        </row>
        <row r="4666">
          <cell r="A4666" t="str">
            <v>Sphagnum subnitens</v>
          </cell>
          <cell r="B4666" t="str">
            <v>Mosses and liverworts</v>
          </cell>
          <cell r="C4666" t="str">
            <v>Bryophyta</v>
          </cell>
          <cell r="D4666" t="str">
            <v>Sphagnum subnitens</v>
          </cell>
          <cell r="E4666" t="str">
            <v>LC</v>
          </cell>
          <cell r="F4666" t="str">
            <v>Callaghan, 2022</v>
          </cell>
          <cell r="G4666" t="str">
            <v>NHMSYS0000310691</v>
          </cell>
          <cell r="H4666" t="str">
            <v>Sphagnum subnitens</v>
          </cell>
        </row>
        <row r="4667">
          <cell r="A4667" t="str">
            <v>Sphagnum subsecundum</v>
          </cell>
          <cell r="B4667" t="str">
            <v>Mosses and liverworts</v>
          </cell>
          <cell r="C4667" t="str">
            <v>Bryophyta</v>
          </cell>
          <cell r="D4667" t="str">
            <v>Sphagnum subsecundum</v>
          </cell>
          <cell r="E4667" t="str">
            <v>LC</v>
          </cell>
          <cell r="F4667" t="str">
            <v>Callaghan, 2022</v>
          </cell>
          <cell r="G4667" t="str">
            <v>NHMSYS0000310698</v>
          </cell>
          <cell r="H4667" t="str">
            <v>Sphagnum subsecundum</v>
          </cell>
        </row>
        <row r="4668">
          <cell r="A4668" t="str">
            <v>Sphagnum tenellum</v>
          </cell>
          <cell r="B4668" t="str">
            <v>Mosses and liverworts</v>
          </cell>
          <cell r="C4668" t="str">
            <v>Bryophyta</v>
          </cell>
          <cell r="D4668" t="str">
            <v>Sphagnum tenellum</v>
          </cell>
          <cell r="E4668" t="str">
            <v>LC</v>
          </cell>
          <cell r="F4668" t="str">
            <v>Callaghan, 2022</v>
          </cell>
          <cell r="G4668" t="str">
            <v>NHMSYS0000310701</v>
          </cell>
          <cell r="H4668" t="str">
            <v>Sphagnum tenellum</v>
          </cell>
        </row>
        <row r="4669">
          <cell r="A4669" t="str">
            <v>Sphagnum teres</v>
          </cell>
          <cell r="B4669" t="str">
            <v>Mosses and liverworts</v>
          </cell>
          <cell r="C4669" t="str">
            <v>Bryophyta</v>
          </cell>
          <cell r="D4669" t="str">
            <v>Sphagnum teres</v>
          </cell>
          <cell r="E4669" t="str">
            <v>LC</v>
          </cell>
          <cell r="F4669" t="str">
            <v>Callaghan, 2022</v>
          </cell>
          <cell r="G4669" t="str">
            <v>NHMSYS0000310702</v>
          </cell>
          <cell r="H4669" t="str">
            <v>Sphagnum teres</v>
          </cell>
        </row>
        <row r="4670">
          <cell r="A4670" t="str">
            <v>Sphagnum warnstorfii</v>
          </cell>
          <cell r="B4670" t="str">
            <v>Mosses and liverworts</v>
          </cell>
          <cell r="C4670" t="str">
            <v>Bryophyta</v>
          </cell>
          <cell r="D4670" t="str">
            <v>Sphagnum warnstorfii</v>
          </cell>
          <cell r="E4670" t="str">
            <v>LC</v>
          </cell>
          <cell r="F4670" t="str">
            <v>Callaghan, 2022</v>
          </cell>
          <cell r="G4670" t="str">
            <v>NHMSYS0000310704</v>
          </cell>
          <cell r="H4670" t="str">
            <v>Sphagnum warnstorfii</v>
          </cell>
        </row>
        <row r="4671">
          <cell r="A4671" t="str">
            <v>Sphenolobopsis pearsonii</v>
          </cell>
          <cell r="B4671" t="str">
            <v>Mosses and liverworts</v>
          </cell>
          <cell r="C4671" t="str">
            <v>Bryophyta</v>
          </cell>
          <cell r="D4671" t="str">
            <v>Sphenolobopsis pearsonii</v>
          </cell>
          <cell r="E4671" t="str">
            <v>LC</v>
          </cell>
          <cell r="F4671" t="str">
            <v>Callaghan, 2022</v>
          </cell>
          <cell r="G4671" t="str">
            <v>NHMSYS0000310706</v>
          </cell>
          <cell r="H4671" t="str">
            <v>Sphenolobopsis pearsonii</v>
          </cell>
        </row>
        <row r="4672">
          <cell r="A4672" t="str">
            <v>Sphenolobus minutus</v>
          </cell>
          <cell r="B4672" t="str">
            <v>Mosses and liverworts</v>
          </cell>
          <cell r="C4672" t="str">
            <v>Bryophyta</v>
          </cell>
          <cell r="D4672" t="str">
            <v>Sphenolobus minutus</v>
          </cell>
          <cell r="E4672" t="str">
            <v>LC</v>
          </cell>
          <cell r="F4672" t="str">
            <v>Callaghan, 2022</v>
          </cell>
          <cell r="G4672" t="str">
            <v>NHMSYS0000309329</v>
          </cell>
          <cell r="H4672" t="str">
            <v>Sphenolobus minutus</v>
          </cell>
        </row>
        <row r="4673">
          <cell r="A4673" t="str">
            <v>Splachnum ampullaceum</v>
          </cell>
          <cell r="B4673" t="str">
            <v>Mosses and liverworts</v>
          </cell>
          <cell r="C4673" t="str">
            <v>Bryophyta</v>
          </cell>
          <cell r="D4673" t="str">
            <v>Splachnum ampullaceum</v>
          </cell>
          <cell r="E4673" t="str">
            <v>LC</v>
          </cell>
          <cell r="F4673" t="str">
            <v>Callaghan, 2022</v>
          </cell>
          <cell r="G4673" t="str">
            <v>NBNSYS0000036538</v>
          </cell>
          <cell r="H4673" t="str">
            <v>Splachnum ampullaceum</v>
          </cell>
        </row>
        <row r="4674">
          <cell r="A4674" t="str">
            <v>Splachnum sphaericum</v>
          </cell>
          <cell r="B4674" t="str">
            <v>Mosses and liverworts</v>
          </cell>
          <cell r="C4674" t="str">
            <v>Bryophyta</v>
          </cell>
          <cell r="D4674" t="str">
            <v>Splachnum sphaericum</v>
          </cell>
          <cell r="E4674" t="str">
            <v>LC</v>
          </cell>
          <cell r="F4674" t="str">
            <v>Callaghan, 2022</v>
          </cell>
          <cell r="G4674" t="str">
            <v>NBNSYS0000036537</v>
          </cell>
          <cell r="H4674" t="str">
            <v>Splachnum sphaericum</v>
          </cell>
        </row>
        <row r="4675">
          <cell r="A4675" t="str">
            <v>Splachnum vasculosum</v>
          </cell>
          <cell r="B4675" t="str">
            <v>Mosses and liverworts</v>
          </cell>
          <cell r="C4675" t="str">
            <v>Bryophyta</v>
          </cell>
          <cell r="D4675" t="str">
            <v>Splachnum vasculosum</v>
          </cell>
          <cell r="E4675" t="str">
            <v>EN</v>
          </cell>
          <cell r="F4675" t="str">
            <v>Callaghan, 2022</v>
          </cell>
          <cell r="G4675" t="str">
            <v>NBNSYS0000036539</v>
          </cell>
          <cell r="H4675" t="str">
            <v>Splachnum vasculosum</v>
          </cell>
        </row>
        <row r="4676">
          <cell r="A4676" t="str">
            <v>Stereodon callichrous</v>
          </cell>
          <cell r="B4676" t="str">
            <v>Mosses and liverworts</v>
          </cell>
          <cell r="C4676" t="str">
            <v>Bryophyta</v>
          </cell>
          <cell r="D4676" t="str">
            <v>Stereodon callichrous</v>
          </cell>
          <cell r="E4676" t="str">
            <v>LC</v>
          </cell>
          <cell r="F4676" t="str">
            <v>Callaghan, 2022</v>
          </cell>
          <cell r="G4676" t="str">
            <v>NBNSYS0000036942</v>
          </cell>
          <cell r="H4676" t="str">
            <v>Stereodon callichrous</v>
          </cell>
        </row>
        <row r="4677">
          <cell r="A4677" t="str">
            <v>Stereodon hamulosus</v>
          </cell>
          <cell r="B4677" t="str">
            <v>Mosses and liverworts</v>
          </cell>
          <cell r="C4677" t="str">
            <v>Bryophyta</v>
          </cell>
          <cell r="D4677" t="str">
            <v>Stereodon hamulosus</v>
          </cell>
          <cell r="E4677" t="str">
            <v>LC</v>
          </cell>
          <cell r="F4677" t="str">
            <v>Callaghan, 2022</v>
          </cell>
          <cell r="G4677" t="str">
            <v>NHMSYS0000310086</v>
          </cell>
          <cell r="H4677" t="str">
            <v>Stereodon hamulosus</v>
          </cell>
        </row>
        <row r="4678">
          <cell r="A4678" t="str">
            <v>Straminergon stramineum</v>
          </cell>
          <cell r="B4678" t="str">
            <v>Mosses and liverworts</v>
          </cell>
          <cell r="C4678" t="str">
            <v>Bryophyta</v>
          </cell>
          <cell r="D4678" t="str">
            <v>Straminergon stramineum</v>
          </cell>
          <cell r="E4678" t="str">
            <v>LC</v>
          </cell>
          <cell r="F4678" t="str">
            <v>Callaghan, 2022</v>
          </cell>
          <cell r="G4678" t="str">
            <v>NHMSYS0020695911</v>
          </cell>
          <cell r="H4678" t="str">
            <v>Straminergon stramineum</v>
          </cell>
        </row>
        <row r="4679">
          <cell r="A4679" t="str">
            <v>Streblotrichum convolutum</v>
          </cell>
          <cell r="B4679" t="str">
            <v>Mosses and liverworts</v>
          </cell>
          <cell r="C4679" t="str">
            <v>Bryophyta</v>
          </cell>
          <cell r="D4679" t="str">
            <v>Streblotrichum convolutum</v>
          </cell>
          <cell r="E4679" t="str">
            <v>LC</v>
          </cell>
          <cell r="F4679" t="str">
            <v>Callaghan, 2022</v>
          </cell>
          <cell r="G4679" t="str">
            <v>NBNSYS0000036365</v>
          </cell>
          <cell r="H4679" t="str">
            <v>Streblotrichum convolutum</v>
          </cell>
        </row>
        <row r="4680">
          <cell r="A4680" t="str">
            <v>Syntrichia laevipila</v>
          </cell>
          <cell r="B4680" t="str">
            <v>Mosses and liverworts</v>
          </cell>
          <cell r="C4680" t="str">
            <v>Bryophyta</v>
          </cell>
          <cell r="D4680" t="str">
            <v>Syntrichia laevipila</v>
          </cell>
          <cell r="E4680" t="str">
            <v>LC</v>
          </cell>
          <cell r="F4680" t="str">
            <v>Callaghan, 2022</v>
          </cell>
          <cell r="G4680" t="str">
            <v>NHMSYS0000310717</v>
          </cell>
          <cell r="H4680" t="str">
            <v>Syntrichia laevipila</v>
          </cell>
        </row>
        <row r="4681">
          <cell r="A4681" t="str">
            <v>Syntrichia latifolia</v>
          </cell>
          <cell r="B4681" t="str">
            <v>Mosses and liverworts</v>
          </cell>
          <cell r="C4681" t="str">
            <v>Bryophyta</v>
          </cell>
          <cell r="D4681" t="str">
            <v>Syntrichia latifolia</v>
          </cell>
          <cell r="E4681" t="str">
            <v>LC</v>
          </cell>
          <cell r="F4681" t="str">
            <v>Callaghan, 2022</v>
          </cell>
          <cell r="G4681" t="str">
            <v>NHMSYS0000310719</v>
          </cell>
          <cell r="H4681" t="str">
            <v>Syntrichia latifolia</v>
          </cell>
        </row>
        <row r="4682">
          <cell r="A4682" t="str">
            <v>Syntrichia montana</v>
          </cell>
          <cell r="B4682" t="str">
            <v>Mosses and liverworts</v>
          </cell>
          <cell r="C4682" t="str">
            <v>Bryophyta</v>
          </cell>
          <cell r="D4682" t="str">
            <v>Syntrichia montana</v>
          </cell>
          <cell r="E4682" t="str">
            <v>LC</v>
          </cell>
          <cell r="F4682" t="str">
            <v>Callaghan, 2022</v>
          </cell>
          <cell r="G4682" t="str">
            <v>NBNSYS0000157544</v>
          </cell>
          <cell r="H4682" t="str">
            <v>Syntrichia montana</v>
          </cell>
        </row>
        <row r="4683">
          <cell r="A4683" t="str">
            <v>Syntrichia papillosa</v>
          </cell>
          <cell r="B4683" t="str">
            <v>Mosses and liverworts</v>
          </cell>
          <cell r="C4683" t="str">
            <v>Bryophyta</v>
          </cell>
          <cell r="D4683" t="str">
            <v>Syntrichia papillosa</v>
          </cell>
          <cell r="E4683" t="str">
            <v>LC</v>
          </cell>
          <cell r="F4683" t="str">
            <v>Callaghan, 2022</v>
          </cell>
          <cell r="G4683" t="str">
            <v>NHMSYS0000310721</v>
          </cell>
          <cell r="H4683" t="str">
            <v>Syntrichia papillosa</v>
          </cell>
        </row>
        <row r="4684">
          <cell r="A4684" t="str">
            <v>Syntrichia princeps</v>
          </cell>
          <cell r="B4684" t="str">
            <v>Mosses and liverworts</v>
          </cell>
          <cell r="C4684" t="str">
            <v>Bryophyta</v>
          </cell>
          <cell r="D4684" t="str">
            <v>Syntrichia princeps</v>
          </cell>
          <cell r="E4684" t="str">
            <v>VU</v>
          </cell>
          <cell r="F4684" t="str">
            <v>Callaghan, 2022</v>
          </cell>
          <cell r="G4684" t="str">
            <v>NBNSYS0000157547</v>
          </cell>
          <cell r="H4684" t="str">
            <v>Syntrichia princeps</v>
          </cell>
        </row>
        <row r="4685">
          <cell r="A4685" t="str">
            <v>Syntrichia ruraliformis</v>
          </cell>
          <cell r="B4685" t="str">
            <v>Mosses and liverworts</v>
          </cell>
          <cell r="C4685" t="str">
            <v>Bryophyta</v>
          </cell>
          <cell r="D4685" t="str">
            <v>Syntrichia ruraliformis</v>
          </cell>
          <cell r="E4685" t="str">
            <v>LC</v>
          </cell>
          <cell r="F4685" t="str">
            <v>Callaghan, 2022</v>
          </cell>
          <cell r="G4685" t="str">
            <v>NHMSYS0021194758</v>
          </cell>
          <cell r="H4685" t="str">
            <v>Syntrichia ruraliformis</v>
          </cell>
        </row>
        <row r="4686">
          <cell r="A4686" t="str">
            <v>Syntrichia ruralis</v>
          </cell>
          <cell r="B4686" t="str">
            <v>Mosses and liverworts</v>
          </cell>
          <cell r="C4686" t="str">
            <v>Bryophyta</v>
          </cell>
          <cell r="D4686" t="str">
            <v>Syntrichia ruralis</v>
          </cell>
          <cell r="E4686" t="str">
            <v>LC</v>
          </cell>
          <cell r="F4686" t="str">
            <v>Callaghan, 2022</v>
          </cell>
          <cell r="G4686" t="str">
            <v>NHMSYS0000310723</v>
          </cell>
          <cell r="H4686" t="str">
            <v>Syntrichia ruralis</v>
          </cell>
        </row>
        <row r="4687">
          <cell r="A4687" t="str">
            <v>Syntrichia virescens</v>
          </cell>
          <cell r="B4687" t="str">
            <v>Mosses and liverworts</v>
          </cell>
          <cell r="C4687" t="str">
            <v>Bryophyta</v>
          </cell>
          <cell r="D4687" t="str">
            <v>Syntrichia virescens</v>
          </cell>
          <cell r="E4687" t="str">
            <v>LC</v>
          </cell>
          <cell r="F4687" t="str">
            <v>Callaghan, 2022</v>
          </cell>
          <cell r="G4687" t="str">
            <v>NBNSYS0100005685</v>
          </cell>
          <cell r="H4687" t="str">
            <v>Syntrichia virescens</v>
          </cell>
        </row>
        <row r="4688">
          <cell r="A4688" t="str">
            <v>Syzygiella autumnalis</v>
          </cell>
          <cell r="B4688" t="str">
            <v>Mosses and liverworts</v>
          </cell>
          <cell r="C4688" t="str">
            <v>Bryophyta</v>
          </cell>
          <cell r="D4688" t="str">
            <v>Syzygiella autumnalis</v>
          </cell>
          <cell r="E4688" t="str">
            <v>LC</v>
          </cell>
          <cell r="F4688" t="str">
            <v>Callaghan, 2022</v>
          </cell>
          <cell r="G4688" t="str">
            <v>NBNSYS0000035874</v>
          </cell>
          <cell r="H4688" t="str">
            <v>Syzygiella autumnalis</v>
          </cell>
        </row>
        <row r="4689">
          <cell r="A4689" t="str">
            <v>Targionia hypophylla</v>
          </cell>
          <cell r="B4689" t="str">
            <v>Mosses and liverworts</v>
          </cell>
          <cell r="C4689" t="str">
            <v>Bryophyta</v>
          </cell>
          <cell r="D4689" t="str">
            <v>Targionia hypophylla</v>
          </cell>
          <cell r="E4689" t="str">
            <v>NT</v>
          </cell>
          <cell r="F4689" t="str">
            <v>Callaghan, 2022</v>
          </cell>
          <cell r="G4689" t="str">
            <v>NBNSYS0000036044</v>
          </cell>
          <cell r="H4689" t="str">
            <v>Targionia hypophylla</v>
          </cell>
        </row>
        <row r="4690">
          <cell r="A4690" t="str">
            <v>Taxiphyllum wissgrillii</v>
          </cell>
          <cell r="B4690" t="str">
            <v>Mosses and liverworts</v>
          </cell>
          <cell r="C4690" t="str">
            <v>Bryophyta</v>
          </cell>
          <cell r="D4690" t="str">
            <v>Taxiphyllum wissgrillii</v>
          </cell>
          <cell r="E4690" t="str">
            <v>LC</v>
          </cell>
          <cell r="F4690" t="str">
            <v>Callaghan, 2022</v>
          </cell>
          <cell r="G4690" t="str">
            <v>NHMSYS0000310728</v>
          </cell>
          <cell r="H4690" t="str">
            <v>Taxiphyllum wissgrillii</v>
          </cell>
        </row>
        <row r="4691">
          <cell r="A4691" t="str">
            <v>Telaranea europaea</v>
          </cell>
          <cell r="B4691" t="str">
            <v>Mosses and liverworts</v>
          </cell>
          <cell r="C4691" t="str">
            <v>Bryophyta</v>
          </cell>
          <cell r="D4691" t="str">
            <v>Telaranea europaea</v>
          </cell>
          <cell r="E4691" t="str">
            <v>CR</v>
          </cell>
          <cell r="F4691" t="str">
            <v>Callaghan, 2022</v>
          </cell>
          <cell r="G4691" t="str">
            <v>NHMSYS0021164701</v>
          </cell>
          <cell r="H4691" t="str">
            <v>Telaranea europaea</v>
          </cell>
        </row>
        <row r="4692">
          <cell r="A4692" t="str">
            <v>Tetralophozia setiformis</v>
          </cell>
          <cell r="B4692" t="str">
            <v>Mosses and liverworts</v>
          </cell>
          <cell r="C4692" t="str">
            <v>Bryophyta</v>
          </cell>
          <cell r="D4692" t="str">
            <v>Tetralophozia setiformis</v>
          </cell>
          <cell r="E4692" t="str">
            <v>LC</v>
          </cell>
          <cell r="F4692" t="str">
            <v>Callaghan, 2022</v>
          </cell>
          <cell r="G4692" t="str">
            <v>NHMSYS0000310735</v>
          </cell>
          <cell r="H4692" t="str">
            <v>Tetralophozia setiformis</v>
          </cell>
        </row>
        <row r="4693">
          <cell r="A4693" t="str">
            <v>Tetraphis pellucida</v>
          </cell>
          <cell r="B4693" t="str">
            <v>Mosses and liverworts</v>
          </cell>
          <cell r="C4693" t="str">
            <v>Bryophyta</v>
          </cell>
          <cell r="D4693" t="str">
            <v>Tetraphis pellucida</v>
          </cell>
          <cell r="E4693" t="str">
            <v>LC</v>
          </cell>
          <cell r="F4693" t="str">
            <v>Callaghan, 2022</v>
          </cell>
          <cell r="G4693" t="str">
            <v>NBNSYS0000036124</v>
          </cell>
          <cell r="H4693" t="str">
            <v>Tetraphis pellucida</v>
          </cell>
        </row>
        <row r="4694">
          <cell r="A4694" t="str">
            <v>Tetraplodon mnioides</v>
          </cell>
          <cell r="B4694" t="str">
            <v>Mosses and liverworts</v>
          </cell>
          <cell r="C4694" t="str">
            <v>Bryophyta</v>
          </cell>
          <cell r="D4694" t="str">
            <v>Tetraplodon mnioides</v>
          </cell>
          <cell r="E4694" t="str">
            <v>LC</v>
          </cell>
          <cell r="F4694" t="str">
            <v>Callaghan, 2022</v>
          </cell>
          <cell r="G4694" t="str">
            <v>NHMSYS0000310742</v>
          </cell>
          <cell r="H4694" t="str">
            <v>Tetraplodon mnioides</v>
          </cell>
        </row>
        <row r="4695">
          <cell r="A4695" t="str">
            <v>Tetrodontium brownianum</v>
          </cell>
          <cell r="B4695" t="str">
            <v>Mosses and liverworts</v>
          </cell>
          <cell r="C4695" t="str">
            <v>Bryophyta</v>
          </cell>
          <cell r="D4695" t="str">
            <v>Tetrodontium brownianum</v>
          </cell>
          <cell r="E4695" t="str">
            <v>LC</v>
          </cell>
          <cell r="F4695" t="str">
            <v>Callaghan, 2022</v>
          </cell>
          <cell r="G4695" t="str">
            <v>NHMSYS0000310744</v>
          </cell>
          <cell r="H4695" t="str">
            <v>Tetrodontium brownianum</v>
          </cell>
        </row>
        <row r="4696">
          <cell r="A4696" t="str">
            <v>Tetrodontium repandum</v>
          </cell>
          <cell r="B4696" t="str">
            <v>Mosses and liverworts</v>
          </cell>
          <cell r="C4696" t="str">
            <v>Bryophyta</v>
          </cell>
          <cell r="D4696" t="str">
            <v>Tetrodontium repandum</v>
          </cell>
          <cell r="E4696" t="str">
            <v>CR(PE)</v>
          </cell>
          <cell r="F4696" t="str">
            <v>Callaghan, 2022</v>
          </cell>
          <cell r="G4696" t="str">
            <v>NBNSYS0000036126</v>
          </cell>
          <cell r="H4696" t="str">
            <v>Tetrodontium repandum</v>
          </cell>
        </row>
        <row r="4697">
          <cell r="A4697" t="str">
            <v>Thamnobryum alopecurum</v>
          </cell>
          <cell r="B4697" t="str">
            <v>Mosses and liverworts</v>
          </cell>
          <cell r="C4697" t="str">
            <v>Bryophyta</v>
          </cell>
          <cell r="D4697" t="str">
            <v>Thamnobryum alopecurum</v>
          </cell>
          <cell r="E4697" t="str">
            <v>LC</v>
          </cell>
          <cell r="F4697" t="str">
            <v>Callaghan, 2022</v>
          </cell>
          <cell r="G4697" t="str">
            <v>NHMSYS0000310748</v>
          </cell>
          <cell r="H4697" t="str">
            <v>Thamnobryum alopecurum</v>
          </cell>
        </row>
        <row r="4698">
          <cell r="A4698" t="str">
            <v>Thuidium assimile</v>
          </cell>
          <cell r="B4698" t="str">
            <v>Mosses and liverworts</v>
          </cell>
          <cell r="C4698" t="str">
            <v>Bryophyta</v>
          </cell>
          <cell r="D4698" t="str">
            <v>Thuidium assimile</v>
          </cell>
          <cell r="E4698" t="str">
            <v>LC</v>
          </cell>
          <cell r="F4698" t="str">
            <v>Callaghan, 2022</v>
          </cell>
          <cell r="G4698" t="str">
            <v>NHMSYS0020695917</v>
          </cell>
          <cell r="H4698" t="str">
            <v>Thuidium assimile</v>
          </cell>
        </row>
        <row r="4699">
          <cell r="A4699" t="str">
            <v>Thuidium delicatulum</v>
          </cell>
          <cell r="B4699" t="str">
            <v>Mosses and liverworts</v>
          </cell>
          <cell r="C4699" t="str">
            <v>Bryophyta</v>
          </cell>
          <cell r="D4699" t="str">
            <v>Thuidium delicatulum</v>
          </cell>
          <cell r="E4699" t="str">
            <v>LC</v>
          </cell>
          <cell r="F4699" t="str">
            <v>Callaghan, 2022</v>
          </cell>
          <cell r="G4699" t="str">
            <v>NBNSYS0000036785</v>
          </cell>
          <cell r="H4699" t="str">
            <v>Thuidium delicatulum</v>
          </cell>
        </row>
        <row r="4700">
          <cell r="A4700" t="str">
            <v>Thuidium recognitum</v>
          </cell>
          <cell r="B4700" t="str">
            <v>Mosses and liverworts</v>
          </cell>
          <cell r="C4700" t="str">
            <v>Bryophyta</v>
          </cell>
          <cell r="D4700" t="str">
            <v>Thuidium recognitum</v>
          </cell>
          <cell r="E4700" t="str">
            <v>LC</v>
          </cell>
          <cell r="F4700" t="str">
            <v>Callaghan, 2022</v>
          </cell>
          <cell r="G4700" t="str">
            <v>NBNSYS0000036787</v>
          </cell>
          <cell r="H4700" t="str">
            <v>Thuidium recognitum</v>
          </cell>
        </row>
        <row r="4701">
          <cell r="A4701" t="str">
            <v>Thuidium tamariscinum</v>
          </cell>
          <cell r="B4701" t="str">
            <v>Mosses and liverworts</v>
          </cell>
          <cell r="C4701" t="str">
            <v>Bryophyta</v>
          </cell>
          <cell r="D4701" t="str">
            <v>Thuidium tamariscinum</v>
          </cell>
          <cell r="E4701" t="str">
            <v>LC</v>
          </cell>
          <cell r="F4701" t="str">
            <v>Callaghan, 2022</v>
          </cell>
          <cell r="G4701" t="str">
            <v>NHMSYS0000310759</v>
          </cell>
          <cell r="H4701" t="str">
            <v>Thuidium tamariscinum</v>
          </cell>
        </row>
        <row r="4702">
          <cell r="A4702" t="str">
            <v>Timmia megapolitana</v>
          </cell>
          <cell r="B4702" t="str">
            <v>Mosses and liverworts</v>
          </cell>
          <cell r="C4702" t="str">
            <v>Bryophyta</v>
          </cell>
          <cell r="D4702" t="str">
            <v>Timmia megapolitana</v>
          </cell>
          <cell r="E4702" t="str">
            <v>VU</v>
          </cell>
          <cell r="F4702" t="str">
            <v>Callaghan, 2022</v>
          </cell>
          <cell r="G4702" t="str">
            <v>NHMSYS0000310761</v>
          </cell>
          <cell r="H4702" t="str">
            <v>Timmia megapolitana</v>
          </cell>
        </row>
        <row r="4703">
          <cell r="A4703" t="str">
            <v>Tomentypnum nitens</v>
          </cell>
          <cell r="B4703" t="str">
            <v>Mosses and liverworts</v>
          </cell>
          <cell r="C4703" t="str">
            <v>Bryophyta</v>
          </cell>
          <cell r="D4703" t="str">
            <v>Tomentypnum nitens</v>
          </cell>
          <cell r="E4703" t="str">
            <v>VU</v>
          </cell>
          <cell r="F4703" t="str">
            <v>Callaghan, 2022</v>
          </cell>
          <cell r="G4703" t="str">
            <v>NBNSYS0000158083</v>
          </cell>
          <cell r="H4703" t="str">
            <v>Tomentypnum nitens</v>
          </cell>
        </row>
        <row r="4704">
          <cell r="A4704" t="str">
            <v>Tortella densa</v>
          </cell>
          <cell r="B4704" t="str">
            <v>Mosses and liverworts</v>
          </cell>
          <cell r="C4704" t="str">
            <v>Bryophyta</v>
          </cell>
          <cell r="D4704" t="str">
            <v>Tortella densa</v>
          </cell>
          <cell r="E4704" t="str">
            <v>LC</v>
          </cell>
          <cell r="F4704" t="str">
            <v>Callaghan, 2022</v>
          </cell>
          <cell r="G4704" t="str">
            <v>NHMSYS0000310766</v>
          </cell>
          <cell r="H4704" t="str">
            <v>Tortella densa</v>
          </cell>
        </row>
        <row r="4705">
          <cell r="A4705" t="str">
            <v>Tortella fasciculata</v>
          </cell>
          <cell r="B4705" t="str">
            <v>Mosses and liverworts</v>
          </cell>
          <cell r="C4705" t="str">
            <v>Bryophyta</v>
          </cell>
          <cell r="D4705" t="str">
            <v>Tortella fasciculata</v>
          </cell>
          <cell r="E4705" t="str">
            <v>LC</v>
          </cell>
          <cell r="F4705" t="str">
            <v>Callaghan, 2022</v>
          </cell>
          <cell r="G4705" t="str">
            <v>NHMSYS0021239508</v>
          </cell>
          <cell r="H4705" t="str">
            <v>Tortella fasciculata</v>
          </cell>
        </row>
        <row r="4706">
          <cell r="A4706" t="str">
            <v>Tortella flavovirens</v>
          </cell>
          <cell r="B4706" t="str">
            <v>Mosses and liverworts</v>
          </cell>
          <cell r="C4706" t="str">
            <v>Bryophyta</v>
          </cell>
          <cell r="D4706" t="str">
            <v>Tortella flavovirens</v>
          </cell>
          <cell r="E4706" t="str">
            <v>LC</v>
          </cell>
          <cell r="F4706" t="str">
            <v>Callaghan, 2022</v>
          </cell>
          <cell r="G4706" t="str">
            <v>NBNSYS0000036432</v>
          </cell>
          <cell r="H4706" t="str">
            <v>Tortella flavovirens</v>
          </cell>
        </row>
        <row r="4707">
          <cell r="A4707" t="str">
            <v>Tortella inclinata</v>
          </cell>
          <cell r="B4707" t="str">
            <v>Mosses and liverworts</v>
          </cell>
          <cell r="C4707" t="str">
            <v>Bryophyta</v>
          </cell>
          <cell r="D4707" t="str">
            <v>Tortella inclinata</v>
          </cell>
          <cell r="E4707" t="str">
            <v>LC</v>
          </cell>
          <cell r="F4707" t="str">
            <v>Callaghan, 2022</v>
          </cell>
          <cell r="G4707" t="str">
            <v>NHMSYS0000310770</v>
          </cell>
          <cell r="H4707" t="str">
            <v>Tortella inclinata</v>
          </cell>
        </row>
        <row r="4708">
          <cell r="A4708" t="str">
            <v>Tortella inflexa</v>
          </cell>
          <cell r="B4708" t="str">
            <v>Mosses and liverworts</v>
          </cell>
          <cell r="C4708" t="str">
            <v>Bryophyta</v>
          </cell>
          <cell r="D4708" t="str">
            <v>Tortella inflexa</v>
          </cell>
          <cell r="E4708" t="str">
            <v>LC</v>
          </cell>
          <cell r="F4708" t="str">
            <v>Callaghan, 2022</v>
          </cell>
          <cell r="G4708" t="str">
            <v>NBNSYS0000036436</v>
          </cell>
          <cell r="H4708" t="str">
            <v>Tortella inflexa</v>
          </cell>
        </row>
        <row r="4709">
          <cell r="A4709" t="str">
            <v>Tortella nitida</v>
          </cell>
          <cell r="B4709" t="str">
            <v>Mosses and liverworts</v>
          </cell>
          <cell r="C4709" t="str">
            <v>Bryophyta</v>
          </cell>
          <cell r="D4709" t="str">
            <v>Tortella nitida</v>
          </cell>
          <cell r="E4709" t="str">
            <v>LC</v>
          </cell>
          <cell r="F4709" t="str">
            <v>Callaghan, 2022</v>
          </cell>
          <cell r="G4709" t="str">
            <v>NBNSYS0000036437</v>
          </cell>
          <cell r="H4709" t="str">
            <v>Tortella nitida</v>
          </cell>
        </row>
        <row r="4710">
          <cell r="A4710" t="str">
            <v>Tortella squarrosa</v>
          </cell>
          <cell r="B4710" t="str">
            <v>Mosses and liverworts</v>
          </cell>
          <cell r="C4710" t="str">
            <v>Bryophyta</v>
          </cell>
          <cell r="D4710" t="str">
            <v>Tortella squarrosa</v>
          </cell>
          <cell r="E4710" t="str">
            <v>LC</v>
          </cell>
          <cell r="F4710" t="str">
            <v>Callaghan, 2022</v>
          </cell>
          <cell r="G4710" t="str">
            <v>NBNSYS0000036438</v>
          </cell>
          <cell r="H4710" t="str">
            <v>Tortella squarrosa</v>
          </cell>
        </row>
        <row r="4711">
          <cell r="A4711" t="str">
            <v>Tortella tortuosa</v>
          </cell>
          <cell r="B4711" t="str">
            <v>Mosses and liverworts</v>
          </cell>
          <cell r="C4711" t="str">
            <v>Bryophyta</v>
          </cell>
          <cell r="D4711" t="str">
            <v>Tortella tortuosa</v>
          </cell>
          <cell r="E4711" t="str">
            <v>LC</v>
          </cell>
          <cell r="F4711" t="str">
            <v>Callaghan, 2022</v>
          </cell>
          <cell r="G4711" t="str">
            <v>NBNSYS0000036429</v>
          </cell>
          <cell r="H4711" t="str">
            <v>Tortella tortuosa</v>
          </cell>
        </row>
        <row r="4712">
          <cell r="A4712" t="str">
            <v>Tortula acaulon</v>
          </cell>
          <cell r="B4712" t="str">
            <v>Mosses and liverworts</v>
          </cell>
          <cell r="C4712" t="str">
            <v>Bryophyta</v>
          </cell>
          <cell r="D4712" t="str">
            <v>Tortula acaulon</v>
          </cell>
          <cell r="E4712" t="str">
            <v>LC</v>
          </cell>
          <cell r="F4712" t="str">
            <v>Callaghan, 2022</v>
          </cell>
          <cell r="G4712" t="str">
            <v>NBNSYS0000036355</v>
          </cell>
          <cell r="H4712" t="str">
            <v>Tortula acaulon</v>
          </cell>
        </row>
        <row r="4713">
          <cell r="A4713" t="str">
            <v>Tortula atrovirens</v>
          </cell>
          <cell r="B4713" t="str">
            <v>Mosses and liverworts</v>
          </cell>
          <cell r="C4713" t="str">
            <v>Bryophyta</v>
          </cell>
          <cell r="D4713" t="str">
            <v>Tortula atrovirens</v>
          </cell>
          <cell r="E4713" t="str">
            <v>LC</v>
          </cell>
          <cell r="F4713" t="str">
            <v>Callaghan, 2022</v>
          </cell>
          <cell r="G4713" t="str">
            <v>NBNSYS0000158114</v>
          </cell>
          <cell r="H4713" t="str">
            <v>Tortula atrovirens</v>
          </cell>
        </row>
        <row r="4714">
          <cell r="A4714" t="str">
            <v>Tortula bolanderi</v>
          </cell>
          <cell r="B4714" t="str">
            <v>Mosses and liverworts</v>
          </cell>
          <cell r="C4714" t="str">
            <v>Bryophyta</v>
          </cell>
          <cell r="D4714" t="str">
            <v>Tortula bolanderi</v>
          </cell>
          <cell r="E4714" t="str">
            <v>EN</v>
          </cell>
          <cell r="F4714" t="str">
            <v>Callaghan, 2022</v>
          </cell>
        </row>
        <row r="4714">
          <cell r="H4714" t="str">
            <v>Tortula bolanderi</v>
          </cell>
        </row>
        <row r="4715">
          <cell r="A4715" t="str">
            <v>Tortula canescens</v>
          </cell>
          <cell r="B4715" t="str">
            <v>Mosses and liverworts</v>
          </cell>
          <cell r="C4715" t="str">
            <v>Bryophyta</v>
          </cell>
          <cell r="D4715" t="str">
            <v>Tortula canescens</v>
          </cell>
          <cell r="E4715" t="str">
            <v>EN</v>
          </cell>
          <cell r="F4715" t="str">
            <v>Callaghan, 2022</v>
          </cell>
          <cell r="G4715" t="str">
            <v>NBNSYS0000036308</v>
          </cell>
          <cell r="H4715" t="str">
            <v>Tortula canescens</v>
          </cell>
        </row>
        <row r="4716">
          <cell r="A4716" t="str">
            <v>Tortula caucasica</v>
          </cell>
          <cell r="B4716" t="str">
            <v>Mosses and liverworts</v>
          </cell>
          <cell r="C4716" t="str">
            <v>Bryophyta</v>
          </cell>
          <cell r="D4716" t="str">
            <v>Tortula caucasica</v>
          </cell>
          <cell r="E4716" t="str">
            <v>LC</v>
          </cell>
          <cell r="F4716" t="str">
            <v>Callaghan, 2022</v>
          </cell>
          <cell r="G4716" t="str">
            <v>NBNSYS0100005854</v>
          </cell>
          <cell r="H4716" t="str">
            <v>Tortula caucasica</v>
          </cell>
        </row>
        <row r="4717">
          <cell r="A4717" t="str">
            <v>Tortula cernua</v>
          </cell>
          <cell r="B4717" t="str">
            <v>Mosses and liverworts</v>
          </cell>
          <cell r="C4717" t="str">
            <v>Bryophyta</v>
          </cell>
          <cell r="D4717" t="str">
            <v>Tortula cernua</v>
          </cell>
          <cell r="E4717" t="str">
            <v>CR</v>
          </cell>
          <cell r="F4717" t="str">
            <v>Callaghan, 2022</v>
          </cell>
          <cell r="G4717" t="str">
            <v>NHMSYS0000310777</v>
          </cell>
          <cell r="H4717" t="str">
            <v>Tortula cernua</v>
          </cell>
        </row>
        <row r="4718">
          <cell r="A4718" t="str">
            <v>Tortula cuneifolia</v>
          </cell>
          <cell r="B4718" t="str">
            <v>Mosses and liverworts</v>
          </cell>
          <cell r="C4718" t="str">
            <v>Bryophyta</v>
          </cell>
          <cell r="D4718" t="str">
            <v>Tortula cuneifolia</v>
          </cell>
          <cell r="E4718" t="str">
            <v>CR</v>
          </cell>
          <cell r="F4718" t="str">
            <v>Callaghan, 2022</v>
          </cell>
          <cell r="G4718" t="str">
            <v>NHMSYS0000310778</v>
          </cell>
          <cell r="H4718" t="str">
            <v>Tortula cuneifolia</v>
          </cell>
        </row>
        <row r="4719">
          <cell r="A4719" t="str">
            <v>Tortula freibergii</v>
          </cell>
          <cell r="B4719" t="str">
            <v>Mosses and liverworts</v>
          </cell>
          <cell r="C4719" t="str">
            <v>Bryophyta</v>
          </cell>
          <cell r="D4719" t="str">
            <v>Tortula freibergii</v>
          </cell>
          <cell r="E4719" t="str">
            <v>LC</v>
          </cell>
          <cell r="F4719" t="str">
            <v>Callaghan, 2022</v>
          </cell>
          <cell r="G4719" t="str">
            <v>NHMSYS0000310779</v>
          </cell>
          <cell r="H4719" t="str">
            <v>Tortula freibergii</v>
          </cell>
        </row>
        <row r="4720">
          <cell r="A4720" t="str">
            <v>Tortula lindbergii</v>
          </cell>
          <cell r="B4720" t="str">
            <v>Mosses and liverworts</v>
          </cell>
          <cell r="C4720" t="str">
            <v>Bryophyta</v>
          </cell>
          <cell r="D4720" t="str">
            <v>Tortula lindbergii</v>
          </cell>
          <cell r="E4720" t="str">
            <v>LC</v>
          </cell>
          <cell r="F4720" t="str">
            <v>Callaghan, 2022</v>
          </cell>
          <cell r="G4720" t="str">
            <v>NBNSYS0100005853</v>
          </cell>
          <cell r="H4720" t="str">
            <v>Tortula lindbergii</v>
          </cell>
        </row>
        <row r="4721">
          <cell r="A4721" t="str">
            <v>Tortula marginata</v>
          </cell>
          <cell r="B4721" t="str">
            <v>Mosses and liverworts</v>
          </cell>
          <cell r="C4721" t="str">
            <v>Bryophyta</v>
          </cell>
          <cell r="D4721" t="str">
            <v>Tortula marginata</v>
          </cell>
          <cell r="E4721" t="str">
            <v>LC</v>
          </cell>
          <cell r="F4721" t="str">
            <v>Callaghan, 2022</v>
          </cell>
          <cell r="G4721" t="str">
            <v>NHMSYS0000310785</v>
          </cell>
          <cell r="H4721" t="str">
            <v>Tortula marginata</v>
          </cell>
        </row>
        <row r="4722">
          <cell r="A4722" t="str">
            <v>Tortula muralis</v>
          </cell>
          <cell r="B4722" t="str">
            <v>Mosses and liverworts</v>
          </cell>
          <cell r="C4722" t="str">
            <v>Bryophyta</v>
          </cell>
          <cell r="D4722" t="str">
            <v>Tortula muralis</v>
          </cell>
          <cell r="E4722" t="str">
            <v>LC</v>
          </cell>
          <cell r="F4722" t="str">
            <v>Callaghan, 2022</v>
          </cell>
          <cell r="G4722" t="str">
            <v>NBNSYS0000036310</v>
          </cell>
          <cell r="H4722" t="str">
            <v>Tortula muralis</v>
          </cell>
        </row>
        <row r="4723">
          <cell r="A4723" t="str">
            <v>Tortula protobryoides</v>
          </cell>
          <cell r="B4723" t="str">
            <v>Mosses and liverworts</v>
          </cell>
          <cell r="C4723" t="str">
            <v>Bryophyta</v>
          </cell>
          <cell r="D4723" t="str">
            <v>Tortula protobryoides</v>
          </cell>
          <cell r="E4723" t="str">
            <v>LC</v>
          </cell>
          <cell r="F4723" t="str">
            <v>Callaghan, 2022</v>
          </cell>
          <cell r="G4723" t="str">
            <v>NBNSYS0100005855</v>
          </cell>
          <cell r="H4723" t="str">
            <v>Tortula protobryoides</v>
          </cell>
        </row>
        <row r="4724">
          <cell r="A4724" t="str">
            <v>Tortula schimperi</v>
          </cell>
          <cell r="B4724" t="str">
            <v>Mosses and liverworts</v>
          </cell>
          <cell r="C4724" t="str">
            <v>Bryophyta</v>
          </cell>
          <cell r="D4724" t="str">
            <v>Tortula schimperi</v>
          </cell>
          <cell r="E4724" t="str">
            <v>LC</v>
          </cell>
          <cell r="F4724" t="str">
            <v>Callaghan, 2022</v>
          </cell>
          <cell r="G4724" t="str">
            <v>NHMSYS0020636836</v>
          </cell>
          <cell r="H4724" t="str">
            <v>Tortula schimperi</v>
          </cell>
        </row>
        <row r="4725">
          <cell r="A4725" t="str">
            <v>Tortula solmsii</v>
          </cell>
          <cell r="B4725" t="str">
            <v>Mosses and liverworts</v>
          </cell>
          <cell r="C4725" t="str">
            <v>Bryophyta</v>
          </cell>
          <cell r="D4725" t="str">
            <v>Tortula solmsii</v>
          </cell>
          <cell r="E4725" t="str">
            <v>EN</v>
          </cell>
          <cell r="F4725" t="str">
            <v>Callaghan, 2022</v>
          </cell>
          <cell r="G4725" t="str">
            <v>NBNSYS0000036313</v>
          </cell>
          <cell r="H4725" t="str">
            <v>Tortula solmsii</v>
          </cell>
        </row>
        <row r="4726">
          <cell r="A4726" t="str">
            <v>Tortula subulata</v>
          </cell>
          <cell r="B4726" t="str">
            <v>Mosses and liverworts</v>
          </cell>
          <cell r="C4726" t="str">
            <v>Bryophyta</v>
          </cell>
          <cell r="D4726" t="str">
            <v>Tortula subulata</v>
          </cell>
          <cell r="E4726" t="str">
            <v>LC</v>
          </cell>
          <cell r="F4726" t="str">
            <v>Callaghan, 2022</v>
          </cell>
          <cell r="G4726" t="str">
            <v>NBNSYS0000036314</v>
          </cell>
          <cell r="H4726" t="str">
            <v>Tortula subulata</v>
          </cell>
        </row>
        <row r="4727">
          <cell r="A4727" t="str">
            <v>Tortula truncata</v>
          </cell>
          <cell r="B4727" t="str">
            <v>Mosses and liverworts</v>
          </cell>
          <cell r="C4727" t="str">
            <v>Bryophyta</v>
          </cell>
          <cell r="D4727" t="str">
            <v>Tortula truncata</v>
          </cell>
          <cell r="E4727" t="str">
            <v>LC</v>
          </cell>
          <cell r="F4727" t="str">
            <v>Callaghan, 2022</v>
          </cell>
          <cell r="G4727" t="str">
            <v>NBNSYS0100005856</v>
          </cell>
          <cell r="H4727" t="str">
            <v>Tortula truncata</v>
          </cell>
        </row>
        <row r="4728">
          <cell r="A4728" t="str">
            <v>Tortula vahliana</v>
          </cell>
          <cell r="B4728" t="str">
            <v>Mosses and liverworts</v>
          </cell>
          <cell r="C4728" t="str">
            <v>Bryophyta</v>
          </cell>
          <cell r="D4728" t="str">
            <v>Tortula vahliana</v>
          </cell>
          <cell r="E4728" t="str">
            <v>VU</v>
          </cell>
          <cell r="F4728" t="str">
            <v>Callaghan, 2022</v>
          </cell>
          <cell r="G4728" t="str">
            <v>NHMSYS0000310798</v>
          </cell>
          <cell r="H4728" t="str">
            <v>Tortula vahliana</v>
          </cell>
        </row>
        <row r="4729">
          <cell r="A4729" t="str">
            <v>Tortula viridifolia</v>
          </cell>
          <cell r="B4729" t="str">
            <v>Mosses and liverworts</v>
          </cell>
          <cell r="C4729" t="str">
            <v>Bryophyta</v>
          </cell>
          <cell r="D4729" t="str">
            <v>Tortula viridifolia</v>
          </cell>
          <cell r="E4729" t="str">
            <v>LC</v>
          </cell>
          <cell r="F4729" t="str">
            <v>Callaghan, 2022</v>
          </cell>
          <cell r="G4729" t="str">
            <v>NBNSYS0100005857</v>
          </cell>
          <cell r="H4729" t="str">
            <v>Tortula viridifolia</v>
          </cell>
        </row>
        <row r="4730">
          <cell r="A4730" t="str">
            <v>Tortula wilsonii</v>
          </cell>
          <cell r="B4730" t="str">
            <v>Mosses and liverworts</v>
          </cell>
          <cell r="C4730" t="str">
            <v>Bryophyta</v>
          </cell>
          <cell r="D4730" t="str">
            <v>Tortula wilsonii</v>
          </cell>
          <cell r="E4730" t="str">
            <v>EN</v>
          </cell>
          <cell r="F4730" t="str">
            <v>Callaghan, 2022</v>
          </cell>
          <cell r="G4730" t="str">
            <v>NHMSYS0000310800</v>
          </cell>
          <cell r="H4730" t="str">
            <v>Tortula wilsonii</v>
          </cell>
        </row>
        <row r="4731">
          <cell r="A4731" t="str">
            <v>Trichocolea tomentella</v>
          </cell>
          <cell r="B4731" t="str">
            <v>Mosses and liverworts</v>
          </cell>
          <cell r="C4731" t="str">
            <v>Bryophyta</v>
          </cell>
          <cell r="D4731" t="str">
            <v>Trichocolea tomentella</v>
          </cell>
          <cell r="E4731" t="str">
            <v>LC</v>
          </cell>
          <cell r="F4731" t="str">
            <v>Callaghan, 2022</v>
          </cell>
          <cell r="G4731" t="str">
            <v>NHMSYS0000310803</v>
          </cell>
          <cell r="H4731" t="str">
            <v>Trichocolea tomentella</v>
          </cell>
        </row>
        <row r="4732">
          <cell r="A4732" t="str">
            <v>Trichodon cylindricus</v>
          </cell>
          <cell r="B4732" t="str">
            <v>Mosses and liverworts</v>
          </cell>
          <cell r="C4732" t="str">
            <v>Bryophyta</v>
          </cell>
          <cell r="D4732" t="str">
            <v>Trichodon cylindricus</v>
          </cell>
          <cell r="E4732" t="str">
            <v>LC</v>
          </cell>
          <cell r="F4732" t="str">
            <v>Callaghan, 2022</v>
          </cell>
          <cell r="G4732" t="str">
            <v>NBNSYS0000158318</v>
          </cell>
          <cell r="H4732" t="str">
            <v>Trichodon cylindricus</v>
          </cell>
        </row>
        <row r="4733">
          <cell r="A4733" t="str">
            <v>Trichostomum brachydontium</v>
          </cell>
          <cell r="B4733" t="str">
            <v>Mosses and liverworts</v>
          </cell>
          <cell r="C4733" t="str">
            <v>Bryophyta</v>
          </cell>
          <cell r="D4733" t="str">
            <v>Trichostomum brachydontium</v>
          </cell>
          <cell r="E4733" t="str">
            <v>LC</v>
          </cell>
          <cell r="F4733" t="str">
            <v>Callaghan, 2022</v>
          </cell>
          <cell r="G4733" t="str">
            <v>NBNSYS0000036427</v>
          </cell>
          <cell r="H4733" t="str">
            <v>Trichostomum brachydontium</v>
          </cell>
        </row>
        <row r="4734">
          <cell r="A4734" t="str">
            <v>Trichostomum crispulum</v>
          </cell>
          <cell r="B4734" t="str">
            <v>Mosses and liverworts</v>
          </cell>
          <cell r="C4734" t="str">
            <v>Bryophyta</v>
          </cell>
          <cell r="D4734" t="str">
            <v>Trichostomum crispulum</v>
          </cell>
          <cell r="E4734" t="str">
            <v>LC</v>
          </cell>
          <cell r="F4734" t="str">
            <v>Callaghan, 2022</v>
          </cell>
          <cell r="G4734" t="str">
            <v>NBNSYS0000036426</v>
          </cell>
          <cell r="H4734" t="str">
            <v>Trichostomum crispulum</v>
          </cell>
        </row>
        <row r="4735">
          <cell r="A4735" t="str">
            <v>Trichostomum littorale</v>
          </cell>
          <cell r="B4735" t="str">
            <v>Mosses and liverworts</v>
          </cell>
          <cell r="C4735" t="str">
            <v>Bryophyta</v>
          </cell>
          <cell r="D4735" t="str">
            <v>Trichostomum littorale</v>
          </cell>
          <cell r="E4735" t="str">
            <v>LC</v>
          </cell>
          <cell r="F4735" t="str">
            <v>Callaghan, 2022</v>
          </cell>
          <cell r="G4735" t="str">
            <v>NBNSYS0000036427</v>
          </cell>
          <cell r="H4735" t="str">
            <v>Trichostomum littorale</v>
          </cell>
        </row>
        <row r="4736">
          <cell r="A4736" t="str">
            <v>Tritomaria exsecta</v>
          </cell>
          <cell r="B4736" t="str">
            <v>Mosses and liverworts</v>
          </cell>
          <cell r="C4736" t="str">
            <v>Bryophyta</v>
          </cell>
          <cell r="D4736" t="str">
            <v>Tritomaria exsecta</v>
          </cell>
          <cell r="E4736" t="str">
            <v>LC</v>
          </cell>
          <cell r="F4736" t="str">
            <v>Callaghan, 2022</v>
          </cell>
          <cell r="G4736" t="str">
            <v>NBNSYS0000035870</v>
          </cell>
          <cell r="H4736" t="str">
            <v>Tritomaria exsecta</v>
          </cell>
        </row>
        <row r="4737">
          <cell r="A4737" t="str">
            <v>Tritomaria exsectiformis</v>
          </cell>
          <cell r="B4737" t="str">
            <v>Mosses and liverworts</v>
          </cell>
          <cell r="C4737" t="str">
            <v>Bryophyta</v>
          </cell>
          <cell r="D4737" t="str">
            <v>Tritomaria exsectiformis</v>
          </cell>
          <cell r="E4737" t="str">
            <v>LC</v>
          </cell>
          <cell r="F4737" t="str">
            <v>Callaghan, 2022</v>
          </cell>
          <cell r="G4737" t="str">
            <v>NBNSYS0000035871</v>
          </cell>
          <cell r="H4737" t="str">
            <v>Tritomaria exsectiformis</v>
          </cell>
        </row>
        <row r="4738">
          <cell r="A4738" t="str">
            <v>Tritomaria quinquedentata</v>
          </cell>
          <cell r="B4738" t="str">
            <v>Mosses and liverworts</v>
          </cell>
          <cell r="C4738" t="str">
            <v>Bryophyta</v>
          </cell>
          <cell r="D4738" t="str">
            <v>Tritomaria quinquedentata</v>
          </cell>
          <cell r="E4738" t="str">
            <v>LC</v>
          </cell>
          <cell r="F4738" t="str">
            <v>Callaghan, 2022</v>
          </cell>
          <cell r="G4738" t="str">
            <v>NHMSYS0000310813</v>
          </cell>
          <cell r="H4738" t="str">
            <v>Tritomaria quinquedentata</v>
          </cell>
        </row>
        <row r="4739">
          <cell r="A4739" t="str">
            <v>Ulota bruchii</v>
          </cell>
          <cell r="B4739" t="str">
            <v>Mosses and liverworts</v>
          </cell>
          <cell r="C4739" t="str">
            <v>Bryophyta</v>
          </cell>
          <cell r="D4739" t="str">
            <v>Ulota bruchii</v>
          </cell>
          <cell r="E4739" t="str">
            <v>LC</v>
          </cell>
          <cell r="F4739" t="str">
            <v>Callaghan, 2022</v>
          </cell>
          <cell r="G4739" t="str">
            <v>NBNSYS0000158779</v>
          </cell>
          <cell r="H4739" t="str">
            <v>Ulota bruchii</v>
          </cell>
        </row>
        <row r="4740">
          <cell r="A4740" t="str">
            <v>Ulota calvescens</v>
          </cell>
          <cell r="B4740" t="str">
            <v>Mosses and liverworts</v>
          </cell>
          <cell r="C4740" t="str">
            <v>Bryophyta</v>
          </cell>
          <cell r="D4740" t="str">
            <v>Ulota calvescens</v>
          </cell>
          <cell r="E4740" t="str">
            <v>LC</v>
          </cell>
          <cell r="F4740" t="str">
            <v>Callaghan, 2022</v>
          </cell>
          <cell r="G4740" t="str">
            <v>NHMSYS0000310817</v>
          </cell>
          <cell r="H4740" t="str">
            <v>Ulota calvescens</v>
          </cell>
        </row>
        <row r="4741">
          <cell r="A4741" t="str">
            <v>Ulota coarctata</v>
          </cell>
          <cell r="B4741" t="str">
            <v>Mosses and liverworts</v>
          </cell>
          <cell r="C4741" t="str">
            <v>Bryophyta</v>
          </cell>
          <cell r="D4741" t="str">
            <v>Ulota coarctata</v>
          </cell>
          <cell r="E4741" t="str">
            <v>LC</v>
          </cell>
          <cell r="F4741" t="str">
            <v>Callaghan, 2022</v>
          </cell>
          <cell r="G4741" t="str">
            <v>NBNSYS0000036717</v>
          </cell>
          <cell r="H4741" t="str">
            <v>Ulota coarctata</v>
          </cell>
        </row>
        <row r="4742">
          <cell r="A4742" t="str">
            <v>Ulota crispa</v>
          </cell>
          <cell r="B4742" t="str">
            <v>Mosses and liverworts</v>
          </cell>
          <cell r="C4742" t="str">
            <v>Bryophyta</v>
          </cell>
          <cell r="D4742" t="str">
            <v>Ulota crispa</v>
          </cell>
          <cell r="E4742" t="str">
            <v>LC</v>
          </cell>
          <cell r="F4742" t="str">
            <v>Callaghan, 2022</v>
          </cell>
          <cell r="G4742" t="str">
            <v>NHMSYS0021236436</v>
          </cell>
          <cell r="H4742" t="str">
            <v>Ulota crispa</v>
          </cell>
        </row>
        <row r="4743">
          <cell r="A4743" t="str">
            <v>Ulota crispula</v>
          </cell>
          <cell r="B4743" t="str">
            <v>Mosses and liverworts</v>
          </cell>
          <cell r="C4743" t="str">
            <v>Bryophyta</v>
          </cell>
          <cell r="D4743" t="str">
            <v>Ulota crispula</v>
          </cell>
          <cell r="E4743" t="str">
            <v>LC</v>
          </cell>
          <cell r="F4743" t="str">
            <v>Callaghan, 2022</v>
          </cell>
          <cell r="G4743" t="str">
            <v>NHMSYS0021236450</v>
          </cell>
          <cell r="H4743" t="str">
            <v>Ulota crispula</v>
          </cell>
        </row>
        <row r="4744">
          <cell r="A4744" t="str">
            <v>Ulota drummondii</v>
          </cell>
          <cell r="B4744" t="str">
            <v>Mosses and liverworts</v>
          </cell>
          <cell r="C4744" t="str">
            <v>Bryophyta</v>
          </cell>
          <cell r="D4744" t="str">
            <v>Ulota drummondii</v>
          </cell>
          <cell r="E4744" t="str">
            <v>LC</v>
          </cell>
          <cell r="F4744" t="str">
            <v>Callaghan, 2022</v>
          </cell>
          <cell r="G4744" t="str">
            <v>NBNSYS0000036718</v>
          </cell>
          <cell r="H4744" t="str">
            <v>Ulota drummondii</v>
          </cell>
        </row>
        <row r="4745">
          <cell r="A4745" t="str">
            <v>Ulota hutchinsiae</v>
          </cell>
          <cell r="B4745" t="str">
            <v>Mosses and liverworts</v>
          </cell>
          <cell r="C4745" t="str">
            <v>Bryophyta</v>
          </cell>
          <cell r="D4745" t="str">
            <v>Ulota hutchinsiae</v>
          </cell>
          <cell r="E4745" t="str">
            <v>LC</v>
          </cell>
          <cell r="F4745" t="str">
            <v>Callaghan, 2022</v>
          </cell>
          <cell r="G4745" t="str">
            <v>NBNSYS0000036723</v>
          </cell>
          <cell r="H4745" t="str">
            <v>Ulota hutchinsiae</v>
          </cell>
        </row>
        <row r="4746">
          <cell r="A4746" t="str">
            <v>Ulota intermedia</v>
          </cell>
          <cell r="B4746" t="str">
            <v>Mosses and liverworts</v>
          </cell>
          <cell r="C4746" t="str">
            <v>Bryophyta</v>
          </cell>
          <cell r="D4746" t="str">
            <v>Ulota intermedia</v>
          </cell>
          <cell r="E4746" t="str">
            <v>LC</v>
          </cell>
          <cell r="F4746" t="str">
            <v>Callaghan, 2022</v>
          </cell>
          <cell r="G4746" t="str">
            <v>NHMSYS0021232449</v>
          </cell>
          <cell r="H4746" t="str">
            <v>Ulota intermedia</v>
          </cell>
        </row>
        <row r="4747">
          <cell r="A4747" t="str">
            <v>Warnstorfia fluitans</v>
          </cell>
          <cell r="B4747" t="str">
            <v>Mosses and liverworts</v>
          </cell>
          <cell r="C4747" t="str">
            <v>Bryophyta</v>
          </cell>
          <cell r="D4747" t="str">
            <v>Warnstorfia fluitans</v>
          </cell>
          <cell r="E4747" t="str">
            <v>LC</v>
          </cell>
          <cell r="F4747" t="str">
            <v>Callaghan, 2022</v>
          </cell>
          <cell r="G4747" t="str">
            <v>NHMSYS0000310827</v>
          </cell>
          <cell r="H4747" t="str">
            <v>Warnstorfia fluitans</v>
          </cell>
        </row>
        <row r="4748">
          <cell r="A4748" t="str">
            <v>Weissia angustifolia</v>
          </cell>
          <cell r="B4748" t="str">
            <v>Mosses and liverworts</v>
          </cell>
          <cell r="C4748" t="str">
            <v>Bryophyta</v>
          </cell>
          <cell r="D4748" t="str">
            <v>Weissia angustifolia</v>
          </cell>
          <cell r="E4748" t="str">
            <v>LC</v>
          </cell>
          <cell r="F4748" t="str">
            <v>Callaghan, 2022</v>
          </cell>
          <cell r="G4748" t="str">
            <v>NHMSYS0000310838</v>
          </cell>
          <cell r="H4748" t="str">
            <v>Weissia angustifolia</v>
          </cell>
        </row>
        <row r="4749">
          <cell r="A4749" t="str">
            <v>Weissia brachycarpa</v>
          </cell>
          <cell r="B4749" t="str">
            <v>Mosses and liverworts</v>
          </cell>
          <cell r="C4749" t="str">
            <v>Bryophyta</v>
          </cell>
          <cell r="D4749" t="str">
            <v>Weissia brachycarpa</v>
          </cell>
          <cell r="E4749" t="str">
            <v>LC</v>
          </cell>
          <cell r="F4749" t="str">
            <v>Callaghan, 2022</v>
          </cell>
          <cell r="G4749" t="str">
            <v>NHMSYS0000310829</v>
          </cell>
          <cell r="H4749" t="str">
            <v>Weissia brachycarpa</v>
          </cell>
        </row>
        <row r="4750">
          <cell r="A4750" t="str">
            <v>Weissia condensa</v>
          </cell>
          <cell r="B4750" t="str">
            <v>Mosses and liverworts</v>
          </cell>
          <cell r="C4750" t="str">
            <v>Bryophyta</v>
          </cell>
          <cell r="D4750" t="str">
            <v>Weissia condensa</v>
          </cell>
          <cell r="E4750" t="str">
            <v>LC</v>
          </cell>
          <cell r="F4750" t="str">
            <v>Callaghan, 2022</v>
          </cell>
          <cell r="G4750" t="str">
            <v>NBNSYS0000159073</v>
          </cell>
          <cell r="H4750" t="str">
            <v>Weissia condensa</v>
          </cell>
        </row>
        <row r="4751">
          <cell r="A4751" t="str">
            <v>Weissia controversa</v>
          </cell>
          <cell r="B4751" t="str">
            <v>Mosses and liverworts</v>
          </cell>
          <cell r="C4751" t="str">
            <v>Bryophyta</v>
          </cell>
          <cell r="D4751" t="str">
            <v>Weissia controversa</v>
          </cell>
          <cell r="E4751" t="str">
            <v>LC</v>
          </cell>
          <cell r="F4751" t="str">
            <v>Callaghan, 2022</v>
          </cell>
          <cell r="G4751" t="str">
            <v>NBNSYS0000036403</v>
          </cell>
          <cell r="H4751" t="str">
            <v>Weissia controversa</v>
          </cell>
        </row>
        <row r="4752">
          <cell r="A4752" t="str">
            <v>Weissia levieri</v>
          </cell>
          <cell r="B4752" t="str">
            <v>Mosses and liverworts</v>
          </cell>
          <cell r="C4752" t="str">
            <v>Bryophyta</v>
          </cell>
          <cell r="D4752" t="str">
            <v>Weissia levieri</v>
          </cell>
          <cell r="E4752" t="str">
            <v>EN</v>
          </cell>
          <cell r="F4752" t="str">
            <v>Callaghan, 2022</v>
          </cell>
          <cell r="G4752" t="str">
            <v>NBNSYS0000036420</v>
          </cell>
          <cell r="H4752" t="str">
            <v>Weissia levieri</v>
          </cell>
        </row>
        <row r="4753">
          <cell r="A4753" t="str">
            <v>Weissia longifolia</v>
          </cell>
          <cell r="B4753" t="str">
            <v>Mosses and liverworts</v>
          </cell>
          <cell r="C4753" t="str">
            <v>Bryophyta</v>
          </cell>
          <cell r="D4753" t="str">
            <v>Weissia longifolia</v>
          </cell>
          <cell r="E4753" t="str">
            <v>LC</v>
          </cell>
          <cell r="F4753" t="str">
            <v>Callaghan, 2022</v>
          </cell>
          <cell r="G4753" t="str">
            <v>NBNSYS0000036417</v>
          </cell>
          <cell r="H4753" t="str">
            <v>Weissia longifolia</v>
          </cell>
        </row>
        <row r="4754">
          <cell r="A4754" t="str">
            <v>Weissia perssonii</v>
          </cell>
          <cell r="B4754" t="str">
            <v>Mosses and liverworts</v>
          </cell>
          <cell r="C4754" t="str">
            <v>Bryophyta</v>
          </cell>
          <cell r="D4754" t="str">
            <v>Weissia perssonii</v>
          </cell>
          <cell r="E4754" t="str">
            <v>LC</v>
          </cell>
          <cell r="F4754" t="str">
            <v>Callaghan, 2022</v>
          </cell>
          <cell r="G4754" t="str">
            <v>NBNSYS0000036406</v>
          </cell>
          <cell r="H4754" t="str">
            <v>Weissia perssonii</v>
          </cell>
        </row>
        <row r="4755">
          <cell r="A4755" t="str">
            <v>Weissia rostellata</v>
          </cell>
          <cell r="B4755" t="str">
            <v>Mosses and liverworts</v>
          </cell>
          <cell r="C4755" t="str">
            <v>Bryophyta</v>
          </cell>
          <cell r="D4755" t="str">
            <v>Weissia rostellata</v>
          </cell>
          <cell r="E4755" t="str">
            <v>LC</v>
          </cell>
          <cell r="F4755" t="str">
            <v>Callaghan, 2022</v>
          </cell>
          <cell r="G4755" t="str">
            <v>NBNSYS0000036413</v>
          </cell>
          <cell r="H4755" t="str">
            <v>Weissia rostellata</v>
          </cell>
        </row>
        <row r="4756">
          <cell r="A4756" t="str">
            <v>Weissia rutilans</v>
          </cell>
          <cell r="B4756" t="str">
            <v>Mosses and liverworts</v>
          </cell>
          <cell r="C4756" t="str">
            <v>Bryophyta</v>
          </cell>
          <cell r="D4756" t="str">
            <v>Weissia rutilans</v>
          </cell>
          <cell r="E4756" t="str">
            <v>LC</v>
          </cell>
          <cell r="F4756" t="str">
            <v>Callaghan, 2022</v>
          </cell>
          <cell r="G4756" t="str">
            <v>NBNSYS0000036407</v>
          </cell>
          <cell r="H4756" t="str">
            <v>Weissia rutilans</v>
          </cell>
        </row>
        <row r="4757">
          <cell r="A4757" t="str">
            <v>Weissia squarrosa</v>
          </cell>
          <cell r="B4757" t="str">
            <v>Mosses and liverworts</v>
          </cell>
          <cell r="C4757" t="str">
            <v>Bryophyta</v>
          </cell>
          <cell r="D4757" t="str">
            <v>Weissia squarrosa</v>
          </cell>
          <cell r="E4757" t="str">
            <v>LC</v>
          </cell>
          <cell r="F4757" t="str">
            <v>Callaghan, 2022</v>
          </cell>
          <cell r="G4757" t="str">
            <v>NHMSYS0000310843</v>
          </cell>
          <cell r="H4757" t="str">
            <v>Weissia squarrosa</v>
          </cell>
        </row>
        <row r="4758">
          <cell r="A4758" t="str">
            <v>Weissia sterilis</v>
          </cell>
          <cell r="B4758" t="str">
            <v>Mosses and liverworts</v>
          </cell>
          <cell r="C4758" t="str">
            <v>Bryophyta</v>
          </cell>
          <cell r="D4758" t="str">
            <v>Weissia sterilis</v>
          </cell>
          <cell r="E4758" t="str">
            <v>LC</v>
          </cell>
          <cell r="F4758" t="str">
            <v>Callaghan, 2022</v>
          </cell>
          <cell r="G4758" t="str">
            <v>NHMSYS0000310844</v>
          </cell>
          <cell r="H4758" t="str">
            <v>Weissia sterilis</v>
          </cell>
        </row>
        <row r="4759">
          <cell r="A4759" t="str">
            <v>Weissia wilsonii</v>
          </cell>
          <cell r="B4759" t="str">
            <v>Mosses and liverworts</v>
          </cell>
          <cell r="C4759" t="str">
            <v>Bryophyta</v>
          </cell>
          <cell r="D4759" t="str">
            <v>Weissia wilsonii</v>
          </cell>
          <cell r="E4759" t="str">
            <v>LC</v>
          </cell>
          <cell r="F4759" t="str">
            <v>Callaghan, 2022</v>
          </cell>
          <cell r="G4759" t="str">
            <v>NBNSYS0000036415</v>
          </cell>
          <cell r="H4759" t="str">
            <v>Weissia wilsonii</v>
          </cell>
        </row>
        <row r="4760">
          <cell r="A4760" t="str">
            <v>Zygodon conoideus</v>
          </cell>
          <cell r="B4760" t="str">
            <v>Mosses and liverworts</v>
          </cell>
          <cell r="C4760" t="str">
            <v>Bryophyta</v>
          </cell>
          <cell r="D4760" t="str">
            <v>Zygodon conoideus</v>
          </cell>
          <cell r="E4760" t="str">
            <v>LC</v>
          </cell>
          <cell r="F4760" t="str">
            <v>Callaghan, 2022</v>
          </cell>
          <cell r="G4760" t="str">
            <v>NHMSYS0000310576</v>
          </cell>
          <cell r="H4760" t="str">
            <v>Zygodon conoideus</v>
          </cell>
        </row>
        <row r="4761">
          <cell r="A4761" t="str">
            <v>Zygodon gracilis</v>
          </cell>
          <cell r="B4761" t="str">
            <v>Mosses and liverworts</v>
          </cell>
          <cell r="C4761" t="str">
            <v>Bryophyta</v>
          </cell>
          <cell r="D4761" t="str">
            <v>Zygodon gracilis</v>
          </cell>
          <cell r="E4761" t="str">
            <v>VU</v>
          </cell>
          <cell r="F4761" t="str">
            <v>Callaghan, 2022</v>
          </cell>
          <cell r="G4761" t="str">
            <v>NHMSYS0000310580</v>
          </cell>
          <cell r="H4761" t="str">
            <v>Zygodon gracilis</v>
          </cell>
        </row>
        <row r="4762">
          <cell r="A4762" t="str">
            <v>Zygodon rupestris</v>
          </cell>
          <cell r="B4762" t="str">
            <v>Mosses and liverworts</v>
          </cell>
          <cell r="C4762" t="str">
            <v>Bryophyta</v>
          </cell>
          <cell r="D4762" t="str">
            <v>Zygodon rupestris</v>
          </cell>
          <cell r="E4762" t="str">
            <v>LC</v>
          </cell>
          <cell r="F4762" t="str">
            <v>Callaghan, 2022</v>
          </cell>
          <cell r="G4762" t="str">
            <v>NHMSYS0000310581</v>
          </cell>
          <cell r="H4762" t="str">
            <v>Zygodon rupestris</v>
          </cell>
        </row>
        <row r="4763">
          <cell r="A4763" t="str">
            <v>Zygodon stirtonii</v>
          </cell>
          <cell r="B4763" t="str">
            <v>Mosses and liverworts</v>
          </cell>
          <cell r="C4763" t="str">
            <v>Bryophyta</v>
          </cell>
          <cell r="D4763" t="str">
            <v>Zygodon stirtonii</v>
          </cell>
          <cell r="E4763" t="str">
            <v>LC</v>
          </cell>
          <cell r="F4763" t="str">
            <v>Callaghan, 2022</v>
          </cell>
          <cell r="G4763" t="str">
            <v>NHMSYS0000310583</v>
          </cell>
          <cell r="H4763" t="str">
            <v>Zygodon stirtonii</v>
          </cell>
        </row>
        <row r="4764">
          <cell r="A4764" t="str">
            <v>Zygodon viridissimus</v>
          </cell>
          <cell r="B4764" t="str">
            <v>Mosses and liverworts</v>
          </cell>
          <cell r="C4764" t="str">
            <v>Bryophyta</v>
          </cell>
          <cell r="D4764" t="str">
            <v>Zygodon viridissimus</v>
          </cell>
          <cell r="E4764" t="str">
            <v>LC</v>
          </cell>
          <cell r="F4764" t="str">
            <v>Callaghan, 2022</v>
          </cell>
          <cell r="G4764" t="str">
            <v>NHMSYS0000310582</v>
          </cell>
          <cell r="H4764" t="str">
            <v>Zygodon viridissimus</v>
          </cell>
        </row>
        <row r="4765">
          <cell r="A4765" t="str">
            <v>Byrrhus arietinus</v>
          </cell>
          <cell r="B4765" t="str">
            <v>Pill beetles and allies</v>
          </cell>
          <cell r="C4765" t="str">
            <v>Coleoptera</v>
          </cell>
          <cell r="D4765" t="str">
            <v>Byrrhus arietinus</v>
          </cell>
          <cell r="E4765" t="str">
            <v>LC</v>
          </cell>
          <cell r="F4765" t="str">
            <v>Lane, 2021</v>
          </cell>
          <cell r="G4765" t="str">
            <v>NBNSYS0000024192</v>
          </cell>
          <cell r="H4765" t="str">
            <v>Byrrhus arietinus</v>
          </cell>
        </row>
        <row r="4766">
          <cell r="A4766" t="str">
            <v>Byrrhus fasciatus</v>
          </cell>
          <cell r="B4766" t="str">
            <v>Pill beetles and allies</v>
          </cell>
          <cell r="C4766" t="str">
            <v>Coleoptera</v>
          </cell>
          <cell r="D4766" t="str">
            <v>Byrrhus fasciatus</v>
          </cell>
          <cell r="E4766" t="str">
            <v>LC</v>
          </cell>
          <cell r="F4766" t="str">
            <v>Lane, 2021</v>
          </cell>
          <cell r="G4766" t="str">
            <v>NBNSYS0000024193</v>
          </cell>
          <cell r="H4766" t="str">
            <v>Byrrhus fasciatus</v>
          </cell>
        </row>
        <row r="4767">
          <cell r="A4767" t="str">
            <v>Byrrhus pilula</v>
          </cell>
          <cell r="B4767" t="str">
            <v>Pill beetles and allies</v>
          </cell>
          <cell r="C4767" t="str">
            <v>Coleoptera</v>
          </cell>
          <cell r="D4767" t="str">
            <v>Byrrhus pilula</v>
          </cell>
          <cell r="E4767" t="str">
            <v>LC</v>
          </cell>
          <cell r="F4767" t="str">
            <v>Lane, 2021</v>
          </cell>
          <cell r="G4767" t="str">
            <v>NBNSYS0000024194</v>
          </cell>
          <cell r="H4767" t="str">
            <v>Byrrhus pilula</v>
          </cell>
        </row>
        <row r="4768">
          <cell r="A4768" t="str">
            <v>Byrrhus pustulatus</v>
          </cell>
          <cell r="B4768" t="str">
            <v>Pill beetles and allies</v>
          </cell>
          <cell r="C4768" t="str">
            <v>Coleoptera</v>
          </cell>
          <cell r="D4768" t="str">
            <v>Byrrhus pustulatus</v>
          </cell>
          <cell r="E4768" t="str">
            <v>LC</v>
          </cell>
          <cell r="F4768" t="str">
            <v>Lane, 2021</v>
          </cell>
          <cell r="G4768" t="str">
            <v>NBNSYS0000024195</v>
          </cell>
          <cell r="H4768" t="str">
            <v>Byrrhus pustulatus</v>
          </cell>
        </row>
        <row r="4769">
          <cell r="A4769" t="str">
            <v>Calyptomerus dubius</v>
          </cell>
          <cell r="B4769" t="str">
            <v>Pill beetles and allies</v>
          </cell>
          <cell r="C4769" t="str">
            <v>Coleoptera</v>
          </cell>
          <cell r="D4769" t="str">
            <v>Calyptomerus dubius</v>
          </cell>
          <cell r="E4769" t="str">
            <v>LC</v>
          </cell>
          <cell r="F4769" t="str">
            <v>Lane, 2021</v>
          </cell>
          <cell r="G4769" t="str">
            <v>NBNSYS0000024157</v>
          </cell>
          <cell r="H4769" t="str">
            <v>Calyptomerus dubius</v>
          </cell>
        </row>
        <row r="4770">
          <cell r="A4770" t="str">
            <v>Chaetophora spinosa</v>
          </cell>
          <cell r="B4770" t="str">
            <v>Pill beetles and allies</v>
          </cell>
          <cell r="C4770" t="str">
            <v>Coleoptera</v>
          </cell>
          <cell r="D4770" t="str">
            <v>Chaetophora spinosa</v>
          </cell>
          <cell r="E4770" t="str">
            <v>LC</v>
          </cell>
          <cell r="F4770" t="str">
            <v>Lane, 2021</v>
          </cell>
          <cell r="G4770" t="str">
            <v>NBNSYS0000024200</v>
          </cell>
          <cell r="H4770" t="str">
            <v>Chaetophora spinosa</v>
          </cell>
        </row>
        <row r="4771">
          <cell r="A4771" t="str">
            <v>Clambus armadillo</v>
          </cell>
          <cell r="B4771" t="str">
            <v>Pill beetles and allies</v>
          </cell>
          <cell r="C4771" t="str">
            <v>Coleoptera</v>
          </cell>
          <cell r="D4771" t="str">
            <v>Clambus armadillo</v>
          </cell>
          <cell r="E4771" t="str">
            <v>LC</v>
          </cell>
          <cell r="F4771" t="str">
            <v>Lane, 2021</v>
          </cell>
          <cell r="G4771" t="str">
            <v>NHMSYS0001717678</v>
          </cell>
          <cell r="H4771" t="str">
            <v>Clambus armadillo</v>
          </cell>
        </row>
        <row r="4772">
          <cell r="A4772" t="str">
            <v>Clambus pubescens</v>
          </cell>
          <cell r="B4772" t="str">
            <v>Pill beetles and allies</v>
          </cell>
          <cell r="C4772" t="str">
            <v>Coleoptera</v>
          </cell>
          <cell r="D4772" t="str">
            <v>Clambus pubescens</v>
          </cell>
          <cell r="E4772" t="str">
            <v>LC</v>
          </cell>
          <cell r="F4772" t="str">
            <v>Lane, 2021</v>
          </cell>
          <cell r="G4772" t="str">
            <v>NBNSYS0000024164</v>
          </cell>
          <cell r="H4772" t="str">
            <v>Clambus pubescens</v>
          </cell>
        </row>
        <row r="4773">
          <cell r="A4773" t="str">
            <v>Clambus punctulum</v>
          </cell>
          <cell r="B4773" t="str">
            <v>Pill beetles and allies</v>
          </cell>
          <cell r="C4773" t="str">
            <v>Coleoptera</v>
          </cell>
          <cell r="D4773" t="str">
            <v>Clambus punctulum</v>
          </cell>
          <cell r="E4773" t="str">
            <v>LC</v>
          </cell>
          <cell r="F4773" t="str">
            <v>Lane, 2021</v>
          </cell>
          <cell r="G4773" t="str">
            <v>NHMSYS0020081951</v>
          </cell>
          <cell r="H4773" t="str">
            <v>Clambus punctulum</v>
          </cell>
        </row>
        <row r="4774">
          <cell r="A4774" t="str">
            <v>Curimopsis maritima</v>
          </cell>
          <cell r="B4774" t="str">
            <v>Pill beetles and allies</v>
          </cell>
          <cell r="C4774" t="str">
            <v>Coleoptera</v>
          </cell>
          <cell r="D4774" t="str">
            <v>Curimopsis maritima</v>
          </cell>
          <cell r="E4774" t="str">
            <v>LC</v>
          </cell>
          <cell r="F4774" t="str">
            <v>Lane, 2021</v>
          </cell>
          <cell r="G4774" t="str">
            <v>NBNSYS0000024197</v>
          </cell>
          <cell r="H4774" t="str">
            <v>Curimopsis maritima</v>
          </cell>
        </row>
        <row r="4775">
          <cell r="A4775" t="str">
            <v>Curimopsis nigrita</v>
          </cell>
          <cell r="B4775" t="str">
            <v>Pill beetles and allies</v>
          </cell>
          <cell r="C4775" t="str">
            <v>Coleoptera</v>
          </cell>
          <cell r="D4775" t="str">
            <v>Curimopsis nigrita</v>
          </cell>
          <cell r="E4775" t="str">
            <v>CR</v>
          </cell>
          <cell r="F4775" t="str">
            <v>Lane, 2021</v>
          </cell>
          <cell r="G4775" t="str">
            <v>NBNSYS0000024198</v>
          </cell>
          <cell r="H4775" t="str">
            <v>Curimopsis nigrita</v>
          </cell>
        </row>
        <row r="4776">
          <cell r="A4776" t="str">
            <v>Curimopsis setigera</v>
          </cell>
          <cell r="B4776" t="str">
            <v>Pill beetles and allies</v>
          </cell>
          <cell r="C4776" t="str">
            <v>Coleoptera</v>
          </cell>
          <cell r="D4776" t="str">
            <v>Curimopsis setigera</v>
          </cell>
          <cell r="E4776" t="str">
            <v>NT</v>
          </cell>
          <cell r="F4776" t="str">
            <v>Lane, 2021</v>
          </cell>
          <cell r="G4776" t="str">
            <v>NBNSYS0000024199</v>
          </cell>
          <cell r="H4776" t="str">
            <v>Curimopsis setigera</v>
          </cell>
        </row>
        <row r="4777">
          <cell r="A4777" t="str">
            <v>Cytilus sericeus</v>
          </cell>
          <cell r="B4777" t="str">
            <v>Pill beetles and allies</v>
          </cell>
          <cell r="C4777" t="str">
            <v>Coleoptera</v>
          </cell>
          <cell r="D4777" t="str">
            <v>Cytilus sericeus</v>
          </cell>
          <cell r="E4777" t="str">
            <v>LC</v>
          </cell>
          <cell r="F4777" t="str">
            <v>Lane, 2021</v>
          </cell>
          <cell r="G4777" t="str">
            <v>NBNSYS0000024191</v>
          </cell>
          <cell r="H4777" t="str">
            <v>Cytilus sericeus</v>
          </cell>
        </row>
        <row r="4778">
          <cell r="A4778" t="str">
            <v>Dascillus cervinus</v>
          </cell>
          <cell r="B4778" t="str">
            <v>Pill beetles and allies</v>
          </cell>
          <cell r="C4778" t="str">
            <v>Coleoptera</v>
          </cell>
          <cell r="D4778" t="str">
            <v>Dascillus cervinus</v>
          </cell>
          <cell r="E4778" t="str">
            <v>LC</v>
          </cell>
          <cell r="F4778" t="str">
            <v>Lane, 2021</v>
          </cell>
          <cell r="G4778" t="str">
            <v>NBNSYS0000024156</v>
          </cell>
          <cell r="H4778" t="str">
            <v>Dascillus cervinus</v>
          </cell>
        </row>
        <row r="4779">
          <cell r="A4779" t="str">
            <v>Monotoma angusticollis</v>
          </cell>
          <cell r="B4779" t="str">
            <v>Pill beetles and allies</v>
          </cell>
          <cell r="C4779" t="str">
            <v>Coleoptera</v>
          </cell>
          <cell r="D4779" t="str">
            <v>Monotoma angusticollis</v>
          </cell>
          <cell r="E4779" t="str">
            <v>LC</v>
          </cell>
          <cell r="F4779" t="str">
            <v>Lane, 2021</v>
          </cell>
          <cell r="G4779" t="str">
            <v>NBNSYS0000024524</v>
          </cell>
          <cell r="H4779" t="str">
            <v>Monotoma angusticollis</v>
          </cell>
        </row>
        <row r="4780">
          <cell r="A4780" t="str">
            <v>Monotoma bicolor</v>
          </cell>
          <cell r="B4780" t="str">
            <v>Pill beetles and allies</v>
          </cell>
          <cell r="C4780" t="str">
            <v>Coleoptera</v>
          </cell>
          <cell r="D4780" t="str">
            <v>Monotoma bicolor</v>
          </cell>
          <cell r="E4780" t="str">
            <v>LC</v>
          </cell>
          <cell r="F4780" t="str">
            <v>Lane, 2021</v>
          </cell>
          <cell r="G4780" t="str">
            <v>NBNSYS0000024525</v>
          </cell>
          <cell r="H4780" t="str">
            <v>Monotoma bicolor</v>
          </cell>
        </row>
        <row r="4781">
          <cell r="A4781" t="str">
            <v>Monotoma brevicollis</v>
          </cell>
          <cell r="B4781" t="str">
            <v>Pill beetles and allies</v>
          </cell>
          <cell r="C4781" t="str">
            <v>Coleoptera</v>
          </cell>
          <cell r="D4781" t="str">
            <v>Monotoma brevicollis</v>
          </cell>
          <cell r="E4781" t="str">
            <v>LC</v>
          </cell>
          <cell r="F4781" t="str">
            <v>Lane, 2021</v>
          </cell>
          <cell r="G4781" t="str">
            <v>NBNSYS0000024526</v>
          </cell>
          <cell r="H4781" t="str">
            <v>Monotoma brevicollis</v>
          </cell>
        </row>
        <row r="4782">
          <cell r="A4782" t="str">
            <v>Monotoma conicicollis</v>
          </cell>
          <cell r="B4782" t="str">
            <v>Pill beetles and allies</v>
          </cell>
          <cell r="C4782" t="str">
            <v>Coleoptera</v>
          </cell>
          <cell r="D4782" t="str">
            <v>Monotoma conicicollis</v>
          </cell>
          <cell r="E4782" t="str">
            <v>LC</v>
          </cell>
          <cell r="F4782" t="str">
            <v>Lane, 2021</v>
          </cell>
          <cell r="G4782" t="str">
            <v>NBNSYS0000024527</v>
          </cell>
          <cell r="H4782" t="str">
            <v>Monotoma conicicollis</v>
          </cell>
        </row>
        <row r="4783">
          <cell r="A4783" t="str">
            <v>Monotoma longicollis</v>
          </cell>
          <cell r="B4783" t="str">
            <v>Pill beetles and allies</v>
          </cell>
          <cell r="C4783" t="str">
            <v>Coleoptera</v>
          </cell>
          <cell r="D4783" t="str">
            <v>Monotoma longicollis</v>
          </cell>
          <cell r="E4783" t="str">
            <v>LC</v>
          </cell>
          <cell r="F4783" t="str">
            <v>Lane, 2021</v>
          </cell>
          <cell r="G4783" t="str">
            <v>NBNSYS0000024528</v>
          </cell>
          <cell r="H4783" t="str">
            <v>Monotoma longicollis</v>
          </cell>
        </row>
        <row r="4784">
          <cell r="A4784" t="str">
            <v>Monotoma picipes</v>
          </cell>
          <cell r="B4784" t="str">
            <v>Pill beetles and allies</v>
          </cell>
          <cell r="C4784" t="str">
            <v>Coleoptera</v>
          </cell>
          <cell r="D4784" t="str">
            <v>Monotoma picipes</v>
          </cell>
          <cell r="E4784" t="str">
            <v>LC</v>
          </cell>
          <cell r="F4784" t="str">
            <v>Lane, 2021</v>
          </cell>
          <cell r="G4784" t="str">
            <v>NBNSYS0000024529</v>
          </cell>
          <cell r="H4784" t="str">
            <v>Monotoma picipes</v>
          </cell>
        </row>
        <row r="4785">
          <cell r="A4785" t="str">
            <v>Monotoma quadricollis</v>
          </cell>
          <cell r="B4785" t="str">
            <v>Pill beetles and allies</v>
          </cell>
          <cell r="C4785" t="str">
            <v>Coleoptera</v>
          </cell>
          <cell r="D4785" t="str">
            <v>Monotoma quadricollis</v>
          </cell>
          <cell r="E4785" t="str">
            <v>LC</v>
          </cell>
          <cell r="F4785" t="str">
            <v>Lane, 2021</v>
          </cell>
          <cell r="G4785" t="str">
            <v>NHMSYS0021366514</v>
          </cell>
          <cell r="H4785" t="str">
            <v>Monotoma quadricollis</v>
          </cell>
        </row>
        <row r="4786">
          <cell r="A4786" t="str">
            <v>Monotoma spinicollis</v>
          </cell>
          <cell r="B4786" t="str">
            <v>Pill beetles and allies</v>
          </cell>
          <cell r="C4786" t="str">
            <v>Coleoptera</v>
          </cell>
          <cell r="D4786" t="str">
            <v>Monotoma spinicollis</v>
          </cell>
          <cell r="E4786" t="str">
            <v>LC</v>
          </cell>
          <cell r="F4786" t="str">
            <v>Lane, 2021</v>
          </cell>
          <cell r="G4786" t="str">
            <v>NBNSYS0000024531</v>
          </cell>
          <cell r="H4786" t="str">
            <v>Monotoma spinicollis</v>
          </cell>
        </row>
        <row r="4787">
          <cell r="A4787" t="str">
            <v>Monotoma testacea</v>
          </cell>
          <cell r="B4787" t="str">
            <v>Pill beetles and allies</v>
          </cell>
          <cell r="C4787" t="str">
            <v>Coleoptera</v>
          </cell>
          <cell r="D4787" t="str">
            <v>Monotoma testacea</v>
          </cell>
          <cell r="E4787" t="str">
            <v>LC</v>
          </cell>
          <cell r="F4787" t="str">
            <v>Lane, 2021</v>
          </cell>
          <cell r="G4787" t="str">
            <v>NBNSYS0000024532</v>
          </cell>
          <cell r="H4787" t="str">
            <v>Monotoma testacea</v>
          </cell>
        </row>
        <row r="4788">
          <cell r="A4788" t="str">
            <v>Morychus aeneus</v>
          </cell>
          <cell r="B4788" t="str">
            <v>Pill beetles and allies</v>
          </cell>
          <cell r="C4788" t="str">
            <v>Coleoptera</v>
          </cell>
          <cell r="D4788" t="str">
            <v>Morychus aeneus</v>
          </cell>
          <cell r="E4788" t="str">
            <v>LC</v>
          </cell>
          <cell r="F4788" t="str">
            <v>Lane, 2021</v>
          </cell>
          <cell r="G4788" t="str">
            <v>NHMSYS0001719054</v>
          </cell>
          <cell r="H4788" t="str">
            <v>Morychus aeneus</v>
          </cell>
        </row>
        <row r="4789">
          <cell r="A4789" t="str">
            <v>Nycteus meridionalis</v>
          </cell>
          <cell r="B4789" t="str">
            <v>Pill beetles and allies</v>
          </cell>
          <cell r="C4789" t="str">
            <v>Coleoptera</v>
          </cell>
          <cell r="D4789" t="str">
            <v>Nycteus meridionalis</v>
          </cell>
          <cell r="E4789" t="str">
            <v>LC</v>
          </cell>
          <cell r="F4789" t="str">
            <v>Lane, 2021</v>
          </cell>
          <cell r="G4789" t="str">
            <v>NHMSYS0021366704</v>
          </cell>
          <cell r="H4789" t="str">
            <v>Nycteus meridionalis</v>
          </cell>
        </row>
        <row r="4790">
          <cell r="A4790" t="str">
            <v>Olibrus aeneus</v>
          </cell>
          <cell r="B4790" t="str">
            <v>Pill beetles and allies</v>
          </cell>
          <cell r="C4790" t="str">
            <v>Coleoptera</v>
          </cell>
          <cell r="D4790" t="str">
            <v>Olibrus aeneus</v>
          </cell>
          <cell r="E4790" t="str">
            <v>LC</v>
          </cell>
          <cell r="F4790" t="str">
            <v>Lane, 2021</v>
          </cell>
          <cell r="G4790" t="str">
            <v>NHMSYS0020152838</v>
          </cell>
          <cell r="H4790" t="str">
            <v>Olibrus aeneus</v>
          </cell>
        </row>
        <row r="4791">
          <cell r="A4791" t="str">
            <v>Olibrus affinis</v>
          </cell>
          <cell r="B4791" t="str">
            <v>Pill beetles and allies</v>
          </cell>
          <cell r="C4791" t="str">
            <v>Coleoptera</v>
          </cell>
          <cell r="D4791" t="str">
            <v>Olibrus affinis</v>
          </cell>
          <cell r="E4791" t="str">
            <v>LC</v>
          </cell>
          <cell r="F4791" t="str">
            <v>Lane, 2021</v>
          </cell>
          <cell r="G4791" t="str">
            <v>NBNSYS0000024678</v>
          </cell>
          <cell r="H4791" t="str">
            <v>Olibrus affinis</v>
          </cell>
        </row>
        <row r="4792">
          <cell r="A4792" t="str">
            <v>Olibrus corticalis</v>
          </cell>
          <cell r="B4792" t="str">
            <v>Pill beetles and allies</v>
          </cell>
          <cell r="C4792" t="str">
            <v>Coleoptera</v>
          </cell>
          <cell r="D4792" t="str">
            <v>Olibrus corticalis</v>
          </cell>
          <cell r="E4792" t="str">
            <v>LC</v>
          </cell>
          <cell r="F4792" t="str">
            <v>Lane, 2021</v>
          </cell>
          <cell r="G4792" t="str">
            <v>NBNSYS0000024679</v>
          </cell>
          <cell r="H4792" t="str">
            <v>Olibrus corticalis</v>
          </cell>
        </row>
        <row r="4793">
          <cell r="A4793" t="str">
            <v>Olibrus flavicornis</v>
          </cell>
          <cell r="B4793" t="str">
            <v>Pill beetles and allies</v>
          </cell>
          <cell r="C4793" t="str">
            <v>Coleoptera</v>
          </cell>
          <cell r="D4793" t="str">
            <v>Olibrus flavicornis</v>
          </cell>
          <cell r="E4793" t="str">
            <v>LC</v>
          </cell>
          <cell r="F4793" t="str">
            <v>Lane, 2021</v>
          </cell>
          <cell r="G4793" t="str">
            <v>NBNSYS0000024680</v>
          </cell>
          <cell r="H4793" t="str">
            <v>Olibrus flavicornis</v>
          </cell>
        </row>
        <row r="4794">
          <cell r="A4794" t="str">
            <v>Olibrus liquidus</v>
          </cell>
          <cell r="B4794" t="str">
            <v>Pill beetles and allies</v>
          </cell>
          <cell r="C4794" t="str">
            <v>Coleoptera</v>
          </cell>
          <cell r="D4794" t="str">
            <v>Olibrus liquidus</v>
          </cell>
          <cell r="E4794" t="str">
            <v>LC</v>
          </cell>
          <cell r="F4794" t="str">
            <v>Lane, 2021</v>
          </cell>
          <cell r="G4794" t="str">
            <v>NBNSYS0000024681</v>
          </cell>
          <cell r="H4794" t="str">
            <v>Olibrus liquidus</v>
          </cell>
        </row>
        <row r="4795">
          <cell r="A4795" t="str">
            <v>Olibrus millefolii</v>
          </cell>
          <cell r="B4795" t="str">
            <v>Pill beetles and allies</v>
          </cell>
          <cell r="C4795" t="str">
            <v>Coleoptera</v>
          </cell>
          <cell r="D4795" t="str">
            <v>Olibrus millefolii</v>
          </cell>
          <cell r="E4795" t="str">
            <v>LC</v>
          </cell>
          <cell r="F4795" t="str">
            <v>Lane, 2021</v>
          </cell>
          <cell r="G4795" t="str">
            <v>NBNSYS0000024682</v>
          </cell>
          <cell r="H4795" t="str">
            <v>Olibrus millefolii</v>
          </cell>
        </row>
        <row r="4796">
          <cell r="A4796" t="str">
            <v>Olibrus norvegicus</v>
          </cell>
          <cell r="B4796" t="str">
            <v>Pill beetles and allies</v>
          </cell>
          <cell r="C4796" t="str">
            <v>Coleoptera</v>
          </cell>
          <cell r="D4796" t="str">
            <v>Olibrus norvegicus</v>
          </cell>
          <cell r="E4796" t="str">
            <v>VU</v>
          </cell>
          <cell r="F4796" t="str">
            <v>Lane, 2021</v>
          </cell>
          <cell r="G4796" t="str">
            <v>NHMSYS0020973767</v>
          </cell>
          <cell r="H4796" t="str">
            <v>Olibrus norvegicus</v>
          </cell>
        </row>
        <row r="4797">
          <cell r="A4797" t="str">
            <v>Olibrus pygmaeus</v>
          </cell>
          <cell r="B4797" t="str">
            <v>Pill beetles and allies</v>
          </cell>
          <cell r="C4797" t="str">
            <v>Coleoptera</v>
          </cell>
          <cell r="D4797" t="str">
            <v>Olibrus pygmaeus</v>
          </cell>
          <cell r="E4797" t="str">
            <v>LC</v>
          </cell>
          <cell r="F4797" t="str">
            <v>Lane, 2021</v>
          </cell>
          <cell r="G4797" t="str">
            <v>NBNSYS0000024683</v>
          </cell>
          <cell r="H4797" t="str">
            <v>Olibrus pygmaeus</v>
          </cell>
        </row>
        <row r="4798">
          <cell r="A4798" t="str">
            <v>Phalacrus caricis</v>
          </cell>
          <cell r="B4798" t="str">
            <v>Pill beetles and allies</v>
          </cell>
          <cell r="C4798" t="str">
            <v>Coleoptera</v>
          </cell>
          <cell r="D4798" t="str">
            <v>Phalacrus carcis</v>
          </cell>
          <cell r="E4798" t="str">
            <v>LC</v>
          </cell>
          <cell r="F4798" t="str">
            <v>Lane, 2021</v>
          </cell>
          <cell r="G4798" t="str">
            <v>NBNSYS0000024673</v>
          </cell>
          <cell r="H4798" t="str">
            <v>Phalacrus caricis</v>
          </cell>
        </row>
        <row r="4799">
          <cell r="A4799" t="str">
            <v>Phalacrus championi</v>
          </cell>
          <cell r="B4799" t="str">
            <v>Pill beetles and allies</v>
          </cell>
          <cell r="C4799" t="str">
            <v>Coleoptera</v>
          </cell>
          <cell r="D4799" t="str">
            <v>Phalacrus championi</v>
          </cell>
          <cell r="E4799" t="str">
            <v>LC</v>
          </cell>
          <cell r="F4799" t="str">
            <v>Lane, 2021</v>
          </cell>
          <cell r="G4799" t="str">
            <v>NBNSYS0000153560</v>
          </cell>
          <cell r="H4799" t="str">
            <v>Phalacrus championi</v>
          </cell>
        </row>
        <row r="4800">
          <cell r="A4800" t="str">
            <v>Phalacrus corruscus</v>
          </cell>
          <cell r="B4800" t="str">
            <v>Pill beetles and allies</v>
          </cell>
          <cell r="C4800" t="str">
            <v>Coleoptera</v>
          </cell>
          <cell r="D4800" t="str">
            <v>Phalacrus corruscus</v>
          </cell>
          <cell r="E4800" t="str">
            <v>LC</v>
          </cell>
          <cell r="F4800" t="str">
            <v>Lane, 2021</v>
          </cell>
          <cell r="G4800" t="str">
            <v>NBNSYS0000024674</v>
          </cell>
          <cell r="H4800" t="str">
            <v>Phalacrus corruscus</v>
          </cell>
        </row>
        <row r="4801">
          <cell r="A4801" t="str">
            <v>Phalacrus fimetarius</v>
          </cell>
          <cell r="B4801" t="str">
            <v>Pill beetles and allies</v>
          </cell>
          <cell r="C4801" t="str">
            <v>Coleoptera</v>
          </cell>
          <cell r="D4801" t="str">
            <v>Phalacrus fimetarius</v>
          </cell>
          <cell r="E4801" t="str">
            <v>LC</v>
          </cell>
          <cell r="F4801" t="str">
            <v>Lane, 2021</v>
          </cell>
          <cell r="G4801" t="str">
            <v>NHMSYS0020153028</v>
          </cell>
          <cell r="H4801" t="str">
            <v>Phalacrus fimetarius</v>
          </cell>
        </row>
        <row r="4802">
          <cell r="A4802" t="str">
            <v>Phalacrus substriatus</v>
          </cell>
          <cell r="B4802" t="str">
            <v>Pill beetles and allies</v>
          </cell>
          <cell r="C4802" t="str">
            <v>Coleoptera</v>
          </cell>
          <cell r="D4802" t="str">
            <v>Phalacrus substriatus</v>
          </cell>
          <cell r="E4802" t="str">
            <v>NT</v>
          </cell>
          <cell r="F4802" t="str">
            <v>Lane, 2021</v>
          </cell>
          <cell r="G4802" t="str">
            <v>NBNSYS0000024676</v>
          </cell>
          <cell r="H4802" t="str">
            <v>Phalacrus substriatus</v>
          </cell>
        </row>
        <row r="4803">
          <cell r="A4803" t="str">
            <v>Porcinolus murinus</v>
          </cell>
          <cell r="B4803" t="str">
            <v>Pill beetles and allies</v>
          </cell>
          <cell r="C4803" t="str">
            <v>Coleoptera</v>
          </cell>
          <cell r="D4803" t="str">
            <v>Porcinolus murinus</v>
          </cell>
          <cell r="E4803" t="str">
            <v>LC</v>
          </cell>
          <cell r="F4803" t="str">
            <v>Lane, 2021</v>
          </cell>
          <cell r="G4803" t="str">
            <v>NHMSYS0001719670</v>
          </cell>
          <cell r="H4803" t="str">
            <v>Porcinolus murinus</v>
          </cell>
        </row>
        <row r="4804">
          <cell r="A4804" t="str">
            <v>Rhizophagus aeneus</v>
          </cell>
          <cell r="B4804" t="str">
            <v>Pill beetles and allies</v>
          </cell>
          <cell r="C4804" t="str">
            <v>Coleoptera</v>
          </cell>
          <cell r="D4804" t="str">
            <v>Rhizophagus aeneus</v>
          </cell>
          <cell r="E4804" t="str">
            <v>LC</v>
          </cell>
          <cell r="F4804" t="str">
            <v>Lane, 2021</v>
          </cell>
          <cell r="G4804" t="str">
            <v>NBNSYS0000155777</v>
          </cell>
          <cell r="H4804" t="str">
            <v>Rhizophagus aeneus</v>
          </cell>
        </row>
        <row r="4805">
          <cell r="A4805" t="str">
            <v>Rhizophagus bipustulatus</v>
          </cell>
          <cell r="B4805" t="str">
            <v>Pill beetles and allies</v>
          </cell>
          <cell r="C4805" t="str">
            <v>Coleoptera</v>
          </cell>
          <cell r="D4805" t="str">
            <v>Rhizophagus bipustulatus</v>
          </cell>
          <cell r="E4805" t="str">
            <v>LC</v>
          </cell>
          <cell r="F4805" t="str">
            <v>Lane, 2021</v>
          </cell>
          <cell r="G4805" t="str">
            <v>NBNSYS0000024511</v>
          </cell>
          <cell r="H4805" t="str">
            <v>Rhizophagus bipustulatus</v>
          </cell>
        </row>
        <row r="4806">
          <cell r="A4806" t="str">
            <v>Rhizophagus cribratus</v>
          </cell>
          <cell r="B4806" t="str">
            <v>Pill beetles and allies</v>
          </cell>
          <cell r="C4806" t="str">
            <v>Coleoptera</v>
          </cell>
          <cell r="D4806" t="str">
            <v>Rhizophagus cribratus</v>
          </cell>
          <cell r="E4806" t="str">
            <v>LC</v>
          </cell>
          <cell r="F4806" t="str">
            <v>Lane, 2021</v>
          </cell>
          <cell r="G4806" t="str">
            <v>NBNSYS0000024512</v>
          </cell>
          <cell r="H4806" t="str">
            <v>Rhizophagus cribratus</v>
          </cell>
        </row>
        <row r="4807">
          <cell r="A4807" t="str">
            <v>Rhizophagus depressus</v>
          </cell>
          <cell r="B4807" t="str">
            <v>Pill beetles and allies</v>
          </cell>
          <cell r="C4807" t="str">
            <v>Coleoptera</v>
          </cell>
          <cell r="D4807" t="str">
            <v>Rhizophagus depressus</v>
          </cell>
          <cell r="E4807" t="str">
            <v>LC</v>
          </cell>
          <cell r="F4807" t="str">
            <v>Lane, 2021</v>
          </cell>
          <cell r="G4807" t="str">
            <v>NBNSYS0000024513</v>
          </cell>
          <cell r="H4807" t="str">
            <v>Rhizophagus depressus</v>
          </cell>
        </row>
        <row r="4808">
          <cell r="A4808" t="str">
            <v>Rhizophagus dispar</v>
          </cell>
          <cell r="B4808" t="str">
            <v>Pill beetles and allies</v>
          </cell>
          <cell r="C4808" t="str">
            <v>Coleoptera</v>
          </cell>
          <cell r="D4808" t="str">
            <v>Rhizophagus dispar</v>
          </cell>
          <cell r="E4808" t="str">
            <v>LC</v>
          </cell>
          <cell r="F4808" t="str">
            <v>Lane, 2021</v>
          </cell>
          <cell r="G4808" t="str">
            <v>NBNSYS0000024514</v>
          </cell>
          <cell r="H4808" t="str">
            <v>Rhizophagus dispar</v>
          </cell>
        </row>
        <row r="4809">
          <cell r="A4809" t="str">
            <v>Rhizophagus fenestralis</v>
          </cell>
          <cell r="B4809" t="str">
            <v>Pill beetles and allies</v>
          </cell>
          <cell r="C4809" t="str">
            <v>Coleoptera</v>
          </cell>
          <cell r="D4809" t="str">
            <v>Rhizophagus fenestralis</v>
          </cell>
          <cell r="E4809" t="str">
            <v>LC</v>
          </cell>
          <cell r="F4809" t="str">
            <v>Lane, 2021</v>
          </cell>
          <cell r="G4809" t="str">
            <v>NHMSYS0021168713</v>
          </cell>
          <cell r="H4809" t="str">
            <v>Rhizophagus fenestralis</v>
          </cell>
        </row>
        <row r="4810">
          <cell r="A4810" t="str">
            <v>Rhizophagus ferrugineus</v>
          </cell>
          <cell r="B4810" t="str">
            <v>Pill beetles and allies</v>
          </cell>
          <cell r="C4810" t="str">
            <v>Coleoptera</v>
          </cell>
          <cell r="D4810" t="str">
            <v>Rhizophagus ferrugineus</v>
          </cell>
          <cell r="E4810" t="str">
            <v>LC</v>
          </cell>
          <cell r="F4810" t="str">
            <v>Lane, 2021</v>
          </cell>
          <cell r="G4810" t="str">
            <v>NBNSYS0000024515</v>
          </cell>
          <cell r="H4810" t="str">
            <v>Rhizophagus ferrugineus</v>
          </cell>
        </row>
        <row r="4811">
          <cell r="A4811" t="str">
            <v>Rhizophagus nitidulus</v>
          </cell>
          <cell r="B4811" t="str">
            <v>Pill beetles and allies</v>
          </cell>
          <cell r="C4811" t="str">
            <v>Coleoptera</v>
          </cell>
          <cell r="D4811" t="str">
            <v>Rhizophagus nitidulus</v>
          </cell>
          <cell r="E4811" t="str">
            <v>LC</v>
          </cell>
          <cell r="F4811" t="str">
            <v>Lane, 2021</v>
          </cell>
          <cell r="G4811" t="str">
            <v>NBNSYS0000024517</v>
          </cell>
          <cell r="H4811" t="str">
            <v>Rhizophagus nitidulus</v>
          </cell>
        </row>
        <row r="4812">
          <cell r="A4812" t="str">
            <v>Rhizophagus oblongicollis</v>
          </cell>
          <cell r="B4812" t="str">
            <v>Pill beetles and allies</v>
          </cell>
          <cell r="C4812" t="str">
            <v>Coleoptera</v>
          </cell>
          <cell r="D4812" t="str">
            <v>Rhizophagus oblongicollis</v>
          </cell>
          <cell r="E4812" t="str">
            <v>LC</v>
          </cell>
          <cell r="F4812" t="str">
            <v>Lane, 2021</v>
          </cell>
          <cell r="G4812" t="str">
            <v>NBNSYS0000024518</v>
          </cell>
          <cell r="H4812" t="str">
            <v>Rhizophagus oblongicollis</v>
          </cell>
        </row>
        <row r="4813">
          <cell r="A4813" t="str">
            <v>Rhizophagus parallelocollis</v>
          </cell>
          <cell r="B4813" t="str">
            <v>Pill beetles and allies</v>
          </cell>
          <cell r="C4813" t="str">
            <v>Coleoptera</v>
          </cell>
          <cell r="D4813" t="str">
            <v>Rhizophagus parallelocollis</v>
          </cell>
          <cell r="E4813" t="str">
            <v>LC</v>
          </cell>
          <cell r="F4813" t="str">
            <v>Lane, 2021</v>
          </cell>
          <cell r="G4813" t="str">
            <v>NBNSYS0000024519</v>
          </cell>
          <cell r="H4813" t="str">
            <v>Rhizophagus parallelocollis</v>
          </cell>
        </row>
        <row r="4814">
          <cell r="A4814" t="str">
            <v>Rhizophagus perforatus</v>
          </cell>
          <cell r="B4814" t="str">
            <v>Pill beetles and allies</v>
          </cell>
          <cell r="C4814" t="str">
            <v>Coleoptera</v>
          </cell>
          <cell r="D4814" t="str">
            <v>Rhizophagus perforatus</v>
          </cell>
          <cell r="E4814" t="str">
            <v>LC</v>
          </cell>
          <cell r="F4814" t="str">
            <v>Lane, 2021</v>
          </cell>
          <cell r="G4814" t="str">
            <v>NBNSYS0000024521</v>
          </cell>
          <cell r="H4814" t="str">
            <v>Rhizophagus perforatus</v>
          </cell>
        </row>
        <row r="4815">
          <cell r="A4815" t="str">
            <v>Rhizophagus picipes</v>
          </cell>
          <cell r="B4815" t="str">
            <v>Pill beetles and allies</v>
          </cell>
          <cell r="C4815" t="str">
            <v>Coleoptera</v>
          </cell>
          <cell r="D4815" t="str">
            <v>Rhizophagus picipes</v>
          </cell>
          <cell r="E4815" t="str">
            <v>LC</v>
          </cell>
          <cell r="F4815" t="str">
            <v>Lane, 2021</v>
          </cell>
          <cell r="G4815" t="str">
            <v>NBNSYS0000024522</v>
          </cell>
          <cell r="H4815" t="str">
            <v>Rhizophagus picipes</v>
          </cell>
        </row>
        <row r="4816">
          <cell r="A4816" t="str">
            <v>Simplocaria maculosa</v>
          </cell>
          <cell r="B4816" t="str">
            <v>Pill beetles and allies</v>
          </cell>
          <cell r="C4816" t="str">
            <v>Coleoptera</v>
          </cell>
          <cell r="D4816" t="str">
            <v>Simplocaria maculosa</v>
          </cell>
          <cell r="E4816" t="str">
            <v>VU</v>
          </cell>
          <cell r="F4816" t="str">
            <v>Lane, 2021</v>
          </cell>
          <cell r="G4816" t="str">
            <v>NBNSYS0000024188</v>
          </cell>
          <cell r="H4816" t="str">
            <v>Simplocaria maculosa</v>
          </cell>
        </row>
        <row r="4817">
          <cell r="A4817" t="str">
            <v>Simplocaria semistriata</v>
          </cell>
          <cell r="B4817" t="str">
            <v>Pill beetles and allies</v>
          </cell>
          <cell r="C4817" t="str">
            <v>Coleoptera</v>
          </cell>
          <cell r="D4817" t="str">
            <v>Simplocaria semistriata</v>
          </cell>
          <cell r="E4817" t="str">
            <v>LC</v>
          </cell>
          <cell r="F4817" t="str">
            <v>Lane, 2021</v>
          </cell>
          <cell r="G4817" t="str">
            <v>NHMSYS0001720103</v>
          </cell>
          <cell r="H4817" t="str">
            <v>Simplocaria semistriata</v>
          </cell>
        </row>
        <row r="4818">
          <cell r="A4818" t="str">
            <v>Stilbus atomarius</v>
          </cell>
          <cell r="B4818" t="str">
            <v>Pill beetles and allies</v>
          </cell>
          <cell r="C4818" t="str">
            <v>Coleoptera</v>
          </cell>
          <cell r="D4818" t="str">
            <v>Stilbus atomarius</v>
          </cell>
          <cell r="E4818" t="str">
            <v>VU</v>
          </cell>
          <cell r="F4818" t="str">
            <v>Lane, 2021</v>
          </cell>
          <cell r="G4818" t="str">
            <v>NBNSYS0000024684</v>
          </cell>
          <cell r="H4818" t="str">
            <v>Stilbus atomarius</v>
          </cell>
        </row>
        <row r="4819">
          <cell r="A4819" t="str">
            <v>Stilbus oblongus</v>
          </cell>
          <cell r="B4819" t="str">
            <v>Pill beetles and allies</v>
          </cell>
          <cell r="C4819" t="str">
            <v>Coleoptera</v>
          </cell>
          <cell r="D4819" t="str">
            <v>Stilbus oblongus</v>
          </cell>
          <cell r="E4819" t="str">
            <v>LC</v>
          </cell>
          <cell r="F4819" t="str">
            <v>Lane, 2021</v>
          </cell>
          <cell r="G4819" t="str">
            <v>NBNSYS0000024685</v>
          </cell>
          <cell r="H4819" t="str">
            <v>Stilbus oblongus</v>
          </cell>
        </row>
        <row r="4820">
          <cell r="A4820" t="str">
            <v>Stilbus testaceus</v>
          </cell>
          <cell r="B4820" t="str">
            <v>Pill beetles and allies</v>
          </cell>
          <cell r="C4820" t="str">
            <v>Coleoptera</v>
          </cell>
          <cell r="D4820" t="str">
            <v>Stilbus testaceus</v>
          </cell>
          <cell r="E4820" t="str">
            <v>LC</v>
          </cell>
          <cell r="F4820" t="str">
            <v>Lane, 2021</v>
          </cell>
          <cell r="G4820" t="str">
            <v>NBNSYS0000024686</v>
          </cell>
          <cell r="H4820" t="str">
            <v>Stilbus testaceus</v>
          </cell>
        </row>
        <row r="4821">
          <cell r="A4821" t="str">
            <v>Achenium depressum </v>
          </cell>
          <cell r="B4821" t="str">
            <v>Rove beetles (macrostaphs)</v>
          </cell>
          <cell r="C4821" t="str">
            <v>Coleoptera</v>
          </cell>
          <cell r="D4821" t="str">
            <v>Achenium depressum</v>
          </cell>
          <cell r="E4821" t="str">
            <v>LC</v>
          </cell>
          <cell r="F4821" t="str">
            <v>Boyce, 2022</v>
          </cell>
          <cell r="G4821" t="str">
            <v>NBNSYS0000023366</v>
          </cell>
          <cell r="H4821" t="str">
            <v>Achenium depressum </v>
          </cell>
        </row>
        <row r="4822">
          <cell r="A4822" t="str">
            <v>Achenium humile </v>
          </cell>
          <cell r="B4822" t="str">
            <v>Rove beetles (macrostaphs)</v>
          </cell>
          <cell r="C4822" t="str">
            <v>Coleoptera</v>
          </cell>
          <cell r="D4822" t="str">
            <v>Achenium humile</v>
          </cell>
          <cell r="E4822" t="str">
            <v>LC</v>
          </cell>
          <cell r="F4822" t="str">
            <v>Boyce, 2022</v>
          </cell>
          <cell r="G4822" t="str">
            <v>NBNSYS0000023367</v>
          </cell>
          <cell r="H4822" t="str">
            <v>Achenium humile </v>
          </cell>
        </row>
        <row r="4823">
          <cell r="A4823" t="str">
            <v>Acidota crenata </v>
          </cell>
          <cell r="B4823" t="str">
            <v>Rove beetles (macrostaphs)</v>
          </cell>
          <cell r="C4823" t="str">
            <v>Coleoptera</v>
          </cell>
          <cell r="D4823" t="str">
            <v>Acidota crenata</v>
          </cell>
          <cell r="E4823" t="str">
            <v>LC</v>
          </cell>
          <cell r="F4823" t="str">
            <v>Boyce, 2022</v>
          </cell>
          <cell r="G4823" t="str">
            <v>NHMSYS0001716360</v>
          </cell>
          <cell r="H4823" t="str">
            <v>Acidota crenata </v>
          </cell>
        </row>
        <row r="4824">
          <cell r="A4824" t="str">
            <v>Acidota cruentata </v>
          </cell>
          <cell r="B4824" t="str">
            <v>Rove beetles (macrostaphs)</v>
          </cell>
          <cell r="C4824" t="str">
            <v>Coleoptera</v>
          </cell>
          <cell r="D4824" t="str">
            <v>Acidota cruentata</v>
          </cell>
          <cell r="E4824" t="str">
            <v>LC</v>
          </cell>
          <cell r="F4824" t="str">
            <v>Boyce, 2022</v>
          </cell>
          <cell r="G4824" t="str">
            <v>NBNSYS0000023116</v>
          </cell>
          <cell r="H4824" t="str">
            <v>Acidota cruentata </v>
          </cell>
        </row>
        <row r="4825">
          <cell r="A4825" t="str">
            <v>Acrolocha minuta </v>
          </cell>
          <cell r="B4825" t="str">
            <v>Rove beetles (macrostaphs)</v>
          </cell>
          <cell r="C4825" t="str">
            <v>Coleoptera</v>
          </cell>
          <cell r="D4825" t="str">
            <v>Acrolocha minuta</v>
          </cell>
          <cell r="E4825" t="str">
            <v>NT</v>
          </cell>
          <cell r="F4825" t="str">
            <v>Boyce, 2022</v>
          </cell>
          <cell r="G4825" t="str">
            <v>NBNSYS0000023147</v>
          </cell>
          <cell r="H4825" t="str">
            <v>Acrolocha minuta </v>
          </cell>
        </row>
        <row r="4826">
          <cell r="A4826" t="str">
            <v>Acrolocha sulcula </v>
          </cell>
          <cell r="B4826" t="str">
            <v>Rove beetles (macrostaphs)</v>
          </cell>
          <cell r="C4826" t="str">
            <v>Coleoptera</v>
          </cell>
          <cell r="D4826" t="str">
            <v>Acrolocha sulcula</v>
          </cell>
          <cell r="E4826" t="str">
            <v>LC</v>
          </cell>
          <cell r="F4826" t="str">
            <v>Boyce, 2022</v>
          </cell>
          <cell r="G4826" t="str">
            <v>NHMSYS0001716378</v>
          </cell>
          <cell r="H4826" t="str">
            <v>Acrolocha sulcula </v>
          </cell>
        </row>
        <row r="4827">
          <cell r="A4827" t="str">
            <v>Acrulia inflata </v>
          </cell>
          <cell r="B4827" t="str">
            <v>Rove beetles (macrostaphs)</v>
          </cell>
          <cell r="C4827" t="str">
            <v>Coleoptera</v>
          </cell>
          <cell r="D4827" t="str">
            <v>Acrulia inflata</v>
          </cell>
          <cell r="E4827" t="str">
            <v>LC</v>
          </cell>
          <cell r="F4827" t="str">
            <v>Boyce, 2022</v>
          </cell>
          <cell r="G4827" t="str">
            <v>NBNSYS0000023135</v>
          </cell>
          <cell r="H4827" t="str">
            <v>Acrulia inflata </v>
          </cell>
        </row>
        <row r="4828">
          <cell r="A4828" t="str">
            <v>Acylophorus glaberrimus </v>
          </cell>
          <cell r="B4828" t="str">
            <v>Rove beetles (macrostaphs)</v>
          </cell>
          <cell r="C4828" t="str">
            <v>Coleoptera</v>
          </cell>
          <cell r="D4828" t="str">
            <v>Acylophorus glaberrimus</v>
          </cell>
          <cell r="E4828" t="str">
            <v>NT</v>
          </cell>
          <cell r="F4828" t="str">
            <v>Boyce, 2022</v>
          </cell>
          <cell r="G4828" t="str">
            <v>NBNSYS0000023583</v>
          </cell>
          <cell r="H4828" t="str">
            <v>Acylophorus glaberrimus </v>
          </cell>
        </row>
        <row r="4829">
          <cell r="A4829" t="str">
            <v>Anotylus clypeonitens </v>
          </cell>
          <cell r="B4829" t="str">
            <v>Rove beetles (macrostaphs)</v>
          </cell>
          <cell r="C4829" t="str">
            <v>Coleoptera</v>
          </cell>
          <cell r="D4829" t="str">
            <v>Anotylus clypeonitens</v>
          </cell>
          <cell r="E4829" t="str">
            <v>NT</v>
          </cell>
          <cell r="F4829" t="str">
            <v>Boyce, 2022</v>
          </cell>
          <cell r="G4829" t="str">
            <v>NHMSYS0001716844</v>
          </cell>
          <cell r="H4829" t="str">
            <v>Anotylus clypeonitens </v>
          </cell>
        </row>
        <row r="4830">
          <cell r="A4830" t="str">
            <v>Anotylus fairmairei</v>
          </cell>
          <cell r="B4830" t="str">
            <v>Rove beetles (macrostaphs)</v>
          </cell>
          <cell r="C4830" t="str">
            <v>Coleoptera</v>
          </cell>
          <cell r="D4830" t="str">
            <v>Anotylus fairmairei</v>
          </cell>
          <cell r="E4830" t="str">
            <v>RE</v>
          </cell>
          <cell r="F4830" t="str">
            <v>Boyce, 2022</v>
          </cell>
          <cell r="G4830" t="str">
            <v>NHMSYS0001716845</v>
          </cell>
          <cell r="H4830" t="str">
            <v>Anotylus fairmairei</v>
          </cell>
        </row>
        <row r="4831">
          <cell r="A4831" t="str">
            <v>Anotylus hamatus </v>
          </cell>
          <cell r="B4831" t="str">
            <v>Rove beetles (macrostaphs)</v>
          </cell>
          <cell r="C4831" t="str">
            <v>Coleoptera</v>
          </cell>
          <cell r="D4831" t="str">
            <v>Anotylus hamatus</v>
          </cell>
          <cell r="E4831" t="str">
            <v>LC</v>
          </cell>
          <cell r="F4831" t="str">
            <v>Boyce, 2022</v>
          </cell>
          <cell r="G4831" t="str">
            <v>NHMSYS0001716846</v>
          </cell>
          <cell r="H4831" t="str">
            <v>Anotylus hamatus </v>
          </cell>
        </row>
        <row r="4832">
          <cell r="A4832" t="str">
            <v>Anotylus insecatus </v>
          </cell>
          <cell r="B4832" t="str">
            <v>Rove beetles (macrostaphs)</v>
          </cell>
          <cell r="C4832" t="str">
            <v>Coleoptera</v>
          </cell>
          <cell r="D4832" t="str">
            <v>Anotylus insecatus</v>
          </cell>
          <cell r="E4832" t="str">
            <v>LC</v>
          </cell>
          <cell r="F4832" t="str">
            <v>Boyce, 2022</v>
          </cell>
          <cell r="G4832" t="str">
            <v>NBNSYS0000023250</v>
          </cell>
          <cell r="H4832" t="str">
            <v>Anotylus insecatus </v>
          </cell>
        </row>
        <row r="4833">
          <cell r="A4833" t="str">
            <v>Anotylus inustus </v>
          </cell>
          <cell r="B4833" t="str">
            <v>Rove beetles (macrostaphs)</v>
          </cell>
          <cell r="C4833" t="str">
            <v>Coleoptera</v>
          </cell>
          <cell r="D4833" t="str">
            <v>Anotylus inustus</v>
          </cell>
          <cell r="E4833" t="str">
            <v>LC</v>
          </cell>
          <cell r="F4833" t="str">
            <v>Boyce, 2022</v>
          </cell>
          <cell r="G4833" t="str">
            <v>NBNSYS0000023251</v>
          </cell>
          <cell r="H4833" t="str">
            <v>Anotylus inustus </v>
          </cell>
        </row>
        <row r="4834">
          <cell r="A4834" t="str">
            <v>Anotylus maritimus </v>
          </cell>
          <cell r="B4834" t="str">
            <v>Rove beetles (macrostaphs)</v>
          </cell>
          <cell r="C4834" t="str">
            <v>Coleoptera</v>
          </cell>
          <cell r="D4834" t="str">
            <v>Anotylus maritimus</v>
          </cell>
          <cell r="E4834" t="str">
            <v>LC</v>
          </cell>
          <cell r="F4834" t="str">
            <v>Boyce, 2022</v>
          </cell>
          <cell r="G4834" t="str">
            <v>NHMSYS0001716847</v>
          </cell>
          <cell r="H4834" t="str">
            <v>Anotylus maritimus </v>
          </cell>
        </row>
        <row r="4835">
          <cell r="A4835" t="str">
            <v>Anotylus mutator </v>
          </cell>
          <cell r="B4835" t="str">
            <v>Rove beetles (macrostaphs)</v>
          </cell>
          <cell r="C4835" t="str">
            <v>Coleoptera</v>
          </cell>
          <cell r="D4835" t="str">
            <v>Anotylus mutator</v>
          </cell>
          <cell r="E4835" t="str">
            <v>LC</v>
          </cell>
          <cell r="F4835" t="str">
            <v>Boyce, 2022</v>
          </cell>
          <cell r="G4835" t="str">
            <v>NBNSYS0000023253</v>
          </cell>
          <cell r="H4835" t="str">
            <v>Anotylus mutator </v>
          </cell>
        </row>
        <row r="4836">
          <cell r="A4836" t="str">
            <v>Anotylus nitidulus </v>
          </cell>
          <cell r="B4836" t="str">
            <v>Rove beetles (macrostaphs)</v>
          </cell>
          <cell r="C4836" t="str">
            <v>Coleoptera</v>
          </cell>
          <cell r="D4836" t="str">
            <v>Anotylus nitidulus</v>
          </cell>
          <cell r="E4836" t="str">
            <v>LC</v>
          </cell>
          <cell r="F4836" t="str">
            <v>Boyce, 2022</v>
          </cell>
          <cell r="G4836" t="str">
            <v>NBNSYS0000023254</v>
          </cell>
          <cell r="H4836" t="str">
            <v>Anotylus nitidulus </v>
          </cell>
        </row>
        <row r="4837">
          <cell r="A4837" t="str">
            <v>Anotylus rugosus </v>
          </cell>
          <cell r="B4837" t="str">
            <v>Rove beetles (macrostaphs)</v>
          </cell>
          <cell r="C4837" t="str">
            <v>Coleoptera</v>
          </cell>
          <cell r="D4837" t="str">
            <v>Anotylus rugosus</v>
          </cell>
          <cell r="E4837" t="str">
            <v>LC</v>
          </cell>
          <cell r="F4837" t="str">
            <v>Boyce, 2022</v>
          </cell>
          <cell r="G4837" t="str">
            <v>NHMSYS0001716849</v>
          </cell>
          <cell r="H4837" t="str">
            <v>Anotylus rugosus </v>
          </cell>
        </row>
        <row r="4838">
          <cell r="A4838" t="str">
            <v>Anotylus saulcyi </v>
          </cell>
          <cell r="B4838" t="str">
            <v>Rove beetles (macrostaphs)</v>
          </cell>
          <cell r="C4838" t="str">
            <v>Coleoptera</v>
          </cell>
          <cell r="D4838" t="str">
            <v>Anotylus saulcyi</v>
          </cell>
          <cell r="E4838" t="str">
            <v>NT</v>
          </cell>
          <cell r="F4838" t="str">
            <v>Boyce, 2022</v>
          </cell>
          <cell r="G4838" t="str">
            <v>NHMSYS0001716850</v>
          </cell>
          <cell r="H4838" t="str">
            <v>Anotylus saulcyi </v>
          </cell>
        </row>
        <row r="4839">
          <cell r="A4839" t="str">
            <v>Anotylus sculpturatus </v>
          </cell>
          <cell r="B4839" t="str">
            <v>Rove beetles (macrostaphs)</v>
          </cell>
          <cell r="C4839" t="str">
            <v>Coleoptera</v>
          </cell>
          <cell r="D4839" t="str">
            <v>Anotylus sculpturatus</v>
          </cell>
          <cell r="E4839" t="str">
            <v>LC</v>
          </cell>
          <cell r="F4839" t="str">
            <v>Boyce, 2022</v>
          </cell>
          <cell r="G4839" t="str">
            <v>NBNSYS0000023257</v>
          </cell>
          <cell r="H4839" t="str">
            <v>Anotylus sculpturatus </v>
          </cell>
        </row>
        <row r="4840">
          <cell r="A4840" t="str">
            <v>Anotylus tetracarinatus </v>
          </cell>
          <cell r="B4840" t="str">
            <v>Rove beetles (macrostaphs)</v>
          </cell>
          <cell r="C4840" t="str">
            <v>Coleoptera</v>
          </cell>
          <cell r="D4840" t="str">
            <v>Anotylus tetracarinatus</v>
          </cell>
          <cell r="E4840" t="str">
            <v>LC</v>
          </cell>
          <cell r="F4840" t="str">
            <v>Boyce, 2022</v>
          </cell>
          <cell r="G4840" t="str">
            <v>NBNSYS0000023258</v>
          </cell>
          <cell r="H4840" t="str">
            <v>Anotylus tetracarinatus </v>
          </cell>
        </row>
        <row r="4841">
          <cell r="A4841" t="str">
            <v>Anthobium atrocephalum </v>
          </cell>
          <cell r="B4841" t="str">
            <v>Rove beetles (macrostaphs)</v>
          </cell>
          <cell r="C4841" t="str">
            <v>Coleoptera</v>
          </cell>
          <cell r="D4841" t="str">
            <v>Anthobium atrocephalum</v>
          </cell>
          <cell r="E4841" t="str">
            <v>LC</v>
          </cell>
          <cell r="F4841" t="str">
            <v>Boyce, 2022</v>
          </cell>
          <cell r="G4841" t="str">
            <v>NBNSYS0000023107</v>
          </cell>
          <cell r="H4841" t="str">
            <v>Anthobium atrocephalum </v>
          </cell>
        </row>
        <row r="4842">
          <cell r="A4842" t="str">
            <v>Anthobium unicolor </v>
          </cell>
          <cell r="B4842" t="str">
            <v>Rove beetles (macrostaphs)</v>
          </cell>
          <cell r="C4842" t="str">
            <v>Coleoptera</v>
          </cell>
          <cell r="D4842" t="str">
            <v>Anthobium unicolor</v>
          </cell>
          <cell r="E4842" t="str">
            <v>LC</v>
          </cell>
          <cell r="F4842" t="str">
            <v>Boyce, 2022</v>
          </cell>
          <cell r="G4842" t="str">
            <v>NBNSYS0000023108</v>
          </cell>
          <cell r="H4842" t="str">
            <v>Anthobium unicolor </v>
          </cell>
        </row>
        <row r="4843">
          <cell r="A4843" t="str">
            <v>Anthophagus alpinus </v>
          </cell>
          <cell r="B4843" t="str">
            <v>Rove beetles (macrostaphs)</v>
          </cell>
          <cell r="C4843" t="str">
            <v>Coleoptera</v>
          </cell>
          <cell r="D4843" t="str">
            <v>Anthophagus alpinus</v>
          </cell>
          <cell r="E4843" t="str">
            <v>NT</v>
          </cell>
          <cell r="F4843" t="str">
            <v>Boyce, 2022</v>
          </cell>
          <cell r="G4843" t="str">
            <v>NBNSYS0000023126</v>
          </cell>
          <cell r="H4843" t="str">
            <v>Anthophagus alpinus </v>
          </cell>
        </row>
        <row r="4844">
          <cell r="A4844" t="str">
            <v>Anthophagus caraboides </v>
          </cell>
          <cell r="B4844" t="str">
            <v>Rove beetles (macrostaphs)</v>
          </cell>
          <cell r="C4844" t="str">
            <v>Coleoptera</v>
          </cell>
          <cell r="D4844" t="str">
            <v>Anthophagus caraboides</v>
          </cell>
          <cell r="E4844" t="str">
            <v>LC</v>
          </cell>
          <cell r="F4844" t="str">
            <v>Boyce, 2022</v>
          </cell>
          <cell r="G4844" t="str">
            <v>NBNSYS0000023127</v>
          </cell>
          <cell r="H4844" t="str">
            <v>Anthophagus caraboides </v>
          </cell>
        </row>
        <row r="4845">
          <cell r="A4845" t="str">
            <v>Aploderus caelatus </v>
          </cell>
          <cell r="B4845" t="str">
            <v>Rove beetles (macrostaphs)</v>
          </cell>
          <cell r="C4845" t="str">
            <v>Coleoptera</v>
          </cell>
          <cell r="D4845" t="str">
            <v>Aploderus caelatus</v>
          </cell>
          <cell r="E4845" t="str">
            <v>EN</v>
          </cell>
          <cell r="F4845" t="str">
            <v>Boyce, 2022</v>
          </cell>
          <cell r="G4845" t="str">
            <v>NBNSYS0000023238</v>
          </cell>
          <cell r="H4845" t="str">
            <v>Aploderus caelatus </v>
          </cell>
        </row>
        <row r="4846">
          <cell r="A4846" t="str">
            <v>Arpedium brachypterum </v>
          </cell>
          <cell r="B4846" t="str">
            <v>Rove beetles (macrostaphs)</v>
          </cell>
          <cell r="C4846" t="str">
            <v>Coleoptera</v>
          </cell>
          <cell r="D4846" t="str">
            <v>Arpedium brachypterum</v>
          </cell>
          <cell r="E4846" t="str">
            <v>LC</v>
          </cell>
          <cell r="F4846" t="str">
            <v>Boyce, 2022</v>
          </cell>
          <cell r="G4846" t="str">
            <v>NBNSYS0000023114</v>
          </cell>
          <cell r="H4846" t="str">
            <v>Arpedium brachypterum </v>
          </cell>
        </row>
        <row r="4847">
          <cell r="A4847" t="str">
            <v>Astenus immaculatus </v>
          </cell>
          <cell r="B4847" t="str">
            <v>Rove beetles (macrostaphs)</v>
          </cell>
          <cell r="C4847" t="str">
            <v>Coleoptera</v>
          </cell>
          <cell r="D4847" t="str">
            <v>Astenus immaculatus</v>
          </cell>
          <cell r="E4847" t="str">
            <v>LC</v>
          </cell>
          <cell r="F4847" t="str">
            <v>Boyce, 2022</v>
          </cell>
          <cell r="G4847" t="str">
            <v>NBNSYS0000023390</v>
          </cell>
          <cell r="H4847" t="str">
            <v>Astenus immaculatus </v>
          </cell>
        </row>
        <row r="4848">
          <cell r="A4848" t="str">
            <v>Astenus lyonessius </v>
          </cell>
          <cell r="B4848" t="str">
            <v>Rove beetles (macrostaphs)</v>
          </cell>
          <cell r="C4848" t="str">
            <v>Coleoptera</v>
          </cell>
          <cell r="D4848" t="str">
            <v>Astenus lyonessius</v>
          </cell>
          <cell r="E4848" t="str">
            <v>LC</v>
          </cell>
          <cell r="F4848" t="str">
            <v>Boyce, 2022</v>
          </cell>
          <cell r="G4848" t="str">
            <v>NBNSYS0000023391</v>
          </cell>
          <cell r="H4848" t="str">
            <v>Astenus lyonessius </v>
          </cell>
        </row>
        <row r="4849">
          <cell r="A4849" t="str">
            <v>Astenus procerus </v>
          </cell>
          <cell r="B4849" t="str">
            <v>Rove beetles (macrostaphs)</v>
          </cell>
          <cell r="C4849" t="str">
            <v>Coleoptera</v>
          </cell>
          <cell r="D4849" t="str">
            <v>Astenus procerus</v>
          </cell>
          <cell r="E4849" t="str">
            <v>LC</v>
          </cell>
          <cell r="F4849" t="str">
            <v>Boyce, 2022</v>
          </cell>
          <cell r="G4849" t="str">
            <v>NBNSYS0000023392</v>
          </cell>
          <cell r="H4849" t="str">
            <v>Astenus procerus </v>
          </cell>
        </row>
        <row r="4850">
          <cell r="A4850" t="str">
            <v>Astenus pulchellus </v>
          </cell>
          <cell r="B4850" t="str">
            <v>Rove beetles (macrostaphs)</v>
          </cell>
          <cell r="C4850" t="str">
            <v>Coleoptera</v>
          </cell>
          <cell r="D4850" t="str">
            <v>Astenus pulchellus</v>
          </cell>
          <cell r="E4850" t="str">
            <v>LC</v>
          </cell>
          <cell r="F4850" t="str">
            <v>Boyce, 2022</v>
          </cell>
          <cell r="G4850" t="str">
            <v>NBNSYS0000023393</v>
          </cell>
          <cell r="H4850" t="str">
            <v>Astenus pulchellus </v>
          </cell>
        </row>
        <row r="4851">
          <cell r="A4851" t="str">
            <v>Astenus serpentinus </v>
          </cell>
          <cell r="B4851" t="str">
            <v>Rove beetles (macrostaphs)</v>
          </cell>
          <cell r="C4851" t="str">
            <v>Coleoptera</v>
          </cell>
          <cell r="D4851" t="str">
            <v>Astenus serpentinus</v>
          </cell>
          <cell r="E4851" t="str">
            <v>NT</v>
          </cell>
          <cell r="F4851" t="str">
            <v>Boyce, 2022</v>
          </cell>
          <cell r="G4851" t="str">
            <v>NHMSYS0020919940</v>
          </cell>
          <cell r="H4851" t="str">
            <v>Astenus serpentinus </v>
          </cell>
        </row>
        <row r="4852">
          <cell r="A4852" t="str">
            <v>Atrecus affinis </v>
          </cell>
          <cell r="B4852" t="str">
            <v>Rove beetles (macrostaphs)</v>
          </cell>
          <cell r="C4852" t="str">
            <v>Coleoptera</v>
          </cell>
          <cell r="D4852" t="str">
            <v>Atrecus affinis</v>
          </cell>
          <cell r="E4852" t="str">
            <v>LC</v>
          </cell>
          <cell r="F4852" t="str">
            <v>Boyce, 2022</v>
          </cell>
          <cell r="G4852" t="str">
            <v>NBNSYS0000023407</v>
          </cell>
          <cell r="H4852" t="str">
            <v>Atrecus affinis </v>
          </cell>
        </row>
        <row r="4853">
          <cell r="A4853" t="str">
            <v>Bisnius cephalotes </v>
          </cell>
          <cell r="B4853" t="str">
            <v>Rove beetles (macrostaphs)</v>
          </cell>
          <cell r="C4853" t="str">
            <v>Coleoptera</v>
          </cell>
          <cell r="D4853" t="str">
            <v>Bisnius cephalotes</v>
          </cell>
          <cell r="E4853" t="str">
            <v>LC</v>
          </cell>
          <cell r="F4853" t="str">
            <v>Boyce, 2022</v>
          </cell>
          <cell r="G4853" t="str">
            <v>NHMSYS0001717268</v>
          </cell>
          <cell r="H4853" t="str">
            <v>Bisnius cephalotes </v>
          </cell>
        </row>
        <row r="4854">
          <cell r="A4854" t="str">
            <v>Bisnius fimetarius </v>
          </cell>
          <cell r="B4854" t="str">
            <v>Rove beetles (macrostaphs)</v>
          </cell>
          <cell r="C4854" t="str">
            <v>Coleoptera</v>
          </cell>
          <cell r="D4854" t="str">
            <v>Bisnius fimetarius</v>
          </cell>
          <cell r="E4854" t="str">
            <v>LC</v>
          </cell>
          <cell r="F4854" t="str">
            <v>Boyce, 2022</v>
          </cell>
          <cell r="G4854" t="str">
            <v>NHMSYS0001717269</v>
          </cell>
          <cell r="H4854" t="str">
            <v>Bisnius fimetarius </v>
          </cell>
        </row>
        <row r="4855">
          <cell r="A4855" t="str">
            <v>Bisnius nigriventris </v>
          </cell>
          <cell r="B4855" t="str">
            <v>Rove beetles (macrostaphs)</v>
          </cell>
          <cell r="C4855" t="str">
            <v>Coleoptera</v>
          </cell>
          <cell r="D4855" t="str">
            <v>Bisnius nigriventris</v>
          </cell>
          <cell r="E4855" t="str">
            <v>LC</v>
          </cell>
          <cell r="F4855" t="str">
            <v>Boyce, 2022</v>
          </cell>
          <cell r="G4855" t="str">
            <v>NHMSYS0001717271</v>
          </cell>
          <cell r="H4855" t="str">
            <v>Bisnius nigriventris </v>
          </cell>
        </row>
        <row r="4856">
          <cell r="A4856" t="str">
            <v>Bisnius pseudoparcus </v>
          </cell>
          <cell r="B4856" t="str">
            <v>Rove beetles (macrostaphs)</v>
          </cell>
          <cell r="C4856" t="str">
            <v>Coleoptera</v>
          </cell>
          <cell r="D4856" t="str">
            <v>Bisnius pseudoparcus</v>
          </cell>
          <cell r="E4856" t="str">
            <v>LC</v>
          </cell>
          <cell r="F4856" t="str">
            <v>Boyce, 2022</v>
          </cell>
          <cell r="G4856" t="str">
            <v>NHMSYS0001717274</v>
          </cell>
          <cell r="H4856" t="str">
            <v>Bisnius pseudoparcus </v>
          </cell>
        </row>
        <row r="4857">
          <cell r="A4857" t="str">
            <v>Bisnius puella </v>
          </cell>
          <cell r="B4857" t="str">
            <v>Rove beetles (macrostaphs)</v>
          </cell>
          <cell r="C4857" t="str">
            <v>Coleoptera</v>
          </cell>
          <cell r="D4857" t="str">
            <v>Bisnius puella</v>
          </cell>
          <cell r="E4857" t="str">
            <v>LC</v>
          </cell>
          <cell r="F4857" t="str">
            <v>Boyce, 2022</v>
          </cell>
          <cell r="G4857" t="str">
            <v>NHMSYS0001717275</v>
          </cell>
          <cell r="H4857" t="str">
            <v>Bisnius puella </v>
          </cell>
        </row>
        <row r="4858">
          <cell r="A4858" t="str">
            <v>Bisnius sordidus </v>
          </cell>
          <cell r="B4858" t="str">
            <v>Rove beetles (macrostaphs)</v>
          </cell>
          <cell r="C4858" t="str">
            <v>Coleoptera</v>
          </cell>
          <cell r="D4858" t="str">
            <v>Bisnius sordidus</v>
          </cell>
          <cell r="E4858" t="str">
            <v>LC</v>
          </cell>
          <cell r="F4858" t="str">
            <v>Boyce, 2022</v>
          </cell>
          <cell r="G4858" t="str">
            <v>NHMSYS0001717278</v>
          </cell>
          <cell r="H4858" t="str">
            <v>Bisnius sordidus </v>
          </cell>
        </row>
        <row r="4859">
          <cell r="A4859" t="str">
            <v>Bisnius subuliformis </v>
          </cell>
          <cell r="B4859" t="str">
            <v>Rove beetles (macrostaphs)</v>
          </cell>
          <cell r="C4859" t="str">
            <v>Coleoptera</v>
          </cell>
          <cell r="D4859" t="str">
            <v>Bisnius subuliformis</v>
          </cell>
          <cell r="E4859" t="str">
            <v>LC</v>
          </cell>
          <cell r="F4859" t="str">
            <v>Boyce, 2022</v>
          </cell>
          <cell r="G4859" t="str">
            <v>NHMSYS0001717279</v>
          </cell>
          <cell r="H4859" t="str">
            <v>Bisnius subuliformis </v>
          </cell>
        </row>
        <row r="4860">
          <cell r="A4860" t="str">
            <v>Bledius annae </v>
          </cell>
          <cell r="B4860" t="str">
            <v>Rove beetles (macrostaphs)</v>
          </cell>
          <cell r="C4860" t="str">
            <v>Coleoptera</v>
          </cell>
          <cell r="D4860" t="str">
            <v>Bledius annae</v>
          </cell>
          <cell r="E4860" t="str">
            <v>LC</v>
          </cell>
          <cell r="F4860" t="str">
            <v>Boyce, 2022</v>
          </cell>
          <cell r="G4860" t="str">
            <v>NBNSYS0000023183</v>
          </cell>
          <cell r="H4860" t="str">
            <v>Bledius annae </v>
          </cell>
        </row>
        <row r="4861">
          <cell r="A4861" t="str">
            <v>Bledius bicornis </v>
          </cell>
          <cell r="B4861" t="str">
            <v>Rove beetles (macrostaphs)</v>
          </cell>
          <cell r="C4861" t="str">
            <v>Coleoptera</v>
          </cell>
          <cell r="D4861" t="str">
            <v>Bledius bicornis</v>
          </cell>
          <cell r="E4861" t="str">
            <v>LC</v>
          </cell>
          <cell r="F4861" t="str">
            <v>Boyce, 2022</v>
          </cell>
          <cell r="G4861" t="str">
            <v>NBNSYS0000023186</v>
          </cell>
          <cell r="H4861" t="str">
            <v>Bledius bicornis </v>
          </cell>
        </row>
        <row r="4862">
          <cell r="A4862" t="str">
            <v>Bledius defensus </v>
          </cell>
          <cell r="B4862" t="str">
            <v>Rove beetles (macrostaphs)</v>
          </cell>
          <cell r="C4862" t="str">
            <v>Coleoptera</v>
          </cell>
          <cell r="D4862" t="str">
            <v>Bledius defensus</v>
          </cell>
          <cell r="E4862" t="str">
            <v>VU</v>
          </cell>
          <cell r="F4862" t="str">
            <v>Boyce, 2022</v>
          </cell>
          <cell r="G4862" t="str">
            <v>NBNSYS0000023188</v>
          </cell>
          <cell r="H4862" t="str">
            <v>Bledius defensus </v>
          </cell>
        </row>
        <row r="4863">
          <cell r="A4863" t="str">
            <v>Bledius diota </v>
          </cell>
          <cell r="B4863" t="str">
            <v>Rove beetles (macrostaphs)</v>
          </cell>
          <cell r="C4863" t="str">
            <v>Coleoptera</v>
          </cell>
          <cell r="D4863" t="str">
            <v>Bledius diota</v>
          </cell>
          <cell r="E4863" t="str">
            <v>NT</v>
          </cell>
          <cell r="F4863" t="str">
            <v>Boyce, 2022</v>
          </cell>
          <cell r="G4863" t="str">
            <v>NBNSYS0000023189</v>
          </cell>
          <cell r="H4863" t="str">
            <v>Bledius diota </v>
          </cell>
        </row>
        <row r="4864">
          <cell r="A4864" t="str">
            <v>Bledius dissimilis </v>
          </cell>
          <cell r="B4864" t="str">
            <v>Rove beetles (macrostaphs)</v>
          </cell>
          <cell r="C4864" t="str">
            <v>Coleoptera</v>
          </cell>
          <cell r="D4864" t="str">
            <v>Bledius dissimilis</v>
          </cell>
          <cell r="E4864" t="str">
            <v>LC</v>
          </cell>
          <cell r="F4864" t="str">
            <v>Boyce, 2022</v>
          </cell>
          <cell r="G4864" t="str">
            <v>NBNSYS0000023190</v>
          </cell>
          <cell r="H4864" t="str">
            <v>Bledius dissimilis </v>
          </cell>
        </row>
        <row r="4865">
          <cell r="A4865" t="str">
            <v>Bledius erraticus </v>
          </cell>
          <cell r="B4865" t="str">
            <v>Rove beetles (macrostaphs)</v>
          </cell>
          <cell r="C4865" t="str">
            <v>Coleoptera</v>
          </cell>
          <cell r="D4865" t="str">
            <v>Bledius erraticus</v>
          </cell>
          <cell r="E4865" t="str">
            <v>VU</v>
          </cell>
          <cell r="F4865" t="str">
            <v>Boyce, 2022</v>
          </cell>
          <cell r="G4865" t="str">
            <v>NBNSYS0000023191</v>
          </cell>
          <cell r="H4865" t="str">
            <v>Bledius erraticus </v>
          </cell>
        </row>
        <row r="4866">
          <cell r="A4866" t="str">
            <v>Bledius femoralis </v>
          </cell>
          <cell r="B4866" t="str">
            <v>Rove beetles (macrostaphs)</v>
          </cell>
          <cell r="C4866" t="str">
            <v>Coleoptera</v>
          </cell>
          <cell r="D4866" t="str">
            <v>Bledius femoralis</v>
          </cell>
          <cell r="E4866" t="str">
            <v>LC</v>
          </cell>
          <cell r="F4866" t="str">
            <v>Boyce, 2022</v>
          </cell>
          <cell r="G4866" t="str">
            <v>NBNSYS0000023192</v>
          </cell>
          <cell r="H4866" t="str">
            <v>Bledius femoralis </v>
          </cell>
        </row>
        <row r="4867">
          <cell r="A4867" t="str">
            <v>Bledius fergussoni </v>
          </cell>
          <cell r="B4867" t="str">
            <v>Rove beetles (macrostaphs)</v>
          </cell>
          <cell r="C4867" t="str">
            <v>Coleoptera</v>
          </cell>
          <cell r="D4867" t="str">
            <v>Bledius fergussoni</v>
          </cell>
          <cell r="E4867" t="str">
            <v>LC</v>
          </cell>
          <cell r="F4867" t="str">
            <v>Boyce, 2022</v>
          </cell>
          <cell r="G4867" t="str">
            <v>NBNSYS0000023193</v>
          </cell>
          <cell r="H4867" t="str">
            <v>Bledius fergussoni </v>
          </cell>
        </row>
        <row r="4868">
          <cell r="A4868" t="str">
            <v>Bledius filipes </v>
          </cell>
          <cell r="B4868" t="str">
            <v>Rove beetles (macrostaphs)</v>
          </cell>
          <cell r="C4868" t="str">
            <v>Coleoptera</v>
          </cell>
          <cell r="D4868" t="str">
            <v>Bledius filipes</v>
          </cell>
          <cell r="E4868" t="str">
            <v>CR</v>
          </cell>
          <cell r="F4868" t="str">
            <v>Boyce, 2022</v>
          </cell>
          <cell r="G4868" t="str">
            <v>NBNSYS0000023194</v>
          </cell>
          <cell r="H4868" t="str">
            <v>Bledius filipes </v>
          </cell>
        </row>
        <row r="4869">
          <cell r="A4869" t="str">
            <v>Bledius frisius </v>
          </cell>
          <cell r="B4869" t="str">
            <v>Rove beetles (macrostaphs)</v>
          </cell>
          <cell r="C4869" t="str">
            <v>Coleoptera</v>
          </cell>
          <cell r="D4869" t="str">
            <v>Bledius frisius</v>
          </cell>
          <cell r="E4869" t="str">
            <v>LC</v>
          </cell>
          <cell r="F4869" t="str">
            <v>Boyce, 2022</v>
          </cell>
          <cell r="G4869" t="str">
            <v>NHMSYS0021439260</v>
          </cell>
          <cell r="H4869" t="str">
            <v>Bledius frisius </v>
          </cell>
        </row>
        <row r="4870">
          <cell r="A4870" t="str">
            <v>Bledius furcatus</v>
          </cell>
          <cell r="B4870" t="str">
            <v>Rove beetles (macrostaphs)</v>
          </cell>
          <cell r="C4870" t="str">
            <v>Coleoptera</v>
          </cell>
          <cell r="D4870" t="str">
            <v>Bledius furcatus</v>
          </cell>
          <cell r="E4870" t="str">
            <v>RE</v>
          </cell>
          <cell r="F4870" t="str">
            <v>Boyce, 2022</v>
          </cell>
          <cell r="G4870" t="str">
            <v>NBNSYS0000023195</v>
          </cell>
          <cell r="H4870" t="str">
            <v>Bledius furcatus</v>
          </cell>
        </row>
        <row r="4871">
          <cell r="A4871" t="str">
            <v>Bledius fuscipes </v>
          </cell>
          <cell r="B4871" t="str">
            <v>Rove beetles (macrostaphs)</v>
          </cell>
          <cell r="C4871" t="str">
            <v>Coleoptera</v>
          </cell>
          <cell r="D4871" t="str">
            <v>Bledius fuscipes</v>
          </cell>
          <cell r="E4871" t="str">
            <v>LC</v>
          </cell>
          <cell r="F4871" t="str">
            <v>Boyce, 2022</v>
          </cell>
          <cell r="G4871" t="str">
            <v>NBNSYS0000023196</v>
          </cell>
          <cell r="H4871" t="str">
            <v>Bledius fuscipes </v>
          </cell>
        </row>
        <row r="4872">
          <cell r="A4872" t="str">
            <v>Bledius gallicus </v>
          </cell>
          <cell r="B4872" t="str">
            <v>Rove beetles (macrostaphs)</v>
          </cell>
          <cell r="C4872" t="str">
            <v>Coleoptera</v>
          </cell>
          <cell r="D4872" t="str">
            <v>Bledius gallicus</v>
          </cell>
          <cell r="E4872" t="str">
            <v>LC</v>
          </cell>
          <cell r="F4872" t="str">
            <v>Boyce, 2022</v>
          </cell>
          <cell r="G4872" t="str">
            <v>NBNSYS0000023197</v>
          </cell>
          <cell r="H4872" t="str">
            <v>Bledius gallicus </v>
          </cell>
        </row>
        <row r="4873">
          <cell r="A4873" t="str">
            <v>Bledius longulus </v>
          </cell>
          <cell r="B4873" t="str">
            <v>Rove beetles (macrostaphs)</v>
          </cell>
          <cell r="C4873" t="str">
            <v>Coleoptera</v>
          </cell>
          <cell r="D4873" t="str">
            <v>Bledius longulus</v>
          </cell>
          <cell r="E4873" t="str">
            <v>LC</v>
          </cell>
          <cell r="F4873" t="str">
            <v>Boyce, 2022</v>
          </cell>
          <cell r="G4873" t="str">
            <v>NBNSYS0000023199</v>
          </cell>
          <cell r="H4873" t="str">
            <v>Bledius longulus </v>
          </cell>
        </row>
        <row r="4874">
          <cell r="A4874" t="str">
            <v>Bledius occidentalis </v>
          </cell>
          <cell r="B4874" t="str">
            <v>Rove beetles (macrostaphs)</v>
          </cell>
          <cell r="C4874" t="str">
            <v>Coleoptera</v>
          </cell>
          <cell r="D4874" t="str">
            <v>Bledius occidentalis</v>
          </cell>
          <cell r="E4874" t="str">
            <v>VU</v>
          </cell>
          <cell r="F4874" t="str">
            <v>Boyce, 2022</v>
          </cell>
          <cell r="G4874" t="str">
            <v>NBNSYS0000023200</v>
          </cell>
          <cell r="H4874" t="str">
            <v>Bledius occidentalis </v>
          </cell>
        </row>
        <row r="4875">
          <cell r="A4875" t="str">
            <v>Bledius opacus </v>
          </cell>
          <cell r="B4875" t="str">
            <v>Rove beetles (macrostaphs)</v>
          </cell>
          <cell r="C4875" t="str">
            <v>Coleoptera</v>
          </cell>
          <cell r="D4875" t="str">
            <v>Bledius opacus</v>
          </cell>
          <cell r="E4875" t="str">
            <v>LC</v>
          </cell>
          <cell r="F4875" t="str">
            <v>Boyce, 2022</v>
          </cell>
          <cell r="G4875" t="str">
            <v>NBNSYS0000023201</v>
          </cell>
          <cell r="H4875" t="str">
            <v>Bledius opacus </v>
          </cell>
        </row>
        <row r="4876">
          <cell r="A4876" t="str">
            <v>Bledius pallipes </v>
          </cell>
          <cell r="B4876" t="str">
            <v>Rove beetles (macrostaphs)</v>
          </cell>
          <cell r="C4876" t="str">
            <v>Coleoptera</v>
          </cell>
          <cell r="D4876" t="str">
            <v>Bledius pallipes</v>
          </cell>
          <cell r="E4876" t="str">
            <v>LC</v>
          </cell>
          <cell r="F4876" t="str">
            <v>Boyce, 2022</v>
          </cell>
          <cell r="G4876" t="str">
            <v>NHMSYS0021232903</v>
          </cell>
          <cell r="H4876" t="str">
            <v>Bledius pallipes </v>
          </cell>
        </row>
        <row r="4877">
          <cell r="A4877" t="str">
            <v>Bledius spectabilis </v>
          </cell>
          <cell r="B4877" t="str">
            <v>Rove beetles (macrostaphs)</v>
          </cell>
          <cell r="C4877" t="str">
            <v>Coleoptera</v>
          </cell>
          <cell r="D4877" t="str">
            <v>Bledius spectabilis</v>
          </cell>
          <cell r="E4877" t="str">
            <v>LC</v>
          </cell>
          <cell r="F4877" t="str">
            <v>Boyce, 2022</v>
          </cell>
          <cell r="G4877" t="str">
            <v>NBNSYS0000023202</v>
          </cell>
          <cell r="H4877" t="str">
            <v>Bledius spectabilis </v>
          </cell>
        </row>
        <row r="4878">
          <cell r="A4878" t="str">
            <v>Bledius subniger </v>
          </cell>
          <cell r="B4878" t="str">
            <v>Rove beetles (macrostaphs)</v>
          </cell>
          <cell r="C4878" t="str">
            <v>Coleoptera</v>
          </cell>
          <cell r="D4878" t="str">
            <v>Bledius subniger</v>
          </cell>
          <cell r="E4878" t="str">
            <v>LC</v>
          </cell>
          <cell r="F4878" t="str">
            <v>Boyce, 2022</v>
          </cell>
          <cell r="G4878" t="str">
            <v>NBNSYS0000023203</v>
          </cell>
          <cell r="H4878" t="str">
            <v>Bledius subniger </v>
          </cell>
        </row>
        <row r="4879">
          <cell r="A4879" t="str">
            <v>Bledius subterraneus </v>
          </cell>
          <cell r="B4879" t="str">
            <v>Rove beetles (macrostaphs)</v>
          </cell>
          <cell r="C4879" t="str">
            <v>Coleoptera</v>
          </cell>
          <cell r="D4879" t="str">
            <v>Bledius subterraneus</v>
          </cell>
          <cell r="E4879" t="str">
            <v>LC</v>
          </cell>
          <cell r="F4879" t="str">
            <v>Boyce, 2022</v>
          </cell>
          <cell r="G4879" t="str">
            <v>NBNSYS0000023204</v>
          </cell>
          <cell r="H4879" t="str">
            <v>Bledius subterraneus </v>
          </cell>
        </row>
        <row r="4880">
          <cell r="A4880" t="str">
            <v>Bledius terebrans </v>
          </cell>
          <cell r="B4880" t="str">
            <v>Rove beetles (macrostaphs)</v>
          </cell>
          <cell r="C4880" t="str">
            <v>Coleoptera</v>
          </cell>
          <cell r="D4880" t="str">
            <v>Bledius terebrans</v>
          </cell>
          <cell r="E4880" t="str">
            <v>VU</v>
          </cell>
          <cell r="F4880" t="str">
            <v>Boyce, 2022</v>
          </cell>
          <cell r="G4880" t="str">
            <v>NBNSYS0000023205</v>
          </cell>
          <cell r="H4880" t="str">
            <v>Bledius terebrans </v>
          </cell>
        </row>
        <row r="4881">
          <cell r="A4881" t="str">
            <v>Bledius tricornis </v>
          </cell>
          <cell r="B4881" t="str">
            <v>Rove beetles (macrostaphs)</v>
          </cell>
          <cell r="C4881" t="str">
            <v>Coleoptera</v>
          </cell>
          <cell r="D4881" t="str">
            <v>Bledius tricornis</v>
          </cell>
          <cell r="E4881" t="str">
            <v>LC</v>
          </cell>
          <cell r="F4881" t="str">
            <v>Boyce, 2022</v>
          </cell>
          <cell r="G4881" t="str">
            <v>NBNSYS0000023206</v>
          </cell>
          <cell r="H4881" t="str">
            <v>Bledius tricornis </v>
          </cell>
        </row>
        <row r="4882">
          <cell r="A4882" t="str">
            <v>Bledius unicornis </v>
          </cell>
          <cell r="B4882" t="str">
            <v>Rove beetles (macrostaphs)</v>
          </cell>
          <cell r="C4882" t="str">
            <v>Coleoptera</v>
          </cell>
          <cell r="D4882" t="str">
            <v>Bledius unicornis</v>
          </cell>
          <cell r="E4882" t="str">
            <v>LC</v>
          </cell>
          <cell r="F4882" t="str">
            <v>Boyce, 2022</v>
          </cell>
          <cell r="G4882" t="str">
            <v>NBNSYS0000023207</v>
          </cell>
          <cell r="H4882" t="str">
            <v>Bledius unicornis </v>
          </cell>
        </row>
        <row r="4883">
          <cell r="A4883" t="str">
            <v>Cafius cicatricosus </v>
          </cell>
          <cell r="B4883" t="str">
            <v>Rove beetles (macrostaphs)</v>
          </cell>
          <cell r="C4883" t="str">
            <v>Coleoptera</v>
          </cell>
          <cell r="D4883" t="str">
            <v>Cafius cicatricosus</v>
          </cell>
          <cell r="E4883" t="str">
            <v>CR</v>
          </cell>
          <cell r="F4883" t="str">
            <v>Boyce, 2022</v>
          </cell>
          <cell r="G4883" t="str">
            <v>NBNSYS0000023506</v>
          </cell>
          <cell r="H4883" t="str">
            <v>Cafius cicatricosus </v>
          </cell>
        </row>
        <row r="4884">
          <cell r="A4884" t="str">
            <v>Cafius fucicola </v>
          </cell>
          <cell r="B4884" t="str">
            <v>Rove beetles (macrostaphs)</v>
          </cell>
          <cell r="C4884" t="str">
            <v>Coleoptera</v>
          </cell>
          <cell r="D4884" t="str">
            <v>Cafius fucicola</v>
          </cell>
          <cell r="E4884" t="str">
            <v>LC</v>
          </cell>
          <cell r="F4884" t="str">
            <v>Boyce, 2022</v>
          </cell>
          <cell r="G4884" t="str">
            <v>NBNSYS0000023507</v>
          </cell>
          <cell r="H4884" t="str">
            <v>Cafius fucicola </v>
          </cell>
        </row>
        <row r="4885">
          <cell r="A4885" t="str">
            <v>Cafius xantholoma </v>
          </cell>
          <cell r="B4885" t="str">
            <v>Rove beetles (macrostaphs)</v>
          </cell>
          <cell r="C4885" t="str">
            <v>Coleoptera</v>
          </cell>
          <cell r="D4885" t="str">
            <v>Cafius xantholoma</v>
          </cell>
          <cell r="E4885" t="str">
            <v>LC</v>
          </cell>
          <cell r="F4885" t="str">
            <v>Boyce, 2022</v>
          </cell>
          <cell r="G4885" t="str">
            <v>NBNSYS0000023509</v>
          </cell>
          <cell r="H4885" t="str">
            <v>Cafius xantholoma </v>
          </cell>
        </row>
        <row r="4886">
          <cell r="A4886" t="str">
            <v>Carpelimus corticinus </v>
          </cell>
          <cell r="B4886" t="str">
            <v>Rove beetles (macrostaphs)</v>
          </cell>
          <cell r="C4886" t="str">
            <v>Coleoptera</v>
          </cell>
          <cell r="D4886" t="str">
            <v>Carpelimus corticinus</v>
          </cell>
          <cell r="E4886" t="str">
            <v>LC</v>
          </cell>
          <cell r="F4886" t="str">
            <v>Boyce, 2022</v>
          </cell>
          <cell r="G4886" t="str">
            <v>NBNSYS0000023215</v>
          </cell>
          <cell r="H4886" t="str">
            <v>Carpelimus corticinus </v>
          </cell>
        </row>
        <row r="4887">
          <cell r="A4887" t="str">
            <v>Carpelimus despectus</v>
          </cell>
          <cell r="B4887" t="str">
            <v>Rove beetles (macrostaphs)</v>
          </cell>
          <cell r="C4887" t="str">
            <v>Coleoptera</v>
          </cell>
          <cell r="D4887" t="str">
            <v>Carpelimus despectus</v>
          </cell>
          <cell r="E4887" t="str">
            <v>RE</v>
          </cell>
          <cell r="F4887" t="str">
            <v>Boyce, 2022</v>
          </cell>
          <cell r="G4887" t="str">
            <v>NHMSYS0001717553</v>
          </cell>
          <cell r="H4887" t="str">
            <v>Carpelimus despectus</v>
          </cell>
        </row>
        <row r="4888">
          <cell r="A4888" t="str">
            <v>Carpelimus elongatulus </v>
          </cell>
          <cell r="B4888" t="str">
            <v>Rove beetles (macrostaphs)</v>
          </cell>
          <cell r="C4888" t="str">
            <v>Coleoptera</v>
          </cell>
          <cell r="D4888" t="str">
            <v>Carpelimus elongatulus</v>
          </cell>
          <cell r="E4888" t="str">
            <v>LC</v>
          </cell>
          <cell r="F4888" t="str">
            <v>Boyce, 2022</v>
          </cell>
          <cell r="G4888" t="str">
            <v>NBNSYS0000023217</v>
          </cell>
          <cell r="H4888" t="str">
            <v>Carpelimus elongatulus </v>
          </cell>
        </row>
        <row r="4889">
          <cell r="A4889" t="str">
            <v>Carpelimus erichsoni </v>
          </cell>
          <cell r="B4889" t="str">
            <v>Rove beetles (macrostaphs)</v>
          </cell>
          <cell r="C4889" t="str">
            <v>Coleoptera</v>
          </cell>
          <cell r="D4889" t="str">
            <v>Carpelimus erichsoni</v>
          </cell>
          <cell r="E4889" t="str">
            <v>LC</v>
          </cell>
          <cell r="F4889" t="str">
            <v>Boyce, 2022</v>
          </cell>
          <cell r="G4889" t="str">
            <v>NHMSYS0020976865</v>
          </cell>
          <cell r="H4889" t="str">
            <v>Carpelimus erichsoni </v>
          </cell>
        </row>
        <row r="4890">
          <cell r="A4890" t="str">
            <v>Carpelimus foveolatus </v>
          </cell>
          <cell r="B4890" t="str">
            <v>Rove beetles (macrostaphs)</v>
          </cell>
          <cell r="C4890" t="str">
            <v>Coleoptera</v>
          </cell>
          <cell r="D4890" t="str">
            <v>Carpelimus foveolatus</v>
          </cell>
          <cell r="E4890" t="str">
            <v>LC</v>
          </cell>
          <cell r="F4890" t="str">
            <v>Boyce, 2022</v>
          </cell>
          <cell r="G4890" t="str">
            <v>NHMSYS0001717555</v>
          </cell>
          <cell r="H4890" t="str">
            <v>Carpelimus foveolatus </v>
          </cell>
        </row>
        <row r="4891">
          <cell r="A4891" t="str">
            <v>Carpelimus fuliginosus </v>
          </cell>
          <cell r="B4891" t="str">
            <v>Rove beetles (macrostaphs)</v>
          </cell>
          <cell r="C4891" t="str">
            <v>Coleoptera</v>
          </cell>
          <cell r="D4891" t="str">
            <v>Carpelimus fuliginosus</v>
          </cell>
          <cell r="E4891" t="str">
            <v>LC</v>
          </cell>
          <cell r="F4891" t="str">
            <v>Boyce, 2022</v>
          </cell>
          <cell r="G4891" t="str">
            <v>NBNSYS0000023219</v>
          </cell>
          <cell r="H4891" t="str">
            <v>Carpelimus fuliginosus </v>
          </cell>
        </row>
        <row r="4892">
          <cell r="A4892" t="str">
            <v>Carpelimus gracilis </v>
          </cell>
          <cell r="B4892" t="str">
            <v>Rove beetles (macrostaphs)</v>
          </cell>
          <cell r="C4892" t="str">
            <v>Coleoptera</v>
          </cell>
          <cell r="D4892" t="str">
            <v>Carpelimus gracilis</v>
          </cell>
          <cell r="E4892" t="str">
            <v>LC</v>
          </cell>
          <cell r="F4892" t="str">
            <v>Boyce, 2022</v>
          </cell>
          <cell r="G4892" t="str">
            <v>NBNSYS0000023220</v>
          </cell>
          <cell r="H4892" t="str">
            <v>Carpelimus gracilis </v>
          </cell>
        </row>
        <row r="4893">
          <cell r="A4893" t="str">
            <v>Carpelimus halophilus </v>
          </cell>
          <cell r="B4893" t="str">
            <v>Rove beetles (macrostaphs)</v>
          </cell>
          <cell r="C4893" t="str">
            <v>Coleoptera</v>
          </cell>
          <cell r="D4893" t="str">
            <v>Carpelimus halophilus</v>
          </cell>
          <cell r="E4893" t="str">
            <v>LC</v>
          </cell>
          <cell r="F4893" t="str">
            <v>Boyce, 2022</v>
          </cell>
          <cell r="G4893" t="str">
            <v>NBNSYS0000023221</v>
          </cell>
          <cell r="H4893" t="str">
            <v>Carpelimus halophilus </v>
          </cell>
        </row>
        <row r="4894">
          <cell r="A4894" t="str">
            <v>Carpelimus impressus </v>
          </cell>
          <cell r="B4894" t="str">
            <v>Rove beetles (macrostaphs)</v>
          </cell>
          <cell r="C4894" t="str">
            <v>Coleoptera</v>
          </cell>
          <cell r="D4894" t="str">
            <v>Carpelimus impressus</v>
          </cell>
          <cell r="E4894" t="str">
            <v>LC</v>
          </cell>
          <cell r="F4894" t="str">
            <v>Boyce, 2022</v>
          </cell>
          <cell r="G4894" t="str">
            <v>NBNSYS0000023222</v>
          </cell>
          <cell r="H4894" t="str">
            <v>Carpelimus impressus </v>
          </cell>
        </row>
        <row r="4895">
          <cell r="A4895" t="str">
            <v>Carpelimus lindrothi </v>
          </cell>
          <cell r="B4895" t="str">
            <v>Rove beetles (macrostaphs)</v>
          </cell>
          <cell r="C4895" t="str">
            <v>Coleoptera</v>
          </cell>
          <cell r="D4895" t="str">
            <v>Carpelimus lindrothi</v>
          </cell>
          <cell r="E4895" t="str">
            <v>LC</v>
          </cell>
          <cell r="F4895" t="str">
            <v>Boyce, 2022</v>
          </cell>
          <cell r="G4895" t="str">
            <v>NBNSYS0000023223</v>
          </cell>
          <cell r="H4895" t="str">
            <v>Carpelimus lindrothi </v>
          </cell>
        </row>
        <row r="4896">
          <cell r="A4896" t="str">
            <v>Carpelimus obesus </v>
          </cell>
          <cell r="B4896" t="str">
            <v>Rove beetles (macrostaphs)</v>
          </cell>
          <cell r="C4896" t="str">
            <v>Coleoptera</v>
          </cell>
          <cell r="D4896" t="str">
            <v>Carpelimus obesus</v>
          </cell>
          <cell r="E4896" t="str">
            <v>LC</v>
          </cell>
          <cell r="F4896" t="str">
            <v>Boyce, 2022</v>
          </cell>
          <cell r="G4896" t="str">
            <v>NBNSYS0000023224</v>
          </cell>
          <cell r="H4896" t="str">
            <v>Carpelimus obesus </v>
          </cell>
        </row>
        <row r="4897">
          <cell r="A4897" t="str">
            <v>Carpelimus pusillus </v>
          </cell>
          <cell r="B4897" t="str">
            <v>Rove beetles (macrostaphs)</v>
          </cell>
          <cell r="C4897" t="str">
            <v>Coleoptera</v>
          </cell>
          <cell r="D4897" t="str">
            <v>Carpelimus pusillus</v>
          </cell>
          <cell r="E4897" t="str">
            <v>LC</v>
          </cell>
          <cell r="F4897" t="str">
            <v>Boyce, 2022</v>
          </cell>
          <cell r="G4897" t="str">
            <v>NBNSYS0000023225</v>
          </cell>
          <cell r="H4897" t="str">
            <v>Carpelimus pusillus </v>
          </cell>
        </row>
        <row r="4898">
          <cell r="A4898" t="str">
            <v>Carpelimus rivularis </v>
          </cell>
          <cell r="B4898" t="str">
            <v>Rove beetles (macrostaphs)</v>
          </cell>
          <cell r="C4898" t="str">
            <v>Coleoptera</v>
          </cell>
          <cell r="D4898" t="str">
            <v>Carpelimus rivularis</v>
          </cell>
          <cell r="E4898" t="str">
            <v>LC</v>
          </cell>
          <cell r="F4898" t="str">
            <v>Boyce, 2022</v>
          </cell>
          <cell r="G4898" t="str">
            <v>NBNSYS0000023226</v>
          </cell>
          <cell r="H4898" t="str">
            <v>Carpelimus rivularis </v>
          </cell>
        </row>
        <row r="4899">
          <cell r="A4899" t="str">
            <v>Carpelimus schneideri </v>
          </cell>
          <cell r="B4899" t="str">
            <v>Rove beetles (macrostaphs)</v>
          </cell>
          <cell r="C4899" t="str">
            <v>Coleoptera</v>
          </cell>
          <cell r="D4899" t="str">
            <v>Carpelimus schneideri</v>
          </cell>
          <cell r="E4899" t="str">
            <v>NT</v>
          </cell>
          <cell r="F4899" t="str">
            <v>Boyce, 2022</v>
          </cell>
          <cell r="G4899" t="str">
            <v>NBNSYS0000023227</v>
          </cell>
          <cell r="H4899" t="str">
            <v>Carpelimus schneideri </v>
          </cell>
        </row>
        <row r="4900">
          <cell r="A4900" t="str">
            <v>Carpelimus similis </v>
          </cell>
          <cell r="B4900" t="str">
            <v>Rove beetles (macrostaphs)</v>
          </cell>
          <cell r="C4900" t="str">
            <v>Coleoptera</v>
          </cell>
          <cell r="D4900" t="str">
            <v>Carpelimus similis</v>
          </cell>
          <cell r="E4900" t="str">
            <v>LC</v>
          </cell>
          <cell r="F4900" t="str">
            <v>Boyce, 2022</v>
          </cell>
          <cell r="G4900" t="str">
            <v>NHMSYS0001717560</v>
          </cell>
          <cell r="H4900" t="str">
            <v>Carpelimus similis </v>
          </cell>
        </row>
        <row r="4901">
          <cell r="A4901" t="str">
            <v>Carpelimus subtilis </v>
          </cell>
          <cell r="B4901" t="str">
            <v>Rove beetles (macrostaphs)</v>
          </cell>
          <cell r="C4901" t="str">
            <v>Coleoptera</v>
          </cell>
          <cell r="D4901" t="str">
            <v>Carpelimus subtilis</v>
          </cell>
          <cell r="E4901" t="str">
            <v>LC</v>
          </cell>
          <cell r="F4901" t="str">
            <v>Boyce, 2022</v>
          </cell>
          <cell r="G4901" t="str">
            <v>NBNSYS0000023230</v>
          </cell>
          <cell r="H4901" t="str">
            <v>Carpelimus subtilis </v>
          </cell>
        </row>
        <row r="4902">
          <cell r="A4902" t="str">
            <v>Coprophilus striatulus </v>
          </cell>
          <cell r="B4902" t="str">
            <v>Rove beetles (macrostaphs)</v>
          </cell>
          <cell r="C4902" t="str">
            <v>Coleoptera</v>
          </cell>
          <cell r="D4902" t="str">
            <v>Coprophilus striatulus</v>
          </cell>
          <cell r="E4902" t="str">
            <v>LC</v>
          </cell>
          <cell r="F4902" t="str">
            <v>Boyce, 2022</v>
          </cell>
          <cell r="G4902" t="str">
            <v>NHMSYS0001717742</v>
          </cell>
          <cell r="H4902" t="str">
            <v>Coprophilus striatulus </v>
          </cell>
        </row>
        <row r="4903">
          <cell r="A4903" t="str">
            <v>Coryphium angusticolle </v>
          </cell>
          <cell r="B4903" t="str">
            <v>Rove beetles (macrostaphs)</v>
          </cell>
          <cell r="C4903" t="str">
            <v>Coleoptera</v>
          </cell>
          <cell r="D4903" t="str">
            <v>Coryphium angusticolle</v>
          </cell>
          <cell r="E4903" t="str">
            <v>LC</v>
          </cell>
          <cell r="F4903" t="str">
            <v>Boyce, 2022</v>
          </cell>
          <cell r="G4903" t="str">
            <v>NBNSYS0000023173</v>
          </cell>
          <cell r="H4903" t="str">
            <v>Coryphium angusticolle </v>
          </cell>
        </row>
        <row r="4904">
          <cell r="A4904" t="str">
            <v>Creophilus maxillosus </v>
          </cell>
          <cell r="B4904" t="str">
            <v>Rove beetles (macrostaphs)</v>
          </cell>
          <cell r="C4904" t="str">
            <v>Coleoptera</v>
          </cell>
          <cell r="D4904" t="str">
            <v>Creophilus maxillosus</v>
          </cell>
          <cell r="E4904" t="str">
            <v>LC</v>
          </cell>
          <cell r="F4904" t="str">
            <v>Boyce, 2022</v>
          </cell>
          <cell r="G4904" t="str">
            <v>NBNSYS0000023530</v>
          </cell>
          <cell r="H4904" t="str">
            <v>Creophilus maxillosus </v>
          </cell>
        </row>
        <row r="4905">
          <cell r="A4905" t="str">
            <v>Deleaster dichrous </v>
          </cell>
          <cell r="B4905" t="str">
            <v>Rove beetles (macrostaphs)</v>
          </cell>
          <cell r="C4905" t="str">
            <v>Coleoptera</v>
          </cell>
          <cell r="D4905" t="str">
            <v>Deleaster dichrous</v>
          </cell>
          <cell r="E4905" t="str">
            <v>LC</v>
          </cell>
          <cell r="F4905" t="str">
            <v>Boyce, 2022</v>
          </cell>
          <cell r="G4905" t="str">
            <v>NBNSYS0000023177</v>
          </cell>
          <cell r="H4905" t="str">
            <v>Deleaster dichrous </v>
          </cell>
        </row>
        <row r="4906">
          <cell r="A4906" t="str">
            <v>Deliphrum tectum </v>
          </cell>
          <cell r="B4906" t="str">
            <v>Rove beetles (macrostaphs)</v>
          </cell>
          <cell r="C4906" t="str">
            <v>Coleoptera</v>
          </cell>
          <cell r="D4906" t="str">
            <v>Deliphrum tectum</v>
          </cell>
          <cell r="E4906" t="str">
            <v>VU</v>
          </cell>
          <cell r="F4906" t="str">
            <v>Boyce, 2022</v>
          </cell>
          <cell r="G4906" t="str">
            <v>NBNSYS0000023113</v>
          </cell>
          <cell r="H4906" t="str">
            <v>Deliphrum tectum </v>
          </cell>
        </row>
        <row r="4907">
          <cell r="A4907" t="str">
            <v>Dinothenarus pubescens </v>
          </cell>
          <cell r="B4907" t="str">
            <v>Rove beetles (macrostaphs)</v>
          </cell>
          <cell r="C4907" t="str">
            <v>Coleoptera</v>
          </cell>
          <cell r="D4907" t="str">
            <v>Dinothenarus pubescens</v>
          </cell>
          <cell r="E4907" t="str">
            <v>NT</v>
          </cell>
          <cell r="F4907" t="str">
            <v>Boyce, 2022</v>
          </cell>
          <cell r="G4907" t="str">
            <v>NHMSYS0001717950</v>
          </cell>
          <cell r="H4907" t="str">
            <v>Dinothenarus pubescens </v>
          </cell>
        </row>
        <row r="4908">
          <cell r="A4908" t="str">
            <v>Dropephylla devillei </v>
          </cell>
          <cell r="B4908" t="str">
            <v>Rove beetles (macrostaphs)</v>
          </cell>
          <cell r="C4908" t="str">
            <v>Coleoptera</v>
          </cell>
          <cell r="D4908" t="str">
            <v>Dropephylla devillei</v>
          </cell>
          <cell r="E4908" t="str">
            <v>LC</v>
          </cell>
          <cell r="F4908" t="str">
            <v>Boyce, 2022</v>
          </cell>
          <cell r="G4908" t="str">
            <v>NHMSYS0000377670</v>
          </cell>
          <cell r="H4908" t="str">
            <v>Dropephylla devillei </v>
          </cell>
        </row>
        <row r="4909">
          <cell r="A4909" t="str">
            <v>Dropephylla gracilicornis </v>
          </cell>
          <cell r="B4909" t="str">
            <v>Rove beetles (macrostaphs)</v>
          </cell>
          <cell r="C4909" t="str">
            <v>Coleoptera</v>
          </cell>
          <cell r="D4909" t="str">
            <v>Dropephylla gracilicornis</v>
          </cell>
          <cell r="E4909" t="str">
            <v>LC</v>
          </cell>
          <cell r="F4909" t="str">
            <v>Boyce, 2022</v>
          </cell>
          <cell r="G4909" t="str">
            <v>NBNSYS0000023141</v>
          </cell>
          <cell r="H4909" t="str">
            <v>Dropephylla gracilicornis </v>
          </cell>
        </row>
        <row r="4910">
          <cell r="A4910" t="str">
            <v>Dropephylla ioptera </v>
          </cell>
          <cell r="B4910" t="str">
            <v>Rove beetles (macrostaphs)</v>
          </cell>
          <cell r="C4910" t="str">
            <v>Coleoptera</v>
          </cell>
          <cell r="D4910" t="str">
            <v>Dropephylla ioptera</v>
          </cell>
          <cell r="E4910" t="str">
            <v>LC</v>
          </cell>
          <cell r="F4910" t="str">
            <v>Boyce, 2022</v>
          </cell>
          <cell r="G4910" t="str">
            <v>NBNSYS0000023143</v>
          </cell>
          <cell r="H4910" t="str">
            <v>Dropephylla ioptera </v>
          </cell>
        </row>
        <row r="4911">
          <cell r="A4911" t="str">
            <v>Emus hirtus </v>
          </cell>
          <cell r="B4911" t="str">
            <v>Rove beetles (macrostaphs)</v>
          </cell>
          <cell r="C4911" t="str">
            <v>Coleoptera</v>
          </cell>
          <cell r="D4911" t="str">
            <v>Emus hirtus</v>
          </cell>
          <cell r="E4911" t="str">
            <v>NT</v>
          </cell>
          <cell r="F4911" t="str">
            <v>Boyce, 2022</v>
          </cell>
          <cell r="G4911" t="str">
            <v>NBNSYS0000023533</v>
          </cell>
          <cell r="H4911" t="str">
            <v>Emus hirtus </v>
          </cell>
        </row>
        <row r="4912">
          <cell r="A4912" t="str">
            <v>Erichsonius cinerascens </v>
          </cell>
          <cell r="B4912" t="str">
            <v>Rove beetles (macrostaphs)</v>
          </cell>
          <cell r="C4912" t="str">
            <v>Coleoptera</v>
          </cell>
          <cell r="D4912" t="str">
            <v>Erichsonius cinerascens</v>
          </cell>
          <cell r="E4912" t="str">
            <v>LC</v>
          </cell>
          <cell r="F4912" t="str">
            <v>Boyce, 2022</v>
          </cell>
          <cell r="G4912" t="str">
            <v>NBNSYS0000023433</v>
          </cell>
          <cell r="H4912" t="str">
            <v>Erichsonius cinerascens </v>
          </cell>
        </row>
        <row r="4913">
          <cell r="A4913" t="str">
            <v>Erichsonius signaticornis </v>
          </cell>
          <cell r="B4913" t="str">
            <v>Rove beetles (macrostaphs)</v>
          </cell>
          <cell r="C4913" t="str">
            <v>Coleoptera</v>
          </cell>
          <cell r="D4913" t="str">
            <v>Erichsonius signaticornis</v>
          </cell>
          <cell r="E4913" t="str">
            <v>LC</v>
          </cell>
          <cell r="F4913" t="str">
            <v>Boyce, 2022</v>
          </cell>
          <cell r="G4913" t="str">
            <v>NBNSYS0000023434</v>
          </cell>
          <cell r="H4913" t="str">
            <v>Erichsonius signaticornis </v>
          </cell>
        </row>
        <row r="4914">
          <cell r="A4914" t="str">
            <v>Erichsonius ytenensis </v>
          </cell>
          <cell r="B4914" t="str">
            <v>Rove beetles (macrostaphs)</v>
          </cell>
          <cell r="C4914" t="str">
            <v>Coleoptera</v>
          </cell>
          <cell r="D4914" t="str">
            <v>Erichsonius ytenensis</v>
          </cell>
          <cell r="E4914" t="str">
            <v>VU</v>
          </cell>
          <cell r="F4914" t="str">
            <v>Boyce, 2022</v>
          </cell>
          <cell r="G4914" t="str">
            <v>NBNSYS0000023435</v>
          </cell>
          <cell r="H4914" t="str">
            <v>Erichsonius ytenensis </v>
          </cell>
        </row>
        <row r="4915">
          <cell r="A4915" t="str">
            <v>Euaesthetus bipunctatus </v>
          </cell>
          <cell r="B4915" t="str">
            <v>Rove beetles (macrostaphs)</v>
          </cell>
          <cell r="C4915" t="str">
            <v>Coleoptera</v>
          </cell>
          <cell r="D4915" t="str">
            <v>Euaesthetus bipunctatus</v>
          </cell>
          <cell r="E4915" t="str">
            <v>LC</v>
          </cell>
          <cell r="F4915" t="str">
            <v>Boyce, 2022</v>
          </cell>
          <cell r="G4915" t="str">
            <v>NBNSYS0000023339</v>
          </cell>
          <cell r="H4915" t="str">
            <v>Euaesthetus bipunctatus </v>
          </cell>
        </row>
        <row r="4916">
          <cell r="A4916" t="str">
            <v>Euaesthetus laeviusculus </v>
          </cell>
          <cell r="B4916" t="str">
            <v>Rove beetles (macrostaphs)</v>
          </cell>
          <cell r="C4916" t="str">
            <v>Coleoptera</v>
          </cell>
          <cell r="D4916" t="str">
            <v>Euaesthetus laeviusculus</v>
          </cell>
          <cell r="E4916" t="str">
            <v>LC</v>
          </cell>
          <cell r="F4916" t="str">
            <v>Boyce, 2022</v>
          </cell>
          <cell r="G4916" t="str">
            <v>NBNSYS0000023340</v>
          </cell>
          <cell r="H4916" t="str">
            <v>Euaesthetus laeviusculus </v>
          </cell>
        </row>
        <row r="4917">
          <cell r="A4917" t="str">
            <v>Euaesthetus ruficapillus </v>
          </cell>
          <cell r="B4917" t="str">
            <v>Rove beetles (macrostaphs)</v>
          </cell>
          <cell r="C4917" t="str">
            <v>Coleoptera</v>
          </cell>
          <cell r="D4917" t="str">
            <v>Euaesthetus ruficapillus</v>
          </cell>
          <cell r="E4917" t="str">
            <v>LC</v>
          </cell>
          <cell r="F4917" t="str">
            <v>Boyce, 2022</v>
          </cell>
          <cell r="G4917" t="str">
            <v>NHMSYS0001718106</v>
          </cell>
          <cell r="H4917" t="str">
            <v>Euaesthetus ruficapillus </v>
          </cell>
        </row>
        <row r="4918">
          <cell r="A4918" t="str">
            <v>Eudectus whitei </v>
          </cell>
          <cell r="B4918" t="str">
            <v>Rove beetles (macrostaphs)</v>
          </cell>
          <cell r="C4918" t="str">
            <v>Coleoptera</v>
          </cell>
          <cell r="D4918" t="str">
            <v>Eudectus whitei</v>
          </cell>
          <cell r="E4918" t="str">
            <v>VU</v>
          </cell>
          <cell r="F4918" t="str">
            <v>Boyce, 2022</v>
          </cell>
          <cell r="G4918" t="str">
            <v>NBNSYS0000023172</v>
          </cell>
          <cell r="H4918" t="str">
            <v>Eudectus whitei </v>
          </cell>
        </row>
        <row r="4919">
          <cell r="A4919" t="str">
            <v>Euryporus picipes </v>
          </cell>
          <cell r="B4919" t="str">
            <v>Rove beetles (macrostaphs)</v>
          </cell>
          <cell r="C4919" t="str">
            <v>Coleoptera</v>
          </cell>
          <cell r="D4919" t="str">
            <v>Euryporus picipes</v>
          </cell>
          <cell r="E4919" t="str">
            <v>NT</v>
          </cell>
          <cell r="F4919" t="str">
            <v>Boyce, 2022</v>
          </cell>
          <cell r="G4919" t="str">
            <v>NBNSYS0000023538</v>
          </cell>
          <cell r="H4919" t="str">
            <v>Euryporus picipes </v>
          </cell>
        </row>
        <row r="4920">
          <cell r="A4920" t="str">
            <v>Eusphalerum luteum </v>
          </cell>
          <cell r="B4920" t="str">
            <v>Rove beetles (macrostaphs)</v>
          </cell>
          <cell r="C4920" t="str">
            <v>Coleoptera</v>
          </cell>
          <cell r="D4920" t="str">
            <v>Eusphalerum luteum</v>
          </cell>
          <cell r="E4920" t="str">
            <v>LC</v>
          </cell>
          <cell r="F4920" t="str">
            <v>Boyce, 2022</v>
          </cell>
          <cell r="G4920" t="str">
            <v>NBNSYS0000023129</v>
          </cell>
          <cell r="H4920" t="str">
            <v>Eusphalerum luteum </v>
          </cell>
        </row>
        <row r="4921">
          <cell r="A4921" t="str">
            <v>Eusphalerum minutum </v>
          </cell>
          <cell r="B4921" t="str">
            <v>Rove beetles (macrostaphs)</v>
          </cell>
          <cell r="C4921" t="str">
            <v>Coleoptera</v>
          </cell>
          <cell r="D4921" t="str">
            <v>Eusphalerum minutum</v>
          </cell>
          <cell r="E4921" t="str">
            <v>LC</v>
          </cell>
          <cell r="F4921" t="str">
            <v>Boyce, 2022</v>
          </cell>
          <cell r="G4921" t="str">
            <v>NHMSYS0001718173</v>
          </cell>
          <cell r="H4921" t="str">
            <v>Eusphalerum minutum </v>
          </cell>
        </row>
        <row r="4922">
          <cell r="A4922" t="str">
            <v>Eusphalerum primulae </v>
          </cell>
          <cell r="B4922" t="str">
            <v>Rove beetles (macrostaphs)</v>
          </cell>
          <cell r="C4922" t="str">
            <v>Coleoptera</v>
          </cell>
          <cell r="D4922" t="str">
            <v>Eusphalerum primulae</v>
          </cell>
          <cell r="E4922" t="str">
            <v>LC</v>
          </cell>
          <cell r="F4922" t="str">
            <v>Boyce, 2022</v>
          </cell>
          <cell r="G4922" t="str">
            <v>NBNSYS0000023131</v>
          </cell>
          <cell r="H4922" t="str">
            <v>Eusphalerum primulae </v>
          </cell>
        </row>
        <row r="4923">
          <cell r="A4923" t="str">
            <v>Eusphalerum sorbi </v>
          </cell>
          <cell r="B4923" t="str">
            <v>Rove beetles (macrostaphs)</v>
          </cell>
          <cell r="C4923" t="str">
            <v>Coleoptera</v>
          </cell>
          <cell r="D4923" t="str">
            <v>Eusphalerum sorbi</v>
          </cell>
          <cell r="E4923" t="str">
            <v>LC</v>
          </cell>
          <cell r="F4923" t="str">
            <v>Boyce, 2022</v>
          </cell>
          <cell r="G4923" t="str">
            <v>NBNSYS0000023132</v>
          </cell>
          <cell r="H4923" t="str">
            <v>Eusphalerum sorbi </v>
          </cell>
        </row>
        <row r="4924">
          <cell r="A4924" t="str">
            <v>Eusphalerum torquatum </v>
          </cell>
          <cell r="B4924" t="str">
            <v>Rove beetles (macrostaphs)</v>
          </cell>
          <cell r="C4924" t="str">
            <v>Coleoptera</v>
          </cell>
          <cell r="D4924" t="str">
            <v>Eusphalerum torquatum</v>
          </cell>
          <cell r="E4924" t="str">
            <v>LC</v>
          </cell>
          <cell r="F4924" t="str">
            <v>Boyce, 2022</v>
          </cell>
          <cell r="G4924" t="str">
            <v>NBNSYS0000023134</v>
          </cell>
          <cell r="H4924" t="str">
            <v>Eusphalerum torquatum </v>
          </cell>
        </row>
        <row r="4925">
          <cell r="A4925" t="str">
            <v>Gabrius appendiculatus </v>
          </cell>
          <cell r="B4925" t="str">
            <v>Rove beetles (macrostaphs)</v>
          </cell>
          <cell r="C4925" t="str">
            <v>Coleoptera</v>
          </cell>
          <cell r="D4925" t="str">
            <v>Gabrius appendiculatus</v>
          </cell>
          <cell r="E4925" t="str">
            <v>LC</v>
          </cell>
          <cell r="F4925" t="str">
            <v>Boyce, 2022</v>
          </cell>
          <cell r="G4925" t="str">
            <v>NBNSYS0000147553</v>
          </cell>
          <cell r="H4925" t="str">
            <v>Gabrius appendiculatus </v>
          </cell>
        </row>
        <row r="4926">
          <cell r="A4926" t="str">
            <v>Gabrius astutoides </v>
          </cell>
          <cell r="B4926" t="str">
            <v>Rove beetles (macrostaphs)</v>
          </cell>
          <cell r="C4926" t="str">
            <v>Coleoptera</v>
          </cell>
          <cell r="D4926" t="str">
            <v>Gabrius astutoides</v>
          </cell>
          <cell r="E4926" t="str">
            <v>LC</v>
          </cell>
          <cell r="F4926" t="str">
            <v>Boyce, 2022</v>
          </cell>
          <cell r="G4926" t="str">
            <v>NHMSYS0001718195</v>
          </cell>
          <cell r="H4926" t="str">
            <v>Gabrius astutoides </v>
          </cell>
        </row>
        <row r="4927">
          <cell r="A4927" t="str">
            <v>Gabrius bishopi </v>
          </cell>
          <cell r="B4927" t="str">
            <v>Rove beetles (macrostaphs)</v>
          </cell>
          <cell r="C4927" t="str">
            <v>Coleoptera</v>
          </cell>
          <cell r="D4927" t="str">
            <v>Gabrius bishopi</v>
          </cell>
          <cell r="E4927" t="str">
            <v>LC</v>
          </cell>
          <cell r="F4927" t="str">
            <v>Boyce, 2022</v>
          </cell>
          <cell r="G4927" t="str">
            <v>NBNSYS0000023494</v>
          </cell>
          <cell r="H4927" t="str">
            <v>Gabrius bishopi </v>
          </cell>
        </row>
        <row r="4928">
          <cell r="A4928" t="str">
            <v>Gabrius breviventer </v>
          </cell>
          <cell r="B4928" t="str">
            <v>Rove beetles (macrostaphs)</v>
          </cell>
          <cell r="C4928" t="str">
            <v>Coleoptera</v>
          </cell>
          <cell r="D4928" t="str">
            <v>Gabrius breviventer</v>
          </cell>
          <cell r="E4928" t="str">
            <v>LC</v>
          </cell>
          <cell r="F4928" t="str">
            <v>Boyce, 2022</v>
          </cell>
          <cell r="G4928" t="str">
            <v>NHMSYS0001718197</v>
          </cell>
          <cell r="H4928" t="str">
            <v>Gabrius breviventer </v>
          </cell>
        </row>
        <row r="4929">
          <cell r="A4929" t="str">
            <v>Gabrius exiguus </v>
          </cell>
          <cell r="B4929" t="str">
            <v>Rove beetles (macrostaphs)</v>
          </cell>
          <cell r="C4929" t="str">
            <v>Coleoptera</v>
          </cell>
          <cell r="D4929" t="str">
            <v>Gabrius exiguus</v>
          </cell>
          <cell r="E4929" t="str">
            <v>VU</v>
          </cell>
          <cell r="F4929" t="str">
            <v>Boyce, 2022</v>
          </cell>
          <cell r="G4929" t="str">
            <v>NHMSYS0001718199</v>
          </cell>
          <cell r="H4929" t="str">
            <v>Gabrius exiguus </v>
          </cell>
        </row>
        <row r="4930">
          <cell r="A4930" t="str">
            <v>Gabrius keysianus </v>
          </cell>
          <cell r="B4930" t="str">
            <v>Rove beetles (macrostaphs)</v>
          </cell>
          <cell r="C4930" t="str">
            <v>Coleoptera</v>
          </cell>
          <cell r="D4930" t="str">
            <v>Gabrius keysianus</v>
          </cell>
          <cell r="E4930" t="str">
            <v>LC</v>
          </cell>
          <cell r="F4930" t="str">
            <v>Boyce, 2022</v>
          </cell>
          <cell r="G4930" t="str">
            <v>NBNSYS0000023496</v>
          </cell>
          <cell r="H4930" t="str">
            <v>Gabrius keysianus </v>
          </cell>
        </row>
        <row r="4931">
          <cell r="A4931" t="str">
            <v>Gabrius nigritulus </v>
          </cell>
          <cell r="B4931" t="str">
            <v>Rove beetles (macrostaphs)</v>
          </cell>
          <cell r="C4931" t="str">
            <v>Coleoptera</v>
          </cell>
          <cell r="D4931" t="str">
            <v>Gabrius nigritulus</v>
          </cell>
          <cell r="E4931" t="str">
            <v>LC</v>
          </cell>
          <cell r="F4931" t="str">
            <v>Boyce, 2022</v>
          </cell>
          <cell r="G4931" t="str">
            <v>NBNSYS0000023497</v>
          </cell>
          <cell r="H4931" t="str">
            <v>Gabrius nigritulus </v>
          </cell>
        </row>
        <row r="4932">
          <cell r="A4932" t="str">
            <v>Gabrius osseticus </v>
          </cell>
          <cell r="B4932" t="str">
            <v>Rove beetles (macrostaphs)</v>
          </cell>
          <cell r="C4932" t="str">
            <v>Coleoptera</v>
          </cell>
          <cell r="D4932" t="str">
            <v>Gabrius osseticus</v>
          </cell>
          <cell r="E4932" t="str">
            <v>LC</v>
          </cell>
          <cell r="F4932" t="str">
            <v>Boyce, 2022</v>
          </cell>
          <cell r="G4932" t="str">
            <v>NBNSYS0000023498</v>
          </cell>
          <cell r="H4932" t="str">
            <v>Gabrius osseticus </v>
          </cell>
        </row>
        <row r="4933">
          <cell r="A4933" t="str">
            <v>Gabrius piliger </v>
          </cell>
          <cell r="B4933" t="str">
            <v>Rove beetles (macrostaphs)</v>
          </cell>
          <cell r="C4933" t="str">
            <v>Coleoptera</v>
          </cell>
          <cell r="D4933" t="str">
            <v>Gabrius piliger</v>
          </cell>
          <cell r="E4933" t="str">
            <v>LC</v>
          </cell>
          <cell r="F4933" t="str">
            <v>Boyce, 2022</v>
          </cell>
          <cell r="G4933" t="str">
            <v>NBNSYS0000023500</v>
          </cell>
          <cell r="H4933" t="str">
            <v>Gabrius piliger </v>
          </cell>
        </row>
        <row r="4934">
          <cell r="A4934" t="str">
            <v>Gabrius splendidulus </v>
          </cell>
          <cell r="B4934" t="str">
            <v>Rove beetles (macrostaphs)</v>
          </cell>
          <cell r="C4934" t="str">
            <v>Coleoptera</v>
          </cell>
          <cell r="D4934" t="str">
            <v>Gabrius splendidulus</v>
          </cell>
          <cell r="E4934" t="str">
            <v>LC</v>
          </cell>
          <cell r="F4934" t="str">
            <v>Boyce, 2022</v>
          </cell>
          <cell r="G4934" t="str">
            <v>NBNSYS0000023502</v>
          </cell>
          <cell r="H4934" t="str">
            <v>Gabrius splendidulus </v>
          </cell>
        </row>
        <row r="4935">
          <cell r="A4935" t="str">
            <v>Gabrius trossulus </v>
          </cell>
          <cell r="B4935" t="str">
            <v>Rove beetles (macrostaphs)</v>
          </cell>
          <cell r="C4935" t="str">
            <v>Coleoptera</v>
          </cell>
          <cell r="D4935" t="str">
            <v>Gabrius trossulus</v>
          </cell>
          <cell r="E4935" t="str">
            <v>LC</v>
          </cell>
          <cell r="F4935" t="str">
            <v>Boyce, 2022</v>
          </cell>
          <cell r="G4935" t="str">
            <v>NHMSYS0001718202</v>
          </cell>
          <cell r="H4935" t="str">
            <v>Gabrius trossulus </v>
          </cell>
        </row>
        <row r="4936">
          <cell r="A4936" t="str">
            <v>Gabrius velox </v>
          </cell>
          <cell r="B4936" t="str">
            <v>Rove beetles (macrostaphs)</v>
          </cell>
          <cell r="C4936" t="str">
            <v>Coleoptera</v>
          </cell>
          <cell r="D4936" t="str">
            <v>Gabrius velox</v>
          </cell>
          <cell r="E4936" t="str">
            <v>LC</v>
          </cell>
          <cell r="F4936" t="str">
            <v>Boyce, 2022</v>
          </cell>
          <cell r="G4936" t="str">
            <v>NBNSYS0000023505</v>
          </cell>
          <cell r="H4936" t="str">
            <v>Gabrius velox </v>
          </cell>
        </row>
        <row r="4937">
          <cell r="A4937" t="str">
            <v>Gabronthus thermarum </v>
          </cell>
          <cell r="B4937" t="str">
            <v>Rove beetles (macrostaphs)</v>
          </cell>
          <cell r="C4937" t="str">
            <v>Coleoptera</v>
          </cell>
          <cell r="D4937" t="str">
            <v>Gabronthus thermarum</v>
          </cell>
          <cell r="E4937" t="str">
            <v>LC</v>
          </cell>
          <cell r="F4937" t="str">
            <v>Boyce, 2022</v>
          </cell>
          <cell r="G4937" t="str">
            <v>NHMSYS0001718204</v>
          </cell>
          <cell r="H4937" t="str">
            <v>Gabronthus thermarum </v>
          </cell>
        </row>
        <row r="4938">
          <cell r="A4938" t="str">
            <v>Gauropterus fulgidus </v>
          </cell>
          <cell r="B4938" t="str">
            <v>Rove beetles (macrostaphs)</v>
          </cell>
          <cell r="C4938" t="str">
            <v>Coleoptera</v>
          </cell>
          <cell r="D4938" t="str">
            <v>Gauropterus fulgidus</v>
          </cell>
          <cell r="E4938" t="str">
            <v>LC</v>
          </cell>
          <cell r="F4938" t="str">
            <v>Boyce, 2022</v>
          </cell>
          <cell r="G4938" t="str">
            <v>NHMSYS0001718210</v>
          </cell>
          <cell r="H4938" t="str">
            <v>Gauropterus fulgidus </v>
          </cell>
        </row>
        <row r="4939">
          <cell r="A4939" t="str">
            <v>Geodromicus longipes </v>
          </cell>
          <cell r="B4939" t="str">
            <v>Rove beetles (macrostaphs)</v>
          </cell>
          <cell r="C4939" t="str">
            <v>Coleoptera</v>
          </cell>
          <cell r="D4939" t="str">
            <v>Geodromicus longipes</v>
          </cell>
          <cell r="E4939" t="str">
            <v>LC</v>
          </cell>
          <cell r="F4939" t="str">
            <v>Boyce, 2022</v>
          </cell>
          <cell r="G4939" t="str">
            <v>NBNSYS0000023124</v>
          </cell>
          <cell r="H4939" t="str">
            <v>Geodromicus longipes </v>
          </cell>
        </row>
        <row r="4940">
          <cell r="A4940" t="str">
            <v>Geodromicus nigrita </v>
          </cell>
          <cell r="B4940" t="str">
            <v>Rove beetles (macrostaphs)</v>
          </cell>
          <cell r="C4940" t="str">
            <v>Coleoptera</v>
          </cell>
          <cell r="D4940" t="str">
            <v>Geodromicus nigrita</v>
          </cell>
          <cell r="E4940" t="str">
            <v>LC</v>
          </cell>
          <cell r="F4940" t="str">
            <v>Boyce, 2022</v>
          </cell>
          <cell r="G4940" t="str">
            <v>NHMSYS0001718213</v>
          </cell>
          <cell r="H4940" t="str">
            <v>Geodromicus nigrita </v>
          </cell>
        </row>
        <row r="4941">
          <cell r="A4941" t="str">
            <v>Gyrohypnus angustatus </v>
          </cell>
          <cell r="B4941" t="str">
            <v>Rove beetles (macrostaphs)</v>
          </cell>
          <cell r="C4941" t="str">
            <v>Coleoptera</v>
          </cell>
          <cell r="D4941" t="str">
            <v>Gyrohypnus angustatus</v>
          </cell>
          <cell r="E4941" t="str">
            <v>LC</v>
          </cell>
          <cell r="F4941" t="str">
            <v>Boyce, 2022</v>
          </cell>
          <cell r="G4941" t="str">
            <v>NBNSYS0000023417</v>
          </cell>
          <cell r="H4941" t="str">
            <v>Gyrohypnus angustatus </v>
          </cell>
        </row>
        <row r="4942">
          <cell r="A4942" t="str">
            <v>Gyrohypnus atratus </v>
          </cell>
          <cell r="B4942" t="str">
            <v>Rove beetles (macrostaphs)</v>
          </cell>
          <cell r="C4942" t="str">
            <v>Coleoptera</v>
          </cell>
          <cell r="D4942" t="str">
            <v>Gyrohypnus atratus</v>
          </cell>
          <cell r="E4942" t="str">
            <v>LC</v>
          </cell>
          <cell r="F4942" t="str">
            <v>Boyce, 2022</v>
          </cell>
          <cell r="G4942" t="str">
            <v>NBNSYS0000023418</v>
          </cell>
          <cell r="H4942" t="str">
            <v>Gyrohypnus atratus </v>
          </cell>
        </row>
        <row r="4943">
          <cell r="A4943" t="str">
            <v>Gyrohypnus fracticornis </v>
          </cell>
          <cell r="B4943" t="str">
            <v>Rove beetles (macrostaphs)</v>
          </cell>
          <cell r="C4943" t="str">
            <v>Coleoptera</v>
          </cell>
          <cell r="D4943" t="str">
            <v>Gyrohypnus fracticornis</v>
          </cell>
          <cell r="E4943" t="str">
            <v>LC</v>
          </cell>
          <cell r="F4943" t="str">
            <v>Boyce, 2022</v>
          </cell>
          <cell r="G4943" t="str">
            <v>NHMSYS0001718278</v>
          </cell>
          <cell r="H4943" t="str">
            <v>Gyrohypnus fracticornis </v>
          </cell>
        </row>
        <row r="4944">
          <cell r="A4944" t="str">
            <v>Gyrohypnus punctulatus </v>
          </cell>
          <cell r="B4944" t="str">
            <v>Rove beetles (macrostaphs)</v>
          </cell>
          <cell r="C4944" t="str">
            <v>Coleoptera</v>
          </cell>
          <cell r="D4944" t="str">
            <v>Gyrohypnus punctulatus</v>
          </cell>
          <cell r="E4944" t="str">
            <v>LC</v>
          </cell>
          <cell r="F4944" t="str">
            <v>Boyce, 2022</v>
          </cell>
          <cell r="G4944" t="str">
            <v>NBNSYS0000023420</v>
          </cell>
          <cell r="H4944" t="str">
            <v>Gyrohypnus punctulatus </v>
          </cell>
        </row>
        <row r="4945">
          <cell r="A4945" t="str">
            <v>Gyrohypnus wagneri </v>
          </cell>
          <cell r="B4945" t="str">
            <v>Rove beetles (macrostaphs)</v>
          </cell>
          <cell r="C4945" t="str">
            <v>Coleoptera</v>
          </cell>
          <cell r="D4945" t="str">
            <v>Gyrohypnus wagneri</v>
          </cell>
          <cell r="E4945" t="str">
            <v>LC</v>
          </cell>
          <cell r="F4945" t="str">
            <v>Boyce, 2022</v>
          </cell>
          <cell r="G4945" t="str">
            <v>NHMSYS0021117840</v>
          </cell>
          <cell r="H4945" t="str">
            <v>Gyrohypnus wagneri </v>
          </cell>
        </row>
        <row r="4946">
          <cell r="A4946" t="str">
            <v>Hadrognathus longipalpis </v>
          </cell>
          <cell r="B4946" t="str">
            <v>Rove beetles (macrostaphs)</v>
          </cell>
          <cell r="C4946" t="str">
            <v>Coleoptera</v>
          </cell>
          <cell r="D4946" t="str">
            <v>Hadrognathus longipalpis</v>
          </cell>
          <cell r="E4946" t="str">
            <v>LC</v>
          </cell>
          <cell r="F4946" t="str">
            <v>Boyce, 2022</v>
          </cell>
          <cell r="G4946" t="str">
            <v>NHMSYS0001718297</v>
          </cell>
          <cell r="H4946" t="str">
            <v>Hadrognathus longipalpis </v>
          </cell>
        </row>
        <row r="4947">
          <cell r="A4947" t="str">
            <v>Hapalaraea pygmaea </v>
          </cell>
          <cell r="B4947" t="str">
            <v>Rove beetles (macrostaphs)</v>
          </cell>
          <cell r="C4947" t="str">
            <v>Coleoptera</v>
          </cell>
          <cell r="D4947" t="str">
            <v>Hapalaraea pygmaea</v>
          </cell>
          <cell r="E4947" t="str">
            <v>LC</v>
          </cell>
          <cell r="F4947" t="str">
            <v>Boyce, 2022</v>
          </cell>
          <cell r="G4947" t="str">
            <v>NBNSYS0000023145</v>
          </cell>
          <cell r="H4947" t="str">
            <v>Hapalaraea pygmaea </v>
          </cell>
        </row>
        <row r="4948">
          <cell r="A4948" t="str">
            <v>Heterothops binotatus </v>
          </cell>
          <cell r="B4948" t="str">
            <v>Rove beetles (macrostaphs)</v>
          </cell>
          <cell r="C4948" t="str">
            <v>Coleoptera</v>
          </cell>
          <cell r="D4948" t="str">
            <v>Heterothops binotatus</v>
          </cell>
          <cell r="E4948" t="str">
            <v>LC</v>
          </cell>
          <cell r="F4948" t="str">
            <v>Boyce, 2022</v>
          </cell>
          <cell r="G4948" t="str">
            <v>NBNSYS0000023534</v>
          </cell>
          <cell r="H4948" t="str">
            <v>Heterothops binotatus </v>
          </cell>
        </row>
        <row r="4949">
          <cell r="A4949" t="str">
            <v>Heterothops dissimilis </v>
          </cell>
          <cell r="B4949" t="str">
            <v>Rove beetles (macrostaphs)</v>
          </cell>
          <cell r="C4949" t="str">
            <v>Coleoptera</v>
          </cell>
          <cell r="D4949" t="str">
            <v>Heterothops dissimilis</v>
          </cell>
          <cell r="E4949" t="str">
            <v>LC</v>
          </cell>
          <cell r="F4949" t="str">
            <v>Boyce, 2022</v>
          </cell>
          <cell r="G4949" t="str">
            <v>NBNSYS0000023535</v>
          </cell>
          <cell r="H4949" t="str">
            <v>Heterothops dissimilis </v>
          </cell>
        </row>
        <row r="4950">
          <cell r="A4950" t="str">
            <v>Heterothops minutus </v>
          </cell>
          <cell r="B4950" t="str">
            <v>Rove beetles (macrostaphs)</v>
          </cell>
          <cell r="C4950" t="str">
            <v>Coleoptera</v>
          </cell>
          <cell r="D4950" t="str">
            <v>Heterothops minutus</v>
          </cell>
          <cell r="E4950" t="str">
            <v>LC</v>
          </cell>
          <cell r="F4950" t="str">
            <v>Boyce, 2022</v>
          </cell>
          <cell r="G4950" t="str">
            <v>NHMSYS0001718453</v>
          </cell>
          <cell r="H4950" t="str">
            <v>Heterothops minutus </v>
          </cell>
        </row>
        <row r="4951">
          <cell r="A4951" t="str">
            <v>Heterothops niger </v>
          </cell>
          <cell r="B4951" t="str">
            <v>Rove beetles (macrostaphs)</v>
          </cell>
          <cell r="C4951" t="str">
            <v>Coleoptera</v>
          </cell>
          <cell r="D4951" t="str">
            <v>Heterothops niger</v>
          </cell>
          <cell r="E4951" t="str">
            <v>LC</v>
          </cell>
          <cell r="F4951" t="str">
            <v>Boyce, 2022</v>
          </cell>
          <cell r="G4951" t="str">
            <v>NBNSYS0000023536</v>
          </cell>
          <cell r="H4951" t="str">
            <v>Heterothops niger </v>
          </cell>
        </row>
        <row r="4952">
          <cell r="A4952" t="str">
            <v>Heterothops praevius </v>
          </cell>
          <cell r="B4952" t="str">
            <v>Rove beetles (macrostaphs)</v>
          </cell>
          <cell r="C4952" t="str">
            <v>Coleoptera</v>
          </cell>
          <cell r="D4952" t="str">
            <v>Heterothops praevius</v>
          </cell>
          <cell r="E4952" t="str">
            <v>LC</v>
          </cell>
          <cell r="F4952" t="str">
            <v>Boyce, 2022</v>
          </cell>
          <cell r="G4952" t="str">
            <v>NBNSYS0000023537</v>
          </cell>
          <cell r="H4952" t="str">
            <v>Heterothops praevius </v>
          </cell>
        </row>
        <row r="4953">
          <cell r="A4953" t="str">
            <v>Hypnogyra angularis </v>
          </cell>
          <cell r="B4953" t="str">
            <v>Rove beetles (macrostaphs)</v>
          </cell>
          <cell r="C4953" t="str">
            <v>Coleoptera</v>
          </cell>
          <cell r="D4953" t="str">
            <v>Hypnogyra angularis</v>
          </cell>
          <cell r="E4953" t="str">
            <v>LC</v>
          </cell>
          <cell r="F4953" t="str">
            <v>Boyce, 2022</v>
          </cell>
          <cell r="G4953" t="str">
            <v>NHMSYS0001718580</v>
          </cell>
          <cell r="H4953" t="str">
            <v>Hypnogyra angularis </v>
          </cell>
        </row>
        <row r="4954">
          <cell r="A4954" t="str">
            <v>Hypomedon debilicornis </v>
          </cell>
          <cell r="B4954" t="str">
            <v>Rove beetles (macrostaphs)</v>
          </cell>
          <cell r="C4954" t="str">
            <v>Coleoptera</v>
          </cell>
          <cell r="D4954" t="str">
            <v>Hypomedon debilicornis</v>
          </cell>
          <cell r="E4954" t="str">
            <v>LC</v>
          </cell>
          <cell r="F4954" t="str">
            <v>Boyce, 2022</v>
          </cell>
          <cell r="G4954" t="str">
            <v>NHMSYS0001718601</v>
          </cell>
          <cell r="H4954" t="str">
            <v>Hypomedon debilicornis </v>
          </cell>
        </row>
        <row r="4955">
          <cell r="A4955" t="str">
            <v>Hypopycna rufula </v>
          </cell>
          <cell r="B4955" t="str">
            <v>Rove beetles (macrostaphs)</v>
          </cell>
          <cell r="C4955" t="str">
            <v>Coleoptera</v>
          </cell>
          <cell r="D4955" t="str">
            <v>Hypopycna rufula</v>
          </cell>
          <cell r="E4955" t="str">
            <v>LC</v>
          </cell>
          <cell r="F4955" t="str">
            <v>Boyce, 2022</v>
          </cell>
          <cell r="G4955" t="str">
            <v>NBNSYS0000023146</v>
          </cell>
          <cell r="H4955" t="str">
            <v>Hypopycna rufula </v>
          </cell>
        </row>
        <row r="4956">
          <cell r="A4956" t="str">
            <v>Lathrobium brunnipes </v>
          </cell>
          <cell r="B4956" t="str">
            <v>Rove beetles (macrostaphs)</v>
          </cell>
          <cell r="C4956" t="str">
            <v>Coleoptera</v>
          </cell>
          <cell r="D4956" t="str">
            <v>Lathrobium brunnipes</v>
          </cell>
          <cell r="E4956" t="str">
            <v>LC</v>
          </cell>
          <cell r="F4956" t="str">
            <v>Boyce, 2022</v>
          </cell>
          <cell r="G4956" t="str">
            <v>NBNSYS0000023349</v>
          </cell>
          <cell r="H4956" t="str">
            <v>Lathrobium brunnipes </v>
          </cell>
        </row>
        <row r="4957">
          <cell r="A4957" t="str">
            <v>Lathrobium dilutum </v>
          </cell>
          <cell r="B4957" t="str">
            <v>Rove beetles (macrostaphs)</v>
          </cell>
          <cell r="C4957" t="str">
            <v>Coleoptera</v>
          </cell>
          <cell r="D4957" t="str">
            <v>Lathrobium dilutum</v>
          </cell>
          <cell r="E4957" t="str">
            <v>LC</v>
          </cell>
          <cell r="F4957" t="str">
            <v>Boyce, 2022</v>
          </cell>
          <cell r="G4957" t="str">
            <v>NBNSYS0000023350</v>
          </cell>
          <cell r="H4957" t="str">
            <v>Lathrobium dilutum </v>
          </cell>
        </row>
        <row r="4958">
          <cell r="A4958" t="str">
            <v>Lathrobium elongatum </v>
          </cell>
          <cell r="B4958" t="str">
            <v>Rove beetles (macrostaphs)</v>
          </cell>
          <cell r="C4958" t="str">
            <v>Coleoptera</v>
          </cell>
          <cell r="D4958" t="str">
            <v>Lathrobium elongatum</v>
          </cell>
          <cell r="E4958" t="str">
            <v>LC</v>
          </cell>
          <cell r="F4958" t="str">
            <v>Boyce, 2022</v>
          </cell>
          <cell r="G4958" t="str">
            <v>NBNSYS0000023351</v>
          </cell>
          <cell r="H4958" t="str">
            <v>Lathrobium elongatum </v>
          </cell>
        </row>
        <row r="4959">
          <cell r="A4959" t="str">
            <v>Lathrobium fovulum </v>
          </cell>
          <cell r="B4959" t="str">
            <v>Rove beetles (macrostaphs)</v>
          </cell>
          <cell r="C4959" t="str">
            <v>Coleoptera</v>
          </cell>
          <cell r="D4959" t="str">
            <v>Lathrobium fovulum</v>
          </cell>
          <cell r="E4959" t="str">
            <v>LC</v>
          </cell>
          <cell r="F4959" t="str">
            <v>Boyce, 2022</v>
          </cell>
          <cell r="G4959" t="str">
            <v>NBNSYS0000023353</v>
          </cell>
          <cell r="H4959" t="str">
            <v>Lathrobium fovulum </v>
          </cell>
        </row>
        <row r="4960">
          <cell r="A4960" t="str">
            <v>Lathrobium fulvipenne </v>
          </cell>
          <cell r="B4960" t="str">
            <v>Rove beetles (macrostaphs)</v>
          </cell>
          <cell r="C4960" t="str">
            <v>Coleoptera</v>
          </cell>
          <cell r="D4960" t="str">
            <v>Lathrobium fulvipenne</v>
          </cell>
          <cell r="E4960" t="str">
            <v>LC</v>
          </cell>
          <cell r="F4960" t="str">
            <v>Boyce, 2022</v>
          </cell>
          <cell r="G4960" t="str">
            <v>NBNSYS0000023354</v>
          </cell>
          <cell r="H4960" t="str">
            <v>Lathrobium fulvipenne </v>
          </cell>
        </row>
        <row r="4961">
          <cell r="A4961" t="str">
            <v>Lathrobium geminum </v>
          </cell>
          <cell r="B4961" t="str">
            <v>Rove beetles (macrostaphs)</v>
          </cell>
          <cell r="C4961" t="str">
            <v>Coleoptera</v>
          </cell>
          <cell r="D4961" t="str">
            <v>Lathrobium geminum</v>
          </cell>
          <cell r="E4961" t="str">
            <v>LC</v>
          </cell>
          <cell r="F4961" t="str">
            <v>Boyce, 2022</v>
          </cell>
          <cell r="G4961" t="str">
            <v>NBNSYS0000023355</v>
          </cell>
          <cell r="H4961" t="str">
            <v>Lathrobium geminum </v>
          </cell>
        </row>
        <row r="4962">
          <cell r="A4962" t="str">
            <v>Lathrobium impressum </v>
          </cell>
          <cell r="B4962" t="str">
            <v>Rove beetles (macrostaphs)</v>
          </cell>
          <cell r="C4962" t="str">
            <v>Coleoptera</v>
          </cell>
          <cell r="D4962" t="str">
            <v>Lathrobium impressum</v>
          </cell>
          <cell r="E4962" t="str">
            <v>LC</v>
          </cell>
          <cell r="F4962" t="str">
            <v>Boyce, 2022</v>
          </cell>
          <cell r="G4962" t="str">
            <v>NBNSYS0000023356</v>
          </cell>
          <cell r="H4962" t="str">
            <v>Lathrobium impressum </v>
          </cell>
        </row>
        <row r="4963">
          <cell r="A4963" t="str">
            <v>Lathrobium longulum </v>
          </cell>
          <cell r="B4963" t="str">
            <v>Rove beetles (macrostaphs)</v>
          </cell>
          <cell r="C4963" t="str">
            <v>Coleoptera</v>
          </cell>
          <cell r="D4963" t="str">
            <v>Lathrobium longulum</v>
          </cell>
          <cell r="E4963" t="str">
            <v>LC</v>
          </cell>
          <cell r="F4963" t="str">
            <v>Boyce, 2022</v>
          </cell>
          <cell r="G4963" t="str">
            <v>NBNSYS0000023358</v>
          </cell>
          <cell r="H4963" t="str">
            <v>Lathrobium longulum </v>
          </cell>
        </row>
        <row r="4964">
          <cell r="A4964" t="str">
            <v>Lathrobium pallidipenne </v>
          </cell>
          <cell r="B4964" t="str">
            <v>Rove beetles (macrostaphs)</v>
          </cell>
          <cell r="C4964" t="str">
            <v>Coleoptera</v>
          </cell>
          <cell r="D4964" t="str">
            <v>Lathrobium pallidipenne</v>
          </cell>
          <cell r="E4964" t="str">
            <v>LC</v>
          </cell>
          <cell r="F4964" t="str">
            <v>Boyce, 2022</v>
          </cell>
          <cell r="G4964" t="str">
            <v>NHMSYS0020919987</v>
          </cell>
          <cell r="H4964" t="str">
            <v>Lathrobium pallidipenne </v>
          </cell>
        </row>
        <row r="4965">
          <cell r="A4965" t="str">
            <v>Lathrobium pallidum </v>
          </cell>
          <cell r="B4965" t="str">
            <v>Rove beetles (macrostaphs)</v>
          </cell>
          <cell r="C4965" t="str">
            <v>Coleoptera</v>
          </cell>
          <cell r="D4965" t="str">
            <v>Lathrobium pallidum</v>
          </cell>
          <cell r="E4965" t="str">
            <v>LC</v>
          </cell>
          <cell r="F4965" t="str">
            <v>Boyce, 2022</v>
          </cell>
          <cell r="G4965" t="str">
            <v>NBNSYS0000023360</v>
          </cell>
          <cell r="H4965" t="str">
            <v>Lathrobium pallidum </v>
          </cell>
        </row>
        <row r="4966">
          <cell r="A4966" t="str">
            <v>Lathrobium rufipenne </v>
          </cell>
          <cell r="B4966" t="str">
            <v>Rove beetles (macrostaphs)</v>
          </cell>
          <cell r="C4966" t="str">
            <v>Coleoptera</v>
          </cell>
          <cell r="D4966" t="str">
            <v>Lathrobium rufipenne</v>
          </cell>
          <cell r="E4966" t="str">
            <v>VU</v>
          </cell>
          <cell r="F4966" t="str">
            <v>Boyce, 2022</v>
          </cell>
          <cell r="G4966" t="str">
            <v>NBNSYS0000023363</v>
          </cell>
          <cell r="H4966" t="str">
            <v>Lathrobium rufipenne </v>
          </cell>
        </row>
        <row r="4967">
          <cell r="A4967" t="str">
            <v>Leptacinus batychrus </v>
          </cell>
          <cell r="B4967" t="str">
            <v>Rove beetles (macrostaphs)</v>
          </cell>
          <cell r="C4967" t="str">
            <v>Coleoptera</v>
          </cell>
          <cell r="D4967" t="str">
            <v>Leptacinus batychrus</v>
          </cell>
          <cell r="E4967" t="str">
            <v>LC</v>
          </cell>
          <cell r="F4967" t="str">
            <v>Boyce, 2022</v>
          </cell>
          <cell r="G4967" t="str">
            <v>NBNSYS0000023408</v>
          </cell>
          <cell r="H4967" t="str">
            <v>Leptacinus batychrus </v>
          </cell>
        </row>
        <row r="4968">
          <cell r="A4968" t="str">
            <v>Leptacinus formicetorum </v>
          </cell>
          <cell r="B4968" t="str">
            <v>Rove beetles (macrostaphs)</v>
          </cell>
          <cell r="C4968" t="str">
            <v>Coleoptera</v>
          </cell>
          <cell r="D4968" t="str">
            <v>Leptacinus formicetorum</v>
          </cell>
          <cell r="E4968" t="str">
            <v>LC</v>
          </cell>
          <cell r="F4968" t="str">
            <v>Boyce, 2022</v>
          </cell>
          <cell r="G4968" t="str">
            <v>NHMSYS0001718808</v>
          </cell>
          <cell r="H4968" t="str">
            <v>Leptacinus formicetorum </v>
          </cell>
        </row>
        <row r="4969">
          <cell r="A4969" t="str">
            <v>Leptacinus intermedius </v>
          </cell>
          <cell r="B4969" t="str">
            <v>Rove beetles (macrostaphs)</v>
          </cell>
          <cell r="C4969" t="str">
            <v>Coleoptera</v>
          </cell>
          <cell r="D4969" t="str">
            <v>Leptacinus intermedius</v>
          </cell>
          <cell r="E4969" t="str">
            <v>LC</v>
          </cell>
          <cell r="F4969" t="str">
            <v>Boyce, 2022</v>
          </cell>
          <cell r="G4969" t="str">
            <v>NBNSYS0000023410</v>
          </cell>
          <cell r="H4969" t="str">
            <v>Leptacinus intermedius </v>
          </cell>
        </row>
        <row r="4970">
          <cell r="A4970" t="str">
            <v>Leptacinus pusillus </v>
          </cell>
          <cell r="B4970" t="str">
            <v>Rove beetles (macrostaphs)</v>
          </cell>
          <cell r="C4970" t="str">
            <v>Coleoptera</v>
          </cell>
          <cell r="D4970" t="str">
            <v>Leptacinus pusillus</v>
          </cell>
          <cell r="E4970" t="str">
            <v>LC</v>
          </cell>
          <cell r="F4970" t="str">
            <v>Boyce, 2022</v>
          </cell>
          <cell r="G4970" t="str">
            <v>NBNSYS0000023412</v>
          </cell>
          <cell r="H4970" t="str">
            <v>Leptacinus pusillus </v>
          </cell>
        </row>
        <row r="4971">
          <cell r="A4971" t="str">
            <v>Lesteva hanseni </v>
          </cell>
          <cell r="B4971" t="str">
            <v>Rove beetles (macrostaphs)</v>
          </cell>
          <cell r="C4971" t="str">
            <v>Coleoptera</v>
          </cell>
          <cell r="D4971" t="str">
            <v>Lesteva hanseni</v>
          </cell>
          <cell r="E4971" t="str">
            <v>LC</v>
          </cell>
          <cell r="F4971" t="str">
            <v>Boyce, 2022</v>
          </cell>
          <cell r="G4971" t="str">
            <v>NBNSYS0000023118</v>
          </cell>
          <cell r="H4971" t="str">
            <v>Lesteva hanseni </v>
          </cell>
        </row>
        <row r="4972">
          <cell r="A4972" t="str">
            <v>Lesteva longoelytrata </v>
          </cell>
          <cell r="B4972" t="str">
            <v>Rove beetles (macrostaphs)</v>
          </cell>
          <cell r="C4972" t="str">
            <v>Coleoptera</v>
          </cell>
          <cell r="D4972" t="str">
            <v>Lesteva longoelytrata</v>
          </cell>
          <cell r="E4972" t="str">
            <v>LC</v>
          </cell>
          <cell r="F4972" t="str">
            <v>Boyce, 2022</v>
          </cell>
          <cell r="G4972" t="str">
            <v>NBNSYS0000023120</v>
          </cell>
          <cell r="H4972" t="str">
            <v>Lesteva longoelytrata </v>
          </cell>
        </row>
        <row r="4973">
          <cell r="A4973" t="str">
            <v>Lesteva monticola </v>
          </cell>
          <cell r="B4973" t="str">
            <v>Rove beetles (macrostaphs)</v>
          </cell>
          <cell r="C4973" t="str">
            <v>Coleoptera</v>
          </cell>
          <cell r="D4973" t="str">
            <v>Lesteva monticola</v>
          </cell>
          <cell r="E4973" t="str">
            <v>LC</v>
          </cell>
          <cell r="F4973" t="str">
            <v>Boyce, 2022</v>
          </cell>
          <cell r="G4973" t="str">
            <v>NBNSYS0000023121</v>
          </cell>
          <cell r="H4973" t="str">
            <v>Lesteva monticola </v>
          </cell>
        </row>
        <row r="4974">
          <cell r="A4974" t="str">
            <v>Lesteva pubescens </v>
          </cell>
          <cell r="B4974" t="str">
            <v>Rove beetles (macrostaphs)</v>
          </cell>
          <cell r="C4974" t="str">
            <v>Coleoptera</v>
          </cell>
          <cell r="D4974" t="str">
            <v>Lesteva pubescens</v>
          </cell>
          <cell r="E4974" t="str">
            <v>LC</v>
          </cell>
          <cell r="F4974" t="str">
            <v>Boyce, 2022</v>
          </cell>
          <cell r="G4974" t="str">
            <v>NBNSYS0000023122</v>
          </cell>
          <cell r="H4974" t="str">
            <v>Lesteva pubescens </v>
          </cell>
        </row>
        <row r="4975">
          <cell r="A4975" t="str">
            <v>Lesteva punctata </v>
          </cell>
          <cell r="B4975" t="str">
            <v>Rove beetles (macrostaphs)</v>
          </cell>
          <cell r="C4975" t="str">
            <v>Coleoptera</v>
          </cell>
          <cell r="D4975" t="str">
            <v>Lesteva punctata</v>
          </cell>
          <cell r="E4975" t="str">
            <v>LC</v>
          </cell>
          <cell r="F4975" t="str">
            <v>Boyce, 2022</v>
          </cell>
          <cell r="G4975" t="str">
            <v>NBNSYS0000023123</v>
          </cell>
          <cell r="H4975" t="str">
            <v>Lesteva punctata </v>
          </cell>
        </row>
        <row r="4976">
          <cell r="A4976" t="str">
            <v>Lesteva sicula </v>
          </cell>
          <cell r="B4976" t="str">
            <v>Rove beetles (macrostaphs)</v>
          </cell>
          <cell r="C4976" t="str">
            <v>Coleoptera</v>
          </cell>
          <cell r="D4976" t="str">
            <v>Lesteva sicula</v>
          </cell>
          <cell r="E4976" t="str">
            <v>LC</v>
          </cell>
          <cell r="F4976" t="str">
            <v>Boyce, 2022</v>
          </cell>
          <cell r="G4976" t="str">
            <v>NHMSYS0001718821</v>
          </cell>
          <cell r="H4976" t="str">
            <v>Lesteva sicula </v>
          </cell>
        </row>
        <row r="4977">
          <cell r="A4977" t="str">
            <v>Lithocharis ochracea </v>
          </cell>
          <cell r="B4977" t="str">
            <v>Rove beetles (macrostaphs)</v>
          </cell>
          <cell r="C4977" t="str">
            <v>Coleoptera</v>
          </cell>
          <cell r="D4977" t="str">
            <v>Lithocharis ochracea</v>
          </cell>
          <cell r="E4977" t="str">
            <v>LC</v>
          </cell>
          <cell r="F4977" t="str">
            <v>Boyce, 2022</v>
          </cell>
          <cell r="G4977" t="str">
            <v>NBNSYS0000023384</v>
          </cell>
          <cell r="H4977" t="str">
            <v>Lithocharis ochracea </v>
          </cell>
        </row>
        <row r="4978">
          <cell r="A4978" t="str">
            <v>Lobrathium multipunctum </v>
          </cell>
          <cell r="B4978" t="str">
            <v>Rove beetles (macrostaphs)</v>
          </cell>
          <cell r="C4978" t="str">
            <v>Coleoptera</v>
          </cell>
          <cell r="D4978" t="str">
            <v>Lobrathium multipunctum</v>
          </cell>
          <cell r="E4978" t="str">
            <v>LC</v>
          </cell>
          <cell r="F4978" t="str">
            <v>Boyce, 2022</v>
          </cell>
          <cell r="G4978" t="str">
            <v>NHMSYS0001718863</v>
          </cell>
          <cell r="H4978" t="str">
            <v>Lobrathium multipunctum </v>
          </cell>
        </row>
        <row r="4979">
          <cell r="A4979" t="str">
            <v>Manda mandibularis </v>
          </cell>
          <cell r="B4979" t="str">
            <v>Rove beetles (macrostaphs)</v>
          </cell>
          <cell r="C4979" t="str">
            <v>Coleoptera</v>
          </cell>
          <cell r="D4979" t="str">
            <v>Manda mandibularis</v>
          </cell>
          <cell r="E4979" t="str">
            <v>NT</v>
          </cell>
          <cell r="F4979" t="str">
            <v>Boyce, 2022</v>
          </cell>
          <cell r="G4979" t="str">
            <v>NBNSYS0000023179</v>
          </cell>
          <cell r="H4979" t="str">
            <v>Manda mandibularis </v>
          </cell>
        </row>
        <row r="4980">
          <cell r="A4980" t="str">
            <v>Medon apicalis </v>
          </cell>
          <cell r="B4980" t="str">
            <v>Rove beetles (macrostaphs)</v>
          </cell>
          <cell r="C4980" t="str">
            <v>Coleoptera</v>
          </cell>
          <cell r="D4980" t="str">
            <v>Medon apicalis</v>
          </cell>
          <cell r="E4980" t="str">
            <v>LC</v>
          </cell>
          <cell r="F4980" t="str">
            <v>Boyce, 2022</v>
          </cell>
          <cell r="G4980" t="str">
            <v>NBNSYS0000023370</v>
          </cell>
          <cell r="H4980" t="str">
            <v>Medon apicalis </v>
          </cell>
        </row>
        <row r="4981">
          <cell r="A4981" t="str">
            <v>Medon brunneus </v>
          </cell>
          <cell r="B4981" t="str">
            <v>Rove beetles (macrostaphs)</v>
          </cell>
          <cell r="C4981" t="str">
            <v>Coleoptera</v>
          </cell>
          <cell r="D4981" t="str">
            <v>Medon brunneus</v>
          </cell>
          <cell r="E4981" t="str">
            <v>LC</v>
          </cell>
          <cell r="F4981" t="str">
            <v>Boyce, 2022</v>
          </cell>
          <cell r="G4981" t="str">
            <v>NBNSYS0000023371</v>
          </cell>
          <cell r="H4981" t="str">
            <v>Medon brunneus </v>
          </cell>
        </row>
        <row r="4982">
          <cell r="A4982" t="str">
            <v>Medon castaneus </v>
          </cell>
          <cell r="B4982" t="str">
            <v>Rove beetles (macrostaphs)</v>
          </cell>
          <cell r="C4982" t="str">
            <v>Coleoptera</v>
          </cell>
          <cell r="D4982" t="str">
            <v>Medon castaneus</v>
          </cell>
          <cell r="E4982" t="str">
            <v>LC</v>
          </cell>
          <cell r="F4982" t="str">
            <v>Boyce, 2022</v>
          </cell>
          <cell r="G4982" t="str">
            <v>NBNSYS0000023372</v>
          </cell>
          <cell r="H4982" t="str">
            <v>Medon castaneus </v>
          </cell>
        </row>
        <row r="4983">
          <cell r="A4983" t="str">
            <v>Medon dilutus </v>
          </cell>
          <cell r="B4983" t="str">
            <v>Rove beetles (macrostaphs)</v>
          </cell>
          <cell r="C4983" t="str">
            <v>Coleoptera</v>
          </cell>
          <cell r="D4983" t="str">
            <v>Medon dilutus</v>
          </cell>
          <cell r="E4983" t="str">
            <v>LC</v>
          </cell>
          <cell r="F4983" t="str">
            <v>Boyce, 2022</v>
          </cell>
          <cell r="G4983" t="str">
            <v>NBNSYS0000023373</v>
          </cell>
          <cell r="H4983" t="str">
            <v>Medon dilutus </v>
          </cell>
        </row>
        <row r="4984">
          <cell r="A4984" t="str">
            <v>Medon ripicola </v>
          </cell>
          <cell r="B4984" t="str">
            <v>Rove beetles (macrostaphs)</v>
          </cell>
          <cell r="C4984" t="str">
            <v>Coleoptera</v>
          </cell>
          <cell r="D4984" t="str">
            <v>Medon ripicola</v>
          </cell>
          <cell r="E4984" t="str">
            <v>LC</v>
          </cell>
          <cell r="F4984" t="str">
            <v>Boyce, 2022</v>
          </cell>
          <cell r="G4984" t="str">
            <v>NBNSYS0000023377</v>
          </cell>
          <cell r="H4984" t="str">
            <v>Medon ripicola </v>
          </cell>
        </row>
        <row r="4985">
          <cell r="A4985" t="str">
            <v>Megalinus glabratus </v>
          </cell>
          <cell r="B4985" t="str">
            <v>Rove beetles (macrostaphs)</v>
          </cell>
          <cell r="C4985" t="str">
            <v>Coleoptera</v>
          </cell>
          <cell r="D4985" t="str">
            <v>Megalinus glabratus</v>
          </cell>
          <cell r="E4985" t="str">
            <v>LC</v>
          </cell>
          <cell r="F4985" t="str">
            <v>Boyce, 2022</v>
          </cell>
          <cell r="G4985" t="str">
            <v>NHMSYS0001718941</v>
          </cell>
          <cell r="H4985" t="str">
            <v>Megalinus glabratus </v>
          </cell>
        </row>
        <row r="4986">
          <cell r="A4986" t="str">
            <v>Megarthrus bellevoyei </v>
          </cell>
          <cell r="B4986" t="str">
            <v>Rove beetles (macrostaphs)</v>
          </cell>
          <cell r="C4986" t="str">
            <v>Coleoptera</v>
          </cell>
          <cell r="D4986" t="str">
            <v>Megarthrus bellevoyei</v>
          </cell>
          <cell r="E4986" t="str">
            <v>LC</v>
          </cell>
          <cell r="F4986" t="str">
            <v>Boyce, 2022</v>
          </cell>
          <cell r="G4986" t="str">
            <v>NHMSYS0001718947</v>
          </cell>
          <cell r="H4986" t="str">
            <v>Megarthrus bellevoyei </v>
          </cell>
        </row>
        <row r="4987">
          <cell r="A4987" t="str">
            <v>Megarthrus denticollis </v>
          </cell>
          <cell r="B4987" t="str">
            <v>Rove beetles (macrostaphs)</v>
          </cell>
          <cell r="C4987" t="str">
            <v>Coleoptera</v>
          </cell>
          <cell r="D4987" t="str">
            <v>Megarthrus denticollis</v>
          </cell>
          <cell r="E4987" t="str">
            <v>LC</v>
          </cell>
          <cell r="F4987" t="str">
            <v>Boyce, 2022</v>
          </cell>
          <cell r="G4987" t="str">
            <v>NBNSYS0000023098</v>
          </cell>
          <cell r="H4987" t="str">
            <v>Megarthrus denticollis </v>
          </cell>
        </row>
        <row r="4988">
          <cell r="A4988" t="str">
            <v>Megarthrus depressus </v>
          </cell>
          <cell r="B4988" t="str">
            <v>Rove beetles (macrostaphs)</v>
          </cell>
          <cell r="C4988" t="str">
            <v>Coleoptera</v>
          </cell>
          <cell r="D4988" t="str">
            <v>Megarthrus depressus</v>
          </cell>
          <cell r="E4988" t="str">
            <v>LC</v>
          </cell>
          <cell r="F4988" t="str">
            <v>Boyce, 2022</v>
          </cell>
          <cell r="G4988" t="str">
            <v>NBNSYS0000023099</v>
          </cell>
          <cell r="H4988" t="str">
            <v>Megarthrus depressus </v>
          </cell>
        </row>
        <row r="4989">
          <cell r="A4989" t="str">
            <v>Megarthrus hemipterus </v>
          </cell>
          <cell r="B4989" t="str">
            <v>Rove beetles (macrostaphs)</v>
          </cell>
          <cell r="C4989" t="str">
            <v>Coleoptera</v>
          </cell>
          <cell r="D4989" t="str">
            <v>Megarthrus hemipterus</v>
          </cell>
          <cell r="E4989" t="str">
            <v>CR</v>
          </cell>
          <cell r="F4989" t="str">
            <v>Boyce, 2022</v>
          </cell>
          <cell r="G4989" t="str">
            <v>NBNSYS0000023100</v>
          </cell>
          <cell r="H4989" t="str">
            <v>Megarthrus hemipterus </v>
          </cell>
        </row>
        <row r="4990">
          <cell r="A4990" t="str">
            <v>Megarthrus prosseni </v>
          </cell>
          <cell r="B4990" t="str">
            <v>Rove beetles (macrostaphs)</v>
          </cell>
          <cell r="C4990" t="str">
            <v>Coleoptera</v>
          </cell>
          <cell r="D4990" t="str">
            <v>Megarthrus prosseni</v>
          </cell>
          <cell r="E4990" t="str">
            <v>LC</v>
          </cell>
          <cell r="F4990" t="str">
            <v>Boyce, 2022</v>
          </cell>
          <cell r="G4990" t="str">
            <v>NHMSYS0001718949</v>
          </cell>
          <cell r="H4990" t="str">
            <v>Megarthrus prosseni </v>
          </cell>
        </row>
        <row r="4991">
          <cell r="A4991" t="str">
            <v>Metopsia clypeata </v>
          </cell>
          <cell r="B4991" t="str">
            <v>Rove beetles (macrostaphs)</v>
          </cell>
          <cell r="C4991" t="str">
            <v>Coleoptera</v>
          </cell>
          <cell r="D4991" t="str">
            <v>Metopsia clypeata</v>
          </cell>
          <cell r="E4991" t="str">
            <v>LC</v>
          </cell>
          <cell r="F4991" t="str">
            <v>Boyce, 2022</v>
          </cell>
          <cell r="G4991" t="str">
            <v>NHMSYS0001718991</v>
          </cell>
          <cell r="H4991" t="str">
            <v>Metopsia clypeata </v>
          </cell>
        </row>
        <row r="4992">
          <cell r="A4992" t="str">
            <v>Micralymma marinum </v>
          </cell>
          <cell r="B4992" t="str">
            <v>Rove beetles (macrostaphs)</v>
          </cell>
          <cell r="C4992" t="str">
            <v>Coleoptera</v>
          </cell>
          <cell r="D4992" t="str">
            <v>Micralymma marinum</v>
          </cell>
          <cell r="E4992" t="str">
            <v>LC</v>
          </cell>
          <cell r="F4992" t="str">
            <v>Boyce, 2022</v>
          </cell>
          <cell r="G4992" t="str">
            <v>NHMSYS0001718995</v>
          </cell>
          <cell r="H4992" t="str">
            <v>Micralymma marinum </v>
          </cell>
        </row>
        <row r="4993">
          <cell r="A4993" t="str">
            <v>Micropeplus fulvus </v>
          </cell>
          <cell r="B4993" t="str">
            <v>Rove beetles (macrostaphs)</v>
          </cell>
          <cell r="C4993" t="str">
            <v>Coleoptera</v>
          </cell>
          <cell r="D4993" t="str">
            <v>Micropeplus fulvus</v>
          </cell>
          <cell r="E4993" t="str">
            <v>LC</v>
          </cell>
          <cell r="F4993" t="str">
            <v>Boyce, 2022</v>
          </cell>
          <cell r="G4993" t="str">
            <v>NBNSYS0000023092</v>
          </cell>
          <cell r="H4993" t="str">
            <v>Micropeplus fulvus </v>
          </cell>
        </row>
        <row r="4994">
          <cell r="A4994" t="str">
            <v>Micropeplus porcatus </v>
          </cell>
          <cell r="B4994" t="str">
            <v>Rove beetles (macrostaphs)</v>
          </cell>
          <cell r="C4994" t="str">
            <v>Coleoptera</v>
          </cell>
          <cell r="D4994" t="str">
            <v>Micropeplus porcatus</v>
          </cell>
          <cell r="E4994" t="str">
            <v>LC</v>
          </cell>
          <cell r="F4994" t="str">
            <v>Boyce, 2022</v>
          </cell>
          <cell r="G4994" t="str">
            <v>NBNSYS0000023093</v>
          </cell>
          <cell r="H4994" t="str">
            <v>Micropeplus porcatus </v>
          </cell>
        </row>
        <row r="4995">
          <cell r="A4995" t="str">
            <v>Micropeplus staphylinoides </v>
          </cell>
          <cell r="B4995" t="str">
            <v>Rove beetles (macrostaphs)</v>
          </cell>
          <cell r="C4995" t="str">
            <v>Coleoptera</v>
          </cell>
          <cell r="D4995" t="str">
            <v>Micropeplus staphylinoides</v>
          </cell>
          <cell r="E4995" t="str">
            <v>LC</v>
          </cell>
          <cell r="F4995" t="str">
            <v>Boyce, 2022</v>
          </cell>
          <cell r="G4995" t="str">
            <v>NBNSYS0000023094</v>
          </cell>
          <cell r="H4995" t="str">
            <v>Micropeplus staphylinoides </v>
          </cell>
        </row>
        <row r="4996">
          <cell r="A4996" t="str">
            <v>Micropeplus tesserula </v>
          </cell>
          <cell r="B4996" t="str">
            <v>Rove beetles (macrostaphs)</v>
          </cell>
          <cell r="C4996" t="str">
            <v>Coleoptera</v>
          </cell>
          <cell r="D4996" t="str">
            <v>Micropeplus tesserula</v>
          </cell>
          <cell r="E4996" t="str">
            <v>VU</v>
          </cell>
          <cell r="F4996" t="str">
            <v>Boyce, 2022</v>
          </cell>
          <cell r="G4996" t="str">
            <v>NBNSYS0000023095</v>
          </cell>
          <cell r="H4996" t="str">
            <v>Micropeplus tesserula </v>
          </cell>
        </row>
        <row r="4997">
          <cell r="A4997" t="str">
            <v>Neobisnius lathrobioides </v>
          </cell>
          <cell r="B4997" t="str">
            <v>Rove beetles (macrostaphs)</v>
          </cell>
          <cell r="C4997" t="str">
            <v>Coleoptera</v>
          </cell>
          <cell r="D4997" t="str">
            <v>Neobisnius lathrobioides</v>
          </cell>
          <cell r="E4997" t="str">
            <v>LC</v>
          </cell>
          <cell r="F4997" t="str">
            <v>Boyce, 2022</v>
          </cell>
          <cell r="G4997" t="str">
            <v>NBNSYS0000023429</v>
          </cell>
          <cell r="H4997" t="str">
            <v>Neobisnius lathrobioides </v>
          </cell>
        </row>
        <row r="4998">
          <cell r="A4998" t="str">
            <v>Neobisnius procerulus </v>
          </cell>
          <cell r="B4998" t="str">
            <v>Rove beetles (macrostaphs)</v>
          </cell>
          <cell r="C4998" t="str">
            <v>Coleoptera</v>
          </cell>
          <cell r="D4998" t="str">
            <v>Neobisnius procerulus</v>
          </cell>
          <cell r="E4998" t="str">
            <v>LC</v>
          </cell>
          <cell r="F4998" t="str">
            <v>Boyce, 2022</v>
          </cell>
          <cell r="G4998" t="str">
            <v>NBNSYS0000023430</v>
          </cell>
          <cell r="H4998" t="str">
            <v>Neobisnius procerulus </v>
          </cell>
        </row>
        <row r="4999">
          <cell r="A4999" t="str">
            <v>Neobisnius prolixus </v>
          </cell>
          <cell r="B4999" t="str">
            <v>Rove beetles (macrostaphs)</v>
          </cell>
          <cell r="C4999" t="str">
            <v>Coleoptera</v>
          </cell>
          <cell r="D4999" t="str">
            <v>Neobisnius prolixus</v>
          </cell>
          <cell r="E4999" t="str">
            <v>LC</v>
          </cell>
          <cell r="F4999" t="str">
            <v>Boyce, 2022</v>
          </cell>
          <cell r="G4999" t="str">
            <v>NBNSYS0000023431</v>
          </cell>
          <cell r="H4999" t="str">
            <v>Neobisnius prolixus </v>
          </cell>
        </row>
        <row r="5000">
          <cell r="A5000" t="str">
            <v>Neobisnius villosulus </v>
          </cell>
          <cell r="B5000" t="str">
            <v>Rove beetles (macrostaphs)</v>
          </cell>
          <cell r="C5000" t="str">
            <v>Coleoptera</v>
          </cell>
          <cell r="D5000" t="str">
            <v>Neobisnius villosulus</v>
          </cell>
          <cell r="E5000" t="str">
            <v>LC</v>
          </cell>
          <cell r="F5000" t="str">
            <v>Boyce, 2022</v>
          </cell>
          <cell r="G5000" t="str">
            <v>NBNSYS0000023432</v>
          </cell>
          <cell r="H5000" t="str">
            <v>Neobisnius villosulus </v>
          </cell>
        </row>
        <row r="5001">
          <cell r="A5001" t="str">
            <v>Nudobius lentus </v>
          </cell>
          <cell r="B5001" t="str">
            <v>Rove beetles (macrostaphs)</v>
          </cell>
          <cell r="C5001" t="str">
            <v>Coleoptera</v>
          </cell>
          <cell r="D5001" t="str">
            <v>Nudobius lentus</v>
          </cell>
          <cell r="E5001" t="str">
            <v>LC</v>
          </cell>
          <cell r="F5001" t="str">
            <v>Boyce, 2022</v>
          </cell>
          <cell r="G5001" t="str">
            <v>NBNSYS0000023415</v>
          </cell>
          <cell r="H5001" t="str">
            <v>Nudobius lentus </v>
          </cell>
        </row>
        <row r="5002">
          <cell r="A5002" t="str">
            <v>Ochthephilum fracticorne </v>
          </cell>
          <cell r="B5002" t="str">
            <v>Rove beetles (macrostaphs)</v>
          </cell>
          <cell r="C5002" t="str">
            <v>Coleoptera</v>
          </cell>
          <cell r="D5002" t="str">
            <v>Ochthephilum fracticorne</v>
          </cell>
          <cell r="E5002" t="str">
            <v>LC</v>
          </cell>
          <cell r="F5002" t="str">
            <v>Boyce, 2022</v>
          </cell>
          <cell r="G5002" t="str">
            <v>NBNSYS0000023368</v>
          </cell>
          <cell r="H5002" t="str">
            <v>Ochthephilum fracticorne </v>
          </cell>
        </row>
        <row r="5003">
          <cell r="A5003" t="str">
            <v>Ochthephilum jacquelini </v>
          </cell>
          <cell r="B5003" t="str">
            <v>Rove beetles (macrostaphs)</v>
          </cell>
          <cell r="C5003" t="str">
            <v>Coleoptera</v>
          </cell>
          <cell r="D5003" t="str">
            <v>Ochthephilum jacquelini</v>
          </cell>
          <cell r="E5003" t="str">
            <v>VU</v>
          </cell>
          <cell r="F5003" t="str">
            <v>Boyce, 2022</v>
          </cell>
          <cell r="G5003" t="str">
            <v>NBNSYS0000152504</v>
          </cell>
          <cell r="H5003" t="str">
            <v>Ochthephilum jacquelini </v>
          </cell>
        </row>
        <row r="5004">
          <cell r="A5004" t="str">
            <v>Ochthephilus andalusiacus </v>
          </cell>
          <cell r="B5004" t="str">
            <v>Rove beetles (macrostaphs)</v>
          </cell>
          <cell r="C5004" t="str">
            <v>Coleoptera</v>
          </cell>
          <cell r="D5004" t="str">
            <v>Ochthephilus andalusiacus</v>
          </cell>
          <cell r="E5004" t="str">
            <v>LC</v>
          </cell>
          <cell r="F5004" t="str">
            <v>Boyce, 2022</v>
          </cell>
          <cell r="G5004" t="str">
            <v>NBNSYS0000023208</v>
          </cell>
          <cell r="H5004" t="str">
            <v>Ochthephilus andalusiacus </v>
          </cell>
        </row>
        <row r="5005">
          <cell r="A5005" t="str">
            <v>Ochthephilus angustior </v>
          </cell>
          <cell r="B5005" t="str">
            <v>Rove beetles (macrostaphs)</v>
          </cell>
          <cell r="C5005" t="str">
            <v>Coleoptera</v>
          </cell>
          <cell r="D5005" t="str">
            <v>Ochthephilus angustior</v>
          </cell>
          <cell r="E5005" t="str">
            <v>LC</v>
          </cell>
          <cell r="F5005" t="str">
            <v>Boyce, 2022</v>
          </cell>
          <cell r="G5005" t="str">
            <v>NHMSYS0001719228</v>
          </cell>
          <cell r="H5005" t="str">
            <v>Ochthephilus angustior </v>
          </cell>
        </row>
        <row r="5006">
          <cell r="A5006" t="str">
            <v>Ochthephilus aureus </v>
          </cell>
          <cell r="B5006" t="str">
            <v>Rove beetles (macrostaphs)</v>
          </cell>
          <cell r="C5006" t="str">
            <v>Coleoptera</v>
          </cell>
          <cell r="D5006" t="str">
            <v>Ochthephilus aureus</v>
          </cell>
          <cell r="E5006" t="str">
            <v>LC</v>
          </cell>
          <cell r="F5006" t="str">
            <v>Boyce, 2022</v>
          </cell>
          <cell r="G5006" t="str">
            <v>NBNSYS0000023209</v>
          </cell>
          <cell r="H5006" t="str">
            <v>Ochthephilus aureus </v>
          </cell>
        </row>
        <row r="5007">
          <cell r="A5007" t="str">
            <v>Ochthephilus omalinus </v>
          </cell>
          <cell r="B5007" t="str">
            <v>Rove beetles (macrostaphs)</v>
          </cell>
          <cell r="C5007" t="str">
            <v>Coleoptera</v>
          </cell>
          <cell r="D5007" t="str">
            <v>Ochthephilus omalinus</v>
          </cell>
          <cell r="E5007" t="str">
            <v>LC</v>
          </cell>
          <cell r="F5007" t="str">
            <v>Boyce, 2022</v>
          </cell>
          <cell r="G5007" t="str">
            <v>NBNSYS0000023210</v>
          </cell>
          <cell r="H5007" t="str">
            <v>Ochthephilus omalinus </v>
          </cell>
        </row>
        <row r="5008">
          <cell r="A5008" t="str">
            <v>Ocypus aeneocephalus </v>
          </cell>
          <cell r="B5008" t="str">
            <v>Rove beetles (macrostaphs)</v>
          </cell>
          <cell r="C5008" t="str">
            <v>Coleoptera</v>
          </cell>
          <cell r="D5008" t="str">
            <v>Ocypus aeneocephalus</v>
          </cell>
          <cell r="E5008" t="str">
            <v>LC</v>
          </cell>
          <cell r="F5008" t="str">
            <v>Boyce, 2022</v>
          </cell>
          <cell r="G5008" t="str">
            <v>NBNSYS0000023514</v>
          </cell>
          <cell r="H5008" t="str">
            <v>Ocypus aeneocephalus </v>
          </cell>
        </row>
        <row r="5009">
          <cell r="A5009" t="str">
            <v>Ocypus brunnipes </v>
          </cell>
          <cell r="B5009" t="str">
            <v>Rove beetles (macrostaphs)</v>
          </cell>
          <cell r="C5009" t="str">
            <v>Coleoptera</v>
          </cell>
          <cell r="D5009" t="str">
            <v>Ocypus brunnipes</v>
          </cell>
          <cell r="E5009" t="str">
            <v>LC</v>
          </cell>
          <cell r="F5009" t="str">
            <v>Boyce, 2022</v>
          </cell>
          <cell r="G5009" t="str">
            <v>NBNSYS0000023516</v>
          </cell>
          <cell r="H5009" t="str">
            <v>Ocypus brunnipes </v>
          </cell>
        </row>
        <row r="5010">
          <cell r="A5010" t="str">
            <v>Ocypus fortunatarum </v>
          </cell>
          <cell r="B5010" t="str">
            <v>Rove beetles (macrostaphs)</v>
          </cell>
          <cell r="C5010" t="str">
            <v>Coleoptera</v>
          </cell>
          <cell r="D5010" t="str">
            <v>Ocypus fortunatarum</v>
          </cell>
          <cell r="E5010" t="str">
            <v>LC</v>
          </cell>
          <cell r="F5010" t="str">
            <v>Boyce, 2022</v>
          </cell>
          <cell r="G5010" t="str">
            <v>NBNSYS0000023521</v>
          </cell>
          <cell r="H5010" t="str">
            <v>Ocypus fortunatarum </v>
          </cell>
        </row>
        <row r="5011">
          <cell r="A5011" t="str">
            <v>Ocypus fuscatus </v>
          </cell>
          <cell r="B5011" t="str">
            <v>Rove beetles (macrostaphs)</v>
          </cell>
          <cell r="C5011" t="str">
            <v>Coleoptera</v>
          </cell>
          <cell r="D5011" t="str">
            <v>Ocypus fuscatus</v>
          </cell>
          <cell r="E5011" t="str">
            <v>LC</v>
          </cell>
          <cell r="F5011" t="str">
            <v>Boyce, 2022</v>
          </cell>
          <cell r="G5011" t="str">
            <v>NBNSYS0000023522</v>
          </cell>
          <cell r="H5011" t="str">
            <v>Ocypus fuscatus </v>
          </cell>
        </row>
        <row r="5012">
          <cell r="A5012" t="str">
            <v>Ocypus nitens </v>
          </cell>
          <cell r="B5012" t="str">
            <v>Rove beetles (macrostaphs)</v>
          </cell>
          <cell r="C5012" t="str">
            <v>Coleoptera</v>
          </cell>
          <cell r="D5012" t="str">
            <v>Ocypus nitens</v>
          </cell>
          <cell r="E5012" t="str">
            <v>LC</v>
          </cell>
          <cell r="F5012" t="str">
            <v>Boyce, 2022</v>
          </cell>
          <cell r="G5012" t="str">
            <v>NHMSYS0020919999</v>
          </cell>
          <cell r="H5012" t="str">
            <v>Ocypus nitens </v>
          </cell>
        </row>
        <row r="5013">
          <cell r="A5013" t="str">
            <v>Ocypus olens </v>
          </cell>
          <cell r="B5013" t="str">
            <v>Rove beetles (macrostaphs)</v>
          </cell>
          <cell r="C5013" t="str">
            <v>Coleoptera</v>
          </cell>
          <cell r="D5013" t="str">
            <v>Ocypus olens</v>
          </cell>
          <cell r="E5013" t="str">
            <v>LC</v>
          </cell>
          <cell r="F5013" t="str">
            <v>Boyce, 2022</v>
          </cell>
          <cell r="G5013" t="str">
            <v>NBNSYS0000023526</v>
          </cell>
          <cell r="H5013" t="str">
            <v>Ocypus olens </v>
          </cell>
        </row>
        <row r="5014">
          <cell r="A5014" t="str">
            <v>Ocypus ophthalmicus </v>
          </cell>
          <cell r="B5014" t="str">
            <v>Rove beetles (macrostaphs)</v>
          </cell>
          <cell r="C5014" t="str">
            <v>Coleoptera</v>
          </cell>
          <cell r="D5014" t="str">
            <v>Ocypus ophthalmicus</v>
          </cell>
          <cell r="E5014" t="str">
            <v>LC</v>
          </cell>
          <cell r="F5014" t="str">
            <v>Boyce, 2022</v>
          </cell>
          <cell r="G5014" t="str">
            <v>NBNSYS0000023527</v>
          </cell>
          <cell r="H5014" t="str">
            <v>Ocypus ophthalmicus </v>
          </cell>
        </row>
        <row r="5015">
          <cell r="A5015" t="str">
            <v>Olophrum assimile </v>
          </cell>
          <cell r="B5015" t="str">
            <v>Rove beetles (macrostaphs)</v>
          </cell>
          <cell r="C5015" t="str">
            <v>Coleoptera</v>
          </cell>
          <cell r="D5015" t="str">
            <v>Olophrum assimile</v>
          </cell>
          <cell r="E5015" t="str">
            <v>VU</v>
          </cell>
          <cell r="F5015" t="str">
            <v>Boyce, 2022</v>
          </cell>
          <cell r="G5015" t="str">
            <v>NBNSYS0000023109</v>
          </cell>
          <cell r="H5015" t="str">
            <v>Olophrum assimile </v>
          </cell>
        </row>
        <row r="5016">
          <cell r="A5016" t="str">
            <v>Olophrum fuscum </v>
          </cell>
          <cell r="B5016" t="str">
            <v>Rove beetles (macrostaphs)</v>
          </cell>
          <cell r="C5016" t="str">
            <v>Coleoptera</v>
          </cell>
          <cell r="D5016" t="str">
            <v>Olophrum fuscum</v>
          </cell>
          <cell r="E5016" t="str">
            <v>LC</v>
          </cell>
          <cell r="F5016" t="str">
            <v>Boyce, 2022</v>
          </cell>
          <cell r="G5016" t="str">
            <v>NBNSYS0000023111</v>
          </cell>
          <cell r="H5016" t="str">
            <v>Olophrum fuscum </v>
          </cell>
        </row>
        <row r="5017">
          <cell r="A5017" t="str">
            <v>Olophrum piceum </v>
          </cell>
          <cell r="B5017" t="str">
            <v>Rove beetles (macrostaphs)</v>
          </cell>
          <cell r="C5017" t="str">
            <v>Coleoptera</v>
          </cell>
          <cell r="D5017" t="str">
            <v>Olophrum piceum</v>
          </cell>
          <cell r="E5017" t="str">
            <v>LC</v>
          </cell>
          <cell r="F5017" t="str">
            <v>Boyce, 2022</v>
          </cell>
          <cell r="G5017" t="str">
            <v>NBNSYS0000023112</v>
          </cell>
          <cell r="H5017" t="str">
            <v>Olophrum piceum </v>
          </cell>
        </row>
        <row r="5018">
          <cell r="A5018" t="str">
            <v>Omalium caesum </v>
          </cell>
          <cell r="B5018" t="str">
            <v>Rove beetles (macrostaphs)</v>
          </cell>
          <cell r="C5018" t="str">
            <v>Coleoptera</v>
          </cell>
          <cell r="D5018" t="str">
            <v>Omalium caesum</v>
          </cell>
          <cell r="E5018" t="str">
            <v>LC</v>
          </cell>
          <cell r="F5018" t="str">
            <v>Boyce, 2022</v>
          </cell>
          <cell r="G5018" t="str">
            <v>NBNSYS0000023150</v>
          </cell>
          <cell r="H5018" t="str">
            <v>Omalium caesum </v>
          </cell>
        </row>
        <row r="5019">
          <cell r="A5019" t="str">
            <v>Omalium excavatum </v>
          </cell>
          <cell r="B5019" t="str">
            <v>Rove beetles (macrostaphs)</v>
          </cell>
          <cell r="C5019" t="str">
            <v>Coleoptera</v>
          </cell>
          <cell r="D5019" t="str">
            <v>Omalium excavatum</v>
          </cell>
          <cell r="E5019" t="str">
            <v>LC</v>
          </cell>
          <cell r="F5019" t="str">
            <v>Boyce, 2022</v>
          </cell>
          <cell r="G5019" t="str">
            <v>NBNSYS0000023151</v>
          </cell>
          <cell r="H5019" t="str">
            <v>Omalium excavatum </v>
          </cell>
        </row>
        <row r="5020">
          <cell r="A5020" t="str">
            <v>Omalium exiguum </v>
          </cell>
          <cell r="B5020" t="str">
            <v>Rove beetles (macrostaphs)</v>
          </cell>
          <cell r="C5020" t="str">
            <v>Coleoptera</v>
          </cell>
          <cell r="D5020" t="str">
            <v>Omalium exiguum</v>
          </cell>
          <cell r="E5020" t="str">
            <v>LC</v>
          </cell>
          <cell r="F5020" t="str">
            <v>Boyce, 2022</v>
          </cell>
          <cell r="G5020" t="str">
            <v>NBNSYS0000023152</v>
          </cell>
          <cell r="H5020" t="str">
            <v>Omalium exiguum </v>
          </cell>
        </row>
        <row r="5021">
          <cell r="A5021" t="str">
            <v>Omalium italicum </v>
          </cell>
          <cell r="B5021" t="str">
            <v>Rove beetles (macrostaphs)</v>
          </cell>
          <cell r="C5021" t="str">
            <v>Coleoptera</v>
          </cell>
          <cell r="D5021" t="str">
            <v>Omalium italicum</v>
          </cell>
          <cell r="E5021" t="str">
            <v>LC</v>
          </cell>
          <cell r="F5021" t="str">
            <v>Boyce, 2022</v>
          </cell>
          <cell r="G5021" t="str">
            <v>NBNSYS0000023153</v>
          </cell>
          <cell r="H5021" t="str">
            <v>Omalium italicum </v>
          </cell>
        </row>
        <row r="5022">
          <cell r="A5022" t="str">
            <v>Omalium laeviusculum </v>
          </cell>
          <cell r="B5022" t="str">
            <v>Rove beetles (macrostaphs)</v>
          </cell>
          <cell r="C5022" t="str">
            <v>Coleoptera</v>
          </cell>
          <cell r="D5022" t="str">
            <v>Omalium laeviusculum</v>
          </cell>
          <cell r="E5022" t="str">
            <v>LC</v>
          </cell>
          <cell r="F5022" t="str">
            <v>Boyce, 2022</v>
          </cell>
          <cell r="G5022" t="str">
            <v>NBNSYS0000023154</v>
          </cell>
          <cell r="H5022" t="str">
            <v>Omalium laeviusculum </v>
          </cell>
        </row>
        <row r="5023">
          <cell r="A5023" t="str">
            <v>Omalium laticolle </v>
          </cell>
          <cell r="B5023" t="str">
            <v>Rove beetles (macrostaphs)</v>
          </cell>
          <cell r="C5023" t="str">
            <v>Coleoptera</v>
          </cell>
          <cell r="D5023" t="str">
            <v>Omalium laticolle</v>
          </cell>
          <cell r="E5023" t="str">
            <v>VU</v>
          </cell>
          <cell r="F5023" t="str">
            <v>Boyce, 2022</v>
          </cell>
          <cell r="G5023" t="str">
            <v>NBNSYS0000023155</v>
          </cell>
          <cell r="H5023" t="str">
            <v>Omalium laticolle </v>
          </cell>
        </row>
        <row r="5024">
          <cell r="A5024" t="str">
            <v>Omalium oxyacanthae </v>
          </cell>
          <cell r="B5024" t="str">
            <v>Rove beetles (macrostaphs)</v>
          </cell>
          <cell r="C5024" t="str">
            <v>Coleoptera</v>
          </cell>
          <cell r="D5024" t="str">
            <v>Omalium oxyacanthae</v>
          </cell>
          <cell r="E5024" t="str">
            <v>LC</v>
          </cell>
          <cell r="F5024" t="str">
            <v>Boyce, 2022</v>
          </cell>
          <cell r="G5024" t="str">
            <v>NBNSYS0000023156</v>
          </cell>
          <cell r="H5024" t="str">
            <v>Omalium oxyacanthae </v>
          </cell>
        </row>
        <row r="5025">
          <cell r="A5025" t="str">
            <v>Omalium riparium </v>
          </cell>
          <cell r="B5025" t="str">
            <v>Rove beetles (macrostaphs)</v>
          </cell>
          <cell r="C5025" t="str">
            <v>Coleoptera</v>
          </cell>
          <cell r="D5025" t="str">
            <v>Omalium riparium</v>
          </cell>
          <cell r="E5025" t="str">
            <v>LC</v>
          </cell>
          <cell r="F5025" t="str">
            <v>Boyce, 2022</v>
          </cell>
          <cell r="G5025" t="str">
            <v>NHMSYS0001719284</v>
          </cell>
          <cell r="H5025" t="str">
            <v>Omalium riparium </v>
          </cell>
        </row>
        <row r="5026">
          <cell r="A5026" t="str">
            <v>Omalium rivulare </v>
          </cell>
          <cell r="B5026" t="str">
            <v>Rove beetles (macrostaphs)</v>
          </cell>
          <cell r="C5026" t="str">
            <v>Coleoptera</v>
          </cell>
          <cell r="D5026" t="str">
            <v>Omalium rivulare</v>
          </cell>
          <cell r="E5026" t="str">
            <v>LC</v>
          </cell>
          <cell r="F5026" t="str">
            <v>Boyce, 2022</v>
          </cell>
          <cell r="G5026" t="str">
            <v>NBNSYS0000023158</v>
          </cell>
          <cell r="H5026" t="str">
            <v>Omalium rivulare </v>
          </cell>
        </row>
        <row r="5027">
          <cell r="A5027" t="str">
            <v>Omalium rugatum </v>
          </cell>
          <cell r="B5027" t="str">
            <v>Rove beetles (macrostaphs)</v>
          </cell>
          <cell r="C5027" t="str">
            <v>Coleoptera</v>
          </cell>
          <cell r="D5027" t="str">
            <v>Omalium rugatum</v>
          </cell>
          <cell r="E5027" t="str">
            <v>LC</v>
          </cell>
          <cell r="F5027" t="str">
            <v>Boyce, 2022</v>
          </cell>
          <cell r="G5027" t="str">
            <v>NBNSYS0000023159</v>
          </cell>
          <cell r="H5027" t="str">
            <v>Omalium rugatum </v>
          </cell>
        </row>
        <row r="5028">
          <cell r="A5028" t="str">
            <v>Omalium rugulipenne </v>
          </cell>
          <cell r="B5028" t="str">
            <v>Rove beetles (macrostaphs)</v>
          </cell>
          <cell r="C5028" t="str">
            <v>Coleoptera</v>
          </cell>
          <cell r="D5028" t="str">
            <v>Omalium rugulipenne</v>
          </cell>
          <cell r="E5028" t="str">
            <v>LC</v>
          </cell>
          <cell r="F5028" t="str">
            <v>Boyce, 2022</v>
          </cell>
          <cell r="G5028" t="str">
            <v>NBNSYS0000023160</v>
          </cell>
          <cell r="H5028" t="str">
            <v>Omalium rugulipenne </v>
          </cell>
        </row>
        <row r="5029">
          <cell r="A5029" t="str">
            <v>Omalium septentrionis </v>
          </cell>
          <cell r="B5029" t="str">
            <v>Rove beetles (macrostaphs)</v>
          </cell>
          <cell r="C5029" t="str">
            <v>Coleoptera</v>
          </cell>
          <cell r="D5029" t="str">
            <v>Omalium septentrionis</v>
          </cell>
          <cell r="E5029" t="str">
            <v>LC</v>
          </cell>
          <cell r="F5029" t="str">
            <v>Boyce, 2022</v>
          </cell>
          <cell r="G5029" t="str">
            <v>NHMSYS0001719285</v>
          </cell>
          <cell r="H5029" t="str">
            <v>Omalium septentrionis </v>
          </cell>
        </row>
        <row r="5030">
          <cell r="A5030" t="str">
            <v>Ontholestes murinus </v>
          </cell>
          <cell r="B5030" t="str">
            <v>Rove beetles (macrostaphs)</v>
          </cell>
          <cell r="C5030" t="str">
            <v>Coleoptera</v>
          </cell>
          <cell r="D5030" t="str">
            <v>Ontholestes murinus</v>
          </cell>
          <cell r="E5030" t="str">
            <v>LC</v>
          </cell>
          <cell r="F5030" t="str">
            <v>Boyce, 2022</v>
          </cell>
          <cell r="G5030" t="str">
            <v>NBNSYS0000023531</v>
          </cell>
          <cell r="H5030" t="str">
            <v>Ontholestes murinus </v>
          </cell>
        </row>
        <row r="5031">
          <cell r="A5031" t="str">
            <v>Ontholestes tessellatus </v>
          </cell>
          <cell r="B5031" t="str">
            <v>Rove beetles (macrostaphs)</v>
          </cell>
          <cell r="C5031" t="str">
            <v>Coleoptera</v>
          </cell>
          <cell r="D5031" t="str">
            <v>Ontholestes tessellatus</v>
          </cell>
          <cell r="E5031" t="str">
            <v>LC</v>
          </cell>
          <cell r="F5031" t="str">
            <v>Boyce, 2022</v>
          </cell>
          <cell r="G5031" t="str">
            <v>NHMSYS0001719294</v>
          </cell>
          <cell r="H5031" t="str">
            <v>Ontholestes tessellatus </v>
          </cell>
        </row>
        <row r="5032">
          <cell r="A5032" t="str">
            <v>Orochares angustatus</v>
          </cell>
          <cell r="B5032" t="str">
            <v>Rove beetles (macrostaphs)</v>
          </cell>
          <cell r="C5032" t="str">
            <v>Coleoptera</v>
          </cell>
          <cell r="D5032" t="str">
            <v>Orochares angustatus</v>
          </cell>
          <cell r="E5032" t="str">
            <v>RE</v>
          </cell>
          <cell r="F5032" t="str">
            <v>Boyce, 2022</v>
          </cell>
          <cell r="G5032" t="str">
            <v>NBNSYS0000023128</v>
          </cell>
          <cell r="H5032" t="str">
            <v>Orochares angustatus</v>
          </cell>
        </row>
        <row r="5033">
          <cell r="A5033" t="str">
            <v>Othius angustus </v>
          </cell>
          <cell r="B5033" t="str">
            <v>Rove beetles (macrostaphs)</v>
          </cell>
          <cell r="C5033" t="str">
            <v>Coleoptera</v>
          </cell>
          <cell r="D5033" t="str">
            <v>Othius angustus</v>
          </cell>
          <cell r="E5033" t="str">
            <v>LC</v>
          </cell>
          <cell r="F5033" t="str">
            <v>Boyce, 2022</v>
          </cell>
          <cell r="G5033" t="str">
            <v>NBNSYS0000023402</v>
          </cell>
          <cell r="H5033" t="str">
            <v>Othius angustus </v>
          </cell>
        </row>
        <row r="5034">
          <cell r="A5034" t="str">
            <v>Othius laeviusculus </v>
          </cell>
          <cell r="B5034" t="str">
            <v>Rove beetles (macrostaphs)</v>
          </cell>
          <cell r="C5034" t="str">
            <v>Coleoptera</v>
          </cell>
          <cell r="D5034" t="str">
            <v>Othius laeviusculus</v>
          </cell>
          <cell r="E5034" t="str">
            <v>LC</v>
          </cell>
          <cell r="F5034" t="str">
            <v>Boyce, 2022</v>
          </cell>
          <cell r="G5034" t="str">
            <v>NBNSYS0000023403</v>
          </cell>
          <cell r="H5034" t="str">
            <v>Othius laeviusculus </v>
          </cell>
        </row>
        <row r="5035">
          <cell r="A5035" t="str">
            <v>Othius punctulatus </v>
          </cell>
          <cell r="B5035" t="str">
            <v>Rove beetles (macrostaphs)</v>
          </cell>
          <cell r="C5035" t="str">
            <v>Coleoptera</v>
          </cell>
          <cell r="D5035" t="str">
            <v>Othius punctulatus</v>
          </cell>
          <cell r="E5035" t="str">
            <v>LC</v>
          </cell>
          <cell r="F5035" t="str">
            <v>Boyce, 2022</v>
          </cell>
          <cell r="G5035" t="str">
            <v>NBNSYS0000023406</v>
          </cell>
          <cell r="H5035" t="str">
            <v>Othius punctulatus </v>
          </cell>
        </row>
        <row r="5036">
          <cell r="A5036" t="str">
            <v>Othius subuliformis </v>
          </cell>
          <cell r="B5036" t="str">
            <v>Rove beetles (macrostaphs)</v>
          </cell>
          <cell r="C5036" t="str">
            <v>Coleoptera</v>
          </cell>
          <cell r="D5036" t="str">
            <v>Othius subuliformis</v>
          </cell>
          <cell r="E5036" t="str">
            <v>LC</v>
          </cell>
          <cell r="F5036" t="str">
            <v>Boyce, 2022</v>
          </cell>
          <cell r="G5036" t="str">
            <v>NHMSYS0001719383</v>
          </cell>
          <cell r="H5036" t="str">
            <v>Othius subuliformis </v>
          </cell>
        </row>
        <row r="5037">
          <cell r="A5037" t="str">
            <v>Oxyporus rufus </v>
          </cell>
          <cell r="B5037" t="str">
            <v>Rove beetles (macrostaphs)</v>
          </cell>
          <cell r="C5037" t="str">
            <v>Coleoptera</v>
          </cell>
          <cell r="D5037" t="str">
            <v>Oxyporus rufus</v>
          </cell>
          <cell r="E5037" t="str">
            <v>LC</v>
          </cell>
          <cell r="F5037" t="str">
            <v>Boyce, 2022</v>
          </cell>
          <cell r="G5037" t="str">
            <v>NBNSYS0000023263</v>
          </cell>
          <cell r="H5037" t="str">
            <v>Oxyporus rufus </v>
          </cell>
        </row>
        <row r="5038">
          <cell r="A5038" t="str">
            <v>Oxytelus fulvipes </v>
          </cell>
          <cell r="B5038" t="str">
            <v>Rove beetles (macrostaphs)</v>
          </cell>
          <cell r="C5038" t="str">
            <v>Coleoptera</v>
          </cell>
          <cell r="D5038" t="str">
            <v>Oxytelus fulvipes</v>
          </cell>
          <cell r="E5038" t="str">
            <v>LC</v>
          </cell>
          <cell r="F5038" t="str">
            <v>Boyce, 2022</v>
          </cell>
          <cell r="G5038" t="str">
            <v>NBNSYS0000023259</v>
          </cell>
          <cell r="H5038" t="str">
            <v>Oxytelus fulvipes </v>
          </cell>
        </row>
        <row r="5039">
          <cell r="A5039" t="str">
            <v>Oxytelus laqueatus </v>
          </cell>
          <cell r="B5039" t="str">
            <v>Rove beetles (macrostaphs)</v>
          </cell>
          <cell r="C5039" t="str">
            <v>Coleoptera</v>
          </cell>
          <cell r="D5039" t="str">
            <v>Oxytelus laqueatus</v>
          </cell>
          <cell r="E5039" t="str">
            <v>LC</v>
          </cell>
          <cell r="F5039" t="str">
            <v>Boyce, 2022</v>
          </cell>
          <cell r="G5039" t="str">
            <v>NBNSYS0000023260</v>
          </cell>
          <cell r="H5039" t="str">
            <v>Oxytelus laqueatus </v>
          </cell>
        </row>
        <row r="5040">
          <cell r="A5040" t="str">
            <v>Oxytelus migrator </v>
          </cell>
          <cell r="B5040" t="str">
            <v>Rove beetles (macrostaphs)</v>
          </cell>
          <cell r="C5040" t="str">
            <v>Coleoptera</v>
          </cell>
          <cell r="D5040" t="str">
            <v>Oxytelus migrator</v>
          </cell>
          <cell r="E5040" t="str">
            <v>LC</v>
          </cell>
          <cell r="F5040" t="str">
            <v>Boyce, 2022</v>
          </cell>
          <cell r="G5040" t="str">
            <v>NBNSYS0100004370</v>
          </cell>
          <cell r="H5040" t="str">
            <v>Oxytelus migrator </v>
          </cell>
        </row>
        <row r="5041">
          <cell r="A5041" t="str">
            <v>Oxytelus piceus </v>
          </cell>
          <cell r="B5041" t="str">
            <v>Rove beetles (macrostaphs)</v>
          </cell>
          <cell r="C5041" t="str">
            <v>Coleoptera</v>
          </cell>
          <cell r="D5041" t="str">
            <v>Oxytelus piceus</v>
          </cell>
          <cell r="E5041" t="str">
            <v>LC</v>
          </cell>
          <cell r="F5041" t="str">
            <v>Boyce, 2022</v>
          </cell>
          <cell r="G5041" t="str">
            <v>NBNSYS0000023261</v>
          </cell>
          <cell r="H5041" t="str">
            <v>Oxytelus piceus </v>
          </cell>
        </row>
        <row r="5042">
          <cell r="A5042" t="str">
            <v>Oxytelus sculptus </v>
          </cell>
          <cell r="B5042" t="str">
            <v>Rove beetles (macrostaphs)</v>
          </cell>
          <cell r="C5042" t="str">
            <v>Coleoptera</v>
          </cell>
          <cell r="D5042" t="str">
            <v>Oxytelus sculptus</v>
          </cell>
          <cell r="E5042" t="str">
            <v>LC</v>
          </cell>
          <cell r="F5042" t="str">
            <v>Boyce, 2022</v>
          </cell>
          <cell r="G5042" t="str">
            <v>NBNSYS0000023262</v>
          </cell>
          <cell r="H5042" t="str">
            <v>Oxytelus sculptus </v>
          </cell>
        </row>
        <row r="5043">
          <cell r="A5043" t="str">
            <v>Paederus caligatus </v>
          </cell>
          <cell r="B5043" t="str">
            <v>Rove beetles (macrostaphs)</v>
          </cell>
          <cell r="C5043" t="str">
            <v>Coleoptera</v>
          </cell>
          <cell r="D5043" t="str">
            <v>Paederus caligatus</v>
          </cell>
          <cell r="E5043" t="str">
            <v>LC</v>
          </cell>
          <cell r="F5043" t="str">
            <v>Boyce, 2022</v>
          </cell>
          <cell r="G5043" t="str">
            <v>NBNSYS0000023342</v>
          </cell>
          <cell r="H5043" t="str">
            <v>Paederus caligatus </v>
          </cell>
        </row>
        <row r="5044">
          <cell r="A5044" t="str">
            <v>Paederus fuscipes </v>
          </cell>
          <cell r="B5044" t="str">
            <v>Rove beetles (macrostaphs)</v>
          </cell>
          <cell r="C5044" t="str">
            <v>Coleoptera</v>
          </cell>
          <cell r="D5044" t="str">
            <v>Paederus fuscipes</v>
          </cell>
          <cell r="E5044" t="str">
            <v>LC</v>
          </cell>
          <cell r="F5044" t="str">
            <v>Boyce, 2022</v>
          </cell>
          <cell r="G5044" t="str">
            <v>NBNSYS0000023343</v>
          </cell>
          <cell r="H5044" t="str">
            <v>Paederus fuscipes </v>
          </cell>
        </row>
        <row r="5045">
          <cell r="A5045" t="str">
            <v>Paederus littoralis </v>
          </cell>
          <cell r="B5045" t="str">
            <v>Rove beetles (macrostaphs)</v>
          </cell>
          <cell r="C5045" t="str">
            <v>Coleoptera</v>
          </cell>
          <cell r="D5045" t="str">
            <v>Paederus littoralis</v>
          </cell>
          <cell r="E5045" t="str">
            <v>LC</v>
          </cell>
          <cell r="F5045" t="str">
            <v>Boyce, 2022</v>
          </cell>
          <cell r="G5045" t="str">
            <v>NBNSYS0000023344</v>
          </cell>
          <cell r="H5045" t="str">
            <v>Paederus littoralis </v>
          </cell>
        </row>
        <row r="5046">
          <cell r="A5046" t="str">
            <v>Paederus riparius </v>
          </cell>
          <cell r="B5046" t="str">
            <v>Rove beetles (macrostaphs)</v>
          </cell>
          <cell r="C5046" t="str">
            <v>Coleoptera</v>
          </cell>
          <cell r="D5046" t="str">
            <v>Paederus riparius</v>
          </cell>
          <cell r="E5046" t="str">
            <v>LC</v>
          </cell>
          <cell r="F5046" t="str">
            <v>Boyce, 2022</v>
          </cell>
          <cell r="G5046" t="str">
            <v>NBNSYS0000023345</v>
          </cell>
          <cell r="H5046" t="str">
            <v>Paederus riparius </v>
          </cell>
        </row>
        <row r="5047">
          <cell r="A5047" t="str">
            <v>Philonthus addendus </v>
          </cell>
          <cell r="B5047" t="str">
            <v>Rove beetles (macrostaphs)</v>
          </cell>
          <cell r="C5047" t="str">
            <v>Coleoptera</v>
          </cell>
          <cell r="D5047" t="str">
            <v>Philonthus addendus</v>
          </cell>
          <cell r="E5047" t="str">
            <v>LC</v>
          </cell>
          <cell r="F5047" t="str">
            <v>Boyce, 2022</v>
          </cell>
          <cell r="G5047" t="str">
            <v>NBNSYS0000023436</v>
          </cell>
          <cell r="H5047" t="str">
            <v>Philonthus addendus </v>
          </cell>
        </row>
        <row r="5048">
          <cell r="A5048" t="str">
            <v>Philonthus albipes </v>
          </cell>
          <cell r="B5048" t="str">
            <v>Rove beetles (macrostaphs)</v>
          </cell>
          <cell r="C5048" t="str">
            <v>Coleoptera</v>
          </cell>
          <cell r="D5048" t="str">
            <v>Philonthus albipes</v>
          </cell>
          <cell r="E5048" t="str">
            <v>LC</v>
          </cell>
          <cell r="F5048" t="str">
            <v>Boyce, 2022</v>
          </cell>
          <cell r="G5048" t="str">
            <v>NBNSYS0000023438</v>
          </cell>
          <cell r="H5048" t="str">
            <v>Philonthus albipes </v>
          </cell>
        </row>
        <row r="5049">
          <cell r="A5049" t="str">
            <v>Philonthus alpinus</v>
          </cell>
          <cell r="B5049" t="str">
            <v>Rove beetles (macrostaphs)</v>
          </cell>
          <cell r="C5049" t="str">
            <v>Coleoptera</v>
          </cell>
          <cell r="D5049" t="str">
            <v>Philonthus alpinus</v>
          </cell>
          <cell r="E5049" t="str">
            <v>VU</v>
          </cell>
          <cell r="F5049" t="str">
            <v>Boyce, 2022</v>
          </cell>
          <cell r="G5049" t="str">
            <v>NBNSYS0000023439</v>
          </cell>
          <cell r="H5049" t="str">
            <v>Philonthus alpinus</v>
          </cell>
        </row>
        <row r="5050">
          <cell r="A5050" t="str">
            <v>Philonthus atratus </v>
          </cell>
          <cell r="B5050" t="str">
            <v>Rove beetles (macrostaphs)</v>
          </cell>
          <cell r="C5050" t="str">
            <v>Coleoptera</v>
          </cell>
          <cell r="D5050" t="str">
            <v>Philonthus atratus</v>
          </cell>
          <cell r="E5050" t="str">
            <v>LC</v>
          </cell>
          <cell r="F5050" t="str">
            <v>Boyce, 2022</v>
          </cell>
          <cell r="G5050" t="str">
            <v>NBNSYS0000023440</v>
          </cell>
          <cell r="H5050" t="str">
            <v>Philonthus atratus </v>
          </cell>
        </row>
        <row r="5051">
          <cell r="A5051" t="str">
            <v>Philonthus carbonarius </v>
          </cell>
          <cell r="B5051" t="str">
            <v>Rove beetles (macrostaphs)</v>
          </cell>
          <cell r="C5051" t="str">
            <v>Coleoptera</v>
          </cell>
          <cell r="D5051" t="str">
            <v>Philonthus carbonarius</v>
          </cell>
          <cell r="E5051" t="str">
            <v>LC</v>
          </cell>
          <cell r="F5051" t="str">
            <v>Boyce, 2022</v>
          </cell>
          <cell r="G5051" t="str">
            <v>NHMSYS0001719532</v>
          </cell>
          <cell r="H5051" t="str">
            <v>Philonthus carbonarius </v>
          </cell>
        </row>
        <row r="5052">
          <cell r="A5052" t="str">
            <v>Philonthus cognatus </v>
          </cell>
          <cell r="B5052" t="str">
            <v>Rove beetles (macrostaphs)</v>
          </cell>
          <cell r="C5052" t="str">
            <v>Coleoptera</v>
          </cell>
          <cell r="D5052" t="str">
            <v>Philonthus cognatus</v>
          </cell>
          <cell r="E5052" t="str">
            <v>LC</v>
          </cell>
          <cell r="F5052" t="str">
            <v>Boyce, 2022</v>
          </cell>
          <cell r="G5052" t="str">
            <v>NBNSYS0000023442</v>
          </cell>
          <cell r="H5052" t="str">
            <v>Philonthus cognatus </v>
          </cell>
        </row>
        <row r="5053">
          <cell r="A5053" t="str">
            <v>Philonthus concinnus </v>
          </cell>
          <cell r="B5053" t="str">
            <v>Rove beetles (macrostaphs)</v>
          </cell>
          <cell r="C5053" t="str">
            <v>Coleoptera</v>
          </cell>
          <cell r="D5053" t="str">
            <v>Philonthus concinnus</v>
          </cell>
          <cell r="E5053" t="str">
            <v>LC</v>
          </cell>
          <cell r="F5053" t="str">
            <v>Boyce, 2022</v>
          </cell>
          <cell r="G5053" t="str">
            <v>NBNSYS0000023443</v>
          </cell>
          <cell r="H5053" t="str">
            <v>Philonthus concinnus </v>
          </cell>
        </row>
        <row r="5054">
          <cell r="A5054" t="str">
            <v>Philonthus confinis </v>
          </cell>
          <cell r="B5054" t="str">
            <v>Rove beetles (macrostaphs)</v>
          </cell>
          <cell r="C5054" t="str">
            <v>Coleoptera</v>
          </cell>
          <cell r="D5054" t="str">
            <v>Philonthus confinis</v>
          </cell>
          <cell r="E5054" t="str">
            <v>LC</v>
          </cell>
          <cell r="F5054" t="str">
            <v>Boyce, 2022</v>
          </cell>
          <cell r="G5054" t="str">
            <v>NHMSYS0001719534</v>
          </cell>
          <cell r="H5054" t="str">
            <v>Philonthus confinis </v>
          </cell>
        </row>
        <row r="5055">
          <cell r="A5055" t="str">
            <v>Philonthus coprophilus </v>
          </cell>
          <cell r="B5055" t="str">
            <v>Rove beetles (macrostaphs)</v>
          </cell>
          <cell r="C5055" t="str">
            <v>Coleoptera</v>
          </cell>
          <cell r="D5055" t="str">
            <v>Philonthus coprophilus</v>
          </cell>
          <cell r="E5055" t="str">
            <v>CR(PE)</v>
          </cell>
          <cell r="F5055" t="str">
            <v>Boyce, 2022</v>
          </cell>
          <cell r="G5055" t="str">
            <v>NBNSYS0000023445</v>
          </cell>
          <cell r="H5055" t="str">
            <v>Philonthus coprophilus </v>
          </cell>
        </row>
        <row r="5056">
          <cell r="A5056" t="str">
            <v>Philonthus corruscus </v>
          </cell>
          <cell r="B5056" t="str">
            <v>Rove beetles (macrostaphs)</v>
          </cell>
          <cell r="C5056" t="str">
            <v>Coleoptera</v>
          </cell>
          <cell r="D5056" t="str">
            <v>Philonthus corruscus</v>
          </cell>
          <cell r="E5056" t="str">
            <v>EN</v>
          </cell>
          <cell r="F5056" t="str">
            <v>Boyce, 2022</v>
          </cell>
          <cell r="G5056" t="str">
            <v>NBNSYS0000023446</v>
          </cell>
          <cell r="H5056" t="str">
            <v>Philonthus corruscus </v>
          </cell>
        </row>
        <row r="5057">
          <cell r="A5057" t="str">
            <v>Philonthus corvinus </v>
          </cell>
          <cell r="B5057" t="str">
            <v>Rove beetles (macrostaphs)</v>
          </cell>
          <cell r="C5057" t="str">
            <v>Coleoptera</v>
          </cell>
          <cell r="D5057" t="str">
            <v>Philonthus corvinus</v>
          </cell>
          <cell r="E5057" t="str">
            <v>LC</v>
          </cell>
          <cell r="F5057" t="str">
            <v>Boyce, 2022</v>
          </cell>
          <cell r="G5057" t="str">
            <v>NBNSYS0000023447</v>
          </cell>
          <cell r="H5057" t="str">
            <v>Philonthus corvinus </v>
          </cell>
        </row>
        <row r="5058">
          <cell r="A5058" t="str">
            <v>Philonthus cruentatus </v>
          </cell>
          <cell r="B5058" t="str">
            <v>Rove beetles (macrostaphs)</v>
          </cell>
          <cell r="C5058" t="str">
            <v>Coleoptera</v>
          </cell>
          <cell r="D5058" t="str">
            <v>Philonthus cruentatus</v>
          </cell>
          <cell r="E5058" t="str">
            <v>LC</v>
          </cell>
          <cell r="F5058" t="str">
            <v>Boyce, 2022</v>
          </cell>
          <cell r="G5058" t="str">
            <v>NBNSYS0000023448</v>
          </cell>
          <cell r="H5058" t="str">
            <v>Philonthus cruentatus </v>
          </cell>
        </row>
        <row r="5059">
          <cell r="A5059" t="str">
            <v>Philonthus debilis </v>
          </cell>
          <cell r="B5059" t="str">
            <v>Rove beetles (macrostaphs)</v>
          </cell>
          <cell r="C5059" t="str">
            <v>Coleoptera</v>
          </cell>
          <cell r="D5059" t="str">
            <v>Philonthus debilis</v>
          </cell>
          <cell r="E5059" t="str">
            <v>LC</v>
          </cell>
          <cell r="F5059" t="str">
            <v>Boyce, 2022</v>
          </cell>
          <cell r="G5059" t="str">
            <v>NBNSYS0000023449</v>
          </cell>
          <cell r="H5059" t="str">
            <v>Philonthus debilis </v>
          </cell>
        </row>
        <row r="5060">
          <cell r="A5060" t="str">
            <v>Philonthus decorus </v>
          </cell>
          <cell r="B5060" t="str">
            <v>Rove beetles (macrostaphs)</v>
          </cell>
          <cell r="C5060" t="str">
            <v>Coleoptera</v>
          </cell>
          <cell r="D5060" t="str">
            <v>Philonthus decorus</v>
          </cell>
          <cell r="E5060" t="str">
            <v>LC</v>
          </cell>
          <cell r="F5060" t="str">
            <v>Boyce, 2022</v>
          </cell>
          <cell r="G5060" t="str">
            <v>NBNSYS0000023450</v>
          </cell>
          <cell r="H5060" t="str">
            <v>Philonthus decorus </v>
          </cell>
        </row>
        <row r="5061">
          <cell r="A5061" t="str">
            <v>Philonthus dimidiatipennis</v>
          </cell>
          <cell r="B5061" t="str">
            <v>Rove beetles (macrostaphs)</v>
          </cell>
          <cell r="C5061" t="str">
            <v>Coleoptera</v>
          </cell>
          <cell r="D5061" t="str">
            <v>Philonthus dimidiatipennis</v>
          </cell>
          <cell r="E5061" t="str">
            <v>RE</v>
          </cell>
          <cell r="F5061" t="str">
            <v>Boyce, 2022</v>
          </cell>
          <cell r="G5061" t="str">
            <v>NBNSYS0000023451</v>
          </cell>
          <cell r="H5061" t="str">
            <v>Philonthus dimidiatipennis</v>
          </cell>
        </row>
        <row r="5062">
          <cell r="A5062" t="str">
            <v>Philonthus discoideus </v>
          </cell>
          <cell r="B5062" t="str">
            <v>Rove beetles (macrostaphs)</v>
          </cell>
          <cell r="C5062" t="str">
            <v>Coleoptera</v>
          </cell>
          <cell r="D5062" t="str">
            <v>Philonthus discoideus</v>
          </cell>
          <cell r="E5062" t="str">
            <v>LC</v>
          </cell>
          <cell r="F5062" t="str">
            <v>Boyce, 2022</v>
          </cell>
          <cell r="G5062" t="str">
            <v>NBNSYS0000023452</v>
          </cell>
          <cell r="H5062" t="str">
            <v>Philonthus discoideus </v>
          </cell>
        </row>
        <row r="5063">
          <cell r="A5063" t="str">
            <v>Philonthus ebeninus </v>
          </cell>
          <cell r="B5063" t="str">
            <v>Rove beetles (macrostaphs)</v>
          </cell>
          <cell r="C5063" t="str">
            <v>Coleoptera</v>
          </cell>
          <cell r="D5063" t="str">
            <v>Philonthus ebeninus</v>
          </cell>
          <cell r="E5063" t="str">
            <v>NT</v>
          </cell>
          <cell r="F5063" t="str">
            <v>Boyce, 2022</v>
          </cell>
          <cell r="G5063" t="str">
            <v>NBNSYS0000023453</v>
          </cell>
          <cell r="H5063" t="str">
            <v>Philonthus ebeninus </v>
          </cell>
        </row>
        <row r="5064">
          <cell r="A5064" t="str">
            <v>Philonthus fumarius </v>
          </cell>
          <cell r="B5064" t="str">
            <v>Rove beetles (macrostaphs)</v>
          </cell>
          <cell r="C5064" t="str">
            <v>Coleoptera</v>
          </cell>
          <cell r="D5064" t="str">
            <v>Philonthus fumarius</v>
          </cell>
          <cell r="E5064" t="str">
            <v>LC</v>
          </cell>
          <cell r="F5064" t="str">
            <v>Boyce, 2022</v>
          </cell>
          <cell r="G5064" t="str">
            <v>NBNSYS0000023455</v>
          </cell>
          <cell r="H5064" t="str">
            <v>Philonthus fumarius </v>
          </cell>
        </row>
        <row r="5065">
          <cell r="A5065" t="str">
            <v>Philonthus intermedius </v>
          </cell>
          <cell r="B5065" t="str">
            <v>Rove beetles (macrostaphs)</v>
          </cell>
          <cell r="C5065" t="str">
            <v>Coleoptera</v>
          </cell>
          <cell r="D5065" t="str">
            <v>Philonthus intermedius</v>
          </cell>
          <cell r="E5065" t="str">
            <v>LC</v>
          </cell>
          <cell r="F5065" t="str">
            <v>Boyce, 2022</v>
          </cell>
          <cell r="G5065" t="str">
            <v>NHMSYS0001719537</v>
          </cell>
          <cell r="H5065" t="str">
            <v>Philonthus intermedius </v>
          </cell>
        </row>
        <row r="5066">
          <cell r="A5066" t="str">
            <v>Philonthus jurgans </v>
          </cell>
          <cell r="B5066" t="str">
            <v>Rove beetles (macrostaphs)</v>
          </cell>
          <cell r="C5066" t="str">
            <v>Coleoptera</v>
          </cell>
          <cell r="D5066" t="str">
            <v>Philonthus jurgans</v>
          </cell>
          <cell r="E5066" t="str">
            <v>LC</v>
          </cell>
          <cell r="F5066" t="str">
            <v>Boyce, 2022</v>
          </cell>
          <cell r="G5066" t="str">
            <v>NBNSYS0000023459</v>
          </cell>
          <cell r="H5066" t="str">
            <v>Philonthus jurgans </v>
          </cell>
        </row>
        <row r="5067">
          <cell r="A5067" t="str">
            <v>Philonthus laminatus </v>
          </cell>
          <cell r="B5067" t="str">
            <v>Rove beetles (macrostaphs)</v>
          </cell>
          <cell r="C5067" t="str">
            <v>Coleoptera</v>
          </cell>
          <cell r="D5067" t="str">
            <v>Philonthus laminatus</v>
          </cell>
          <cell r="E5067" t="str">
            <v>LC</v>
          </cell>
          <cell r="F5067" t="str">
            <v>Boyce, 2022</v>
          </cell>
          <cell r="G5067" t="str">
            <v>NBNSYS0000023460</v>
          </cell>
          <cell r="H5067" t="str">
            <v>Philonthus laminatus </v>
          </cell>
        </row>
        <row r="5068">
          <cell r="A5068" t="str">
            <v>Philonthus lepidus </v>
          </cell>
          <cell r="B5068" t="str">
            <v>Rove beetles (macrostaphs)</v>
          </cell>
          <cell r="C5068" t="str">
            <v>Coleoptera</v>
          </cell>
          <cell r="D5068" t="str">
            <v>Philonthus lepidus</v>
          </cell>
          <cell r="E5068" t="str">
            <v>LC</v>
          </cell>
          <cell r="F5068" t="str">
            <v>Boyce, 2022</v>
          </cell>
          <cell r="G5068" t="str">
            <v>NBNSYS0000023461</v>
          </cell>
          <cell r="H5068" t="str">
            <v>Philonthus lepidus </v>
          </cell>
        </row>
        <row r="5069">
          <cell r="A5069" t="str">
            <v>Philonthus longicornis </v>
          </cell>
          <cell r="B5069" t="str">
            <v>Rove beetles (macrostaphs)</v>
          </cell>
          <cell r="C5069" t="str">
            <v>Coleoptera</v>
          </cell>
          <cell r="D5069" t="str">
            <v>Philonthus longicornis</v>
          </cell>
          <cell r="E5069" t="str">
            <v>LC</v>
          </cell>
          <cell r="F5069" t="str">
            <v>Boyce, 2022</v>
          </cell>
          <cell r="G5069" t="str">
            <v>NBNSYS0000023462</v>
          </cell>
          <cell r="H5069" t="str">
            <v>Philonthus longicornis </v>
          </cell>
        </row>
        <row r="5070">
          <cell r="A5070" t="str">
            <v>Philonthus mannerheimi </v>
          </cell>
          <cell r="B5070" t="str">
            <v>Rove beetles (macrostaphs)</v>
          </cell>
          <cell r="C5070" t="str">
            <v>Coleoptera</v>
          </cell>
          <cell r="D5070" t="str">
            <v>Philonthus mannerheimi</v>
          </cell>
          <cell r="E5070" t="str">
            <v>LC</v>
          </cell>
          <cell r="F5070" t="str">
            <v>Boyce, 2022</v>
          </cell>
          <cell r="G5070" t="str">
            <v>NBNSYS0000023463</v>
          </cell>
          <cell r="H5070" t="str">
            <v>Philonthus mannerheimi </v>
          </cell>
        </row>
        <row r="5071">
          <cell r="A5071" t="str">
            <v>Philonthus marginatus </v>
          </cell>
          <cell r="B5071" t="str">
            <v>Rove beetles (macrostaphs)</v>
          </cell>
          <cell r="C5071" t="str">
            <v>Coleoptera</v>
          </cell>
          <cell r="D5071" t="str">
            <v>Philonthus marginatus</v>
          </cell>
          <cell r="E5071" t="str">
            <v>LC</v>
          </cell>
          <cell r="F5071" t="str">
            <v>Boyce, 2022</v>
          </cell>
          <cell r="G5071" t="str">
            <v>NHMSYS0001719538</v>
          </cell>
          <cell r="H5071" t="str">
            <v>Philonthus marginatus </v>
          </cell>
        </row>
        <row r="5072">
          <cell r="A5072" t="str">
            <v>Philonthus micans </v>
          </cell>
          <cell r="B5072" t="str">
            <v>Rove beetles (macrostaphs)</v>
          </cell>
          <cell r="C5072" t="str">
            <v>Coleoptera</v>
          </cell>
          <cell r="D5072" t="str">
            <v>Philonthus micans</v>
          </cell>
          <cell r="E5072" t="str">
            <v>LC</v>
          </cell>
          <cell r="F5072" t="str">
            <v>Boyce, 2022</v>
          </cell>
          <cell r="G5072" t="str">
            <v>NBNSYS0000023465</v>
          </cell>
          <cell r="H5072" t="str">
            <v>Philonthus micans </v>
          </cell>
        </row>
        <row r="5073">
          <cell r="A5073" t="str">
            <v>Philonthus micantoides </v>
          </cell>
          <cell r="B5073" t="str">
            <v>Rove beetles (macrostaphs)</v>
          </cell>
          <cell r="C5073" t="str">
            <v>Coleoptera</v>
          </cell>
          <cell r="D5073" t="str">
            <v>Philonthus micantoides</v>
          </cell>
          <cell r="E5073" t="str">
            <v>LC</v>
          </cell>
          <cell r="F5073" t="str">
            <v>Boyce, 2022</v>
          </cell>
          <cell r="G5073" t="str">
            <v>NBNSYS0000023466</v>
          </cell>
          <cell r="H5073" t="str">
            <v>Philonthus micantoides </v>
          </cell>
        </row>
        <row r="5074">
          <cell r="A5074" t="str">
            <v>Philonthus nigrita </v>
          </cell>
          <cell r="B5074" t="str">
            <v>Rove beetles (macrostaphs)</v>
          </cell>
          <cell r="C5074" t="str">
            <v>Coleoptera</v>
          </cell>
          <cell r="D5074" t="str">
            <v>Philonthus nigrita</v>
          </cell>
          <cell r="E5074" t="str">
            <v>LC</v>
          </cell>
          <cell r="F5074" t="str">
            <v>Boyce, 2022</v>
          </cell>
          <cell r="G5074" t="str">
            <v>NBNSYS0000023467</v>
          </cell>
          <cell r="H5074" t="str">
            <v>Philonthus nigrita </v>
          </cell>
        </row>
        <row r="5075">
          <cell r="A5075" t="str">
            <v>Philonthus nitidicollis </v>
          </cell>
          <cell r="B5075" t="str">
            <v>Rove beetles (macrostaphs)</v>
          </cell>
          <cell r="C5075" t="str">
            <v>Coleoptera</v>
          </cell>
          <cell r="D5075" t="str">
            <v>Philonthus nitidicollis</v>
          </cell>
          <cell r="E5075" t="str">
            <v>LC</v>
          </cell>
          <cell r="F5075" t="str">
            <v>Boyce, 2022</v>
          </cell>
          <cell r="G5075" t="str">
            <v>NBNSYS0000023469</v>
          </cell>
          <cell r="H5075" t="str">
            <v>Philonthus nitidicollis </v>
          </cell>
        </row>
        <row r="5076">
          <cell r="A5076" t="str">
            <v>Philonthus parvicornis </v>
          </cell>
          <cell r="B5076" t="str">
            <v>Rove beetles (macrostaphs)</v>
          </cell>
          <cell r="C5076" t="str">
            <v>Coleoptera</v>
          </cell>
          <cell r="D5076" t="str">
            <v>Philonthus parvicornis</v>
          </cell>
          <cell r="E5076" t="str">
            <v>LC</v>
          </cell>
          <cell r="F5076" t="str">
            <v>Boyce, 2022</v>
          </cell>
          <cell r="G5076" t="str">
            <v>NHMSYS0001719542</v>
          </cell>
          <cell r="H5076" t="str">
            <v>Philonthus parvicornis </v>
          </cell>
        </row>
        <row r="5077">
          <cell r="A5077" t="str">
            <v>Philonthus politus </v>
          </cell>
          <cell r="B5077" t="str">
            <v>Rove beetles (macrostaphs)</v>
          </cell>
          <cell r="C5077" t="str">
            <v>Coleoptera</v>
          </cell>
          <cell r="D5077" t="str">
            <v>Philonthus politus</v>
          </cell>
          <cell r="E5077" t="str">
            <v>LC</v>
          </cell>
          <cell r="F5077" t="str">
            <v>Boyce, 2022</v>
          </cell>
          <cell r="G5077" t="str">
            <v>NBNSYS0000023471</v>
          </cell>
          <cell r="H5077" t="str">
            <v>Philonthus politus </v>
          </cell>
        </row>
        <row r="5078">
          <cell r="A5078" t="str">
            <v>Philonthus punctus </v>
          </cell>
          <cell r="B5078" t="str">
            <v>Rove beetles (macrostaphs)</v>
          </cell>
          <cell r="C5078" t="str">
            <v>Coleoptera</v>
          </cell>
          <cell r="D5078" t="str">
            <v>Philonthus punctus</v>
          </cell>
          <cell r="E5078" t="str">
            <v>LC</v>
          </cell>
          <cell r="F5078" t="str">
            <v>Boyce, 2022</v>
          </cell>
          <cell r="G5078" t="str">
            <v>NBNSYS0000023475</v>
          </cell>
          <cell r="H5078" t="str">
            <v>Philonthus punctus </v>
          </cell>
        </row>
        <row r="5079">
          <cell r="A5079" t="str">
            <v>Philonthus quisquiliarius </v>
          </cell>
          <cell r="B5079" t="str">
            <v>Rove beetles (macrostaphs)</v>
          </cell>
          <cell r="C5079" t="str">
            <v>Coleoptera</v>
          </cell>
          <cell r="D5079" t="str">
            <v>Philonthus quisquiliarius</v>
          </cell>
          <cell r="E5079" t="str">
            <v>LC</v>
          </cell>
          <cell r="F5079" t="str">
            <v>Boyce, 2022</v>
          </cell>
          <cell r="G5079" t="str">
            <v>NBNSYS0000023476</v>
          </cell>
          <cell r="H5079" t="str">
            <v>Philonthus quisquiliarius </v>
          </cell>
        </row>
        <row r="5080">
          <cell r="A5080" t="str">
            <v>Philonthus rectangulus </v>
          </cell>
          <cell r="B5080" t="str">
            <v>Rove beetles (macrostaphs)</v>
          </cell>
          <cell r="C5080" t="str">
            <v>Coleoptera</v>
          </cell>
          <cell r="D5080" t="str">
            <v>Philonthus rectangulus</v>
          </cell>
          <cell r="E5080" t="str">
            <v>LC</v>
          </cell>
          <cell r="F5080" t="str">
            <v>Boyce, 2022</v>
          </cell>
          <cell r="G5080" t="str">
            <v>NBNSYS0000023477</v>
          </cell>
          <cell r="H5080" t="str">
            <v>Philonthus rectangulus </v>
          </cell>
        </row>
        <row r="5081">
          <cell r="A5081" t="str">
            <v>Philonthus rotundicollis </v>
          </cell>
          <cell r="B5081" t="str">
            <v>Rove beetles (macrostaphs)</v>
          </cell>
          <cell r="C5081" t="str">
            <v>Coleoptera</v>
          </cell>
          <cell r="D5081" t="str">
            <v>Philonthus rotundicollis</v>
          </cell>
          <cell r="E5081" t="str">
            <v>LC</v>
          </cell>
          <cell r="F5081" t="str">
            <v>Boyce, 2022</v>
          </cell>
          <cell r="G5081" t="str">
            <v>NHMSYS0001719543</v>
          </cell>
          <cell r="H5081" t="str">
            <v>Philonthus rotundicollis </v>
          </cell>
        </row>
        <row r="5082">
          <cell r="A5082" t="str">
            <v>Philonthus rubripennis </v>
          </cell>
          <cell r="B5082" t="str">
            <v>Rove beetles (macrostaphs)</v>
          </cell>
          <cell r="C5082" t="str">
            <v>Coleoptera</v>
          </cell>
          <cell r="D5082" t="str">
            <v>Philonthus rubripennis</v>
          </cell>
          <cell r="E5082" t="str">
            <v>LC</v>
          </cell>
          <cell r="F5082" t="str">
            <v>Boyce, 2022</v>
          </cell>
          <cell r="G5082" t="str">
            <v>NBNSYS0000023479</v>
          </cell>
          <cell r="H5082" t="str">
            <v>Philonthus rubripennis </v>
          </cell>
        </row>
        <row r="5083">
          <cell r="A5083" t="str">
            <v>Philonthus rufipes </v>
          </cell>
          <cell r="B5083" t="str">
            <v>Rove beetles (macrostaphs)</v>
          </cell>
          <cell r="C5083" t="str">
            <v>Coleoptera</v>
          </cell>
          <cell r="D5083" t="str">
            <v>Philonthus rufipes</v>
          </cell>
          <cell r="E5083" t="str">
            <v>VU</v>
          </cell>
          <cell r="F5083" t="str">
            <v>Boyce, 2022</v>
          </cell>
          <cell r="G5083" t="str">
            <v>NHMSYS0001719544</v>
          </cell>
          <cell r="H5083" t="str">
            <v>Philonthus rufipes </v>
          </cell>
        </row>
        <row r="5084">
          <cell r="A5084" t="str">
            <v>Philonthus sanguinolentus </v>
          </cell>
          <cell r="B5084" t="str">
            <v>Rove beetles (macrostaphs)</v>
          </cell>
          <cell r="C5084" t="str">
            <v>Coleoptera</v>
          </cell>
          <cell r="D5084" t="str">
            <v>Philonthus sanguinolentus</v>
          </cell>
          <cell r="E5084" t="str">
            <v>LC</v>
          </cell>
          <cell r="F5084" t="str">
            <v>Boyce, 2022</v>
          </cell>
          <cell r="G5084" t="str">
            <v>NBNSYS0000023480</v>
          </cell>
          <cell r="H5084" t="str">
            <v>Philonthus sanguinolentus </v>
          </cell>
        </row>
        <row r="5085">
          <cell r="A5085" t="str">
            <v>Philonthus splendens </v>
          </cell>
          <cell r="B5085" t="str">
            <v>Rove beetles (macrostaphs)</v>
          </cell>
          <cell r="C5085" t="str">
            <v>Coleoptera</v>
          </cell>
          <cell r="D5085" t="str">
            <v>Philonthus splendens</v>
          </cell>
          <cell r="E5085" t="str">
            <v>LC</v>
          </cell>
          <cell r="F5085" t="str">
            <v>Boyce, 2022</v>
          </cell>
          <cell r="G5085" t="str">
            <v>NHMSYS0001719545</v>
          </cell>
          <cell r="H5085" t="str">
            <v>Philonthus splendens </v>
          </cell>
        </row>
        <row r="5086">
          <cell r="A5086" t="str">
            <v>Philonthus succicola </v>
          </cell>
          <cell r="B5086" t="str">
            <v>Rove beetles (macrostaphs)</v>
          </cell>
          <cell r="C5086" t="str">
            <v>Coleoptera</v>
          </cell>
          <cell r="D5086" t="str">
            <v>Philonthus succicola</v>
          </cell>
          <cell r="E5086" t="str">
            <v>LC</v>
          </cell>
          <cell r="F5086" t="str">
            <v>Boyce, 2022</v>
          </cell>
          <cell r="G5086" t="str">
            <v>NHMSYS0001719546</v>
          </cell>
          <cell r="H5086" t="str">
            <v>Philonthus succicola </v>
          </cell>
        </row>
        <row r="5087">
          <cell r="A5087" t="str">
            <v>Philonthus tenuicornis </v>
          </cell>
          <cell r="B5087" t="str">
            <v>Rove beetles (macrostaphs)</v>
          </cell>
          <cell r="C5087" t="str">
            <v>Coleoptera</v>
          </cell>
          <cell r="D5087" t="str">
            <v>Philonthus tenuicornis</v>
          </cell>
          <cell r="E5087" t="str">
            <v>LC</v>
          </cell>
          <cell r="F5087" t="str">
            <v>Boyce, 2022</v>
          </cell>
          <cell r="G5087" t="str">
            <v>NBNSYS0000023486</v>
          </cell>
          <cell r="H5087" t="str">
            <v>Philonthus tenuicornis </v>
          </cell>
        </row>
        <row r="5088">
          <cell r="A5088" t="str">
            <v>Philonthus umbratilis </v>
          </cell>
          <cell r="B5088" t="str">
            <v>Rove beetles (macrostaphs)</v>
          </cell>
          <cell r="C5088" t="str">
            <v>Coleoptera</v>
          </cell>
          <cell r="D5088" t="str">
            <v>Philonthus umbratilis</v>
          </cell>
          <cell r="E5088" t="str">
            <v>LC</v>
          </cell>
          <cell r="F5088" t="str">
            <v>Boyce, 2022</v>
          </cell>
          <cell r="G5088" t="str">
            <v>NBNSYS0000023487</v>
          </cell>
          <cell r="H5088" t="str">
            <v>Philonthus umbratilis </v>
          </cell>
        </row>
        <row r="5089">
          <cell r="A5089" t="str">
            <v>Philonthus varians </v>
          </cell>
          <cell r="B5089" t="str">
            <v>Rove beetles (macrostaphs)</v>
          </cell>
          <cell r="C5089" t="str">
            <v>Coleoptera</v>
          </cell>
          <cell r="D5089" t="str">
            <v>Philonthus varians</v>
          </cell>
          <cell r="E5089" t="str">
            <v>LC</v>
          </cell>
          <cell r="F5089" t="str">
            <v>Boyce, 2022</v>
          </cell>
          <cell r="G5089" t="str">
            <v>NBNSYS0000023488</v>
          </cell>
          <cell r="H5089" t="str">
            <v>Philonthus varians </v>
          </cell>
        </row>
        <row r="5090">
          <cell r="A5090" t="str">
            <v>Philonthus ventralis </v>
          </cell>
          <cell r="B5090" t="str">
            <v>Rove beetles (macrostaphs)</v>
          </cell>
          <cell r="C5090" t="str">
            <v>Coleoptera</v>
          </cell>
          <cell r="D5090" t="str">
            <v>Philonthus ventralis</v>
          </cell>
          <cell r="E5090" t="str">
            <v>LC</v>
          </cell>
          <cell r="F5090" t="str">
            <v>Boyce, 2022</v>
          </cell>
          <cell r="G5090" t="str">
            <v>NBNSYS0000023491</v>
          </cell>
          <cell r="H5090" t="str">
            <v>Philonthus ventralis </v>
          </cell>
        </row>
        <row r="5091">
          <cell r="A5091" t="str">
            <v>Philorinum sordidum </v>
          </cell>
          <cell r="B5091" t="str">
            <v>Rove beetles (macrostaphs)</v>
          </cell>
          <cell r="C5091" t="str">
            <v>Coleoptera</v>
          </cell>
          <cell r="D5091" t="str">
            <v>Philorinum sordidum</v>
          </cell>
          <cell r="E5091" t="str">
            <v>LC</v>
          </cell>
          <cell r="F5091" t="str">
            <v>Boyce, 2022</v>
          </cell>
          <cell r="G5091" t="str">
            <v>NBNSYS0000023171</v>
          </cell>
          <cell r="H5091" t="str">
            <v>Philorinum sordidum </v>
          </cell>
        </row>
        <row r="5092">
          <cell r="A5092" t="str">
            <v>Phloeocharis subtilissima </v>
          </cell>
          <cell r="B5092" t="str">
            <v>Rove beetles (macrostaphs)</v>
          </cell>
          <cell r="C5092" t="str">
            <v>Coleoptera</v>
          </cell>
          <cell r="D5092" t="str">
            <v>Phloeocharis subtilissima</v>
          </cell>
          <cell r="E5092" t="str">
            <v>LC</v>
          </cell>
          <cell r="F5092" t="str">
            <v>Boyce, 2022</v>
          </cell>
          <cell r="G5092" t="str">
            <v>NBNSYS0000023175</v>
          </cell>
          <cell r="H5092" t="str">
            <v>Phloeocharis subtilissima </v>
          </cell>
        </row>
        <row r="5093">
          <cell r="A5093" t="str">
            <v>Phloeonomus punctipennis </v>
          </cell>
          <cell r="B5093" t="str">
            <v>Rove beetles (macrostaphs)</v>
          </cell>
          <cell r="C5093" t="str">
            <v>Coleoptera</v>
          </cell>
          <cell r="D5093" t="str">
            <v>Phloeonomus punctipennis</v>
          </cell>
          <cell r="E5093" t="str">
            <v>LC</v>
          </cell>
          <cell r="F5093" t="str">
            <v>Boyce, 2022</v>
          </cell>
          <cell r="G5093" t="str">
            <v>NHMSYS0001719563</v>
          </cell>
          <cell r="H5093" t="str">
            <v>Phloeonomus punctipennis </v>
          </cell>
        </row>
        <row r="5094">
          <cell r="A5094" t="str">
            <v>Phloeonomus pusillus </v>
          </cell>
          <cell r="B5094" t="str">
            <v>Rove beetles (macrostaphs)</v>
          </cell>
          <cell r="C5094" t="str">
            <v>Coleoptera</v>
          </cell>
          <cell r="D5094" t="str">
            <v>Phloeonomus pusillus</v>
          </cell>
          <cell r="E5094" t="str">
            <v>LC</v>
          </cell>
          <cell r="F5094" t="str">
            <v>Boyce, 2022</v>
          </cell>
          <cell r="G5094" t="str">
            <v>NBNSYS0000023163</v>
          </cell>
          <cell r="H5094" t="str">
            <v>Phloeonomus pusillus </v>
          </cell>
        </row>
        <row r="5095">
          <cell r="A5095" t="str">
            <v>Phloeostiba lapponica </v>
          </cell>
          <cell r="B5095" t="str">
            <v>Rove beetles (macrostaphs)</v>
          </cell>
          <cell r="C5095" t="str">
            <v>Coleoptera</v>
          </cell>
          <cell r="D5095" t="str">
            <v>Phloeostiba lapponica</v>
          </cell>
          <cell r="E5095" t="str">
            <v>LC</v>
          </cell>
          <cell r="F5095" t="str">
            <v>Boyce, 2022</v>
          </cell>
          <cell r="G5095" t="str">
            <v>NBNSYS0000023164</v>
          </cell>
          <cell r="H5095" t="str">
            <v>Phloeostiba lapponica </v>
          </cell>
        </row>
        <row r="5096">
          <cell r="A5096" t="str">
            <v>Phloeostiba plana </v>
          </cell>
          <cell r="B5096" t="str">
            <v>Rove beetles (macrostaphs)</v>
          </cell>
          <cell r="C5096" t="str">
            <v>Coleoptera</v>
          </cell>
          <cell r="D5096" t="str">
            <v>Phloeostiba plana</v>
          </cell>
          <cell r="E5096" t="str">
            <v>LC</v>
          </cell>
          <cell r="F5096" t="str">
            <v>Boyce, 2022</v>
          </cell>
          <cell r="G5096" t="str">
            <v>NBNSYS0000023165</v>
          </cell>
          <cell r="H5096" t="str">
            <v>Phloeostiba plana </v>
          </cell>
        </row>
        <row r="5097">
          <cell r="A5097" t="str">
            <v>Phyllodrepa floralis </v>
          </cell>
          <cell r="B5097" t="str">
            <v>Rove beetles (macrostaphs)</v>
          </cell>
          <cell r="C5097" t="str">
            <v>Coleoptera</v>
          </cell>
          <cell r="D5097" t="str">
            <v>Phyllodrepa floralis</v>
          </cell>
          <cell r="E5097" t="str">
            <v>LC</v>
          </cell>
          <cell r="F5097" t="str">
            <v>Boyce, 2022</v>
          </cell>
          <cell r="G5097" t="str">
            <v>NBNSYS0000023136</v>
          </cell>
          <cell r="H5097" t="str">
            <v>Phyllodrepa floralis </v>
          </cell>
        </row>
        <row r="5098">
          <cell r="A5098" t="str">
            <v>Phyllodrepa nigra </v>
          </cell>
          <cell r="B5098" t="str">
            <v>Rove beetles (macrostaphs)</v>
          </cell>
          <cell r="C5098" t="str">
            <v>Coleoptera</v>
          </cell>
          <cell r="D5098" t="str">
            <v>Phyllodrepa nigra</v>
          </cell>
          <cell r="E5098" t="str">
            <v>CR</v>
          </cell>
          <cell r="F5098" t="str">
            <v>Boyce, 2022</v>
          </cell>
          <cell r="G5098" t="str">
            <v>NBNSYS0000023137</v>
          </cell>
          <cell r="H5098" t="str">
            <v>Phyllodrepa nigra </v>
          </cell>
        </row>
        <row r="5099">
          <cell r="A5099" t="str">
            <v>Phyllodrepa puberula </v>
          </cell>
          <cell r="B5099" t="str">
            <v>Rove beetles (macrostaphs)</v>
          </cell>
          <cell r="C5099" t="str">
            <v>Coleoptera</v>
          </cell>
          <cell r="D5099" t="str">
            <v>Phyllodrepa puberula</v>
          </cell>
          <cell r="E5099" t="str">
            <v>NT</v>
          </cell>
          <cell r="F5099" t="str">
            <v>Boyce, 2022</v>
          </cell>
          <cell r="G5099" t="str">
            <v>NBNSYS0000023138</v>
          </cell>
          <cell r="H5099" t="str">
            <v>Phyllodrepa puberula </v>
          </cell>
        </row>
        <row r="5100">
          <cell r="A5100" t="str">
            <v>Phyllodrepa salicis </v>
          </cell>
          <cell r="B5100" t="str">
            <v>Rove beetles (macrostaphs)</v>
          </cell>
          <cell r="C5100" t="str">
            <v>Coleoptera</v>
          </cell>
          <cell r="D5100" t="str">
            <v>Phyllodrepa salicis</v>
          </cell>
          <cell r="E5100" t="str">
            <v>NT</v>
          </cell>
          <cell r="F5100" t="str">
            <v>Boyce, 2022</v>
          </cell>
          <cell r="G5100" t="str">
            <v>NBNSYS0000023139</v>
          </cell>
          <cell r="H5100" t="str">
            <v>Phyllodrepa salicis </v>
          </cell>
        </row>
        <row r="5101">
          <cell r="A5101" t="str">
            <v>Phyllodrepoidea crenata </v>
          </cell>
          <cell r="B5101" t="str">
            <v>Rove beetles (macrostaphs)</v>
          </cell>
          <cell r="C5101" t="str">
            <v>Coleoptera</v>
          </cell>
          <cell r="D5101" t="str">
            <v>Phyllodrepoidea crenata</v>
          </cell>
          <cell r="E5101" t="str">
            <v>LC</v>
          </cell>
          <cell r="F5101" t="str">
            <v>Boyce, 2022</v>
          </cell>
          <cell r="G5101" t="str">
            <v>NHMSYS0001719594</v>
          </cell>
          <cell r="H5101" t="str">
            <v>Phyllodrepoidea crenata </v>
          </cell>
        </row>
        <row r="5102">
          <cell r="A5102" t="str">
            <v>Planeustomus palpalis </v>
          </cell>
          <cell r="B5102" t="str">
            <v>Rove beetles (macrostaphs)</v>
          </cell>
          <cell r="C5102" t="str">
            <v>Coleoptera</v>
          </cell>
          <cell r="D5102" t="str">
            <v>Planeustomus palpalis</v>
          </cell>
          <cell r="E5102" t="str">
            <v>LC</v>
          </cell>
          <cell r="F5102" t="str">
            <v>Boyce, 2022</v>
          </cell>
          <cell r="G5102" t="str">
            <v>NBNSYS0000023181</v>
          </cell>
          <cell r="H5102" t="str">
            <v>Planeustomus palpalis </v>
          </cell>
        </row>
        <row r="5103">
          <cell r="A5103" t="str">
            <v>Platydomene angusticollis </v>
          </cell>
          <cell r="B5103" t="str">
            <v>Rove beetles (macrostaphs)</v>
          </cell>
          <cell r="C5103" t="str">
            <v>Coleoptera</v>
          </cell>
          <cell r="D5103" t="str">
            <v>Platydomene angusticollis</v>
          </cell>
          <cell r="E5103" t="str">
            <v>LC</v>
          </cell>
          <cell r="F5103" t="str">
            <v>Boyce, 2022</v>
          </cell>
          <cell r="G5103" t="str">
            <v>NHMSYS0021467898</v>
          </cell>
          <cell r="H5103" t="str">
            <v>Platydomene angusticollis </v>
          </cell>
        </row>
        <row r="5104">
          <cell r="A5104" t="str">
            <v>Platydracus fulvipes </v>
          </cell>
          <cell r="B5104" t="str">
            <v>Rove beetles (macrostaphs)</v>
          </cell>
          <cell r="C5104" t="str">
            <v>Coleoptera</v>
          </cell>
          <cell r="D5104" t="str">
            <v>Platydracus fulvipes</v>
          </cell>
          <cell r="E5104" t="str">
            <v>LC</v>
          </cell>
          <cell r="F5104" t="str">
            <v>Boyce, 2022</v>
          </cell>
          <cell r="G5104" t="str">
            <v>NBNSYS0000023510</v>
          </cell>
          <cell r="H5104" t="str">
            <v>Platydracus fulvipes </v>
          </cell>
        </row>
        <row r="5105">
          <cell r="A5105" t="str">
            <v>Platydracus latebricola </v>
          </cell>
          <cell r="B5105" t="str">
            <v>Rove beetles (macrostaphs)</v>
          </cell>
          <cell r="C5105" t="str">
            <v>Coleoptera</v>
          </cell>
          <cell r="D5105" t="str">
            <v>Platydracus latebricola</v>
          </cell>
          <cell r="E5105" t="str">
            <v>LC</v>
          </cell>
          <cell r="F5105" t="str">
            <v>Boyce, 2022</v>
          </cell>
          <cell r="G5105" t="str">
            <v>NBNSYS0000023511</v>
          </cell>
          <cell r="H5105" t="str">
            <v>Platydracus latebricola </v>
          </cell>
        </row>
        <row r="5106">
          <cell r="A5106" t="str">
            <v>Platydracus stercorarius </v>
          </cell>
          <cell r="B5106" t="str">
            <v>Rove beetles (macrostaphs)</v>
          </cell>
          <cell r="C5106" t="str">
            <v>Coleoptera</v>
          </cell>
          <cell r="D5106" t="str">
            <v>Platydracus stercorarius</v>
          </cell>
          <cell r="E5106" t="str">
            <v>LC</v>
          </cell>
          <cell r="F5106" t="str">
            <v>Boyce, 2022</v>
          </cell>
          <cell r="G5106" t="str">
            <v>NBNSYS0000023513</v>
          </cell>
          <cell r="H5106" t="str">
            <v>Platydracus stercorarius </v>
          </cell>
        </row>
        <row r="5107">
          <cell r="A5107" t="str">
            <v>Platystethus alutaceus </v>
          </cell>
          <cell r="B5107" t="str">
            <v>Rove beetles (macrostaphs)</v>
          </cell>
          <cell r="C5107" t="str">
            <v>Coleoptera</v>
          </cell>
          <cell r="D5107" t="str">
            <v>Platystethus alutaceus</v>
          </cell>
          <cell r="E5107" t="str">
            <v>LC</v>
          </cell>
          <cell r="F5107" t="str">
            <v>Boyce, 2022</v>
          </cell>
          <cell r="G5107" t="str">
            <v>NBNSYS0000023239</v>
          </cell>
          <cell r="H5107" t="str">
            <v>Platystethus alutaceus </v>
          </cell>
        </row>
        <row r="5108">
          <cell r="A5108" t="str">
            <v>Platystethus arenarius </v>
          </cell>
          <cell r="B5108" t="str">
            <v>Rove beetles (macrostaphs)</v>
          </cell>
          <cell r="C5108" t="str">
            <v>Coleoptera</v>
          </cell>
          <cell r="D5108" t="str">
            <v>Platystethus arenarius</v>
          </cell>
          <cell r="E5108" t="str">
            <v>LC</v>
          </cell>
          <cell r="F5108" t="str">
            <v>Boyce, 2022</v>
          </cell>
          <cell r="G5108" t="str">
            <v>NBNSYS0000023240</v>
          </cell>
          <cell r="H5108" t="str">
            <v>Platystethus arenarius </v>
          </cell>
        </row>
        <row r="5109">
          <cell r="A5109" t="str">
            <v>Platystethus capito </v>
          </cell>
          <cell r="B5109" t="str">
            <v>Rove beetles (macrostaphs)</v>
          </cell>
          <cell r="C5109" t="str">
            <v>Coleoptera</v>
          </cell>
          <cell r="D5109" t="str">
            <v>Platystethus capito</v>
          </cell>
          <cell r="E5109" t="str">
            <v>LC</v>
          </cell>
          <cell r="F5109" t="str">
            <v>Boyce, 2022</v>
          </cell>
          <cell r="G5109" t="str">
            <v>NBNSYS0000023241</v>
          </cell>
          <cell r="H5109" t="str">
            <v>Platystethus capito </v>
          </cell>
        </row>
        <row r="5110">
          <cell r="A5110" t="str">
            <v>Platystethus cornutus </v>
          </cell>
          <cell r="B5110" t="str">
            <v>Rove beetles (macrostaphs)</v>
          </cell>
          <cell r="C5110" t="str">
            <v>Coleoptera</v>
          </cell>
          <cell r="D5110" t="str">
            <v>Platystethus cornutus</v>
          </cell>
          <cell r="E5110" t="str">
            <v>LC</v>
          </cell>
          <cell r="F5110" t="str">
            <v>Boyce, 2022</v>
          </cell>
          <cell r="G5110" t="str">
            <v>NBNSYS0000023242</v>
          </cell>
          <cell r="H5110" t="str">
            <v>Platystethus cornutus </v>
          </cell>
        </row>
        <row r="5111">
          <cell r="A5111" t="str">
            <v>Platystethus degener </v>
          </cell>
          <cell r="B5111" t="str">
            <v>Rove beetles (macrostaphs)</v>
          </cell>
          <cell r="C5111" t="str">
            <v>Coleoptera</v>
          </cell>
          <cell r="D5111" t="str">
            <v>Platystethus degener</v>
          </cell>
          <cell r="E5111" t="str">
            <v>LC</v>
          </cell>
          <cell r="F5111" t="str">
            <v>Boyce, 2022</v>
          </cell>
          <cell r="G5111" t="str">
            <v>NBNSYS0000023243</v>
          </cell>
          <cell r="H5111" t="str">
            <v>Platystethus degener </v>
          </cell>
        </row>
        <row r="5112">
          <cell r="A5112" t="str">
            <v>Platystethus nitens </v>
          </cell>
          <cell r="B5112" t="str">
            <v>Rove beetles (macrostaphs)</v>
          </cell>
          <cell r="C5112" t="str">
            <v>Coleoptera</v>
          </cell>
          <cell r="D5112" t="str">
            <v>Platystethus nitens</v>
          </cell>
          <cell r="E5112" t="str">
            <v>LC</v>
          </cell>
          <cell r="F5112" t="str">
            <v>Boyce, 2022</v>
          </cell>
          <cell r="G5112" t="str">
            <v>NBNSYS0000023244</v>
          </cell>
          <cell r="H5112" t="str">
            <v>Platystethus nitens </v>
          </cell>
        </row>
        <row r="5113">
          <cell r="A5113" t="str">
            <v>Platystethus nodifrons </v>
          </cell>
          <cell r="B5113" t="str">
            <v>Rove beetles (macrostaphs)</v>
          </cell>
          <cell r="C5113" t="str">
            <v>Coleoptera</v>
          </cell>
          <cell r="D5113" t="str">
            <v>Platystethus nodifrons</v>
          </cell>
          <cell r="E5113" t="str">
            <v>LC</v>
          </cell>
          <cell r="F5113" t="str">
            <v>Boyce, 2022</v>
          </cell>
          <cell r="G5113" t="str">
            <v>NBNSYS0000023245</v>
          </cell>
          <cell r="H5113" t="str">
            <v>Platystethus nodifrons </v>
          </cell>
        </row>
        <row r="5114">
          <cell r="A5114" t="str">
            <v>Proteinus atomarius </v>
          </cell>
          <cell r="B5114" t="str">
            <v>Rove beetles (macrostaphs)</v>
          </cell>
          <cell r="C5114" t="str">
            <v>Coleoptera</v>
          </cell>
          <cell r="D5114" t="str">
            <v>Proteinus atomarius</v>
          </cell>
          <cell r="E5114" t="str">
            <v>VU</v>
          </cell>
          <cell r="F5114" t="str">
            <v>Boyce, 2022</v>
          </cell>
          <cell r="G5114" t="str">
            <v>NBNSYS0000023102</v>
          </cell>
          <cell r="H5114" t="str">
            <v>Proteinus atomarius </v>
          </cell>
        </row>
        <row r="5115">
          <cell r="A5115" t="str">
            <v>Proteinus brachypterus </v>
          </cell>
          <cell r="B5115" t="str">
            <v>Rove beetles (macrostaphs)</v>
          </cell>
          <cell r="C5115" t="str">
            <v>Coleoptera</v>
          </cell>
          <cell r="D5115" t="str">
            <v>Proteinus brachypterus</v>
          </cell>
          <cell r="E5115" t="str">
            <v>LC</v>
          </cell>
          <cell r="F5115" t="str">
            <v>Boyce, 2022</v>
          </cell>
          <cell r="G5115" t="str">
            <v>NHMSYS0001719694</v>
          </cell>
          <cell r="H5115" t="str">
            <v>Proteinus brachypterus </v>
          </cell>
        </row>
        <row r="5116">
          <cell r="A5116" t="str">
            <v>Proteinus crenulatus </v>
          </cell>
          <cell r="B5116" t="str">
            <v>Rove beetles (macrostaphs)</v>
          </cell>
          <cell r="C5116" t="str">
            <v>Coleoptera</v>
          </cell>
          <cell r="D5116" t="str">
            <v>Proteinus crenulatus</v>
          </cell>
          <cell r="E5116" t="str">
            <v>LC</v>
          </cell>
          <cell r="F5116" t="str">
            <v>Boyce, 2022</v>
          </cell>
          <cell r="G5116" t="str">
            <v>NHMSYS0001719695</v>
          </cell>
          <cell r="H5116" t="str">
            <v>Proteinus crenulatus </v>
          </cell>
        </row>
        <row r="5117">
          <cell r="A5117" t="str">
            <v>Proteinus laevigatus </v>
          </cell>
          <cell r="B5117" t="str">
            <v>Rove beetles (macrostaphs)</v>
          </cell>
          <cell r="C5117" t="str">
            <v>Coleoptera</v>
          </cell>
          <cell r="D5117" t="str">
            <v>Proteinus laevigatus</v>
          </cell>
          <cell r="E5117" t="str">
            <v>LC</v>
          </cell>
          <cell r="F5117" t="str">
            <v>Boyce, 2022</v>
          </cell>
          <cell r="G5117" t="str">
            <v>NHMSYS0001719696</v>
          </cell>
          <cell r="H5117" t="str">
            <v>Proteinus laevigatus </v>
          </cell>
        </row>
        <row r="5118">
          <cell r="A5118" t="str">
            <v>Proteinus ovalis </v>
          </cell>
          <cell r="B5118" t="str">
            <v>Rove beetles (macrostaphs)</v>
          </cell>
          <cell r="C5118" t="str">
            <v>Coleoptera</v>
          </cell>
          <cell r="D5118" t="str">
            <v>Proteinus ovalis</v>
          </cell>
          <cell r="E5118" t="str">
            <v>LC</v>
          </cell>
          <cell r="F5118" t="str">
            <v>Boyce, 2022</v>
          </cell>
          <cell r="G5118" t="str">
            <v>NBNSYS0000023106</v>
          </cell>
          <cell r="H5118" t="str">
            <v>Proteinus ovalis </v>
          </cell>
        </row>
        <row r="5119">
          <cell r="A5119" t="str">
            <v>Pseudomedon obscurellus </v>
          </cell>
          <cell r="B5119" t="str">
            <v>Rove beetles (macrostaphs)</v>
          </cell>
          <cell r="C5119" t="str">
            <v>Coleoptera</v>
          </cell>
          <cell r="D5119" t="str">
            <v>Pseudomedon obscurellus</v>
          </cell>
          <cell r="E5119" t="str">
            <v>LC</v>
          </cell>
          <cell r="F5119" t="str">
            <v>Boyce, 2022</v>
          </cell>
          <cell r="G5119" t="str">
            <v>NHMSYS0001719719</v>
          </cell>
          <cell r="H5119" t="str">
            <v>Pseudomedon obscurellus </v>
          </cell>
        </row>
        <row r="5120">
          <cell r="A5120" t="str">
            <v>Pseudomedon obsoletus </v>
          </cell>
          <cell r="B5120" t="str">
            <v>Rove beetles (macrostaphs)</v>
          </cell>
          <cell r="C5120" t="str">
            <v>Coleoptera</v>
          </cell>
          <cell r="D5120" t="str">
            <v>Pseudomedon obsoletus</v>
          </cell>
          <cell r="E5120" t="str">
            <v>LC</v>
          </cell>
          <cell r="F5120" t="str">
            <v>Boyce, 2022</v>
          </cell>
          <cell r="G5120" t="str">
            <v>NHMSYS0001719720</v>
          </cell>
          <cell r="H5120" t="str">
            <v>Pseudomedon obsoletus </v>
          </cell>
        </row>
        <row r="5121">
          <cell r="A5121" t="str">
            <v>Pseudopsis sulcata </v>
          </cell>
          <cell r="B5121" t="str">
            <v>Rove beetles (macrostaphs)</v>
          </cell>
          <cell r="C5121" t="str">
            <v>Coleoptera</v>
          </cell>
          <cell r="D5121" t="str">
            <v>Pseudopsis sulcata</v>
          </cell>
          <cell r="E5121" t="str">
            <v>NT</v>
          </cell>
          <cell r="F5121" t="str">
            <v>Boyce, 2022</v>
          </cell>
          <cell r="G5121" t="str">
            <v>NBNSYS0000023176</v>
          </cell>
          <cell r="H5121" t="str">
            <v>Pseudopsis sulcata </v>
          </cell>
        </row>
        <row r="5122">
          <cell r="A5122" t="str">
            <v>Quedionuchus plagiatus </v>
          </cell>
          <cell r="B5122" t="str">
            <v>Rove beetles (macrostaphs)</v>
          </cell>
          <cell r="C5122" t="str">
            <v>Coleoptera</v>
          </cell>
          <cell r="D5122" t="str">
            <v>Quedionuchus plagiatus</v>
          </cell>
          <cell r="E5122" t="str">
            <v>LC</v>
          </cell>
          <cell r="F5122" t="str">
            <v>Boyce, 2022</v>
          </cell>
          <cell r="G5122" t="str">
            <v>NHMSYS0021419909</v>
          </cell>
          <cell r="H5122" t="str">
            <v>Quedionuchus plagiatus </v>
          </cell>
        </row>
        <row r="5123">
          <cell r="A5123" t="str">
            <v>Quedius aetolicus </v>
          </cell>
          <cell r="B5123" t="str">
            <v>Rove beetles (macrostaphs)</v>
          </cell>
          <cell r="C5123" t="str">
            <v>Coleoptera</v>
          </cell>
          <cell r="D5123" t="str">
            <v>Quedius aetolicus</v>
          </cell>
          <cell r="E5123" t="str">
            <v>LC</v>
          </cell>
          <cell r="F5123" t="str">
            <v>Boyce, 2022</v>
          </cell>
          <cell r="G5123" t="str">
            <v>NBNSYS0000023540</v>
          </cell>
          <cell r="H5123" t="str">
            <v>Quedius aetolicus </v>
          </cell>
        </row>
        <row r="5124">
          <cell r="A5124" t="str">
            <v>Quedius auricomus </v>
          </cell>
          <cell r="B5124" t="str">
            <v>Rove beetles (macrostaphs)</v>
          </cell>
          <cell r="C5124" t="str">
            <v>Coleoptera</v>
          </cell>
          <cell r="D5124" t="str">
            <v>Quedius auricomus</v>
          </cell>
          <cell r="E5124" t="str">
            <v>LC</v>
          </cell>
          <cell r="F5124" t="str">
            <v>Boyce, 2022</v>
          </cell>
          <cell r="G5124" t="str">
            <v>NBNSYS0000023542</v>
          </cell>
          <cell r="H5124" t="str">
            <v>Quedius auricomus </v>
          </cell>
        </row>
        <row r="5125">
          <cell r="A5125" t="str">
            <v>Quedius balticus </v>
          </cell>
          <cell r="B5125" t="str">
            <v>Rove beetles (macrostaphs)</v>
          </cell>
          <cell r="C5125" t="str">
            <v>Coleoptera</v>
          </cell>
          <cell r="D5125" t="str">
            <v>Quedius balticus</v>
          </cell>
          <cell r="E5125" t="str">
            <v>LC</v>
          </cell>
          <cell r="F5125" t="str">
            <v>Boyce, 2022</v>
          </cell>
          <cell r="G5125" t="str">
            <v>NBNSYS0000023543</v>
          </cell>
          <cell r="H5125" t="str">
            <v>Quedius balticus </v>
          </cell>
        </row>
        <row r="5126">
          <cell r="A5126" t="str">
            <v>Quedius boopoides </v>
          </cell>
          <cell r="B5126" t="str">
            <v>Rove beetles (macrostaphs)</v>
          </cell>
          <cell r="C5126" t="str">
            <v>Coleoptera</v>
          </cell>
          <cell r="D5126" t="str">
            <v>Quedius boopoides</v>
          </cell>
          <cell r="E5126" t="str">
            <v>LC</v>
          </cell>
          <cell r="F5126" t="str">
            <v>Boyce, 2022</v>
          </cell>
          <cell r="G5126" t="str">
            <v>NBNSYS0000023544</v>
          </cell>
          <cell r="H5126" t="str">
            <v>Quedius boopoides </v>
          </cell>
        </row>
        <row r="5127">
          <cell r="A5127" t="str">
            <v>Quedius boops </v>
          </cell>
          <cell r="B5127" t="str">
            <v>Rove beetles (macrostaphs)</v>
          </cell>
          <cell r="C5127" t="str">
            <v>Coleoptera</v>
          </cell>
          <cell r="D5127" t="str">
            <v>Quedius boops</v>
          </cell>
          <cell r="E5127" t="str">
            <v>LC</v>
          </cell>
          <cell r="F5127" t="str">
            <v>Boyce, 2022</v>
          </cell>
          <cell r="G5127" t="str">
            <v>NBNSYS0000023545</v>
          </cell>
          <cell r="H5127" t="str">
            <v>Quedius boops </v>
          </cell>
        </row>
        <row r="5128">
          <cell r="A5128" t="str">
            <v>Quedius brevicornis </v>
          </cell>
          <cell r="B5128" t="str">
            <v>Rove beetles (macrostaphs)</v>
          </cell>
          <cell r="C5128" t="str">
            <v>Coleoptera</v>
          </cell>
          <cell r="D5128" t="str">
            <v>Quedius brevicornis</v>
          </cell>
          <cell r="E5128" t="str">
            <v>LC</v>
          </cell>
          <cell r="F5128" t="str">
            <v>Boyce, 2022</v>
          </cell>
          <cell r="G5128" t="str">
            <v>NBNSYS0000023546</v>
          </cell>
          <cell r="H5128" t="str">
            <v>Quedius brevicornis </v>
          </cell>
        </row>
        <row r="5129">
          <cell r="A5129" t="str">
            <v>Quedius brevis </v>
          </cell>
          <cell r="B5129" t="str">
            <v>Rove beetles (macrostaphs)</v>
          </cell>
          <cell r="C5129" t="str">
            <v>Coleoptera</v>
          </cell>
          <cell r="D5129" t="str">
            <v>Quedius brevis</v>
          </cell>
          <cell r="E5129" t="str">
            <v>LC</v>
          </cell>
          <cell r="F5129" t="str">
            <v>Boyce, 2022</v>
          </cell>
          <cell r="G5129" t="str">
            <v>NBNSYS0000023547</v>
          </cell>
          <cell r="H5129" t="str">
            <v>Quedius brevis </v>
          </cell>
        </row>
        <row r="5130">
          <cell r="A5130" t="str">
            <v>Quedius cinctus </v>
          </cell>
          <cell r="B5130" t="str">
            <v>Rove beetles (macrostaphs)</v>
          </cell>
          <cell r="C5130" t="str">
            <v>Coleoptera</v>
          </cell>
          <cell r="D5130" t="str">
            <v>Quedius cinctus</v>
          </cell>
          <cell r="E5130" t="str">
            <v>LC</v>
          </cell>
          <cell r="F5130" t="str">
            <v>Boyce, 2022</v>
          </cell>
          <cell r="G5130" t="str">
            <v>NBNSYS0000023548</v>
          </cell>
          <cell r="H5130" t="str">
            <v>Quedius cinctus </v>
          </cell>
        </row>
        <row r="5131">
          <cell r="A5131" t="str">
            <v>Quedius cruentus </v>
          </cell>
          <cell r="B5131" t="str">
            <v>Rove beetles (macrostaphs)</v>
          </cell>
          <cell r="C5131" t="str">
            <v>Coleoptera</v>
          </cell>
          <cell r="D5131" t="str">
            <v>Quedius cruentus</v>
          </cell>
          <cell r="E5131" t="str">
            <v>LC</v>
          </cell>
          <cell r="F5131" t="str">
            <v>Boyce, 2022</v>
          </cell>
          <cell r="G5131" t="str">
            <v>NBNSYS0000023549</v>
          </cell>
          <cell r="H5131" t="str">
            <v>Quedius cruentus </v>
          </cell>
        </row>
        <row r="5132">
          <cell r="A5132" t="str">
            <v>Quedius curtipennis </v>
          </cell>
          <cell r="B5132" t="str">
            <v>Rove beetles (macrostaphs)</v>
          </cell>
          <cell r="C5132" t="str">
            <v>Coleoptera</v>
          </cell>
          <cell r="D5132" t="str">
            <v>Quedius curtipennis</v>
          </cell>
          <cell r="E5132" t="str">
            <v>LC</v>
          </cell>
          <cell r="F5132" t="str">
            <v>Boyce, 2022</v>
          </cell>
          <cell r="G5132" t="str">
            <v>NBNSYS0000023550</v>
          </cell>
          <cell r="H5132" t="str">
            <v>Quedius curtipennis </v>
          </cell>
        </row>
        <row r="5133">
          <cell r="A5133" t="str">
            <v>Quedius fulgidus </v>
          </cell>
          <cell r="B5133" t="str">
            <v>Rove beetles (macrostaphs)</v>
          </cell>
          <cell r="C5133" t="str">
            <v>Coleoptera</v>
          </cell>
          <cell r="D5133" t="str">
            <v>Quedius fulgidus</v>
          </cell>
          <cell r="E5133" t="str">
            <v>LC</v>
          </cell>
          <cell r="F5133" t="str">
            <v>Boyce, 2022</v>
          </cell>
          <cell r="G5133" t="str">
            <v>NBNSYS0000023551</v>
          </cell>
          <cell r="H5133" t="str">
            <v>Quedius fulgidus </v>
          </cell>
        </row>
        <row r="5134">
          <cell r="A5134" t="str">
            <v>Quedius fuliginosus </v>
          </cell>
          <cell r="B5134" t="str">
            <v>Rove beetles (macrostaphs)</v>
          </cell>
          <cell r="C5134" t="str">
            <v>Coleoptera</v>
          </cell>
          <cell r="D5134" t="str">
            <v>Quedius fuliginosus</v>
          </cell>
          <cell r="E5134" t="str">
            <v>LC</v>
          </cell>
          <cell r="F5134" t="str">
            <v>Boyce, 2022</v>
          </cell>
          <cell r="G5134" t="str">
            <v>NBNSYS0000023552</v>
          </cell>
          <cell r="H5134" t="str">
            <v>Quedius fuliginosus </v>
          </cell>
        </row>
        <row r="5135">
          <cell r="A5135" t="str">
            <v>Quedius fulvicollis </v>
          </cell>
          <cell r="B5135" t="str">
            <v>Rove beetles (macrostaphs)</v>
          </cell>
          <cell r="C5135" t="str">
            <v>Coleoptera</v>
          </cell>
          <cell r="D5135" t="str">
            <v>Quedius fulvicollis</v>
          </cell>
          <cell r="E5135" t="str">
            <v>LC</v>
          </cell>
          <cell r="F5135" t="str">
            <v>Boyce, 2022</v>
          </cell>
          <cell r="G5135" t="str">
            <v>NBNSYS0000023553</v>
          </cell>
          <cell r="H5135" t="str">
            <v>Quedius fulvicollis </v>
          </cell>
        </row>
        <row r="5136">
          <cell r="A5136" t="str">
            <v>Quedius fumatus </v>
          </cell>
          <cell r="B5136" t="str">
            <v>Rove beetles (macrostaphs)</v>
          </cell>
          <cell r="C5136" t="str">
            <v>Coleoptera</v>
          </cell>
          <cell r="D5136" t="str">
            <v>Quedius fumatus</v>
          </cell>
          <cell r="E5136" t="str">
            <v>LC</v>
          </cell>
          <cell r="F5136" t="str">
            <v>Boyce, 2022</v>
          </cell>
          <cell r="G5136" t="str">
            <v>NBNSYS0000023554</v>
          </cell>
          <cell r="H5136" t="str">
            <v>Quedius fumatus </v>
          </cell>
        </row>
        <row r="5137">
          <cell r="A5137" t="str">
            <v>Quedius humeralis </v>
          </cell>
          <cell r="B5137" t="str">
            <v>Rove beetles (macrostaphs)</v>
          </cell>
          <cell r="C5137" t="str">
            <v>Coleoptera</v>
          </cell>
          <cell r="D5137" t="str">
            <v>Quedius humeralis</v>
          </cell>
          <cell r="E5137" t="str">
            <v>LC</v>
          </cell>
          <cell r="F5137" t="str">
            <v>Boyce, 2022</v>
          </cell>
          <cell r="G5137" t="str">
            <v>NBNSYS0000023556</v>
          </cell>
          <cell r="H5137" t="str">
            <v>Quedius humeralis </v>
          </cell>
        </row>
        <row r="5138">
          <cell r="A5138" t="str">
            <v>Quedius invreae </v>
          </cell>
          <cell r="B5138" t="str">
            <v>Rove beetles (macrostaphs)</v>
          </cell>
          <cell r="C5138" t="str">
            <v>Coleoptera</v>
          </cell>
          <cell r="D5138" t="str">
            <v>Quedius invreae</v>
          </cell>
          <cell r="E5138" t="str">
            <v>LC</v>
          </cell>
          <cell r="F5138" t="str">
            <v>Boyce, 2022</v>
          </cell>
          <cell r="G5138" t="str">
            <v>NBNSYS0000023557</v>
          </cell>
          <cell r="H5138" t="str">
            <v>Quedius invreae </v>
          </cell>
        </row>
        <row r="5139">
          <cell r="A5139" t="str">
            <v>Quedius lateralis </v>
          </cell>
          <cell r="B5139" t="str">
            <v>Rove beetles (macrostaphs)</v>
          </cell>
          <cell r="C5139" t="str">
            <v>Coleoptera</v>
          </cell>
          <cell r="D5139" t="str">
            <v>Quedius lateralis</v>
          </cell>
          <cell r="E5139" t="str">
            <v>LC</v>
          </cell>
          <cell r="F5139" t="str">
            <v>Boyce, 2022</v>
          </cell>
          <cell r="G5139" t="str">
            <v>NBNSYS0000023558</v>
          </cell>
          <cell r="H5139" t="str">
            <v>Quedius lateralis </v>
          </cell>
        </row>
        <row r="5140">
          <cell r="A5140" t="str">
            <v>Quedius levicollis </v>
          </cell>
          <cell r="B5140" t="str">
            <v>Rove beetles (macrostaphs)</v>
          </cell>
          <cell r="C5140" t="str">
            <v>Coleoptera</v>
          </cell>
          <cell r="D5140" t="str">
            <v>Quedius levicollis</v>
          </cell>
          <cell r="E5140" t="str">
            <v>LC</v>
          </cell>
          <cell r="F5140" t="str">
            <v>Boyce, 2022</v>
          </cell>
          <cell r="G5140" t="str">
            <v>NBNSYS0000155581</v>
          </cell>
          <cell r="H5140" t="str">
            <v>Quedius levicollis </v>
          </cell>
        </row>
        <row r="5141">
          <cell r="A5141" t="str">
            <v>Quedius longicornis </v>
          </cell>
          <cell r="B5141" t="str">
            <v>Rove beetles (macrostaphs)</v>
          </cell>
          <cell r="C5141" t="str">
            <v>Coleoptera</v>
          </cell>
          <cell r="D5141" t="str">
            <v>Quedius longicornis</v>
          </cell>
          <cell r="E5141" t="str">
            <v>LC</v>
          </cell>
          <cell r="F5141" t="str">
            <v>Boyce, 2022</v>
          </cell>
          <cell r="G5141" t="str">
            <v>NBNSYS0000023559</v>
          </cell>
          <cell r="H5141" t="str">
            <v>Quedius longicornis </v>
          </cell>
        </row>
        <row r="5142">
          <cell r="A5142" t="str">
            <v>Quedius lucidulus </v>
          </cell>
          <cell r="B5142" t="str">
            <v>Rove beetles (macrostaphs)</v>
          </cell>
          <cell r="C5142" t="str">
            <v>Coleoptera</v>
          </cell>
          <cell r="D5142" t="str">
            <v>Quedius lucidulus</v>
          </cell>
          <cell r="E5142" t="str">
            <v>LC</v>
          </cell>
          <cell r="F5142" t="str">
            <v>Boyce, 2022</v>
          </cell>
          <cell r="G5142" t="str">
            <v>NHMSYS0021238226</v>
          </cell>
          <cell r="H5142" t="str">
            <v>Quedius lucidulus </v>
          </cell>
        </row>
        <row r="5143">
          <cell r="A5143" t="str">
            <v>Quedius maurorufus </v>
          </cell>
          <cell r="B5143" t="str">
            <v>Rove beetles (macrostaphs)</v>
          </cell>
          <cell r="C5143" t="str">
            <v>Coleoptera</v>
          </cell>
          <cell r="D5143" t="str">
            <v>Quedius maurorufus</v>
          </cell>
          <cell r="E5143" t="str">
            <v>LC</v>
          </cell>
          <cell r="F5143" t="str">
            <v>Boyce, 2022</v>
          </cell>
          <cell r="G5143" t="str">
            <v>NBNSYS0000023560</v>
          </cell>
          <cell r="H5143" t="str">
            <v>Quedius maurorufus </v>
          </cell>
        </row>
        <row r="5144">
          <cell r="A5144" t="str">
            <v>Quedius maurus </v>
          </cell>
          <cell r="B5144" t="str">
            <v>Rove beetles (macrostaphs)</v>
          </cell>
          <cell r="C5144" t="str">
            <v>Coleoptera</v>
          </cell>
          <cell r="D5144" t="str">
            <v>Quedius maurus</v>
          </cell>
          <cell r="E5144" t="str">
            <v>LC</v>
          </cell>
          <cell r="F5144" t="str">
            <v>Boyce, 2022</v>
          </cell>
          <cell r="G5144" t="str">
            <v>NBNSYS0000023561</v>
          </cell>
          <cell r="H5144" t="str">
            <v>Quedius maurus </v>
          </cell>
        </row>
        <row r="5145">
          <cell r="A5145" t="str">
            <v>Quedius mesomelinus </v>
          </cell>
          <cell r="B5145" t="str">
            <v>Rove beetles (macrostaphs)</v>
          </cell>
          <cell r="C5145" t="str">
            <v>Coleoptera</v>
          </cell>
          <cell r="D5145" t="str">
            <v>Quedius mesomelinus</v>
          </cell>
          <cell r="E5145" t="str">
            <v>LC</v>
          </cell>
          <cell r="F5145" t="str">
            <v>Boyce, 2022</v>
          </cell>
          <cell r="G5145" t="str">
            <v>NBNSYS0000023562</v>
          </cell>
          <cell r="H5145" t="str">
            <v>Quedius mesomelinus </v>
          </cell>
        </row>
        <row r="5146">
          <cell r="A5146" t="str">
            <v>Quedius microps </v>
          </cell>
          <cell r="B5146" t="str">
            <v>Rove beetles (macrostaphs)</v>
          </cell>
          <cell r="C5146" t="str">
            <v>Coleoptera</v>
          </cell>
          <cell r="D5146" t="str">
            <v>Quedius microps</v>
          </cell>
          <cell r="E5146" t="str">
            <v>LC</v>
          </cell>
          <cell r="F5146" t="str">
            <v>Boyce, 2022</v>
          </cell>
          <cell r="G5146" t="str">
            <v>NBNSYS0000023563</v>
          </cell>
          <cell r="H5146" t="str">
            <v>Quedius microps </v>
          </cell>
        </row>
        <row r="5147">
          <cell r="A5147" t="str">
            <v>Quedius molochinus </v>
          </cell>
          <cell r="B5147" t="str">
            <v>Rove beetles (macrostaphs)</v>
          </cell>
          <cell r="C5147" t="str">
            <v>Coleoptera</v>
          </cell>
          <cell r="D5147" t="str">
            <v>Quedius molochinus</v>
          </cell>
          <cell r="E5147" t="str">
            <v>LC</v>
          </cell>
          <cell r="F5147" t="str">
            <v>Boyce, 2022</v>
          </cell>
          <cell r="G5147" t="str">
            <v>NBNSYS0000023564</v>
          </cell>
          <cell r="H5147" t="str">
            <v>Quedius molochinus </v>
          </cell>
        </row>
        <row r="5148">
          <cell r="A5148" t="str">
            <v>Quedius nemoralis </v>
          </cell>
          <cell r="B5148" t="str">
            <v>Rove beetles (macrostaphs)</v>
          </cell>
          <cell r="C5148" t="str">
            <v>Coleoptera</v>
          </cell>
          <cell r="D5148" t="str">
            <v>Quedius nemoralis</v>
          </cell>
          <cell r="E5148" t="str">
            <v>LC</v>
          </cell>
          <cell r="F5148" t="str">
            <v>Boyce, 2022</v>
          </cell>
          <cell r="G5148" t="str">
            <v>NBNSYS0000023565</v>
          </cell>
          <cell r="H5148" t="str">
            <v>Quedius nemoralis </v>
          </cell>
        </row>
        <row r="5149">
          <cell r="A5149" t="str">
            <v>Quedius nigriceps </v>
          </cell>
          <cell r="B5149" t="str">
            <v>Rove beetles (macrostaphs)</v>
          </cell>
          <cell r="C5149" t="str">
            <v>Coleoptera</v>
          </cell>
          <cell r="D5149" t="str">
            <v>Quedius nigriceps</v>
          </cell>
          <cell r="E5149" t="str">
            <v>LC</v>
          </cell>
          <cell r="F5149" t="str">
            <v>Boyce, 2022</v>
          </cell>
          <cell r="G5149" t="str">
            <v>NBNSYS0000023566</v>
          </cell>
          <cell r="H5149" t="str">
            <v>Quedius nigriceps </v>
          </cell>
        </row>
        <row r="5150">
          <cell r="A5150" t="str">
            <v>Quedius nigrocaeruleus </v>
          </cell>
          <cell r="B5150" t="str">
            <v>Rove beetles (macrostaphs)</v>
          </cell>
          <cell r="C5150" t="str">
            <v>Coleoptera</v>
          </cell>
          <cell r="D5150" t="str">
            <v>Quedius nigrocaeruleus</v>
          </cell>
          <cell r="E5150" t="str">
            <v>LC</v>
          </cell>
          <cell r="F5150" t="str">
            <v>Boyce, 2022</v>
          </cell>
          <cell r="G5150" t="str">
            <v>NBNSYS0000023567</v>
          </cell>
          <cell r="H5150" t="str">
            <v>Quedius nigrocaeruleus </v>
          </cell>
        </row>
        <row r="5151">
          <cell r="A5151" t="str">
            <v>Quedius nitipennis </v>
          </cell>
          <cell r="B5151" t="str">
            <v>Rove beetles (macrostaphs)</v>
          </cell>
          <cell r="C5151" t="str">
            <v>Coleoptera</v>
          </cell>
          <cell r="D5151" t="str">
            <v>Quedius nitipennis</v>
          </cell>
          <cell r="E5151" t="str">
            <v>LC</v>
          </cell>
          <cell r="F5151" t="str">
            <v>Boyce, 2022</v>
          </cell>
          <cell r="G5151" t="str">
            <v>NBNSYS0000023568</v>
          </cell>
          <cell r="H5151" t="str">
            <v>Quedius nitipennis </v>
          </cell>
        </row>
        <row r="5152">
          <cell r="A5152" t="str">
            <v>Quedius persimilis </v>
          </cell>
          <cell r="B5152" t="str">
            <v>Rove beetles (macrostaphs)</v>
          </cell>
          <cell r="C5152" t="str">
            <v>Coleoptera</v>
          </cell>
          <cell r="D5152" t="str">
            <v>Quedius persimilis</v>
          </cell>
          <cell r="E5152" t="str">
            <v>LC</v>
          </cell>
          <cell r="F5152" t="str">
            <v>Boyce, 2022</v>
          </cell>
          <cell r="G5152" t="str">
            <v>NHMSYS0020920018</v>
          </cell>
          <cell r="H5152" t="str">
            <v>Quedius persimilis </v>
          </cell>
        </row>
        <row r="5153">
          <cell r="A5153" t="str">
            <v>Quedius picipes </v>
          </cell>
          <cell r="B5153" t="str">
            <v>Rove beetles (macrostaphs)</v>
          </cell>
          <cell r="C5153" t="str">
            <v>Coleoptera</v>
          </cell>
          <cell r="D5153" t="str">
            <v>Quedius picipes</v>
          </cell>
          <cell r="E5153" t="str">
            <v>LC</v>
          </cell>
          <cell r="F5153" t="str">
            <v>Boyce, 2022</v>
          </cell>
          <cell r="G5153" t="str">
            <v>NBNSYS0000023569</v>
          </cell>
          <cell r="H5153" t="str">
            <v>Quedius picipes </v>
          </cell>
        </row>
        <row r="5154">
          <cell r="A5154" t="str">
            <v>Quedius plancus </v>
          </cell>
          <cell r="B5154" t="str">
            <v>Rove beetles (macrostaphs)</v>
          </cell>
          <cell r="C5154" t="str">
            <v>Coleoptera</v>
          </cell>
          <cell r="D5154" t="str">
            <v>Quedius plancus</v>
          </cell>
          <cell r="E5154" t="str">
            <v>LC</v>
          </cell>
          <cell r="F5154" t="str">
            <v>Boyce, 2022</v>
          </cell>
          <cell r="G5154" t="str">
            <v>NBNSYS0000023571</v>
          </cell>
          <cell r="H5154" t="str">
            <v>Quedius plancus </v>
          </cell>
        </row>
        <row r="5155">
          <cell r="A5155" t="str">
            <v>Quedius puncticollis </v>
          </cell>
          <cell r="B5155" t="str">
            <v>Rove beetles (macrostaphs)</v>
          </cell>
          <cell r="C5155" t="str">
            <v>Coleoptera</v>
          </cell>
          <cell r="D5155" t="str">
            <v>Quedius puncticollis</v>
          </cell>
          <cell r="E5155" t="str">
            <v>LC</v>
          </cell>
          <cell r="F5155" t="str">
            <v>Boyce, 2022</v>
          </cell>
          <cell r="G5155" t="str">
            <v>NBNSYS0000023572</v>
          </cell>
          <cell r="H5155" t="str">
            <v>Quedius puncticollis </v>
          </cell>
        </row>
        <row r="5156">
          <cell r="A5156" t="str">
            <v>Quedius riparius </v>
          </cell>
          <cell r="B5156" t="str">
            <v>Rove beetles (macrostaphs)</v>
          </cell>
          <cell r="C5156" t="str">
            <v>Coleoptera</v>
          </cell>
          <cell r="D5156" t="str">
            <v>Quedius riparius</v>
          </cell>
          <cell r="E5156" t="str">
            <v>LC</v>
          </cell>
          <cell r="F5156" t="str">
            <v>Boyce, 2022</v>
          </cell>
          <cell r="G5156" t="str">
            <v>NBNSYS0000023573</v>
          </cell>
          <cell r="H5156" t="str">
            <v>Quedius riparius </v>
          </cell>
        </row>
        <row r="5157">
          <cell r="A5157" t="str">
            <v>Quedius schatzmayri </v>
          </cell>
          <cell r="B5157" t="str">
            <v>Rove beetles (macrostaphs)</v>
          </cell>
          <cell r="C5157" t="str">
            <v>Coleoptera</v>
          </cell>
          <cell r="D5157" t="str">
            <v>Quedius schatzmayri</v>
          </cell>
          <cell r="E5157" t="str">
            <v>LC</v>
          </cell>
          <cell r="F5157" t="str">
            <v>Boyce, 2022</v>
          </cell>
          <cell r="G5157" t="str">
            <v>NBNSYS0000023574</v>
          </cell>
          <cell r="H5157" t="str">
            <v>Quedius schatzmayri </v>
          </cell>
        </row>
        <row r="5158">
          <cell r="A5158" t="str">
            <v>Quedius scintillans  </v>
          </cell>
          <cell r="B5158" t="str">
            <v>Rove beetles (macrostaphs)</v>
          </cell>
          <cell r="C5158" t="str">
            <v>Coleoptera</v>
          </cell>
          <cell r="D5158" t="str">
            <v>Quedius scintillans</v>
          </cell>
          <cell r="E5158" t="str">
            <v>LC</v>
          </cell>
          <cell r="F5158" t="str">
            <v>Boyce, 2022</v>
          </cell>
          <cell r="G5158" t="str">
            <v>NBNSYS0000023575</v>
          </cell>
          <cell r="H5158" t="str">
            <v>Quedius scintillans  </v>
          </cell>
        </row>
        <row r="5159">
          <cell r="A5159" t="str">
            <v>Quedius scitus </v>
          </cell>
          <cell r="B5159" t="str">
            <v>Rove beetles (macrostaphs)</v>
          </cell>
          <cell r="C5159" t="str">
            <v>Coleoptera</v>
          </cell>
          <cell r="D5159" t="str">
            <v>Quedius scitus</v>
          </cell>
          <cell r="E5159" t="str">
            <v>LC</v>
          </cell>
          <cell r="F5159" t="str">
            <v>Boyce, 2022</v>
          </cell>
          <cell r="G5159" t="str">
            <v>NBNSYS0000023576</v>
          </cell>
          <cell r="H5159" t="str">
            <v>Quedius scitus </v>
          </cell>
        </row>
        <row r="5160">
          <cell r="A5160" t="str">
            <v>Quedius semiaeneus </v>
          </cell>
          <cell r="B5160" t="str">
            <v>Rove beetles (macrostaphs)</v>
          </cell>
          <cell r="C5160" t="str">
            <v>Coleoptera</v>
          </cell>
          <cell r="D5160" t="str">
            <v>Quedius semiaeneus</v>
          </cell>
          <cell r="E5160" t="str">
            <v>LC</v>
          </cell>
          <cell r="F5160" t="str">
            <v>Boyce, 2022</v>
          </cell>
          <cell r="G5160" t="str">
            <v>NBNSYS0000023577</v>
          </cell>
          <cell r="H5160" t="str">
            <v>Quedius semiaeneus </v>
          </cell>
        </row>
        <row r="5161">
          <cell r="A5161" t="str">
            <v>Quedius semiobscurus </v>
          </cell>
          <cell r="B5161" t="str">
            <v>Rove beetles (macrostaphs)</v>
          </cell>
          <cell r="C5161" t="str">
            <v>Coleoptera</v>
          </cell>
          <cell r="D5161" t="str">
            <v>Quedius semiobscurus</v>
          </cell>
          <cell r="E5161" t="str">
            <v>LC</v>
          </cell>
          <cell r="F5161" t="str">
            <v>Boyce, 2022</v>
          </cell>
          <cell r="G5161" t="str">
            <v>NBNSYS0000023578</v>
          </cell>
          <cell r="H5161" t="str">
            <v>Quedius semiobscurus </v>
          </cell>
        </row>
        <row r="5162">
          <cell r="A5162" t="str">
            <v>Quedius simplicifrons </v>
          </cell>
          <cell r="B5162" t="str">
            <v>Rove beetles (macrostaphs)</v>
          </cell>
          <cell r="C5162" t="str">
            <v>Coleoptera</v>
          </cell>
          <cell r="D5162" t="str">
            <v>Quedius simplicifrons</v>
          </cell>
          <cell r="E5162" t="str">
            <v>LC</v>
          </cell>
          <cell r="F5162" t="str">
            <v>Boyce, 2022</v>
          </cell>
          <cell r="G5162" t="str">
            <v>NHMSYS0021233077</v>
          </cell>
          <cell r="H5162" t="str">
            <v>Quedius simplicifrons </v>
          </cell>
        </row>
        <row r="5163">
          <cell r="A5163" t="str">
            <v>Quedius truncicola </v>
          </cell>
          <cell r="B5163" t="str">
            <v>Rove beetles (macrostaphs)</v>
          </cell>
          <cell r="C5163" t="str">
            <v>Coleoptera</v>
          </cell>
          <cell r="D5163" t="str">
            <v>Quedius truncicola</v>
          </cell>
          <cell r="E5163" t="str">
            <v>LC</v>
          </cell>
          <cell r="F5163" t="str">
            <v>Boyce, 2022</v>
          </cell>
          <cell r="G5163" t="str">
            <v>NHMSYS0020920017</v>
          </cell>
          <cell r="H5163" t="str">
            <v>Quedius truncicola </v>
          </cell>
        </row>
        <row r="5164">
          <cell r="A5164" t="str">
            <v>Quedius umbrinus </v>
          </cell>
          <cell r="B5164" t="str">
            <v>Rove beetles (macrostaphs)</v>
          </cell>
          <cell r="C5164" t="str">
            <v>Coleoptera</v>
          </cell>
          <cell r="D5164" t="str">
            <v>Quedius umbrinus</v>
          </cell>
          <cell r="E5164" t="str">
            <v>LC</v>
          </cell>
          <cell r="F5164" t="str">
            <v>Boyce, 2022</v>
          </cell>
          <cell r="G5164" t="str">
            <v>NBNSYS0000023580</v>
          </cell>
          <cell r="H5164" t="str">
            <v>Quedius umbrinus </v>
          </cell>
        </row>
        <row r="5165">
          <cell r="A5165" t="str">
            <v>Quedius xanthopus </v>
          </cell>
          <cell r="B5165" t="str">
            <v>Rove beetles (macrostaphs)</v>
          </cell>
          <cell r="C5165" t="str">
            <v>Coleoptera</v>
          </cell>
          <cell r="D5165" t="str">
            <v>Quedius xanthopus</v>
          </cell>
          <cell r="E5165" t="str">
            <v>LC</v>
          </cell>
          <cell r="F5165" t="str">
            <v>Boyce, 2022</v>
          </cell>
          <cell r="G5165" t="str">
            <v>NBNSYS0000023582</v>
          </cell>
          <cell r="H5165" t="str">
            <v>Quedius xanthopus </v>
          </cell>
        </row>
        <row r="5166">
          <cell r="A5166" t="str">
            <v>Remus sericeus </v>
          </cell>
          <cell r="B5166" t="str">
            <v>Rove beetles (macrostaphs)</v>
          </cell>
          <cell r="C5166" t="str">
            <v>Coleoptera</v>
          </cell>
          <cell r="D5166" t="str">
            <v>Remus sericeus</v>
          </cell>
          <cell r="E5166" t="str">
            <v>LC</v>
          </cell>
          <cell r="F5166" t="str">
            <v>Boyce, 2022</v>
          </cell>
          <cell r="G5166" t="str">
            <v>NHMSYS0001719978</v>
          </cell>
          <cell r="H5166" t="str">
            <v>Remus sericeus </v>
          </cell>
        </row>
        <row r="5167">
          <cell r="A5167" t="str">
            <v>Rugilus angustatus </v>
          </cell>
          <cell r="B5167" t="str">
            <v>Rove beetles (macrostaphs)</v>
          </cell>
          <cell r="C5167" t="str">
            <v>Coleoptera</v>
          </cell>
          <cell r="D5167" t="str">
            <v>Rugilus angustatus</v>
          </cell>
          <cell r="E5167" t="str">
            <v>LC</v>
          </cell>
          <cell r="F5167" t="str">
            <v>Boyce, 2022</v>
          </cell>
          <cell r="G5167" t="str">
            <v>NHMSYS0020977346</v>
          </cell>
          <cell r="H5167" t="str">
            <v>Rugilus angustatus </v>
          </cell>
        </row>
        <row r="5168">
          <cell r="A5168" t="str">
            <v>Rugilus erichsonii </v>
          </cell>
          <cell r="B5168" t="str">
            <v>Rove beetles (macrostaphs)</v>
          </cell>
          <cell r="C5168" t="str">
            <v>Coleoptera</v>
          </cell>
          <cell r="D5168" t="str">
            <v>Rugilus erichsonii</v>
          </cell>
          <cell r="E5168" t="str">
            <v>LC</v>
          </cell>
          <cell r="F5168" t="str">
            <v>Boyce, 2022</v>
          </cell>
          <cell r="G5168" t="str">
            <v>NHMSYS0021179566</v>
          </cell>
          <cell r="H5168" t="str">
            <v>Rugilus erichsonii </v>
          </cell>
        </row>
        <row r="5169">
          <cell r="A5169" t="str">
            <v>Rugilus geniculatus </v>
          </cell>
          <cell r="B5169" t="str">
            <v>Rove beetles (macrostaphs)</v>
          </cell>
          <cell r="C5169" t="str">
            <v>Coleoptera</v>
          </cell>
          <cell r="D5169" t="str">
            <v>Rugilus geniculatus</v>
          </cell>
          <cell r="E5169" t="str">
            <v>LC</v>
          </cell>
          <cell r="F5169" t="str">
            <v>Boyce, 2022</v>
          </cell>
          <cell r="G5169" t="str">
            <v>NBNSYS0000023397</v>
          </cell>
          <cell r="H5169" t="str">
            <v>Rugilus geniculatus </v>
          </cell>
        </row>
        <row r="5170">
          <cell r="A5170" t="str">
            <v>Rugilus orbiculatus </v>
          </cell>
          <cell r="B5170" t="str">
            <v>Rove beetles (macrostaphs)</v>
          </cell>
          <cell r="C5170" t="str">
            <v>Coleoptera</v>
          </cell>
          <cell r="D5170" t="str">
            <v>Rugilus orbiculatus</v>
          </cell>
          <cell r="E5170" t="str">
            <v>LC</v>
          </cell>
          <cell r="F5170" t="str">
            <v>Boyce, 2022</v>
          </cell>
          <cell r="G5170" t="str">
            <v>NBNSYS0000023398</v>
          </cell>
          <cell r="H5170" t="str">
            <v>Rugilus orbiculatus </v>
          </cell>
        </row>
        <row r="5171">
          <cell r="A5171" t="str">
            <v>Rugilus rufipes </v>
          </cell>
          <cell r="B5171" t="str">
            <v>Rove beetles (macrostaphs)</v>
          </cell>
          <cell r="C5171" t="str">
            <v>Coleoptera</v>
          </cell>
          <cell r="D5171" t="str">
            <v>Rugilus rufipes</v>
          </cell>
          <cell r="E5171" t="str">
            <v>LC</v>
          </cell>
          <cell r="F5171" t="str">
            <v>Boyce, 2022</v>
          </cell>
          <cell r="G5171" t="str">
            <v>NBNSYS0000023399</v>
          </cell>
          <cell r="H5171" t="str">
            <v>Rugilus rufipes </v>
          </cell>
        </row>
        <row r="5172">
          <cell r="A5172" t="str">
            <v>Rugilus similis </v>
          </cell>
          <cell r="B5172" t="str">
            <v>Rove beetles (macrostaphs)</v>
          </cell>
          <cell r="C5172" t="str">
            <v>Coleoptera</v>
          </cell>
          <cell r="D5172" t="str">
            <v>Rugilus similis</v>
          </cell>
          <cell r="E5172" t="str">
            <v>LC</v>
          </cell>
          <cell r="F5172" t="str">
            <v>Boyce, 2022</v>
          </cell>
          <cell r="G5172" t="str">
            <v>NBNSYS0000023400</v>
          </cell>
          <cell r="H5172" t="str">
            <v>Rugilus similis </v>
          </cell>
        </row>
        <row r="5173">
          <cell r="A5173" t="str">
            <v>Rugilus subtilis </v>
          </cell>
          <cell r="B5173" t="str">
            <v>Rove beetles (macrostaphs)</v>
          </cell>
          <cell r="C5173" t="str">
            <v>Coleoptera</v>
          </cell>
          <cell r="D5173" t="str">
            <v>Rugilus subtilis</v>
          </cell>
          <cell r="E5173" t="str">
            <v>VU</v>
          </cell>
          <cell r="F5173" t="str">
            <v>Boyce, 2022</v>
          </cell>
          <cell r="G5173" t="str">
            <v>NBNSYS0000023401</v>
          </cell>
          <cell r="H5173" t="str">
            <v>Rugilus subtilis </v>
          </cell>
        </row>
        <row r="5174">
          <cell r="A5174" t="str">
            <v>Scaphidium quadrimaculatum </v>
          </cell>
          <cell r="B5174" t="str">
            <v>Rove beetles (macrostaphs)</v>
          </cell>
          <cell r="C5174" t="str">
            <v>Coleoptera</v>
          </cell>
          <cell r="D5174" t="str">
            <v>Scaphidium quadrimaculatum</v>
          </cell>
          <cell r="E5174" t="str">
            <v>LC</v>
          </cell>
          <cell r="F5174" t="str">
            <v>Boyce, 2022</v>
          </cell>
          <cell r="G5174" t="str">
            <v>NBNSYS0000023087</v>
          </cell>
          <cell r="H5174" t="str">
            <v>Scaphidium quadrimaculatum </v>
          </cell>
        </row>
        <row r="5175">
          <cell r="A5175" t="str">
            <v>Scaphisoma agaricinum </v>
          </cell>
          <cell r="B5175" t="str">
            <v>Rove beetles (macrostaphs)</v>
          </cell>
          <cell r="C5175" t="str">
            <v>Coleoptera</v>
          </cell>
          <cell r="D5175" t="str">
            <v>Scaphisoma agaricinum</v>
          </cell>
          <cell r="E5175" t="str">
            <v>LC</v>
          </cell>
          <cell r="F5175" t="str">
            <v>Boyce, 2022</v>
          </cell>
          <cell r="G5175" t="str">
            <v>NBNSYS0000023088</v>
          </cell>
          <cell r="H5175" t="str">
            <v>Scaphisoma agaricinum </v>
          </cell>
        </row>
        <row r="5176">
          <cell r="A5176" t="str">
            <v>Scaphisoma boleti </v>
          </cell>
          <cell r="B5176" t="str">
            <v>Rove beetles (macrostaphs)</v>
          </cell>
          <cell r="C5176" t="str">
            <v>Coleoptera</v>
          </cell>
          <cell r="D5176" t="str">
            <v>Scaphisoma boleti</v>
          </cell>
          <cell r="E5176" t="str">
            <v>LC</v>
          </cell>
          <cell r="F5176" t="str">
            <v>Boyce, 2022</v>
          </cell>
          <cell r="G5176" t="str">
            <v>NBNSYS0000023090</v>
          </cell>
          <cell r="H5176" t="str">
            <v>Scaphisoma boleti </v>
          </cell>
        </row>
        <row r="5177">
          <cell r="A5177" t="str">
            <v>Scaphium immaculatum </v>
          </cell>
          <cell r="B5177" t="str">
            <v>Rove beetles (macrostaphs)</v>
          </cell>
          <cell r="C5177" t="str">
            <v>Coleoptera</v>
          </cell>
          <cell r="D5177" t="str">
            <v>Scaphium immaculatum</v>
          </cell>
          <cell r="E5177" t="str">
            <v>LC</v>
          </cell>
          <cell r="F5177" t="str">
            <v>Boyce, 2022</v>
          </cell>
          <cell r="G5177" t="str">
            <v>NBNSYS0000023086</v>
          </cell>
          <cell r="H5177" t="str">
            <v>Scaphium immaculatum </v>
          </cell>
        </row>
        <row r="5178">
          <cell r="A5178" t="str">
            <v>Scopaeus gracilis </v>
          </cell>
          <cell r="B5178" t="str">
            <v>Rove beetles (macrostaphs)</v>
          </cell>
          <cell r="C5178" t="str">
            <v>Coleoptera</v>
          </cell>
          <cell r="D5178" t="str">
            <v>Scopaeus gracilis</v>
          </cell>
          <cell r="E5178" t="str">
            <v>LC</v>
          </cell>
          <cell r="F5178" t="str">
            <v>Boyce, 2022</v>
          </cell>
          <cell r="G5178" t="str">
            <v>NBNSYS0000023385</v>
          </cell>
          <cell r="H5178" t="str">
            <v>Scopaeus gracilis </v>
          </cell>
        </row>
        <row r="5179">
          <cell r="A5179" t="str">
            <v>Scopaeus laevigatus </v>
          </cell>
          <cell r="B5179" t="str">
            <v>Rove beetles (macrostaphs)</v>
          </cell>
          <cell r="C5179" t="str">
            <v>Coleoptera</v>
          </cell>
          <cell r="D5179" t="str">
            <v>Scopaeus laevigatus</v>
          </cell>
          <cell r="E5179" t="str">
            <v>LC</v>
          </cell>
          <cell r="F5179" t="str">
            <v>Boyce, 2022</v>
          </cell>
          <cell r="G5179" t="str">
            <v>NBNSYS0000023386</v>
          </cell>
          <cell r="H5179" t="str">
            <v>Scopaeus laevigatus </v>
          </cell>
        </row>
        <row r="5180">
          <cell r="A5180" t="str">
            <v>Scopaeus minutus </v>
          </cell>
          <cell r="B5180" t="str">
            <v>Rove beetles (macrostaphs)</v>
          </cell>
          <cell r="C5180" t="str">
            <v>Coleoptera</v>
          </cell>
          <cell r="D5180" t="str">
            <v>Scopaeus minutus</v>
          </cell>
          <cell r="E5180" t="str">
            <v>CR</v>
          </cell>
          <cell r="F5180" t="str">
            <v>Boyce, 2022</v>
          </cell>
          <cell r="G5180" t="str">
            <v>NHMSYS0021467908</v>
          </cell>
          <cell r="H5180" t="str">
            <v>Scopaeus minutus </v>
          </cell>
        </row>
        <row r="5181">
          <cell r="A5181" t="str">
            <v>Scopaeus ryei</v>
          </cell>
          <cell r="B5181" t="str">
            <v>Rove beetles (macrostaphs)</v>
          </cell>
          <cell r="C5181" t="str">
            <v>Coleoptera</v>
          </cell>
          <cell r="D5181" t="str">
            <v>Scopaeus ryei</v>
          </cell>
          <cell r="E5181" t="str">
            <v>RE</v>
          </cell>
          <cell r="F5181" t="str">
            <v>Boyce, 2022</v>
          </cell>
          <cell r="G5181" t="str">
            <v>NBNSYS0000023387</v>
          </cell>
          <cell r="H5181" t="str">
            <v>Scopaeus ryei</v>
          </cell>
        </row>
        <row r="5182">
          <cell r="A5182" t="str">
            <v>Scopaeus sulcicollis </v>
          </cell>
          <cell r="B5182" t="str">
            <v>Rove beetles (macrostaphs)</v>
          </cell>
          <cell r="C5182" t="str">
            <v>Coleoptera</v>
          </cell>
          <cell r="D5182" t="str">
            <v>Scopaeus sulcicollis</v>
          </cell>
          <cell r="E5182" t="str">
            <v>LC</v>
          </cell>
          <cell r="F5182" t="str">
            <v>Boyce, 2022</v>
          </cell>
          <cell r="G5182" t="str">
            <v>NBNSYS0000023389</v>
          </cell>
          <cell r="H5182" t="str">
            <v>Scopaeus sulcicollis </v>
          </cell>
        </row>
        <row r="5183">
          <cell r="A5183" t="str">
            <v>Siagonium quadricorne </v>
          </cell>
          <cell r="B5183" t="str">
            <v>Rove beetles (macrostaphs)</v>
          </cell>
          <cell r="C5183" t="str">
            <v>Coleoptera</v>
          </cell>
          <cell r="D5183" t="str">
            <v>Siagonium quadricorne</v>
          </cell>
          <cell r="E5183" t="str">
            <v>LC</v>
          </cell>
          <cell r="F5183" t="str">
            <v>Boyce, 2022</v>
          </cell>
          <cell r="G5183" t="str">
            <v>NBNSYS0000023174</v>
          </cell>
          <cell r="H5183" t="str">
            <v>Siagonium quadricorne </v>
          </cell>
        </row>
        <row r="5184">
          <cell r="A5184" t="str">
            <v>Staphylinus dimidiaticornis </v>
          </cell>
          <cell r="B5184" t="str">
            <v>Rove beetles (macrostaphs)</v>
          </cell>
          <cell r="C5184" t="str">
            <v>Coleoptera</v>
          </cell>
          <cell r="D5184" t="str">
            <v>Staphylinus dimidiaticornis</v>
          </cell>
          <cell r="E5184" t="str">
            <v>LC</v>
          </cell>
          <cell r="F5184" t="str">
            <v>Boyce, 2022</v>
          </cell>
          <cell r="G5184" t="str">
            <v>NBNSYS0000023519</v>
          </cell>
          <cell r="H5184" t="str">
            <v>Staphylinus dimidiaticornis </v>
          </cell>
        </row>
        <row r="5185">
          <cell r="A5185" t="str">
            <v>Staphylinus erythropterus </v>
          </cell>
          <cell r="B5185" t="str">
            <v>Rove beetles (macrostaphs)</v>
          </cell>
          <cell r="C5185" t="str">
            <v>Coleoptera</v>
          </cell>
          <cell r="D5185" t="str">
            <v>Staphylinus erythropterus</v>
          </cell>
          <cell r="E5185" t="str">
            <v>LC</v>
          </cell>
          <cell r="F5185" t="str">
            <v>Boyce, 2022</v>
          </cell>
          <cell r="G5185" t="str">
            <v>NBNSYS0000023520</v>
          </cell>
          <cell r="H5185" t="str">
            <v>Staphylinus erythropterus </v>
          </cell>
        </row>
        <row r="5186">
          <cell r="A5186" t="str">
            <v>Sunius bicolor </v>
          </cell>
          <cell r="B5186" t="str">
            <v>Rove beetles (macrostaphs)</v>
          </cell>
          <cell r="C5186" t="str">
            <v>Coleoptera</v>
          </cell>
          <cell r="D5186" t="str">
            <v>Sunius bicolor</v>
          </cell>
          <cell r="E5186" t="str">
            <v>LC</v>
          </cell>
          <cell r="F5186" t="str">
            <v>Boyce, 2022</v>
          </cell>
          <cell r="G5186" t="str">
            <v>NBNSYS0000023378</v>
          </cell>
          <cell r="H5186" t="str">
            <v>Sunius bicolor </v>
          </cell>
        </row>
        <row r="5187">
          <cell r="A5187" t="str">
            <v>Sunius melanocephalus </v>
          </cell>
          <cell r="B5187" t="str">
            <v>Rove beetles (macrostaphs)</v>
          </cell>
          <cell r="C5187" t="str">
            <v>Coleoptera</v>
          </cell>
          <cell r="D5187" t="str">
            <v>Sunius melanocephalus</v>
          </cell>
          <cell r="E5187" t="str">
            <v>LC</v>
          </cell>
          <cell r="F5187" t="str">
            <v>Boyce, 2022</v>
          </cell>
          <cell r="G5187" t="str">
            <v>NHMSYS0001720266</v>
          </cell>
          <cell r="H5187" t="str">
            <v>Sunius melanocephalus </v>
          </cell>
        </row>
        <row r="5188">
          <cell r="A5188" t="str">
            <v>Sunius propinquus </v>
          </cell>
          <cell r="B5188" t="str">
            <v>Rove beetles (macrostaphs)</v>
          </cell>
          <cell r="C5188" t="str">
            <v>Coleoptera</v>
          </cell>
          <cell r="D5188" t="str">
            <v>Sunius propinquus</v>
          </cell>
          <cell r="E5188" t="str">
            <v>LC</v>
          </cell>
          <cell r="F5188" t="str">
            <v>Boyce, 2022</v>
          </cell>
          <cell r="G5188" t="str">
            <v>NBNSYS0000023380</v>
          </cell>
          <cell r="H5188" t="str">
            <v>Sunius propinquus </v>
          </cell>
        </row>
        <row r="5189">
          <cell r="A5189" t="str">
            <v>Syntomium aeneum </v>
          </cell>
          <cell r="B5189" t="str">
            <v>Rove beetles (macrostaphs)</v>
          </cell>
          <cell r="C5189" t="str">
            <v>Coleoptera</v>
          </cell>
          <cell r="D5189" t="str">
            <v>Syntomium aeneum</v>
          </cell>
          <cell r="E5189" t="str">
            <v>LC</v>
          </cell>
          <cell r="F5189" t="str">
            <v>Boyce, 2022</v>
          </cell>
          <cell r="G5189" t="str">
            <v>NHMSYS0001720276</v>
          </cell>
          <cell r="H5189" t="str">
            <v>Syntomium aeneum </v>
          </cell>
        </row>
        <row r="5190">
          <cell r="A5190" t="str">
            <v>Tasgius ater </v>
          </cell>
          <cell r="B5190" t="str">
            <v>Rove beetles (macrostaphs)</v>
          </cell>
          <cell r="C5190" t="str">
            <v>Coleoptera</v>
          </cell>
          <cell r="D5190" t="str">
            <v>Tasgius ater</v>
          </cell>
          <cell r="E5190" t="str">
            <v>LC</v>
          </cell>
          <cell r="F5190" t="str">
            <v>Boyce, 2022</v>
          </cell>
          <cell r="G5190" t="str">
            <v>NHMSYS0020920026</v>
          </cell>
          <cell r="H5190" t="str">
            <v>Tasgius ater </v>
          </cell>
        </row>
        <row r="5191">
          <cell r="A5191" t="str">
            <v>Tasgius globulifer </v>
          </cell>
          <cell r="B5191" t="str">
            <v>Rove beetles (macrostaphs)</v>
          </cell>
          <cell r="C5191" t="str">
            <v>Coleoptera</v>
          </cell>
          <cell r="D5191" t="str">
            <v>Tasgius globulifer</v>
          </cell>
          <cell r="E5191" t="str">
            <v>LC</v>
          </cell>
          <cell r="F5191" t="str">
            <v>Boyce, 2022</v>
          </cell>
          <cell r="G5191" t="str">
            <v>NHMSYS0021233107</v>
          </cell>
          <cell r="H5191" t="str">
            <v>Tasgius globulifer </v>
          </cell>
        </row>
        <row r="5192">
          <cell r="A5192" t="str">
            <v>Tasgius melanarius </v>
          </cell>
          <cell r="B5192" t="str">
            <v>Rove beetles (macrostaphs)</v>
          </cell>
          <cell r="C5192" t="str">
            <v>Coleoptera</v>
          </cell>
          <cell r="D5192" t="str">
            <v>Tasgius melanarius</v>
          </cell>
          <cell r="E5192" t="str">
            <v>LC</v>
          </cell>
          <cell r="F5192" t="str">
            <v>Boyce, 2022</v>
          </cell>
          <cell r="G5192" t="str">
            <v>NHMSYS0020920023</v>
          </cell>
          <cell r="H5192" t="str">
            <v>Tasgius melanarius </v>
          </cell>
        </row>
        <row r="5193">
          <cell r="A5193" t="str">
            <v>Tasgius morsitans </v>
          </cell>
          <cell r="B5193" t="str">
            <v>Rove beetles (macrostaphs)</v>
          </cell>
          <cell r="C5193" t="str">
            <v>Coleoptera</v>
          </cell>
          <cell r="D5193" t="str">
            <v>Tasgius morsitans</v>
          </cell>
          <cell r="E5193" t="str">
            <v>LC</v>
          </cell>
          <cell r="F5193" t="str">
            <v>Boyce, 2022</v>
          </cell>
          <cell r="G5193" t="str">
            <v>NHMSYS0020920024</v>
          </cell>
          <cell r="H5193" t="str">
            <v>Tasgius morsitans </v>
          </cell>
        </row>
        <row r="5194">
          <cell r="A5194" t="str">
            <v>Tasgius pedator </v>
          </cell>
          <cell r="B5194" t="str">
            <v>Rove beetles (macrostaphs)</v>
          </cell>
          <cell r="C5194" t="str">
            <v>Coleoptera</v>
          </cell>
          <cell r="D5194" t="str">
            <v>Tasgius pedator</v>
          </cell>
          <cell r="E5194" t="str">
            <v>LC</v>
          </cell>
          <cell r="F5194" t="str">
            <v>Boyce, 2022</v>
          </cell>
          <cell r="G5194" t="str">
            <v>NHMSYS0020920027</v>
          </cell>
          <cell r="H5194" t="str">
            <v>Tasgius pedator </v>
          </cell>
        </row>
        <row r="5195">
          <cell r="A5195" t="str">
            <v>Tasgius winkleri </v>
          </cell>
          <cell r="B5195" t="str">
            <v>Rove beetles (macrostaphs)</v>
          </cell>
          <cell r="C5195" t="str">
            <v>Coleoptera</v>
          </cell>
          <cell r="D5195" t="str">
            <v>Tasgius winkleri</v>
          </cell>
          <cell r="E5195" t="str">
            <v>LC</v>
          </cell>
          <cell r="F5195" t="str">
            <v>Boyce, 2022</v>
          </cell>
          <cell r="G5195" t="str">
            <v>NHMSYS0020920025</v>
          </cell>
          <cell r="H5195" t="str">
            <v>Tasgius winkleri </v>
          </cell>
        </row>
        <row r="5196">
          <cell r="A5196" t="str">
            <v>Tetartopeus angustatus </v>
          </cell>
          <cell r="B5196" t="str">
            <v>Rove beetles (macrostaphs)</v>
          </cell>
          <cell r="C5196" t="str">
            <v>Coleoptera</v>
          </cell>
          <cell r="D5196" t="str">
            <v>Tetartopeus angustatus</v>
          </cell>
          <cell r="E5196" t="str">
            <v>LC</v>
          </cell>
          <cell r="F5196" t="str">
            <v>Boyce, 2022</v>
          </cell>
          <cell r="G5196" t="str">
            <v>NHMSYS0021467913</v>
          </cell>
          <cell r="H5196" t="str">
            <v>Tetartopeus angustatus </v>
          </cell>
        </row>
        <row r="5197">
          <cell r="A5197" t="str">
            <v>Tetartopeus quadratus </v>
          </cell>
          <cell r="B5197" t="str">
            <v>Rove beetles (macrostaphs)</v>
          </cell>
          <cell r="C5197" t="str">
            <v>Coleoptera</v>
          </cell>
          <cell r="D5197" t="str">
            <v>Tetartopeus quadratus</v>
          </cell>
          <cell r="E5197" t="str">
            <v>LC</v>
          </cell>
          <cell r="F5197" t="str">
            <v>Boyce, 2022</v>
          </cell>
          <cell r="G5197" t="str">
            <v>NHMSYS0021467918</v>
          </cell>
          <cell r="H5197" t="str">
            <v>Tetartopeus quadratus </v>
          </cell>
        </row>
        <row r="5198">
          <cell r="A5198" t="str">
            <v>Tetartopeus rufonitidus </v>
          </cell>
          <cell r="B5198" t="str">
            <v>Rove beetles (macrostaphs)</v>
          </cell>
          <cell r="C5198" t="str">
            <v>Coleoptera</v>
          </cell>
          <cell r="D5198" t="str">
            <v>Tetartopeus rufonitidus</v>
          </cell>
          <cell r="E5198" t="str">
            <v>LC</v>
          </cell>
          <cell r="F5198" t="str">
            <v>Boyce, 2022</v>
          </cell>
          <cell r="G5198" t="str">
            <v>NHMSYS0021467923</v>
          </cell>
          <cell r="H5198" t="str">
            <v>Tetartopeus rufonitidus </v>
          </cell>
        </row>
        <row r="5199">
          <cell r="A5199" t="str">
            <v>Tetartopeus terminatus </v>
          </cell>
          <cell r="B5199" t="str">
            <v>Rove beetles (macrostaphs)</v>
          </cell>
          <cell r="C5199" t="str">
            <v>Coleoptera</v>
          </cell>
          <cell r="D5199" t="str">
            <v>Tetartopeus terminatus</v>
          </cell>
          <cell r="E5199" t="str">
            <v>LC</v>
          </cell>
          <cell r="F5199" t="str">
            <v>Boyce, 2022</v>
          </cell>
          <cell r="G5199" t="str">
            <v>NHMSYS0021467928</v>
          </cell>
          <cell r="H5199" t="str">
            <v>Tetartopeus terminatus </v>
          </cell>
        </row>
        <row r="5200">
          <cell r="A5200" t="str">
            <v>Tetartopeus zetterstedti </v>
          </cell>
          <cell r="B5200" t="str">
            <v>Rove beetles (macrostaphs)</v>
          </cell>
          <cell r="C5200" t="str">
            <v>Coleoptera</v>
          </cell>
          <cell r="D5200" t="str">
            <v>Tetartopeus zetterstedti</v>
          </cell>
          <cell r="E5200" t="str">
            <v>LC</v>
          </cell>
          <cell r="F5200" t="str">
            <v>Boyce, 2022</v>
          </cell>
          <cell r="G5200" t="str">
            <v>NHMSYS0021439310</v>
          </cell>
          <cell r="H5200" t="str">
            <v>Tetartopeus zetterstedti </v>
          </cell>
        </row>
        <row r="5201">
          <cell r="A5201" t="str">
            <v>Thinobius bicolor </v>
          </cell>
          <cell r="B5201" t="str">
            <v>Rove beetles (macrostaphs)</v>
          </cell>
          <cell r="C5201" t="str">
            <v>Coleoptera</v>
          </cell>
          <cell r="D5201" t="str">
            <v>Thinobius bicolor</v>
          </cell>
          <cell r="E5201" t="str">
            <v>LC</v>
          </cell>
          <cell r="F5201" t="str">
            <v>Boyce, 2022</v>
          </cell>
          <cell r="G5201" t="str">
            <v>NBNSYS0000023232</v>
          </cell>
          <cell r="H5201" t="str">
            <v>Thinobius bicolor </v>
          </cell>
        </row>
        <row r="5202">
          <cell r="A5202" t="str">
            <v>Thinobius brevipennis </v>
          </cell>
          <cell r="B5202" t="str">
            <v>Rove beetles (macrostaphs)</v>
          </cell>
          <cell r="C5202" t="str">
            <v>Coleoptera</v>
          </cell>
          <cell r="D5202" t="str">
            <v>Thinobius brevipennis</v>
          </cell>
          <cell r="E5202" t="str">
            <v>NT</v>
          </cell>
          <cell r="F5202" t="str">
            <v>Boyce, 2022</v>
          </cell>
          <cell r="G5202" t="str">
            <v>NBNSYS0000023233</v>
          </cell>
          <cell r="H5202" t="str">
            <v>Thinobius brevipennis </v>
          </cell>
        </row>
        <row r="5203">
          <cell r="A5203" t="str">
            <v>Thinobius ciliatus </v>
          </cell>
          <cell r="B5203" t="str">
            <v>Rove beetles (macrostaphs)</v>
          </cell>
          <cell r="C5203" t="str">
            <v>Coleoptera</v>
          </cell>
          <cell r="D5203" t="str">
            <v>Thinobius ciliatus</v>
          </cell>
          <cell r="E5203" t="str">
            <v>LC</v>
          </cell>
          <cell r="F5203" t="str">
            <v>Boyce, 2022</v>
          </cell>
          <cell r="G5203" t="str">
            <v>NHMSYS0001720369</v>
          </cell>
          <cell r="H5203" t="str">
            <v>Thinobius ciliatus </v>
          </cell>
        </row>
        <row r="5204">
          <cell r="A5204" t="str">
            <v>Thinobius crinifer </v>
          </cell>
          <cell r="B5204" t="str">
            <v>Rove beetles (macrostaphs)</v>
          </cell>
          <cell r="C5204" t="str">
            <v>Coleoptera</v>
          </cell>
          <cell r="D5204" t="str">
            <v>Thinobius crinifer</v>
          </cell>
          <cell r="E5204" t="str">
            <v>LC</v>
          </cell>
          <cell r="F5204" t="str">
            <v>Boyce, 2022</v>
          </cell>
          <cell r="G5204" t="str">
            <v>NHMSYS0001720370</v>
          </cell>
          <cell r="H5204" t="str">
            <v>Thinobius crinifer </v>
          </cell>
        </row>
        <row r="5205">
          <cell r="A5205" t="str">
            <v>Thinobius longipennis </v>
          </cell>
          <cell r="B5205" t="str">
            <v>Rove beetles (macrostaphs)</v>
          </cell>
          <cell r="C5205" t="str">
            <v>Coleoptera</v>
          </cell>
          <cell r="D5205" t="str">
            <v>Thinobius longipennis</v>
          </cell>
          <cell r="E5205" t="str">
            <v>LC</v>
          </cell>
          <cell r="F5205" t="str">
            <v>Boyce, 2022</v>
          </cell>
          <cell r="G5205" t="str">
            <v>NBNSYS0000157939</v>
          </cell>
          <cell r="H5205" t="str">
            <v>Thinobius longipennis </v>
          </cell>
        </row>
        <row r="5206">
          <cell r="A5206" t="str">
            <v>Thinobius newberyi </v>
          </cell>
          <cell r="B5206" t="str">
            <v>Rove beetles (macrostaphs)</v>
          </cell>
          <cell r="C5206" t="str">
            <v>Coleoptera</v>
          </cell>
          <cell r="D5206" t="str">
            <v>Thinobius newberyi</v>
          </cell>
          <cell r="E5206" t="str">
            <v>LC</v>
          </cell>
          <cell r="F5206" t="str">
            <v>Boyce, 2022</v>
          </cell>
          <cell r="G5206" t="str">
            <v>NBNSYS0000023235</v>
          </cell>
          <cell r="H5206" t="str">
            <v>Thinobius newberyi </v>
          </cell>
        </row>
        <row r="5207">
          <cell r="A5207" t="str">
            <v>Thinodromus arcuatus </v>
          </cell>
          <cell r="B5207" t="str">
            <v>Rove beetles (macrostaphs)</v>
          </cell>
          <cell r="C5207" t="str">
            <v>Coleoptera</v>
          </cell>
          <cell r="D5207" t="str">
            <v>Thinodromus arcuatus</v>
          </cell>
          <cell r="E5207" t="str">
            <v>LC</v>
          </cell>
          <cell r="F5207" t="str">
            <v>Boyce, 2022</v>
          </cell>
          <cell r="G5207" t="str">
            <v>NBNSYS0000023213</v>
          </cell>
          <cell r="H5207" t="str">
            <v>Thinodromus arcuatus </v>
          </cell>
        </row>
        <row r="5208">
          <cell r="A5208" t="str">
            <v>Velleius dilatatus </v>
          </cell>
          <cell r="B5208" t="str">
            <v>Rove beetles (macrostaphs)</v>
          </cell>
          <cell r="C5208" t="str">
            <v>Coleoptera</v>
          </cell>
          <cell r="D5208" t="str">
            <v>Velleius dilatatus</v>
          </cell>
          <cell r="E5208" t="str">
            <v>LC</v>
          </cell>
          <cell r="F5208" t="str">
            <v>Boyce, 2022</v>
          </cell>
          <cell r="G5208" t="str">
            <v>NHMSYS0021439320</v>
          </cell>
          <cell r="H5208" t="str">
            <v>Velleius dilatatus </v>
          </cell>
        </row>
        <row r="5209">
          <cell r="A5209" t="str">
            <v>Xantholinus elegans </v>
          </cell>
          <cell r="B5209" t="str">
            <v>Rove beetles (macrostaphs)</v>
          </cell>
          <cell r="C5209" t="str">
            <v>Coleoptera</v>
          </cell>
          <cell r="D5209" t="str">
            <v>Xantholinus elegans</v>
          </cell>
          <cell r="E5209" t="str">
            <v>LC</v>
          </cell>
          <cell r="F5209" t="str">
            <v>Boyce, 2022</v>
          </cell>
          <cell r="G5209" t="str">
            <v>NHMSYS0020920029</v>
          </cell>
          <cell r="H5209" t="str">
            <v>Xantholinus elegans </v>
          </cell>
        </row>
        <row r="5210">
          <cell r="A5210" t="str">
            <v>Xantholinus gallicus </v>
          </cell>
          <cell r="B5210" t="str">
            <v>Rove beetles (macrostaphs)</v>
          </cell>
          <cell r="C5210" t="str">
            <v>Coleoptera</v>
          </cell>
          <cell r="D5210" t="str">
            <v>Xantholinus gallicus</v>
          </cell>
          <cell r="E5210" t="str">
            <v>LC</v>
          </cell>
          <cell r="F5210" t="str">
            <v>Boyce, 2022</v>
          </cell>
          <cell r="G5210" t="str">
            <v>NBNSYS0000023422</v>
          </cell>
          <cell r="H5210" t="str">
            <v>Xantholinus gallicus </v>
          </cell>
        </row>
        <row r="5211">
          <cell r="A5211" t="str">
            <v>Xantholinus laevigatus </v>
          </cell>
          <cell r="B5211" t="str">
            <v>Rove beetles (macrostaphs)</v>
          </cell>
          <cell r="C5211" t="str">
            <v>Coleoptera</v>
          </cell>
          <cell r="D5211" t="str">
            <v>Xantholinus laevigatus</v>
          </cell>
          <cell r="E5211" t="str">
            <v>LC</v>
          </cell>
          <cell r="F5211" t="str">
            <v>Boyce, 2022</v>
          </cell>
          <cell r="G5211" t="str">
            <v>NBNSYS0000023425</v>
          </cell>
          <cell r="H5211" t="str">
            <v>Xantholinus laevigatus </v>
          </cell>
        </row>
        <row r="5212">
          <cell r="A5212" t="str">
            <v>Xantholinus linearis </v>
          </cell>
          <cell r="B5212" t="str">
            <v>Rove beetles (macrostaphs)</v>
          </cell>
          <cell r="C5212" t="str">
            <v>Coleoptera</v>
          </cell>
          <cell r="D5212" t="str">
            <v>Xantholinus linearis</v>
          </cell>
          <cell r="E5212" t="str">
            <v>LC</v>
          </cell>
          <cell r="F5212" t="str">
            <v>Boyce, 2022</v>
          </cell>
          <cell r="G5212" t="str">
            <v>NBNSYS0000023426</v>
          </cell>
          <cell r="H5212" t="str">
            <v>Xantholinus linearis </v>
          </cell>
        </row>
        <row r="5213">
          <cell r="A5213" t="str">
            <v>Xantholinus longiventris </v>
          </cell>
          <cell r="B5213" t="str">
            <v>Rove beetles (macrostaphs)</v>
          </cell>
          <cell r="C5213" t="str">
            <v>Coleoptera</v>
          </cell>
          <cell r="D5213" t="str">
            <v>Xantholinus longiventris</v>
          </cell>
          <cell r="E5213" t="str">
            <v>LC</v>
          </cell>
          <cell r="F5213" t="str">
            <v>Boyce, 2022</v>
          </cell>
          <cell r="G5213" t="str">
            <v>NBNSYS0000023427</v>
          </cell>
          <cell r="H5213" t="str">
            <v>Xantholinus longiventris </v>
          </cell>
        </row>
        <row r="5214">
          <cell r="A5214" t="str">
            <v>Xantholinus tricolor </v>
          </cell>
          <cell r="B5214" t="str">
            <v>Rove beetles (macrostaphs)</v>
          </cell>
          <cell r="C5214" t="str">
            <v>Coleoptera</v>
          </cell>
          <cell r="D5214" t="str">
            <v>Xantholinus tricolor</v>
          </cell>
          <cell r="E5214" t="str">
            <v>LC</v>
          </cell>
          <cell r="F5214" t="str">
            <v>Boyce, 2022</v>
          </cell>
          <cell r="G5214" t="str">
            <v>NBNSYS0000023428</v>
          </cell>
          <cell r="H5214" t="str">
            <v>Xantholinus tricolor </v>
          </cell>
        </row>
        <row r="5215">
          <cell r="A5215" t="str">
            <v>Xylodromus concinnus </v>
          </cell>
          <cell r="B5215" t="str">
            <v>Rove beetles (macrostaphs)</v>
          </cell>
          <cell r="C5215" t="str">
            <v>Coleoptera</v>
          </cell>
          <cell r="D5215" t="str">
            <v>Xylodromus concinnus</v>
          </cell>
          <cell r="E5215" t="str">
            <v>LC</v>
          </cell>
          <cell r="F5215" t="str">
            <v>Boyce, 2022</v>
          </cell>
          <cell r="G5215" t="str">
            <v>NBNSYS0000023167</v>
          </cell>
          <cell r="H5215" t="str">
            <v>Xylodromus concinnus </v>
          </cell>
        </row>
        <row r="5216">
          <cell r="A5216" t="str">
            <v>Xylodromus depressus </v>
          </cell>
          <cell r="B5216" t="str">
            <v>Rove beetles (macrostaphs)</v>
          </cell>
          <cell r="C5216" t="str">
            <v>Coleoptera</v>
          </cell>
          <cell r="D5216" t="str">
            <v>Xylodromus depressus</v>
          </cell>
          <cell r="E5216" t="str">
            <v>LC</v>
          </cell>
          <cell r="F5216" t="str">
            <v>Boyce, 2022</v>
          </cell>
          <cell r="G5216" t="str">
            <v>NBNSYS0000023168</v>
          </cell>
          <cell r="H5216" t="str">
            <v>Xylodromus depressus </v>
          </cell>
        </row>
        <row r="5217">
          <cell r="A5217" t="str">
            <v>Xylodromus testaceus</v>
          </cell>
          <cell r="B5217" t="str">
            <v>Rove beetles (macrostaphs)</v>
          </cell>
          <cell r="C5217" t="str">
            <v>Coleoptera</v>
          </cell>
          <cell r="D5217" t="str">
            <v>Xylodromus testaceus</v>
          </cell>
          <cell r="E5217" t="str">
            <v>RE</v>
          </cell>
          <cell r="F5217" t="str">
            <v>Boyce, 2022</v>
          </cell>
          <cell r="G5217" t="str">
            <v>NBNSYS0000023169</v>
          </cell>
          <cell r="H5217" t="str">
            <v>Xylodromus testaceus</v>
          </cell>
        </row>
        <row r="5218">
          <cell r="A5218" t="str">
            <v>Xylostiba bosnica </v>
          </cell>
          <cell r="B5218" t="str">
            <v>Rove beetles (macrostaphs)</v>
          </cell>
          <cell r="C5218" t="str">
            <v>Coleoptera</v>
          </cell>
          <cell r="D5218" t="str">
            <v>Xylostiba bosnica</v>
          </cell>
          <cell r="E5218" t="str">
            <v>LC</v>
          </cell>
          <cell r="F5218" t="str">
            <v>Boyce, 2022</v>
          </cell>
          <cell r="G5218" t="str">
            <v>NHMSYS0001720509</v>
          </cell>
          <cell r="H5218" t="str">
            <v>Xylostiba bosnica </v>
          </cell>
        </row>
        <row r="5219">
          <cell r="A5219" t="str">
            <v>Xylostiba monilicornis </v>
          </cell>
          <cell r="B5219" t="str">
            <v>Rove beetles (macrostaphs)</v>
          </cell>
          <cell r="C5219" t="str">
            <v>Coleoptera</v>
          </cell>
          <cell r="D5219" t="str">
            <v>Xylostiba monilicornis</v>
          </cell>
          <cell r="E5219" t="str">
            <v>LC</v>
          </cell>
          <cell r="F5219" t="str">
            <v>Boyce, 2022</v>
          </cell>
          <cell r="G5219" t="str">
            <v>NBNSYS0000023166</v>
          </cell>
          <cell r="H5219" t="str">
            <v>Xylostiba monilicornis </v>
          </cell>
        </row>
        <row r="5220">
          <cell r="A5220" t="str">
            <v>Bolitobius castaneus (Stephens)</v>
          </cell>
          <cell r="B5220" t="str">
            <v>Rove beetles (tachyporines)</v>
          </cell>
          <cell r="C5220" t="str">
            <v>Coleoptera</v>
          </cell>
          <cell r="D5220" t="str">
            <v>Bolitobius castaneus</v>
          </cell>
          <cell r="E5220" t="str">
            <v>LC</v>
          </cell>
          <cell r="F5220" t="str">
            <v>Lane, 2019</v>
          </cell>
          <cell r="G5220" t="str">
            <v>NHMSYS0001717344</v>
          </cell>
          <cell r="H5220" t="str">
            <v>Bolitobius castaneus (Stephens)</v>
          </cell>
        </row>
        <row r="5221">
          <cell r="A5221" t="str">
            <v>Bolitobius cingulatus (Mannerheim)</v>
          </cell>
          <cell r="B5221" t="str">
            <v>Rove beetles (tachyporines)</v>
          </cell>
          <cell r="C5221" t="str">
            <v>Coleoptera</v>
          </cell>
          <cell r="D5221" t="str">
            <v>Bolitobius cingulatus</v>
          </cell>
          <cell r="E5221" t="str">
            <v>LC</v>
          </cell>
          <cell r="F5221" t="str">
            <v>Lane, 2019</v>
          </cell>
          <cell r="G5221" t="str">
            <v>NBNSYS0000023609</v>
          </cell>
          <cell r="H5221" t="str">
            <v>Bolitobius cingulatus (Mannerheim)</v>
          </cell>
        </row>
        <row r="5222">
          <cell r="A5222" t="str">
            <v>Cilea silphoides (Linnaeus)</v>
          </cell>
          <cell r="B5222" t="str">
            <v>Rove beetles (tachyporines)</v>
          </cell>
          <cell r="C5222" t="str">
            <v>Coleoptera</v>
          </cell>
          <cell r="D5222" t="str">
            <v>Cilea silphoides</v>
          </cell>
          <cell r="E5222" t="str">
            <v>LC</v>
          </cell>
          <cell r="F5222" t="str">
            <v>Lane, 2019</v>
          </cell>
          <cell r="G5222" t="str">
            <v>NHMSYS0001717610</v>
          </cell>
          <cell r="H5222" t="str">
            <v>Cilea silphoides (Linnaeus)</v>
          </cell>
        </row>
        <row r="5223">
          <cell r="A5223" t="str">
            <v>Ischnosoma longicorne (Mäklin)</v>
          </cell>
          <cell r="B5223" t="str">
            <v>Rove beetles (tachyporines)</v>
          </cell>
          <cell r="C5223" t="str">
            <v>Coleoptera</v>
          </cell>
          <cell r="D5223" t="str">
            <v>Ischnosoma longicorne</v>
          </cell>
          <cell r="E5223" t="str">
            <v>NT</v>
          </cell>
          <cell r="F5223" t="str">
            <v>Lane, 2019</v>
          </cell>
          <cell r="G5223" t="str">
            <v>NHMSYS0001718625</v>
          </cell>
          <cell r="H5223" t="str">
            <v>Ischnosoma longicorne (Mäklin)</v>
          </cell>
        </row>
        <row r="5224">
          <cell r="A5224" t="str">
            <v>Ischnosoma splendidum (Gravenhorst)</v>
          </cell>
          <cell r="B5224" t="str">
            <v>Rove beetles (tachyporines)</v>
          </cell>
          <cell r="C5224" t="str">
            <v>Coleoptera</v>
          </cell>
          <cell r="D5224" t="str">
            <v>Ischnosoma splendidum</v>
          </cell>
          <cell r="E5224" t="str">
            <v>LC</v>
          </cell>
          <cell r="F5224" t="str">
            <v>Lane, 2019</v>
          </cell>
          <cell r="G5224" t="str">
            <v>NHMSYS0001718626</v>
          </cell>
          <cell r="H5224" t="str">
            <v>Ischnosoma splendidum (Gravenhorst)</v>
          </cell>
        </row>
        <row r="5225">
          <cell r="A5225" t="str">
            <v>Lamprinodes saginatus (Gravenhorst)</v>
          </cell>
          <cell r="B5225" t="str">
            <v>Rove beetles (tachyporines)</v>
          </cell>
          <cell r="C5225" t="str">
            <v>Coleoptera</v>
          </cell>
          <cell r="D5225" t="str">
            <v>Lamprinodes saginatus</v>
          </cell>
          <cell r="E5225" t="str">
            <v>LC</v>
          </cell>
          <cell r="F5225" t="str">
            <v>Lane, 2019</v>
          </cell>
          <cell r="G5225" t="str">
            <v>NBNSYS0000023635</v>
          </cell>
          <cell r="H5225" t="str">
            <v>Lamprinodes saginatus (Gravenhorst)</v>
          </cell>
        </row>
        <row r="5226">
          <cell r="A5226" t="str">
            <v>Lordithon exoletus (Erichson)</v>
          </cell>
          <cell r="B5226" t="str">
            <v>Rove beetles (tachyporines)</v>
          </cell>
          <cell r="C5226" t="str">
            <v>Coleoptera</v>
          </cell>
          <cell r="D5226" t="str">
            <v>Lordithon exoletus</v>
          </cell>
          <cell r="E5226" t="str">
            <v>LC</v>
          </cell>
          <cell r="F5226" t="str">
            <v>Lane, 2019</v>
          </cell>
          <cell r="G5226" t="str">
            <v>NBNSYS0000023604</v>
          </cell>
          <cell r="H5226" t="str">
            <v>Lordithon exoletus (Erichson)</v>
          </cell>
        </row>
        <row r="5227">
          <cell r="A5227" t="str">
            <v>Lordithon lunulatus (Linnaeus)</v>
          </cell>
          <cell r="B5227" t="str">
            <v>Rove beetles (tachyporines)</v>
          </cell>
          <cell r="C5227" t="str">
            <v>Coleoptera</v>
          </cell>
          <cell r="D5227" t="str">
            <v>Lordithon lunulatus</v>
          </cell>
          <cell r="E5227" t="str">
            <v>LC</v>
          </cell>
          <cell r="F5227" t="str">
            <v>Lane, 2019</v>
          </cell>
          <cell r="G5227" t="str">
            <v>NBNSYS0000023605</v>
          </cell>
          <cell r="H5227" t="str">
            <v>Lordithon lunulatus (Linnaeus)</v>
          </cell>
        </row>
        <row r="5228">
          <cell r="A5228" t="str">
            <v>Lordithon thoracicus (Fabricius)</v>
          </cell>
          <cell r="B5228" t="str">
            <v>Rove beetles (tachyporines)</v>
          </cell>
          <cell r="C5228" t="str">
            <v>Coleoptera</v>
          </cell>
          <cell r="D5228" t="str">
            <v>Lordithon thoracicus</v>
          </cell>
          <cell r="E5228" t="str">
            <v>LC</v>
          </cell>
          <cell r="F5228" t="str">
            <v>Lane, 2019</v>
          </cell>
          <cell r="G5228" t="str">
            <v>NHMSYS0001718874</v>
          </cell>
          <cell r="H5228" t="str">
            <v>Lordithon thoracicus (Fabricius)</v>
          </cell>
        </row>
        <row r="5229">
          <cell r="A5229" t="str">
            <v>Lordithon trinotatus (Erichson)</v>
          </cell>
          <cell r="B5229" t="str">
            <v>Rove beetles (tachyporines)</v>
          </cell>
          <cell r="C5229" t="str">
            <v>Coleoptera</v>
          </cell>
          <cell r="D5229" t="str">
            <v>Lordithon trinotatus</v>
          </cell>
          <cell r="E5229" t="str">
            <v>LC</v>
          </cell>
          <cell r="F5229" t="str">
            <v>Lane, 2019</v>
          </cell>
          <cell r="G5229" t="str">
            <v>NBNSYS0000023607</v>
          </cell>
          <cell r="H5229" t="str">
            <v>Lordithon trinotatus (Erichson)</v>
          </cell>
        </row>
        <row r="5230">
          <cell r="A5230" t="str">
            <v>Mycetoporus angularis Mulsant &amp; Rey</v>
          </cell>
          <cell r="B5230" t="str">
            <v>Rove beetles (tachyporines)</v>
          </cell>
          <cell r="C5230" t="str">
            <v>Coleoptera</v>
          </cell>
          <cell r="D5230" t="str">
            <v>Mycetoporus angularis</v>
          </cell>
          <cell r="E5230" t="str">
            <v>LC</v>
          </cell>
          <cell r="F5230" t="str">
            <v>Lane, 2019</v>
          </cell>
          <cell r="G5230" t="str">
            <v>NBNSYS0000023586</v>
          </cell>
          <cell r="H5230" t="str">
            <v>Mycetoporus angularis Mulsant &amp; Rey</v>
          </cell>
        </row>
        <row r="5231">
          <cell r="A5231" t="str">
            <v>Mycetoporus clavicornis (Stephens)</v>
          </cell>
          <cell r="B5231" t="str">
            <v>Rove beetles (tachyporines)</v>
          </cell>
          <cell r="C5231" t="str">
            <v>Coleoptera</v>
          </cell>
          <cell r="D5231" t="str">
            <v>Mycetoporus clavicornis</v>
          </cell>
          <cell r="E5231" t="str">
            <v>LC</v>
          </cell>
          <cell r="F5231" t="str">
            <v>Lane, 2019</v>
          </cell>
          <cell r="G5231" t="str">
            <v>NBNSYS0000023589</v>
          </cell>
          <cell r="H5231" t="str">
            <v>Mycetoporus clavicornis (Stephens)</v>
          </cell>
        </row>
        <row r="5232">
          <cell r="A5232" t="str">
            <v>Mycetoporus despectus Strand, A.</v>
          </cell>
          <cell r="B5232" t="str">
            <v>Rove beetles (tachyporines)</v>
          </cell>
          <cell r="C5232" t="str">
            <v>Coleoptera</v>
          </cell>
          <cell r="D5232" t="str">
            <v>Mycetoporus despectus</v>
          </cell>
          <cell r="E5232" t="str">
            <v>LC</v>
          </cell>
          <cell r="F5232" t="str">
            <v>Lane, 2019</v>
          </cell>
          <cell r="G5232" t="str">
            <v>NHMSYS0001719058</v>
          </cell>
          <cell r="H5232" t="str">
            <v>Mycetoporus despectus Strand, A.</v>
          </cell>
        </row>
        <row r="5233">
          <cell r="A5233" t="str">
            <v>Mycetoporus lepidus (Gravenhorst)</v>
          </cell>
          <cell r="B5233" t="str">
            <v>Rove beetles (tachyporines)</v>
          </cell>
          <cell r="C5233" t="str">
            <v>Coleoptera</v>
          </cell>
          <cell r="D5233" t="str">
            <v>Mycetoporus lepidus</v>
          </cell>
          <cell r="E5233" t="str">
            <v>LC</v>
          </cell>
          <cell r="F5233" t="str">
            <v>Lane, 2019</v>
          </cell>
          <cell r="G5233" t="str">
            <v>NHMSYS0001719062</v>
          </cell>
          <cell r="H5233" t="str">
            <v>Mycetoporus lepidus (Gravenhorst)</v>
          </cell>
        </row>
        <row r="5234">
          <cell r="A5234" t="str">
            <v>Mycetoporus longulus Mannerheim</v>
          </cell>
          <cell r="B5234" t="str">
            <v>Rove beetles (tachyporines)</v>
          </cell>
          <cell r="C5234" t="str">
            <v>Coleoptera</v>
          </cell>
          <cell r="D5234" t="str">
            <v>Mycetoporus longulus</v>
          </cell>
          <cell r="E5234" t="str">
            <v>LC</v>
          </cell>
          <cell r="F5234" t="str">
            <v>Lane, 2019</v>
          </cell>
          <cell r="G5234" t="str">
            <v>NBNSYS0000023594</v>
          </cell>
          <cell r="H5234" t="str">
            <v>Mycetoporus longulus Mannerheim</v>
          </cell>
        </row>
        <row r="5235">
          <cell r="A5235" t="str">
            <v>Mycetoporus nigricollis Stephens</v>
          </cell>
          <cell r="B5235" t="str">
            <v>Rove beetles (tachyporines)</v>
          </cell>
          <cell r="C5235" t="str">
            <v>Coleoptera</v>
          </cell>
          <cell r="D5235" t="str">
            <v>Mycetoporus nigricollis</v>
          </cell>
          <cell r="E5235" t="str">
            <v>LC</v>
          </cell>
          <cell r="F5235" t="str">
            <v>Lane, 2019</v>
          </cell>
          <cell r="G5235" t="str">
            <v>NBNSYS0000023596</v>
          </cell>
          <cell r="H5235" t="str">
            <v>Mycetoporus nigricollis Stephens</v>
          </cell>
        </row>
        <row r="5236">
          <cell r="A5236" t="str">
            <v>Mycetoporus piceolus Rey</v>
          </cell>
          <cell r="B5236" t="str">
            <v>Rove beetles (tachyporines)</v>
          </cell>
          <cell r="C5236" t="str">
            <v>Coleoptera</v>
          </cell>
          <cell r="D5236" t="str">
            <v>Mycetoporus piceolus</v>
          </cell>
          <cell r="E5236" t="str">
            <v>LC</v>
          </cell>
          <cell r="F5236" t="str">
            <v>Lane, 2019</v>
          </cell>
          <cell r="G5236" t="str">
            <v>NHMSYS0001719064</v>
          </cell>
          <cell r="H5236" t="str">
            <v>Mycetoporus piceolus Rey</v>
          </cell>
        </row>
        <row r="5237">
          <cell r="A5237" t="str">
            <v>Mycetoporus punctus (Gravenhorst)</v>
          </cell>
          <cell r="B5237" t="str">
            <v>Rove beetles (tachyporines)</v>
          </cell>
          <cell r="C5237" t="str">
            <v>Coleoptera</v>
          </cell>
          <cell r="D5237" t="str">
            <v>Mycetoporus punctus</v>
          </cell>
          <cell r="E5237" t="str">
            <v>LC</v>
          </cell>
          <cell r="F5237" t="str">
            <v>Lane, 2019</v>
          </cell>
          <cell r="G5237" t="str">
            <v>NBNSYS0000023598</v>
          </cell>
          <cell r="H5237" t="str">
            <v>Mycetoporus punctus (Gravenhorst)</v>
          </cell>
        </row>
        <row r="5238">
          <cell r="A5238" t="str">
            <v>Mycetoporus rufescens (Stephens)</v>
          </cell>
          <cell r="B5238" t="str">
            <v>Rove beetles (tachyporines)</v>
          </cell>
          <cell r="C5238" t="str">
            <v>Coleoptera</v>
          </cell>
          <cell r="D5238" t="str">
            <v>Mycetoporus rufescens</v>
          </cell>
          <cell r="E5238" t="str">
            <v>LC</v>
          </cell>
          <cell r="F5238" t="str">
            <v>Lane, 2019</v>
          </cell>
          <cell r="G5238" t="str">
            <v>NBNSYS0000023599</v>
          </cell>
          <cell r="H5238" t="str">
            <v>Mycetoporus rufescens (Stephens)</v>
          </cell>
        </row>
        <row r="5239">
          <cell r="A5239" t="str">
            <v>Parabolitobius inclinans (Gravenhorst)</v>
          </cell>
          <cell r="B5239" t="str">
            <v>Rove beetles (tachyporines)</v>
          </cell>
          <cell r="C5239" t="str">
            <v>Coleoptera</v>
          </cell>
          <cell r="D5239" t="str">
            <v>Parabolitobius inclinans</v>
          </cell>
          <cell r="E5239" t="str">
            <v>LC</v>
          </cell>
          <cell r="F5239" t="str">
            <v>Lane, 2019</v>
          </cell>
          <cell r="G5239" t="str">
            <v>NHMSYS0001719448</v>
          </cell>
          <cell r="H5239" t="str">
            <v>Parabolitobius inclinans (Gravenhorst)</v>
          </cell>
        </row>
        <row r="5240">
          <cell r="A5240" t="str">
            <v>Sepedophilus bipunctatus (Gravenhorst)</v>
          </cell>
          <cell r="B5240" t="str">
            <v>Rove beetles (tachyporines)</v>
          </cell>
          <cell r="C5240" t="str">
            <v>Coleoptera</v>
          </cell>
          <cell r="D5240" t="str">
            <v>Sepedophilus bipunctatus</v>
          </cell>
          <cell r="E5240" t="str">
            <v>LC</v>
          </cell>
          <cell r="F5240" t="str">
            <v>Lane, 2019</v>
          </cell>
          <cell r="G5240" t="str">
            <v>NBNSYS0000023612</v>
          </cell>
          <cell r="H5240" t="str">
            <v>Sepedophilus bipunctatus (Gravenhorst)</v>
          </cell>
        </row>
        <row r="5241">
          <cell r="A5241" t="str">
            <v>Sepedophilus constans (Fowler)</v>
          </cell>
          <cell r="B5241" t="str">
            <v>Rove beetles (tachyporines)</v>
          </cell>
          <cell r="C5241" t="str">
            <v>Coleoptera</v>
          </cell>
          <cell r="D5241" t="str">
            <v>Sepedophilus constans</v>
          </cell>
          <cell r="E5241" t="str">
            <v>LC</v>
          </cell>
          <cell r="F5241" t="str">
            <v>Lane, 2019</v>
          </cell>
          <cell r="G5241" t="str">
            <v>NBNSYS0000023613</v>
          </cell>
          <cell r="H5241" t="str">
            <v>Sepedophilus constans (Fowler)</v>
          </cell>
        </row>
        <row r="5242">
          <cell r="A5242" t="str">
            <v>Sepedophilus immaculatus (Stephens)</v>
          </cell>
          <cell r="B5242" t="str">
            <v>Rove beetles (tachyporines)</v>
          </cell>
          <cell r="C5242" t="str">
            <v>Coleoptera</v>
          </cell>
          <cell r="D5242" t="str">
            <v>Sepedophilus immaculatus</v>
          </cell>
          <cell r="E5242" t="str">
            <v>LC</v>
          </cell>
          <cell r="F5242" t="str">
            <v>Lane, 2019</v>
          </cell>
          <cell r="G5242" t="str">
            <v>NBNSYS0000023614</v>
          </cell>
          <cell r="H5242" t="str">
            <v>Sepedophilus immaculatus (Stephens)</v>
          </cell>
        </row>
        <row r="5243">
          <cell r="A5243" t="str">
            <v>Sepedophilus littoreus (Linnaeus)</v>
          </cell>
          <cell r="B5243" t="str">
            <v>Rove beetles (tachyporines)</v>
          </cell>
          <cell r="C5243" t="str">
            <v>Coleoptera</v>
          </cell>
          <cell r="D5243" t="str">
            <v>Sepedophilus littoreus</v>
          </cell>
          <cell r="E5243" t="str">
            <v>LC</v>
          </cell>
          <cell r="F5243" t="str">
            <v>Lane, 2019</v>
          </cell>
          <cell r="G5243" t="str">
            <v>NBNSYS0000023615</v>
          </cell>
          <cell r="H5243" t="str">
            <v>Sepedophilus littoreus (Linnaeus)</v>
          </cell>
        </row>
        <row r="5244">
          <cell r="A5244" t="str">
            <v>Sepedophilus lusitanicus Hammond</v>
          </cell>
          <cell r="B5244" t="str">
            <v>Rove beetles (tachyporines)</v>
          </cell>
          <cell r="C5244" t="str">
            <v>Coleoptera</v>
          </cell>
          <cell r="D5244" t="str">
            <v>Sepedophilus lusitanicus</v>
          </cell>
          <cell r="E5244" t="str">
            <v>LC</v>
          </cell>
          <cell r="F5244" t="str">
            <v>Lane, 2019</v>
          </cell>
          <cell r="G5244" t="str">
            <v>NBNSYS0000023616</v>
          </cell>
          <cell r="H5244" t="str">
            <v>Sepedophilus lusitanicus Hammond</v>
          </cell>
        </row>
        <row r="5245">
          <cell r="A5245" t="str">
            <v>Sepedophilus marshami (Stephens)</v>
          </cell>
          <cell r="B5245" t="str">
            <v>Rove beetles (tachyporines)</v>
          </cell>
          <cell r="C5245" t="str">
            <v>Coleoptera</v>
          </cell>
          <cell r="D5245" t="str">
            <v>Sepedophilus marshami</v>
          </cell>
          <cell r="E5245" t="str">
            <v>LC</v>
          </cell>
          <cell r="F5245" t="str">
            <v>Lane, 2019</v>
          </cell>
          <cell r="G5245" t="str">
            <v>NBNSYS0000023617</v>
          </cell>
          <cell r="H5245" t="str">
            <v>Sepedophilus marshami (Stephens)</v>
          </cell>
        </row>
        <row r="5246">
          <cell r="A5246" t="str">
            <v>Sepedophilus nigripennis (Stephens)</v>
          </cell>
          <cell r="B5246" t="str">
            <v>Rove beetles (tachyporines)</v>
          </cell>
          <cell r="C5246" t="str">
            <v>Coleoptera</v>
          </cell>
          <cell r="D5246" t="str">
            <v>Sepedophilus nigripennis</v>
          </cell>
          <cell r="E5246" t="str">
            <v>LC</v>
          </cell>
          <cell r="F5246" t="str">
            <v>Lane, 2019</v>
          </cell>
          <cell r="G5246" t="str">
            <v>NBNSYS0000023618</v>
          </cell>
          <cell r="H5246" t="str">
            <v>Sepedophilus nigripennis (Stephens)</v>
          </cell>
        </row>
        <row r="5247">
          <cell r="A5247" t="str">
            <v>Sepedophilus pedicularius (Gravenhorst)</v>
          </cell>
          <cell r="B5247" t="str">
            <v>Rove beetles (tachyporines)</v>
          </cell>
          <cell r="C5247" t="str">
            <v>Coleoptera</v>
          </cell>
          <cell r="D5247" t="str">
            <v>Sepedophilus pedicularius</v>
          </cell>
          <cell r="E5247" t="str">
            <v>LC</v>
          </cell>
          <cell r="F5247" t="str">
            <v>Lane, 2019</v>
          </cell>
          <cell r="G5247" t="str">
            <v>NBNSYS0000023619</v>
          </cell>
          <cell r="H5247" t="str">
            <v>Sepedophilus pedicularius (Gravenhorst)</v>
          </cell>
        </row>
        <row r="5248">
          <cell r="A5248" t="str">
            <v>Sepedophilus testaceus (Fabricius)</v>
          </cell>
          <cell r="B5248" t="str">
            <v>Rove beetles (tachyporines)</v>
          </cell>
          <cell r="C5248" t="str">
            <v>Coleoptera</v>
          </cell>
          <cell r="D5248" t="str">
            <v>Sepedophilus testaceus</v>
          </cell>
          <cell r="E5248" t="str">
            <v>LC</v>
          </cell>
          <cell r="F5248" t="str">
            <v>Lane, 2019</v>
          </cell>
          <cell r="G5248" t="str">
            <v>NHMSYS0001720080</v>
          </cell>
          <cell r="H5248" t="str">
            <v>Sepedophilus testaceus (Fabricius)</v>
          </cell>
        </row>
        <row r="5249">
          <cell r="A5249" t="str">
            <v>Tachinus bipustulatus (Fabricius)</v>
          </cell>
          <cell r="B5249" t="str">
            <v>Rove beetles (tachyporines)</v>
          </cell>
          <cell r="C5249" t="str">
            <v>Coleoptera</v>
          </cell>
          <cell r="D5249" t="str">
            <v>Tachinus bipustulatus</v>
          </cell>
          <cell r="E5249" t="str">
            <v>CR</v>
          </cell>
          <cell r="F5249" t="str">
            <v>Lane, 2019</v>
          </cell>
          <cell r="G5249" t="str">
            <v>NHMSYS0001720287</v>
          </cell>
          <cell r="H5249" t="str">
            <v>Tachinus bipustulatus (Fabricius)</v>
          </cell>
        </row>
        <row r="5250">
          <cell r="A5250" t="str">
            <v>Tachinus corticinus Gravenhorst</v>
          </cell>
          <cell r="B5250" t="str">
            <v>Rove beetles (tachyporines)</v>
          </cell>
          <cell r="C5250" t="str">
            <v>Coleoptera</v>
          </cell>
          <cell r="D5250" t="str">
            <v>Tachinus corticinus</v>
          </cell>
          <cell r="E5250" t="str">
            <v>LC</v>
          </cell>
          <cell r="F5250" t="str">
            <v>Lane, 2019</v>
          </cell>
          <cell r="G5250" t="str">
            <v>NBNSYS0000023637</v>
          </cell>
          <cell r="H5250" t="str">
            <v>Tachinus corticinus Gravenhorst</v>
          </cell>
        </row>
        <row r="5251">
          <cell r="A5251" t="str">
            <v>Tachinus flavolimbatus Pandellé</v>
          </cell>
          <cell r="B5251" t="str">
            <v>Rove beetles (tachyporines)</v>
          </cell>
          <cell r="C5251" t="str">
            <v>Coleoptera</v>
          </cell>
          <cell r="D5251" t="str">
            <v>Tachinus flavolimbatus</v>
          </cell>
          <cell r="E5251" t="str">
            <v>LC</v>
          </cell>
          <cell r="F5251" t="str">
            <v>Lane, 2019</v>
          </cell>
          <cell r="G5251" t="str">
            <v>NHMSYS0001720288</v>
          </cell>
          <cell r="H5251" t="str">
            <v>Tachinus flavolimbatus Pandellé</v>
          </cell>
        </row>
        <row r="5252">
          <cell r="A5252" t="str">
            <v>Tachinus humeralis Gravenhorst</v>
          </cell>
          <cell r="B5252" t="str">
            <v>Rove beetles (tachyporines)</v>
          </cell>
          <cell r="C5252" t="str">
            <v>Coleoptera</v>
          </cell>
          <cell r="D5252" t="str">
            <v>Tachinus humeralis</v>
          </cell>
          <cell r="E5252" t="str">
            <v>LC</v>
          </cell>
          <cell r="F5252" t="str">
            <v>Lane, 2019</v>
          </cell>
          <cell r="G5252" t="str">
            <v>NBNSYS0000023640</v>
          </cell>
          <cell r="H5252" t="str">
            <v>Tachinus humeralis Gravenhorst</v>
          </cell>
        </row>
        <row r="5253">
          <cell r="A5253" t="str">
            <v>Tachinus laticollis Gravenhorst</v>
          </cell>
          <cell r="B5253" t="str">
            <v>Rove beetles (tachyporines)</v>
          </cell>
          <cell r="C5253" t="str">
            <v>Coleoptera</v>
          </cell>
          <cell r="D5253" t="str">
            <v>Tachinus laticollis</v>
          </cell>
          <cell r="E5253" t="str">
            <v>LC</v>
          </cell>
          <cell r="F5253" t="str">
            <v>Lane, 2019</v>
          </cell>
          <cell r="G5253" t="str">
            <v>NBNSYS0000023641</v>
          </cell>
          <cell r="H5253" t="str">
            <v>Tachinus laticollis Gravenhorst</v>
          </cell>
        </row>
        <row r="5254">
          <cell r="A5254" t="str">
            <v>Tachinus lignorum (Linnaeus)</v>
          </cell>
          <cell r="B5254" t="str">
            <v>Rove beetles (tachyporines)</v>
          </cell>
          <cell r="C5254" t="str">
            <v>Coleoptera</v>
          </cell>
          <cell r="D5254" t="str">
            <v>Tachinus lignorum</v>
          </cell>
          <cell r="E5254" t="str">
            <v>LC</v>
          </cell>
          <cell r="F5254" t="str">
            <v>Lane, 2019</v>
          </cell>
          <cell r="G5254" t="str">
            <v>NBNSYS0000023642</v>
          </cell>
          <cell r="H5254" t="str">
            <v>Tachinus lignorum (Linnaeus)</v>
          </cell>
        </row>
        <row r="5255">
          <cell r="A5255" t="str">
            <v>Tachinus marginellus (Fabricius)</v>
          </cell>
          <cell r="B5255" t="str">
            <v>Rove beetles (tachyporines)</v>
          </cell>
          <cell r="C5255" t="str">
            <v>Coleoptera</v>
          </cell>
          <cell r="D5255" t="str">
            <v>Tachinus marginellus</v>
          </cell>
          <cell r="E5255" t="str">
            <v>LC</v>
          </cell>
          <cell r="F5255" t="str">
            <v>Lane, 2019</v>
          </cell>
          <cell r="G5255" t="str">
            <v>NHMSYS0001720289</v>
          </cell>
          <cell r="H5255" t="str">
            <v>Tachinus marginellus (Fabricius)</v>
          </cell>
        </row>
        <row r="5256">
          <cell r="A5256" t="str">
            <v>Tachinus pallipes (Gravenhorst)</v>
          </cell>
          <cell r="B5256" t="str">
            <v>Rove beetles (tachyporines)</v>
          </cell>
          <cell r="C5256" t="str">
            <v>Coleoptera</v>
          </cell>
          <cell r="D5256" t="str">
            <v>Tachinus pallipes</v>
          </cell>
          <cell r="E5256" t="str">
            <v>LC</v>
          </cell>
          <cell r="F5256" t="str">
            <v>Lane, 2019</v>
          </cell>
          <cell r="G5256" t="str">
            <v>NBNSYS0000023644</v>
          </cell>
          <cell r="H5256" t="str">
            <v>Tachinus pallipes (Gravenhorst)</v>
          </cell>
        </row>
        <row r="5257">
          <cell r="A5257" t="str">
            <v>Tachinus proximus Kraatz</v>
          </cell>
          <cell r="B5257" t="str">
            <v>Rove beetles (tachyporines)</v>
          </cell>
          <cell r="C5257" t="str">
            <v>Coleoptera</v>
          </cell>
          <cell r="D5257" t="str">
            <v>Tachinus proximus</v>
          </cell>
          <cell r="E5257" t="str">
            <v>LC</v>
          </cell>
          <cell r="F5257" t="str">
            <v>Lane, 2019</v>
          </cell>
          <cell r="G5257" t="str">
            <v>NBNSYS0000023645</v>
          </cell>
          <cell r="H5257" t="str">
            <v>Tachinus proximus Kraatz</v>
          </cell>
        </row>
        <row r="5258">
          <cell r="A5258" t="str">
            <v>Tachinus rufipennis Gyllenhal</v>
          </cell>
          <cell r="B5258" t="str">
            <v>Rove beetles (tachyporines)</v>
          </cell>
          <cell r="C5258" t="str">
            <v>Coleoptera</v>
          </cell>
          <cell r="D5258" t="str">
            <v>Tachinus rufipennis</v>
          </cell>
          <cell r="E5258" t="str">
            <v>NT</v>
          </cell>
          <cell r="F5258" t="str">
            <v>Lane, 2019</v>
          </cell>
          <cell r="G5258" t="str">
            <v>NBNSYS0000023646</v>
          </cell>
          <cell r="H5258" t="str">
            <v>Tachinus rufipennis Gyllenhal</v>
          </cell>
        </row>
        <row r="5259">
          <cell r="A5259" t="str">
            <v>Tachinus rufipes (Linnaeus)</v>
          </cell>
          <cell r="B5259" t="str">
            <v>Rove beetles (tachyporines)</v>
          </cell>
          <cell r="C5259" t="str">
            <v>Coleoptera</v>
          </cell>
          <cell r="D5259" t="str">
            <v>Tachinus rufipes</v>
          </cell>
          <cell r="E5259" t="str">
            <v>LC</v>
          </cell>
          <cell r="F5259" t="str">
            <v>Lane, 2019</v>
          </cell>
          <cell r="G5259" t="str">
            <v>NHMSYS0001720290</v>
          </cell>
          <cell r="H5259" t="str">
            <v>Tachinus rufipes (Linnaeus)</v>
          </cell>
        </row>
        <row r="5260">
          <cell r="A5260" t="str">
            <v>Tachinus scapularis</v>
          </cell>
          <cell r="B5260" t="str">
            <v>Rove beetles (tachyporines)</v>
          </cell>
          <cell r="C5260" t="str">
            <v>Coleoptera</v>
          </cell>
          <cell r="D5260" t="str">
            <v>Tachinus scapularis</v>
          </cell>
          <cell r="E5260" t="str">
            <v>RE</v>
          </cell>
          <cell r="F5260" t="str">
            <v>Lane, 2019</v>
          </cell>
          <cell r="G5260" t="str">
            <v>NBNSYS0000023647</v>
          </cell>
          <cell r="H5260" t="str">
            <v>Tachinus scapularis</v>
          </cell>
        </row>
        <row r="5261">
          <cell r="A5261" t="str">
            <v>Tachinus subterraneus (Linnaeus)</v>
          </cell>
          <cell r="B5261" t="str">
            <v>Rove beetles (tachyporines)</v>
          </cell>
          <cell r="C5261" t="str">
            <v>Coleoptera</v>
          </cell>
          <cell r="D5261" t="str">
            <v>Tachinus subterraneus</v>
          </cell>
          <cell r="E5261" t="str">
            <v>LC</v>
          </cell>
          <cell r="F5261" t="str">
            <v>Lane, 2019</v>
          </cell>
          <cell r="G5261" t="str">
            <v>NBNSYS0000023649</v>
          </cell>
          <cell r="H5261" t="str">
            <v>Tachinus subterraneus (Linnaeus)</v>
          </cell>
        </row>
        <row r="5262">
          <cell r="A5262" t="str">
            <v>Tachyporus atriceps Stephens</v>
          </cell>
          <cell r="B5262" t="str">
            <v>Rove beetles (tachyporines)</v>
          </cell>
          <cell r="C5262" t="str">
            <v>Coleoptera</v>
          </cell>
          <cell r="D5262" t="str">
            <v>Tachyporus atriceps</v>
          </cell>
          <cell r="E5262" t="str">
            <v>LC</v>
          </cell>
          <cell r="F5262" t="str">
            <v>Lane, 2019</v>
          </cell>
          <cell r="G5262" t="str">
            <v>NBNSYS0000023621</v>
          </cell>
          <cell r="H5262" t="str">
            <v>Tachyporus atriceps Stephens</v>
          </cell>
        </row>
        <row r="5263">
          <cell r="A5263" t="str">
            <v>Tachyporus chrysomelinus (Linnaeus)</v>
          </cell>
          <cell r="B5263" t="str">
            <v>Rove beetles (tachyporines)</v>
          </cell>
          <cell r="C5263" t="str">
            <v>Coleoptera</v>
          </cell>
          <cell r="D5263" t="str">
            <v>Tachyporus chrysomelinus</v>
          </cell>
          <cell r="E5263" t="str">
            <v>LC</v>
          </cell>
          <cell r="F5263" t="str">
            <v>Lane, 2019</v>
          </cell>
          <cell r="G5263" t="str">
            <v>NBNSYS0000023622</v>
          </cell>
          <cell r="H5263" t="str">
            <v>Tachyporus chrysomelinus (Linnaeus)</v>
          </cell>
        </row>
        <row r="5264">
          <cell r="A5264" t="str">
            <v>Tachyporus dispar (Paykull)</v>
          </cell>
          <cell r="B5264" t="str">
            <v>Rove beetles (tachyporines)</v>
          </cell>
          <cell r="C5264" t="str">
            <v>Coleoptera</v>
          </cell>
          <cell r="D5264" t="str">
            <v>Tachyporus dispar</v>
          </cell>
          <cell r="E5264" t="str">
            <v>LC</v>
          </cell>
          <cell r="F5264" t="str">
            <v>Lane, 2019</v>
          </cell>
          <cell r="G5264" t="str">
            <v>NBNSYS0000023623</v>
          </cell>
          <cell r="H5264" t="str">
            <v>Tachyporus dispar (Paykull)</v>
          </cell>
        </row>
        <row r="5265">
          <cell r="A5265" t="str">
            <v>Tachyporus formosus Matthews, A.H.</v>
          </cell>
          <cell r="B5265" t="str">
            <v>Rove beetles (tachyporines)</v>
          </cell>
          <cell r="C5265" t="str">
            <v>Coleoptera</v>
          </cell>
          <cell r="D5265" t="str">
            <v>Tachyporus formosus</v>
          </cell>
          <cell r="E5265" t="str">
            <v>LC</v>
          </cell>
          <cell r="F5265" t="str">
            <v>Lane, 2019</v>
          </cell>
          <cell r="G5265" t="str">
            <v>NHMSYS0001720295</v>
          </cell>
          <cell r="H5265" t="str">
            <v>Tachyporus formosus Matthews, A.H.</v>
          </cell>
        </row>
        <row r="5266">
          <cell r="A5266" t="str">
            <v>Tachyporus hypnorum (Fabricius)</v>
          </cell>
          <cell r="B5266" t="str">
            <v>Rove beetles (tachyporines)</v>
          </cell>
          <cell r="C5266" t="str">
            <v>Coleoptera</v>
          </cell>
          <cell r="D5266" t="str">
            <v>Tachyporus hypnorum</v>
          </cell>
          <cell r="E5266" t="str">
            <v>LC</v>
          </cell>
          <cell r="F5266" t="str">
            <v>Lane, 2019</v>
          </cell>
          <cell r="G5266" t="str">
            <v>NHMSYS0001720296</v>
          </cell>
          <cell r="H5266" t="str">
            <v>Tachyporus hypnorum (Fabricius)</v>
          </cell>
        </row>
        <row r="5267">
          <cell r="A5267" t="str">
            <v>Tachyporus nitidulus (Fabricius)</v>
          </cell>
          <cell r="B5267" t="str">
            <v>Rove beetles (tachyporines)</v>
          </cell>
          <cell r="C5267" t="str">
            <v>Coleoptera</v>
          </cell>
          <cell r="D5267" t="str">
            <v>Tachyporus nitidulus</v>
          </cell>
          <cell r="E5267" t="str">
            <v>LC</v>
          </cell>
          <cell r="F5267" t="str">
            <v>Lane, 2019</v>
          </cell>
          <cell r="G5267" t="str">
            <v>NHMSYS0001720298</v>
          </cell>
          <cell r="H5267" t="str">
            <v>Tachyporus nitidulus (Fabricius)</v>
          </cell>
        </row>
        <row r="5268">
          <cell r="A5268" t="str">
            <v>Tachyporus obtusus (Linnaeus)</v>
          </cell>
          <cell r="B5268" t="str">
            <v>Rove beetles (tachyporines)</v>
          </cell>
          <cell r="C5268" t="str">
            <v>Coleoptera</v>
          </cell>
          <cell r="D5268" t="str">
            <v>Tachyporus obtusus</v>
          </cell>
          <cell r="E5268" t="str">
            <v>LC</v>
          </cell>
          <cell r="F5268" t="str">
            <v>Lane, 2019</v>
          </cell>
          <cell r="G5268" t="str">
            <v>NBNSYS0000023627</v>
          </cell>
          <cell r="H5268" t="str">
            <v>Tachyporus obtusus (Linnaeus)</v>
          </cell>
        </row>
        <row r="5269">
          <cell r="A5269" t="str">
            <v>Tachyporus pallidus Sharp</v>
          </cell>
          <cell r="B5269" t="str">
            <v>Rove beetles (tachyporines)</v>
          </cell>
          <cell r="C5269" t="str">
            <v>Coleoptera</v>
          </cell>
          <cell r="D5269" t="str">
            <v>Tachyporus pallidus</v>
          </cell>
          <cell r="E5269" t="str">
            <v>LC</v>
          </cell>
          <cell r="F5269" t="str">
            <v>Lane, 2019</v>
          </cell>
          <cell r="G5269" t="str">
            <v>NBNSYS0000023628</v>
          </cell>
          <cell r="H5269" t="str">
            <v>Tachyporus pallidus Sharp</v>
          </cell>
        </row>
        <row r="5270">
          <cell r="A5270" t="str">
            <v>Tachyporus pusillus Gravenhorst</v>
          </cell>
          <cell r="B5270" t="str">
            <v>Rove beetles (tachyporines)</v>
          </cell>
          <cell r="C5270" t="str">
            <v>Coleoptera</v>
          </cell>
          <cell r="D5270" t="str">
            <v>Tachyporus pusillus</v>
          </cell>
          <cell r="E5270" t="str">
            <v>LC</v>
          </cell>
          <cell r="F5270" t="str">
            <v>Lane, 2019</v>
          </cell>
          <cell r="G5270" t="str">
            <v>NBNSYS0000023629</v>
          </cell>
          <cell r="H5270" t="str">
            <v>Tachyporus pusillus Gravenhorst</v>
          </cell>
        </row>
        <row r="5271">
          <cell r="A5271" t="str">
            <v>Tachyporus scitulus Erichson</v>
          </cell>
          <cell r="B5271" t="str">
            <v>Rove beetles (tachyporines)</v>
          </cell>
          <cell r="C5271" t="str">
            <v>Coleoptera</v>
          </cell>
          <cell r="D5271" t="str">
            <v>Tachyporus scitulus</v>
          </cell>
          <cell r="E5271" t="str">
            <v>LC</v>
          </cell>
          <cell r="F5271" t="str">
            <v>Lane, 2019</v>
          </cell>
          <cell r="G5271" t="str">
            <v>NBNSYS0000023631</v>
          </cell>
          <cell r="H5271" t="str">
            <v>Tachyporus scitulus Erichson</v>
          </cell>
        </row>
        <row r="5272">
          <cell r="A5272" t="str">
            <v>Tachyporus solutus Erichson</v>
          </cell>
          <cell r="B5272" t="str">
            <v>Rove beetles (tachyporines)</v>
          </cell>
          <cell r="C5272" t="str">
            <v>Coleoptera</v>
          </cell>
          <cell r="D5272" t="str">
            <v>Tachyporus solutus</v>
          </cell>
          <cell r="E5272" t="str">
            <v>LC</v>
          </cell>
          <cell r="F5272" t="str">
            <v>Lane, 2019</v>
          </cell>
          <cell r="G5272" t="str">
            <v>NBNSYS0000023632</v>
          </cell>
          <cell r="H5272" t="str">
            <v>Tachyporus solutus Erichson</v>
          </cell>
        </row>
        <row r="5273">
          <cell r="A5273" t="str">
            <v>Tachyporus tersus Erichson</v>
          </cell>
          <cell r="B5273" t="str">
            <v>Rove beetles (tachyporines)</v>
          </cell>
          <cell r="C5273" t="str">
            <v>Coleoptera</v>
          </cell>
          <cell r="D5273" t="str">
            <v>Tachyporus tersus</v>
          </cell>
          <cell r="E5273" t="str">
            <v>LC</v>
          </cell>
          <cell r="F5273" t="str">
            <v>Lane, 2019</v>
          </cell>
          <cell r="G5273" t="str">
            <v>NBNSYS0000023633</v>
          </cell>
          <cell r="H5273" t="str">
            <v>Tachyporus tersus Erichson</v>
          </cell>
        </row>
        <row r="5274">
          <cell r="A5274" t="str">
            <v>Tachyporus transversalis Gravenhorst</v>
          </cell>
          <cell r="B5274" t="str">
            <v>Rove beetles (tachyporines)</v>
          </cell>
          <cell r="C5274" t="str">
            <v>Coleoptera</v>
          </cell>
          <cell r="D5274" t="str">
            <v>Tachyporus transversalis</v>
          </cell>
          <cell r="E5274" t="str">
            <v>LC</v>
          </cell>
          <cell r="F5274" t="str">
            <v>Lane, 2019</v>
          </cell>
          <cell r="G5274" t="str">
            <v>NBNSYS0000023634</v>
          </cell>
          <cell r="H5274" t="str">
            <v>Tachyporus transversalis Gravenhorst</v>
          </cell>
        </row>
        <row r="5275">
          <cell r="A5275" t="str">
            <v>Aegialia arenaria</v>
          </cell>
          <cell r="B5275" t="str">
            <v>Scarab beetles and allies</v>
          </cell>
          <cell r="C5275" t="str">
            <v>Coleoptera</v>
          </cell>
          <cell r="D5275" t="str">
            <v>Aegialia arenaria</v>
          </cell>
          <cell r="E5275" t="str">
            <v>LC</v>
          </cell>
          <cell r="F5275" t="str">
            <v>Lane &amp; Mann, 2016</v>
          </cell>
          <cell r="G5275" t="str">
            <v>NBNSYS0000011463</v>
          </cell>
          <cell r="H5275" t="str">
            <v>Aegialia arenaria</v>
          </cell>
        </row>
        <row r="5276">
          <cell r="A5276" t="str">
            <v>Aegialia insularis</v>
          </cell>
          <cell r="B5276" t="str">
            <v>Scarab beetles and allies</v>
          </cell>
          <cell r="C5276" t="str">
            <v>Coleoptera</v>
          </cell>
          <cell r="D5276" t="str">
            <v>Aegialia insularis</v>
          </cell>
          <cell r="E5276" t="str">
            <v>LC</v>
          </cell>
          <cell r="F5276" t="str">
            <v>Lane &amp; Mann, 2016</v>
          </cell>
          <cell r="G5276" t="str">
            <v>NHMSYS0021422129</v>
          </cell>
          <cell r="H5276" t="str">
            <v>Aegialia insularis</v>
          </cell>
        </row>
        <row r="5277">
          <cell r="A5277" t="str">
            <v>Aegialia rufa</v>
          </cell>
          <cell r="B5277" t="str">
            <v>Scarab beetles and allies</v>
          </cell>
          <cell r="C5277" t="str">
            <v>Coleoptera</v>
          </cell>
          <cell r="D5277" t="str">
            <v>Aegialia rufa</v>
          </cell>
          <cell r="E5277" t="str">
            <v>EN</v>
          </cell>
          <cell r="F5277" t="str">
            <v>Lane &amp; Mann, 2016</v>
          </cell>
          <cell r="G5277" t="str">
            <v>NBNSYS0000155959</v>
          </cell>
          <cell r="H5277" t="str">
            <v>Aegialia rufa</v>
          </cell>
        </row>
        <row r="5278">
          <cell r="A5278" t="str">
            <v>Amphimallon fallenii</v>
          </cell>
          <cell r="B5278" t="str">
            <v>Scarab beetles and allies</v>
          </cell>
          <cell r="C5278" t="str">
            <v>Coleoptera</v>
          </cell>
          <cell r="D5278" t="str">
            <v>Amphimallon fallenii</v>
          </cell>
          <cell r="E5278" t="str">
            <v>NT</v>
          </cell>
          <cell r="F5278" t="str">
            <v>Lane &amp; Mann, 2016</v>
          </cell>
          <cell r="G5278" t="str">
            <v>NHMSYS0021366869</v>
          </cell>
          <cell r="H5278" t="str">
            <v>Amphimallon fallenii</v>
          </cell>
        </row>
        <row r="5279">
          <cell r="A5279" t="str">
            <v>Amphimallon solstitiale</v>
          </cell>
          <cell r="B5279" t="str">
            <v>Scarab beetles and allies</v>
          </cell>
          <cell r="C5279" t="str">
            <v>Coleoptera</v>
          </cell>
          <cell r="D5279" t="str">
            <v>Amphimallon solstitiale</v>
          </cell>
          <cell r="E5279" t="str">
            <v>LC</v>
          </cell>
          <cell r="F5279" t="str">
            <v>Lane &amp; Mann, 2016</v>
          </cell>
          <cell r="G5279" t="str">
            <v>NBNSYS0000141623</v>
          </cell>
          <cell r="H5279" t="str">
            <v>Amphimallon solstitiale</v>
          </cell>
        </row>
        <row r="5280">
          <cell r="A5280" t="str">
            <v>Anomala dubia</v>
          </cell>
          <cell r="B5280" t="str">
            <v>Scarab beetles and allies</v>
          </cell>
          <cell r="C5280" t="str">
            <v>Coleoptera</v>
          </cell>
          <cell r="D5280" t="str">
            <v>Anomala dubia</v>
          </cell>
          <cell r="E5280" t="str">
            <v>LC</v>
          </cell>
          <cell r="F5280" t="str">
            <v>Lane &amp; Mann, 2016</v>
          </cell>
          <cell r="G5280" t="str">
            <v>NBNSYS0000011543</v>
          </cell>
          <cell r="H5280" t="str">
            <v>Anomala dubia</v>
          </cell>
        </row>
        <row r="5281">
          <cell r="A5281" t="str">
            <v>Anoplotrupes stercorosus</v>
          </cell>
          <cell r="B5281" t="str">
            <v>Scarab beetles and allies</v>
          </cell>
          <cell r="C5281" t="str">
            <v>Coleoptera</v>
          </cell>
          <cell r="D5281" t="str">
            <v>Anoplotrupes stercorosus</v>
          </cell>
          <cell r="E5281" t="str">
            <v>LC</v>
          </cell>
          <cell r="F5281" t="str">
            <v>Lane &amp; Mann, 2016</v>
          </cell>
          <cell r="G5281" t="str">
            <v>NHMSYS0001716840</v>
          </cell>
          <cell r="H5281" t="str">
            <v>Anoplotrupes stercorosus</v>
          </cell>
        </row>
        <row r="5282">
          <cell r="A5282" t="str">
            <v>Aphodius arenarius</v>
          </cell>
          <cell r="B5282" t="str">
            <v>Scarab beetles and allies</v>
          </cell>
          <cell r="C5282" t="str">
            <v>Coleoptera</v>
          </cell>
          <cell r="D5282" t="str">
            <v>Aphodius arenarius</v>
          </cell>
          <cell r="E5282" t="str">
            <v>NT</v>
          </cell>
          <cell r="F5282" t="str">
            <v>Lane &amp; Mann, 2016</v>
          </cell>
          <cell r="G5282" t="str">
            <v>NHMSYS0021442555</v>
          </cell>
          <cell r="H5282" t="str">
            <v>Aphodius arenarius</v>
          </cell>
        </row>
        <row r="5283">
          <cell r="A5283" t="str">
            <v>Aphodius ater</v>
          </cell>
          <cell r="B5283" t="str">
            <v>Scarab beetles and allies</v>
          </cell>
          <cell r="C5283" t="str">
            <v>Coleoptera</v>
          </cell>
          <cell r="D5283" t="str">
            <v>Aphodius ater</v>
          </cell>
          <cell r="E5283" t="str">
            <v>LC</v>
          </cell>
          <cell r="F5283" t="str">
            <v>Lane &amp; Mann, 2016</v>
          </cell>
          <cell r="G5283" t="str">
            <v>NHMSYS0021442415</v>
          </cell>
          <cell r="H5283" t="str">
            <v>Aphodius ater</v>
          </cell>
        </row>
        <row r="5284">
          <cell r="A5284" t="str">
            <v>Aphodius borealis</v>
          </cell>
          <cell r="B5284" t="str">
            <v>Scarab beetles and allies</v>
          </cell>
          <cell r="C5284" t="str">
            <v>Coleoptera</v>
          </cell>
          <cell r="D5284" t="str">
            <v>Aphodius borealis</v>
          </cell>
          <cell r="E5284" t="str">
            <v>LC</v>
          </cell>
          <cell r="F5284" t="str">
            <v>Lane &amp; Mann, 2016</v>
          </cell>
          <cell r="G5284" t="str">
            <v>NHMSYS0021442965</v>
          </cell>
          <cell r="H5284" t="str">
            <v>Aphodius borealis</v>
          </cell>
        </row>
        <row r="5285">
          <cell r="A5285" t="str">
            <v>Aphodius brevis</v>
          </cell>
          <cell r="B5285" t="str">
            <v>Scarab beetles and allies</v>
          </cell>
          <cell r="C5285" t="str">
            <v>Coleoptera</v>
          </cell>
          <cell r="D5285" t="str">
            <v>Aphodius brevis</v>
          </cell>
          <cell r="E5285" t="str">
            <v>CR(PE)</v>
          </cell>
          <cell r="F5285" t="str">
            <v>Lane &amp; Mann, 2016</v>
          </cell>
          <cell r="G5285" t="str">
            <v>NBNSYS0000141605</v>
          </cell>
          <cell r="H5285" t="str">
            <v>Aphodius brevis</v>
          </cell>
        </row>
        <row r="5286">
          <cell r="A5286" t="str">
            <v>Aphodius coenosus</v>
          </cell>
          <cell r="B5286" t="str">
            <v>Scarab beetles and allies</v>
          </cell>
          <cell r="C5286" t="str">
            <v>Coleoptera</v>
          </cell>
          <cell r="D5286" t="str">
            <v>Aphodius coenosus</v>
          </cell>
          <cell r="E5286" t="str">
            <v>LC</v>
          </cell>
          <cell r="F5286" t="str">
            <v>Lane &amp; Mann, 2016</v>
          </cell>
          <cell r="G5286" t="str">
            <v>NHMSYS0021442480</v>
          </cell>
          <cell r="H5286" t="str">
            <v>Aphodius coenosus</v>
          </cell>
        </row>
        <row r="5287">
          <cell r="A5287" t="str">
            <v>Aphodius conspurcatus</v>
          </cell>
          <cell r="B5287" t="str">
            <v>Scarab beetles and allies</v>
          </cell>
          <cell r="C5287" t="str">
            <v>Coleoptera</v>
          </cell>
          <cell r="D5287" t="str">
            <v>Aphodius conspurcatus</v>
          </cell>
          <cell r="E5287" t="str">
            <v>LC</v>
          </cell>
          <cell r="F5287" t="str">
            <v>Lane &amp; Mann, 2016</v>
          </cell>
          <cell r="G5287" t="str">
            <v>NHMSYS0021442450</v>
          </cell>
          <cell r="H5287" t="str">
            <v>Aphodius conspurcatus</v>
          </cell>
        </row>
        <row r="5288">
          <cell r="A5288" t="str">
            <v>Aphodius consputus</v>
          </cell>
          <cell r="B5288" t="str">
            <v>Scarab beetles and allies</v>
          </cell>
          <cell r="C5288" t="str">
            <v>Coleoptera</v>
          </cell>
          <cell r="D5288" t="str">
            <v>Aphodius consputus</v>
          </cell>
          <cell r="E5288" t="str">
            <v>LC</v>
          </cell>
          <cell r="F5288" t="str">
            <v>Lane &amp; Mann, 2016</v>
          </cell>
          <cell r="G5288" t="str">
            <v>NHMSYS0021442510</v>
          </cell>
          <cell r="H5288" t="str">
            <v>Aphodius consputus</v>
          </cell>
        </row>
        <row r="5289">
          <cell r="A5289" t="str">
            <v>Aphodius constans</v>
          </cell>
          <cell r="B5289" t="str">
            <v>Scarab beetles and allies</v>
          </cell>
          <cell r="C5289" t="str">
            <v>Coleoptera</v>
          </cell>
          <cell r="D5289" t="str">
            <v>Aphodius constans</v>
          </cell>
          <cell r="E5289" t="str">
            <v>LC</v>
          </cell>
          <cell r="F5289" t="str">
            <v>Lane &amp; Mann, 2016</v>
          </cell>
          <cell r="G5289" t="str">
            <v>NHMSYS0021442420</v>
          </cell>
          <cell r="H5289" t="str">
            <v>Aphodius constans</v>
          </cell>
        </row>
        <row r="5290">
          <cell r="A5290" t="str">
            <v>Aphodius contaminatus</v>
          </cell>
          <cell r="B5290" t="str">
            <v>Scarab beetles and allies</v>
          </cell>
          <cell r="C5290" t="str">
            <v>Coleoptera</v>
          </cell>
          <cell r="D5290" t="str">
            <v>Aphodius contaminatus</v>
          </cell>
          <cell r="E5290" t="str">
            <v>LC</v>
          </cell>
          <cell r="F5290" t="str">
            <v>Lane &amp; Mann, 2016</v>
          </cell>
          <cell r="G5290" t="str">
            <v>NHMSYS0021442535</v>
          </cell>
          <cell r="H5290" t="str">
            <v>Aphodius contaminatus</v>
          </cell>
        </row>
        <row r="5291">
          <cell r="A5291" t="str">
            <v>Aphodius depressus</v>
          </cell>
          <cell r="B5291" t="str">
            <v>Scarab beetles and allies</v>
          </cell>
          <cell r="C5291" t="str">
            <v>Coleoptera</v>
          </cell>
          <cell r="D5291" t="str">
            <v>Aphodius depressus</v>
          </cell>
          <cell r="E5291" t="str">
            <v>LC</v>
          </cell>
          <cell r="F5291" t="str">
            <v>Lane &amp; Mann, 2016</v>
          </cell>
          <cell r="G5291" t="str">
            <v>NHMSYS0021442395</v>
          </cell>
          <cell r="H5291" t="str">
            <v>Aphodius depressus</v>
          </cell>
        </row>
        <row r="5292">
          <cell r="A5292" t="str">
            <v>Aphodius distinctus</v>
          </cell>
          <cell r="B5292" t="str">
            <v>Scarab beetles and allies</v>
          </cell>
          <cell r="C5292" t="str">
            <v>Coleoptera</v>
          </cell>
          <cell r="D5292" t="str">
            <v>Aphodius distinctus</v>
          </cell>
          <cell r="E5292" t="str">
            <v>LC</v>
          </cell>
          <cell r="F5292" t="str">
            <v>Lane &amp; Mann, 2016</v>
          </cell>
          <cell r="G5292" t="str">
            <v>NHMSYS0021442455</v>
          </cell>
          <cell r="H5292" t="str">
            <v>Aphodius distinctus</v>
          </cell>
        </row>
        <row r="5293">
          <cell r="A5293" t="str">
            <v>Aphodius erraticus</v>
          </cell>
          <cell r="B5293" t="str">
            <v>Scarab beetles and allies</v>
          </cell>
          <cell r="C5293" t="str">
            <v>Coleoptera</v>
          </cell>
          <cell r="D5293" t="str">
            <v>Aphodius erraticus</v>
          </cell>
          <cell r="E5293" t="str">
            <v>LC</v>
          </cell>
          <cell r="F5293" t="str">
            <v>Lane &amp; Mann, 2016</v>
          </cell>
          <cell r="G5293" t="str">
            <v>NHMSYS0021442465</v>
          </cell>
          <cell r="H5293" t="str">
            <v>Aphodius erraticus</v>
          </cell>
        </row>
        <row r="5294">
          <cell r="A5294" t="str">
            <v>Aphodius fasciatus</v>
          </cell>
          <cell r="B5294" t="str">
            <v>Scarab beetles and allies</v>
          </cell>
          <cell r="C5294" t="str">
            <v>Coleoptera</v>
          </cell>
          <cell r="D5294" t="str">
            <v>Aphodius fasciatus</v>
          </cell>
          <cell r="E5294" t="str">
            <v>LC</v>
          </cell>
          <cell r="F5294" t="str">
            <v>Lane &amp; Mann, 2016</v>
          </cell>
          <cell r="G5294" t="str">
            <v>NHMSYS0021442565</v>
          </cell>
          <cell r="H5294" t="str">
            <v>Aphodius fasciatus</v>
          </cell>
        </row>
        <row r="5295">
          <cell r="A5295" t="str">
            <v>Aphodius fimetarius</v>
          </cell>
          <cell r="B5295" t="str">
            <v>Scarab beetles and allies</v>
          </cell>
          <cell r="C5295" t="str">
            <v>Coleoptera</v>
          </cell>
          <cell r="D5295" t="str">
            <v>Aphodius fimetarius</v>
          </cell>
          <cell r="E5295" t="str">
            <v>LC</v>
          </cell>
          <cell r="F5295" t="str">
            <v>Lane &amp; Mann, 2016</v>
          </cell>
          <cell r="G5295" t="str">
            <v>NHMSYS0021232873</v>
          </cell>
          <cell r="H5295" t="str">
            <v>Aphodius fimetarius</v>
          </cell>
        </row>
        <row r="5296">
          <cell r="A5296" t="str">
            <v>Aphodius foetens</v>
          </cell>
          <cell r="B5296" t="str">
            <v>Scarab beetles and allies</v>
          </cell>
          <cell r="C5296" t="str">
            <v>Coleoptera</v>
          </cell>
          <cell r="D5296" t="str">
            <v>Aphodius foetens</v>
          </cell>
          <cell r="E5296" t="str">
            <v>LC</v>
          </cell>
          <cell r="F5296" t="str">
            <v>Lane &amp; Mann, 2016</v>
          </cell>
          <cell r="G5296" t="str">
            <v>NHMSYS0021442440</v>
          </cell>
          <cell r="H5296" t="str">
            <v>Aphodius foetens</v>
          </cell>
        </row>
        <row r="5297">
          <cell r="A5297" t="str">
            <v>Aphodius foetidus</v>
          </cell>
          <cell r="B5297" t="str">
            <v>Scarab beetles and allies</v>
          </cell>
          <cell r="C5297" t="str">
            <v>Coleoptera</v>
          </cell>
          <cell r="D5297" t="str">
            <v>Aphodius foetidus</v>
          </cell>
          <cell r="E5297" t="str">
            <v>LC</v>
          </cell>
          <cell r="F5297" t="str">
            <v>Lane &amp; Mann, 2016</v>
          </cell>
          <cell r="G5297" t="str">
            <v>NBNSYS0000011481</v>
          </cell>
          <cell r="H5297" t="str">
            <v>Aphodius foetidus</v>
          </cell>
        </row>
        <row r="5298">
          <cell r="A5298" t="str">
            <v>Aphodius fossor</v>
          </cell>
          <cell r="B5298" t="str">
            <v>Scarab beetles and allies</v>
          </cell>
          <cell r="C5298" t="str">
            <v>Coleoptera</v>
          </cell>
          <cell r="D5298" t="str">
            <v>Aphodius fossor</v>
          </cell>
          <cell r="E5298" t="str">
            <v>LC</v>
          </cell>
          <cell r="F5298" t="str">
            <v>Lane &amp; Mann, 2016</v>
          </cell>
          <cell r="G5298" t="str">
            <v>NHMSYS0021442575</v>
          </cell>
          <cell r="H5298" t="str">
            <v>Aphodius fossor</v>
          </cell>
        </row>
        <row r="5299">
          <cell r="A5299" t="str">
            <v>Aphodius granarius</v>
          </cell>
          <cell r="B5299" t="str">
            <v>Scarab beetles and allies</v>
          </cell>
          <cell r="C5299" t="str">
            <v>Coleoptera</v>
          </cell>
          <cell r="D5299" t="str">
            <v>Aphodius granarius</v>
          </cell>
          <cell r="E5299" t="str">
            <v>LC</v>
          </cell>
          <cell r="F5299" t="str">
            <v>Lane &amp; Mann, 2016</v>
          </cell>
          <cell r="G5299" t="str">
            <v>NHMSYS0021442445</v>
          </cell>
          <cell r="H5299" t="str">
            <v>Aphodius granarius</v>
          </cell>
        </row>
        <row r="5300">
          <cell r="A5300" t="str">
            <v>Aphodius haemorrhoidalis</v>
          </cell>
          <cell r="B5300" t="str">
            <v>Scarab beetles and allies</v>
          </cell>
          <cell r="C5300" t="str">
            <v>Coleoptera</v>
          </cell>
          <cell r="D5300" t="str">
            <v>Aphodius haemorrhoidalis</v>
          </cell>
          <cell r="E5300" t="str">
            <v>LC</v>
          </cell>
          <cell r="F5300" t="str">
            <v>Lane &amp; Mann, 2016</v>
          </cell>
          <cell r="G5300" t="str">
            <v>NHMSYS0021442545</v>
          </cell>
          <cell r="H5300" t="str">
            <v>Aphodius haemorrhoidalis</v>
          </cell>
        </row>
        <row r="5301">
          <cell r="A5301" t="str">
            <v>Aphodius ictericus</v>
          </cell>
          <cell r="B5301" t="str">
            <v>Scarab beetles and allies</v>
          </cell>
          <cell r="C5301" t="str">
            <v>Coleoptera</v>
          </cell>
          <cell r="D5301" t="str">
            <v>Aphodius ictericus</v>
          </cell>
          <cell r="E5301" t="str">
            <v>LC</v>
          </cell>
          <cell r="F5301" t="str">
            <v>Lane &amp; Mann, 2016</v>
          </cell>
          <cell r="G5301" t="str">
            <v>NHMSYS0021366789</v>
          </cell>
          <cell r="H5301" t="str">
            <v>Aphodius ictericus</v>
          </cell>
        </row>
        <row r="5302">
          <cell r="A5302" t="str">
            <v>Aphodius lapponum</v>
          </cell>
          <cell r="B5302" t="str">
            <v>Scarab beetles and allies</v>
          </cell>
          <cell r="C5302" t="str">
            <v>Coleoptera</v>
          </cell>
          <cell r="D5302" t="str">
            <v>Aphodius lapponum</v>
          </cell>
          <cell r="E5302" t="str">
            <v>LC</v>
          </cell>
          <cell r="F5302" t="str">
            <v>Lane &amp; Mann, 2016</v>
          </cell>
          <cell r="G5302" t="str">
            <v>NHMSYS0021442410</v>
          </cell>
          <cell r="H5302" t="str">
            <v>Aphodius lapponum</v>
          </cell>
        </row>
        <row r="5303">
          <cell r="A5303" t="str">
            <v>Aphodius lividus</v>
          </cell>
          <cell r="B5303" t="str">
            <v>Scarab beetles and allies</v>
          </cell>
          <cell r="C5303" t="str">
            <v>Coleoptera</v>
          </cell>
          <cell r="D5303" t="str">
            <v>Aphodius lividus</v>
          </cell>
          <cell r="E5303" t="str">
            <v>VU</v>
          </cell>
          <cell r="F5303" t="str">
            <v>Lane &amp; Mann, 2016</v>
          </cell>
          <cell r="G5303" t="str">
            <v>NHMSYS0021442490</v>
          </cell>
          <cell r="H5303" t="str">
            <v>Aphodius lividus</v>
          </cell>
        </row>
        <row r="5304">
          <cell r="A5304" t="str">
            <v>Aphodius luridus</v>
          </cell>
          <cell r="B5304" t="str">
            <v>Scarab beetles and allies</v>
          </cell>
          <cell r="C5304" t="str">
            <v>Coleoptera</v>
          </cell>
          <cell r="D5304" t="str">
            <v>Aphodius luridus</v>
          </cell>
          <cell r="E5304" t="str">
            <v>LC</v>
          </cell>
          <cell r="F5304" t="str">
            <v>Lane &amp; Mann, 2016</v>
          </cell>
          <cell r="G5304" t="str">
            <v>NHMSYS0021442400</v>
          </cell>
          <cell r="H5304" t="str">
            <v>Aphodius luridus</v>
          </cell>
        </row>
        <row r="5305">
          <cell r="A5305" t="str">
            <v>Aphodius merdarius</v>
          </cell>
          <cell r="B5305" t="str">
            <v>Scarab beetles and allies</v>
          </cell>
          <cell r="C5305" t="str">
            <v>Coleoptera</v>
          </cell>
          <cell r="D5305" t="str">
            <v>Aphodius merdarius</v>
          </cell>
          <cell r="E5305" t="str">
            <v>LC</v>
          </cell>
          <cell r="F5305" t="str">
            <v>Lane &amp; Mann, 2016</v>
          </cell>
          <cell r="G5305" t="str">
            <v>NHMSYS0021442470</v>
          </cell>
          <cell r="H5305" t="str">
            <v>Aphodius merdarius</v>
          </cell>
        </row>
        <row r="5306">
          <cell r="A5306" t="str">
            <v>Aphodius niger</v>
          </cell>
          <cell r="B5306" t="str">
            <v>Scarab beetles and allies</v>
          </cell>
          <cell r="C5306" t="str">
            <v>Coleoptera</v>
          </cell>
          <cell r="D5306" t="str">
            <v>Aphodius niger</v>
          </cell>
          <cell r="E5306" t="str">
            <v>LC</v>
          </cell>
          <cell r="F5306" t="str">
            <v>Lane &amp; Mann, 2016</v>
          </cell>
          <cell r="G5306" t="str">
            <v>NHMSYS0021442500</v>
          </cell>
          <cell r="H5306" t="str">
            <v>Aphodius niger</v>
          </cell>
        </row>
        <row r="5307">
          <cell r="A5307" t="str">
            <v>Aphodius obliteratus</v>
          </cell>
          <cell r="B5307" t="str">
            <v>Scarab beetles and allies</v>
          </cell>
          <cell r="C5307" t="str">
            <v>Coleoptera</v>
          </cell>
          <cell r="D5307" t="str">
            <v>Aphodius obliteratus</v>
          </cell>
          <cell r="E5307" t="str">
            <v>LC</v>
          </cell>
          <cell r="F5307" t="str">
            <v>Lane &amp; Mann, 2016</v>
          </cell>
          <cell r="G5307" t="str">
            <v>NHMSYS0021442540</v>
          </cell>
          <cell r="H5307" t="str">
            <v>Aphodius obliteratus</v>
          </cell>
        </row>
        <row r="5308">
          <cell r="A5308" t="str">
            <v>Aphodius paykulli</v>
          </cell>
          <cell r="B5308" t="str">
            <v>Scarab beetles and allies</v>
          </cell>
          <cell r="C5308" t="str">
            <v>Coleoptera</v>
          </cell>
          <cell r="D5308" t="str">
            <v>Aphodius paykulli</v>
          </cell>
          <cell r="E5308" t="str">
            <v>NT</v>
          </cell>
          <cell r="F5308" t="str">
            <v>Lane &amp; Mann, 2016</v>
          </cell>
          <cell r="G5308" t="str">
            <v>NHMSYS0021442460</v>
          </cell>
          <cell r="H5308" t="str">
            <v>Aphodius paykulli</v>
          </cell>
        </row>
        <row r="5309">
          <cell r="A5309" t="str">
            <v>Aphodius pedellus</v>
          </cell>
          <cell r="B5309" t="str">
            <v>Scarab beetles and allies</v>
          </cell>
          <cell r="C5309" t="str">
            <v>Coleoptera</v>
          </cell>
          <cell r="D5309" t="str">
            <v>Aphodius pedellus</v>
          </cell>
          <cell r="E5309" t="str">
            <v>LC</v>
          </cell>
          <cell r="F5309" t="str">
            <v>Lane &amp; Mann, 2016</v>
          </cell>
          <cell r="G5309" t="str">
            <v>NHMSYS0020919939</v>
          </cell>
          <cell r="H5309" t="str">
            <v>Aphodius pedellus</v>
          </cell>
        </row>
        <row r="5310">
          <cell r="A5310" t="str">
            <v>Aphodius plagiatus</v>
          </cell>
          <cell r="B5310" t="str">
            <v>Scarab beetles and allies</v>
          </cell>
          <cell r="C5310" t="str">
            <v>Coleoptera</v>
          </cell>
          <cell r="D5310" t="str">
            <v>Aphodius plagiatus</v>
          </cell>
          <cell r="E5310" t="str">
            <v>LC</v>
          </cell>
          <cell r="F5310" t="str">
            <v>Lane &amp; Mann, 2016</v>
          </cell>
          <cell r="G5310" t="str">
            <v>NHMSYS0021442505</v>
          </cell>
          <cell r="H5310" t="str">
            <v>Aphodius plagiatus</v>
          </cell>
        </row>
        <row r="5311">
          <cell r="A5311" t="str">
            <v>Aphodius porcus</v>
          </cell>
          <cell r="B5311" t="str">
            <v>Scarab beetles and allies</v>
          </cell>
          <cell r="C5311" t="str">
            <v>Coleoptera</v>
          </cell>
          <cell r="D5311" t="str">
            <v>Aphodius porcus</v>
          </cell>
          <cell r="E5311" t="str">
            <v>NT</v>
          </cell>
          <cell r="F5311" t="str">
            <v>Lane &amp; Mann, 2016</v>
          </cell>
          <cell r="G5311" t="str">
            <v>NHMSYS0021442570</v>
          </cell>
          <cell r="H5311" t="str">
            <v>Aphodius porcus</v>
          </cell>
        </row>
        <row r="5312">
          <cell r="A5312" t="str">
            <v>Aphodius prodromus</v>
          </cell>
          <cell r="B5312" t="str">
            <v>Scarab beetles and allies</v>
          </cell>
          <cell r="C5312" t="str">
            <v>Coleoptera</v>
          </cell>
          <cell r="D5312" t="str">
            <v>Aphodius prodromus</v>
          </cell>
          <cell r="E5312" t="str">
            <v>LC</v>
          </cell>
          <cell r="F5312" t="str">
            <v>Lane &amp; Mann, 2016</v>
          </cell>
          <cell r="G5312" t="str">
            <v>NHMSYS0021442515</v>
          </cell>
          <cell r="H5312" t="str">
            <v>Aphodius prodromus</v>
          </cell>
        </row>
        <row r="5313">
          <cell r="A5313" t="str">
            <v>Aphodius punctatosulcatus</v>
          </cell>
          <cell r="B5313" t="str">
            <v>Scarab beetles and allies</v>
          </cell>
          <cell r="C5313" t="str">
            <v>Coleoptera</v>
          </cell>
          <cell r="D5313" t="str">
            <v>Aphodius punctatosulcatus</v>
          </cell>
          <cell r="E5313" t="str">
            <v>RE</v>
          </cell>
          <cell r="F5313" t="str">
            <v>Lane &amp; Mann, 2016</v>
          </cell>
          <cell r="G5313" t="str">
            <v>NHMSYS0021442520</v>
          </cell>
          <cell r="H5313" t="str">
            <v>Aphodius punctatosulcatus</v>
          </cell>
        </row>
        <row r="5314">
          <cell r="A5314" t="str">
            <v>Aphodius pusillus</v>
          </cell>
          <cell r="B5314" t="str">
            <v>Scarab beetles and allies</v>
          </cell>
          <cell r="C5314" t="str">
            <v>Coleoptera</v>
          </cell>
          <cell r="D5314" t="str">
            <v>Aphodius pusillus</v>
          </cell>
          <cell r="E5314" t="str">
            <v>LC</v>
          </cell>
          <cell r="F5314" t="str">
            <v>Lane &amp; Mann, 2016</v>
          </cell>
          <cell r="G5314" t="str">
            <v>NHMSYS0021442475</v>
          </cell>
          <cell r="H5314" t="str">
            <v>Aphodius pusillus</v>
          </cell>
        </row>
        <row r="5315">
          <cell r="A5315" t="str">
            <v>Aphodius quadrimaculatus</v>
          </cell>
          <cell r="B5315" t="str">
            <v>Scarab beetles and allies</v>
          </cell>
          <cell r="C5315" t="str">
            <v>Coleoptera</v>
          </cell>
          <cell r="D5315" t="str">
            <v>Aphodius quadrimaculatus</v>
          </cell>
          <cell r="E5315" t="str">
            <v>CR</v>
          </cell>
          <cell r="F5315" t="str">
            <v>Lane &amp; Mann, 2016</v>
          </cell>
          <cell r="G5315" t="str">
            <v>NHMSYS0021442550</v>
          </cell>
          <cell r="H5315" t="str">
            <v>Aphodius quadrimaculatus</v>
          </cell>
        </row>
        <row r="5316">
          <cell r="A5316" t="str">
            <v>Aphodius rufipes</v>
          </cell>
          <cell r="B5316" t="str">
            <v>Scarab beetles and allies</v>
          </cell>
          <cell r="C5316" t="str">
            <v>Coleoptera</v>
          </cell>
          <cell r="D5316" t="str">
            <v>Aphodius rufipes</v>
          </cell>
          <cell r="E5316" t="str">
            <v>LC</v>
          </cell>
          <cell r="F5316" t="str">
            <v>Lane &amp; Mann, 2016</v>
          </cell>
          <cell r="G5316" t="str">
            <v>NHMSYS0021442405</v>
          </cell>
          <cell r="H5316" t="str">
            <v>Aphodius rufipes</v>
          </cell>
        </row>
        <row r="5317">
          <cell r="A5317" t="str">
            <v>Aphodius rufus</v>
          </cell>
          <cell r="B5317" t="str">
            <v>Scarab beetles and allies</v>
          </cell>
          <cell r="C5317" t="str">
            <v>Coleoptera</v>
          </cell>
          <cell r="D5317" t="str">
            <v>Aphodius rufus</v>
          </cell>
          <cell r="E5317" t="str">
            <v>LC</v>
          </cell>
          <cell r="F5317" t="str">
            <v>Lane &amp; Mann, 2016</v>
          </cell>
          <cell r="G5317" t="str">
            <v>NHMSYS0021442430</v>
          </cell>
          <cell r="H5317" t="str">
            <v>Aphodius rufus</v>
          </cell>
        </row>
        <row r="5318">
          <cell r="A5318" t="str">
            <v>Aphodius scrofa</v>
          </cell>
          <cell r="B5318" t="str">
            <v>Scarab beetles and allies</v>
          </cell>
          <cell r="C5318" t="str">
            <v>Coleoptera</v>
          </cell>
          <cell r="D5318" t="str">
            <v>Aphodius scrofa</v>
          </cell>
          <cell r="E5318" t="str">
            <v>RE</v>
          </cell>
          <cell r="F5318" t="str">
            <v>Lane &amp; Mann, 2016</v>
          </cell>
          <cell r="G5318" t="str">
            <v>NHMSYS0001716966</v>
          </cell>
          <cell r="H5318" t="str">
            <v>Aphodius scrofa</v>
          </cell>
        </row>
        <row r="5319">
          <cell r="A5319" t="str">
            <v>Aphodius sordidus</v>
          </cell>
          <cell r="B5319" t="str">
            <v>Scarab beetles and allies</v>
          </cell>
          <cell r="C5319" t="str">
            <v>Coleoptera</v>
          </cell>
          <cell r="D5319" t="str">
            <v>Aphodius sordidus</v>
          </cell>
          <cell r="E5319" t="str">
            <v>VU</v>
          </cell>
          <cell r="F5319" t="str">
            <v>Lane &amp; Mann, 2016</v>
          </cell>
          <cell r="G5319" t="str">
            <v>NHMSYS0021467948</v>
          </cell>
          <cell r="H5319" t="str">
            <v>Aphodius sordidus</v>
          </cell>
        </row>
        <row r="5320">
          <cell r="A5320" t="str">
            <v>Aphodius sphacelatus</v>
          </cell>
          <cell r="B5320" t="str">
            <v>Scarab beetles and allies</v>
          </cell>
          <cell r="C5320" t="str">
            <v>Coleoptera</v>
          </cell>
          <cell r="D5320" t="str">
            <v>Aphodius sphacelatus</v>
          </cell>
          <cell r="E5320" t="str">
            <v>LC</v>
          </cell>
          <cell r="F5320" t="str">
            <v>Lane &amp; Mann, 2016</v>
          </cell>
          <cell r="G5320" t="str">
            <v>NHMSYS0021442525</v>
          </cell>
          <cell r="H5320" t="str">
            <v>Aphodius sphacelatus</v>
          </cell>
        </row>
        <row r="5321">
          <cell r="A5321" t="str">
            <v>Aphodius sticticus</v>
          </cell>
          <cell r="B5321" t="str">
            <v>Scarab beetles and allies</v>
          </cell>
          <cell r="C5321" t="str">
            <v>Coleoptera</v>
          </cell>
          <cell r="D5321" t="str">
            <v>Aphodius sticticus</v>
          </cell>
          <cell r="E5321" t="str">
            <v>LC</v>
          </cell>
          <cell r="F5321" t="str">
            <v>Lane &amp; Mann, 2016</v>
          </cell>
          <cell r="G5321" t="str">
            <v>NHMSYS0021442580</v>
          </cell>
          <cell r="H5321" t="str">
            <v>Aphodius sticticus</v>
          </cell>
        </row>
        <row r="5322">
          <cell r="A5322" t="str">
            <v>Aphodius subterraneus</v>
          </cell>
          <cell r="B5322" t="str">
            <v>Scarab beetles and allies</v>
          </cell>
          <cell r="C5322" t="str">
            <v>Coleoptera</v>
          </cell>
          <cell r="D5322" t="str">
            <v>Aphodius subterraneus</v>
          </cell>
          <cell r="E5322" t="str">
            <v>CR(PE)</v>
          </cell>
          <cell r="F5322" t="str">
            <v>Lane &amp; Mann, 2016</v>
          </cell>
          <cell r="G5322" t="str">
            <v>NHMSYS0021442485</v>
          </cell>
          <cell r="H5322" t="str">
            <v>Aphodius subterraneus</v>
          </cell>
        </row>
        <row r="5323">
          <cell r="A5323" t="str">
            <v>Aphodius varians</v>
          </cell>
          <cell r="B5323" t="str">
            <v>Scarab beetles and allies</v>
          </cell>
          <cell r="C5323" t="str">
            <v>Coleoptera</v>
          </cell>
          <cell r="D5323" t="str">
            <v>Aphodius varians</v>
          </cell>
          <cell r="E5323" t="str">
            <v>RE</v>
          </cell>
          <cell r="F5323" t="str">
            <v>Lane &amp; Mann, 2016</v>
          </cell>
          <cell r="G5323" t="str">
            <v>NHMSYS0001716946</v>
          </cell>
          <cell r="H5323" t="str">
            <v>Aphodius varians</v>
          </cell>
        </row>
        <row r="5324">
          <cell r="A5324" t="str">
            <v>Aphodius zenkeri</v>
          </cell>
          <cell r="B5324" t="str">
            <v>Scarab beetles and allies</v>
          </cell>
          <cell r="C5324" t="str">
            <v>Coleoptera</v>
          </cell>
          <cell r="D5324" t="str">
            <v>Aphodius zenkeri</v>
          </cell>
          <cell r="E5324" t="str">
            <v>LC</v>
          </cell>
          <cell r="F5324" t="str">
            <v>Lane &amp; Mann, 2016</v>
          </cell>
          <cell r="G5324" t="str">
            <v>NHMSYS0021442495</v>
          </cell>
          <cell r="H5324" t="str">
            <v>Aphodius zenkeri</v>
          </cell>
        </row>
        <row r="5325">
          <cell r="A5325" t="str">
            <v>Brindalus porcicollis</v>
          </cell>
          <cell r="B5325" t="str">
            <v>Scarab beetles and allies</v>
          </cell>
          <cell r="C5325" t="str">
            <v>Coleoptera</v>
          </cell>
          <cell r="D5325" t="str">
            <v>Brindalus porcicollis</v>
          </cell>
          <cell r="E5325" t="str">
            <v>CR</v>
          </cell>
          <cell r="F5325" t="str">
            <v>Lane &amp; Mann, 2016</v>
          </cell>
          <cell r="G5325" t="str">
            <v>NBNSYS0000011518</v>
          </cell>
          <cell r="H5325" t="str">
            <v>Brindalus porcicollis</v>
          </cell>
        </row>
        <row r="5326">
          <cell r="A5326" t="str">
            <v>Cetonia aurata</v>
          </cell>
          <cell r="B5326" t="str">
            <v>Scarab beetles and allies</v>
          </cell>
          <cell r="C5326" t="str">
            <v>Coleoptera</v>
          </cell>
          <cell r="D5326" t="str">
            <v>Cetonia aurata</v>
          </cell>
          <cell r="E5326" t="str">
            <v>LC</v>
          </cell>
          <cell r="F5326" t="str">
            <v>Lane &amp; Mann, 2016</v>
          </cell>
          <cell r="G5326" t="str">
            <v>NBNSYS0000011544</v>
          </cell>
          <cell r="H5326" t="str">
            <v>Cetonia aurata</v>
          </cell>
        </row>
        <row r="5327">
          <cell r="A5327" t="str">
            <v>Copris lunaris</v>
          </cell>
          <cell r="B5327" t="str">
            <v>Scarab beetles and allies</v>
          </cell>
          <cell r="C5327" t="str">
            <v>Coleoptera</v>
          </cell>
          <cell r="D5327" t="str">
            <v>Copris lunaris</v>
          </cell>
          <cell r="E5327" t="str">
            <v>CR(PE)</v>
          </cell>
          <cell r="F5327" t="str">
            <v>Lane &amp; Mann, 2016</v>
          </cell>
          <cell r="G5327" t="str">
            <v>NBNSYS0000011522</v>
          </cell>
          <cell r="H5327" t="str">
            <v>Copris lunaris</v>
          </cell>
        </row>
        <row r="5328">
          <cell r="A5328" t="str">
            <v>Diastictus vulneratus</v>
          </cell>
          <cell r="B5328" t="str">
            <v>Scarab beetles and allies</v>
          </cell>
          <cell r="C5328" t="str">
            <v>Coleoptera</v>
          </cell>
          <cell r="D5328" t="str">
            <v>Diastictus vulneratus</v>
          </cell>
          <cell r="E5328" t="str">
            <v>VU</v>
          </cell>
          <cell r="F5328" t="str">
            <v>Lane &amp; Mann, 2016</v>
          </cell>
          <cell r="G5328" t="str">
            <v>NBNSYS0000011520</v>
          </cell>
          <cell r="H5328" t="str">
            <v>Diastictus vulneratus</v>
          </cell>
        </row>
        <row r="5329">
          <cell r="A5329" t="str">
            <v>Dorcus parallelipipedus</v>
          </cell>
          <cell r="B5329" t="str">
            <v>Scarab beetles and allies</v>
          </cell>
          <cell r="C5329" t="str">
            <v>Coleoptera</v>
          </cell>
          <cell r="D5329" t="str">
            <v>Dorcus parallelipipedus</v>
          </cell>
          <cell r="E5329" t="str">
            <v>LC</v>
          </cell>
          <cell r="F5329" t="str">
            <v>Lane &amp; Mann, 2016</v>
          </cell>
          <cell r="G5329" t="str">
            <v>NBNSYS0000011449</v>
          </cell>
          <cell r="H5329" t="str">
            <v>Dorcus parallelipipedus</v>
          </cell>
        </row>
        <row r="5330">
          <cell r="A5330" t="str">
            <v>Euheptaulacus sus</v>
          </cell>
          <cell r="B5330" t="str">
            <v>Scarab beetles and allies</v>
          </cell>
          <cell r="C5330" t="str">
            <v>Coleoptera</v>
          </cell>
          <cell r="D5330" t="str">
            <v>Euheptaulacus sus</v>
          </cell>
          <cell r="E5330" t="str">
            <v>VU</v>
          </cell>
          <cell r="F5330" t="str">
            <v>Lane &amp; Mann, 2016</v>
          </cell>
          <cell r="G5330" t="str">
            <v>NBNSYS0000011509</v>
          </cell>
          <cell r="H5330" t="str">
            <v>Euheptaulacus sus</v>
          </cell>
        </row>
        <row r="5331">
          <cell r="A5331" t="str">
            <v>Euheptaulacus villosus</v>
          </cell>
          <cell r="B5331" t="str">
            <v>Scarab beetles and allies</v>
          </cell>
          <cell r="C5331" t="str">
            <v>Coleoptera</v>
          </cell>
          <cell r="D5331" t="str">
            <v>Euheptaulacus villosus</v>
          </cell>
          <cell r="E5331" t="str">
            <v>LC</v>
          </cell>
          <cell r="F5331" t="str">
            <v>Lane &amp; Mann, 2016</v>
          </cell>
          <cell r="G5331" t="str">
            <v>NHMSYS0001718137</v>
          </cell>
          <cell r="H5331" t="str">
            <v>Euheptaulacus villosus</v>
          </cell>
        </row>
        <row r="5332">
          <cell r="A5332" t="str">
            <v>Geotrupes mutator</v>
          </cell>
          <cell r="B5332" t="str">
            <v>Scarab beetles and allies</v>
          </cell>
          <cell r="C5332" t="str">
            <v>Coleoptera</v>
          </cell>
          <cell r="D5332" t="str">
            <v>Geotrupes mutator</v>
          </cell>
          <cell r="E5332" t="str">
            <v>NT</v>
          </cell>
          <cell r="F5332" t="str">
            <v>Lane &amp; Mann, 2016</v>
          </cell>
          <cell r="G5332" t="str">
            <v>NBNSYS0000011457</v>
          </cell>
          <cell r="H5332" t="str">
            <v>Geotrupes mutator</v>
          </cell>
        </row>
        <row r="5333">
          <cell r="A5333" t="str">
            <v>Geotrupes spiniger</v>
          </cell>
          <cell r="B5333" t="str">
            <v>Scarab beetles and allies</v>
          </cell>
          <cell r="C5333" t="str">
            <v>Coleoptera</v>
          </cell>
          <cell r="D5333" t="str">
            <v>Geotrupes spiniger</v>
          </cell>
          <cell r="E5333" t="str">
            <v>LC</v>
          </cell>
          <cell r="F5333" t="str">
            <v>Lane &amp; Mann, 2016</v>
          </cell>
          <cell r="G5333" t="str">
            <v>NBNSYS0000011459</v>
          </cell>
          <cell r="H5333" t="str">
            <v>Geotrupes spiniger</v>
          </cell>
        </row>
        <row r="5334">
          <cell r="A5334" t="str">
            <v>Geotrupes stercorarius</v>
          </cell>
          <cell r="B5334" t="str">
            <v>Scarab beetles and allies</v>
          </cell>
          <cell r="C5334" t="str">
            <v>Coleoptera</v>
          </cell>
          <cell r="D5334" t="str">
            <v>Geotrupes stercorarius</v>
          </cell>
          <cell r="E5334" t="str">
            <v>LC</v>
          </cell>
          <cell r="F5334" t="str">
            <v>Lane &amp; Mann, 2016</v>
          </cell>
          <cell r="G5334" t="str">
            <v>NBNSYS0000011460</v>
          </cell>
          <cell r="H5334" t="str">
            <v>Geotrupes stercorarius</v>
          </cell>
        </row>
        <row r="5335">
          <cell r="A5335" t="str">
            <v>Gnorimus nobilis</v>
          </cell>
          <cell r="B5335" t="str">
            <v>Scarab beetles and allies</v>
          </cell>
          <cell r="C5335" t="str">
            <v>Coleoptera</v>
          </cell>
          <cell r="D5335" t="str">
            <v>Gnorimus nobilis</v>
          </cell>
          <cell r="E5335" t="str">
            <v>VU</v>
          </cell>
          <cell r="F5335" t="str">
            <v>Lane &amp; Mann, 2016</v>
          </cell>
          <cell r="G5335" t="str">
            <v>NBNSYS0000011549</v>
          </cell>
          <cell r="H5335" t="str">
            <v>Gnorimus nobilis</v>
          </cell>
        </row>
        <row r="5336">
          <cell r="A5336" t="str">
            <v>Gnorimus variabilis</v>
          </cell>
          <cell r="B5336" t="str">
            <v>Scarab beetles and allies</v>
          </cell>
          <cell r="C5336" t="str">
            <v>Coleoptera</v>
          </cell>
          <cell r="D5336" t="str">
            <v>Gnorimus variabilis</v>
          </cell>
          <cell r="E5336" t="str">
            <v>EN</v>
          </cell>
          <cell r="F5336" t="str">
            <v>Lane &amp; Mann, 2016</v>
          </cell>
          <cell r="G5336" t="str">
            <v>NBNSYS0000011550</v>
          </cell>
          <cell r="H5336" t="str">
            <v>Gnorimus variabilis</v>
          </cell>
        </row>
        <row r="5337">
          <cell r="A5337" t="str">
            <v>Heptaulacus testudinarius</v>
          </cell>
          <cell r="B5337" t="str">
            <v>Scarab beetles and allies</v>
          </cell>
          <cell r="C5337" t="str">
            <v>Coleoptera</v>
          </cell>
          <cell r="D5337" t="str">
            <v>Heptaulacus testudinarius</v>
          </cell>
          <cell r="E5337" t="str">
            <v>CR(PE)</v>
          </cell>
          <cell r="F5337" t="str">
            <v>Lane &amp; Mann, 2016</v>
          </cell>
          <cell r="G5337" t="str">
            <v>NHMSYS0001718437</v>
          </cell>
          <cell r="H5337" t="str">
            <v>Heptaulacus testudinarius</v>
          </cell>
        </row>
        <row r="5338">
          <cell r="A5338" t="str">
            <v>Hoplia philanthus</v>
          </cell>
          <cell r="B5338" t="str">
            <v>Scarab beetles and allies</v>
          </cell>
          <cell r="C5338" t="str">
            <v>Coleoptera</v>
          </cell>
          <cell r="D5338" t="str">
            <v>Hoplia philanthus</v>
          </cell>
          <cell r="E5338" t="str">
            <v>LC</v>
          </cell>
          <cell r="F5338" t="str">
            <v>Lane &amp; Mann, 2016</v>
          </cell>
          <cell r="G5338" t="str">
            <v>NBNSYS0000011541</v>
          </cell>
          <cell r="H5338" t="str">
            <v>Hoplia philanthus</v>
          </cell>
        </row>
        <row r="5339">
          <cell r="A5339" t="str">
            <v>Lucanus cervus</v>
          </cell>
          <cell r="B5339" t="str">
            <v>Scarab beetles and allies</v>
          </cell>
          <cell r="C5339" t="str">
            <v>Coleoptera</v>
          </cell>
          <cell r="D5339" t="str">
            <v>Lucanus cervus</v>
          </cell>
          <cell r="E5339" t="str">
            <v>LC</v>
          </cell>
          <cell r="F5339" t="str">
            <v>Lane &amp; Mann, 2016</v>
          </cell>
          <cell r="G5339" t="str">
            <v>NBNSYS0000011448</v>
          </cell>
          <cell r="H5339" t="str">
            <v>Lucanus cervus</v>
          </cell>
        </row>
        <row r="5340">
          <cell r="A5340" t="str">
            <v>Melolontha hippocastani</v>
          </cell>
          <cell r="B5340" t="str">
            <v>Scarab beetles and allies</v>
          </cell>
          <cell r="C5340" t="str">
            <v>Coleoptera</v>
          </cell>
          <cell r="D5340" t="str">
            <v>Melolontha hippocastani</v>
          </cell>
          <cell r="E5340" t="str">
            <v>LC</v>
          </cell>
          <cell r="F5340" t="str">
            <v>Lane &amp; Mann, 2016</v>
          </cell>
          <cell r="G5340" t="str">
            <v>NHMSYS0001718973</v>
          </cell>
          <cell r="H5340" t="str">
            <v>Melolontha hippocastani</v>
          </cell>
        </row>
        <row r="5341">
          <cell r="A5341" t="str">
            <v>Melolontha melolontha</v>
          </cell>
          <cell r="B5341" t="str">
            <v>Scarab beetles and allies</v>
          </cell>
          <cell r="C5341" t="str">
            <v>Coleoptera</v>
          </cell>
          <cell r="D5341" t="str">
            <v>Melolontha melolontha</v>
          </cell>
          <cell r="E5341" t="str">
            <v>LC</v>
          </cell>
          <cell r="F5341" t="str">
            <v>Lane &amp; Mann, 2016</v>
          </cell>
          <cell r="G5341" t="str">
            <v>NBNSYS0000011538</v>
          </cell>
          <cell r="H5341" t="str">
            <v>Melolontha melolontha</v>
          </cell>
        </row>
        <row r="5342">
          <cell r="A5342" t="str">
            <v>Odonteus armiger</v>
          </cell>
          <cell r="B5342" t="str">
            <v>Scarab beetles and allies</v>
          </cell>
          <cell r="C5342" t="str">
            <v>Coleoptera</v>
          </cell>
          <cell r="D5342" t="str">
            <v>Odonteus armiger</v>
          </cell>
          <cell r="E5342" t="str">
            <v>LC</v>
          </cell>
          <cell r="F5342" t="str">
            <v>Lane &amp; Mann, 2016</v>
          </cell>
          <cell r="G5342" t="str">
            <v>NBNSYS0000011455</v>
          </cell>
          <cell r="H5342" t="str">
            <v>Odonteus armiger</v>
          </cell>
        </row>
        <row r="5343">
          <cell r="A5343" t="str">
            <v>Omaloplia ruricola</v>
          </cell>
          <cell r="B5343" t="str">
            <v>Scarab beetles and allies</v>
          </cell>
          <cell r="C5343" t="str">
            <v>Coleoptera</v>
          </cell>
          <cell r="D5343" t="str">
            <v>Omaloplia ruricola</v>
          </cell>
          <cell r="E5343" t="str">
            <v>LC</v>
          </cell>
          <cell r="F5343" t="str">
            <v>Lane &amp; Mann, 2016</v>
          </cell>
          <cell r="G5343" t="str">
            <v>NHMSYS0001719289</v>
          </cell>
          <cell r="H5343" t="str">
            <v>Omaloplia ruricola</v>
          </cell>
        </row>
        <row r="5344">
          <cell r="A5344" t="str">
            <v>Onthophagus coenobita</v>
          </cell>
          <cell r="B5344" t="str">
            <v>Scarab beetles and allies</v>
          </cell>
          <cell r="C5344" t="str">
            <v>Coleoptera</v>
          </cell>
          <cell r="D5344" t="str">
            <v>Onthophagus coenobita</v>
          </cell>
          <cell r="E5344" t="str">
            <v>LC</v>
          </cell>
          <cell r="F5344" t="str">
            <v>Lane &amp; Mann, 2016</v>
          </cell>
          <cell r="G5344" t="str">
            <v>NBNSYS0000011523</v>
          </cell>
          <cell r="H5344" t="str">
            <v>Onthophagus coenobita</v>
          </cell>
        </row>
        <row r="5345">
          <cell r="A5345" t="str">
            <v>Onthophagus fracticornis</v>
          </cell>
          <cell r="B5345" t="str">
            <v>Scarab beetles and allies</v>
          </cell>
          <cell r="C5345" t="str">
            <v>Coleoptera</v>
          </cell>
          <cell r="D5345" t="str">
            <v>Onthophagus fracticornis</v>
          </cell>
          <cell r="E5345" t="str">
            <v>VU</v>
          </cell>
          <cell r="F5345" t="str">
            <v>Lane &amp; Mann, 2016</v>
          </cell>
          <cell r="G5345" t="str">
            <v>NBNSYS0000011524</v>
          </cell>
          <cell r="H5345" t="str">
            <v>Onthophagus fracticornis</v>
          </cell>
        </row>
        <row r="5346">
          <cell r="A5346" t="str">
            <v>Onthophagus joannae</v>
          </cell>
          <cell r="B5346" t="str">
            <v>Scarab beetles and allies</v>
          </cell>
          <cell r="C5346" t="str">
            <v>Coleoptera</v>
          </cell>
          <cell r="D5346" t="str">
            <v>Onthophagus joannae</v>
          </cell>
          <cell r="E5346" t="str">
            <v>LC</v>
          </cell>
          <cell r="F5346" t="str">
            <v>Lane &amp; Mann, 2016</v>
          </cell>
          <cell r="G5346" t="str">
            <v>NBNSYS0000011527</v>
          </cell>
          <cell r="H5346" t="str">
            <v>Onthophagus joannae</v>
          </cell>
        </row>
        <row r="5347">
          <cell r="A5347" t="str">
            <v>Onthophagus medius</v>
          </cell>
          <cell r="B5347" t="str">
            <v>Scarab beetles and allies</v>
          </cell>
          <cell r="C5347" t="str">
            <v>Coleoptera</v>
          </cell>
          <cell r="D5347" t="str">
            <v>Onthophagus medius</v>
          </cell>
          <cell r="E5347" t="str">
            <v>LC</v>
          </cell>
          <cell r="F5347" t="str">
            <v>Lane &amp; Mann, 2016</v>
          </cell>
          <cell r="G5347" t="str">
            <v>NHMSYS0001719309</v>
          </cell>
          <cell r="H5347" t="str">
            <v>Onthophagus medius</v>
          </cell>
        </row>
        <row r="5348">
          <cell r="A5348" t="str">
            <v>Onthophagus nuchicornis</v>
          </cell>
          <cell r="B5348" t="str">
            <v>Scarab beetles and allies</v>
          </cell>
          <cell r="C5348" t="str">
            <v>Coleoptera</v>
          </cell>
          <cell r="D5348" t="str">
            <v>Onthophagus nuchicornis</v>
          </cell>
          <cell r="E5348" t="str">
            <v>VU</v>
          </cell>
          <cell r="F5348" t="str">
            <v>Lane &amp; Mann, 2016</v>
          </cell>
          <cell r="G5348" t="str">
            <v>NBNSYS0000011525</v>
          </cell>
          <cell r="H5348" t="str">
            <v>Onthophagus nuchicornis</v>
          </cell>
        </row>
        <row r="5349">
          <cell r="A5349" t="str">
            <v>Onthophagus similis</v>
          </cell>
          <cell r="B5349" t="str">
            <v>Scarab beetles and allies</v>
          </cell>
          <cell r="C5349" t="str">
            <v>Coleoptera</v>
          </cell>
          <cell r="D5349" t="str">
            <v>Onthophagus similis</v>
          </cell>
          <cell r="E5349" t="str">
            <v>LC</v>
          </cell>
          <cell r="F5349" t="str">
            <v>Lane &amp; Mann, 2016</v>
          </cell>
          <cell r="G5349" t="str">
            <v>NBNSYS0000011528</v>
          </cell>
          <cell r="H5349" t="str">
            <v>Onthophagus similis</v>
          </cell>
        </row>
        <row r="5350">
          <cell r="A5350" t="str">
            <v>Onthophagus taurus</v>
          </cell>
          <cell r="B5350" t="str">
            <v>Scarab beetles and allies</v>
          </cell>
          <cell r="C5350" t="str">
            <v>Coleoptera</v>
          </cell>
          <cell r="D5350" t="str">
            <v>Onthophagus taurus</v>
          </cell>
          <cell r="E5350" t="str">
            <v>RE</v>
          </cell>
          <cell r="F5350" t="str">
            <v>Lane &amp; Mann, 2016</v>
          </cell>
          <cell r="G5350" t="str">
            <v>NBNSYS0000011529</v>
          </cell>
          <cell r="H5350" t="str">
            <v>Onthophagus taurus</v>
          </cell>
        </row>
        <row r="5351">
          <cell r="A5351" t="str">
            <v>Onthophagus verticicornis</v>
          </cell>
          <cell r="B5351" t="str">
            <v>Scarab beetles and allies</v>
          </cell>
          <cell r="C5351" t="str">
            <v>Coleoptera</v>
          </cell>
          <cell r="D5351" t="str">
            <v>Onthophagus verticicornis</v>
          </cell>
          <cell r="E5351" t="str">
            <v>RE</v>
          </cell>
          <cell r="F5351" t="str">
            <v>Lane &amp; Mann, 2016</v>
          </cell>
          <cell r="G5351" t="str">
            <v>NBNSYS0000152720</v>
          </cell>
          <cell r="H5351" t="str">
            <v>Onthophagus verticicornis</v>
          </cell>
        </row>
        <row r="5352">
          <cell r="A5352" t="str">
            <v>Oxyomus sylvestris</v>
          </cell>
          <cell r="B5352" t="str">
            <v>Scarab beetles and allies</v>
          </cell>
          <cell r="C5352" t="str">
            <v>Coleoptera</v>
          </cell>
          <cell r="D5352" t="str">
            <v>Oxyomus sylvestris</v>
          </cell>
          <cell r="E5352" t="str">
            <v>LC</v>
          </cell>
          <cell r="F5352" t="str">
            <v>Lane &amp; Mann, 2016</v>
          </cell>
          <cell r="G5352" t="str">
            <v>NBNSYS0000011514</v>
          </cell>
          <cell r="H5352" t="str">
            <v>Oxyomus sylvestris</v>
          </cell>
        </row>
        <row r="5353">
          <cell r="A5353" t="str">
            <v>Phyllopertha horticola</v>
          </cell>
          <cell r="B5353" t="str">
            <v>Scarab beetles and allies</v>
          </cell>
          <cell r="C5353" t="str">
            <v>Coleoptera</v>
          </cell>
          <cell r="D5353" t="str">
            <v>Phyllopertha horticola</v>
          </cell>
          <cell r="E5353" t="str">
            <v>LC</v>
          </cell>
          <cell r="F5353" t="str">
            <v>Lane &amp; Mann, 2016</v>
          </cell>
          <cell r="G5353" t="str">
            <v>NBNSYS0000011542</v>
          </cell>
          <cell r="H5353" t="str">
            <v>Phyllopertha horticola</v>
          </cell>
        </row>
        <row r="5354">
          <cell r="A5354" t="str">
            <v>Platycerus caraboides</v>
          </cell>
          <cell r="B5354" t="str">
            <v>Scarab beetles and allies</v>
          </cell>
          <cell r="C5354" t="str">
            <v>Coleoptera</v>
          </cell>
          <cell r="D5354" t="str">
            <v>Platycerus caraboides</v>
          </cell>
          <cell r="E5354" t="str">
            <v>RE</v>
          </cell>
          <cell r="F5354" t="str">
            <v>Lane &amp; Mann, 2016</v>
          </cell>
          <cell r="G5354" t="str">
            <v>NBNSYS0000011451</v>
          </cell>
          <cell r="H5354" t="str">
            <v>Platycerus caraboides</v>
          </cell>
        </row>
        <row r="5355">
          <cell r="A5355" t="str">
            <v>Pleurophorus caesus</v>
          </cell>
          <cell r="B5355" t="str">
            <v>Scarab beetles and allies</v>
          </cell>
          <cell r="C5355" t="str">
            <v>Coleoptera</v>
          </cell>
          <cell r="D5355" t="str">
            <v>Pleurophorus caesus</v>
          </cell>
          <cell r="E5355" t="str">
            <v>RE</v>
          </cell>
          <cell r="F5355" t="str">
            <v>Lane &amp; Mann, 2016</v>
          </cell>
          <cell r="G5355" t="str">
            <v>NBNSYS0000011521</v>
          </cell>
          <cell r="H5355" t="str">
            <v>Pleurophorus caesus</v>
          </cell>
        </row>
        <row r="5356">
          <cell r="A5356" t="str">
            <v>Polyphylla fullo</v>
          </cell>
          <cell r="B5356" t="str">
            <v>Scarab beetles and allies</v>
          </cell>
          <cell r="C5356" t="str">
            <v>Coleoptera</v>
          </cell>
          <cell r="D5356" t="str">
            <v>Polyphylla fullo</v>
          </cell>
          <cell r="E5356" t="str">
            <v>RE</v>
          </cell>
          <cell r="F5356" t="str">
            <v>Lane &amp; Mann, 2016</v>
          </cell>
          <cell r="G5356" t="str">
            <v>NBNSYS0000011539</v>
          </cell>
          <cell r="H5356" t="str">
            <v>Polyphylla fullo</v>
          </cell>
        </row>
        <row r="5357">
          <cell r="A5357" t="str">
            <v>Protaetia metallica</v>
          </cell>
          <cell r="B5357" t="str">
            <v>Scarab beetles and allies</v>
          </cell>
          <cell r="C5357" t="str">
            <v>Coleoptera</v>
          </cell>
          <cell r="D5357" t="str">
            <v>Protaetia metallica</v>
          </cell>
          <cell r="E5357" t="str">
            <v>LC</v>
          </cell>
          <cell r="F5357" t="str">
            <v>Lane &amp; Mann, 2016</v>
          </cell>
          <cell r="G5357" t="str">
            <v>NHMSYS0001719689</v>
          </cell>
          <cell r="H5357" t="str">
            <v>Protaetia metallica</v>
          </cell>
        </row>
        <row r="5358">
          <cell r="A5358" t="str">
            <v>Psammodius asper</v>
          </cell>
          <cell r="B5358" t="str">
            <v>Scarab beetles and allies</v>
          </cell>
          <cell r="C5358" t="str">
            <v>Coleoptera</v>
          </cell>
          <cell r="D5358" t="str">
            <v>Psammodius asper</v>
          </cell>
          <cell r="E5358" t="str">
            <v>NT</v>
          </cell>
          <cell r="F5358" t="str">
            <v>Lane &amp; Mann, 2016</v>
          </cell>
          <cell r="G5358" t="str">
            <v>NHMSYS0001719705</v>
          </cell>
          <cell r="H5358" t="str">
            <v>Psammodius asper</v>
          </cell>
        </row>
        <row r="5359">
          <cell r="A5359" t="str">
            <v>Serica brunnea</v>
          </cell>
          <cell r="B5359" t="str">
            <v>Scarab beetles and allies</v>
          </cell>
          <cell r="C5359" t="str">
            <v>Coleoptera</v>
          </cell>
          <cell r="D5359" t="str">
            <v>Serica brunnea</v>
          </cell>
          <cell r="E5359" t="str">
            <v>LC</v>
          </cell>
          <cell r="F5359" t="str">
            <v>Lane &amp; Mann, 2016</v>
          </cell>
          <cell r="G5359" t="str">
            <v>NBNSYS0000011531</v>
          </cell>
          <cell r="H5359" t="str">
            <v>Serica brunnea</v>
          </cell>
        </row>
        <row r="5360">
          <cell r="A5360" t="str">
            <v>Sinodendron cylindricum</v>
          </cell>
          <cell r="B5360" t="str">
            <v>Scarab beetles and allies</v>
          </cell>
          <cell r="C5360" t="str">
            <v>Coleoptera</v>
          </cell>
          <cell r="D5360" t="str">
            <v>Sinodendron cylindricum</v>
          </cell>
          <cell r="E5360" t="str">
            <v>LC</v>
          </cell>
          <cell r="F5360" t="str">
            <v>Lane &amp; Mann, 2016</v>
          </cell>
          <cell r="G5360" t="str">
            <v>NBNSYS0000011450</v>
          </cell>
          <cell r="H5360" t="str">
            <v>Sinodendron cylindricum</v>
          </cell>
        </row>
        <row r="5361">
          <cell r="A5361" t="str">
            <v>Trichius fasciatus</v>
          </cell>
          <cell r="B5361" t="str">
            <v>Scarab beetles and allies</v>
          </cell>
          <cell r="C5361" t="str">
            <v>Coleoptera</v>
          </cell>
          <cell r="D5361" t="str">
            <v>Trichius fasciatus</v>
          </cell>
          <cell r="E5361" t="str">
            <v>LC</v>
          </cell>
          <cell r="F5361" t="str">
            <v>Lane &amp; Mann, 2016</v>
          </cell>
          <cell r="G5361" t="str">
            <v>NBNSYS0000011551</v>
          </cell>
          <cell r="H5361" t="str">
            <v>Trichius fasciatus</v>
          </cell>
        </row>
        <row r="5362">
          <cell r="A5362" t="str">
            <v>Trox perlatus</v>
          </cell>
          <cell r="B5362" t="str">
            <v>Scarab beetles and allies</v>
          </cell>
          <cell r="C5362" t="str">
            <v>Coleoptera</v>
          </cell>
          <cell r="D5362" t="str">
            <v>Trox perlatus</v>
          </cell>
          <cell r="E5362" t="str">
            <v>RE</v>
          </cell>
          <cell r="F5362" t="str">
            <v>Lane &amp; Mann, 2016</v>
          </cell>
          <cell r="G5362" t="str">
            <v>NHMSYS0001720461</v>
          </cell>
          <cell r="H5362" t="str">
            <v>Trox perlatus</v>
          </cell>
        </row>
        <row r="5363">
          <cell r="A5363" t="str">
            <v>Trox sabulosus</v>
          </cell>
          <cell r="B5363" t="str">
            <v>Scarab beetles and allies</v>
          </cell>
          <cell r="C5363" t="str">
            <v>Coleoptera</v>
          </cell>
          <cell r="D5363" t="str">
            <v>Trox sabulosus</v>
          </cell>
          <cell r="E5363" t="str">
            <v>NT</v>
          </cell>
          <cell r="F5363" t="str">
            <v>Lane &amp; Mann, 2016</v>
          </cell>
          <cell r="G5363" t="str">
            <v>NBNSYS0000011453</v>
          </cell>
          <cell r="H5363" t="str">
            <v>Trox sabulosus</v>
          </cell>
        </row>
        <row r="5364">
          <cell r="A5364" t="str">
            <v>Trox scaber</v>
          </cell>
          <cell r="B5364" t="str">
            <v>Scarab beetles and allies</v>
          </cell>
          <cell r="C5364" t="str">
            <v>Coleoptera</v>
          </cell>
          <cell r="D5364" t="str">
            <v>Trox scaber</v>
          </cell>
          <cell r="E5364" t="str">
            <v>LC</v>
          </cell>
          <cell r="F5364" t="str">
            <v>Lane &amp; Mann, 2016</v>
          </cell>
          <cell r="G5364" t="str">
            <v>NBNSYS0000011454</v>
          </cell>
          <cell r="H5364" t="str">
            <v>Trox scaber</v>
          </cell>
        </row>
        <row r="5365">
          <cell r="A5365" t="str">
            <v>Trypocopris pyrenaeus</v>
          </cell>
          <cell r="B5365" t="str">
            <v>Scarab beetles and allies</v>
          </cell>
          <cell r="C5365" t="str">
            <v>Coleoptera</v>
          </cell>
          <cell r="D5365" t="str">
            <v>Trypocopris pyrenaeus</v>
          </cell>
          <cell r="E5365" t="str">
            <v>LC</v>
          </cell>
          <cell r="F5365" t="str">
            <v>Lane &amp; Mann, 2016</v>
          </cell>
          <cell r="G5365" t="str">
            <v>NHMSYS0001720464</v>
          </cell>
          <cell r="H5365" t="str">
            <v>Trypocopris pyrenaeus</v>
          </cell>
        </row>
        <row r="5366">
          <cell r="A5366" t="str">
            <v>Trypocopris vernalis</v>
          </cell>
          <cell r="B5366" t="str">
            <v>Scarab beetles and allies</v>
          </cell>
          <cell r="C5366" t="str">
            <v>Coleoptera</v>
          </cell>
          <cell r="D5366" t="str">
            <v>Trypocopris vernalis</v>
          </cell>
          <cell r="E5366" t="str">
            <v>LC</v>
          </cell>
          <cell r="F5366" t="str">
            <v>Lane &amp; Mann, 2016</v>
          </cell>
          <cell r="G5366" t="str">
            <v>NHMSYS0001720465</v>
          </cell>
          <cell r="H5366" t="str">
            <v>Trypocopris vernalis</v>
          </cell>
        </row>
        <row r="5367">
          <cell r="A5367" t="str">
            <v>Typhaeus typhoeus</v>
          </cell>
          <cell r="B5367" t="str">
            <v>Scarab beetles and allies</v>
          </cell>
          <cell r="C5367" t="str">
            <v>Coleoptera</v>
          </cell>
          <cell r="D5367" t="str">
            <v>Typhaeus typhoeus</v>
          </cell>
          <cell r="E5367" t="str">
            <v>LC</v>
          </cell>
          <cell r="F5367" t="str">
            <v>Lane &amp; Mann, 2016</v>
          </cell>
          <cell r="G5367" t="str">
            <v>NBNSYS0000011456</v>
          </cell>
          <cell r="H5367" t="str">
            <v>Typhaeus typhoeus</v>
          </cell>
        </row>
        <row r="5368">
          <cell r="A5368" t="str">
            <v>Acanthosoma haemorrhoidale</v>
          </cell>
          <cell r="B5368" t="str">
            <v>Shield bugs and allies</v>
          </cell>
          <cell r="C5368" t="str">
            <v>Hemiptera</v>
          </cell>
          <cell r="D5368" t="str">
            <v>Acanthosoma haemorrhoidale</v>
          </cell>
          <cell r="E5368" t="str">
            <v>LC</v>
          </cell>
          <cell r="F5368" t="str">
            <v>Bantock, 2016</v>
          </cell>
          <cell r="G5368" t="str">
            <v>NHMSYS0020308885</v>
          </cell>
          <cell r="H5368" t="str">
            <v>Acanthosoma haemorrhoidale</v>
          </cell>
        </row>
        <row r="5369">
          <cell r="A5369" t="str">
            <v>Adomerus biguttatus</v>
          </cell>
          <cell r="B5369" t="str">
            <v>Shield bugs and allies</v>
          </cell>
          <cell r="C5369" t="str">
            <v>Hemiptera</v>
          </cell>
          <cell r="D5369" t="str">
            <v>Adomerus biguttatus</v>
          </cell>
          <cell r="E5369" t="str">
            <v>LC</v>
          </cell>
          <cell r="F5369" t="str">
            <v>Bantock, 2016</v>
          </cell>
          <cell r="G5369" t="str">
            <v>NHMSYS0020308901</v>
          </cell>
          <cell r="H5369" t="str">
            <v>Adomerus biguttatus</v>
          </cell>
        </row>
        <row r="5370">
          <cell r="A5370" t="str">
            <v>Aelia acuminata</v>
          </cell>
          <cell r="B5370" t="str">
            <v>Shield bugs and allies</v>
          </cell>
          <cell r="C5370" t="str">
            <v>Hemiptera</v>
          </cell>
          <cell r="D5370" t="str">
            <v>Aelia acuminata</v>
          </cell>
          <cell r="E5370" t="str">
            <v>LC</v>
          </cell>
          <cell r="F5370" t="str">
            <v>Bantock, 2016</v>
          </cell>
          <cell r="G5370" t="str">
            <v>NHMSYS0020308903</v>
          </cell>
          <cell r="H5370" t="str">
            <v>Aelia acuminata</v>
          </cell>
        </row>
        <row r="5371">
          <cell r="A5371" t="str">
            <v>Alydus calcaratus</v>
          </cell>
          <cell r="B5371" t="str">
            <v>Shield bugs and allies</v>
          </cell>
          <cell r="C5371" t="str">
            <v>Hemiptera</v>
          </cell>
          <cell r="D5371" t="str">
            <v>Alydus calcaratus</v>
          </cell>
          <cell r="E5371" t="str">
            <v>LC</v>
          </cell>
          <cell r="F5371" t="str">
            <v>Bantock, 2016</v>
          </cell>
          <cell r="G5371" t="str">
            <v>NHMSYS0020308916</v>
          </cell>
          <cell r="H5371" t="str">
            <v>Alydus calcaratus</v>
          </cell>
        </row>
        <row r="5372">
          <cell r="A5372" t="str">
            <v>Arenocoris fallenii</v>
          </cell>
          <cell r="B5372" t="str">
            <v>Shield bugs and allies</v>
          </cell>
          <cell r="C5372" t="str">
            <v>Hemiptera</v>
          </cell>
          <cell r="D5372" t="str">
            <v>Arenocoris fallenii</v>
          </cell>
          <cell r="E5372" t="str">
            <v>LC</v>
          </cell>
          <cell r="F5372" t="str">
            <v>Bantock, 2016</v>
          </cell>
          <cell r="G5372" t="str">
            <v>NHMSYS0020308961</v>
          </cell>
          <cell r="H5372" t="str">
            <v>Arenocoris fallenii</v>
          </cell>
        </row>
        <row r="5373">
          <cell r="A5373" t="str">
            <v>Arenocoris waltlii</v>
          </cell>
          <cell r="B5373" t="str">
            <v>Shield bugs and allies</v>
          </cell>
          <cell r="C5373" t="str">
            <v>Hemiptera</v>
          </cell>
          <cell r="D5373" t="str">
            <v>Arenocoris waltlii</v>
          </cell>
          <cell r="E5373" t="str">
            <v>CR</v>
          </cell>
          <cell r="F5373" t="str">
            <v>Bantock, 2016</v>
          </cell>
          <cell r="G5373" t="str">
            <v>NHMSYS0020308962</v>
          </cell>
          <cell r="H5373" t="str">
            <v>Arenocoris waltlii</v>
          </cell>
        </row>
        <row r="5374">
          <cell r="A5374" t="str">
            <v>Bathysolen nubilus</v>
          </cell>
          <cell r="B5374" t="str">
            <v>Shield bugs and allies</v>
          </cell>
          <cell r="C5374" t="str">
            <v>Hemiptera</v>
          </cell>
          <cell r="D5374" t="str">
            <v>Bathysolen nubilus</v>
          </cell>
          <cell r="E5374" t="str">
            <v>LC</v>
          </cell>
          <cell r="F5374" t="str">
            <v>Bantock, 2016</v>
          </cell>
          <cell r="G5374" t="str">
            <v>NHMSYS0020308975</v>
          </cell>
          <cell r="H5374" t="str">
            <v>Bathysolen nubilus</v>
          </cell>
        </row>
        <row r="5375">
          <cell r="A5375" t="str">
            <v>Canthophorus impressus</v>
          </cell>
          <cell r="B5375" t="str">
            <v>Shield bugs and allies</v>
          </cell>
          <cell r="C5375" t="str">
            <v>Hemiptera</v>
          </cell>
          <cell r="D5375" t="str">
            <v>Canthophorus impressus</v>
          </cell>
          <cell r="E5375" t="str">
            <v>LC</v>
          </cell>
          <cell r="F5375" t="str">
            <v>Bantock, 2016</v>
          </cell>
          <cell r="G5375" t="str">
            <v>NHMSYS0020309036</v>
          </cell>
          <cell r="H5375" t="str">
            <v>Canthophorus impressus</v>
          </cell>
        </row>
        <row r="5376">
          <cell r="A5376" t="str">
            <v>Carpocoris mediterraneus atlanticus</v>
          </cell>
          <cell r="B5376" t="str">
            <v>Shield bugs and allies</v>
          </cell>
          <cell r="C5376" t="str">
            <v>Hemiptera</v>
          </cell>
          <cell r="D5376" t="str">
            <v>Carpocoris mediterraneus (subsp.) atlanticus</v>
          </cell>
          <cell r="E5376" t="str">
            <v>RE</v>
          </cell>
          <cell r="F5376" t="str">
            <v>Bantock, 2016</v>
          </cell>
          <cell r="G5376" t="str">
            <v>NHMSYS0021131480</v>
          </cell>
          <cell r="H5376" t="str">
            <v>Carpocoris mediterraneus atlanticus</v>
          </cell>
        </row>
        <row r="5377">
          <cell r="A5377" t="str">
            <v>Ceraleptus lividus</v>
          </cell>
          <cell r="B5377" t="str">
            <v>Shield bugs and allies</v>
          </cell>
          <cell r="C5377" t="str">
            <v>Hemiptera</v>
          </cell>
          <cell r="D5377" t="str">
            <v>Ceraleptus lividus</v>
          </cell>
          <cell r="E5377" t="str">
            <v>LC</v>
          </cell>
          <cell r="F5377" t="str">
            <v>Bantock, 2016</v>
          </cell>
          <cell r="G5377" t="str">
            <v>NHMSYS0020309052</v>
          </cell>
          <cell r="H5377" t="str">
            <v>Ceraleptus lividus</v>
          </cell>
        </row>
        <row r="5378">
          <cell r="A5378" t="str">
            <v>Chlorochroa junipera</v>
          </cell>
          <cell r="B5378" t="str">
            <v>Shield bugs and allies</v>
          </cell>
          <cell r="C5378" t="str">
            <v>Hemiptera</v>
          </cell>
          <cell r="D5378" t="str">
            <v>Chlorochroa junipera</v>
          </cell>
          <cell r="E5378" t="str">
            <v>CR(PE)</v>
          </cell>
          <cell r="F5378" t="str">
            <v>Bantock, 2016</v>
          </cell>
          <cell r="G5378" t="str">
            <v>NHMSYS0020705268</v>
          </cell>
          <cell r="H5378" t="str">
            <v>Chlorochroa junipera</v>
          </cell>
        </row>
        <row r="5379">
          <cell r="A5379" t="str">
            <v>Chorosoma schillingii</v>
          </cell>
          <cell r="B5379" t="str">
            <v>Shield bugs and allies</v>
          </cell>
          <cell r="C5379" t="str">
            <v>Hemiptera</v>
          </cell>
          <cell r="D5379" t="str">
            <v>Chorosoma schillingii</v>
          </cell>
          <cell r="E5379" t="str">
            <v>LC</v>
          </cell>
          <cell r="F5379" t="str">
            <v>Bantock, 2016</v>
          </cell>
          <cell r="G5379" t="str">
            <v>NHMSYS0020309082</v>
          </cell>
          <cell r="H5379" t="str">
            <v>Chorosoma schillingii</v>
          </cell>
        </row>
        <row r="5380">
          <cell r="A5380" t="str">
            <v>Coreus marginatus</v>
          </cell>
          <cell r="B5380" t="str">
            <v>Shield bugs and allies</v>
          </cell>
          <cell r="C5380" t="str">
            <v>Hemiptera</v>
          </cell>
          <cell r="D5380" t="str">
            <v>Coreus marginatus</v>
          </cell>
          <cell r="E5380" t="str">
            <v>LC</v>
          </cell>
          <cell r="F5380" t="str">
            <v>Bantock, 2016</v>
          </cell>
          <cell r="G5380" t="str">
            <v>NHMSYS0020109255</v>
          </cell>
          <cell r="H5380" t="str">
            <v>Coreus marginatus</v>
          </cell>
        </row>
        <row r="5381">
          <cell r="A5381" t="str">
            <v>Coriomeris denticulatus</v>
          </cell>
          <cell r="B5381" t="str">
            <v>Shield bugs and allies</v>
          </cell>
          <cell r="C5381" t="str">
            <v>Hemiptera</v>
          </cell>
          <cell r="D5381" t="str">
            <v>Coriomeris denticulatus</v>
          </cell>
          <cell r="E5381" t="str">
            <v>LC</v>
          </cell>
          <cell r="F5381" t="str">
            <v>Bantock, 2016</v>
          </cell>
          <cell r="G5381" t="str">
            <v>NHMSYS0020309108</v>
          </cell>
          <cell r="H5381" t="str">
            <v>Coriomeris denticulatus</v>
          </cell>
        </row>
        <row r="5382">
          <cell r="A5382" t="str">
            <v>Corizus hyoscyami</v>
          </cell>
          <cell r="B5382" t="str">
            <v>Shield bugs and allies</v>
          </cell>
          <cell r="C5382" t="str">
            <v>Hemiptera</v>
          </cell>
          <cell r="D5382" t="str">
            <v>Corizus hyoscyami</v>
          </cell>
          <cell r="E5382" t="str">
            <v>LC</v>
          </cell>
          <cell r="F5382" t="str">
            <v>Bantock, 2016</v>
          </cell>
          <cell r="G5382" t="str">
            <v>NHMSYS0020309113</v>
          </cell>
          <cell r="H5382" t="str">
            <v>Corizus hyoscyami</v>
          </cell>
        </row>
        <row r="5383">
          <cell r="A5383" t="str">
            <v>Cyphostethus tristriatus</v>
          </cell>
          <cell r="B5383" t="str">
            <v>Shield bugs and allies</v>
          </cell>
          <cell r="C5383" t="str">
            <v>Hemiptera</v>
          </cell>
          <cell r="D5383" t="str">
            <v>Cyphostethus tristriatus</v>
          </cell>
          <cell r="E5383" t="str">
            <v>LC</v>
          </cell>
          <cell r="F5383" t="str">
            <v>Bantock, 2016</v>
          </cell>
          <cell r="G5383" t="str">
            <v>NHMSYS0020309134</v>
          </cell>
          <cell r="H5383" t="str">
            <v>Cyphostethus tristriatus</v>
          </cell>
        </row>
        <row r="5384">
          <cell r="A5384" t="str">
            <v>Dicranocephalus agilis</v>
          </cell>
          <cell r="B5384" t="str">
            <v>Shield bugs and allies</v>
          </cell>
          <cell r="C5384" t="str">
            <v>Hemiptera</v>
          </cell>
          <cell r="D5384" t="str">
            <v>Dicranocephalus agilis</v>
          </cell>
          <cell r="E5384" t="str">
            <v>LC</v>
          </cell>
          <cell r="F5384" t="str">
            <v>Bantock, 2016</v>
          </cell>
          <cell r="G5384" t="str">
            <v>NHMSYS0020309155</v>
          </cell>
          <cell r="H5384" t="str">
            <v>Dicranocephalus agilis</v>
          </cell>
        </row>
        <row r="5385">
          <cell r="A5385" t="str">
            <v>Dicranocephalus medius</v>
          </cell>
          <cell r="B5385" t="str">
            <v>Shield bugs and allies</v>
          </cell>
          <cell r="C5385" t="str">
            <v>Hemiptera</v>
          </cell>
          <cell r="D5385" t="str">
            <v>Dicranocephalus medius</v>
          </cell>
          <cell r="E5385" t="str">
            <v>LC</v>
          </cell>
          <cell r="F5385" t="str">
            <v>Bantock, 2016</v>
          </cell>
          <cell r="G5385" t="str">
            <v>NHMSYS0020309156</v>
          </cell>
          <cell r="H5385" t="str">
            <v>Dicranocephalus medius</v>
          </cell>
        </row>
        <row r="5386">
          <cell r="A5386" t="str">
            <v>Dolycoris baccarum</v>
          </cell>
          <cell r="B5386" t="str">
            <v>Shield bugs and allies</v>
          </cell>
          <cell r="C5386" t="str">
            <v>Hemiptera</v>
          </cell>
          <cell r="D5386" t="str">
            <v>Dolycoris baccarum</v>
          </cell>
          <cell r="E5386" t="str">
            <v>LC</v>
          </cell>
          <cell r="F5386" t="str">
            <v>Bantock, 2016</v>
          </cell>
          <cell r="G5386" t="str">
            <v>NHMSYS0020309177</v>
          </cell>
          <cell r="H5386" t="str">
            <v>Dolycoris baccarum</v>
          </cell>
        </row>
        <row r="5387">
          <cell r="A5387" t="str">
            <v>Elasmostethus interstinctus</v>
          </cell>
          <cell r="B5387" t="str">
            <v>Shield bugs and allies</v>
          </cell>
          <cell r="C5387" t="str">
            <v>Hemiptera</v>
          </cell>
          <cell r="D5387" t="str">
            <v>Elasmostethus interstinctus</v>
          </cell>
          <cell r="E5387" t="str">
            <v>LC</v>
          </cell>
          <cell r="F5387" t="str">
            <v>Bantock, 2016</v>
          </cell>
          <cell r="G5387" t="str">
            <v>NHMSYS0020309198</v>
          </cell>
          <cell r="H5387" t="str">
            <v>Elasmostethus interstinctus</v>
          </cell>
        </row>
        <row r="5388">
          <cell r="A5388" t="str">
            <v>Elasmucha ferrugata</v>
          </cell>
          <cell r="B5388" t="str">
            <v>Shield bugs and allies</v>
          </cell>
          <cell r="C5388" t="str">
            <v>Hemiptera</v>
          </cell>
          <cell r="D5388" t="str">
            <v>Elasmucha ferrugata</v>
          </cell>
          <cell r="E5388" t="str">
            <v>CR(PE)</v>
          </cell>
          <cell r="F5388" t="str">
            <v>Bantock, 2016</v>
          </cell>
          <cell r="G5388" t="str">
            <v>NHMSYS0020442326</v>
          </cell>
          <cell r="H5388" t="str">
            <v>Elasmucha ferrugata</v>
          </cell>
        </row>
        <row r="5389">
          <cell r="A5389" t="str">
            <v>Elasmucha grisea</v>
          </cell>
          <cell r="B5389" t="str">
            <v>Shield bugs and allies</v>
          </cell>
          <cell r="C5389" t="str">
            <v>Hemiptera</v>
          </cell>
          <cell r="D5389" t="str">
            <v>Elasmucha grisea</v>
          </cell>
          <cell r="E5389" t="str">
            <v>LC</v>
          </cell>
          <cell r="F5389" t="str">
            <v>Bantock, 2016</v>
          </cell>
          <cell r="G5389" t="str">
            <v>NHMSYS0020309200</v>
          </cell>
          <cell r="H5389" t="str">
            <v>Elasmucha grisea</v>
          </cell>
        </row>
        <row r="5390">
          <cell r="A5390" t="str">
            <v>Enoplops scapha</v>
          </cell>
          <cell r="B5390" t="str">
            <v>Shield bugs and allies</v>
          </cell>
          <cell r="C5390" t="str">
            <v>Hemiptera</v>
          </cell>
          <cell r="D5390" t="str">
            <v>Enoplops scapha</v>
          </cell>
          <cell r="E5390" t="str">
            <v>LC</v>
          </cell>
          <cell r="F5390" t="str">
            <v>Bantock, 2016</v>
          </cell>
          <cell r="G5390" t="str">
            <v>NHMSYS0020309212</v>
          </cell>
          <cell r="H5390" t="str">
            <v>Enoplops scapha</v>
          </cell>
        </row>
        <row r="5391">
          <cell r="A5391" t="str">
            <v>Eurydema dominulus</v>
          </cell>
          <cell r="B5391" t="str">
            <v>Shield bugs and allies</v>
          </cell>
          <cell r="C5391" t="str">
            <v>Hemiptera</v>
          </cell>
          <cell r="D5391" t="str">
            <v>Eurydema dominulus</v>
          </cell>
          <cell r="E5391" t="str">
            <v>EN</v>
          </cell>
          <cell r="F5391" t="str">
            <v>Bantock, 2016</v>
          </cell>
          <cell r="G5391" t="str">
            <v>NHMSYS0020309228</v>
          </cell>
          <cell r="H5391" t="str">
            <v>Eurydema dominulus</v>
          </cell>
        </row>
        <row r="5392">
          <cell r="A5392" t="str">
            <v>Eurydema oleracea</v>
          </cell>
          <cell r="B5392" t="str">
            <v>Shield bugs and allies</v>
          </cell>
          <cell r="C5392" t="str">
            <v>Hemiptera</v>
          </cell>
          <cell r="D5392" t="str">
            <v>Eurydema oleracea</v>
          </cell>
          <cell r="E5392" t="str">
            <v>LC</v>
          </cell>
          <cell r="F5392" t="str">
            <v>Bantock, 2016</v>
          </cell>
          <cell r="G5392" t="str">
            <v>NHMSYS0020309225</v>
          </cell>
          <cell r="H5392" t="str">
            <v>Eurydema oleracea</v>
          </cell>
        </row>
        <row r="5393">
          <cell r="A5393" t="str">
            <v>Eurygaster austriaca</v>
          </cell>
          <cell r="B5393" t="str">
            <v>Shield bugs and allies</v>
          </cell>
          <cell r="C5393" t="str">
            <v>Hemiptera</v>
          </cell>
          <cell r="D5393" t="str">
            <v>Eurygaster austriaca</v>
          </cell>
          <cell r="E5393" t="str">
            <v>RE</v>
          </cell>
          <cell r="F5393" t="str">
            <v>Bantock, 2016</v>
          </cell>
          <cell r="G5393" t="str">
            <v>NHMSYS0020442335</v>
          </cell>
          <cell r="H5393" t="str">
            <v>Eurygaster austriaca</v>
          </cell>
        </row>
        <row r="5394">
          <cell r="A5394" t="str">
            <v>Eurygaster maura</v>
          </cell>
          <cell r="B5394" t="str">
            <v>Shield bugs and allies</v>
          </cell>
          <cell r="C5394" t="str">
            <v>Hemiptera</v>
          </cell>
          <cell r="D5394" t="str">
            <v>Eurygaster maura</v>
          </cell>
          <cell r="E5394" t="str">
            <v>LC</v>
          </cell>
          <cell r="F5394" t="str">
            <v>Bantock, 2016</v>
          </cell>
          <cell r="G5394" t="str">
            <v>NHMSYS0020309230</v>
          </cell>
          <cell r="H5394" t="str">
            <v>Eurygaster maura</v>
          </cell>
        </row>
        <row r="5395">
          <cell r="A5395" t="str">
            <v>Eurygaster testudinaria</v>
          </cell>
          <cell r="B5395" t="str">
            <v>Shield bugs and allies</v>
          </cell>
          <cell r="C5395" t="str">
            <v>Hemiptera</v>
          </cell>
          <cell r="D5395" t="str">
            <v>Eurygaster testudinaria</v>
          </cell>
          <cell r="E5395" t="str">
            <v>LC</v>
          </cell>
          <cell r="F5395" t="str">
            <v>Bantock, 2016</v>
          </cell>
          <cell r="G5395" t="str">
            <v>NHMSYS0020309231</v>
          </cell>
          <cell r="H5395" t="str">
            <v>Eurygaster testudinaria</v>
          </cell>
        </row>
        <row r="5396">
          <cell r="A5396" t="str">
            <v>Eysarcoris aeneus</v>
          </cell>
          <cell r="B5396" t="str">
            <v>Shield bugs and allies</v>
          </cell>
          <cell r="C5396" t="str">
            <v>Hemiptera</v>
          </cell>
          <cell r="D5396" t="str">
            <v>Eysarcoris aeneus</v>
          </cell>
          <cell r="E5396" t="str">
            <v>EN</v>
          </cell>
          <cell r="F5396" t="str">
            <v>Bantock, 2016</v>
          </cell>
          <cell r="G5396" t="str">
            <v>NHMSYS0020309234</v>
          </cell>
          <cell r="H5396" t="str">
            <v>Eysarcoris aeneus</v>
          </cell>
        </row>
        <row r="5397">
          <cell r="A5397" t="str">
            <v>Eysarcoris venustissimus</v>
          </cell>
          <cell r="B5397" t="str">
            <v>Shield bugs and allies</v>
          </cell>
          <cell r="C5397" t="str">
            <v>Hemiptera</v>
          </cell>
          <cell r="D5397" t="str">
            <v>Eysarcoris venustissimus</v>
          </cell>
          <cell r="E5397" t="str">
            <v>LC</v>
          </cell>
          <cell r="F5397" t="str">
            <v>Bantock, 2016</v>
          </cell>
          <cell r="G5397" t="str">
            <v>NHMSYS0020309235</v>
          </cell>
          <cell r="H5397" t="str">
            <v>Eysarcoris venustissimus</v>
          </cell>
        </row>
        <row r="5398">
          <cell r="A5398" t="str">
            <v>Geotomus punctulatus</v>
          </cell>
          <cell r="B5398" t="str">
            <v>Shield bugs and allies</v>
          </cell>
          <cell r="C5398" t="str">
            <v>Hemiptera</v>
          </cell>
          <cell r="D5398" t="str">
            <v>Geotomus punctulatus</v>
          </cell>
          <cell r="E5398" t="str">
            <v>CR</v>
          </cell>
          <cell r="F5398" t="str">
            <v>Bantock, 2016</v>
          </cell>
          <cell r="G5398" t="str">
            <v>NHMSYS0020309247</v>
          </cell>
          <cell r="H5398" t="str">
            <v>Geotomus punctulatus</v>
          </cell>
        </row>
        <row r="5399">
          <cell r="A5399" t="str">
            <v>Gonocerus acuteangulatus</v>
          </cell>
          <cell r="B5399" t="str">
            <v>Shield bugs and allies</v>
          </cell>
          <cell r="C5399" t="str">
            <v>Hemiptera</v>
          </cell>
          <cell r="D5399" t="str">
            <v>Gonocerus acuteangulatus</v>
          </cell>
          <cell r="E5399" t="str">
            <v>LC</v>
          </cell>
          <cell r="F5399" t="str">
            <v>Bantock, 2016</v>
          </cell>
          <cell r="G5399" t="str">
            <v>NHMSYS0020309271</v>
          </cell>
          <cell r="H5399" t="str">
            <v>Gonocerus acuteangulatus</v>
          </cell>
        </row>
        <row r="5400">
          <cell r="A5400" t="str">
            <v>Jalla dumosa</v>
          </cell>
          <cell r="B5400" t="str">
            <v>Shield bugs and allies</v>
          </cell>
          <cell r="C5400" t="str">
            <v>Hemiptera</v>
          </cell>
          <cell r="D5400" t="str">
            <v>Jalla dumosa</v>
          </cell>
          <cell r="E5400" t="str">
            <v>RE</v>
          </cell>
          <cell r="F5400" t="str">
            <v>Bantock, 2016</v>
          </cell>
          <cell r="G5400" t="str">
            <v>NHMSYS0020442414</v>
          </cell>
          <cell r="H5400" t="str">
            <v>Jalla dumosa</v>
          </cell>
        </row>
        <row r="5401">
          <cell r="A5401" t="str">
            <v>Legnotus limbosus</v>
          </cell>
          <cell r="B5401" t="str">
            <v>Shield bugs and allies</v>
          </cell>
          <cell r="C5401" t="str">
            <v>Hemiptera</v>
          </cell>
          <cell r="D5401" t="str">
            <v>Legnotus limbosus</v>
          </cell>
          <cell r="E5401" t="str">
            <v>LC</v>
          </cell>
          <cell r="F5401" t="str">
            <v>Bantock, 2016</v>
          </cell>
          <cell r="G5401" t="str">
            <v>NHMSYS0020309352</v>
          </cell>
          <cell r="H5401" t="str">
            <v>Legnotus limbosus</v>
          </cell>
        </row>
        <row r="5402">
          <cell r="A5402" t="str">
            <v>Legnotus picipes</v>
          </cell>
          <cell r="B5402" t="str">
            <v>Shield bugs and allies</v>
          </cell>
          <cell r="C5402" t="str">
            <v>Hemiptera</v>
          </cell>
          <cell r="D5402" t="str">
            <v>Legnotus picipes</v>
          </cell>
          <cell r="E5402" t="str">
            <v>LC</v>
          </cell>
          <cell r="F5402" t="str">
            <v>Bantock, 2016</v>
          </cell>
          <cell r="G5402" t="str">
            <v>NHMSYS0020309353</v>
          </cell>
          <cell r="H5402" t="str">
            <v>Legnotus picipes</v>
          </cell>
        </row>
        <row r="5403">
          <cell r="A5403" t="str">
            <v>Liorhyssus hyalinus</v>
          </cell>
          <cell r="B5403" t="str">
            <v>Shield bugs and allies</v>
          </cell>
          <cell r="C5403" t="str">
            <v>Hemiptera</v>
          </cell>
          <cell r="D5403" t="str">
            <v>Liorhyssus hyalinus</v>
          </cell>
          <cell r="E5403" t="str">
            <v>LC</v>
          </cell>
          <cell r="F5403" t="str">
            <v>Bantock, 2016</v>
          </cell>
          <cell r="G5403" t="str">
            <v>NHMSYS0020309367</v>
          </cell>
          <cell r="H5403" t="str">
            <v>Liorhyssus hyalinus</v>
          </cell>
        </row>
        <row r="5404">
          <cell r="A5404" t="str">
            <v>Myrmus miriformis</v>
          </cell>
          <cell r="B5404" t="str">
            <v>Shield bugs and allies</v>
          </cell>
          <cell r="C5404" t="str">
            <v>Hemiptera</v>
          </cell>
          <cell r="D5404" t="str">
            <v>Myrmus miriformis</v>
          </cell>
          <cell r="E5404" t="str">
            <v>LC</v>
          </cell>
          <cell r="F5404" t="str">
            <v>Bantock, 2016</v>
          </cell>
          <cell r="G5404" t="str">
            <v>NHMSYS0020309492</v>
          </cell>
          <cell r="H5404" t="str">
            <v>Myrmus miriformis</v>
          </cell>
        </row>
        <row r="5405">
          <cell r="A5405" t="str">
            <v>Neottiglossa pusilla</v>
          </cell>
          <cell r="B5405" t="str">
            <v>Shield bugs and allies</v>
          </cell>
          <cell r="C5405" t="str">
            <v>Hemiptera</v>
          </cell>
          <cell r="D5405" t="str">
            <v>Neottiglossa pusilla</v>
          </cell>
          <cell r="E5405" t="str">
            <v>LC</v>
          </cell>
          <cell r="F5405" t="str">
            <v>Bantock, 2016</v>
          </cell>
          <cell r="G5405" t="str">
            <v>NHMSYS0020309512</v>
          </cell>
          <cell r="H5405" t="str">
            <v>Neottiglossa pusilla</v>
          </cell>
        </row>
        <row r="5406">
          <cell r="A5406" t="str">
            <v>Odontoscelis fuliginosa</v>
          </cell>
          <cell r="B5406" t="str">
            <v>Shield bugs and allies</v>
          </cell>
          <cell r="C5406" t="str">
            <v>Hemiptera</v>
          </cell>
          <cell r="D5406" t="str">
            <v>Odontoscelis fuliginosa</v>
          </cell>
          <cell r="E5406" t="str">
            <v>VU</v>
          </cell>
          <cell r="F5406" t="str">
            <v>Bantock, 2016</v>
          </cell>
          <cell r="G5406" t="str">
            <v>NHMSYS0020309545</v>
          </cell>
          <cell r="H5406" t="str">
            <v>Odontoscelis fuliginosa</v>
          </cell>
        </row>
        <row r="5407">
          <cell r="A5407" t="str">
            <v>Odontoscelis lineola</v>
          </cell>
          <cell r="B5407" t="str">
            <v>Shield bugs and allies</v>
          </cell>
          <cell r="C5407" t="str">
            <v>Hemiptera</v>
          </cell>
          <cell r="D5407" t="str">
            <v>Odontoscelis lineola</v>
          </cell>
          <cell r="E5407" t="str">
            <v>LC</v>
          </cell>
          <cell r="F5407" t="str">
            <v>Bantock, 2016</v>
          </cell>
          <cell r="G5407" t="str">
            <v>NHMSYS0020309546</v>
          </cell>
          <cell r="H5407" t="str">
            <v>Odontoscelis lineola</v>
          </cell>
        </row>
        <row r="5408">
          <cell r="A5408" t="str">
            <v>Palomena prasina</v>
          </cell>
          <cell r="B5408" t="str">
            <v>Shield bugs and allies</v>
          </cell>
          <cell r="C5408" t="str">
            <v>Hemiptera</v>
          </cell>
          <cell r="D5408" t="str">
            <v>Palomena prasina</v>
          </cell>
          <cell r="E5408" t="str">
            <v>LC</v>
          </cell>
          <cell r="F5408" t="str">
            <v>Bantock, 2016</v>
          </cell>
          <cell r="G5408" t="str">
            <v>NHMSYS0020109266</v>
          </cell>
          <cell r="H5408" t="str">
            <v>Palomena prasina</v>
          </cell>
        </row>
        <row r="5409">
          <cell r="A5409" t="str">
            <v>Pentatoma rufipes</v>
          </cell>
          <cell r="B5409" t="str">
            <v>Shield bugs and allies</v>
          </cell>
          <cell r="C5409" t="str">
            <v>Hemiptera</v>
          </cell>
          <cell r="D5409" t="str">
            <v>Pentatoma rufipes</v>
          </cell>
          <cell r="E5409" t="str">
            <v>LC</v>
          </cell>
          <cell r="F5409" t="str">
            <v>Bantock, 2016</v>
          </cell>
          <cell r="G5409" t="str">
            <v>NHMSYS0020309624</v>
          </cell>
          <cell r="H5409" t="str">
            <v>Pentatoma rufipes</v>
          </cell>
        </row>
        <row r="5410">
          <cell r="A5410" t="str">
            <v>Peribalus strictus</v>
          </cell>
          <cell r="B5410" t="str">
            <v>Shield bugs and allies</v>
          </cell>
          <cell r="C5410" t="str">
            <v>Hemiptera</v>
          </cell>
          <cell r="D5410" t="str">
            <v>Peribalus strictus</v>
          </cell>
          <cell r="E5410" t="str">
            <v>LC</v>
          </cell>
          <cell r="F5410" t="str">
            <v>Bantock, 2016</v>
          </cell>
          <cell r="G5410" t="str">
            <v>NHMSYS0021131492</v>
          </cell>
          <cell r="H5410" t="str">
            <v>Peribalus strictus</v>
          </cell>
        </row>
        <row r="5411">
          <cell r="A5411" t="str">
            <v>Picromerus bidens</v>
          </cell>
          <cell r="B5411" t="str">
            <v>Shield bugs and allies</v>
          </cell>
          <cell r="C5411" t="str">
            <v>Hemiptera</v>
          </cell>
          <cell r="D5411" t="str">
            <v>Picromerus bidens</v>
          </cell>
          <cell r="E5411" t="str">
            <v>LC</v>
          </cell>
          <cell r="F5411" t="str">
            <v>Bantock, 2016</v>
          </cell>
          <cell r="G5411" t="str">
            <v>NHMSYS0020309660</v>
          </cell>
          <cell r="H5411" t="str">
            <v>Picromerus bidens</v>
          </cell>
        </row>
        <row r="5412">
          <cell r="A5412" t="str">
            <v>Piezodorus lituratus</v>
          </cell>
          <cell r="B5412" t="str">
            <v>Shield bugs and allies</v>
          </cell>
          <cell r="C5412" t="str">
            <v>Hemiptera</v>
          </cell>
          <cell r="D5412" t="str">
            <v>Piezodorus lituratus</v>
          </cell>
          <cell r="E5412" t="str">
            <v>LC</v>
          </cell>
          <cell r="F5412" t="str">
            <v>Bantock, 2016</v>
          </cell>
          <cell r="G5412" t="str">
            <v>NHMSYS0020309665</v>
          </cell>
          <cell r="H5412" t="str">
            <v>Piezodorus lituratus</v>
          </cell>
        </row>
        <row r="5413">
          <cell r="A5413" t="str">
            <v>Podops inuncta</v>
          </cell>
          <cell r="B5413" t="str">
            <v>Shield bugs and allies</v>
          </cell>
          <cell r="C5413" t="str">
            <v>Hemiptera</v>
          </cell>
          <cell r="D5413" t="str">
            <v>Podops inuncta</v>
          </cell>
          <cell r="E5413" t="str">
            <v>LC</v>
          </cell>
          <cell r="F5413" t="str">
            <v>Bantock, 2016</v>
          </cell>
          <cell r="G5413" t="str">
            <v>NHMSYS0020109267</v>
          </cell>
          <cell r="H5413" t="str">
            <v>Podops inuncta</v>
          </cell>
        </row>
        <row r="5414">
          <cell r="A5414" t="str">
            <v>Pyrrhocoris apterus</v>
          </cell>
          <cell r="B5414" t="str">
            <v>Shield bugs and allies</v>
          </cell>
          <cell r="C5414" t="str">
            <v>Hemiptera</v>
          </cell>
          <cell r="D5414" t="str">
            <v>Pyrrhocoris apterus</v>
          </cell>
          <cell r="E5414" t="str">
            <v>LC</v>
          </cell>
          <cell r="F5414" t="str">
            <v>Bantock, 2016</v>
          </cell>
          <cell r="G5414" t="str">
            <v>NHMSYS0020309752</v>
          </cell>
          <cell r="H5414" t="str">
            <v>Pyrrhocoris apterus</v>
          </cell>
        </row>
        <row r="5415">
          <cell r="A5415" t="str">
            <v>Rhacognathus punctatus</v>
          </cell>
          <cell r="B5415" t="str">
            <v>Shield bugs and allies</v>
          </cell>
          <cell r="C5415" t="str">
            <v>Hemiptera</v>
          </cell>
          <cell r="D5415" t="str">
            <v>Rhacognathus punctatus</v>
          </cell>
          <cell r="E5415" t="str">
            <v>LC</v>
          </cell>
          <cell r="F5415" t="str">
            <v>Bantock, 2016</v>
          </cell>
          <cell r="G5415" t="str">
            <v>NHMSYS0020309768</v>
          </cell>
          <cell r="H5415" t="str">
            <v>Rhacognathus punctatus</v>
          </cell>
        </row>
        <row r="5416">
          <cell r="A5416" t="str">
            <v>Rhopalus maculatus</v>
          </cell>
          <cell r="B5416" t="str">
            <v>Shield bugs and allies</v>
          </cell>
          <cell r="C5416" t="str">
            <v>Hemiptera</v>
          </cell>
          <cell r="D5416" t="str">
            <v>Rhopalus maculatus</v>
          </cell>
          <cell r="E5416" t="str">
            <v>LC</v>
          </cell>
          <cell r="F5416" t="str">
            <v>Bantock, 2016</v>
          </cell>
          <cell r="G5416" t="str">
            <v>NHMSYS0020309773</v>
          </cell>
          <cell r="H5416" t="str">
            <v>Rhopalus maculatus</v>
          </cell>
        </row>
        <row r="5417">
          <cell r="A5417" t="str">
            <v>Rhopalus parumpunctatus</v>
          </cell>
          <cell r="B5417" t="str">
            <v>Shield bugs and allies</v>
          </cell>
          <cell r="C5417" t="str">
            <v>Hemiptera</v>
          </cell>
          <cell r="D5417" t="str">
            <v>Rhopalus parumpunctatus</v>
          </cell>
          <cell r="E5417" t="str">
            <v>LC</v>
          </cell>
          <cell r="F5417" t="str">
            <v>Bantock, 2016</v>
          </cell>
          <cell r="G5417" t="str">
            <v>NHMSYS0020309775</v>
          </cell>
          <cell r="H5417" t="str">
            <v>Rhopalus parumpunctatus</v>
          </cell>
        </row>
        <row r="5418">
          <cell r="A5418" t="str">
            <v>Rhopalus rufus</v>
          </cell>
          <cell r="B5418" t="str">
            <v>Shield bugs and allies</v>
          </cell>
          <cell r="C5418" t="str">
            <v>Hemiptera</v>
          </cell>
          <cell r="D5418" t="str">
            <v>Rhopalus rufus</v>
          </cell>
          <cell r="E5418" t="str">
            <v>LC</v>
          </cell>
          <cell r="F5418" t="str">
            <v>Bantock, 2016</v>
          </cell>
          <cell r="G5418" t="str">
            <v>NHMSYS0020309776</v>
          </cell>
          <cell r="H5418" t="str">
            <v>Rhopalus rufus</v>
          </cell>
        </row>
        <row r="5419">
          <cell r="A5419" t="str">
            <v>Rhopalus subrufus</v>
          </cell>
          <cell r="B5419" t="str">
            <v>Shield bugs and allies</v>
          </cell>
          <cell r="C5419" t="str">
            <v>Hemiptera</v>
          </cell>
          <cell r="D5419" t="str">
            <v>Rhopalus subrufus</v>
          </cell>
          <cell r="E5419" t="str">
            <v>LC</v>
          </cell>
          <cell r="F5419" t="str">
            <v>Bantock, 2016</v>
          </cell>
          <cell r="G5419" t="str">
            <v>NHMSYS0020309777</v>
          </cell>
          <cell r="H5419" t="str">
            <v>Rhopalus subrufus</v>
          </cell>
        </row>
        <row r="5420">
          <cell r="A5420" t="str">
            <v>Sciocoris cursitans</v>
          </cell>
          <cell r="B5420" t="str">
            <v>Shield bugs and allies</v>
          </cell>
          <cell r="C5420" t="str">
            <v>Hemiptera</v>
          </cell>
          <cell r="D5420" t="str">
            <v>Sciocoris cursitans</v>
          </cell>
          <cell r="E5420" t="str">
            <v>LC</v>
          </cell>
          <cell r="F5420" t="str">
            <v>Bantock, 2016</v>
          </cell>
          <cell r="G5420" t="str">
            <v>NHMSYS0020309806</v>
          </cell>
          <cell r="H5420" t="str">
            <v>Sciocoris cursitans</v>
          </cell>
        </row>
        <row r="5421">
          <cell r="A5421" t="str">
            <v>Sehirus luctuosus</v>
          </cell>
          <cell r="B5421" t="str">
            <v>Shield bugs and allies</v>
          </cell>
          <cell r="C5421" t="str">
            <v>Hemiptera</v>
          </cell>
          <cell r="D5421" t="str">
            <v>Sehirus luctuosus</v>
          </cell>
          <cell r="E5421" t="str">
            <v>LC</v>
          </cell>
          <cell r="F5421" t="str">
            <v>Bantock, 2016</v>
          </cell>
          <cell r="G5421" t="str">
            <v>NHMSYS0020309817</v>
          </cell>
          <cell r="H5421" t="str">
            <v>Sehirus luctuosus</v>
          </cell>
        </row>
        <row r="5422">
          <cell r="A5422" t="str">
            <v>Spathocera dalmanii</v>
          </cell>
          <cell r="B5422" t="str">
            <v>Shield bugs and allies</v>
          </cell>
          <cell r="C5422" t="str">
            <v>Hemiptera</v>
          </cell>
          <cell r="D5422" t="str">
            <v>Spathocera dalmanii</v>
          </cell>
          <cell r="E5422" t="str">
            <v>LC</v>
          </cell>
          <cell r="F5422" t="str">
            <v>Bantock, 2016</v>
          </cell>
          <cell r="G5422" t="str">
            <v>NHMSYS0020309842</v>
          </cell>
          <cell r="H5422" t="str">
            <v>Spathocera dalmanii</v>
          </cell>
        </row>
        <row r="5423">
          <cell r="A5423" t="str">
            <v>Syromastus rhombeus</v>
          </cell>
          <cell r="B5423" t="str">
            <v>Shield bugs and allies</v>
          </cell>
          <cell r="C5423" t="str">
            <v>Hemiptera</v>
          </cell>
          <cell r="D5423" t="str">
            <v>Syromastus rhombeus</v>
          </cell>
          <cell r="E5423" t="str">
            <v>LC</v>
          </cell>
          <cell r="F5423" t="str">
            <v>Bantock, 2016</v>
          </cell>
          <cell r="G5423" t="str">
            <v>NHMSYS0020309872</v>
          </cell>
          <cell r="H5423" t="str">
            <v>Syromastus rhombeus</v>
          </cell>
        </row>
        <row r="5424">
          <cell r="A5424" t="str">
            <v>Thyreocoris scarabaeoides</v>
          </cell>
          <cell r="B5424" t="str">
            <v>Shield bugs and allies</v>
          </cell>
          <cell r="C5424" t="str">
            <v>Hemiptera</v>
          </cell>
          <cell r="D5424" t="str">
            <v>Thyreocoris scarabaeoides</v>
          </cell>
          <cell r="E5424" t="str">
            <v>LC</v>
          </cell>
          <cell r="F5424" t="str">
            <v>Bantock, 2016</v>
          </cell>
          <cell r="G5424" t="str">
            <v>NHMSYS0020309895</v>
          </cell>
          <cell r="H5424" t="str">
            <v>Thyreocoris scarabaeoides</v>
          </cell>
        </row>
        <row r="5425">
          <cell r="A5425" t="str">
            <v>Tritomegas bicolor</v>
          </cell>
          <cell r="B5425" t="str">
            <v>Shield bugs and allies</v>
          </cell>
          <cell r="C5425" t="str">
            <v>Hemiptera</v>
          </cell>
          <cell r="D5425" t="str">
            <v>Tritomegas bicolor</v>
          </cell>
          <cell r="E5425" t="str">
            <v>LC</v>
          </cell>
          <cell r="F5425" t="str">
            <v>Bantock, 2016</v>
          </cell>
          <cell r="G5425" t="str">
            <v>NHMSYS0020309919</v>
          </cell>
          <cell r="H5425" t="str">
            <v>Tritomegas bicolor</v>
          </cell>
        </row>
        <row r="5426">
          <cell r="A5426" t="str">
            <v>Troilus luridus</v>
          </cell>
          <cell r="B5426" t="str">
            <v>Shield bugs and allies</v>
          </cell>
          <cell r="C5426" t="str">
            <v>Hemiptera</v>
          </cell>
          <cell r="D5426" t="str">
            <v>Troilus luridus</v>
          </cell>
          <cell r="E5426" t="str">
            <v>LC</v>
          </cell>
          <cell r="F5426" t="str">
            <v>Bantock, 2016</v>
          </cell>
          <cell r="G5426" t="str">
            <v>NHMSYS0020309921</v>
          </cell>
          <cell r="H5426" t="str">
            <v>Troilus luridus</v>
          </cell>
        </row>
        <row r="5427">
          <cell r="A5427" t="str">
            <v>Zicrona caerulea</v>
          </cell>
          <cell r="B5427" t="str">
            <v>Shield bugs and allies</v>
          </cell>
          <cell r="C5427" t="str">
            <v>Hemiptera</v>
          </cell>
          <cell r="D5427" t="str">
            <v>Zicrona caerulea</v>
          </cell>
          <cell r="E5427" t="str">
            <v>LC</v>
          </cell>
          <cell r="F5427" t="str">
            <v>Bantock, 2016</v>
          </cell>
          <cell r="G5427" t="str">
            <v>NHMSYS0020109277</v>
          </cell>
          <cell r="H5427" t="str">
            <v>Zicrona caerulea</v>
          </cell>
        </row>
        <row r="5428">
          <cell r="A5428" t="str">
            <v>Agrilus angustulus</v>
          </cell>
          <cell r="B5428" t="str">
            <v>Soldier beetles and allies</v>
          </cell>
          <cell r="C5428" t="str">
            <v>Coleoptera</v>
          </cell>
          <cell r="D5428" t="str">
            <v>Agrilus angustulus</v>
          </cell>
          <cell r="E5428" t="str">
            <v>LC</v>
          </cell>
          <cell r="F5428" t="str">
            <v>Alexander, 2014</v>
          </cell>
          <cell r="G5428" t="str">
            <v>NBNSYS0000024214</v>
          </cell>
          <cell r="H5428" t="str">
            <v>Agrilus angustulus</v>
          </cell>
        </row>
        <row r="5429">
          <cell r="A5429" t="str">
            <v>Agrilus biguttatus</v>
          </cell>
          <cell r="B5429" t="str">
            <v>Soldier beetles and allies</v>
          </cell>
          <cell r="C5429" t="str">
            <v>Coleoptera</v>
          </cell>
          <cell r="D5429" t="str">
            <v>Agrilus biguttatus</v>
          </cell>
          <cell r="E5429" t="str">
            <v>LC</v>
          </cell>
          <cell r="F5429" t="str">
            <v>Alexander, 2014</v>
          </cell>
          <cell r="G5429" t="str">
            <v>NBNSYS0000141287</v>
          </cell>
          <cell r="H5429" t="str">
            <v>Agrilus biguttatus</v>
          </cell>
        </row>
        <row r="5430">
          <cell r="A5430" t="str">
            <v>Agrilus laticornis</v>
          </cell>
          <cell r="B5430" t="str">
            <v>Soldier beetles and allies</v>
          </cell>
          <cell r="C5430" t="str">
            <v>Coleoptera</v>
          </cell>
          <cell r="D5430" t="str">
            <v>Agrilus laticornis</v>
          </cell>
          <cell r="E5430" t="str">
            <v>LC</v>
          </cell>
          <cell r="F5430" t="str">
            <v>Alexander, 2014</v>
          </cell>
          <cell r="G5430" t="str">
            <v>NBNSYS0000024215</v>
          </cell>
          <cell r="H5430" t="str">
            <v>Agrilus laticornis</v>
          </cell>
        </row>
        <row r="5431">
          <cell r="A5431" t="str">
            <v>Agrilus sinuatus</v>
          </cell>
          <cell r="B5431" t="str">
            <v>Soldier beetles and allies</v>
          </cell>
          <cell r="C5431" t="str">
            <v>Coleoptera</v>
          </cell>
          <cell r="D5431" t="str">
            <v>Agrilus sinuatus</v>
          </cell>
          <cell r="E5431" t="str">
            <v>LC</v>
          </cell>
          <cell r="F5431" t="str">
            <v>Alexander, 2014</v>
          </cell>
          <cell r="G5431" t="str">
            <v>NBNSYS0000024217</v>
          </cell>
          <cell r="H5431" t="str">
            <v>Agrilus sinuatus</v>
          </cell>
        </row>
        <row r="5432">
          <cell r="A5432" t="str">
            <v>Agrilus viridis</v>
          </cell>
          <cell r="B5432" t="str">
            <v>Soldier beetles and allies</v>
          </cell>
          <cell r="C5432" t="str">
            <v>Coleoptera</v>
          </cell>
          <cell r="D5432" t="str">
            <v>Agrilus viridis</v>
          </cell>
          <cell r="E5432" t="str">
            <v>LC</v>
          </cell>
          <cell r="F5432" t="str">
            <v>Alexander, 2014</v>
          </cell>
          <cell r="G5432" t="str">
            <v>NBNSYS0000024218</v>
          </cell>
          <cell r="H5432" t="str">
            <v>Agrilus viridis</v>
          </cell>
        </row>
        <row r="5433">
          <cell r="A5433" t="str">
            <v>Ancistronycha abdominalis</v>
          </cell>
          <cell r="B5433" t="str">
            <v>Soldier beetles and allies</v>
          </cell>
          <cell r="C5433" t="str">
            <v>Coleoptera</v>
          </cell>
          <cell r="D5433" t="str">
            <v>Ancistronycha abdominalis</v>
          </cell>
          <cell r="E5433" t="str">
            <v>LC</v>
          </cell>
          <cell r="F5433" t="str">
            <v>Alexander, 2014</v>
          </cell>
          <cell r="G5433" t="str">
            <v>NHMSYS0001716799</v>
          </cell>
          <cell r="H5433" t="str">
            <v>Ancistronycha abdominalis</v>
          </cell>
        </row>
        <row r="5434">
          <cell r="A5434" t="str">
            <v>Anthaxia nitidula</v>
          </cell>
          <cell r="B5434" t="str">
            <v>Soldier beetles and allies</v>
          </cell>
          <cell r="C5434" t="str">
            <v>Coleoptera</v>
          </cell>
          <cell r="D5434" t="str">
            <v>Anthaxia nitidula</v>
          </cell>
          <cell r="E5434" t="str">
            <v>RE</v>
          </cell>
          <cell r="F5434" t="str">
            <v>Alexander, 2014</v>
          </cell>
          <cell r="G5434" t="str">
            <v>NBNSYS0000024213</v>
          </cell>
          <cell r="H5434" t="str">
            <v>Anthaxia nitidula</v>
          </cell>
        </row>
        <row r="5435">
          <cell r="A5435" t="str">
            <v>Anthocomus fasciatus</v>
          </cell>
          <cell r="B5435" t="str">
            <v>Soldier beetles and allies</v>
          </cell>
          <cell r="C5435" t="str">
            <v>Coleoptera</v>
          </cell>
          <cell r="D5435" t="str">
            <v>Anthocomus fasciatus</v>
          </cell>
          <cell r="E5435" t="str">
            <v>LC</v>
          </cell>
          <cell r="F5435" t="str">
            <v>Alexander, 2014</v>
          </cell>
          <cell r="G5435" t="str">
            <v>NBNSYS0000024407</v>
          </cell>
          <cell r="H5435" t="str">
            <v>Anthocomus fasciatus</v>
          </cell>
        </row>
        <row r="5436">
          <cell r="A5436" t="str">
            <v>Anthocomus rufus</v>
          </cell>
          <cell r="B5436" t="str">
            <v>Soldier beetles and allies</v>
          </cell>
          <cell r="C5436" t="str">
            <v>Coleoptera</v>
          </cell>
          <cell r="D5436" t="str">
            <v>Anthocomus rufus</v>
          </cell>
          <cell r="E5436" t="str">
            <v>LC</v>
          </cell>
          <cell r="F5436" t="str">
            <v>Alexander, 2014</v>
          </cell>
          <cell r="G5436" t="str">
            <v>NBNSYS0000024408</v>
          </cell>
          <cell r="H5436" t="str">
            <v>Anthocomus rufus</v>
          </cell>
        </row>
        <row r="5437">
          <cell r="A5437" t="str">
            <v>Aphanisticus emarginatus</v>
          </cell>
          <cell r="B5437" t="str">
            <v>Soldier beetles and allies</v>
          </cell>
          <cell r="C5437" t="str">
            <v>Coleoptera</v>
          </cell>
          <cell r="D5437" t="str">
            <v>Aphanisticus emarginatus</v>
          </cell>
          <cell r="E5437" t="str">
            <v>CR(PE)</v>
          </cell>
          <cell r="F5437" t="str">
            <v>Alexander, 2014</v>
          </cell>
          <cell r="G5437" t="str">
            <v>NBNSYS0000024219</v>
          </cell>
          <cell r="H5437" t="str">
            <v>Aphanisticus emarginatus</v>
          </cell>
        </row>
        <row r="5438">
          <cell r="A5438" t="str">
            <v>Aphanisticus pusillus</v>
          </cell>
          <cell r="B5438" t="str">
            <v>Soldier beetles and allies</v>
          </cell>
          <cell r="C5438" t="str">
            <v>Coleoptera</v>
          </cell>
          <cell r="D5438" t="str">
            <v>Aphanisticus pusillus</v>
          </cell>
          <cell r="E5438" t="str">
            <v>LC</v>
          </cell>
          <cell r="F5438" t="str">
            <v>Alexander, 2014</v>
          </cell>
          <cell r="G5438" t="str">
            <v>NBNSYS0000024220</v>
          </cell>
          <cell r="H5438" t="str">
            <v>Aphanisticus pusillus</v>
          </cell>
        </row>
        <row r="5439">
          <cell r="A5439" t="str">
            <v>Aplocnemus impressus</v>
          </cell>
          <cell r="B5439" t="str">
            <v>Soldier beetles and allies</v>
          </cell>
          <cell r="C5439" t="str">
            <v>Coleoptera</v>
          </cell>
          <cell r="D5439" t="str">
            <v>Aplocnemus impressus</v>
          </cell>
          <cell r="E5439" t="str">
            <v>LC</v>
          </cell>
          <cell r="F5439" t="str">
            <v>Alexander, 2014</v>
          </cell>
          <cell r="G5439" t="str">
            <v>NHMSYS0001717020</v>
          </cell>
          <cell r="H5439" t="str">
            <v>Aplocnemus impressus</v>
          </cell>
        </row>
        <row r="5440">
          <cell r="A5440" t="str">
            <v>Aplocnemus nigricornis</v>
          </cell>
          <cell r="B5440" t="str">
            <v>Soldier beetles and allies</v>
          </cell>
          <cell r="C5440" t="str">
            <v>Coleoptera</v>
          </cell>
          <cell r="D5440" t="str">
            <v>Aplocnemus nigricornis</v>
          </cell>
          <cell r="E5440" t="str">
            <v>LC</v>
          </cell>
          <cell r="F5440" t="str">
            <v>Alexander, 2014</v>
          </cell>
          <cell r="G5440" t="str">
            <v>NHMSYS0001717021</v>
          </cell>
          <cell r="H5440" t="str">
            <v>Aplocnemus nigricornis</v>
          </cell>
        </row>
        <row r="5441">
          <cell r="A5441" t="str">
            <v>Axinotarsus pulicarius</v>
          </cell>
          <cell r="B5441" t="str">
            <v>Soldier beetles and allies</v>
          </cell>
          <cell r="C5441" t="str">
            <v>Coleoptera</v>
          </cell>
          <cell r="D5441" t="str">
            <v>Axinotarsus pulicarius</v>
          </cell>
          <cell r="E5441" t="str">
            <v>VU</v>
          </cell>
          <cell r="F5441" t="str">
            <v>Alexander, 2014</v>
          </cell>
          <cell r="G5441" t="str">
            <v>NHMSYS0001717106</v>
          </cell>
          <cell r="H5441" t="str">
            <v>Axinotarsus pulicarius</v>
          </cell>
        </row>
        <row r="5442">
          <cell r="A5442" t="str">
            <v>Axinotarsus ruficollis</v>
          </cell>
          <cell r="B5442" t="str">
            <v>Soldier beetles and allies</v>
          </cell>
          <cell r="C5442" t="str">
            <v>Coleoptera</v>
          </cell>
          <cell r="D5442" t="str">
            <v>Axinotarsus ruficollis</v>
          </cell>
          <cell r="E5442" t="str">
            <v>LC</v>
          </cell>
          <cell r="F5442" t="str">
            <v>Alexander, 2014</v>
          </cell>
          <cell r="G5442" t="str">
            <v>NBNSYS0000024398</v>
          </cell>
          <cell r="H5442" t="str">
            <v>Axinotarsus ruficollis</v>
          </cell>
        </row>
        <row r="5443">
          <cell r="A5443" t="str">
            <v>Cantharis cryptica</v>
          </cell>
          <cell r="B5443" t="str">
            <v>Soldier beetles and allies</v>
          </cell>
          <cell r="C5443" t="str">
            <v>Coleoptera</v>
          </cell>
          <cell r="D5443" t="str">
            <v>Cantharis cryptica</v>
          </cell>
          <cell r="E5443" t="str">
            <v>LC</v>
          </cell>
          <cell r="F5443" t="str">
            <v>Alexander, 2014</v>
          </cell>
          <cell r="G5443" t="str">
            <v>NBNSYS0000024227</v>
          </cell>
          <cell r="H5443" t="str">
            <v>Cantharis cryptica</v>
          </cell>
        </row>
        <row r="5444">
          <cell r="A5444" t="str">
            <v>Cantharis decipiens</v>
          </cell>
          <cell r="B5444" t="str">
            <v>Soldier beetles and allies</v>
          </cell>
          <cell r="C5444" t="str">
            <v>Coleoptera</v>
          </cell>
          <cell r="D5444" t="str">
            <v>Cantharis decipiens</v>
          </cell>
          <cell r="E5444" t="str">
            <v>LC</v>
          </cell>
          <cell r="F5444" t="str">
            <v>Alexander, 2014</v>
          </cell>
          <cell r="G5444" t="str">
            <v>NBNSYS0000024228</v>
          </cell>
          <cell r="H5444" t="str">
            <v>Cantharis decipiens</v>
          </cell>
        </row>
        <row r="5445">
          <cell r="A5445" t="str">
            <v>Cantharis figurata</v>
          </cell>
          <cell r="B5445" t="str">
            <v>Soldier beetles and allies</v>
          </cell>
          <cell r="C5445" t="str">
            <v>Coleoptera</v>
          </cell>
          <cell r="D5445" t="str">
            <v>Cantharis figurata</v>
          </cell>
          <cell r="E5445" t="str">
            <v>LC</v>
          </cell>
          <cell r="F5445" t="str">
            <v>Alexander, 2014</v>
          </cell>
          <cell r="G5445" t="str">
            <v>NBNSYS0000024229</v>
          </cell>
          <cell r="H5445" t="str">
            <v>Cantharis figurata</v>
          </cell>
        </row>
        <row r="5446">
          <cell r="A5446" t="str">
            <v>Cantharis fusca</v>
          </cell>
          <cell r="B5446" t="str">
            <v>Soldier beetles and allies</v>
          </cell>
          <cell r="C5446" t="str">
            <v>Coleoptera</v>
          </cell>
          <cell r="D5446" t="str">
            <v>Cantharis fusca</v>
          </cell>
          <cell r="E5446" t="str">
            <v>LC</v>
          </cell>
          <cell r="F5446" t="str">
            <v>Alexander, 2014</v>
          </cell>
          <cell r="G5446" t="str">
            <v>NBNSYS0000024230</v>
          </cell>
          <cell r="H5446" t="str">
            <v>Cantharis fusca</v>
          </cell>
        </row>
        <row r="5447">
          <cell r="A5447" t="str">
            <v>Cantharis lateralis</v>
          </cell>
          <cell r="B5447" t="str">
            <v>Soldier beetles and allies</v>
          </cell>
          <cell r="C5447" t="str">
            <v>Coleoptera</v>
          </cell>
          <cell r="D5447" t="str">
            <v>Cantharis lateralis</v>
          </cell>
          <cell r="E5447" t="str">
            <v>LC</v>
          </cell>
          <cell r="F5447" t="str">
            <v>Alexander, 2014</v>
          </cell>
          <cell r="G5447" t="str">
            <v>NBNSYS0000024231</v>
          </cell>
          <cell r="H5447" t="str">
            <v>Cantharis lateralis</v>
          </cell>
        </row>
        <row r="5448">
          <cell r="A5448" t="str">
            <v>Cantharis livida</v>
          </cell>
          <cell r="B5448" t="str">
            <v>Soldier beetles and allies</v>
          </cell>
          <cell r="C5448" t="str">
            <v>Coleoptera</v>
          </cell>
          <cell r="D5448" t="str">
            <v>Cantharis livida</v>
          </cell>
          <cell r="E5448" t="str">
            <v>LC</v>
          </cell>
          <cell r="F5448" t="str">
            <v>Alexander, 2014</v>
          </cell>
          <cell r="G5448" t="str">
            <v>NBNSYS0000024232</v>
          </cell>
          <cell r="H5448" t="str">
            <v>Cantharis livida</v>
          </cell>
        </row>
        <row r="5449">
          <cell r="A5449" t="str">
            <v>Cantharis nigra</v>
          </cell>
          <cell r="B5449" t="str">
            <v>Soldier beetles and allies</v>
          </cell>
          <cell r="C5449" t="str">
            <v>Coleoptera</v>
          </cell>
          <cell r="D5449" t="str">
            <v>Cantharis nigra</v>
          </cell>
          <cell r="E5449" t="str">
            <v>LC</v>
          </cell>
          <cell r="F5449" t="str">
            <v>Alexander, 2014</v>
          </cell>
          <cell r="G5449" t="str">
            <v>NHMSYS0001717484</v>
          </cell>
          <cell r="H5449" t="str">
            <v>Cantharis nigra</v>
          </cell>
        </row>
        <row r="5450">
          <cell r="A5450" t="str">
            <v>Cantharis nigricans</v>
          </cell>
          <cell r="B5450" t="str">
            <v>Soldier beetles and allies</v>
          </cell>
          <cell r="C5450" t="str">
            <v>Coleoptera</v>
          </cell>
          <cell r="D5450" t="str">
            <v>Cantharis nigricans</v>
          </cell>
          <cell r="E5450" t="str">
            <v>LC</v>
          </cell>
          <cell r="F5450" t="str">
            <v>Alexander, 2014</v>
          </cell>
          <cell r="G5450" t="str">
            <v>NHMSYS0001717489</v>
          </cell>
          <cell r="H5450" t="str">
            <v>Cantharis nigricans</v>
          </cell>
        </row>
        <row r="5451">
          <cell r="A5451" t="str">
            <v>Cantharis obscura</v>
          </cell>
          <cell r="B5451" t="str">
            <v>Soldier beetles and allies</v>
          </cell>
          <cell r="C5451" t="str">
            <v>Coleoptera</v>
          </cell>
          <cell r="D5451" t="str">
            <v>Cantharis obscura</v>
          </cell>
          <cell r="E5451" t="str">
            <v>LC</v>
          </cell>
          <cell r="F5451" t="str">
            <v>Alexander, 2014</v>
          </cell>
          <cell r="G5451" t="str">
            <v>NBNSYS0000024235</v>
          </cell>
          <cell r="H5451" t="str">
            <v>Cantharis obscura</v>
          </cell>
        </row>
        <row r="5452">
          <cell r="A5452" t="str">
            <v>Cantharis pallida</v>
          </cell>
          <cell r="B5452" t="str">
            <v>Soldier beetles and allies</v>
          </cell>
          <cell r="C5452" t="str">
            <v>Coleoptera</v>
          </cell>
          <cell r="D5452" t="str">
            <v>Cantharis pallida</v>
          </cell>
          <cell r="E5452" t="str">
            <v>LC</v>
          </cell>
          <cell r="F5452" t="str">
            <v>Alexander, 2014</v>
          </cell>
          <cell r="G5452" t="str">
            <v>NBNSYS0000024236</v>
          </cell>
          <cell r="H5452" t="str">
            <v>Cantharis pallida</v>
          </cell>
        </row>
        <row r="5453">
          <cell r="A5453" t="str">
            <v>Cantharis paludosa</v>
          </cell>
          <cell r="B5453" t="str">
            <v>Soldier beetles and allies</v>
          </cell>
          <cell r="C5453" t="str">
            <v>Coleoptera</v>
          </cell>
          <cell r="D5453" t="str">
            <v>Cantharis paludosa</v>
          </cell>
          <cell r="E5453" t="str">
            <v>LC</v>
          </cell>
          <cell r="F5453" t="str">
            <v>Alexander, 2014</v>
          </cell>
          <cell r="G5453" t="str">
            <v>NHMSYS0001717492</v>
          </cell>
          <cell r="H5453" t="str">
            <v>Cantharis paludosa</v>
          </cell>
        </row>
        <row r="5454">
          <cell r="A5454" t="str">
            <v>Cantharis pellucida</v>
          </cell>
          <cell r="B5454" t="str">
            <v>Soldier beetles and allies</v>
          </cell>
          <cell r="C5454" t="str">
            <v>Coleoptera</v>
          </cell>
          <cell r="D5454" t="str">
            <v>Cantharis pellucida</v>
          </cell>
          <cell r="E5454" t="str">
            <v>LC</v>
          </cell>
          <cell r="F5454" t="str">
            <v>Alexander, 2014</v>
          </cell>
          <cell r="G5454" t="str">
            <v>NHMSYS0001717493</v>
          </cell>
          <cell r="H5454" t="str">
            <v>Cantharis pellucida</v>
          </cell>
        </row>
        <row r="5455">
          <cell r="A5455" t="str">
            <v>Cantharis rufa</v>
          </cell>
          <cell r="B5455" t="str">
            <v>Soldier beetles and allies</v>
          </cell>
          <cell r="C5455" t="str">
            <v>Coleoptera</v>
          </cell>
          <cell r="D5455" t="str">
            <v>Cantharis rufa</v>
          </cell>
          <cell r="E5455" t="str">
            <v>LC</v>
          </cell>
          <cell r="F5455" t="str">
            <v>Alexander, 2014</v>
          </cell>
          <cell r="G5455" t="str">
            <v>NBNSYS0000024239</v>
          </cell>
          <cell r="H5455" t="str">
            <v>Cantharis rufa</v>
          </cell>
        </row>
        <row r="5456">
          <cell r="A5456" t="str">
            <v>Cantharis rustica</v>
          </cell>
          <cell r="B5456" t="str">
            <v>Soldier beetles and allies</v>
          </cell>
          <cell r="C5456" t="str">
            <v>Coleoptera</v>
          </cell>
          <cell r="D5456" t="str">
            <v>Cantharis rustica</v>
          </cell>
          <cell r="E5456" t="str">
            <v>LC</v>
          </cell>
          <cell r="F5456" t="str">
            <v>Alexander, 2014</v>
          </cell>
          <cell r="G5456" t="str">
            <v>NHMSYS0001717495</v>
          </cell>
          <cell r="H5456" t="str">
            <v>Cantharis rustica</v>
          </cell>
        </row>
        <row r="5457">
          <cell r="A5457" t="str">
            <v>Cantharis thoracica</v>
          </cell>
          <cell r="B5457" t="str">
            <v>Soldier beetles and allies</v>
          </cell>
          <cell r="C5457" t="str">
            <v>Coleoptera</v>
          </cell>
          <cell r="D5457" t="str">
            <v>Cantharis thoracica</v>
          </cell>
          <cell r="E5457" t="str">
            <v>LC</v>
          </cell>
          <cell r="F5457" t="str">
            <v>Alexander, 2014</v>
          </cell>
          <cell r="G5457" t="str">
            <v>NHMSYS0021243858</v>
          </cell>
          <cell r="H5457" t="str">
            <v>Cantharis thoracica</v>
          </cell>
        </row>
        <row r="5458">
          <cell r="A5458" t="str">
            <v>Cerapheles terminatus</v>
          </cell>
          <cell r="B5458" t="str">
            <v>Soldier beetles and allies</v>
          </cell>
          <cell r="C5458" t="str">
            <v>Coleoptera</v>
          </cell>
          <cell r="D5458" t="str">
            <v>Cerapheles terminatus</v>
          </cell>
          <cell r="E5458" t="str">
            <v>LC</v>
          </cell>
          <cell r="F5458" t="str">
            <v>Alexander, 2014</v>
          </cell>
          <cell r="G5458" t="str">
            <v>NHMSYS0001717572</v>
          </cell>
          <cell r="H5458" t="str">
            <v>Cerapheles terminatus</v>
          </cell>
        </row>
        <row r="5459">
          <cell r="A5459" t="str">
            <v>Clanoptilus barnevillei</v>
          </cell>
          <cell r="B5459" t="str">
            <v>Soldier beetles and allies</v>
          </cell>
          <cell r="C5459" t="str">
            <v>Coleoptera</v>
          </cell>
          <cell r="D5459" t="str">
            <v>Clanoptilus barnevillei</v>
          </cell>
          <cell r="E5459" t="str">
            <v>LC</v>
          </cell>
          <cell r="F5459" t="str">
            <v>Alexander, 2014</v>
          </cell>
          <cell r="G5459" t="str">
            <v>NHMSYS0001717689</v>
          </cell>
          <cell r="H5459" t="str">
            <v>Clanoptilus barnevillei</v>
          </cell>
        </row>
        <row r="5460">
          <cell r="A5460" t="str">
            <v>Clanoptilus marginellus</v>
          </cell>
          <cell r="B5460" t="str">
            <v>Soldier beetles and allies</v>
          </cell>
          <cell r="C5460" t="str">
            <v>Coleoptera</v>
          </cell>
          <cell r="D5460" t="str">
            <v>Clanoptilus marginellus</v>
          </cell>
          <cell r="E5460" t="str">
            <v>NT</v>
          </cell>
          <cell r="F5460" t="str">
            <v>Alexander, 2014</v>
          </cell>
          <cell r="G5460" t="str">
            <v>NHMSYS0001717691</v>
          </cell>
          <cell r="H5460" t="str">
            <v>Clanoptilus marginellus</v>
          </cell>
        </row>
        <row r="5461">
          <cell r="A5461" t="str">
            <v>Clanoptilus strangulatus</v>
          </cell>
          <cell r="B5461" t="str">
            <v>Soldier beetles and allies</v>
          </cell>
          <cell r="C5461" t="str">
            <v>Coleoptera</v>
          </cell>
          <cell r="D5461" t="str">
            <v>Clanoptilus strangulatus</v>
          </cell>
          <cell r="E5461" t="str">
            <v>LC</v>
          </cell>
          <cell r="F5461" t="str">
            <v>Alexander, 2014</v>
          </cell>
          <cell r="G5461" t="str">
            <v>NHMSYS0001717693</v>
          </cell>
          <cell r="H5461" t="str">
            <v>Clanoptilus strangulatus</v>
          </cell>
        </row>
        <row r="5462">
          <cell r="A5462" t="str">
            <v>Cordylepherus viridis</v>
          </cell>
          <cell r="B5462" t="str">
            <v>Soldier beetles and allies</v>
          </cell>
          <cell r="C5462" t="str">
            <v>Coleoptera</v>
          </cell>
          <cell r="D5462" t="str">
            <v>Cordylepherus viridis</v>
          </cell>
          <cell r="E5462" t="str">
            <v>LC</v>
          </cell>
          <cell r="F5462" t="str">
            <v>Alexander, 2014</v>
          </cell>
          <cell r="G5462" t="str">
            <v>NHMSYS0001717748</v>
          </cell>
          <cell r="H5462" t="str">
            <v>Cordylepherus viridis</v>
          </cell>
        </row>
        <row r="5463">
          <cell r="A5463" t="str">
            <v>Dasytes aeratus</v>
          </cell>
          <cell r="B5463" t="str">
            <v>Soldier beetles and allies</v>
          </cell>
          <cell r="C5463" t="str">
            <v>Coleoptera</v>
          </cell>
          <cell r="D5463" t="str">
            <v>Dasytes aeratus</v>
          </cell>
          <cell r="E5463" t="str">
            <v>LC</v>
          </cell>
          <cell r="F5463" t="str">
            <v>Alexander, 2014</v>
          </cell>
          <cell r="G5463" t="str">
            <v>NBNSYS0000024387</v>
          </cell>
          <cell r="H5463" t="str">
            <v>Dasytes aeratus</v>
          </cell>
        </row>
        <row r="5464">
          <cell r="A5464" t="str">
            <v>Dasytes niger</v>
          </cell>
          <cell r="B5464" t="str">
            <v>Soldier beetles and allies</v>
          </cell>
          <cell r="C5464" t="str">
            <v>Coleoptera</v>
          </cell>
          <cell r="D5464" t="str">
            <v>Dasytes niger</v>
          </cell>
          <cell r="E5464" t="str">
            <v>LC</v>
          </cell>
          <cell r="F5464" t="str">
            <v>Alexander, 2014</v>
          </cell>
          <cell r="G5464" t="str">
            <v>NBNSYS0000024389</v>
          </cell>
          <cell r="H5464" t="str">
            <v>Dasytes niger</v>
          </cell>
        </row>
        <row r="5465">
          <cell r="A5465" t="str">
            <v>Dasytes plumbeus</v>
          </cell>
          <cell r="B5465" t="str">
            <v>Soldier beetles and allies</v>
          </cell>
          <cell r="C5465" t="str">
            <v>Coleoptera</v>
          </cell>
          <cell r="D5465" t="str">
            <v>Dasytes plumbeus</v>
          </cell>
          <cell r="E5465" t="str">
            <v>LC</v>
          </cell>
          <cell r="F5465" t="str">
            <v>Alexander, 2014</v>
          </cell>
          <cell r="G5465" t="str">
            <v>NHMSYS0001717842</v>
          </cell>
          <cell r="H5465" t="str">
            <v>Dasytes plumbeus</v>
          </cell>
        </row>
        <row r="5466">
          <cell r="A5466" t="str">
            <v>Dasytes virens</v>
          </cell>
          <cell r="B5466" t="str">
            <v>Soldier beetles and allies</v>
          </cell>
          <cell r="C5466" t="str">
            <v>Coleoptera</v>
          </cell>
          <cell r="D5466" t="str">
            <v>Dasytes virens</v>
          </cell>
          <cell r="E5466" t="str">
            <v>NT</v>
          </cell>
          <cell r="F5466" t="str">
            <v>Alexander, 2014</v>
          </cell>
          <cell r="G5466" t="str">
            <v>NHMSYS0001717844</v>
          </cell>
          <cell r="H5466" t="str">
            <v>Dasytes virens</v>
          </cell>
        </row>
        <row r="5467">
          <cell r="A5467" t="str">
            <v>Dolichosoma lineare</v>
          </cell>
          <cell r="B5467" t="str">
            <v>Soldier beetles and allies</v>
          </cell>
          <cell r="C5467" t="str">
            <v>Coleoptera</v>
          </cell>
          <cell r="D5467" t="str">
            <v>Dolichosoma lineare</v>
          </cell>
          <cell r="E5467" t="str">
            <v>LC</v>
          </cell>
          <cell r="F5467" t="str">
            <v>Alexander, 2014</v>
          </cell>
          <cell r="G5467" t="str">
            <v>NBNSYS0000024393</v>
          </cell>
          <cell r="H5467" t="str">
            <v>Dolichosoma lineare</v>
          </cell>
        </row>
        <row r="5468">
          <cell r="A5468" t="str">
            <v>Drilus flavescens</v>
          </cell>
          <cell r="B5468" t="str">
            <v>Soldier beetles and allies</v>
          </cell>
          <cell r="C5468" t="str">
            <v>Coleoptera</v>
          </cell>
          <cell r="D5468" t="str">
            <v>Drilus flavescens</v>
          </cell>
          <cell r="E5468" t="str">
            <v>LC</v>
          </cell>
          <cell r="F5468" t="str">
            <v>Alexander, 2014</v>
          </cell>
          <cell r="G5468" t="str">
            <v>NBNSYS0000024224</v>
          </cell>
          <cell r="H5468" t="str">
            <v>Drilus flavescens</v>
          </cell>
        </row>
        <row r="5469">
          <cell r="A5469" t="str">
            <v>Ebaeus pedicularius</v>
          </cell>
          <cell r="B5469" t="str">
            <v>Soldier beetles and allies</v>
          </cell>
          <cell r="C5469" t="str">
            <v>Coleoptera</v>
          </cell>
          <cell r="D5469" t="str">
            <v>Ebaeus pedicularius</v>
          </cell>
          <cell r="E5469" t="str">
            <v>RE</v>
          </cell>
          <cell r="F5469" t="str">
            <v>Alexander, 2014</v>
          </cell>
          <cell r="G5469" t="str">
            <v>NBNSYS0000024394</v>
          </cell>
          <cell r="H5469" t="str">
            <v>Ebaeus pedicularius</v>
          </cell>
        </row>
        <row r="5470">
          <cell r="A5470" t="str">
            <v>Erotides cosnardi</v>
          </cell>
          <cell r="B5470" t="str">
            <v>Soldier beetles and allies</v>
          </cell>
          <cell r="C5470" t="str">
            <v>Coleoptera</v>
          </cell>
          <cell r="D5470" t="str">
            <v>Erotides cosnardi</v>
          </cell>
          <cell r="E5470" t="str">
            <v>EN</v>
          </cell>
          <cell r="F5470" t="str">
            <v>Alexander, 2014</v>
          </cell>
          <cell r="G5470" t="str">
            <v>NHMSYS0021008107</v>
          </cell>
          <cell r="H5470" t="str">
            <v>Erotides cosnardi</v>
          </cell>
        </row>
        <row r="5471">
          <cell r="A5471" t="str">
            <v>Hylecoetus dermestoides</v>
          </cell>
          <cell r="B5471" t="str">
            <v>Soldier beetles and allies</v>
          </cell>
          <cell r="C5471" t="str">
            <v>Coleoptera</v>
          </cell>
          <cell r="D5471" t="str">
            <v>Hylecoetus dermestoides</v>
          </cell>
          <cell r="E5471" t="str">
            <v>LC</v>
          </cell>
          <cell r="F5471" t="str">
            <v>Alexander, 2014</v>
          </cell>
          <cell r="G5471" t="str">
            <v>NHMSYS0021366739</v>
          </cell>
          <cell r="H5471" t="str">
            <v>Hylecoetus dermestoides</v>
          </cell>
        </row>
        <row r="5472">
          <cell r="A5472" t="str">
            <v>Hypebaeus flavipes</v>
          </cell>
          <cell r="B5472" t="str">
            <v>Soldier beetles and allies</v>
          </cell>
          <cell r="C5472" t="str">
            <v>Coleoptera</v>
          </cell>
          <cell r="D5472" t="str">
            <v>Hypebaeus flavipes</v>
          </cell>
          <cell r="E5472" t="str">
            <v>VU</v>
          </cell>
          <cell r="F5472" t="str">
            <v>Alexander, 2014</v>
          </cell>
          <cell r="G5472" t="str">
            <v>NHMSYS0001718576</v>
          </cell>
          <cell r="H5472" t="str">
            <v>Hypebaeus flavipes</v>
          </cell>
        </row>
        <row r="5473">
          <cell r="A5473" t="str">
            <v>Korynetes caeruleus</v>
          </cell>
          <cell r="B5473" t="str">
            <v>Soldier beetles and allies</v>
          </cell>
          <cell r="C5473" t="str">
            <v>Coleoptera</v>
          </cell>
          <cell r="D5473" t="str">
            <v>Korynetes caeruleus</v>
          </cell>
          <cell r="E5473" t="str">
            <v>LC</v>
          </cell>
          <cell r="F5473" t="str">
            <v>Alexander, 2014</v>
          </cell>
          <cell r="G5473" t="str">
            <v>NHMSYS0001718644</v>
          </cell>
          <cell r="H5473" t="str">
            <v>Korynetes caeruleus</v>
          </cell>
        </row>
        <row r="5474">
          <cell r="A5474" t="str">
            <v>Lampyris noctiluca</v>
          </cell>
          <cell r="B5474" t="str">
            <v>Soldier beetles and allies</v>
          </cell>
          <cell r="C5474" t="str">
            <v>Coleoptera</v>
          </cell>
          <cell r="D5474" t="str">
            <v>Lampyris noctiluca</v>
          </cell>
          <cell r="E5474" t="str">
            <v>LC</v>
          </cell>
          <cell r="F5474" t="str">
            <v>Alexander, 2014</v>
          </cell>
          <cell r="G5474" t="str">
            <v>NBNSYS0000010994</v>
          </cell>
          <cell r="H5474" t="str">
            <v>Lampyris noctiluca</v>
          </cell>
        </row>
        <row r="5475">
          <cell r="A5475" t="str">
            <v>Lymexylon navale</v>
          </cell>
          <cell r="B5475" t="str">
            <v>Soldier beetles and allies</v>
          </cell>
          <cell r="C5475" t="str">
            <v>Coleoptera</v>
          </cell>
          <cell r="D5475" t="str">
            <v>Lymexylon navale</v>
          </cell>
          <cell r="E5475" t="str">
            <v>LC</v>
          </cell>
          <cell r="F5475" t="str">
            <v>Alexander, 2014</v>
          </cell>
          <cell r="G5475" t="str">
            <v>NBNSYS0000024411</v>
          </cell>
          <cell r="H5475" t="str">
            <v>Lymexylon navale</v>
          </cell>
        </row>
        <row r="5476">
          <cell r="A5476" t="str">
            <v>Malachius aeneus</v>
          </cell>
          <cell r="B5476" t="str">
            <v>Soldier beetles and allies</v>
          </cell>
          <cell r="C5476" t="str">
            <v>Coleoptera</v>
          </cell>
          <cell r="D5476" t="str">
            <v>Malachius aeneus</v>
          </cell>
          <cell r="E5476" t="str">
            <v>NT</v>
          </cell>
          <cell r="F5476" t="str">
            <v>Alexander, 2014</v>
          </cell>
          <cell r="G5476" t="str">
            <v>NBNSYS0000024399</v>
          </cell>
          <cell r="H5476" t="str">
            <v>Malachius aeneus</v>
          </cell>
        </row>
        <row r="5477">
          <cell r="A5477" t="str">
            <v>Malachius bipustulatus</v>
          </cell>
          <cell r="B5477" t="str">
            <v>Soldier beetles and allies</v>
          </cell>
          <cell r="C5477" t="str">
            <v>Coleoptera</v>
          </cell>
          <cell r="D5477" t="str">
            <v>Malachius bipustulatus</v>
          </cell>
          <cell r="E5477" t="str">
            <v>LC</v>
          </cell>
          <cell r="F5477" t="str">
            <v>Alexander, 2014</v>
          </cell>
          <cell r="G5477" t="str">
            <v>NBNSYS0000024401</v>
          </cell>
          <cell r="H5477" t="str">
            <v>Malachius bipustulatus</v>
          </cell>
        </row>
        <row r="5478">
          <cell r="A5478" t="str">
            <v>Malthinus balteatus</v>
          </cell>
          <cell r="B5478" t="str">
            <v>Soldier beetles and allies</v>
          </cell>
          <cell r="C5478" t="str">
            <v>Coleoptera</v>
          </cell>
          <cell r="D5478" t="str">
            <v>Malthinus balteatus</v>
          </cell>
          <cell r="E5478" t="str">
            <v>LC</v>
          </cell>
          <cell r="F5478" t="str">
            <v>Alexander, 2014</v>
          </cell>
          <cell r="G5478" t="str">
            <v>NBNSYS0000024251</v>
          </cell>
          <cell r="H5478" t="str">
            <v>Malthinus balteatus</v>
          </cell>
        </row>
        <row r="5479">
          <cell r="A5479" t="str">
            <v>Malthinus flaveolus</v>
          </cell>
          <cell r="B5479" t="str">
            <v>Soldier beetles and allies</v>
          </cell>
          <cell r="C5479" t="str">
            <v>Coleoptera</v>
          </cell>
          <cell r="D5479" t="str">
            <v>Malthinus flaveolus</v>
          </cell>
          <cell r="E5479" t="str">
            <v>LC</v>
          </cell>
          <cell r="F5479" t="str">
            <v>Alexander, 2014</v>
          </cell>
          <cell r="G5479" t="str">
            <v>NBNSYS0000024252</v>
          </cell>
          <cell r="H5479" t="str">
            <v>Malthinus flaveolus</v>
          </cell>
        </row>
        <row r="5480">
          <cell r="A5480" t="str">
            <v>Malthinus frontalis</v>
          </cell>
          <cell r="B5480" t="str">
            <v>Soldier beetles and allies</v>
          </cell>
          <cell r="C5480" t="str">
            <v>Coleoptera</v>
          </cell>
          <cell r="D5480" t="str">
            <v>Malthinus frontalis</v>
          </cell>
          <cell r="E5480" t="str">
            <v>LC</v>
          </cell>
          <cell r="F5480" t="str">
            <v>Alexander, 2014</v>
          </cell>
          <cell r="G5480" t="str">
            <v>NBNSYS0000024253</v>
          </cell>
          <cell r="H5480" t="str">
            <v>Malthinus frontalis</v>
          </cell>
        </row>
        <row r="5481">
          <cell r="A5481" t="str">
            <v>Malthinus seriepunctatus</v>
          </cell>
          <cell r="B5481" t="str">
            <v>Soldier beetles and allies</v>
          </cell>
          <cell r="C5481" t="str">
            <v>Coleoptera</v>
          </cell>
          <cell r="D5481" t="str">
            <v>Malthinus seriepunctatus</v>
          </cell>
          <cell r="E5481" t="str">
            <v>LC</v>
          </cell>
          <cell r="F5481" t="str">
            <v>Alexander, 2014</v>
          </cell>
          <cell r="G5481" t="str">
            <v>NBNSYS0000024254</v>
          </cell>
          <cell r="H5481" t="str">
            <v>Malthinus seriepunctatus</v>
          </cell>
        </row>
        <row r="5482">
          <cell r="A5482" t="str">
            <v>Malthodes crassicornis</v>
          </cell>
          <cell r="B5482" t="str">
            <v>Soldier beetles and allies</v>
          </cell>
          <cell r="C5482" t="str">
            <v>Coleoptera</v>
          </cell>
          <cell r="D5482" t="str">
            <v>Malthodes crassicornis</v>
          </cell>
          <cell r="E5482" t="str">
            <v>NT</v>
          </cell>
          <cell r="F5482" t="str">
            <v>Alexander, 2014</v>
          </cell>
          <cell r="G5482" t="str">
            <v>NHMSYS0001718908</v>
          </cell>
          <cell r="H5482" t="str">
            <v>Malthodes crassicornis</v>
          </cell>
        </row>
        <row r="5483">
          <cell r="A5483" t="str">
            <v>Malthodes dispar</v>
          </cell>
          <cell r="B5483" t="str">
            <v>Soldier beetles and allies</v>
          </cell>
          <cell r="C5483" t="str">
            <v>Coleoptera</v>
          </cell>
          <cell r="D5483" t="str">
            <v>Malthodes dispar</v>
          </cell>
          <cell r="E5483" t="str">
            <v>LC</v>
          </cell>
          <cell r="F5483" t="str">
            <v>Alexander, 2014</v>
          </cell>
          <cell r="G5483" t="str">
            <v>NBNSYS0000024257</v>
          </cell>
          <cell r="H5483" t="str">
            <v>Malthodes dispar</v>
          </cell>
        </row>
        <row r="5484">
          <cell r="A5484" t="str">
            <v>Malthodes fibulatus</v>
          </cell>
          <cell r="B5484" t="str">
            <v>Soldier beetles and allies</v>
          </cell>
          <cell r="C5484" t="str">
            <v>Coleoptera</v>
          </cell>
          <cell r="D5484" t="str">
            <v>Malthodes fibulatus</v>
          </cell>
          <cell r="E5484" t="str">
            <v>LC</v>
          </cell>
          <cell r="F5484" t="str">
            <v>Alexander, 2014</v>
          </cell>
          <cell r="G5484" t="str">
            <v>NBNSYS0000024258</v>
          </cell>
          <cell r="H5484" t="str">
            <v>Malthodes fibulatus</v>
          </cell>
        </row>
        <row r="5485">
          <cell r="A5485" t="str">
            <v>Malthodes flavoguttatus</v>
          </cell>
          <cell r="B5485" t="str">
            <v>Soldier beetles and allies</v>
          </cell>
          <cell r="C5485" t="str">
            <v>Coleoptera</v>
          </cell>
          <cell r="D5485" t="str">
            <v>Malthodes flavoguttatus</v>
          </cell>
          <cell r="E5485" t="str">
            <v>LC</v>
          </cell>
          <cell r="F5485" t="str">
            <v>Alexander, 2014</v>
          </cell>
          <cell r="G5485" t="str">
            <v>NBNSYS0000024259</v>
          </cell>
          <cell r="H5485" t="str">
            <v>Malthodes flavoguttatus</v>
          </cell>
        </row>
        <row r="5486">
          <cell r="A5486" t="str">
            <v>Malthodes fuscus</v>
          </cell>
          <cell r="B5486" t="str">
            <v>Soldier beetles and allies</v>
          </cell>
          <cell r="C5486" t="str">
            <v>Coleoptera</v>
          </cell>
          <cell r="D5486" t="str">
            <v>Malthodes fuscus</v>
          </cell>
          <cell r="E5486" t="str">
            <v>LC</v>
          </cell>
          <cell r="F5486" t="str">
            <v>Alexander, 2014</v>
          </cell>
          <cell r="G5486" t="str">
            <v>NBNSYS0000024260</v>
          </cell>
          <cell r="H5486" t="str">
            <v>Malthodes fuscus</v>
          </cell>
        </row>
        <row r="5487">
          <cell r="A5487" t="str">
            <v>Malthodes guttifer</v>
          </cell>
          <cell r="B5487" t="str">
            <v>Soldier beetles and allies</v>
          </cell>
          <cell r="C5487" t="str">
            <v>Coleoptera</v>
          </cell>
          <cell r="D5487" t="str">
            <v>Malthodes guttifer</v>
          </cell>
          <cell r="E5487" t="str">
            <v>LC</v>
          </cell>
          <cell r="F5487" t="str">
            <v>Alexander, 2014</v>
          </cell>
          <cell r="G5487" t="str">
            <v>NBNSYS0000024261</v>
          </cell>
          <cell r="H5487" t="str">
            <v>Malthodes guttifer</v>
          </cell>
        </row>
        <row r="5488">
          <cell r="A5488" t="str">
            <v>Malthodes marginalis</v>
          </cell>
          <cell r="B5488" t="str">
            <v>Soldier beetles and allies</v>
          </cell>
          <cell r="C5488" t="str">
            <v>Coleoptera</v>
          </cell>
          <cell r="D5488" t="str">
            <v>Malthodes marginalis</v>
          </cell>
          <cell r="E5488" t="str">
            <v>LC</v>
          </cell>
          <cell r="F5488" t="str">
            <v>Alexander, 2014</v>
          </cell>
          <cell r="G5488" t="str">
            <v>NBNSYS0000024262</v>
          </cell>
          <cell r="H5488" t="str">
            <v>Malthodes marginalis</v>
          </cell>
        </row>
        <row r="5489">
          <cell r="A5489" t="str">
            <v>Malthodes maurus</v>
          </cell>
          <cell r="B5489" t="str">
            <v>Soldier beetles and allies</v>
          </cell>
          <cell r="C5489" t="str">
            <v>Coleoptera</v>
          </cell>
          <cell r="D5489" t="str">
            <v>Malthodes maurus</v>
          </cell>
          <cell r="E5489" t="str">
            <v>LC</v>
          </cell>
          <cell r="F5489" t="str">
            <v>Alexander, 2014</v>
          </cell>
          <cell r="G5489" t="str">
            <v>NHMSYS0001718911</v>
          </cell>
          <cell r="H5489" t="str">
            <v>Malthodes maurus</v>
          </cell>
        </row>
        <row r="5490">
          <cell r="A5490" t="str">
            <v>Malthodes minimus</v>
          </cell>
          <cell r="B5490" t="str">
            <v>Soldier beetles and allies</v>
          </cell>
          <cell r="C5490" t="str">
            <v>Coleoptera</v>
          </cell>
          <cell r="D5490" t="str">
            <v>Malthodes minimus</v>
          </cell>
          <cell r="E5490" t="str">
            <v>LC</v>
          </cell>
          <cell r="F5490" t="str">
            <v>Alexander, 2014</v>
          </cell>
          <cell r="G5490" t="str">
            <v>NBNSYS0000024264</v>
          </cell>
          <cell r="H5490" t="str">
            <v>Malthodes minimus</v>
          </cell>
        </row>
        <row r="5491">
          <cell r="A5491" t="str">
            <v>Malthodes mysticus</v>
          </cell>
          <cell r="B5491" t="str">
            <v>Soldier beetles and allies</v>
          </cell>
          <cell r="C5491" t="str">
            <v>Coleoptera</v>
          </cell>
          <cell r="D5491" t="str">
            <v>Malthodes mysticus</v>
          </cell>
          <cell r="E5491" t="str">
            <v>LC</v>
          </cell>
          <cell r="F5491" t="str">
            <v>Alexander, 2014</v>
          </cell>
          <cell r="G5491" t="str">
            <v>NBNSYS0000024265</v>
          </cell>
          <cell r="H5491" t="str">
            <v>Malthodes mysticus</v>
          </cell>
        </row>
        <row r="5492">
          <cell r="A5492" t="str">
            <v>Malthodes pumilus</v>
          </cell>
          <cell r="B5492" t="str">
            <v>Soldier beetles and allies</v>
          </cell>
          <cell r="C5492" t="str">
            <v>Coleoptera</v>
          </cell>
          <cell r="D5492" t="str">
            <v>Malthodes pumilus</v>
          </cell>
          <cell r="E5492" t="str">
            <v>LC</v>
          </cell>
          <cell r="F5492" t="str">
            <v>Alexander, 2014</v>
          </cell>
          <cell r="G5492" t="str">
            <v>NHMSYS0001718914</v>
          </cell>
          <cell r="H5492" t="str">
            <v>Malthodes pumilus</v>
          </cell>
        </row>
        <row r="5493">
          <cell r="A5493" t="str">
            <v>Melanophila acuminata</v>
          </cell>
          <cell r="B5493" t="str">
            <v>Soldier beetles and allies</v>
          </cell>
          <cell r="C5493" t="str">
            <v>Coleoptera</v>
          </cell>
          <cell r="D5493" t="str">
            <v>Melanophila acuminata</v>
          </cell>
          <cell r="E5493" t="str">
            <v>EN</v>
          </cell>
          <cell r="F5493" t="str">
            <v>Alexander, 2014</v>
          </cell>
          <cell r="G5493" t="str">
            <v>NHMSYS0001718959</v>
          </cell>
          <cell r="H5493" t="str">
            <v>Melanophila acuminata</v>
          </cell>
        </row>
        <row r="5494">
          <cell r="A5494" t="str">
            <v>Necrobia ruficollis</v>
          </cell>
          <cell r="B5494" t="str">
            <v>Soldier beetles and allies</v>
          </cell>
          <cell r="C5494" t="str">
            <v>Coleoptera</v>
          </cell>
          <cell r="D5494" t="str">
            <v>Necrobia ruficollis</v>
          </cell>
          <cell r="E5494" t="str">
            <v>LC</v>
          </cell>
          <cell r="F5494" t="str">
            <v>Alexander, 2014</v>
          </cell>
          <cell r="G5494" t="str">
            <v>NHMSYS0001719122</v>
          </cell>
          <cell r="H5494" t="str">
            <v>Necrobia ruficollis</v>
          </cell>
        </row>
        <row r="5495">
          <cell r="A5495" t="str">
            <v>Necrobia rufipes</v>
          </cell>
          <cell r="B5495" t="str">
            <v>Soldier beetles and allies</v>
          </cell>
          <cell r="C5495" t="str">
            <v>Coleoptera</v>
          </cell>
          <cell r="D5495" t="str">
            <v>Necrobia rufipes</v>
          </cell>
          <cell r="E5495" t="str">
            <v>LC</v>
          </cell>
          <cell r="F5495" t="str">
            <v>Alexander, 2014</v>
          </cell>
          <cell r="G5495" t="str">
            <v>NHMSYS0001719123</v>
          </cell>
          <cell r="H5495" t="str">
            <v>Necrobia rufipes</v>
          </cell>
        </row>
        <row r="5496">
          <cell r="A5496" t="str">
            <v>Necrobia violacea</v>
          </cell>
          <cell r="B5496" t="str">
            <v>Soldier beetles and allies</v>
          </cell>
          <cell r="C5496" t="str">
            <v>Coleoptera</v>
          </cell>
          <cell r="D5496" t="str">
            <v>Necrobia violacea</v>
          </cell>
          <cell r="E5496" t="str">
            <v>LC</v>
          </cell>
          <cell r="F5496" t="str">
            <v>Alexander, 2014</v>
          </cell>
          <cell r="G5496" t="str">
            <v>NBNSYS0000024384</v>
          </cell>
          <cell r="H5496" t="str">
            <v>Necrobia violacea</v>
          </cell>
        </row>
        <row r="5497">
          <cell r="A5497" t="str">
            <v>Nemozoma elongatum</v>
          </cell>
          <cell r="B5497" t="str">
            <v>Soldier beetles and allies</v>
          </cell>
          <cell r="C5497" t="str">
            <v>Coleoptera</v>
          </cell>
          <cell r="D5497" t="str">
            <v>Nemozoma elongatum</v>
          </cell>
          <cell r="E5497" t="str">
            <v>VU</v>
          </cell>
          <cell r="F5497" t="str">
            <v>Alexander, 2014</v>
          </cell>
          <cell r="G5497" t="str">
            <v>NBNSYS0000024366</v>
          </cell>
          <cell r="H5497" t="str">
            <v>Nemozoma elongatum</v>
          </cell>
        </row>
        <row r="5498">
          <cell r="A5498" t="str">
            <v>Opilo mollis</v>
          </cell>
          <cell r="B5498" t="str">
            <v>Soldier beetles and allies</v>
          </cell>
          <cell r="C5498" t="str">
            <v>Coleoptera</v>
          </cell>
          <cell r="D5498" t="str">
            <v>Opilo mollis</v>
          </cell>
          <cell r="E5498" t="str">
            <v>LC</v>
          </cell>
          <cell r="F5498" t="str">
            <v>Alexander, 2014</v>
          </cell>
          <cell r="G5498" t="str">
            <v>NBNSYS0000024373</v>
          </cell>
          <cell r="H5498" t="str">
            <v>Opilo mollis</v>
          </cell>
        </row>
        <row r="5499">
          <cell r="A5499" t="str">
            <v>Phloiophilus edwardsii</v>
          </cell>
          <cell r="B5499" t="str">
            <v>Soldier beetles and allies</v>
          </cell>
          <cell r="C5499" t="str">
            <v>Coleoptera</v>
          </cell>
          <cell r="D5499" t="str">
            <v>Phloiophilus edwardsii</v>
          </cell>
          <cell r="E5499" t="str">
            <v>LC</v>
          </cell>
          <cell r="F5499" t="str">
            <v>Alexander, 2014</v>
          </cell>
          <cell r="G5499" t="str">
            <v>NBNSYS0000153816</v>
          </cell>
          <cell r="H5499" t="str">
            <v>Phloiophilus edwardsii</v>
          </cell>
        </row>
        <row r="5500">
          <cell r="A5500" t="str">
            <v>Platycis minutus</v>
          </cell>
          <cell r="B5500" t="str">
            <v>Soldier beetles and allies</v>
          </cell>
          <cell r="C5500" t="str">
            <v>Coleoptera</v>
          </cell>
          <cell r="D5500" t="str">
            <v>Platycis minutus</v>
          </cell>
          <cell r="E5500" t="str">
            <v>LC</v>
          </cell>
          <cell r="F5500" t="str">
            <v>Alexander, 2014</v>
          </cell>
          <cell r="G5500" t="str">
            <v>NHMSYS0001719616</v>
          </cell>
          <cell r="H5500" t="str">
            <v>Platycis minutus</v>
          </cell>
        </row>
        <row r="5501">
          <cell r="A5501" t="str">
            <v>Podabrus alpinus</v>
          </cell>
          <cell r="B5501" t="str">
            <v>Soldier beetles and allies</v>
          </cell>
          <cell r="C5501" t="str">
            <v>Coleoptera</v>
          </cell>
          <cell r="D5501" t="str">
            <v>Podabrus alpinus</v>
          </cell>
          <cell r="E5501" t="str">
            <v>LC</v>
          </cell>
          <cell r="F5501" t="str">
            <v>Alexander, 2014</v>
          </cell>
          <cell r="G5501" t="str">
            <v>NBNSYS0000024225</v>
          </cell>
          <cell r="H5501" t="str">
            <v>Podabrus alpinus</v>
          </cell>
        </row>
        <row r="5502">
          <cell r="A5502" t="str">
            <v>Psilothrix viridicoeruleus</v>
          </cell>
          <cell r="B5502" t="str">
            <v>Soldier beetles and allies</v>
          </cell>
          <cell r="C5502" t="str">
            <v>Coleoptera</v>
          </cell>
          <cell r="D5502" t="str">
            <v>Psilothrix viridicoeruleus</v>
          </cell>
          <cell r="E5502" t="str">
            <v>LC</v>
          </cell>
          <cell r="F5502" t="str">
            <v>Alexander, 2014</v>
          </cell>
          <cell r="G5502" t="str">
            <v>NHMSYS0021422194</v>
          </cell>
          <cell r="H5502" t="str">
            <v>Psilothrix viridicoeruleus</v>
          </cell>
        </row>
        <row r="5503">
          <cell r="A5503" t="str">
            <v>Pyropterus nigroruber</v>
          </cell>
          <cell r="B5503" t="str">
            <v>Soldier beetles and allies</v>
          </cell>
          <cell r="C5503" t="str">
            <v>Coleoptera</v>
          </cell>
          <cell r="D5503" t="str">
            <v>Pyropterus nigroruber</v>
          </cell>
          <cell r="E5503" t="str">
            <v>LC</v>
          </cell>
          <cell r="F5503" t="str">
            <v>Alexander, 2014</v>
          </cell>
          <cell r="G5503" t="str">
            <v>NHMSYS0001719896</v>
          </cell>
          <cell r="H5503" t="str">
            <v>Pyropterus nigroruber</v>
          </cell>
        </row>
        <row r="5504">
          <cell r="A5504" t="str">
            <v>Rhagonycha fulva</v>
          </cell>
          <cell r="B5504" t="str">
            <v>Soldier beetles and allies</v>
          </cell>
          <cell r="C5504" t="str">
            <v>Coleoptera</v>
          </cell>
          <cell r="D5504" t="str">
            <v>Rhagonycha fulva</v>
          </cell>
          <cell r="E5504" t="str">
            <v>LC</v>
          </cell>
          <cell r="F5504" t="str">
            <v>Alexander, 2014</v>
          </cell>
          <cell r="G5504" t="str">
            <v>NBNSYS0000024244</v>
          </cell>
          <cell r="H5504" t="str">
            <v>Rhagonycha fulva</v>
          </cell>
        </row>
        <row r="5505">
          <cell r="A5505" t="str">
            <v>Rhagonycha lignosa</v>
          </cell>
          <cell r="B5505" t="str">
            <v>Soldier beetles and allies</v>
          </cell>
          <cell r="C5505" t="str">
            <v>Coleoptera</v>
          </cell>
          <cell r="D5505" t="str">
            <v>Rhagonycha lignosa</v>
          </cell>
          <cell r="E5505" t="str">
            <v>LC</v>
          </cell>
          <cell r="F5505" t="str">
            <v>Alexander, 2014</v>
          </cell>
          <cell r="G5505" t="str">
            <v>NHMSYS0001719985</v>
          </cell>
          <cell r="H5505" t="str">
            <v>Rhagonycha lignosa</v>
          </cell>
        </row>
        <row r="5506">
          <cell r="A5506" t="str">
            <v>Rhagonycha limbata</v>
          </cell>
          <cell r="B5506" t="str">
            <v>Soldier beetles and allies</v>
          </cell>
          <cell r="C5506" t="str">
            <v>Coleoptera</v>
          </cell>
          <cell r="D5506" t="str">
            <v>Rhagonycha limbata</v>
          </cell>
          <cell r="E5506" t="str">
            <v>LC</v>
          </cell>
          <cell r="F5506" t="str">
            <v>Alexander, 2014</v>
          </cell>
          <cell r="G5506" t="str">
            <v>NHMSYS0021366879</v>
          </cell>
          <cell r="H5506" t="str">
            <v>Rhagonycha limbata</v>
          </cell>
        </row>
        <row r="5507">
          <cell r="A5507" t="str">
            <v>Rhagonycha lutea</v>
          </cell>
          <cell r="B5507" t="str">
            <v>Soldier beetles and allies</v>
          </cell>
          <cell r="C5507" t="str">
            <v>Coleoptera</v>
          </cell>
          <cell r="D5507" t="str">
            <v>Rhagonycha lutea</v>
          </cell>
          <cell r="E5507" t="str">
            <v>LC</v>
          </cell>
          <cell r="F5507" t="str">
            <v>Alexander, 2014</v>
          </cell>
          <cell r="G5507" t="str">
            <v>NHMSYS0001719987</v>
          </cell>
          <cell r="H5507" t="str">
            <v>Rhagonycha lutea</v>
          </cell>
        </row>
        <row r="5508">
          <cell r="A5508" t="str">
            <v>Rhagonycha testacea</v>
          </cell>
          <cell r="B5508" t="str">
            <v>Soldier beetles and allies</v>
          </cell>
          <cell r="C5508" t="str">
            <v>Coleoptera</v>
          </cell>
          <cell r="D5508" t="str">
            <v>Rhagonycha testacea</v>
          </cell>
          <cell r="E5508" t="str">
            <v>LC</v>
          </cell>
          <cell r="F5508" t="str">
            <v>Alexander, 2014</v>
          </cell>
          <cell r="G5508" t="str">
            <v>NBNSYS0000024248</v>
          </cell>
          <cell r="H5508" t="str">
            <v>Rhagonycha testacea</v>
          </cell>
        </row>
        <row r="5509">
          <cell r="A5509" t="str">
            <v>Rhagonycha translucida</v>
          </cell>
          <cell r="B5509" t="str">
            <v>Soldier beetles and allies</v>
          </cell>
          <cell r="C5509" t="str">
            <v>Coleoptera</v>
          </cell>
          <cell r="D5509" t="str">
            <v>Rhagonycha translucida</v>
          </cell>
          <cell r="E5509" t="str">
            <v>LC</v>
          </cell>
          <cell r="F5509" t="str">
            <v>Alexander, 2014</v>
          </cell>
          <cell r="G5509" t="str">
            <v>NBNSYS0000024249</v>
          </cell>
          <cell r="H5509" t="str">
            <v>Rhagonycha translucida</v>
          </cell>
        </row>
        <row r="5510">
          <cell r="A5510" t="str">
            <v>Silis ruficollis</v>
          </cell>
          <cell r="B5510" t="str">
            <v>Soldier beetles and allies</v>
          </cell>
          <cell r="C5510" t="str">
            <v>Coleoptera</v>
          </cell>
          <cell r="D5510" t="str">
            <v>Silis ruficollis</v>
          </cell>
          <cell r="E5510" t="str">
            <v>LC</v>
          </cell>
          <cell r="F5510" t="str">
            <v>Alexander, 2014</v>
          </cell>
          <cell r="G5510" t="str">
            <v>NBNSYS0000024250</v>
          </cell>
          <cell r="H5510" t="str">
            <v>Silis ruficollis</v>
          </cell>
        </row>
        <row r="5511">
          <cell r="A5511" t="str">
            <v>Thanasimus formicarius</v>
          </cell>
          <cell r="B5511" t="str">
            <v>Soldier beetles and allies</v>
          </cell>
          <cell r="C5511" t="str">
            <v>Coleoptera</v>
          </cell>
          <cell r="D5511" t="str">
            <v>Thanasimus formicarius</v>
          </cell>
          <cell r="E5511" t="str">
            <v>LC</v>
          </cell>
          <cell r="F5511" t="str">
            <v>Alexander, 2014</v>
          </cell>
          <cell r="G5511" t="str">
            <v>NBNSYS0000024374</v>
          </cell>
          <cell r="H5511" t="str">
            <v>Thanasimus formicarius</v>
          </cell>
        </row>
        <row r="5512">
          <cell r="A5512" t="str">
            <v>Thymalus limbatus</v>
          </cell>
          <cell r="B5512" t="str">
            <v>Soldier beetles and allies</v>
          </cell>
          <cell r="C5512" t="str">
            <v>Coleoptera</v>
          </cell>
          <cell r="D5512" t="str">
            <v>Thymalus limbatus</v>
          </cell>
          <cell r="E5512" t="str">
            <v>LC</v>
          </cell>
          <cell r="F5512" t="str">
            <v>Alexander, 2014</v>
          </cell>
          <cell r="G5512" t="str">
            <v>NHMSYS0001720386</v>
          </cell>
          <cell r="H5512" t="str">
            <v>Thymalus limbatus</v>
          </cell>
        </row>
        <row r="5513">
          <cell r="A5513" t="str">
            <v>Tilloidea unifasciata</v>
          </cell>
          <cell r="B5513" t="str">
            <v>Soldier beetles and allies</v>
          </cell>
          <cell r="C5513" t="str">
            <v>Coleoptera</v>
          </cell>
          <cell r="D5513" t="str">
            <v>Tilloidea unifasciata</v>
          </cell>
          <cell r="E5513" t="str">
            <v>RE</v>
          </cell>
          <cell r="F5513" t="str">
            <v>Alexander, 2014</v>
          </cell>
          <cell r="G5513" t="str">
            <v>NHMSYS0001720390</v>
          </cell>
          <cell r="H5513" t="str">
            <v>Tilloidea unifasciata</v>
          </cell>
        </row>
        <row r="5514">
          <cell r="A5514" t="str">
            <v>Tillus elongatus</v>
          </cell>
          <cell r="B5514" t="str">
            <v>Soldier beetles and allies</v>
          </cell>
          <cell r="C5514" t="str">
            <v>Coleoptera</v>
          </cell>
          <cell r="D5514" t="str">
            <v>Tillus elongatus</v>
          </cell>
          <cell r="E5514" t="str">
            <v>LC</v>
          </cell>
          <cell r="F5514" t="str">
            <v>Alexander, 2014</v>
          </cell>
          <cell r="G5514" t="str">
            <v>NBNSYS0000024370</v>
          </cell>
          <cell r="H5514" t="str">
            <v>Tillus elongatus</v>
          </cell>
        </row>
        <row r="5515">
          <cell r="A5515" t="str">
            <v>Trachys minuta</v>
          </cell>
          <cell r="B5515" t="str">
            <v>Soldier beetles and allies</v>
          </cell>
          <cell r="C5515" t="str">
            <v>Coleoptera</v>
          </cell>
          <cell r="D5515" t="str">
            <v>Trachys minuta</v>
          </cell>
          <cell r="E5515" t="str">
            <v>NT</v>
          </cell>
          <cell r="F5515" t="str">
            <v>Alexander, 2014</v>
          </cell>
          <cell r="G5515" t="str">
            <v>NBNSYS0000158233</v>
          </cell>
          <cell r="H5515" t="str">
            <v>Trachys minuta</v>
          </cell>
        </row>
        <row r="5516">
          <cell r="A5516" t="str">
            <v>Trachys scrobiculatus</v>
          </cell>
          <cell r="B5516" t="str">
            <v>Soldier beetles and allies</v>
          </cell>
          <cell r="C5516" t="str">
            <v>Coleoptera</v>
          </cell>
          <cell r="D5516" t="str">
            <v>Trachys scrobiculatus</v>
          </cell>
          <cell r="E5516" t="str">
            <v>LC</v>
          </cell>
          <cell r="F5516" t="str">
            <v>Alexander, 2014</v>
          </cell>
          <cell r="G5516" t="str">
            <v>NBNSYS0000024222</v>
          </cell>
          <cell r="H5516" t="str">
            <v>Trachys scrobiculatus</v>
          </cell>
        </row>
        <row r="5517">
          <cell r="A5517" t="str">
            <v>Trachys subglaber</v>
          </cell>
          <cell r="B5517" t="str">
            <v>Soldier beetles and allies</v>
          </cell>
          <cell r="C5517" t="str">
            <v>Coleoptera</v>
          </cell>
          <cell r="D5517" t="str">
            <v>Trachys subglaber</v>
          </cell>
          <cell r="E5517" t="str">
            <v>LC</v>
          </cell>
          <cell r="F5517" t="str">
            <v>Alexander, 2014</v>
          </cell>
          <cell r="G5517" t="str">
            <v>NHMSYS0021366874</v>
          </cell>
          <cell r="H5517" t="str">
            <v>Trachys subglaber</v>
          </cell>
        </row>
        <row r="5518">
          <cell r="A5518" t="str">
            <v>Trichodes alvearius</v>
          </cell>
          <cell r="B5518" t="str">
            <v>Soldier beetles and allies</v>
          </cell>
          <cell r="C5518" t="str">
            <v>Coleoptera</v>
          </cell>
          <cell r="D5518" t="str">
            <v>Trichodes alvearius</v>
          </cell>
          <cell r="E5518" t="str">
            <v>RE</v>
          </cell>
          <cell r="F5518" t="str">
            <v>Alexander, 2014</v>
          </cell>
          <cell r="G5518" t="str">
            <v>NHMSYS0001720429</v>
          </cell>
          <cell r="H5518" t="str">
            <v>Trichodes alvearius</v>
          </cell>
        </row>
        <row r="5519">
          <cell r="A5519" t="str">
            <v>Trichodes apiarius</v>
          </cell>
          <cell r="B5519" t="str">
            <v>Soldier beetles and allies</v>
          </cell>
          <cell r="C5519" t="str">
            <v>Coleoptera</v>
          </cell>
          <cell r="D5519" t="str">
            <v>Trichodes apiarius</v>
          </cell>
          <cell r="E5519" t="str">
            <v>RE</v>
          </cell>
          <cell r="F5519" t="str">
            <v>Alexander, 2014</v>
          </cell>
          <cell r="G5519" t="str">
            <v>NBNSYS0000024377</v>
          </cell>
          <cell r="H5519" t="str">
            <v>Trichodes apiarius</v>
          </cell>
        </row>
        <row r="5520">
          <cell r="A5520" t="str">
            <v>Acrocera orbiculus</v>
          </cell>
          <cell r="B5520" t="str">
            <v>Soldier flies and allies</v>
          </cell>
          <cell r="C5520" t="str">
            <v>Diptera</v>
          </cell>
          <cell r="D5520" t="str">
            <v>Acrocera orbiculus</v>
          </cell>
          <cell r="E5520" t="str">
            <v>LC</v>
          </cell>
          <cell r="F5520" t="str">
            <v>Drake, 2017</v>
          </cell>
          <cell r="G5520" t="str">
            <v>NBNSYS0100027431</v>
          </cell>
          <cell r="H5520" t="str">
            <v>Acrocera orbiculus</v>
          </cell>
        </row>
        <row r="5521">
          <cell r="A5521" t="str">
            <v>Acrosathe annulata</v>
          </cell>
          <cell r="B5521" t="str">
            <v>Soldier flies and allies</v>
          </cell>
          <cell r="C5521" t="str">
            <v>Diptera</v>
          </cell>
          <cell r="D5521" t="str">
            <v>Acrosathe annulata</v>
          </cell>
          <cell r="E5521" t="str">
            <v>LC</v>
          </cell>
          <cell r="F5521" t="str">
            <v>Drake, 2017</v>
          </cell>
          <cell r="G5521" t="str">
            <v>NBNSYS0100001416</v>
          </cell>
          <cell r="H5521" t="str">
            <v>Acrosathe annulata</v>
          </cell>
        </row>
        <row r="5522">
          <cell r="A5522" t="str">
            <v>Asilus crabroniformis</v>
          </cell>
          <cell r="B5522" t="str">
            <v>Soldier flies and allies</v>
          </cell>
          <cell r="C5522" t="str">
            <v>Diptera</v>
          </cell>
          <cell r="D5522" t="str">
            <v>Asilus crabroniformis</v>
          </cell>
          <cell r="E5522" t="str">
            <v>LC</v>
          </cell>
          <cell r="F5522" t="str">
            <v>Drake, 2017</v>
          </cell>
          <cell r="G5522" t="str">
            <v>NBNSYS0000007895</v>
          </cell>
          <cell r="H5522" t="str">
            <v>Asilus crabroniformis</v>
          </cell>
        </row>
        <row r="5523">
          <cell r="A5523" t="str">
            <v>Atherix ibis</v>
          </cell>
          <cell r="B5523" t="str">
            <v>Soldier flies and allies</v>
          </cell>
          <cell r="C5523" t="str">
            <v>Diptera</v>
          </cell>
          <cell r="D5523" t="str">
            <v>Atherix ibis</v>
          </cell>
          <cell r="E5523" t="str">
            <v>LC</v>
          </cell>
          <cell r="F5523" t="str">
            <v>Drake, 2017</v>
          </cell>
          <cell r="G5523" t="str">
            <v>NBNSYS0000007858</v>
          </cell>
          <cell r="H5523" t="str">
            <v>Atherix ibis</v>
          </cell>
        </row>
        <row r="5524">
          <cell r="A5524" t="str">
            <v>Atrichops crassipes</v>
          </cell>
          <cell r="B5524" t="str">
            <v>Soldier flies and allies</v>
          </cell>
          <cell r="C5524" t="str">
            <v>Diptera</v>
          </cell>
          <cell r="D5524" t="str">
            <v>Atrichops crassipes</v>
          </cell>
          <cell r="E5524" t="str">
            <v>LC</v>
          </cell>
          <cell r="F5524" t="str">
            <v>Drake, 2017</v>
          </cell>
          <cell r="G5524" t="str">
            <v>NBNSYS0000007860</v>
          </cell>
          <cell r="H5524" t="str">
            <v>Atrichops crassipes</v>
          </cell>
        </row>
        <row r="5525">
          <cell r="A5525" t="str">
            <v>Atylotus fulvus</v>
          </cell>
          <cell r="B5525" t="str">
            <v>Soldier flies and allies</v>
          </cell>
          <cell r="C5525" t="str">
            <v>Diptera</v>
          </cell>
          <cell r="D5525" t="str">
            <v>Atylotus fulvus</v>
          </cell>
          <cell r="E5525" t="str">
            <v>LC</v>
          </cell>
          <cell r="F5525" t="str">
            <v>Drake, 2017</v>
          </cell>
          <cell r="G5525" t="str">
            <v>NBNSYS0000007875</v>
          </cell>
          <cell r="H5525" t="str">
            <v>Atylotus fulvus</v>
          </cell>
        </row>
        <row r="5526">
          <cell r="A5526" t="str">
            <v>Atylotus latistriatus</v>
          </cell>
          <cell r="B5526" t="str">
            <v>Soldier flies and allies</v>
          </cell>
          <cell r="C5526" t="str">
            <v>Diptera</v>
          </cell>
          <cell r="D5526" t="str">
            <v>Atylotus latistriatus</v>
          </cell>
          <cell r="E5526" t="str">
            <v>LC</v>
          </cell>
          <cell r="F5526" t="str">
            <v>Drake, 2017</v>
          </cell>
          <cell r="G5526" t="str">
            <v>NHMSYS0020734193</v>
          </cell>
          <cell r="H5526" t="str">
            <v>Atylotus latistriatus</v>
          </cell>
        </row>
        <row r="5527">
          <cell r="A5527" t="str">
            <v>Atylotus plebeius</v>
          </cell>
          <cell r="B5527" t="str">
            <v>Soldier flies and allies</v>
          </cell>
          <cell r="C5527" t="str">
            <v>Diptera</v>
          </cell>
          <cell r="D5527" t="str">
            <v>Atylotus plebeius</v>
          </cell>
          <cell r="E5527" t="str">
            <v>EN</v>
          </cell>
          <cell r="F5527" t="str">
            <v>Drake, 2017</v>
          </cell>
          <cell r="G5527" t="str">
            <v>NBNSYS0000007877</v>
          </cell>
          <cell r="H5527" t="str">
            <v>Atylotus plebeius</v>
          </cell>
        </row>
        <row r="5528">
          <cell r="A5528" t="str">
            <v>Atylotus rusticus</v>
          </cell>
          <cell r="B5528" t="str">
            <v>Soldier flies and allies</v>
          </cell>
          <cell r="C5528" t="str">
            <v>Diptera</v>
          </cell>
          <cell r="D5528" t="str">
            <v>Atylotus rusticus</v>
          </cell>
          <cell r="E5528" t="str">
            <v>LC</v>
          </cell>
          <cell r="F5528" t="str">
            <v>Drake, 2017</v>
          </cell>
          <cell r="G5528" t="str">
            <v>NBNSYS0000007878</v>
          </cell>
          <cell r="H5528" t="str">
            <v>Atylotus rusticus</v>
          </cell>
        </row>
        <row r="5529">
          <cell r="A5529" t="str">
            <v>Beris chalybata</v>
          </cell>
          <cell r="B5529" t="str">
            <v>Soldier flies and allies</v>
          </cell>
          <cell r="C5529" t="str">
            <v>Diptera</v>
          </cell>
          <cell r="D5529" t="str">
            <v>Beris chalybata</v>
          </cell>
          <cell r="E5529" t="str">
            <v>LC</v>
          </cell>
          <cell r="F5529" t="str">
            <v>Drake, 2017</v>
          </cell>
          <cell r="G5529" t="str">
            <v>NBNSYS0000007795</v>
          </cell>
          <cell r="H5529" t="str">
            <v>Beris chalybata</v>
          </cell>
        </row>
        <row r="5530">
          <cell r="A5530" t="str">
            <v>Beris clavipes</v>
          </cell>
          <cell r="B5530" t="str">
            <v>Soldier flies and allies</v>
          </cell>
          <cell r="C5530" t="str">
            <v>Diptera</v>
          </cell>
          <cell r="D5530" t="str">
            <v>Beris clavipes</v>
          </cell>
          <cell r="E5530" t="str">
            <v>LC</v>
          </cell>
          <cell r="F5530" t="str">
            <v>Drake, 2017</v>
          </cell>
          <cell r="G5530" t="str">
            <v>NBNSYS0000007796</v>
          </cell>
          <cell r="H5530" t="str">
            <v>Beris clavipes</v>
          </cell>
        </row>
        <row r="5531">
          <cell r="A5531" t="str">
            <v>Beris fuscipes</v>
          </cell>
          <cell r="B5531" t="str">
            <v>Soldier flies and allies</v>
          </cell>
          <cell r="C5531" t="str">
            <v>Diptera</v>
          </cell>
          <cell r="D5531" t="str">
            <v>Beris fuscipes</v>
          </cell>
          <cell r="E5531" t="str">
            <v>LC</v>
          </cell>
          <cell r="F5531" t="str">
            <v>Drake, 2017</v>
          </cell>
          <cell r="G5531" t="str">
            <v>NBNSYS0000007797</v>
          </cell>
          <cell r="H5531" t="str">
            <v>Beris fuscipes</v>
          </cell>
        </row>
        <row r="5532">
          <cell r="A5532" t="str">
            <v>Beris geniculata</v>
          </cell>
          <cell r="B5532" t="str">
            <v>Soldier flies and allies</v>
          </cell>
          <cell r="C5532" t="str">
            <v>Diptera</v>
          </cell>
          <cell r="D5532" t="str">
            <v>Beris geniculata</v>
          </cell>
          <cell r="E5532" t="str">
            <v>LC</v>
          </cell>
          <cell r="F5532" t="str">
            <v>Drake, 2017</v>
          </cell>
          <cell r="G5532" t="str">
            <v>NBNSYS0100020660</v>
          </cell>
          <cell r="H5532" t="str">
            <v>Beris geniculata</v>
          </cell>
        </row>
        <row r="5533">
          <cell r="A5533" t="str">
            <v>Beris morrisii</v>
          </cell>
          <cell r="B5533" t="str">
            <v>Soldier flies and allies</v>
          </cell>
          <cell r="C5533" t="str">
            <v>Diptera</v>
          </cell>
          <cell r="D5533" t="str">
            <v>Beris morrisii</v>
          </cell>
          <cell r="E5533" t="str">
            <v>LC</v>
          </cell>
          <cell r="F5533" t="str">
            <v>Drake, 2017</v>
          </cell>
          <cell r="G5533" t="str">
            <v>NBNSYS0000007799</v>
          </cell>
          <cell r="H5533" t="str">
            <v>Beris morrisii</v>
          </cell>
        </row>
        <row r="5534">
          <cell r="A5534" t="str">
            <v>Beris vallata</v>
          </cell>
          <cell r="B5534" t="str">
            <v>Soldier flies and allies</v>
          </cell>
          <cell r="C5534" t="str">
            <v>Diptera</v>
          </cell>
          <cell r="D5534" t="str">
            <v>Beris vallata</v>
          </cell>
          <cell r="E5534" t="str">
            <v>LC</v>
          </cell>
          <cell r="F5534" t="str">
            <v>Drake, 2017</v>
          </cell>
          <cell r="G5534" t="str">
            <v>NBNSYS0000007800</v>
          </cell>
          <cell r="H5534" t="str">
            <v>Beris vallata</v>
          </cell>
        </row>
        <row r="5535">
          <cell r="A5535" t="str">
            <v>Bombylius canescens</v>
          </cell>
          <cell r="B5535" t="str">
            <v>Soldier flies and allies</v>
          </cell>
          <cell r="C5535" t="str">
            <v>Diptera</v>
          </cell>
          <cell r="D5535" t="str">
            <v>Bombylius canescens</v>
          </cell>
          <cell r="E5535" t="str">
            <v>LC</v>
          </cell>
          <cell r="F5535" t="str">
            <v>Drake, 2017</v>
          </cell>
          <cell r="G5535" t="str">
            <v>NBNSYS0000007941</v>
          </cell>
          <cell r="H5535" t="str">
            <v>Bombylius canescens</v>
          </cell>
        </row>
        <row r="5536">
          <cell r="A5536" t="str">
            <v>Bombylius discolor</v>
          </cell>
          <cell r="B5536" t="str">
            <v>Soldier flies and allies</v>
          </cell>
          <cell r="C5536" t="str">
            <v>Diptera</v>
          </cell>
          <cell r="D5536" t="str">
            <v>Bombylius discolor</v>
          </cell>
          <cell r="E5536" t="str">
            <v>LC</v>
          </cell>
          <cell r="F5536" t="str">
            <v>Drake, 2017</v>
          </cell>
          <cell r="G5536" t="str">
            <v>NBNSYS0000007942</v>
          </cell>
          <cell r="H5536" t="str">
            <v>Bombylius discolor</v>
          </cell>
        </row>
        <row r="5537">
          <cell r="A5537" t="str">
            <v>Bombylius major</v>
          </cell>
          <cell r="B5537" t="str">
            <v>Soldier flies and allies</v>
          </cell>
          <cell r="C5537" t="str">
            <v>Diptera</v>
          </cell>
          <cell r="D5537" t="str">
            <v>Bombylius major</v>
          </cell>
          <cell r="E5537" t="str">
            <v>LC</v>
          </cell>
          <cell r="F5537" t="str">
            <v>Drake, 2017</v>
          </cell>
          <cell r="G5537" t="str">
            <v>NBNSYS0000007943</v>
          </cell>
          <cell r="H5537" t="str">
            <v>Bombylius major</v>
          </cell>
        </row>
        <row r="5538">
          <cell r="A5538" t="str">
            <v>Bombylius minor</v>
          </cell>
          <cell r="B5538" t="str">
            <v>Soldier flies and allies</v>
          </cell>
          <cell r="C5538" t="str">
            <v>Diptera</v>
          </cell>
          <cell r="D5538" t="str">
            <v>Bombylius minor</v>
          </cell>
          <cell r="E5538" t="str">
            <v>VU</v>
          </cell>
          <cell r="F5538" t="str">
            <v>Drake, 2017</v>
          </cell>
          <cell r="G5538" t="str">
            <v>NBNSYS0000007944</v>
          </cell>
          <cell r="H5538" t="str">
            <v>Bombylius minor</v>
          </cell>
        </row>
        <row r="5539">
          <cell r="A5539" t="str">
            <v>Chloromyia formosa</v>
          </cell>
          <cell r="B5539" t="str">
            <v>Soldier flies and allies</v>
          </cell>
          <cell r="C5539" t="str">
            <v>Diptera</v>
          </cell>
          <cell r="D5539" t="str">
            <v>Chloromyia formosa</v>
          </cell>
          <cell r="E5539" t="str">
            <v>LC</v>
          </cell>
          <cell r="F5539" t="str">
            <v>Drake, 2017</v>
          </cell>
          <cell r="G5539" t="str">
            <v>NBNSYS0000007825</v>
          </cell>
          <cell r="H5539" t="str">
            <v>Chloromyia formosa</v>
          </cell>
        </row>
        <row r="5540">
          <cell r="A5540" t="str">
            <v>Choerades gilvus</v>
          </cell>
          <cell r="B5540" t="str">
            <v>Soldier flies and allies</v>
          </cell>
          <cell r="C5540" t="str">
            <v>Diptera</v>
          </cell>
          <cell r="D5540" t="str">
            <v>Choerades gilvus</v>
          </cell>
          <cell r="E5540" t="str">
            <v>EN</v>
          </cell>
          <cell r="F5540" t="str">
            <v>Drake, 2017</v>
          </cell>
          <cell r="G5540" t="str">
            <v>NBNSYS0100002378</v>
          </cell>
          <cell r="H5540" t="str">
            <v>Choerades gilvus</v>
          </cell>
        </row>
        <row r="5541">
          <cell r="A5541" t="str">
            <v>Choerades marginatus</v>
          </cell>
          <cell r="B5541" t="str">
            <v>Soldier flies and allies</v>
          </cell>
          <cell r="C5541" t="str">
            <v>Diptera</v>
          </cell>
          <cell r="D5541" t="str">
            <v>Choerades marginatus</v>
          </cell>
          <cell r="E5541" t="str">
            <v>LC</v>
          </cell>
          <cell r="F5541" t="str">
            <v>Drake, 2017</v>
          </cell>
          <cell r="G5541" t="str">
            <v>NBNSYS0100002379</v>
          </cell>
          <cell r="H5541" t="str">
            <v>Choerades marginatus</v>
          </cell>
        </row>
        <row r="5542">
          <cell r="A5542" t="str">
            <v>Chorisops nagatomii</v>
          </cell>
          <cell r="B5542" t="str">
            <v>Soldier flies and allies</v>
          </cell>
          <cell r="C5542" t="str">
            <v>Diptera</v>
          </cell>
          <cell r="D5542" t="str">
            <v>Chorisops nagatomii</v>
          </cell>
          <cell r="E5542" t="str">
            <v>LC</v>
          </cell>
          <cell r="F5542" t="str">
            <v>Drake, 2017</v>
          </cell>
          <cell r="G5542" t="str">
            <v>NHMSYS0020734178</v>
          </cell>
          <cell r="H5542" t="str">
            <v>Chorisops nagatomii</v>
          </cell>
        </row>
        <row r="5543">
          <cell r="A5543" t="str">
            <v>Chorisops tibialis</v>
          </cell>
          <cell r="B5543" t="str">
            <v>Soldier flies and allies</v>
          </cell>
          <cell r="C5543" t="str">
            <v>Diptera</v>
          </cell>
          <cell r="D5543" t="str">
            <v>Chorisops tibialis</v>
          </cell>
          <cell r="E5543" t="str">
            <v>LC</v>
          </cell>
          <cell r="F5543" t="str">
            <v>Drake, 2017</v>
          </cell>
          <cell r="G5543" t="str">
            <v>NBNSYS0000007802</v>
          </cell>
          <cell r="H5543" t="str">
            <v>Chorisops tibialis</v>
          </cell>
        </row>
        <row r="5544">
          <cell r="A5544" t="str">
            <v>Chrysopilus asiliformis</v>
          </cell>
          <cell r="B5544" t="str">
            <v>Soldier flies and allies</v>
          </cell>
          <cell r="C5544" t="str">
            <v>Diptera</v>
          </cell>
          <cell r="D5544" t="str">
            <v>Chrysopilus asiliformis</v>
          </cell>
          <cell r="E5544" t="str">
            <v>LC</v>
          </cell>
          <cell r="F5544" t="str">
            <v>Drake, 2017</v>
          </cell>
          <cell r="G5544" t="str">
            <v>NBNSYS0100020496</v>
          </cell>
          <cell r="H5544" t="str">
            <v>Chrysopilus asiliformis</v>
          </cell>
        </row>
        <row r="5545">
          <cell r="A5545" t="str">
            <v>Chrysopilus cristatus</v>
          </cell>
          <cell r="B5545" t="str">
            <v>Soldier flies and allies</v>
          </cell>
          <cell r="C5545" t="str">
            <v>Diptera</v>
          </cell>
          <cell r="D5545" t="str">
            <v>Chrysopilus cristatus</v>
          </cell>
          <cell r="E5545" t="str">
            <v>LC</v>
          </cell>
          <cell r="F5545" t="str">
            <v>Drake, 2017</v>
          </cell>
          <cell r="G5545" t="str">
            <v>NBNSYS0000007850</v>
          </cell>
          <cell r="H5545" t="str">
            <v>Chrysopilus cristatus</v>
          </cell>
        </row>
        <row r="5546">
          <cell r="A5546" t="str">
            <v>Chrysopilus erythrophthalmus</v>
          </cell>
          <cell r="B5546" t="str">
            <v>Soldier flies and allies</v>
          </cell>
          <cell r="C5546" t="str">
            <v>Diptera</v>
          </cell>
          <cell r="D5546" t="str">
            <v>Chrysopilus erythrophthalmus</v>
          </cell>
          <cell r="E5546" t="str">
            <v>LC</v>
          </cell>
          <cell r="F5546" t="str">
            <v>Drake, 2017</v>
          </cell>
          <cell r="G5546" t="str">
            <v>NBNSYS0000007851</v>
          </cell>
          <cell r="H5546" t="str">
            <v>Chrysopilus erythrophthalmus</v>
          </cell>
        </row>
        <row r="5547">
          <cell r="A5547" t="str">
            <v>Chrysopilus laetus</v>
          </cell>
          <cell r="B5547" t="str">
            <v>Soldier flies and allies</v>
          </cell>
          <cell r="C5547" t="str">
            <v>Diptera</v>
          </cell>
          <cell r="D5547" t="str">
            <v>Chrysopilus laetus</v>
          </cell>
          <cell r="E5547" t="str">
            <v>NT</v>
          </cell>
          <cell r="F5547" t="str">
            <v>Drake, 2017</v>
          </cell>
          <cell r="G5547" t="str">
            <v>NBNSYS0000007852</v>
          </cell>
          <cell r="H5547" t="str">
            <v>Chrysopilus laetus</v>
          </cell>
        </row>
        <row r="5548">
          <cell r="A5548" t="str">
            <v>Chrysops caecutiens</v>
          </cell>
          <cell r="B5548" t="str">
            <v>Soldier flies and allies</v>
          </cell>
          <cell r="C5548" t="str">
            <v>Diptera</v>
          </cell>
          <cell r="D5548" t="str">
            <v>Chrysops caecutiens</v>
          </cell>
          <cell r="E5548" t="str">
            <v>LC</v>
          </cell>
          <cell r="F5548" t="str">
            <v>Drake, 2017</v>
          </cell>
          <cell r="G5548" t="str">
            <v>NBNSYS0000007867</v>
          </cell>
          <cell r="H5548" t="str">
            <v>Chrysops caecutiens</v>
          </cell>
        </row>
        <row r="5549">
          <cell r="A5549" t="str">
            <v>Chrysops relictus</v>
          </cell>
          <cell r="B5549" t="str">
            <v>Soldier flies and allies</v>
          </cell>
          <cell r="C5549" t="str">
            <v>Diptera</v>
          </cell>
          <cell r="D5549" t="str">
            <v>Chrysops relictus</v>
          </cell>
          <cell r="E5549" t="str">
            <v>LC</v>
          </cell>
          <cell r="F5549" t="str">
            <v>Drake, 2017</v>
          </cell>
          <cell r="G5549" t="str">
            <v>NBNSYS0000007868</v>
          </cell>
          <cell r="H5549" t="str">
            <v>Chrysops relictus</v>
          </cell>
        </row>
        <row r="5550">
          <cell r="A5550" t="str">
            <v>Chrysops sepulcralis</v>
          </cell>
          <cell r="B5550" t="str">
            <v>Soldier flies and allies</v>
          </cell>
          <cell r="C5550" t="str">
            <v>Diptera</v>
          </cell>
          <cell r="D5550" t="str">
            <v>Chrysops sepulcralis</v>
          </cell>
          <cell r="E5550" t="str">
            <v>LC</v>
          </cell>
          <cell r="F5550" t="str">
            <v>Drake, 2017</v>
          </cell>
          <cell r="G5550" t="str">
            <v>NBNSYS0000007869</v>
          </cell>
          <cell r="H5550" t="str">
            <v>Chrysops sepulcralis</v>
          </cell>
        </row>
        <row r="5551">
          <cell r="A5551" t="str">
            <v>Chrysops viduatus</v>
          </cell>
          <cell r="B5551" t="str">
            <v>Soldier flies and allies</v>
          </cell>
          <cell r="C5551" t="str">
            <v>Diptera</v>
          </cell>
          <cell r="D5551" t="str">
            <v>Chrysops viduatus</v>
          </cell>
          <cell r="E5551" t="str">
            <v>LC</v>
          </cell>
          <cell r="F5551" t="str">
            <v>Drake, 2017</v>
          </cell>
          <cell r="G5551" t="str">
            <v>NBNSYS0000007870</v>
          </cell>
          <cell r="H5551" t="str">
            <v>Chrysops viduatus</v>
          </cell>
        </row>
        <row r="5552">
          <cell r="A5552" t="str">
            <v>Cliorismia rustica</v>
          </cell>
          <cell r="B5552" t="str">
            <v>Soldier flies and allies</v>
          </cell>
          <cell r="C5552" t="str">
            <v>Diptera</v>
          </cell>
          <cell r="D5552" t="str">
            <v>Cliorismia rustica</v>
          </cell>
          <cell r="E5552" t="str">
            <v>LC</v>
          </cell>
          <cell r="F5552" t="str">
            <v>Drake, 2017</v>
          </cell>
          <cell r="G5552" t="str">
            <v>NBNSYS0000189329</v>
          </cell>
          <cell r="H5552" t="str">
            <v>Cliorismia rustica</v>
          </cell>
        </row>
        <row r="5553">
          <cell r="A5553" t="str">
            <v>Dialineura anilis</v>
          </cell>
          <cell r="B5553" t="str">
            <v>Soldier flies and allies</v>
          </cell>
          <cell r="C5553" t="str">
            <v>Diptera</v>
          </cell>
          <cell r="D5553" t="str">
            <v>Dialineura anilis</v>
          </cell>
          <cell r="E5553" t="str">
            <v>LC</v>
          </cell>
          <cell r="F5553" t="str">
            <v>Drake, 2017</v>
          </cell>
          <cell r="G5553" t="str">
            <v>NBNSYS0000007922</v>
          </cell>
          <cell r="H5553" t="str">
            <v>Dialineura anilis</v>
          </cell>
        </row>
        <row r="5554">
          <cell r="A5554" t="str">
            <v>Dioctria atricapilla</v>
          </cell>
          <cell r="B5554" t="str">
            <v>Soldier flies and allies</v>
          </cell>
          <cell r="C5554" t="str">
            <v>Diptera</v>
          </cell>
          <cell r="D5554" t="str">
            <v>Dioctria atricapilla</v>
          </cell>
          <cell r="E5554" t="str">
            <v>LC</v>
          </cell>
          <cell r="F5554" t="str">
            <v>Drake, 2017</v>
          </cell>
          <cell r="G5554" t="str">
            <v>NBNSYS0000007914</v>
          </cell>
          <cell r="H5554" t="str">
            <v>Dioctria atricapilla</v>
          </cell>
        </row>
        <row r="5555">
          <cell r="A5555" t="str">
            <v>Dioctria baumhaueri</v>
          </cell>
          <cell r="B5555" t="str">
            <v>Soldier flies and allies</v>
          </cell>
          <cell r="C5555" t="str">
            <v>Diptera</v>
          </cell>
          <cell r="D5555" t="str">
            <v>Dioctria baumhaueri</v>
          </cell>
          <cell r="E5555" t="str">
            <v>LC</v>
          </cell>
          <cell r="F5555" t="str">
            <v>Drake, 2017</v>
          </cell>
          <cell r="G5555" t="str">
            <v>NBNSYS0000007915</v>
          </cell>
          <cell r="H5555" t="str">
            <v>Dioctria baumhaueri</v>
          </cell>
        </row>
        <row r="5556">
          <cell r="A5556" t="str">
            <v>Dioctria cothurnata</v>
          </cell>
          <cell r="B5556" t="str">
            <v>Soldier flies and allies</v>
          </cell>
          <cell r="C5556" t="str">
            <v>Diptera</v>
          </cell>
          <cell r="D5556" t="str">
            <v>Dioctria cothurnata</v>
          </cell>
          <cell r="E5556" t="str">
            <v>LC</v>
          </cell>
          <cell r="F5556" t="str">
            <v>Drake, 2017</v>
          </cell>
          <cell r="G5556" t="str">
            <v>NBNSYS0000007916</v>
          </cell>
          <cell r="H5556" t="str">
            <v>Dioctria cothurnata</v>
          </cell>
        </row>
        <row r="5557">
          <cell r="A5557" t="str">
            <v>Dioctria linearis</v>
          </cell>
          <cell r="B5557" t="str">
            <v>Soldier flies and allies</v>
          </cell>
          <cell r="C5557" t="str">
            <v>Diptera</v>
          </cell>
          <cell r="D5557" t="str">
            <v>Dioctria linearis</v>
          </cell>
          <cell r="E5557" t="str">
            <v>LC</v>
          </cell>
          <cell r="F5557" t="str">
            <v>Drake, 2017</v>
          </cell>
          <cell r="G5557" t="str">
            <v>NBNSYS0000007917</v>
          </cell>
          <cell r="H5557" t="str">
            <v>Dioctria linearis</v>
          </cell>
        </row>
        <row r="5558">
          <cell r="A5558" t="str">
            <v>Dioctria oelandica</v>
          </cell>
          <cell r="B5558" t="str">
            <v>Soldier flies and allies</v>
          </cell>
          <cell r="C5558" t="str">
            <v>Diptera</v>
          </cell>
          <cell r="D5558" t="str">
            <v>Dioctria oelandica</v>
          </cell>
          <cell r="E5558" t="str">
            <v>LC</v>
          </cell>
          <cell r="F5558" t="str">
            <v>Drake, 2017</v>
          </cell>
          <cell r="G5558" t="str">
            <v>NBNSYS0000007918</v>
          </cell>
          <cell r="H5558" t="str">
            <v>Dioctria oelandica</v>
          </cell>
        </row>
        <row r="5559">
          <cell r="A5559" t="str">
            <v>Dioctria rufipes</v>
          </cell>
          <cell r="B5559" t="str">
            <v>Soldier flies and allies</v>
          </cell>
          <cell r="C5559" t="str">
            <v>Diptera</v>
          </cell>
          <cell r="D5559" t="str">
            <v>Dioctria rufipes</v>
          </cell>
          <cell r="E5559" t="str">
            <v>LC</v>
          </cell>
          <cell r="F5559" t="str">
            <v>Drake, 2017</v>
          </cell>
          <cell r="G5559" t="str">
            <v>NBNSYS0000007919</v>
          </cell>
          <cell r="H5559" t="str">
            <v>Dioctria rufipes</v>
          </cell>
        </row>
        <row r="5560">
          <cell r="A5560" t="str">
            <v>Dysmachus trigonus</v>
          </cell>
          <cell r="B5560" t="str">
            <v>Soldier flies and allies</v>
          </cell>
          <cell r="C5560" t="str">
            <v>Diptera</v>
          </cell>
          <cell r="D5560" t="str">
            <v>Dysmachus trigonus</v>
          </cell>
          <cell r="E5560" t="str">
            <v>LC</v>
          </cell>
          <cell r="F5560" t="str">
            <v>Drake, 2017</v>
          </cell>
          <cell r="G5560" t="str">
            <v>NBNSYS0000007896</v>
          </cell>
          <cell r="H5560" t="str">
            <v>Dysmachus trigonus</v>
          </cell>
        </row>
        <row r="5561">
          <cell r="A5561" t="str">
            <v>Eupachygaster tarsalis</v>
          </cell>
          <cell r="B5561" t="str">
            <v>Soldier flies and allies</v>
          </cell>
          <cell r="C5561" t="str">
            <v>Diptera</v>
          </cell>
          <cell r="D5561" t="str">
            <v>Eupachygaster tarsalis</v>
          </cell>
          <cell r="E5561" t="str">
            <v>LC</v>
          </cell>
          <cell r="F5561" t="str">
            <v>Drake, 2017</v>
          </cell>
          <cell r="G5561" t="str">
            <v>NBNSYS0000007824</v>
          </cell>
          <cell r="H5561" t="str">
            <v>Eupachygaster tarsalis</v>
          </cell>
        </row>
        <row r="5562">
          <cell r="A5562" t="str">
            <v>Eutolmus rufibarbis</v>
          </cell>
          <cell r="B5562" t="str">
            <v>Soldier flies and allies</v>
          </cell>
          <cell r="C5562" t="str">
            <v>Diptera</v>
          </cell>
          <cell r="D5562" t="str">
            <v>Eutolmus rufibarbis</v>
          </cell>
          <cell r="E5562" t="str">
            <v>LC</v>
          </cell>
          <cell r="F5562" t="str">
            <v>Drake, 2017</v>
          </cell>
          <cell r="G5562" t="str">
            <v>NBNSYS0000007900</v>
          </cell>
          <cell r="H5562" t="str">
            <v>Eutolmus rufibarbis</v>
          </cell>
        </row>
        <row r="5563">
          <cell r="A5563" t="str">
            <v>Haematopota bigoti</v>
          </cell>
          <cell r="B5563" t="str">
            <v>Soldier flies and allies</v>
          </cell>
          <cell r="C5563" t="str">
            <v>Diptera</v>
          </cell>
          <cell r="D5563" t="str">
            <v>Haematopota bigoti</v>
          </cell>
          <cell r="E5563" t="str">
            <v>LC</v>
          </cell>
          <cell r="F5563" t="str">
            <v>Drake, 2017</v>
          </cell>
          <cell r="G5563" t="str">
            <v>NBNSYS0000007871</v>
          </cell>
          <cell r="H5563" t="str">
            <v>Haematopota bigoti</v>
          </cell>
        </row>
        <row r="5564">
          <cell r="A5564" t="str">
            <v>Haematopota crassicornis</v>
          </cell>
          <cell r="B5564" t="str">
            <v>Soldier flies and allies</v>
          </cell>
          <cell r="C5564" t="str">
            <v>Diptera</v>
          </cell>
          <cell r="D5564" t="str">
            <v>Haematopota crassicornis</v>
          </cell>
          <cell r="E5564" t="str">
            <v>LC</v>
          </cell>
          <cell r="F5564" t="str">
            <v>Drake, 2017</v>
          </cell>
          <cell r="G5564" t="str">
            <v>NBNSYS0000007872</v>
          </cell>
          <cell r="H5564" t="str">
            <v>Haematopota crassicornis</v>
          </cell>
        </row>
        <row r="5565">
          <cell r="A5565" t="str">
            <v>Haematopota grandis</v>
          </cell>
          <cell r="B5565" t="str">
            <v>Soldier flies and allies</v>
          </cell>
          <cell r="C5565" t="str">
            <v>Diptera</v>
          </cell>
          <cell r="D5565" t="str">
            <v>Haematopota grandis</v>
          </cell>
          <cell r="E5565" t="str">
            <v>LC</v>
          </cell>
          <cell r="F5565" t="str">
            <v>Drake, 2017</v>
          </cell>
          <cell r="G5565" t="str">
            <v>NBNSYS0000007873</v>
          </cell>
          <cell r="H5565" t="str">
            <v>Haematopota grandis</v>
          </cell>
        </row>
        <row r="5566">
          <cell r="A5566" t="str">
            <v>Haematopota pluvialis</v>
          </cell>
          <cell r="B5566" t="str">
            <v>Soldier flies and allies</v>
          </cell>
          <cell r="C5566" t="str">
            <v>Diptera</v>
          </cell>
          <cell r="D5566" t="str">
            <v>Haematopota pluvialis</v>
          </cell>
          <cell r="E5566" t="str">
            <v>LC</v>
          </cell>
          <cell r="F5566" t="str">
            <v>Drake, 2017</v>
          </cell>
          <cell r="G5566" t="str">
            <v>NBNSYS0000007874</v>
          </cell>
          <cell r="H5566" t="str">
            <v>Haematopota pluvialis</v>
          </cell>
        </row>
        <row r="5567">
          <cell r="A5567" t="str">
            <v>Haematopota subcylindrica</v>
          </cell>
          <cell r="B5567" t="str">
            <v>Soldier flies and allies</v>
          </cell>
          <cell r="C5567" t="str">
            <v>Diptera</v>
          </cell>
          <cell r="D5567" t="str">
            <v>Haematopota subcylindrica</v>
          </cell>
          <cell r="E5567" t="str">
            <v>LC</v>
          </cell>
          <cell r="F5567" t="str">
            <v>Drake, 2017</v>
          </cell>
          <cell r="G5567" t="str">
            <v>NBNSYS0000042531</v>
          </cell>
          <cell r="H5567" t="str">
            <v>Haematopota subcylindrica</v>
          </cell>
        </row>
        <row r="5568">
          <cell r="A5568" t="str">
            <v>Hybomitra bimaculata</v>
          </cell>
          <cell r="B5568" t="str">
            <v>Soldier flies and allies</v>
          </cell>
          <cell r="C5568" t="str">
            <v>Diptera</v>
          </cell>
          <cell r="D5568" t="str">
            <v>Hybomitra bimaculata</v>
          </cell>
          <cell r="E5568" t="str">
            <v>LC</v>
          </cell>
          <cell r="F5568" t="str">
            <v>Drake, 2017</v>
          </cell>
          <cell r="G5568" t="str">
            <v>NBNSYS0000007879</v>
          </cell>
          <cell r="H5568" t="str">
            <v>Hybomitra bimaculata</v>
          </cell>
        </row>
        <row r="5569">
          <cell r="A5569" t="str">
            <v>Hybomitra ciureai</v>
          </cell>
          <cell r="B5569" t="str">
            <v>Soldier flies and allies</v>
          </cell>
          <cell r="C5569" t="str">
            <v>Diptera</v>
          </cell>
          <cell r="D5569" t="str">
            <v>Hybomitra ciureai</v>
          </cell>
          <cell r="E5569" t="str">
            <v>LC</v>
          </cell>
          <cell r="F5569" t="str">
            <v>Drake, 2017</v>
          </cell>
          <cell r="G5569" t="str">
            <v>NBNSYS0000007880</v>
          </cell>
          <cell r="H5569" t="str">
            <v>Hybomitra ciureai</v>
          </cell>
        </row>
        <row r="5570">
          <cell r="A5570" t="str">
            <v>Hybomitra distinguenda</v>
          </cell>
          <cell r="B5570" t="str">
            <v>Soldier flies and allies</v>
          </cell>
          <cell r="C5570" t="str">
            <v>Diptera</v>
          </cell>
          <cell r="D5570" t="str">
            <v>Hybomitra distinguenda</v>
          </cell>
          <cell r="E5570" t="str">
            <v>LC</v>
          </cell>
          <cell r="F5570" t="str">
            <v>Drake, 2017</v>
          </cell>
          <cell r="G5570" t="str">
            <v>NBNSYS0000007881</v>
          </cell>
          <cell r="H5570" t="str">
            <v>Hybomitra distinguenda</v>
          </cell>
        </row>
        <row r="5571">
          <cell r="A5571" t="str">
            <v>Hybomitra expollicata</v>
          </cell>
          <cell r="B5571" t="str">
            <v>Soldier flies and allies</v>
          </cell>
          <cell r="C5571" t="str">
            <v>Diptera</v>
          </cell>
          <cell r="D5571" t="str">
            <v>Hybomitra expollicata</v>
          </cell>
          <cell r="E5571" t="str">
            <v>NT</v>
          </cell>
          <cell r="F5571" t="str">
            <v>Drake, 2017</v>
          </cell>
          <cell r="G5571" t="str">
            <v>NBNSYS0000007882</v>
          </cell>
          <cell r="H5571" t="str">
            <v>Hybomitra expollicata</v>
          </cell>
        </row>
        <row r="5572">
          <cell r="A5572" t="str">
            <v>Hybomitra lurida</v>
          </cell>
          <cell r="B5572" t="str">
            <v>Soldier flies and allies</v>
          </cell>
          <cell r="C5572" t="str">
            <v>Diptera</v>
          </cell>
          <cell r="D5572" t="str">
            <v>Hybomitra lurida</v>
          </cell>
          <cell r="E5572" t="str">
            <v>VU</v>
          </cell>
          <cell r="F5572" t="str">
            <v>Drake, 2017</v>
          </cell>
          <cell r="G5572" t="str">
            <v>NBNSYS0000007883</v>
          </cell>
          <cell r="H5572" t="str">
            <v>Hybomitra lurida</v>
          </cell>
        </row>
        <row r="5573">
          <cell r="A5573" t="str">
            <v>Hybomitra micans</v>
          </cell>
          <cell r="B5573" t="str">
            <v>Soldier flies and allies</v>
          </cell>
          <cell r="C5573" t="str">
            <v>Diptera</v>
          </cell>
          <cell r="D5573" t="str">
            <v>Hybomitra micans</v>
          </cell>
          <cell r="E5573" t="str">
            <v>VU</v>
          </cell>
          <cell r="F5573" t="str">
            <v>Drake, 2017</v>
          </cell>
          <cell r="G5573" t="str">
            <v>NBNSYS0000007884</v>
          </cell>
          <cell r="H5573" t="str">
            <v>Hybomitra micans</v>
          </cell>
        </row>
        <row r="5574">
          <cell r="A5574" t="str">
            <v>Hybomitra montana</v>
          </cell>
          <cell r="B5574" t="str">
            <v>Soldier flies and allies</v>
          </cell>
          <cell r="C5574" t="str">
            <v>Diptera</v>
          </cell>
          <cell r="D5574" t="str">
            <v>Hybomitra montana</v>
          </cell>
          <cell r="E5574" t="str">
            <v>LC</v>
          </cell>
          <cell r="F5574" t="str">
            <v>Drake, 2017</v>
          </cell>
          <cell r="G5574" t="str">
            <v>NBNSYS0000007885</v>
          </cell>
          <cell r="H5574" t="str">
            <v>Hybomitra montana</v>
          </cell>
        </row>
        <row r="5575">
          <cell r="A5575" t="str">
            <v>Hybomitra muehlfeldi</v>
          </cell>
          <cell r="B5575" t="str">
            <v>Soldier flies and allies</v>
          </cell>
          <cell r="C5575" t="str">
            <v>Diptera</v>
          </cell>
          <cell r="D5575" t="str">
            <v>Hybomitra muehlfeldi</v>
          </cell>
          <cell r="E5575" t="str">
            <v>LC</v>
          </cell>
          <cell r="F5575" t="str">
            <v>Drake, 2017</v>
          </cell>
          <cell r="G5575" t="str">
            <v>NBNSYS0100003522</v>
          </cell>
          <cell r="H5575" t="str">
            <v>Hybomitra muehlfeldi</v>
          </cell>
        </row>
        <row r="5576">
          <cell r="A5576" t="str">
            <v>Hybomitra solstitialis</v>
          </cell>
          <cell r="B5576" t="str">
            <v>Soldier flies and allies</v>
          </cell>
          <cell r="C5576" t="str">
            <v>Diptera</v>
          </cell>
          <cell r="D5576" t="str">
            <v>Hybomitra solstitialis</v>
          </cell>
          <cell r="E5576" t="str">
            <v>EN</v>
          </cell>
          <cell r="F5576" t="str">
            <v>Drake, 2017</v>
          </cell>
          <cell r="G5576" t="str">
            <v>NBNSYS0000148975</v>
          </cell>
          <cell r="H5576" t="str">
            <v>Hybomitra solstitialis</v>
          </cell>
        </row>
        <row r="5577">
          <cell r="A5577" t="str">
            <v>Ibisia marginata</v>
          </cell>
          <cell r="B5577" t="str">
            <v>Soldier flies and allies</v>
          </cell>
          <cell r="C5577" t="str">
            <v>Diptera</v>
          </cell>
          <cell r="D5577" t="str">
            <v>Ibisia marginata</v>
          </cell>
          <cell r="E5577" t="str">
            <v>LC</v>
          </cell>
          <cell r="F5577" t="str">
            <v>Drake, 2017</v>
          </cell>
          <cell r="G5577" t="str">
            <v>NBNSYS0100003576</v>
          </cell>
          <cell r="H5577" t="str">
            <v>Ibisia marginata</v>
          </cell>
        </row>
        <row r="5578">
          <cell r="A5578" t="str">
            <v>Lasiopogon cinctus</v>
          </cell>
          <cell r="B5578" t="str">
            <v>Soldier flies and allies</v>
          </cell>
          <cell r="C5578" t="str">
            <v>Diptera</v>
          </cell>
          <cell r="D5578" t="str">
            <v>Lasiopogon cinctus</v>
          </cell>
          <cell r="E5578" t="str">
            <v>LC</v>
          </cell>
          <cell r="F5578" t="str">
            <v>Drake, 2017</v>
          </cell>
          <cell r="G5578" t="str">
            <v>NBNSYS0000007921</v>
          </cell>
          <cell r="H5578" t="str">
            <v>Lasiopogon cinctus</v>
          </cell>
        </row>
        <row r="5579">
          <cell r="A5579" t="str">
            <v>Leptarthrus brevirostris</v>
          </cell>
          <cell r="B5579" t="str">
            <v>Soldier flies and allies</v>
          </cell>
          <cell r="C5579" t="str">
            <v>Diptera</v>
          </cell>
          <cell r="D5579" t="str">
            <v>Leptarthrus brevirostris</v>
          </cell>
          <cell r="E5579" t="str">
            <v>LC</v>
          </cell>
          <cell r="F5579" t="str">
            <v>Drake, 2017</v>
          </cell>
          <cell r="G5579" t="str">
            <v>NBNSYS0000007920</v>
          </cell>
          <cell r="H5579" t="str">
            <v>Leptarthrus brevirostris</v>
          </cell>
        </row>
        <row r="5580">
          <cell r="A5580" t="str">
            <v>Leptarthrus vitripennis</v>
          </cell>
          <cell r="B5580" t="str">
            <v>Soldier flies and allies</v>
          </cell>
          <cell r="C5580" t="str">
            <v>Diptera</v>
          </cell>
          <cell r="D5580" t="str">
            <v>Leptarthrus vitripennis</v>
          </cell>
          <cell r="E5580" t="str">
            <v>LC</v>
          </cell>
          <cell r="F5580" t="str">
            <v>Drake, 2017</v>
          </cell>
          <cell r="G5580" t="str">
            <v>NBNSYS0100003706</v>
          </cell>
          <cell r="H5580" t="str">
            <v>Leptarthrus vitripennis</v>
          </cell>
        </row>
        <row r="5581">
          <cell r="A5581" t="str">
            <v>Leptogaster cylindrica</v>
          </cell>
          <cell r="B5581" t="str">
            <v>Soldier flies and allies</v>
          </cell>
          <cell r="C5581" t="str">
            <v>Diptera</v>
          </cell>
          <cell r="D5581" t="str">
            <v>Leptogaster cylindrica</v>
          </cell>
          <cell r="E5581" t="str">
            <v>LC</v>
          </cell>
          <cell r="F5581" t="str">
            <v>Drake, 2017</v>
          </cell>
          <cell r="G5581" t="str">
            <v>NBNSYS0000007911</v>
          </cell>
          <cell r="H5581" t="str">
            <v>Leptogaster cylindrica</v>
          </cell>
        </row>
        <row r="5582">
          <cell r="A5582" t="str">
            <v>Leptogaster guttiventris</v>
          </cell>
          <cell r="B5582" t="str">
            <v>Soldier flies and allies</v>
          </cell>
          <cell r="C5582" t="str">
            <v>Diptera</v>
          </cell>
          <cell r="D5582" t="str">
            <v>Leptogaster guttiventris</v>
          </cell>
          <cell r="E5582" t="str">
            <v>LC</v>
          </cell>
          <cell r="F5582" t="str">
            <v>Drake, 2017</v>
          </cell>
          <cell r="G5582" t="str">
            <v>NBNSYS0000007912</v>
          </cell>
          <cell r="H5582" t="str">
            <v>Leptogaster guttiventris</v>
          </cell>
        </row>
        <row r="5583">
          <cell r="A5583" t="str">
            <v>Machimus arthriticus</v>
          </cell>
          <cell r="B5583" t="str">
            <v>Soldier flies and allies</v>
          </cell>
          <cell r="C5583" t="str">
            <v>Diptera</v>
          </cell>
          <cell r="D5583" t="str">
            <v>Machimus arthriticus</v>
          </cell>
          <cell r="E5583" t="str">
            <v>EN</v>
          </cell>
          <cell r="F5583" t="str">
            <v>Drake, 2017</v>
          </cell>
          <cell r="G5583" t="str">
            <v>NBNSYS0100003860</v>
          </cell>
          <cell r="H5583" t="str">
            <v>Machimus arthriticus</v>
          </cell>
        </row>
        <row r="5584">
          <cell r="A5584" t="str">
            <v>Machimus atricapillus</v>
          </cell>
          <cell r="B5584" t="str">
            <v>Soldier flies and allies</v>
          </cell>
          <cell r="C5584" t="str">
            <v>Diptera</v>
          </cell>
          <cell r="D5584" t="str">
            <v>Machimus atricapillus</v>
          </cell>
          <cell r="E5584" t="str">
            <v>LC</v>
          </cell>
          <cell r="F5584" t="str">
            <v>Drake, 2017</v>
          </cell>
          <cell r="G5584" t="str">
            <v>NBNSYS0000007901</v>
          </cell>
          <cell r="H5584" t="str">
            <v>Machimus atricapillus</v>
          </cell>
        </row>
        <row r="5585">
          <cell r="A5585" t="str">
            <v>Machimus cingulatus</v>
          </cell>
          <cell r="B5585" t="str">
            <v>Soldier flies and allies</v>
          </cell>
          <cell r="C5585" t="str">
            <v>Diptera</v>
          </cell>
          <cell r="D5585" t="str">
            <v>Machimus cingulatus</v>
          </cell>
          <cell r="E5585" t="str">
            <v>LC</v>
          </cell>
          <cell r="F5585" t="str">
            <v>Drake, 2017</v>
          </cell>
          <cell r="G5585" t="str">
            <v>NBNSYS0100003861</v>
          </cell>
          <cell r="H5585" t="str">
            <v>Machimus cingulatus</v>
          </cell>
        </row>
        <row r="5586">
          <cell r="A5586" t="str">
            <v>Machimus cowini</v>
          </cell>
          <cell r="B5586" t="str">
            <v>Soldier flies and allies</v>
          </cell>
          <cell r="C5586" t="str">
            <v>Diptera</v>
          </cell>
          <cell r="D5586" t="str">
            <v>Machimus cowini</v>
          </cell>
          <cell r="E5586" t="str">
            <v>EN</v>
          </cell>
          <cell r="F5586" t="str">
            <v>Drake, 2017</v>
          </cell>
          <cell r="G5586" t="str">
            <v>NHMSYS0020734171</v>
          </cell>
          <cell r="H5586" t="str">
            <v>Machimus cowini</v>
          </cell>
        </row>
        <row r="5587">
          <cell r="A5587" t="str">
            <v>Machimus rusticus</v>
          </cell>
          <cell r="B5587" t="str">
            <v>Soldier flies and allies</v>
          </cell>
          <cell r="C5587" t="str">
            <v>Diptera</v>
          </cell>
          <cell r="D5587" t="str">
            <v>Machimus rusticus</v>
          </cell>
          <cell r="E5587" t="str">
            <v>LC</v>
          </cell>
          <cell r="F5587" t="str">
            <v>Drake, 2017</v>
          </cell>
          <cell r="G5587" t="str">
            <v>NBNSYS0000007902</v>
          </cell>
          <cell r="H5587" t="str">
            <v>Machimus rusticus</v>
          </cell>
        </row>
        <row r="5588">
          <cell r="A5588" t="str">
            <v>Microchrysa cyaneiventris</v>
          </cell>
          <cell r="B5588" t="str">
            <v>Soldier flies and allies</v>
          </cell>
          <cell r="C5588" t="str">
            <v>Diptera</v>
          </cell>
          <cell r="D5588" t="str">
            <v>Microchrysa cyaneiventris</v>
          </cell>
          <cell r="E5588" t="str">
            <v>LC</v>
          </cell>
          <cell r="F5588" t="str">
            <v>Drake, 2017</v>
          </cell>
          <cell r="G5588" t="str">
            <v>NBNSYS0000007826</v>
          </cell>
          <cell r="H5588" t="str">
            <v>Microchrysa cyaneiventris</v>
          </cell>
        </row>
        <row r="5589">
          <cell r="A5589" t="str">
            <v>Microchrysa flavicornis</v>
          </cell>
          <cell r="B5589" t="str">
            <v>Soldier flies and allies</v>
          </cell>
          <cell r="C5589" t="str">
            <v>Diptera</v>
          </cell>
          <cell r="D5589" t="str">
            <v>Microchrysa flavicornis</v>
          </cell>
          <cell r="E5589" t="str">
            <v>LC</v>
          </cell>
          <cell r="F5589" t="str">
            <v>Drake, 2017</v>
          </cell>
          <cell r="G5589" t="str">
            <v>NBNSYS0000007827</v>
          </cell>
          <cell r="H5589" t="str">
            <v>Microchrysa flavicornis</v>
          </cell>
        </row>
        <row r="5590">
          <cell r="A5590" t="str">
            <v>Microchrysa polita</v>
          </cell>
          <cell r="B5590" t="str">
            <v>Soldier flies and allies</v>
          </cell>
          <cell r="C5590" t="str">
            <v>Diptera</v>
          </cell>
          <cell r="D5590" t="str">
            <v>Microchrysa polita</v>
          </cell>
          <cell r="E5590" t="str">
            <v>LC</v>
          </cell>
          <cell r="F5590" t="str">
            <v>Drake, 2017</v>
          </cell>
          <cell r="G5590" t="str">
            <v>NBNSYS0000007828</v>
          </cell>
          <cell r="H5590" t="str">
            <v>Microchrysa polita</v>
          </cell>
        </row>
        <row r="5591">
          <cell r="A5591" t="str">
            <v>Nemotelus nigrinus</v>
          </cell>
          <cell r="B5591" t="str">
            <v>Soldier flies and allies</v>
          </cell>
          <cell r="C5591" t="str">
            <v>Diptera</v>
          </cell>
          <cell r="D5591" t="str">
            <v>Nemotelus nigrinus</v>
          </cell>
          <cell r="E5591" t="str">
            <v>LC</v>
          </cell>
          <cell r="F5591" t="str">
            <v>Drake, 2017</v>
          </cell>
          <cell r="G5591" t="str">
            <v>NBNSYS0000007804</v>
          </cell>
          <cell r="H5591" t="str">
            <v>Nemotelus nigrinus</v>
          </cell>
        </row>
        <row r="5592">
          <cell r="A5592" t="str">
            <v>Nemotelus notatus</v>
          </cell>
          <cell r="B5592" t="str">
            <v>Soldier flies and allies</v>
          </cell>
          <cell r="C5592" t="str">
            <v>Diptera</v>
          </cell>
          <cell r="D5592" t="str">
            <v>Nemotelus notatus</v>
          </cell>
          <cell r="E5592" t="str">
            <v>LC</v>
          </cell>
          <cell r="F5592" t="str">
            <v>Drake, 2017</v>
          </cell>
          <cell r="G5592" t="str">
            <v>NBNSYS0000007805</v>
          </cell>
          <cell r="H5592" t="str">
            <v>Nemotelus notatus</v>
          </cell>
        </row>
        <row r="5593">
          <cell r="A5593" t="str">
            <v>Nemotelus pantherinus</v>
          </cell>
          <cell r="B5593" t="str">
            <v>Soldier flies and allies</v>
          </cell>
          <cell r="C5593" t="str">
            <v>Diptera</v>
          </cell>
          <cell r="D5593" t="str">
            <v>Nemotelus pantherinus</v>
          </cell>
          <cell r="E5593" t="str">
            <v>LC</v>
          </cell>
          <cell r="F5593" t="str">
            <v>Drake, 2017</v>
          </cell>
          <cell r="G5593" t="str">
            <v>NBNSYS0000007806</v>
          </cell>
          <cell r="H5593" t="str">
            <v>Nemotelus pantherinus</v>
          </cell>
        </row>
        <row r="5594">
          <cell r="A5594" t="str">
            <v>Nemotelus uliginosus</v>
          </cell>
          <cell r="B5594" t="str">
            <v>Soldier flies and allies</v>
          </cell>
          <cell r="C5594" t="str">
            <v>Diptera</v>
          </cell>
          <cell r="D5594" t="str">
            <v>Nemotelus uliginosus</v>
          </cell>
          <cell r="E5594" t="str">
            <v>LC</v>
          </cell>
          <cell r="F5594" t="str">
            <v>Drake, 2017</v>
          </cell>
          <cell r="G5594" t="str">
            <v>NBNSYS0000007807</v>
          </cell>
          <cell r="H5594" t="str">
            <v>Nemotelus uliginosus</v>
          </cell>
        </row>
        <row r="5595">
          <cell r="A5595" t="str">
            <v>Neoitamus cothurnatus</v>
          </cell>
          <cell r="B5595" t="str">
            <v>Soldier flies and allies</v>
          </cell>
          <cell r="C5595" t="str">
            <v>Diptera</v>
          </cell>
          <cell r="D5595" t="str">
            <v>Neoitamus cothurnatus</v>
          </cell>
          <cell r="E5595" t="str">
            <v>CR</v>
          </cell>
          <cell r="F5595" t="str">
            <v>Drake, 2017</v>
          </cell>
          <cell r="G5595" t="str">
            <v>NBNSYS0000007903</v>
          </cell>
          <cell r="H5595" t="str">
            <v>Neoitamus cothurnatus</v>
          </cell>
        </row>
        <row r="5596">
          <cell r="A5596" t="str">
            <v>Neoitamus cyanurus</v>
          </cell>
          <cell r="B5596" t="str">
            <v>Soldier flies and allies</v>
          </cell>
          <cell r="C5596" t="str">
            <v>Diptera</v>
          </cell>
          <cell r="D5596" t="str">
            <v>Neoitamus cyanurus</v>
          </cell>
          <cell r="E5596" t="str">
            <v>LC</v>
          </cell>
          <cell r="F5596" t="str">
            <v>Drake, 2017</v>
          </cell>
          <cell r="G5596" t="str">
            <v>NBNSYS0000007904</v>
          </cell>
          <cell r="H5596" t="str">
            <v>Neoitamus cyanurus</v>
          </cell>
        </row>
        <row r="5597">
          <cell r="A5597" t="str">
            <v>Neomochtherus pallipes</v>
          </cell>
          <cell r="B5597" t="str">
            <v>Soldier flies and allies</v>
          </cell>
          <cell r="C5597" t="str">
            <v>Diptera</v>
          </cell>
          <cell r="D5597" t="str">
            <v>Neomochtherus pallipes</v>
          </cell>
          <cell r="E5597" t="str">
            <v>CR</v>
          </cell>
          <cell r="F5597" t="str">
            <v>Drake, 2017</v>
          </cell>
          <cell r="G5597" t="str">
            <v>NBNSYS0100004212</v>
          </cell>
          <cell r="H5597" t="str">
            <v>Neomochtherus pallipes</v>
          </cell>
        </row>
        <row r="5598">
          <cell r="A5598" t="str">
            <v>Neopachygaster meromelas</v>
          </cell>
          <cell r="B5598" t="str">
            <v>Soldier flies and allies</v>
          </cell>
          <cell r="C5598" t="str">
            <v>Diptera</v>
          </cell>
          <cell r="D5598" t="str">
            <v>Neopachygaster meromelas</v>
          </cell>
          <cell r="E5598" t="str">
            <v>LC</v>
          </cell>
          <cell r="F5598" t="str">
            <v>Drake, 2017</v>
          </cell>
          <cell r="G5598" t="str">
            <v>NBNSYS0100004215</v>
          </cell>
          <cell r="H5598" t="str">
            <v>Neopachygaster meromelas</v>
          </cell>
        </row>
        <row r="5599">
          <cell r="A5599" t="str">
            <v>Odontomyia angulata</v>
          </cell>
          <cell r="B5599" t="str">
            <v>Soldier flies and allies</v>
          </cell>
          <cell r="C5599" t="str">
            <v>Diptera</v>
          </cell>
          <cell r="D5599" t="str">
            <v>Odontomyia angulata</v>
          </cell>
          <cell r="E5599" t="str">
            <v>VU</v>
          </cell>
          <cell r="F5599" t="str">
            <v>Drake, 2017</v>
          </cell>
          <cell r="G5599" t="str">
            <v>NBNSYS0000007833</v>
          </cell>
          <cell r="H5599" t="str">
            <v>Odontomyia angulata</v>
          </cell>
        </row>
        <row r="5600">
          <cell r="A5600" t="str">
            <v>Odontomyia argentata</v>
          </cell>
          <cell r="B5600" t="str">
            <v>Soldier flies and allies</v>
          </cell>
          <cell r="C5600" t="str">
            <v>Diptera</v>
          </cell>
          <cell r="D5600" t="str">
            <v>Odontomyia argentata</v>
          </cell>
          <cell r="E5600" t="str">
            <v>LC</v>
          </cell>
          <cell r="F5600" t="str">
            <v>Drake, 2017</v>
          </cell>
          <cell r="G5600" t="str">
            <v>NBNSYS0000007834</v>
          </cell>
          <cell r="H5600" t="str">
            <v>Odontomyia argentata</v>
          </cell>
        </row>
        <row r="5601">
          <cell r="A5601" t="str">
            <v>Odontomyia hydroleon</v>
          </cell>
          <cell r="B5601" t="str">
            <v>Soldier flies and allies</v>
          </cell>
          <cell r="C5601" t="str">
            <v>Diptera</v>
          </cell>
          <cell r="D5601" t="str">
            <v>Odontomyia hydroleon</v>
          </cell>
          <cell r="E5601" t="str">
            <v>CR</v>
          </cell>
          <cell r="F5601" t="str">
            <v>Drake, 2017</v>
          </cell>
          <cell r="G5601" t="str">
            <v>NBNSYS0000007835</v>
          </cell>
          <cell r="H5601" t="str">
            <v>Odontomyia hydroleon</v>
          </cell>
        </row>
        <row r="5602">
          <cell r="A5602" t="str">
            <v>Odontomyia ornata</v>
          </cell>
          <cell r="B5602" t="str">
            <v>Soldier flies and allies</v>
          </cell>
          <cell r="C5602" t="str">
            <v>Diptera</v>
          </cell>
          <cell r="D5602" t="str">
            <v>Odontomyia ornata</v>
          </cell>
          <cell r="E5602" t="str">
            <v>LC</v>
          </cell>
          <cell r="F5602" t="str">
            <v>Drake, 2017</v>
          </cell>
          <cell r="G5602" t="str">
            <v>NBNSYS0100020744</v>
          </cell>
          <cell r="H5602" t="str">
            <v>Odontomyia ornata</v>
          </cell>
        </row>
        <row r="5603">
          <cell r="A5603" t="str">
            <v>Odontomyia tigrina</v>
          </cell>
          <cell r="B5603" t="str">
            <v>Soldier flies and allies</v>
          </cell>
          <cell r="C5603" t="str">
            <v>Diptera</v>
          </cell>
          <cell r="D5603" t="str">
            <v>Odontomyia tigrina</v>
          </cell>
          <cell r="E5603" t="str">
            <v>LC</v>
          </cell>
          <cell r="F5603" t="str">
            <v>Drake, 2017</v>
          </cell>
          <cell r="G5603" t="str">
            <v>NBNSYS0000007837</v>
          </cell>
          <cell r="H5603" t="str">
            <v>Odontomyia tigrina</v>
          </cell>
        </row>
        <row r="5604">
          <cell r="A5604" t="str">
            <v>Ogcodes gibbosus</v>
          </cell>
          <cell r="B5604" t="str">
            <v>Soldier flies and allies</v>
          </cell>
          <cell r="C5604" t="str">
            <v>Diptera</v>
          </cell>
          <cell r="D5604" t="str">
            <v>Ogcodes gibbosus</v>
          </cell>
          <cell r="E5604" t="str">
            <v>NT</v>
          </cell>
          <cell r="F5604" t="str">
            <v>Drake, 2017</v>
          </cell>
          <cell r="G5604" t="str">
            <v>NBNSYS0000007939</v>
          </cell>
          <cell r="H5604" t="str">
            <v>Ogcodes gibbosus</v>
          </cell>
        </row>
        <row r="5605">
          <cell r="A5605" t="str">
            <v>Ogcodes pallipes</v>
          </cell>
          <cell r="B5605" t="str">
            <v>Soldier flies and allies</v>
          </cell>
          <cell r="C5605" t="str">
            <v>Diptera</v>
          </cell>
          <cell r="D5605" t="str">
            <v>Ogcodes pallipes</v>
          </cell>
          <cell r="E5605" t="str">
            <v>LC</v>
          </cell>
          <cell r="F5605" t="str">
            <v>Drake, 2017</v>
          </cell>
          <cell r="G5605" t="str">
            <v>NBNSYS0000007940</v>
          </cell>
          <cell r="H5605" t="str">
            <v>Ogcodes pallipes</v>
          </cell>
        </row>
        <row r="5606">
          <cell r="A5606" t="str">
            <v>Oplodontha viridula</v>
          </cell>
          <cell r="B5606" t="str">
            <v>Soldier flies and allies</v>
          </cell>
          <cell r="C5606" t="str">
            <v>Diptera</v>
          </cell>
          <cell r="D5606" t="str">
            <v>Oplodontha viridula</v>
          </cell>
          <cell r="E5606" t="str">
            <v>LC</v>
          </cell>
          <cell r="F5606" t="str">
            <v>Drake, 2017</v>
          </cell>
          <cell r="G5606" t="str">
            <v>NBNSYS0000007838</v>
          </cell>
          <cell r="H5606" t="str">
            <v>Oplodontha viridula</v>
          </cell>
        </row>
        <row r="5607">
          <cell r="A5607" t="str">
            <v>Oxycera analis</v>
          </cell>
          <cell r="B5607" t="str">
            <v>Soldier flies and allies</v>
          </cell>
          <cell r="C5607" t="str">
            <v>Diptera</v>
          </cell>
          <cell r="D5607" t="str">
            <v>Oxycera analis</v>
          </cell>
          <cell r="E5607" t="str">
            <v>VU</v>
          </cell>
          <cell r="F5607" t="str">
            <v>Drake, 2017</v>
          </cell>
          <cell r="G5607" t="str">
            <v>NBNSYS0000007808</v>
          </cell>
          <cell r="H5607" t="str">
            <v>Oxycera analis</v>
          </cell>
        </row>
        <row r="5608">
          <cell r="A5608" t="str">
            <v>Oxycera dives</v>
          </cell>
          <cell r="B5608" t="str">
            <v>Soldier flies and allies</v>
          </cell>
          <cell r="C5608" t="str">
            <v>Diptera</v>
          </cell>
          <cell r="D5608" t="str">
            <v>Oxycera dives</v>
          </cell>
          <cell r="E5608" t="str">
            <v>LC</v>
          </cell>
          <cell r="F5608" t="str">
            <v>Drake, 2017</v>
          </cell>
          <cell r="G5608" t="str">
            <v>NBNSYS0000007809</v>
          </cell>
          <cell r="H5608" t="str">
            <v>Oxycera dives</v>
          </cell>
        </row>
        <row r="5609">
          <cell r="A5609" t="str">
            <v>Oxycera fallenii</v>
          </cell>
          <cell r="B5609" t="str">
            <v>Soldier flies and allies</v>
          </cell>
          <cell r="C5609" t="str">
            <v>Diptera</v>
          </cell>
          <cell r="D5609" t="str">
            <v>Oxycera fallenii</v>
          </cell>
          <cell r="E5609" t="str">
            <v>VU</v>
          </cell>
          <cell r="F5609" t="str">
            <v>Drake, 2017</v>
          </cell>
          <cell r="G5609" t="str">
            <v>NBNSYS0000007810</v>
          </cell>
          <cell r="H5609" t="str">
            <v>Oxycera fallenii</v>
          </cell>
        </row>
        <row r="5610">
          <cell r="A5610" t="str">
            <v>Oxycera leonina</v>
          </cell>
          <cell r="B5610" t="str">
            <v>Soldier flies and allies</v>
          </cell>
          <cell r="C5610" t="str">
            <v>Diptera</v>
          </cell>
          <cell r="D5610" t="str">
            <v>Oxycera leonina</v>
          </cell>
          <cell r="E5610" t="str">
            <v>VU</v>
          </cell>
          <cell r="F5610" t="str">
            <v>Drake, 2017</v>
          </cell>
          <cell r="G5610" t="str">
            <v>NBNSYS0000007812</v>
          </cell>
          <cell r="H5610" t="str">
            <v>Oxycera leonina</v>
          </cell>
        </row>
        <row r="5611">
          <cell r="A5611" t="str">
            <v>Oxycera morrisii</v>
          </cell>
          <cell r="B5611" t="str">
            <v>Soldier flies and allies</v>
          </cell>
          <cell r="C5611" t="str">
            <v>Diptera</v>
          </cell>
          <cell r="D5611" t="str">
            <v>Oxycera morrisii</v>
          </cell>
          <cell r="E5611" t="str">
            <v>LC</v>
          </cell>
          <cell r="F5611" t="str">
            <v>Drake, 2017</v>
          </cell>
          <cell r="G5611" t="str">
            <v>NBNSYS0000007813</v>
          </cell>
          <cell r="H5611" t="str">
            <v>Oxycera morrisii</v>
          </cell>
        </row>
        <row r="5612">
          <cell r="A5612" t="str">
            <v>Oxycera nigricornis</v>
          </cell>
          <cell r="B5612" t="str">
            <v>Soldier flies and allies</v>
          </cell>
          <cell r="C5612" t="str">
            <v>Diptera</v>
          </cell>
          <cell r="D5612" t="str">
            <v>Oxycera nigricornis</v>
          </cell>
          <cell r="E5612" t="str">
            <v>LC</v>
          </cell>
          <cell r="F5612" t="str">
            <v>Drake, 2017</v>
          </cell>
          <cell r="G5612" t="str">
            <v>NHMSYS0020734187</v>
          </cell>
          <cell r="H5612" t="str">
            <v>Oxycera nigricornis</v>
          </cell>
        </row>
        <row r="5613">
          <cell r="A5613" t="str">
            <v>Oxycera pardalina</v>
          </cell>
          <cell r="B5613" t="str">
            <v>Soldier flies and allies</v>
          </cell>
          <cell r="C5613" t="str">
            <v>Diptera</v>
          </cell>
          <cell r="D5613" t="str">
            <v>Oxycera pardalina</v>
          </cell>
          <cell r="E5613" t="str">
            <v>LC</v>
          </cell>
          <cell r="F5613" t="str">
            <v>Drake, 2017</v>
          </cell>
          <cell r="G5613" t="str">
            <v>NBNSYS0000007814</v>
          </cell>
          <cell r="H5613" t="str">
            <v>Oxycera pardalina</v>
          </cell>
        </row>
        <row r="5614">
          <cell r="A5614" t="str">
            <v>Oxycera pygmaea</v>
          </cell>
          <cell r="B5614" t="str">
            <v>Soldier flies and allies</v>
          </cell>
          <cell r="C5614" t="str">
            <v>Diptera</v>
          </cell>
          <cell r="D5614" t="str">
            <v>Oxycera pygmaea</v>
          </cell>
          <cell r="E5614" t="str">
            <v>LC</v>
          </cell>
          <cell r="F5614" t="str">
            <v>Drake, 2017</v>
          </cell>
          <cell r="G5614" t="str">
            <v>NBNSYS0000007815</v>
          </cell>
          <cell r="H5614" t="str">
            <v>Oxycera pygmaea</v>
          </cell>
        </row>
        <row r="5615">
          <cell r="A5615" t="str">
            <v>Oxycera rara</v>
          </cell>
          <cell r="B5615" t="str">
            <v>Soldier flies and allies</v>
          </cell>
          <cell r="C5615" t="str">
            <v>Diptera</v>
          </cell>
          <cell r="D5615" t="str">
            <v>Oxycera rara</v>
          </cell>
          <cell r="E5615" t="str">
            <v>LC</v>
          </cell>
          <cell r="F5615" t="str">
            <v>Drake, 2017</v>
          </cell>
          <cell r="G5615" t="str">
            <v>NBNSYS0000007816</v>
          </cell>
          <cell r="H5615" t="str">
            <v>Oxycera rara</v>
          </cell>
        </row>
        <row r="5616">
          <cell r="A5616" t="str">
            <v>Oxycera terminata</v>
          </cell>
          <cell r="B5616" t="str">
            <v>Soldier flies and allies</v>
          </cell>
          <cell r="C5616" t="str">
            <v>Diptera</v>
          </cell>
          <cell r="D5616" t="str">
            <v>Oxycera terminata</v>
          </cell>
          <cell r="E5616" t="str">
            <v>NT</v>
          </cell>
          <cell r="F5616" t="str">
            <v>Drake, 2017</v>
          </cell>
          <cell r="G5616" t="str">
            <v>NBNSYS0000007817</v>
          </cell>
          <cell r="H5616" t="str">
            <v>Oxycera terminata</v>
          </cell>
        </row>
        <row r="5617">
          <cell r="A5617" t="str">
            <v>Oxycera trilineata</v>
          </cell>
          <cell r="B5617" t="str">
            <v>Soldier flies and allies</v>
          </cell>
          <cell r="C5617" t="str">
            <v>Diptera</v>
          </cell>
          <cell r="D5617" t="str">
            <v>Oxycera trilineata</v>
          </cell>
          <cell r="E5617" t="str">
            <v>LC</v>
          </cell>
          <cell r="F5617" t="str">
            <v>Drake, 2017</v>
          </cell>
          <cell r="G5617" t="str">
            <v>NBNSYS0000007818</v>
          </cell>
          <cell r="H5617" t="str">
            <v>Oxycera trilineata</v>
          </cell>
        </row>
        <row r="5618">
          <cell r="A5618" t="str">
            <v>Pachygaster atra</v>
          </cell>
          <cell r="B5618" t="str">
            <v>Soldier flies and allies</v>
          </cell>
          <cell r="C5618" t="str">
            <v>Diptera</v>
          </cell>
          <cell r="D5618" t="str">
            <v>Pachygaster atra</v>
          </cell>
          <cell r="E5618" t="str">
            <v>LC</v>
          </cell>
          <cell r="F5618" t="str">
            <v>Drake, 2017</v>
          </cell>
          <cell r="G5618" t="str">
            <v>NBNSYS0000007820</v>
          </cell>
          <cell r="H5618" t="str">
            <v>Pachygaster atra</v>
          </cell>
        </row>
        <row r="5619">
          <cell r="A5619" t="str">
            <v>Pachygaster leachii</v>
          </cell>
          <cell r="B5619" t="str">
            <v>Soldier flies and allies</v>
          </cell>
          <cell r="C5619" t="str">
            <v>Diptera</v>
          </cell>
          <cell r="D5619" t="str">
            <v>Pachygaster leachii</v>
          </cell>
          <cell r="E5619" t="str">
            <v>LC</v>
          </cell>
          <cell r="F5619" t="str">
            <v>Drake, 2017</v>
          </cell>
          <cell r="G5619" t="str">
            <v>NBNSYS0100020703</v>
          </cell>
          <cell r="H5619" t="str">
            <v>Pachygaster leachii</v>
          </cell>
        </row>
        <row r="5620">
          <cell r="A5620" t="str">
            <v>Pamponerus germanicus</v>
          </cell>
          <cell r="B5620" t="str">
            <v>Soldier flies and allies</v>
          </cell>
          <cell r="C5620" t="str">
            <v>Diptera</v>
          </cell>
          <cell r="D5620" t="str">
            <v>Pamponerus germanicus</v>
          </cell>
          <cell r="E5620" t="str">
            <v>LC</v>
          </cell>
          <cell r="F5620" t="str">
            <v>Drake, 2017</v>
          </cell>
          <cell r="G5620" t="str">
            <v>NBNSYS0000007905</v>
          </cell>
          <cell r="H5620" t="str">
            <v>Pamponerus germanicus</v>
          </cell>
        </row>
        <row r="5621">
          <cell r="A5621" t="str">
            <v>Pandivirilia melaleuca</v>
          </cell>
          <cell r="B5621" t="str">
            <v>Soldier flies and allies</v>
          </cell>
          <cell r="C5621" t="str">
            <v>Diptera</v>
          </cell>
          <cell r="D5621" t="str">
            <v>Pandivirilia melaleuca</v>
          </cell>
          <cell r="E5621" t="str">
            <v>NT</v>
          </cell>
          <cell r="F5621" t="str">
            <v>Drake, 2017</v>
          </cell>
          <cell r="G5621" t="str">
            <v>NBNSYS0000173330</v>
          </cell>
          <cell r="H5621" t="str">
            <v>Pandivirilia melaleuca</v>
          </cell>
        </row>
        <row r="5622">
          <cell r="A5622" t="str">
            <v>Philonicus albiceps</v>
          </cell>
          <cell r="B5622" t="str">
            <v>Soldier flies and allies</v>
          </cell>
          <cell r="C5622" t="str">
            <v>Diptera</v>
          </cell>
          <cell r="D5622" t="str">
            <v>Philonicus albiceps</v>
          </cell>
          <cell r="E5622" t="str">
            <v>LC</v>
          </cell>
          <cell r="F5622" t="str">
            <v>Drake, 2017</v>
          </cell>
          <cell r="G5622" t="str">
            <v>NBNSYS0000007906</v>
          </cell>
          <cell r="H5622" t="str">
            <v>Philonicus albiceps</v>
          </cell>
        </row>
        <row r="5623">
          <cell r="A5623" t="str">
            <v>Phthiria pulicaria</v>
          </cell>
          <cell r="B5623" t="str">
            <v>Soldier flies and allies</v>
          </cell>
          <cell r="C5623" t="str">
            <v>Diptera</v>
          </cell>
          <cell r="D5623" t="str">
            <v>Phthiria pulicaria</v>
          </cell>
          <cell r="E5623" t="str">
            <v>LC</v>
          </cell>
          <cell r="F5623" t="str">
            <v>Drake, 2017</v>
          </cell>
          <cell r="G5623" t="str">
            <v>NBNSYS0000007949</v>
          </cell>
          <cell r="H5623" t="str">
            <v>Phthiria pulicaria</v>
          </cell>
        </row>
        <row r="5624">
          <cell r="A5624" t="str">
            <v>Ptiolina nigra</v>
          </cell>
          <cell r="B5624" t="str">
            <v>Soldier flies and allies</v>
          </cell>
          <cell r="C5624" t="str">
            <v>Diptera</v>
          </cell>
          <cell r="D5624" t="str">
            <v>Ptiolina nigra</v>
          </cell>
          <cell r="E5624" t="str">
            <v>LC</v>
          </cell>
          <cell r="F5624" t="str">
            <v>Drake, 2017</v>
          </cell>
          <cell r="G5624" t="str">
            <v>NBNSYS0100004993</v>
          </cell>
          <cell r="H5624" t="str">
            <v>Ptiolina nigra</v>
          </cell>
        </row>
        <row r="5625">
          <cell r="A5625" t="str">
            <v>Ptiolina obscura</v>
          </cell>
          <cell r="B5625" t="str">
            <v>Soldier flies and allies</v>
          </cell>
          <cell r="C5625" t="str">
            <v>Diptera</v>
          </cell>
          <cell r="D5625" t="str">
            <v>Ptiolina obscura</v>
          </cell>
          <cell r="E5625" t="str">
            <v>LC</v>
          </cell>
          <cell r="F5625" t="str">
            <v>Drake, 2017</v>
          </cell>
          <cell r="G5625" t="str">
            <v>NBNSYS0000007854</v>
          </cell>
          <cell r="H5625" t="str">
            <v>Ptiolina obscura</v>
          </cell>
        </row>
        <row r="5626">
          <cell r="A5626" t="str">
            <v>Rhagio annulatus</v>
          </cell>
          <cell r="B5626" t="str">
            <v>Soldier flies and allies</v>
          </cell>
          <cell r="C5626" t="str">
            <v>Diptera</v>
          </cell>
          <cell r="D5626" t="str">
            <v>Rhagio annulatus</v>
          </cell>
          <cell r="E5626" t="str">
            <v>NT</v>
          </cell>
          <cell r="F5626" t="str">
            <v>Drake, 2017</v>
          </cell>
          <cell r="G5626" t="str">
            <v>NBNSYS0000007861</v>
          </cell>
          <cell r="H5626" t="str">
            <v>Rhagio annulatus</v>
          </cell>
        </row>
        <row r="5627">
          <cell r="A5627" t="str">
            <v>Rhagio lineola</v>
          </cell>
          <cell r="B5627" t="str">
            <v>Soldier flies and allies</v>
          </cell>
          <cell r="C5627" t="str">
            <v>Diptera</v>
          </cell>
          <cell r="D5627" t="str">
            <v>Rhagio lineola</v>
          </cell>
          <cell r="E5627" t="str">
            <v>LC</v>
          </cell>
          <cell r="F5627" t="str">
            <v>Drake, 2017</v>
          </cell>
          <cell r="G5627" t="str">
            <v>NBNSYS0000007862</v>
          </cell>
          <cell r="H5627" t="str">
            <v>Rhagio lineola</v>
          </cell>
        </row>
        <row r="5628">
          <cell r="A5628" t="str">
            <v>Rhagio notatus</v>
          </cell>
          <cell r="B5628" t="str">
            <v>Soldier flies and allies</v>
          </cell>
          <cell r="C5628" t="str">
            <v>Diptera</v>
          </cell>
          <cell r="D5628" t="str">
            <v>Rhagio notatus</v>
          </cell>
          <cell r="E5628" t="str">
            <v>LC</v>
          </cell>
          <cell r="F5628" t="str">
            <v>Drake, 2017</v>
          </cell>
          <cell r="G5628" t="str">
            <v>NBNSYS0000007863</v>
          </cell>
          <cell r="H5628" t="str">
            <v>Rhagio notatus</v>
          </cell>
        </row>
        <row r="5629">
          <cell r="A5629" t="str">
            <v>Rhagio scolopaceus</v>
          </cell>
          <cell r="B5629" t="str">
            <v>Soldier flies and allies</v>
          </cell>
          <cell r="C5629" t="str">
            <v>Diptera</v>
          </cell>
          <cell r="D5629" t="str">
            <v>Rhagio scolopaceus</v>
          </cell>
          <cell r="E5629" t="str">
            <v>LC</v>
          </cell>
          <cell r="F5629" t="str">
            <v>Drake, 2017</v>
          </cell>
          <cell r="G5629" t="str">
            <v>NBNSYS0100005063</v>
          </cell>
          <cell r="H5629" t="str">
            <v>Rhagio scolopaceus</v>
          </cell>
        </row>
        <row r="5630">
          <cell r="A5630" t="str">
            <v>Rhagio strigosus</v>
          </cell>
          <cell r="B5630" t="str">
            <v>Soldier flies and allies</v>
          </cell>
          <cell r="C5630" t="str">
            <v>Diptera</v>
          </cell>
          <cell r="D5630" t="str">
            <v>Rhagio strigosus</v>
          </cell>
          <cell r="E5630" t="str">
            <v>VU</v>
          </cell>
          <cell r="F5630" t="str">
            <v>Drake, 2017</v>
          </cell>
          <cell r="G5630" t="str">
            <v>NBNSYS0000007865</v>
          </cell>
          <cell r="H5630" t="str">
            <v>Rhagio strigosus</v>
          </cell>
        </row>
        <row r="5631">
          <cell r="A5631" t="str">
            <v>Rhagio tringarius</v>
          </cell>
          <cell r="B5631" t="str">
            <v>Soldier flies and allies</v>
          </cell>
          <cell r="C5631" t="str">
            <v>Diptera</v>
          </cell>
          <cell r="D5631" t="str">
            <v>Rhagio tringarius</v>
          </cell>
          <cell r="E5631" t="str">
            <v>LC</v>
          </cell>
          <cell r="F5631" t="str">
            <v>Drake, 2017</v>
          </cell>
          <cell r="G5631" t="str">
            <v>NBNSYS0000007866</v>
          </cell>
          <cell r="H5631" t="str">
            <v>Rhagio tringarius</v>
          </cell>
        </row>
        <row r="5632">
          <cell r="A5632" t="str">
            <v>Sargus bipunctatus</v>
          </cell>
          <cell r="B5632" t="str">
            <v>Soldier flies and allies</v>
          </cell>
          <cell r="C5632" t="str">
            <v>Diptera</v>
          </cell>
          <cell r="D5632" t="str">
            <v>Sargus bipunctatus</v>
          </cell>
          <cell r="E5632" t="str">
            <v>LC</v>
          </cell>
          <cell r="F5632" t="str">
            <v>Drake, 2017</v>
          </cell>
          <cell r="G5632" t="str">
            <v>NBNSYS0000007829</v>
          </cell>
          <cell r="H5632" t="str">
            <v>Sargus bipunctatus</v>
          </cell>
        </row>
        <row r="5633">
          <cell r="A5633" t="str">
            <v>Sargus flavipes</v>
          </cell>
          <cell r="B5633" t="str">
            <v>Soldier flies and allies</v>
          </cell>
          <cell r="C5633" t="str">
            <v>Diptera</v>
          </cell>
          <cell r="D5633" t="str">
            <v>Sargus flavipes</v>
          </cell>
          <cell r="E5633" t="str">
            <v>LC</v>
          </cell>
          <cell r="F5633" t="str">
            <v>Drake, 2017</v>
          </cell>
          <cell r="G5633" t="str">
            <v>NBNSYS0000007832</v>
          </cell>
          <cell r="H5633" t="str">
            <v>Sargus flavipes</v>
          </cell>
        </row>
        <row r="5634">
          <cell r="A5634" t="str">
            <v>Sargus iridatus</v>
          </cell>
          <cell r="B5634" t="str">
            <v>Soldier flies and allies</v>
          </cell>
          <cell r="C5634" t="str">
            <v>Diptera</v>
          </cell>
          <cell r="D5634" t="str">
            <v>Sargus iridatus</v>
          </cell>
          <cell r="E5634" t="str">
            <v>LC</v>
          </cell>
          <cell r="F5634" t="str">
            <v>Drake, 2017</v>
          </cell>
          <cell r="G5634" t="str">
            <v>NBNSYS0000007831</v>
          </cell>
          <cell r="H5634" t="str">
            <v>Sargus iridatus</v>
          </cell>
        </row>
        <row r="5635">
          <cell r="A5635" t="str">
            <v>Scenopinus fenestralis</v>
          </cell>
          <cell r="B5635" t="str">
            <v>Soldier flies and allies</v>
          </cell>
          <cell r="C5635" t="str">
            <v>Diptera</v>
          </cell>
          <cell r="D5635" t="str">
            <v>Scenopinus fenestralis</v>
          </cell>
          <cell r="E5635" t="str">
            <v>LC</v>
          </cell>
          <cell r="F5635" t="str">
            <v>Drake, 2017</v>
          </cell>
          <cell r="G5635" t="str">
            <v>NBNSYS0000007935</v>
          </cell>
          <cell r="H5635" t="str">
            <v>Scenopinus fenestralis</v>
          </cell>
        </row>
        <row r="5636">
          <cell r="A5636" t="str">
            <v>Scenopinus niger</v>
          </cell>
          <cell r="B5636" t="str">
            <v>Soldier flies and allies</v>
          </cell>
          <cell r="C5636" t="str">
            <v>Diptera</v>
          </cell>
          <cell r="D5636" t="str">
            <v>Scenopinus niger</v>
          </cell>
          <cell r="E5636" t="str">
            <v>NT</v>
          </cell>
          <cell r="F5636" t="str">
            <v>Drake, 2017</v>
          </cell>
          <cell r="G5636" t="str">
            <v>NBNSYS0000007937</v>
          </cell>
          <cell r="H5636" t="str">
            <v>Scenopinus niger</v>
          </cell>
        </row>
        <row r="5637">
          <cell r="A5637" t="str">
            <v>Solva marginata</v>
          </cell>
          <cell r="B5637" t="str">
            <v>Soldier flies and allies</v>
          </cell>
          <cell r="C5637" t="str">
            <v>Diptera</v>
          </cell>
          <cell r="D5637" t="str">
            <v>Solva marginata</v>
          </cell>
          <cell r="E5637" t="str">
            <v>LC</v>
          </cell>
          <cell r="F5637" t="str">
            <v>Drake, 2017</v>
          </cell>
          <cell r="G5637" t="str">
            <v>NBNSYS0000007844</v>
          </cell>
          <cell r="H5637" t="str">
            <v>Solva marginata</v>
          </cell>
        </row>
        <row r="5638">
          <cell r="A5638" t="str">
            <v>Spania nigra</v>
          </cell>
          <cell r="B5638" t="str">
            <v>Soldier flies and allies</v>
          </cell>
          <cell r="C5638" t="str">
            <v>Diptera</v>
          </cell>
          <cell r="D5638" t="str">
            <v>Spania nigra</v>
          </cell>
          <cell r="E5638" t="str">
            <v>LC</v>
          </cell>
          <cell r="F5638" t="str">
            <v>Drake, 2017</v>
          </cell>
          <cell r="G5638" t="str">
            <v>NBNSYS0000007855</v>
          </cell>
          <cell r="H5638" t="str">
            <v>Spania nigra</v>
          </cell>
        </row>
        <row r="5639">
          <cell r="A5639" t="str">
            <v>Spiriverpa lunulata</v>
          </cell>
          <cell r="B5639" t="str">
            <v>Soldier flies and allies</v>
          </cell>
          <cell r="C5639" t="str">
            <v>Diptera</v>
          </cell>
          <cell r="D5639" t="str">
            <v>Spiriverpa lunulata</v>
          </cell>
          <cell r="E5639" t="str">
            <v>LC</v>
          </cell>
          <cell r="F5639" t="str">
            <v>Drake, 2017</v>
          </cell>
          <cell r="G5639" t="str">
            <v>NBNSYS0000189495</v>
          </cell>
          <cell r="H5639" t="str">
            <v>Spiriverpa lunulata</v>
          </cell>
        </row>
        <row r="5640">
          <cell r="A5640" t="str">
            <v>Stratiomys chamaeleon</v>
          </cell>
          <cell r="B5640" t="str">
            <v>Soldier flies and allies</v>
          </cell>
          <cell r="C5640" t="str">
            <v>Diptera</v>
          </cell>
          <cell r="D5640" t="str">
            <v>Stratiomys chamaeleon</v>
          </cell>
          <cell r="E5640" t="str">
            <v>EN</v>
          </cell>
          <cell r="F5640" t="str">
            <v>Drake, 2017</v>
          </cell>
          <cell r="G5640" t="str">
            <v>NBNSYS0000007839</v>
          </cell>
          <cell r="H5640" t="str">
            <v>Stratiomys chamaeleon</v>
          </cell>
        </row>
        <row r="5641">
          <cell r="A5641" t="str">
            <v>Stratiomys longicornis</v>
          </cell>
          <cell r="B5641" t="str">
            <v>Soldier flies and allies</v>
          </cell>
          <cell r="C5641" t="str">
            <v>Diptera</v>
          </cell>
          <cell r="D5641" t="str">
            <v>Stratiomys longicornis</v>
          </cell>
          <cell r="E5641" t="str">
            <v>LC</v>
          </cell>
          <cell r="F5641" t="str">
            <v>Drake, 2017</v>
          </cell>
          <cell r="G5641" t="str">
            <v>NBNSYS0000007841</v>
          </cell>
          <cell r="H5641" t="str">
            <v>Stratiomys longicornis</v>
          </cell>
        </row>
        <row r="5642">
          <cell r="A5642" t="str">
            <v>Stratiomys potamida</v>
          </cell>
          <cell r="B5642" t="str">
            <v>Soldier flies and allies</v>
          </cell>
          <cell r="C5642" t="str">
            <v>Diptera</v>
          </cell>
          <cell r="D5642" t="str">
            <v>Stratiomys potamida</v>
          </cell>
          <cell r="E5642" t="str">
            <v>LC</v>
          </cell>
          <cell r="F5642" t="str">
            <v>Drake, 2017</v>
          </cell>
          <cell r="G5642" t="str">
            <v>NBNSYS0000007842</v>
          </cell>
          <cell r="H5642" t="str">
            <v>Stratiomys potamida</v>
          </cell>
        </row>
        <row r="5643">
          <cell r="A5643" t="str">
            <v>Stratiomys singularior</v>
          </cell>
          <cell r="B5643" t="str">
            <v>Soldier flies and allies</v>
          </cell>
          <cell r="C5643" t="str">
            <v>Diptera</v>
          </cell>
          <cell r="D5643" t="str">
            <v>Stratiomys singularior</v>
          </cell>
          <cell r="E5643" t="str">
            <v>LC</v>
          </cell>
          <cell r="F5643" t="str">
            <v>Drake, 2017</v>
          </cell>
          <cell r="G5643" t="str">
            <v>NBNSYS0000007840</v>
          </cell>
          <cell r="H5643" t="str">
            <v>Stratiomys singularior</v>
          </cell>
        </row>
        <row r="5644">
          <cell r="A5644" t="str">
            <v>Symphoromyia crassicornis</v>
          </cell>
          <cell r="B5644" t="str">
            <v>Soldier flies and allies</v>
          </cell>
          <cell r="C5644" t="str">
            <v>Diptera</v>
          </cell>
          <cell r="D5644" t="str">
            <v>Symphoromyia crassicornis</v>
          </cell>
          <cell r="E5644" t="str">
            <v>LC</v>
          </cell>
          <cell r="F5644" t="str">
            <v>Drake, 2017</v>
          </cell>
          <cell r="G5644" t="str">
            <v>NBNSYS0100020558</v>
          </cell>
          <cell r="H5644" t="str">
            <v>Symphoromyia crassicornis</v>
          </cell>
        </row>
        <row r="5645">
          <cell r="A5645" t="str">
            <v>Symphoromyia immaculata</v>
          </cell>
          <cell r="B5645" t="str">
            <v>Soldier flies and allies</v>
          </cell>
          <cell r="C5645" t="str">
            <v>Diptera</v>
          </cell>
          <cell r="D5645" t="str">
            <v>Symphoromyia immaculata</v>
          </cell>
          <cell r="E5645" t="str">
            <v>LC</v>
          </cell>
          <cell r="F5645" t="str">
            <v>Drake, 2017</v>
          </cell>
          <cell r="G5645" t="str">
            <v>NBNSYS0000007857</v>
          </cell>
          <cell r="H5645" t="str">
            <v>Symphoromyia immaculata</v>
          </cell>
        </row>
        <row r="5646">
          <cell r="A5646" t="str">
            <v>Tabanus autumnalis</v>
          </cell>
          <cell r="B5646" t="str">
            <v>Soldier flies and allies</v>
          </cell>
          <cell r="C5646" t="str">
            <v>Diptera</v>
          </cell>
          <cell r="D5646" t="str">
            <v>Tabanus autumnalis</v>
          </cell>
          <cell r="E5646" t="str">
            <v>LC</v>
          </cell>
          <cell r="F5646" t="str">
            <v>Drake, 2017</v>
          </cell>
          <cell r="G5646" t="str">
            <v>NBNSYS0000007887</v>
          </cell>
          <cell r="H5646" t="str">
            <v>Tabanus autumnalis</v>
          </cell>
        </row>
        <row r="5647">
          <cell r="A5647" t="str">
            <v>Tabanus bovinus</v>
          </cell>
          <cell r="B5647" t="str">
            <v>Soldier flies and allies</v>
          </cell>
          <cell r="C5647" t="str">
            <v>Diptera</v>
          </cell>
          <cell r="D5647" t="str">
            <v>Tabanus bovinus</v>
          </cell>
          <cell r="E5647" t="str">
            <v>EN</v>
          </cell>
          <cell r="F5647" t="str">
            <v>Drake, 2017</v>
          </cell>
          <cell r="G5647" t="str">
            <v>NBNSYS0000007888</v>
          </cell>
          <cell r="H5647" t="str">
            <v>Tabanus bovinus</v>
          </cell>
        </row>
        <row r="5648">
          <cell r="A5648" t="str">
            <v>Tabanus bromius</v>
          </cell>
          <cell r="B5648" t="str">
            <v>Soldier flies and allies</v>
          </cell>
          <cell r="C5648" t="str">
            <v>Diptera</v>
          </cell>
          <cell r="D5648" t="str">
            <v>Tabanus bromius</v>
          </cell>
          <cell r="E5648" t="str">
            <v>LC</v>
          </cell>
          <cell r="F5648" t="str">
            <v>Drake, 2017</v>
          </cell>
          <cell r="G5648" t="str">
            <v>NBNSYS0000007890</v>
          </cell>
          <cell r="H5648" t="str">
            <v>Tabanus bromius</v>
          </cell>
        </row>
        <row r="5649">
          <cell r="A5649" t="str">
            <v>Tabanus cordiger</v>
          </cell>
          <cell r="B5649" t="str">
            <v>Soldier flies and allies</v>
          </cell>
          <cell r="C5649" t="str">
            <v>Diptera</v>
          </cell>
          <cell r="D5649" t="str">
            <v>Tabanus cordiger</v>
          </cell>
          <cell r="E5649" t="str">
            <v>LC</v>
          </cell>
          <cell r="F5649" t="str">
            <v>Drake, 2017</v>
          </cell>
          <cell r="G5649" t="str">
            <v>NBNSYS0000007893</v>
          </cell>
          <cell r="H5649" t="str">
            <v>Tabanus cordiger</v>
          </cell>
        </row>
        <row r="5650">
          <cell r="A5650" t="str">
            <v>Tabanus glaucopis</v>
          </cell>
          <cell r="B5650" t="str">
            <v>Soldier flies and allies</v>
          </cell>
          <cell r="C5650" t="str">
            <v>Diptera</v>
          </cell>
          <cell r="D5650" t="str">
            <v>Tabanus glaucopis</v>
          </cell>
          <cell r="E5650" t="str">
            <v>EN</v>
          </cell>
          <cell r="F5650" t="str">
            <v>Drake, 2017</v>
          </cell>
          <cell r="G5650" t="str">
            <v>NBNSYS0000007894</v>
          </cell>
          <cell r="H5650" t="str">
            <v>Tabanus glaucopis</v>
          </cell>
        </row>
        <row r="5651">
          <cell r="A5651" t="str">
            <v>Tabanus maculicornis</v>
          </cell>
          <cell r="B5651" t="str">
            <v>Soldier flies and allies</v>
          </cell>
          <cell r="C5651" t="str">
            <v>Diptera</v>
          </cell>
          <cell r="D5651" t="str">
            <v>Tabanus maculicornis</v>
          </cell>
          <cell r="E5651" t="str">
            <v>LC</v>
          </cell>
          <cell r="F5651" t="str">
            <v>Drake, 2017</v>
          </cell>
          <cell r="G5651" t="str">
            <v>NBNSYS0000007891</v>
          </cell>
          <cell r="H5651" t="str">
            <v>Tabanus maculicornis</v>
          </cell>
        </row>
        <row r="5652">
          <cell r="A5652" t="str">
            <v>Tabanus miki</v>
          </cell>
          <cell r="B5652" t="str">
            <v>Soldier flies and allies</v>
          </cell>
          <cell r="C5652" t="str">
            <v>Diptera</v>
          </cell>
          <cell r="D5652" t="str">
            <v>Tabanus miki</v>
          </cell>
          <cell r="E5652" t="str">
            <v>NT</v>
          </cell>
          <cell r="F5652" t="str">
            <v>Drake, 2017</v>
          </cell>
          <cell r="G5652" t="str">
            <v>NBNSYS0000007892</v>
          </cell>
          <cell r="H5652" t="str">
            <v>Tabanus miki</v>
          </cell>
        </row>
        <row r="5653">
          <cell r="A5653" t="str">
            <v>Tabanus sudeticus</v>
          </cell>
          <cell r="B5653" t="str">
            <v>Soldier flies and allies</v>
          </cell>
          <cell r="C5653" t="str">
            <v>Diptera</v>
          </cell>
          <cell r="D5653" t="str">
            <v>Tabanus sudeticus</v>
          </cell>
          <cell r="E5653" t="str">
            <v>LC</v>
          </cell>
          <cell r="F5653" t="str">
            <v>Drake, 2017</v>
          </cell>
          <cell r="G5653" t="str">
            <v>NBNSYS0000007889</v>
          </cell>
          <cell r="H5653" t="str">
            <v>Tabanus sudeticus</v>
          </cell>
        </row>
        <row r="5654">
          <cell r="A5654" t="str">
            <v>Thereva bipunctata</v>
          </cell>
          <cell r="B5654" t="str">
            <v>Soldier flies and allies</v>
          </cell>
          <cell r="C5654" t="str">
            <v>Diptera</v>
          </cell>
          <cell r="D5654" t="str">
            <v>Thereva bipunctata</v>
          </cell>
          <cell r="E5654" t="str">
            <v>LC</v>
          </cell>
          <cell r="F5654" t="str">
            <v>Drake, 2017</v>
          </cell>
          <cell r="G5654" t="str">
            <v>NBNSYS0000007927</v>
          </cell>
          <cell r="H5654" t="str">
            <v>Thereva bipunctata</v>
          </cell>
        </row>
        <row r="5655">
          <cell r="A5655" t="str">
            <v>Thereva cinifera</v>
          </cell>
          <cell r="B5655" t="str">
            <v>Soldier flies and allies</v>
          </cell>
          <cell r="C5655" t="str">
            <v>Diptera</v>
          </cell>
          <cell r="D5655" t="str">
            <v>Thereva cinifera</v>
          </cell>
          <cell r="E5655" t="str">
            <v>NT</v>
          </cell>
          <cell r="F5655" t="str">
            <v>Drake, 2017</v>
          </cell>
          <cell r="G5655" t="str">
            <v>NBNSYS0100005797</v>
          </cell>
          <cell r="H5655" t="str">
            <v>Thereva cinifera</v>
          </cell>
        </row>
        <row r="5656">
          <cell r="A5656" t="str">
            <v>Thereva fulva</v>
          </cell>
          <cell r="B5656" t="str">
            <v>Soldier flies and allies</v>
          </cell>
          <cell r="C5656" t="str">
            <v>Diptera</v>
          </cell>
          <cell r="D5656" t="str">
            <v>Thereva fulva</v>
          </cell>
          <cell r="E5656" t="str">
            <v>NT</v>
          </cell>
          <cell r="F5656" t="str">
            <v>Drake, 2017</v>
          </cell>
          <cell r="G5656" t="str">
            <v>NBNSYS0000007928</v>
          </cell>
          <cell r="H5656" t="str">
            <v>Thereva fulva</v>
          </cell>
        </row>
        <row r="5657">
          <cell r="A5657" t="str">
            <v>Thereva handlirschi</v>
          </cell>
          <cell r="B5657" t="str">
            <v>Soldier flies and allies</v>
          </cell>
          <cell r="C5657" t="str">
            <v>Diptera</v>
          </cell>
          <cell r="D5657" t="str">
            <v>Thereva handlirschi</v>
          </cell>
          <cell r="E5657" t="str">
            <v>LC</v>
          </cell>
          <cell r="F5657" t="str">
            <v>Drake, 2017</v>
          </cell>
          <cell r="G5657" t="str">
            <v>NBNSYS0000007929</v>
          </cell>
          <cell r="H5657" t="str">
            <v>Thereva handlirschi</v>
          </cell>
        </row>
        <row r="5658">
          <cell r="A5658" t="str">
            <v>Thereva nobilitata</v>
          </cell>
          <cell r="B5658" t="str">
            <v>Soldier flies and allies</v>
          </cell>
          <cell r="C5658" t="str">
            <v>Diptera</v>
          </cell>
          <cell r="D5658" t="str">
            <v>Thereva nobilitata</v>
          </cell>
          <cell r="E5658" t="str">
            <v>LC</v>
          </cell>
          <cell r="F5658" t="str">
            <v>Drake, 2017</v>
          </cell>
          <cell r="G5658" t="str">
            <v>NBNSYS0000007931</v>
          </cell>
          <cell r="H5658" t="str">
            <v>Thereva nobilitata</v>
          </cell>
        </row>
        <row r="5659">
          <cell r="A5659" t="str">
            <v>Thereva plebeja</v>
          </cell>
          <cell r="B5659" t="str">
            <v>Soldier flies and allies</v>
          </cell>
          <cell r="C5659" t="str">
            <v>Diptera</v>
          </cell>
          <cell r="D5659" t="str">
            <v>Thereva plebeja</v>
          </cell>
          <cell r="E5659" t="str">
            <v>LC</v>
          </cell>
          <cell r="F5659" t="str">
            <v>Drake, 2017</v>
          </cell>
          <cell r="G5659" t="str">
            <v>NBNSYS0100005798</v>
          </cell>
          <cell r="H5659" t="str">
            <v>Thereva plebeja</v>
          </cell>
        </row>
        <row r="5660">
          <cell r="A5660" t="str">
            <v>Thereva strigata</v>
          </cell>
          <cell r="B5660" t="str">
            <v>Soldier flies and allies</v>
          </cell>
          <cell r="C5660" t="str">
            <v>Diptera</v>
          </cell>
          <cell r="D5660" t="str">
            <v>Thereva strigata</v>
          </cell>
          <cell r="E5660" t="str">
            <v>EN</v>
          </cell>
          <cell r="F5660" t="str">
            <v>Drake, 2017</v>
          </cell>
          <cell r="G5660" t="str">
            <v>NBNSYS0000007933</v>
          </cell>
          <cell r="H5660" t="str">
            <v>Thereva strigata</v>
          </cell>
        </row>
        <row r="5661">
          <cell r="A5661" t="str">
            <v>Thereva valida</v>
          </cell>
          <cell r="B5661" t="str">
            <v>Soldier flies and allies</v>
          </cell>
          <cell r="C5661" t="str">
            <v>Diptera</v>
          </cell>
          <cell r="D5661" t="str">
            <v>Thereva valida</v>
          </cell>
          <cell r="E5661" t="str">
            <v>LC</v>
          </cell>
          <cell r="F5661" t="str">
            <v>Drake, 2017</v>
          </cell>
          <cell r="G5661" t="str">
            <v>NBNSYS0000007934</v>
          </cell>
          <cell r="H5661" t="str">
            <v>Thereva valida</v>
          </cell>
        </row>
        <row r="5662">
          <cell r="A5662" t="str">
            <v>Thyridanthrax fenestratus</v>
          </cell>
          <cell r="B5662" t="str">
            <v>Soldier flies and allies</v>
          </cell>
          <cell r="C5662" t="str">
            <v>Diptera</v>
          </cell>
          <cell r="D5662" t="str">
            <v>Thyridanthrax fenestratus</v>
          </cell>
          <cell r="E5662" t="str">
            <v>LC</v>
          </cell>
          <cell r="F5662" t="str">
            <v>Drake, 2017</v>
          </cell>
          <cell r="G5662" t="str">
            <v>NBNSYS0000007945</v>
          </cell>
          <cell r="H5662" t="str">
            <v>Thyridanthrax fenestratus</v>
          </cell>
        </row>
        <row r="5663">
          <cell r="A5663" t="str">
            <v>Vanoyia tenuicornis</v>
          </cell>
          <cell r="B5663" t="str">
            <v>Soldier flies and allies</v>
          </cell>
          <cell r="C5663" t="str">
            <v>Diptera</v>
          </cell>
          <cell r="D5663" t="str">
            <v>Vanoyia tenuicornis</v>
          </cell>
          <cell r="E5663" t="str">
            <v>LC</v>
          </cell>
          <cell r="F5663" t="str">
            <v>Drake, 2017</v>
          </cell>
          <cell r="G5663" t="str">
            <v>NBNSYS0000007819</v>
          </cell>
          <cell r="H5663" t="str">
            <v>Vanoyia tenuicornis</v>
          </cell>
        </row>
        <row r="5664">
          <cell r="A5664" t="str">
            <v>Villa cingulata</v>
          </cell>
          <cell r="B5664" t="str">
            <v>Soldier flies and allies</v>
          </cell>
          <cell r="C5664" t="str">
            <v>Diptera</v>
          </cell>
          <cell r="D5664" t="str">
            <v>Villa cingulata</v>
          </cell>
          <cell r="E5664" t="str">
            <v>LC</v>
          </cell>
          <cell r="F5664" t="str">
            <v>Drake, 2017</v>
          </cell>
          <cell r="G5664" t="str">
            <v>NBNSYS0000007946</v>
          </cell>
          <cell r="H5664" t="str">
            <v>Villa cingulata</v>
          </cell>
        </row>
        <row r="5665">
          <cell r="A5665" t="str">
            <v>Villa modesta</v>
          </cell>
          <cell r="B5665" t="str">
            <v>Soldier flies and allies</v>
          </cell>
          <cell r="C5665" t="str">
            <v>Diptera</v>
          </cell>
          <cell r="D5665" t="str">
            <v>Villa modesta</v>
          </cell>
          <cell r="E5665" t="str">
            <v>LC</v>
          </cell>
          <cell r="F5665" t="str">
            <v>Drake, 2017</v>
          </cell>
          <cell r="G5665" t="str">
            <v>NBNSYS0000158982</v>
          </cell>
          <cell r="H5665" t="str">
            <v>Villa modesta</v>
          </cell>
        </row>
        <row r="5666">
          <cell r="A5666" t="str">
            <v>Villa venusta</v>
          </cell>
          <cell r="B5666" t="str">
            <v>Soldier flies and allies</v>
          </cell>
          <cell r="C5666" t="str">
            <v>Diptera</v>
          </cell>
          <cell r="D5666" t="str">
            <v>Villa venusta</v>
          </cell>
          <cell r="E5666" t="str">
            <v>CR</v>
          </cell>
          <cell r="F5666" t="str">
            <v>Drake, 2017</v>
          </cell>
          <cell r="G5666" t="str">
            <v>NBNSYS0100005964</v>
          </cell>
          <cell r="H5666" t="str">
            <v>Villa venusta</v>
          </cell>
        </row>
        <row r="5667">
          <cell r="A5667" t="str">
            <v>Xylomya maculata</v>
          </cell>
          <cell r="B5667" t="str">
            <v>Soldier flies and allies</v>
          </cell>
          <cell r="C5667" t="str">
            <v>Diptera</v>
          </cell>
          <cell r="D5667" t="str">
            <v>Xylomya maculata</v>
          </cell>
          <cell r="E5667" t="str">
            <v>VU</v>
          </cell>
          <cell r="F5667" t="str">
            <v>Drake, 2017</v>
          </cell>
          <cell r="G5667" t="str">
            <v>NBNSYS0100006018</v>
          </cell>
          <cell r="H5667" t="str">
            <v>Xylomya maculata</v>
          </cell>
        </row>
        <row r="5668">
          <cell r="A5668" t="str">
            <v>Xylophagus ater</v>
          </cell>
          <cell r="B5668" t="str">
            <v>Soldier flies and allies</v>
          </cell>
          <cell r="C5668" t="str">
            <v>Diptera</v>
          </cell>
          <cell r="D5668" t="str">
            <v>Xylophagus ater</v>
          </cell>
          <cell r="E5668" t="str">
            <v>LC</v>
          </cell>
          <cell r="F5668" t="str">
            <v>Drake, 2017</v>
          </cell>
          <cell r="G5668" t="str">
            <v>NBNSYS0000007846</v>
          </cell>
          <cell r="H5668" t="str">
            <v>Xylophagus ater</v>
          </cell>
        </row>
        <row r="5669">
          <cell r="A5669" t="str">
            <v>Zabrachia tenella</v>
          </cell>
          <cell r="B5669" t="str">
            <v>Soldier flies and allies</v>
          </cell>
          <cell r="C5669" t="str">
            <v>Diptera</v>
          </cell>
          <cell r="D5669" t="str">
            <v>Zabrachia tenella</v>
          </cell>
          <cell r="E5669" t="str">
            <v>EN</v>
          </cell>
          <cell r="F5669" t="str">
            <v>Drake, 2017</v>
          </cell>
          <cell r="G5669" t="str">
            <v>NBNSYS0000159204</v>
          </cell>
          <cell r="H5669" t="str">
            <v>Zabrachia tenella</v>
          </cell>
        </row>
        <row r="5670">
          <cell r="A5670" t="str">
            <v>Agathomyia antennata</v>
          </cell>
          <cell r="B5670" t="str">
            <v>Spear-winged and Flat-footed flies</v>
          </cell>
          <cell r="C5670" t="str">
            <v>Diptera</v>
          </cell>
          <cell r="D5670" t="str">
            <v>Agathomyia antennata</v>
          </cell>
          <cell r="E5670" t="str">
            <v>LC</v>
          </cell>
          <cell r="F5670" t="str">
            <v>Chandler, 2017</v>
          </cell>
          <cell r="G5670" t="str">
            <v>NBNSYS0000028787</v>
          </cell>
          <cell r="H5670" t="str">
            <v>Agathomyia antennata</v>
          </cell>
        </row>
        <row r="5671">
          <cell r="A5671" t="str">
            <v>Agathomyia boreella</v>
          </cell>
          <cell r="B5671" t="str">
            <v>Spear-winged and Flat-footed flies</v>
          </cell>
          <cell r="C5671" t="str">
            <v>Diptera</v>
          </cell>
          <cell r="D5671" t="str">
            <v>Agathomyia boreella</v>
          </cell>
          <cell r="E5671" t="str">
            <v>LC</v>
          </cell>
          <cell r="F5671" t="str">
            <v>Chandler, 2017</v>
          </cell>
          <cell r="G5671" t="str">
            <v>NBNSYS0000141262</v>
          </cell>
          <cell r="H5671" t="str">
            <v>Agathomyia boreella</v>
          </cell>
        </row>
        <row r="5672">
          <cell r="A5672" t="str">
            <v>Agathomyia collini</v>
          </cell>
          <cell r="B5672" t="str">
            <v>Spear-winged and Flat-footed flies</v>
          </cell>
          <cell r="C5672" t="str">
            <v>Diptera</v>
          </cell>
          <cell r="D5672" t="str">
            <v>Agathomyia collini</v>
          </cell>
          <cell r="E5672" t="str">
            <v>EN</v>
          </cell>
          <cell r="F5672" t="str">
            <v>Chandler, 2017</v>
          </cell>
          <cell r="G5672" t="str">
            <v>NBNSYS0000028790</v>
          </cell>
          <cell r="H5672" t="str">
            <v>Agathomyia collini</v>
          </cell>
        </row>
        <row r="5673">
          <cell r="A5673" t="str">
            <v>Agathomyia falleni</v>
          </cell>
          <cell r="B5673" t="str">
            <v>Spear-winged and Flat-footed flies</v>
          </cell>
          <cell r="C5673" t="str">
            <v>Diptera</v>
          </cell>
          <cell r="D5673" t="str">
            <v>Agathomyia falleni</v>
          </cell>
          <cell r="E5673" t="str">
            <v>LC</v>
          </cell>
          <cell r="F5673" t="str">
            <v>Chandler, 2017</v>
          </cell>
          <cell r="G5673" t="str">
            <v>NBNSYS0000028792</v>
          </cell>
          <cell r="H5673" t="str">
            <v>Agathomyia falleni</v>
          </cell>
        </row>
        <row r="5674">
          <cell r="A5674" t="str">
            <v>Agathomyia lundbecki</v>
          </cell>
          <cell r="B5674" t="str">
            <v>Spear-winged and Flat-footed flies</v>
          </cell>
          <cell r="C5674" t="str">
            <v>Diptera</v>
          </cell>
          <cell r="D5674" t="str">
            <v>Agathomyia lundbecki</v>
          </cell>
          <cell r="E5674" t="str">
            <v>VU</v>
          </cell>
          <cell r="F5674" t="str">
            <v>Chandler, 2017</v>
          </cell>
          <cell r="G5674" t="str">
            <v>NBNSYS0100001384</v>
          </cell>
          <cell r="H5674" t="str">
            <v>Agathomyia lundbecki</v>
          </cell>
        </row>
        <row r="5675">
          <cell r="A5675" t="str">
            <v>Agathomyia unicolor</v>
          </cell>
          <cell r="B5675" t="str">
            <v>Spear-winged and Flat-footed flies</v>
          </cell>
          <cell r="C5675" t="str">
            <v>Diptera</v>
          </cell>
          <cell r="D5675" t="str">
            <v>Agathomyia unicolor</v>
          </cell>
          <cell r="E5675" t="str">
            <v>LC</v>
          </cell>
          <cell r="F5675" t="str">
            <v>Chandler, 2017</v>
          </cell>
          <cell r="G5675" t="str">
            <v>NBNSYS0000028793</v>
          </cell>
          <cell r="H5675" t="str">
            <v>Agathomyia unicolor</v>
          </cell>
        </row>
        <row r="5676">
          <cell r="A5676" t="str">
            <v>Agathomyia viduella</v>
          </cell>
          <cell r="B5676" t="str">
            <v>Spear-winged and Flat-footed flies</v>
          </cell>
          <cell r="C5676" t="str">
            <v>Diptera</v>
          </cell>
          <cell r="D5676" t="str">
            <v>Agathomyia viduella</v>
          </cell>
          <cell r="E5676" t="str">
            <v>LC</v>
          </cell>
          <cell r="F5676" t="str">
            <v>Chandler, 2017</v>
          </cell>
          <cell r="G5676" t="str">
            <v>NBNSYS0000028794</v>
          </cell>
          <cell r="H5676" t="str">
            <v>Agathomyia viduella</v>
          </cell>
        </row>
        <row r="5677">
          <cell r="A5677" t="str">
            <v>Agathomyia woodella</v>
          </cell>
          <cell r="B5677" t="str">
            <v>Spear-winged and Flat-footed flies</v>
          </cell>
          <cell r="C5677" t="str">
            <v>Diptera</v>
          </cell>
          <cell r="D5677" t="str">
            <v>Agathomyia woodella</v>
          </cell>
          <cell r="E5677" t="str">
            <v>LC</v>
          </cell>
          <cell r="F5677" t="str">
            <v>Chandler, 2017</v>
          </cell>
          <cell r="G5677" t="str">
            <v>NBNSYS0100001386</v>
          </cell>
          <cell r="H5677" t="str">
            <v>Agathomyia woodella</v>
          </cell>
        </row>
        <row r="5678">
          <cell r="A5678" t="str">
            <v>Bolopus furcatus</v>
          </cell>
          <cell r="B5678" t="str">
            <v>Spear-winged and Flat-footed flies</v>
          </cell>
          <cell r="C5678" t="str">
            <v>Diptera</v>
          </cell>
          <cell r="D5678" t="str">
            <v>Bolopus furcatus</v>
          </cell>
          <cell r="E5678" t="str">
            <v>LC</v>
          </cell>
          <cell r="F5678" t="str">
            <v>Chandler, 2017</v>
          </cell>
          <cell r="G5678" t="str">
            <v>NBNSYS0100002023</v>
          </cell>
          <cell r="H5678" t="str">
            <v>Bolopus furcatus</v>
          </cell>
        </row>
        <row r="5679">
          <cell r="A5679" t="str">
            <v>Callomyia amoena</v>
          </cell>
          <cell r="B5679" t="str">
            <v>Spear-winged and Flat-footed flies</v>
          </cell>
          <cell r="C5679" t="str">
            <v>Diptera</v>
          </cell>
          <cell r="D5679" t="str">
            <v>Callomyia amoena</v>
          </cell>
          <cell r="E5679" t="str">
            <v>LC</v>
          </cell>
          <cell r="F5679" t="str">
            <v>Chandler, 2017</v>
          </cell>
          <cell r="G5679" t="str">
            <v>NBNSYS0000028783</v>
          </cell>
          <cell r="H5679" t="str">
            <v>Callomyia amoena</v>
          </cell>
        </row>
        <row r="5680">
          <cell r="A5680" t="str">
            <v>Callomyia elegans</v>
          </cell>
          <cell r="B5680" t="str">
            <v>Spear-winged and Flat-footed flies</v>
          </cell>
          <cell r="C5680" t="str">
            <v>Diptera</v>
          </cell>
          <cell r="D5680" t="str">
            <v>Callomyia elegans</v>
          </cell>
          <cell r="E5680" t="str">
            <v>CR</v>
          </cell>
          <cell r="F5680" t="str">
            <v>Chandler, 2017</v>
          </cell>
          <cell r="G5680" t="str">
            <v>NBNSYS0000028785</v>
          </cell>
          <cell r="H5680" t="str">
            <v>Callomyia elegans</v>
          </cell>
        </row>
        <row r="5681">
          <cell r="A5681" t="str">
            <v>Callomyia speciosa</v>
          </cell>
          <cell r="B5681" t="str">
            <v>Spear-winged and Flat-footed flies</v>
          </cell>
          <cell r="C5681" t="str">
            <v>Diptera</v>
          </cell>
          <cell r="D5681" t="str">
            <v>Callomyia speciosa</v>
          </cell>
          <cell r="E5681" t="str">
            <v>LC</v>
          </cell>
          <cell r="F5681" t="str">
            <v>Chandler, 2017</v>
          </cell>
          <cell r="G5681" t="str">
            <v>NBNSYS0000028786</v>
          </cell>
          <cell r="H5681" t="str">
            <v>Callomyia speciosa</v>
          </cell>
        </row>
        <row r="5682">
          <cell r="A5682" t="str">
            <v>Lindneromyia dorsalis</v>
          </cell>
          <cell r="B5682" t="str">
            <v>Spear-winged and Flat-footed flies</v>
          </cell>
          <cell r="C5682" t="str">
            <v>Diptera</v>
          </cell>
          <cell r="D5682" t="str">
            <v>Lindneromyia dorsalis</v>
          </cell>
          <cell r="E5682" t="str">
            <v>LC</v>
          </cell>
          <cell r="F5682" t="str">
            <v>Chandler, 2017</v>
          </cell>
          <cell r="G5682" t="str">
            <v>NBNSYS0100003765</v>
          </cell>
          <cell r="H5682" t="str">
            <v>Lindneromyia dorsalis</v>
          </cell>
        </row>
        <row r="5683">
          <cell r="A5683" t="str">
            <v>Lonchoptera bifurcata</v>
          </cell>
          <cell r="B5683" t="str">
            <v>Spear-winged and Flat-footed flies</v>
          </cell>
          <cell r="C5683" t="str">
            <v>Diptera</v>
          </cell>
          <cell r="D5683" t="str">
            <v>Lonchoptera bifurcata</v>
          </cell>
          <cell r="E5683" t="str">
            <v>LC</v>
          </cell>
          <cell r="F5683" t="str">
            <v>Chandler, 2017</v>
          </cell>
          <cell r="G5683" t="str">
            <v>NBNSYS0100003811</v>
          </cell>
          <cell r="H5683" t="str">
            <v>Lonchoptera bifurcata</v>
          </cell>
        </row>
        <row r="5684">
          <cell r="A5684" t="str">
            <v>Lonchoptera lutea</v>
          </cell>
          <cell r="B5684" t="str">
            <v>Spear-winged and Flat-footed flies</v>
          </cell>
          <cell r="C5684" t="str">
            <v>Diptera</v>
          </cell>
          <cell r="D5684" t="str">
            <v>Lonchoptera lutea</v>
          </cell>
          <cell r="E5684" t="str">
            <v>LC</v>
          </cell>
          <cell r="F5684" t="str">
            <v>Chandler, 2017</v>
          </cell>
          <cell r="G5684" t="str">
            <v>NBNSYS0000028481</v>
          </cell>
          <cell r="H5684" t="str">
            <v>Lonchoptera lutea</v>
          </cell>
        </row>
        <row r="5685">
          <cell r="A5685" t="str">
            <v>Lonchoptera meijerei</v>
          </cell>
          <cell r="B5685" t="str">
            <v>Spear-winged and Flat-footed flies</v>
          </cell>
          <cell r="C5685" t="str">
            <v>Diptera</v>
          </cell>
          <cell r="D5685" t="str">
            <v>Lonchoptera meijerei</v>
          </cell>
          <cell r="E5685" t="str">
            <v>LC</v>
          </cell>
          <cell r="F5685" t="str">
            <v>Chandler, 2017</v>
          </cell>
          <cell r="G5685" t="str">
            <v>NBNSYS0100003812</v>
          </cell>
          <cell r="H5685" t="str">
            <v>Lonchoptera meijerei</v>
          </cell>
        </row>
        <row r="5686">
          <cell r="A5686" t="str">
            <v>Lonchoptera nigrociliata</v>
          </cell>
          <cell r="B5686" t="str">
            <v>Spear-winged and Flat-footed flies</v>
          </cell>
          <cell r="C5686" t="str">
            <v>Diptera</v>
          </cell>
          <cell r="D5686" t="str">
            <v>Lonchoptera nigrociliata</v>
          </cell>
          <cell r="E5686" t="str">
            <v>LC</v>
          </cell>
          <cell r="F5686" t="str">
            <v>Chandler, 2017</v>
          </cell>
          <cell r="G5686" t="str">
            <v>NBNSYS0000028483</v>
          </cell>
          <cell r="H5686" t="str">
            <v>Lonchoptera nigrociliata</v>
          </cell>
        </row>
        <row r="5687">
          <cell r="A5687" t="str">
            <v>Lonchoptera nitidifrons</v>
          </cell>
          <cell r="B5687" t="str">
            <v>Spear-winged and Flat-footed flies</v>
          </cell>
          <cell r="C5687" t="str">
            <v>Diptera</v>
          </cell>
          <cell r="D5687" t="str">
            <v>Lonchoptera nitidifrons</v>
          </cell>
          <cell r="E5687" t="str">
            <v>LC</v>
          </cell>
          <cell r="F5687" t="str">
            <v>Chandler, 2017</v>
          </cell>
          <cell r="G5687" t="str">
            <v>NBNSYS0000028484</v>
          </cell>
          <cell r="H5687" t="str">
            <v>Lonchoptera nitidifrons</v>
          </cell>
        </row>
        <row r="5688">
          <cell r="A5688" t="str">
            <v>Lonchoptera scutellata</v>
          </cell>
          <cell r="B5688" t="str">
            <v>Spear-winged and Flat-footed flies</v>
          </cell>
          <cell r="C5688" t="str">
            <v>Diptera</v>
          </cell>
          <cell r="D5688" t="str">
            <v>Lonchoptera scutellata</v>
          </cell>
          <cell r="E5688" t="str">
            <v>LC</v>
          </cell>
          <cell r="F5688" t="str">
            <v>Chandler, 2017</v>
          </cell>
          <cell r="G5688" t="str">
            <v>NBNSYS0000028485</v>
          </cell>
          <cell r="H5688" t="str">
            <v>Lonchoptera scutellata</v>
          </cell>
        </row>
        <row r="5689">
          <cell r="A5689" t="str">
            <v>Lonchoptera tristis</v>
          </cell>
          <cell r="B5689" t="str">
            <v>Spear-winged and Flat-footed flies</v>
          </cell>
          <cell r="C5689" t="str">
            <v>Diptera</v>
          </cell>
          <cell r="D5689" t="str">
            <v>Lonchoptera tristis</v>
          </cell>
          <cell r="E5689" t="str">
            <v>LC</v>
          </cell>
          <cell r="F5689" t="str">
            <v>Chandler, 2017</v>
          </cell>
          <cell r="G5689" t="str">
            <v>NBNSYS0000028486</v>
          </cell>
          <cell r="H5689" t="str">
            <v>Lonchoptera tristis</v>
          </cell>
        </row>
        <row r="5690">
          <cell r="A5690" t="str">
            <v>Microsania pectipennis</v>
          </cell>
          <cell r="B5690" t="str">
            <v>Spear-winged and Flat-footed flies</v>
          </cell>
          <cell r="C5690" t="str">
            <v>Diptera</v>
          </cell>
          <cell r="D5690" t="str">
            <v>Microsania pectipennis</v>
          </cell>
          <cell r="E5690" t="str">
            <v>LC</v>
          </cell>
          <cell r="F5690" t="str">
            <v>Chandler, 2017</v>
          </cell>
          <cell r="G5690" t="str">
            <v>NBNSYS0100004071</v>
          </cell>
          <cell r="H5690" t="str">
            <v>Microsania pectipennis</v>
          </cell>
        </row>
        <row r="5691">
          <cell r="A5691" t="str">
            <v>Opetia nigra</v>
          </cell>
          <cell r="B5691" t="str">
            <v>Spear-winged and Flat-footed flies</v>
          </cell>
          <cell r="C5691" t="str">
            <v>Diptera</v>
          </cell>
          <cell r="D5691" t="str">
            <v>Opetia nigra</v>
          </cell>
          <cell r="E5691" t="str">
            <v>LC</v>
          </cell>
          <cell r="F5691" t="str">
            <v>Chandler, 2017</v>
          </cell>
          <cell r="G5691" t="str">
            <v>NBNSYS0000028776</v>
          </cell>
          <cell r="H5691" t="str">
            <v>Opetia nigra</v>
          </cell>
        </row>
        <row r="5692">
          <cell r="A5692" t="str">
            <v>Paraplatypeza atra</v>
          </cell>
          <cell r="B5692" t="str">
            <v>Spear-winged and Flat-footed flies</v>
          </cell>
          <cell r="C5692" t="str">
            <v>Diptera</v>
          </cell>
          <cell r="D5692" t="str">
            <v>Paraplatypeza atra</v>
          </cell>
          <cell r="E5692" t="str">
            <v>LC</v>
          </cell>
          <cell r="F5692" t="str">
            <v>Chandler, 2017</v>
          </cell>
          <cell r="G5692" t="str">
            <v>NBNSYS0000028802</v>
          </cell>
          <cell r="H5692" t="str">
            <v>Paraplatypeza atra</v>
          </cell>
        </row>
        <row r="5693">
          <cell r="A5693" t="str">
            <v>Platypeza aterrima</v>
          </cell>
          <cell r="B5693" t="str">
            <v>Spear-winged and Flat-footed flies</v>
          </cell>
          <cell r="C5693" t="str">
            <v>Diptera</v>
          </cell>
          <cell r="D5693" t="str">
            <v>Platypeza aterrima</v>
          </cell>
          <cell r="E5693" t="str">
            <v>LC</v>
          </cell>
          <cell r="F5693" t="str">
            <v>Chandler, 2017</v>
          </cell>
          <cell r="G5693" t="str">
            <v>NBNSYS0000028797</v>
          </cell>
          <cell r="H5693" t="str">
            <v>Platypeza aterrima</v>
          </cell>
        </row>
        <row r="5694">
          <cell r="A5694" t="str">
            <v>Platypeza consobrina</v>
          </cell>
          <cell r="B5694" t="str">
            <v>Spear-winged and Flat-footed flies</v>
          </cell>
          <cell r="C5694" t="str">
            <v>Diptera</v>
          </cell>
          <cell r="D5694" t="str">
            <v>Platypeza consobrina</v>
          </cell>
          <cell r="E5694" t="str">
            <v>LC</v>
          </cell>
          <cell r="F5694" t="str">
            <v>Chandler, 2017</v>
          </cell>
          <cell r="G5694" t="str">
            <v>NBNSYS0000028798</v>
          </cell>
          <cell r="H5694" t="str">
            <v>Platypeza consobrina</v>
          </cell>
        </row>
        <row r="5695">
          <cell r="A5695" t="str">
            <v>Platypeza fasciata</v>
          </cell>
          <cell r="B5695" t="str">
            <v>Spear-winged and Flat-footed flies</v>
          </cell>
          <cell r="C5695" t="str">
            <v>Diptera</v>
          </cell>
          <cell r="D5695" t="str">
            <v>Platypeza fasciata</v>
          </cell>
          <cell r="E5695" t="str">
            <v>LC</v>
          </cell>
          <cell r="F5695" t="str">
            <v>Chandler, 2017</v>
          </cell>
          <cell r="G5695" t="str">
            <v>NBNSYS0000028799</v>
          </cell>
          <cell r="H5695" t="str">
            <v>Platypeza fasciata</v>
          </cell>
        </row>
        <row r="5696">
          <cell r="A5696" t="str">
            <v>Polyporivora ornata</v>
          </cell>
          <cell r="B5696" t="str">
            <v>Spear-winged and Flat-footed flies</v>
          </cell>
          <cell r="C5696" t="str">
            <v>Diptera</v>
          </cell>
          <cell r="D5696" t="str">
            <v>Polyporivora ornata</v>
          </cell>
          <cell r="E5696" t="str">
            <v>LC</v>
          </cell>
          <cell r="F5696" t="str">
            <v>Chandler, 2017</v>
          </cell>
          <cell r="G5696" t="str">
            <v>NBNSYS0100004808</v>
          </cell>
          <cell r="H5696" t="str">
            <v>Polyporivora ornata</v>
          </cell>
        </row>
        <row r="5697">
          <cell r="A5697" t="str">
            <v>Polyporivora picta</v>
          </cell>
          <cell r="B5697" t="str">
            <v>Spear-winged and Flat-footed flies</v>
          </cell>
          <cell r="C5697" t="str">
            <v>Diptera</v>
          </cell>
          <cell r="D5697" t="str">
            <v>Polyporivora picta</v>
          </cell>
          <cell r="E5697" t="str">
            <v>LC</v>
          </cell>
          <cell r="F5697" t="str">
            <v>Chandler, 2017</v>
          </cell>
          <cell r="G5697" t="str">
            <v>NBNSYS0000028806</v>
          </cell>
          <cell r="H5697" t="str">
            <v>Polyporivora picta</v>
          </cell>
        </row>
        <row r="5698">
          <cell r="A5698" t="str">
            <v>Protoclythia modesta</v>
          </cell>
          <cell r="B5698" t="str">
            <v>Spear-winged and Flat-footed flies</v>
          </cell>
          <cell r="C5698" t="str">
            <v>Diptera</v>
          </cell>
          <cell r="D5698" t="str">
            <v>Protoclythia modesta</v>
          </cell>
          <cell r="E5698" t="str">
            <v>LC</v>
          </cell>
          <cell r="F5698" t="str">
            <v>Chandler, 2017</v>
          </cell>
          <cell r="G5698" t="str">
            <v>NBNSYS0000028795</v>
          </cell>
          <cell r="H5698" t="str">
            <v>Protoclythia modesta</v>
          </cell>
        </row>
        <row r="5699">
          <cell r="A5699" t="str">
            <v>Protoclythia rufa</v>
          </cell>
          <cell r="B5699" t="str">
            <v>Spear-winged and Flat-footed flies</v>
          </cell>
          <cell r="C5699" t="str">
            <v>Diptera</v>
          </cell>
          <cell r="D5699" t="str">
            <v>Protoclythia rufa</v>
          </cell>
          <cell r="E5699" t="str">
            <v>LC</v>
          </cell>
          <cell r="F5699" t="str">
            <v>Chandler, 2017</v>
          </cell>
          <cell r="G5699" t="str">
            <v>NBNSYS0000028796</v>
          </cell>
          <cell r="H5699" t="str">
            <v>Protoclythia rufa</v>
          </cell>
        </row>
        <row r="5700">
          <cell r="A5700" t="str">
            <v>Seri obscuripennis</v>
          </cell>
          <cell r="B5700" t="str">
            <v>Spear-winged and Flat-footed flies</v>
          </cell>
          <cell r="C5700" t="str">
            <v>Diptera</v>
          </cell>
          <cell r="D5700" t="str">
            <v>Seri obscuripennis</v>
          </cell>
          <cell r="E5700" t="str">
            <v>LC</v>
          </cell>
          <cell r="F5700" t="str">
            <v>Chandler, 2017</v>
          </cell>
          <cell r="G5700" t="str">
            <v>NBNSYS0000028803</v>
          </cell>
          <cell r="H5700" t="str">
            <v>Seri obscuripennis</v>
          </cell>
        </row>
        <row r="5701">
          <cell r="A5701" t="str">
            <v>Acartauchenius scurrilis</v>
          </cell>
          <cell r="B5701" t="str">
            <v>Spiders</v>
          </cell>
          <cell r="C5701" t="str">
            <v>Araneae</v>
          </cell>
          <cell r="D5701" t="str">
            <v>Acartauchenius scurrilis</v>
          </cell>
          <cell r="E5701" t="str">
            <v>NT</v>
          </cell>
          <cell r="F5701" t="str">
            <v>Harvey et al., 2017</v>
          </cell>
          <cell r="G5701" t="str">
            <v>NBNSYS0000009048</v>
          </cell>
          <cell r="H5701" t="str">
            <v>Acartauchenius scurrilis</v>
          </cell>
        </row>
        <row r="5702">
          <cell r="A5702" t="str">
            <v>Achaearanea lunata</v>
          </cell>
          <cell r="B5702" t="str">
            <v>Spiders</v>
          </cell>
          <cell r="C5702" t="str">
            <v>Araneae</v>
          </cell>
          <cell r="D5702" t="str">
            <v>Achaearanea lunata</v>
          </cell>
          <cell r="E5702" t="str">
            <v>LC</v>
          </cell>
          <cell r="F5702" t="str">
            <v>Harvey et al., 2017</v>
          </cell>
          <cell r="G5702" t="str">
            <v>NHMSYS0020785983</v>
          </cell>
          <cell r="H5702" t="str">
            <v>Achaearanea lunata</v>
          </cell>
        </row>
        <row r="5703">
          <cell r="A5703" t="str">
            <v>Achaearanea riparia</v>
          </cell>
          <cell r="B5703" t="str">
            <v>Spiders</v>
          </cell>
          <cell r="C5703" t="str">
            <v>Araneae</v>
          </cell>
          <cell r="D5703" t="str">
            <v>Achaearanea riparia</v>
          </cell>
          <cell r="E5703" t="str">
            <v>LC</v>
          </cell>
          <cell r="F5703" t="str">
            <v>Harvey et al., 2017</v>
          </cell>
          <cell r="G5703" t="str">
            <v>NHMSYS0020785951</v>
          </cell>
          <cell r="H5703" t="str">
            <v>Achaearanea riparia</v>
          </cell>
        </row>
        <row r="5704">
          <cell r="A5704" t="str">
            <v>Achaearanea simulans</v>
          </cell>
          <cell r="B5704" t="str">
            <v>Spiders</v>
          </cell>
          <cell r="C5704" t="str">
            <v>Araneae</v>
          </cell>
          <cell r="D5704" t="str">
            <v>Achaearanea simulans</v>
          </cell>
          <cell r="E5704" t="str">
            <v>LC</v>
          </cell>
          <cell r="F5704" t="str">
            <v>Harvey et al., 2017</v>
          </cell>
          <cell r="G5704" t="str">
            <v>NHMSYS0020785984</v>
          </cell>
          <cell r="H5704" t="str">
            <v>Achaearanea simulans</v>
          </cell>
        </row>
        <row r="5705">
          <cell r="A5705" t="str">
            <v>Achaearanea tepidariorum</v>
          </cell>
          <cell r="B5705" t="str">
            <v>Spiders</v>
          </cell>
          <cell r="C5705" t="str">
            <v>Araneae</v>
          </cell>
          <cell r="D5705" t="str">
            <v>Achaearanea tepidariorum</v>
          </cell>
          <cell r="E5705" t="str">
            <v>LC</v>
          </cell>
          <cell r="F5705" t="str">
            <v>Harvey et al., 2017</v>
          </cell>
          <cell r="G5705" t="str">
            <v>NHMSYS0020785982</v>
          </cell>
          <cell r="H5705" t="str">
            <v>Achaearanea tepidariorum</v>
          </cell>
        </row>
        <row r="5706">
          <cell r="A5706" t="str">
            <v>Aelurillus v-insignitus</v>
          </cell>
          <cell r="B5706" t="str">
            <v>Spiders</v>
          </cell>
          <cell r="C5706" t="str">
            <v>Araneae</v>
          </cell>
          <cell r="D5706" t="str">
            <v>Aelurillus v-insignitus</v>
          </cell>
          <cell r="E5706" t="str">
            <v>LC</v>
          </cell>
          <cell r="F5706" t="str">
            <v>Harvey et al., 2017</v>
          </cell>
          <cell r="G5706" t="str">
            <v>NBNSYS0100001425</v>
          </cell>
          <cell r="H5706" t="str">
            <v>Aelurillus v-insignitus</v>
          </cell>
        </row>
        <row r="5707">
          <cell r="A5707" t="str">
            <v>Agalenatea redii</v>
          </cell>
          <cell r="B5707" t="str">
            <v>Spiders</v>
          </cell>
          <cell r="C5707" t="str">
            <v>Araneae</v>
          </cell>
          <cell r="D5707" t="str">
            <v>Agalenatea redii</v>
          </cell>
          <cell r="E5707" t="str">
            <v>LC</v>
          </cell>
          <cell r="F5707" t="str">
            <v>Harvey et al., 2017</v>
          </cell>
          <cell r="G5707" t="str">
            <v>NBNSYS0100001382</v>
          </cell>
          <cell r="H5707" t="str">
            <v>Agalenatea redii</v>
          </cell>
        </row>
        <row r="5708">
          <cell r="A5708" t="str">
            <v>Agelena labyrinthica</v>
          </cell>
          <cell r="B5708" t="str">
            <v>Spiders</v>
          </cell>
          <cell r="C5708" t="str">
            <v>Araneae</v>
          </cell>
          <cell r="D5708" t="str">
            <v>Agelena labyrinthica</v>
          </cell>
          <cell r="E5708" t="str">
            <v>LC</v>
          </cell>
          <cell r="F5708" t="str">
            <v>Harvey et al., 2017</v>
          </cell>
          <cell r="G5708" t="str">
            <v>NBNSYS0000008834</v>
          </cell>
          <cell r="H5708" t="str">
            <v>Agelena labyrinthica</v>
          </cell>
        </row>
        <row r="5709">
          <cell r="A5709" t="str">
            <v>Agnyphantes expunctus</v>
          </cell>
          <cell r="B5709" t="str">
            <v>Spiders</v>
          </cell>
          <cell r="C5709" t="str">
            <v>Araneae</v>
          </cell>
          <cell r="D5709" t="str">
            <v>Agnyphantes expunctus</v>
          </cell>
          <cell r="E5709" t="str">
            <v>LC</v>
          </cell>
          <cell r="F5709" t="str">
            <v>Harvey et al., 2017</v>
          </cell>
          <cell r="G5709" t="str">
            <v>NHMSYS0020785947</v>
          </cell>
          <cell r="H5709" t="str">
            <v>Agnyphantes expunctus</v>
          </cell>
        </row>
        <row r="5710">
          <cell r="A5710" t="str">
            <v>Agraecina striata</v>
          </cell>
          <cell r="B5710" t="str">
            <v>Spiders</v>
          </cell>
          <cell r="C5710" t="str">
            <v>Araneae</v>
          </cell>
          <cell r="D5710" t="str">
            <v>Agraecina striata</v>
          </cell>
          <cell r="E5710" t="str">
            <v>LC</v>
          </cell>
          <cell r="F5710" t="str">
            <v>Harvey et al., 2017</v>
          </cell>
          <cell r="G5710" t="str">
            <v>NHMSYS0020785965</v>
          </cell>
          <cell r="H5710" t="str">
            <v>Agraecina striata</v>
          </cell>
        </row>
        <row r="5711">
          <cell r="A5711" t="str">
            <v>Agroeca brunnea</v>
          </cell>
          <cell r="B5711" t="str">
            <v>Spiders</v>
          </cell>
          <cell r="C5711" t="str">
            <v>Araneae</v>
          </cell>
          <cell r="D5711" t="str">
            <v>Agroeca brunnea</v>
          </cell>
          <cell r="E5711" t="str">
            <v>LC</v>
          </cell>
          <cell r="F5711" t="str">
            <v>Harvey et al., 2017</v>
          </cell>
          <cell r="G5711" t="str">
            <v>NBNSYS0000008699</v>
          </cell>
          <cell r="H5711" t="str">
            <v>Agroeca brunnea</v>
          </cell>
        </row>
        <row r="5712">
          <cell r="A5712" t="str">
            <v>Agroeca cuprea</v>
          </cell>
          <cell r="B5712" t="str">
            <v>Spiders</v>
          </cell>
          <cell r="C5712" t="str">
            <v>Araneae</v>
          </cell>
          <cell r="D5712" t="str">
            <v>Agroeca cuprea</v>
          </cell>
          <cell r="E5712" t="str">
            <v>NT</v>
          </cell>
          <cell r="F5712" t="str">
            <v>Harvey et al., 2017</v>
          </cell>
          <cell r="G5712" t="str">
            <v>NBNSYS0000008703</v>
          </cell>
          <cell r="H5712" t="str">
            <v>Agroeca cuprea</v>
          </cell>
        </row>
        <row r="5713">
          <cell r="A5713" t="str">
            <v>Agroeca inopina</v>
          </cell>
          <cell r="B5713" t="str">
            <v>Spiders</v>
          </cell>
          <cell r="C5713" t="str">
            <v>Araneae</v>
          </cell>
          <cell r="D5713" t="str">
            <v>Agroeca inopina</v>
          </cell>
          <cell r="E5713" t="str">
            <v>LC</v>
          </cell>
          <cell r="F5713" t="str">
            <v>Harvey et al., 2017</v>
          </cell>
          <cell r="G5713" t="str">
            <v>NBNSYS0000008701</v>
          </cell>
          <cell r="H5713" t="str">
            <v>Agroeca inopina</v>
          </cell>
        </row>
        <row r="5714">
          <cell r="A5714" t="str">
            <v>Agroeca lusatica</v>
          </cell>
          <cell r="B5714" t="str">
            <v>Spiders</v>
          </cell>
          <cell r="C5714" t="str">
            <v>Araneae</v>
          </cell>
          <cell r="D5714" t="str">
            <v>Agroeca lusatica</v>
          </cell>
          <cell r="E5714" t="str">
            <v>EN</v>
          </cell>
          <cell r="F5714" t="str">
            <v>Harvey et al., 2017</v>
          </cell>
          <cell r="G5714" t="str">
            <v>NBNSYS0000008702</v>
          </cell>
          <cell r="H5714" t="str">
            <v>Agroeca lusatica</v>
          </cell>
        </row>
        <row r="5715">
          <cell r="A5715" t="str">
            <v>Agroeca proxima</v>
          </cell>
          <cell r="B5715" t="str">
            <v>Spiders</v>
          </cell>
          <cell r="C5715" t="str">
            <v>Araneae</v>
          </cell>
          <cell r="D5715" t="str">
            <v>Agroeca proxima</v>
          </cell>
          <cell r="E5715" t="str">
            <v>LC</v>
          </cell>
          <cell r="F5715" t="str">
            <v>Harvey et al., 2017</v>
          </cell>
          <cell r="G5715" t="str">
            <v>NBNSYS0000008700</v>
          </cell>
          <cell r="H5715" t="str">
            <v>Agroeca proxima</v>
          </cell>
        </row>
        <row r="5716">
          <cell r="A5716" t="str">
            <v>Agyneta cauta</v>
          </cell>
          <cell r="B5716" t="str">
            <v>Spiders</v>
          </cell>
          <cell r="C5716" t="str">
            <v>Araneae</v>
          </cell>
          <cell r="D5716" t="str">
            <v>Agyneta cauta</v>
          </cell>
          <cell r="E5716" t="str">
            <v>LC</v>
          </cell>
          <cell r="F5716" t="str">
            <v>Harvey et al., 2017</v>
          </cell>
          <cell r="G5716" t="str">
            <v>NBNSYS0000009151</v>
          </cell>
          <cell r="H5716" t="str">
            <v>Agyneta cauta</v>
          </cell>
        </row>
        <row r="5717">
          <cell r="A5717" t="str">
            <v>Agyneta conigera</v>
          </cell>
          <cell r="B5717" t="str">
            <v>Spiders</v>
          </cell>
          <cell r="C5717" t="str">
            <v>Araneae</v>
          </cell>
          <cell r="D5717" t="str">
            <v>Agyneta conigera</v>
          </cell>
          <cell r="E5717" t="str">
            <v>LC</v>
          </cell>
          <cell r="F5717" t="str">
            <v>Harvey et al., 2017</v>
          </cell>
          <cell r="G5717" t="str">
            <v>NBNSYS0000009149</v>
          </cell>
          <cell r="H5717" t="str">
            <v>Agyneta conigera</v>
          </cell>
        </row>
        <row r="5718">
          <cell r="A5718" t="str">
            <v>Agyneta decora</v>
          </cell>
          <cell r="B5718" t="str">
            <v>Spiders</v>
          </cell>
          <cell r="C5718" t="str">
            <v>Araneae</v>
          </cell>
          <cell r="D5718" t="str">
            <v>Agyneta decora</v>
          </cell>
          <cell r="E5718" t="str">
            <v>LC</v>
          </cell>
          <cell r="F5718" t="str">
            <v>Harvey et al., 2017</v>
          </cell>
          <cell r="G5718" t="str">
            <v>NBNSYS0000009150</v>
          </cell>
          <cell r="H5718" t="str">
            <v>Agyneta decora</v>
          </cell>
        </row>
        <row r="5719">
          <cell r="A5719" t="str">
            <v>Agyneta olivacea</v>
          </cell>
          <cell r="B5719" t="str">
            <v>Spiders</v>
          </cell>
          <cell r="C5719" t="str">
            <v>Araneae</v>
          </cell>
          <cell r="D5719" t="str">
            <v>Agyneta olivacea</v>
          </cell>
          <cell r="E5719" t="str">
            <v>LC</v>
          </cell>
          <cell r="F5719" t="str">
            <v>Harvey et al., 2017</v>
          </cell>
          <cell r="G5719" t="str">
            <v>NBNSYS0000009152</v>
          </cell>
          <cell r="H5719" t="str">
            <v>Agyneta olivacea</v>
          </cell>
        </row>
        <row r="5720">
          <cell r="A5720" t="str">
            <v>Agyneta ramosa</v>
          </cell>
          <cell r="B5720" t="str">
            <v>Spiders</v>
          </cell>
          <cell r="C5720" t="str">
            <v>Araneae</v>
          </cell>
          <cell r="D5720" t="str">
            <v>Agyneta ramosa</v>
          </cell>
          <cell r="E5720" t="str">
            <v>LC</v>
          </cell>
          <cell r="F5720" t="str">
            <v>Harvey et al., 2017</v>
          </cell>
          <cell r="G5720" t="str">
            <v>NBNSYS0000009153</v>
          </cell>
          <cell r="H5720" t="str">
            <v>Agyneta ramosa</v>
          </cell>
        </row>
        <row r="5721">
          <cell r="A5721" t="str">
            <v>Agyneta subtilis</v>
          </cell>
          <cell r="B5721" t="str">
            <v>Spiders</v>
          </cell>
          <cell r="C5721" t="str">
            <v>Araneae</v>
          </cell>
          <cell r="D5721" t="str">
            <v>Agyneta subtilis</v>
          </cell>
          <cell r="E5721" t="str">
            <v>LC</v>
          </cell>
          <cell r="F5721" t="str">
            <v>Harvey et al., 2017</v>
          </cell>
          <cell r="G5721" t="str">
            <v>NBNSYS0000009148</v>
          </cell>
          <cell r="H5721" t="str">
            <v>Agyneta subtilis</v>
          </cell>
        </row>
        <row r="5722">
          <cell r="A5722" t="str">
            <v>Allomengea scopigera</v>
          </cell>
          <cell r="B5722" t="str">
            <v>Spiders</v>
          </cell>
          <cell r="C5722" t="str">
            <v>Araneae</v>
          </cell>
          <cell r="D5722" t="str">
            <v>Allomengea scopigera</v>
          </cell>
          <cell r="E5722" t="str">
            <v>LC</v>
          </cell>
          <cell r="F5722" t="str">
            <v>Harvey et al., 2017</v>
          </cell>
          <cell r="G5722" t="str">
            <v>NBNSYS0000009240</v>
          </cell>
          <cell r="H5722" t="str">
            <v>Allomengea scopigera</v>
          </cell>
        </row>
        <row r="5723">
          <cell r="A5723" t="str">
            <v>Allomengea vidua</v>
          </cell>
          <cell r="B5723" t="str">
            <v>Spiders</v>
          </cell>
          <cell r="C5723" t="str">
            <v>Araneae</v>
          </cell>
          <cell r="D5723" t="str">
            <v>Allomengea vidua</v>
          </cell>
          <cell r="E5723" t="str">
            <v>LC</v>
          </cell>
          <cell r="F5723" t="str">
            <v>Harvey et al., 2017</v>
          </cell>
          <cell r="G5723" t="str">
            <v>NBNSYS0000009241</v>
          </cell>
          <cell r="H5723" t="str">
            <v>Allomengea vidua</v>
          </cell>
        </row>
        <row r="5724">
          <cell r="A5724" t="str">
            <v>Alopecosa barbipes</v>
          </cell>
          <cell r="B5724" t="str">
            <v>Spiders</v>
          </cell>
          <cell r="C5724" t="str">
            <v>Araneae</v>
          </cell>
          <cell r="D5724" t="str">
            <v>Alopecosa barbipes</v>
          </cell>
          <cell r="E5724" t="str">
            <v>LC</v>
          </cell>
          <cell r="F5724" t="str">
            <v>Harvey et al., 2017</v>
          </cell>
          <cell r="G5724" t="str">
            <v>NHMSYS0021453377</v>
          </cell>
          <cell r="H5724" t="str">
            <v>Alopecosa barbipes</v>
          </cell>
        </row>
        <row r="5725">
          <cell r="A5725" t="str">
            <v>Alopecosa cuneata</v>
          </cell>
          <cell r="B5725" t="str">
            <v>Spiders</v>
          </cell>
          <cell r="C5725" t="str">
            <v>Araneae</v>
          </cell>
          <cell r="D5725" t="str">
            <v>Alopecosa cuneata</v>
          </cell>
          <cell r="E5725" t="str">
            <v>LC</v>
          </cell>
          <cell r="F5725" t="str">
            <v>Harvey et al., 2017</v>
          </cell>
          <cell r="G5725" t="str">
            <v>NBNSYS0000008811</v>
          </cell>
          <cell r="H5725" t="str">
            <v>Alopecosa cuneata</v>
          </cell>
        </row>
        <row r="5726">
          <cell r="A5726" t="str">
            <v>Alopecosa fabrilis</v>
          </cell>
          <cell r="B5726" t="str">
            <v>Spiders</v>
          </cell>
          <cell r="C5726" t="str">
            <v>Araneae</v>
          </cell>
          <cell r="D5726" t="str">
            <v>Alopecosa fabrilis</v>
          </cell>
          <cell r="E5726" t="str">
            <v>CR</v>
          </cell>
          <cell r="F5726" t="str">
            <v>Harvey et al., 2017</v>
          </cell>
          <cell r="G5726" t="str">
            <v>NBNSYS0000008813</v>
          </cell>
          <cell r="H5726" t="str">
            <v>Alopecosa fabrilis</v>
          </cell>
        </row>
        <row r="5727">
          <cell r="A5727" t="str">
            <v>Alopecosa pulverulenta</v>
          </cell>
          <cell r="B5727" t="str">
            <v>Spiders</v>
          </cell>
          <cell r="C5727" t="str">
            <v>Araneae</v>
          </cell>
          <cell r="D5727" t="str">
            <v>Alopecosa pulverulenta</v>
          </cell>
          <cell r="E5727" t="str">
            <v>LC</v>
          </cell>
          <cell r="F5727" t="str">
            <v>Harvey et al., 2017</v>
          </cell>
          <cell r="G5727" t="str">
            <v>NBNSYS0000008810</v>
          </cell>
          <cell r="H5727" t="str">
            <v>Alopecosa pulverulenta</v>
          </cell>
        </row>
        <row r="5728">
          <cell r="A5728" t="str">
            <v>Altella lucida</v>
          </cell>
          <cell r="B5728" t="str">
            <v>Spiders</v>
          </cell>
          <cell r="C5728" t="str">
            <v>Araneae</v>
          </cell>
          <cell r="D5728" t="str">
            <v>Altella lucida</v>
          </cell>
          <cell r="E5728" t="str">
            <v>CR(PE)</v>
          </cell>
          <cell r="F5728" t="str">
            <v>Harvey et al., 2017</v>
          </cell>
          <cell r="G5728" t="str">
            <v>NBNSYS0000008626</v>
          </cell>
          <cell r="H5728" t="str">
            <v>Altella lucida</v>
          </cell>
        </row>
        <row r="5729">
          <cell r="A5729" t="str">
            <v>Amaurobius fenestralis</v>
          </cell>
          <cell r="B5729" t="str">
            <v>Spiders</v>
          </cell>
          <cell r="C5729" t="str">
            <v>Araneae</v>
          </cell>
          <cell r="D5729" t="str">
            <v>Amaurobius fenestralis</v>
          </cell>
          <cell r="E5729" t="str">
            <v>LC</v>
          </cell>
          <cell r="F5729" t="str">
            <v>Harvey et al., 2017</v>
          </cell>
          <cell r="G5729" t="str">
            <v>NBNSYS0000008610</v>
          </cell>
          <cell r="H5729" t="str">
            <v>Amaurobius fenestralis</v>
          </cell>
        </row>
        <row r="5730">
          <cell r="A5730" t="str">
            <v>Amaurobius ferox</v>
          </cell>
          <cell r="B5730" t="str">
            <v>Spiders</v>
          </cell>
          <cell r="C5730" t="str">
            <v>Araneae</v>
          </cell>
          <cell r="D5730" t="str">
            <v>Amaurobius ferox</v>
          </cell>
          <cell r="E5730" t="str">
            <v>LC</v>
          </cell>
          <cell r="F5730" t="str">
            <v>Harvey et al., 2017</v>
          </cell>
          <cell r="G5730" t="str">
            <v>NBNSYS0000008612</v>
          </cell>
          <cell r="H5730" t="str">
            <v>Amaurobius ferox</v>
          </cell>
        </row>
        <row r="5731">
          <cell r="A5731" t="str">
            <v>Amaurobius similis</v>
          </cell>
          <cell r="B5731" t="str">
            <v>Spiders</v>
          </cell>
          <cell r="C5731" t="str">
            <v>Araneae</v>
          </cell>
          <cell r="D5731" t="str">
            <v>Amaurobius similis</v>
          </cell>
          <cell r="E5731" t="str">
            <v>LC</v>
          </cell>
          <cell r="F5731" t="str">
            <v>Harvey et al., 2017</v>
          </cell>
          <cell r="G5731" t="str">
            <v>NBNSYS0000008611</v>
          </cell>
          <cell r="H5731" t="str">
            <v>Amaurobius similis</v>
          </cell>
        </row>
        <row r="5732">
          <cell r="A5732" t="str">
            <v>Anelosimus vittatus</v>
          </cell>
          <cell r="B5732" t="str">
            <v>Spiders</v>
          </cell>
          <cell r="C5732" t="str">
            <v>Araneae</v>
          </cell>
          <cell r="D5732" t="str">
            <v>Anelosimus vittatus</v>
          </cell>
          <cell r="E5732" t="str">
            <v>LC</v>
          </cell>
          <cell r="F5732" t="str">
            <v>Harvey et al., 2017</v>
          </cell>
          <cell r="G5732" t="str">
            <v>NBNSYS0000008879</v>
          </cell>
          <cell r="H5732" t="str">
            <v>Anelosimus vittatus</v>
          </cell>
        </row>
        <row r="5733">
          <cell r="A5733" t="str">
            <v>Antistea elegans</v>
          </cell>
          <cell r="B5733" t="str">
            <v>Spiders</v>
          </cell>
          <cell r="C5733" t="str">
            <v>Araneae</v>
          </cell>
          <cell r="D5733" t="str">
            <v>Antistea elegans</v>
          </cell>
          <cell r="E5733" t="str">
            <v>LC</v>
          </cell>
          <cell r="F5733" t="str">
            <v>Harvey et al., 2017</v>
          </cell>
          <cell r="G5733" t="str">
            <v>NBNSYS0000008851</v>
          </cell>
          <cell r="H5733" t="str">
            <v>Antistea elegans</v>
          </cell>
        </row>
        <row r="5734">
          <cell r="A5734" t="str">
            <v>Anyphaena accentuata</v>
          </cell>
          <cell r="B5734" t="str">
            <v>Spiders</v>
          </cell>
          <cell r="C5734" t="str">
            <v>Araneae</v>
          </cell>
          <cell r="D5734" t="str">
            <v>Anyphaena accentuata</v>
          </cell>
          <cell r="E5734" t="str">
            <v>LC</v>
          </cell>
          <cell r="F5734" t="str">
            <v>Harvey et al., 2017</v>
          </cell>
          <cell r="G5734" t="str">
            <v>NBNSYS0000008714</v>
          </cell>
          <cell r="H5734" t="str">
            <v>Anyphaena accentuata</v>
          </cell>
        </row>
        <row r="5735">
          <cell r="A5735" t="str">
            <v>Aphileta misera</v>
          </cell>
          <cell r="B5735" t="str">
            <v>Spiders</v>
          </cell>
          <cell r="C5735" t="str">
            <v>Araneae</v>
          </cell>
          <cell r="D5735" t="str">
            <v>Aphileta misera</v>
          </cell>
          <cell r="E5735" t="str">
            <v>LC</v>
          </cell>
          <cell r="F5735" t="str">
            <v>Harvey et al., 2017</v>
          </cell>
          <cell r="G5735" t="str">
            <v>NBNSYS0000009137</v>
          </cell>
          <cell r="H5735" t="str">
            <v>Aphileta misera</v>
          </cell>
        </row>
        <row r="5736">
          <cell r="A5736" t="str">
            <v>Apostenus fuscus</v>
          </cell>
          <cell r="B5736" t="str">
            <v>Spiders</v>
          </cell>
          <cell r="C5736" t="str">
            <v>Araneae</v>
          </cell>
          <cell r="D5736" t="str">
            <v>Apostenus fuscus</v>
          </cell>
          <cell r="E5736" t="str">
            <v>VU</v>
          </cell>
          <cell r="F5736" t="str">
            <v>Harvey et al., 2017</v>
          </cell>
          <cell r="G5736" t="str">
            <v>NBNSYS0000008705</v>
          </cell>
          <cell r="H5736" t="str">
            <v>Apostenus fuscus</v>
          </cell>
        </row>
        <row r="5737">
          <cell r="A5737" t="str">
            <v>Araeoncus crassiceps</v>
          </cell>
          <cell r="B5737" t="str">
            <v>Spiders</v>
          </cell>
          <cell r="C5737" t="str">
            <v>Araneae</v>
          </cell>
          <cell r="D5737" t="str">
            <v>Araeoncus crassiceps</v>
          </cell>
          <cell r="E5737" t="str">
            <v>LC</v>
          </cell>
          <cell r="F5737" t="str">
            <v>Harvey et al., 2017</v>
          </cell>
          <cell r="G5737" t="str">
            <v>NBNSYS0000009094</v>
          </cell>
          <cell r="H5737" t="str">
            <v>Araeoncus crassiceps</v>
          </cell>
        </row>
        <row r="5738">
          <cell r="A5738" t="str">
            <v>Araeoncus humilis</v>
          </cell>
          <cell r="B5738" t="str">
            <v>Spiders</v>
          </cell>
          <cell r="C5738" t="str">
            <v>Araneae</v>
          </cell>
          <cell r="D5738" t="str">
            <v>Araeoncus humilis</v>
          </cell>
          <cell r="E5738" t="str">
            <v>LC</v>
          </cell>
          <cell r="F5738" t="str">
            <v>Harvey et al., 2017</v>
          </cell>
          <cell r="G5738" t="str">
            <v>NBNSYS0000009093</v>
          </cell>
          <cell r="H5738" t="str">
            <v>Araeoncus humilis</v>
          </cell>
        </row>
        <row r="5739">
          <cell r="A5739" t="str">
            <v>Araneus alsine</v>
          </cell>
          <cell r="B5739" t="str">
            <v>Spiders</v>
          </cell>
          <cell r="C5739" t="str">
            <v>Araneae</v>
          </cell>
          <cell r="D5739" t="str">
            <v>Araneus alsine</v>
          </cell>
          <cell r="E5739" t="str">
            <v>LC</v>
          </cell>
          <cell r="F5739" t="str">
            <v>Harvey et al., 2017</v>
          </cell>
          <cell r="G5739" t="str">
            <v>NBNSYS0000008940</v>
          </cell>
          <cell r="H5739" t="str">
            <v>Araneus alsine</v>
          </cell>
        </row>
        <row r="5740">
          <cell r="A5740" t="str">
            <v>Araneus angulatus</v>
          </cell>
          <cell r="B5740" t="str">
            <v>Spiders</v>
          </cell>
          <cell r="C5740" t="str">
            <v>Araneae</v>
          </cell>
          <cell r="D5740" t="str">
            <v>Araneus angulatus</v>
          </cell>
          <cell r="E5740" t="str">
            <v>LC</v>
          </cell>
          <cell r="F5740" t="str">
            <v>Harvey et al., 2017</v>
          </cell>
          <cell r="G5740" t="str">
            <v>NBNSYS0000008936</v>
          </cell>
          <cell r="H5740" t="str">
            <v>Araneus angulatus</v>
          </cell>
        </row>
        <row r="5741">
          <cell r="A5741" t="str">
            <v>Araneus diadematus</v>
          </cell>
          <cell r="B5741" t="str">
            <v>Spiders</v>
          </cell>
          <cell r="C5741" t="str">
            <v>Araneae</v>
          </cell>
          <cell r="D5741" t="str">
            <v>Araneus diadematus</v>
          </cell>
          <cell r="E5741" t="str">
            <v>LC</v>
          </cell>
          <cell r="F5741" t="str">
            <v>Harvey et al., 2017</v>
          </cell>
          <cell r="G5741" t="str">
            <v>NBNSYS0000008937</v>
          </cell>
          <cell r="H5741" t="str">
            <v>Araneus diadematus</v>
          </cell>
        </row>
        <row r="5742">
          <cell r="A5742" t="str">
            <v>Araneus marmoreus</v>
          </cell>
          <cell r="B5742" t="str">
            <v>Spiders</v>
          </cell>
          <cell r="C5742" t="str">
            <v>Araneae</v>
          </cell>
          <cell r="D5742" t="str">
            <v>Araneus marmoreus</v>
          </cell>
          <cell r="E5742" t="str">
            <v>LC</v>
          </cell>
          <cell r="F5742" t="str">
            <v>Harvey et al., 2017</v>
          </cell>
          <cell r="G5742" t="str">
            <v>NBNSYS0000008939</v>
          </cell>
          <cell r="H5742" t="str">
            <v>Araneus marmoreus</v>
          </cell>
        </row>
        <row r="5743">
          <cell r="A5743" t="str">
            <v>Araneus quadratus</v>
          </cell>
          <cell r="B5743" t="str">
            <v>Spiders</v>
          </cell>
          <cell r="C5743" t="str">
            <v>Araneae</v>
          </cell>
          <cell r="D5743" t="str">
            <v>Araneus quadratus</v>
          </cell>
          <cell r="E5743" t="str">
            <v>LC</v>
          </cell>
          <cell r="F5743" t="str">
            <v>Harvey et al., 2017</v>
          </cell>
          <cell r="G5743" t="str">
            <v>NBNSYS0000008938</v>
          </cell>
          <cell r="H5743" t="str">
            <v>Araneus quadratus</v>
          </cell>
        </row>
        <row r="5744">
          <cell r="A5744" t="str">
            <v>Araneus sturmi</v>
          </cell>
          <cell r="B5744" t="str">
            <v>Spiders</v>
          </cell>
          <cell r="C5744" t="str">
            <v>Araneae</v>
          </cell>
          <cell r="D5744" t="str">
            <v>Araneus sturmi</v>
          </cell>
          <cell r="E5744" t="str">
            <v>LC</v>
          </cell>
          <cell r="F5744" t="str">
            <v>Harvey et al., 2017</v>
          </cell>
          <cell r="G5744" t="str">
            <v>NBNSYS0100001623</v>
          </cell>
          <cell r="H5744" t="str">
            <v>Araneus sturmi</v>
          </cell>
        </row>
        <row r="5745">
          <cell r="A5745" t="str">
            <v>Araneus triguttatus</v>
          </cell>
          <cell r="B5745" t="str">
            <v>Spiders</v>
          </cell>
          <cell r="C5745" t="str">
            <v>Araneae</v>
          </cell>
          <cell r="D5745" t="str">
            <v>Araneus triguttatus</v>
          </cell>
          <cell r="E5745" t="str">
            <v>LC</v>
          </cell>
          <cell r="F5745" t="str">
            <v>Harvey et al., 2017</v>
          </cell>
          <cell r="G5745" t="str">
            <v>NBNSYS0000142208</v>
          </cell>
          <cell r="H5745" t="str">
            <v>Araneus triguttatus</v>
          </cell>
        </row>
        <row r="5746">
          <cell r="A5746" t="str">
            <v>Araniella alpica</v>
          </cell>
          <cell r="B5746" t="str">
            <v>Spiders</v>
          </cell>
          <cell r="C5746" t="str">
            <v>Araneae</v>
          </cell>
          <cell r="D5746" t="str">
            <v>Araniella alpica</v>
          </cell>
          <cell r="E5746" t="str">
            <v>EN</v>
          </cell>
          <cell r="F5746" t="str">
            <v>Harvey et al., 2017</v>
          </cell>
          <cell r="G5746" t="str">
            <v>NBNSYS0000008953</v>
          </cell>
          <cell r="H5746" t="str">
            <v>Araniella alpica</v>
          </cell>
        </row>
        <row r="5747">
          <cell r="A5747" t="str">
            <v>Araniella cucurbitina sens. str.</v>
          </cell>
          <cell r="B5747" t="str">
            <v>Spiders</v>
          </cell>
          <cell r="C5747" t="str">
            <v>Araneae</v>
          </cell>
          <cell r="D5747" t="str">
            <v>Araniella cucurbitina sens. str.</v>
          </cell>
          <cell r="E5747" t="str">
            <v>LC</v>
          </cell>
          <cell r="F5747" t="str">
            <v>Harvey et al., 2017</v>
          </cell>
          <cell r="G5747" t="str">
            <v>NBNSYS0200000063</v>
          </cell>
          <cell r="H5747" t="str">
            <v>Araniella cucurbitina sens. str.</v>
          </cell>
        </row>
        <row r="5748">
          <cell r="A5748" t="str">
            <v>Araniella displicata</v>
          </cell>
          <cell r="B5748" t="str">
            <v>Spiders</v>
          </cell>
          <cell r="C5748" t="str">
            <v>Araneae</v>
          </cell>
          <cell r="D5748" t="str">
            <v>Araniella displicata</v>
          </cell>
          <cell r="E5748" t="str">
            <v>NT</v>
          </cell>
          <cell r="F5748" t="str">
            <v>Harvey et al., 2017</v>
          </cell>
          <cell r="G5748" t="str">
            <v>NBNSYS0000008954</v>
          </cell>
          <cell r="H5748" t="str">
            <v>Araniella displicata</v>
          </cell>
        </row>
        <row r="5749">
          <cell r="A5749" t="str">
            <v>Araniella inconspicua</v>
          </cell>
          <cell r="B5749" t="str">
            <v>Spiders</v>
          </cell>
          <cell r="C5749" t="str">
            <v>Araneae</v>
          </cell>
          <cell r="D5749" t="str">
            <v>Araniella inconspicua</v>
          </cell>
          <cell r="E5749" t="str">
            <v>LC</v>
          </cell>
          <cell r="F5749" t="str">
            <v>Harvey et al., 2017</v>
          </cell>
          <cell r="G5749" t="str">
            <v>NBNSYS0000008952</v>
          </cell>
          <cell r="H5749" t="str">
            <v>Araniella inconspicua</v>
          </cell>
        </row>
        <row r="5750">
          <cell r="A5750" t="str">
            <v>Araniella opisthographa</v>
          </cell>
          <cell r="B5750" t="str">
            <v>Spiders</v>
          </cell>
          <cell r="C5750" t="str">
            <v>Araneae</v>
          </cell>
          <cell r="D5750" t="str">
            <v>Araniella opisthographa</v>
          </cell>
          <cell r="E5750" t="str">
            <v>LC</v>
          </cell>
          <cell r="F5750" t="str">
            <v>Harvey et al., 2017</v>
          </cell>
          <cell r="G5750" t="str">
            <v>NBNSYS0100001625</v>
          </cell>
          <cell r="H5750" t="str">
            <v>Araniella opisthographa</v>
          </cell>
        </row>
        <row r="5751">
          <cell r="A5751" t="str">
            <v>Arctosa cinerea</v>
          </cell>
          <cell r="B5751" t="str">
            <v>Spiders</v>
          </cell>
          <cell r="C5751" t="str">
            <v>Araneae</v>
          </cell>
          <cell r="D5751" t="str">
            <v>Arctosa cinerea</v>
          </cell>
          <cell r="E5751" t="str">
            <v>LC</v>
          </cell>
          <cell r="F5751" t="str">
            <v>Harvey et al., 2017</v>
          </cell>
          <cell r="G5751" t="str">
            <v>NBNSYS0000008821</v>
          </cell>
          <cell r="H5751" t="str">
            <v>Arctosa cinerea</v>
          </cell>
        </row>
        <row r="5752">
          <cell r="A5752" t="str">
            <v>Arctosa fulvolineata</v>
          </cell>
          <cell r="B5752" t="str">
            <v>Spiders</v>
          </cell>
          <cell r="C5752" t="str">
            <v>Araneae</v>
          </cell>
          <cell r="D5752" t="str">
            <v>Arctosa fulvolineata</v>
          </cell>
          <cell r="E5752" t="str">
            <v>NT</v>
          </cell>
          <cell r="F5752" t="str">
            <v>Harvey et al., 2017</v>
          </cell>
          <cell r="G5752" t="str">
            <v>NBNSYS0000008818</v>
          </cell>
          <cell r="H5752" t="str">
            <v>Arctosa fulvolineata</v>
          </cell>
        </row>
        <row r="5753">
          <cell r="A5753" t="str">
            <v>Arctosa leopardus</v>
          </cell>
          <cell r="B5753" t="str">
            <v>Spiders</v>
          </cell>
          <cell r="C5753" t="str">
            <v>Araneae</v>
          </cell>
          <cell r="D5753" t="str">
            <v>Arctosa leopardus</v>
          </cell>
          <cell r="E5753" t="str">
            <v>LC</v>
          </cell>
          <cell r="F5753" t="str">
            <v>Harvey et al., 2017</v>
          </cell>
          <cell r="G5753" t="str">
            <v>NBNSYS0000008820</v>
          </cell>
          <cell r="H5753" t="str">
            <v>Arctosa leopardus</v>
          </cell>
        </row>
        <row r="5754">
          <cell r="A5754" t="str">
            <v>Arctosa perita</v>
          </cell>
          <cell r="B5754" t="str">
            <v>Spiders</v>
          </cell>
          <cell r="C5754" t="str">
            <v>Araneae</v>
          </cell>
          <cell r="D5754" t="str">
            <v>Arctosa perita</v>
          </cell>
          <cell r="E5754" t="str">
            <v>LC</v>
          </cell>
          <cell r="F5754" t="str">
            <v>Harvey et al., 2017</v>
          </cell>
          <cell r="G5754" t="str">
            <v>NBNSYS0000008819</v>
          </cell>
          <cell r="H5754" t="str">
            <v>Arctosa perita</v>
          </cell>
        </row>
        <row r="5755">
          <cell r="A5755" t="str">
            <v>Argenna patula</v>
          </cell>
          <cell r="B5755" t="str">
            <v>Spiders</v>
          </cell>
          <cell r="C5755" t="str">
            <v>Araneae</v>
          </cell>
          <cell r="D5755" t="str">
            <v>Argenna patula</v>
          </cell>
          <cell r="E5755" t="str">
            <v>LC</v>
          </cell>
          <cell r="F5755" t="str">
            <v>Harvey et al., 2017</v>
          </cell>
          <cell r="G5755" t="str">
            <v>NBNSYS0000008625</v>
          </cell>
          <cell r="H5755" t="str">
            <v>Argenna patula</v>
          </cell>
        </row>
        <row r="5756">
          <cell r="A5756" t="str">
            <v>Argenna subnigra</v>
          </cell>
          <cell r="B5756" t="str">
            <v>Spiders</v>
          </cell>
          <cell r="C5756" t="str">
            <v>Araneae</v>
          </cell>
          <cell r="D5756" t="str">
            <v>Argenna subnigra</v>
          </cell>
          <cell r="E5756" t="str">
            <v>LC</v>
          </cell>
          <cell r="F5756" t="str">
            <v>Harvey et al., 2017</v>
          </cell>
          <cell r="G5756" t="str">
            <v>NBNSYS0000008624</v>
          </cell>
          <cell r="H5756" t="str">
            <v>Argenna subnigra</v>
          </cell>
        </row>
        <row r="5757">
          <cell r="A5757" t="str">
            <v>Argiope bruennichi</v>
          </cell>
          <cell r="B5757" t="str">
            <v>Spiders</v>
          </cell>
          <cell r="C5757" t="str">
            <v>Araneae</v>
          </cell>
          <cell r="D5757" t="str">
            <v>Argiope bruennichi</v>
          </cell>
          <cell r="E5757" t="str">
            <v>LC</v>
          </cell>
          <cell r="F5757" t="str">
            <v>Harvey et al., 2017</v>
          </cell>
          <cell r="G5757" t="str">
            <v>NBNSYS0000008964</v>
          </cell>
          <cell r="H5757" t="str">
            <v>Argiope bruennichi</v>
          </cell>
        </row>
        <row r="5758">
          <cell r="A5758" t="str">
            <v>Argyroneta aquatica</v>
          </cell>
          <cell r="B5758" t="str">
            <v>Spiders</v>
          </cell>
          <cell r="C5758" t="str">
            <v>Araneae</v>
          </cell>
          <cell r="D5758" t="str">
            <v>Argyroneta aquatica</v>
          </cell>
          <cell r="E5758" t="str">
            <v>LC</v>
          </cell>
          <cell r="F5758" t="str">
            <v>Harvey et al., 2017</v>
          </cell>
          <cell r="G5758" t="str">
            <v>NBNSYS0000008833</v>
          </cell>
          <cell r="H5758" t="str">
            <v>Argyroneta aquatica</v>
          </cell>
        </row>
        <row r="5759">
          <cell r="A5759" t="str">
            <v>Asthenargus paganus</v>
          </cell>
          <cell r="B5759" t="str">
            <v>Spiders</v>
          </cell>
          <cell r="C5759" t="str">
            <v>Araneae</v>
          </cell>
          <cell r="D5759" t="str">
            <v>Asthenargus paganus</v>
          </cell>
          <cell r="E5759" t="str">
            <v>LC</v>
          </cell>
          <cell r="F5759" t="str">
            <v>Harvey et al., 2017</v>
          </cell>
          <cell r="G5759" t="str">
            <v>NBNSYS0000009133</v>
          </cell>
          <cell r="H5759" t="str">
            <v>Asthenargus paganus</v>
          </cell>
        </row>
        <row r="5760">
          <cell r="A5760" t="str">
            <v>Atypus affinis</v>
          </cell>
          <cell r="B5760" t="str">
            <v>Spiders</v>
          </cell>
          <cell r="C5760" t="str">
            <v>Araneae</v>
          </cell>
          <cell r="D5760" t="str">
            <v>Atypus affinis</v>
          </cell>
          <cell r="E5760" t="str">
            <v>LC</v>
          </cell>
          <cell r="F5760" t="str">
            <v>Harvey et al., 2017</v>
          </cell>
          <cell r="G5760" t="str">
            <v>NBNSYS0000008608</v>
          </cell>
          <cell r="H5760" t="str">
            <v>Atypus affinis</v>
          </cell>
        </row>
        <row r="5761">
          <cell r="A5761" t="str">
            <v>Aulonia albimana</v>
          </cell>
          <cell r="B5761" t="str">
            <v>Spiders</v>
          </cell>
          <cell r="C5761" t="str">
            <v>Araneae</v>
          </cell>
          <cell r="D5761" t="str">
            <v>Aulonia albimana</v>
          </cell>
          <cell r="E5761" t="str">
            <v>CR</v>
          </cell>
          <cell r="F5761" t="str">
            <v>Harvey et al., 2017</v>
          </cell>
          <cell r="G5761" t="str">
            <v>NBNSYS0000008829</v>
          </cell>
          <cell r="H5761" t="str">
            <v>Aulonia albimana</v>
          </cell>
        </row>
        <row r="5762">
          <cell r="A5762" t="str">
            <v>Ballus chalybeius</v>
          </cell>
          <cell r="B5762" t="str">
            <v>Spiders</v>
          </cell>
          <cell r="C5762" t="str">
            <v>Araneae</v>
          </cell>
          <cell r="D5762" t="str">
            <v>Ballus chalybeius</v>
          </cell>
          <cell r="E5762" t="str">
            <v>LC</v>
          </cell>
          <cell r="F5762" t="str">
            <v>Harvey et al., 2017</v>
          </cell>
          <cell r="G5762" t="str">
            <v>NBNSYS0000008768</v>
          </cell>
          <cell r="H5762" t="str">
            <v>Ballus chalybeius</v>
          </cell>
        </row>
        <row r="5763">
          <cell r="A5763" t="str">
            <v>Baryphyma gowerense</v>
          </cell>
          <cell r="B5763" t="str">
            <v>Spiders</v>
          </cell>
          <cell r="C5763" t="str">
            <v>Araneae</v>
          </cell>
          <cell r="D5763" t="str">
            <v>Baryphyma gowerense</v>
          </cell>
          <cell r="E5763" t="str">
            <v>VU</v>
          </cell>
          <cell r="F5763" t="str">
            <v>Harvey et al., 2017</v>
          </cell>
          <cell r="G5763" t="str">
            <v>NBNSYS0000009014</v>
          </cell>
          <cell r="H5763" t="str">
            <v>Baryphyma gowerense</v>
          </cell>
        </row>
        <row r="5764">
          <cell r="A5764" t="str">
            <v>Baryphyma maritimum</v>
          </cell>
          <cell r="B5764" t="str">
            <v>Spiders</v>
          </cell>
          <cell r="C5764" t="str">
            <v>Araneae</v>
          </cell>
          <cell r="D5764" t="str">
            <v>Baryphyma maritimum</v>
          </cell>
          <cell r="E5764" t="str">
            <v>NT</v>
          </cell>
          <cell r="F5764" t="str">
            <v>Harvey et al., 2017</v>
          </cell>
          <cell r="G5764" t="str">
            <v>NBNSYS0000009016</v>
          </cell>
          <cell r="H5764" t="str">
            <v>Baryphyma maritimum</v>
          </cell>
        </row>
        <row r="5765">
          <cell r="A5765" t="str">
            <v>Baryphyma pratense</v>
          </cell>
          <cell r="B5765" t="str">
            <v>Spiders</v>
          </cell>
          <cell r="C5765" t="str">
            <v>Araneae</v>
          </cell>
          <cell r="D5765" t="str">
            <v>Baryphyma pratense</v>
          </cell>
          <cell r="E5765" t="str">
            <v>LC</v>
          </cell>
          <cell r="F5765" t="str">
            <v>Harvey et al., 2017</v>
          </cell>
          <cell r="G5765" t="str">
            <v>NBNSYS0000009012</v>
          </cell>
          <cell r="H5765" t="str">
            <v>Baryphyma pratense</v>
          </cell>
        </row>
        <row r="5766">
          <cell r="A5766" t="str">
            <v>Baryphyma trifrons</v>
          </cell>
          <cell r="B5766" t="str">
            <v>Spiders</v>
          </cell>
          <cell r="C5766" t="str">
            <v>Araneae</v>
          </cell>
          <cell r="D5766" t="str">
            <v>Baryphyma trifrons</v>
          </cell>
          <cell r="E5766" t="str">
            <v>LC</v>
          </cell>
          <cell r="F5766" t="str">
            <v>Harvey et al., 2017</v>
          </cell>
          <cell r="G5766" t="str">
            <v>NBNSYS0000009015</v>
          </cell>
          <cell r="H5766" t="str">
            <v>Baryphyma trifrons</v>
          </cell>
        </row>
        <row r="5767">
          <cell r="A5767" t="str">
            <v>Bathyphantes approximatus</v>
          </cell>
          <cell r="B5767" t="str">
            <v>Spiders</v>
          </cell>
          <cell r="C5767" t="str">
            <v>Araneae</v>
          </cell>
          <cell r="D5767" t="str">
            <v>Bathyphantes approximatus</v>
          </cell>
          <cell r="E5767" t="str">
            <v>LC</v>
          </cell>
          <cell r="F5767" t="str">
            <v>Harvey et al., 2017</v>
          </cell>
          <cell r="G5767" t="str">
            <v>NBNSYS0000009191</v>
          </cell>
          <cell r="H5767" t="str">
            <v>Bathyphantes approximatus</v>
          </cell>
        </row>
        <row r="5768">
          <cell r="A5768" t="str">
            <v>Bathyphantes gracilis</v>
          </cell>
          <cell r="B5768" t="str">
            <v>Spiders</v>
          </cell>
          <cell r="C5768" t="str">
            <v>Araneae</v>
          </cell>
          <cell r="D5768" t="str">
            <v>Bathyphantes gracilis</v>
          </cell>
          <cell r="E5768" t="str">
            <v>LC</v>
          </cell>
          <cell r="F5768" t="str">
            <v>Harvey et al., 2017</v>
          </cell>
          <cell r="G5768" t="str">
            <v>NBNSYS0000009192</v>
          </cell>
          <cell r="H5768" t="str">
            <v>Bathyphantes gracilis</v>
          </cell>
        </row>
        <row r="5769">
          <cell r="A5769" t="str">
            <v>Bathyphantes nigrinus</v>
          </cell>
          <cell r="B5769" t="str">
            <v>Spiders</v>
          </cell>
          <cell r="C5769" t="str">
            <v>Araneae</v>
          </cell>
          <cell r="D5769" t="str">
            <v>Bathyphantes nigrinus</v>
          </cell>
          <cell r="E5769" t="str">
            <v>LC</v>
          </cell>
          <cell r="F5769" t="str">
            <v>Harvey et al., 2017</v>
          </cell>
          <cell r="G5769" t="str">
            <v>NBNSYS0000009194</v>
          </cell>
          <cell r="H5769" t="str">
            <v>Bathyphantes nigrinus</v>
          </cell>
        </row>
        <row r="5770">
          <cell r="A5770" t="str">
            <v>Bathyphantes parvulus</v>
          </cell>
          <cell r="B5770" t="str">
            <v>Spiders</v>
          </cell>
          <cell r="C5770" t="str">
            <v>Araneae</v>
          </cell>
          <cell r="D5770" t="str">
            <v>Bathyphantes parvulus</v>
          </cell>
          <cell r="E5770" t="str">
            <v>LC</v>
          </cell>
          <cell r="F5770" t="str">
            <v>Harvey et al., 2017</v>
          </cell>
          <cell r="G5770" t="str">
            <v>NBNSYS0000009193</v>
          </cell>
          <cell r="H5770" t="str">
            <v>Bathyphantes parvulus</v>
          </cell>
        </row>
        <row r="5771">
          <cell r="A5771" t="str">
            <v>Bathyphantes setiger</v>
          </cell>
          <cell r="B5771" t="str">
            <v>Spiders</v>
          </cell>
          <cell r="C5771" t="str">
            <v>Araneae</v>
          </cell>
          <cell r="D5771" t="str">
            <v>Bathyphantes setiger</v>
          </cell>
          <cell r="E5771" t="str">
            <v>LC</v>
          </cell>
          <cell r="F5771" t="str">
            <v>Harvey et al., 2017</v>
          </cell>
          <cell r="G5771" t="str">
            <v>NHMSYS0020785948</v>
          </cell>
          <cell r="H5771" t="str">
            <v>Bathyphantes setiger</v>
          </cell>
        </row>
        <row r="5772">
          <cell r="A5772" t="str">
            <v>Bolyphantes alticeps</v>
          </cell>
          <cell r="B5772" t="str">
            <v>Spiders</v>
          </cell>
          <cell r="C5772" t="str">
            <v>Araneae</v>
          </cell>
          <cell r="D5772" t="str">
            <v>Bolyphantes alticeps</v>
          </cell>
          <cell r="E5772" t="str">
            <v>LC</v>
          </cell>
          <cell r="F5772" t="str">
            <v>Harvey et al., 2017</v>
          </cell>
          <cell r="G5772" t="str">
            <v>NBNSYS0000009207</v>
          </cell>
          <cell r="H5772" t="str">
            <v>Bolyphantes alticeps</v>
          </cell>
        </row>
        <row r="5773">
          <cell r="A5773" t="str">
            <v>Bolyphantes luteolus</v>
          </cell>
          <cell r="B5773" t="str">
            <v>Spiders</v>
          </cell>
          <cell r="C5773" t="str">
            <v>Araneae</v>
          </cell>
          <cell r="D5773" t="str">
            <v>Bolyphantes luteolus</v>
          </cell>
          <cell r="E5773" t="str">
            <v>LC</v>
          </cell>
          <cell r="F5773" t="str">
            <v>Harvey et al., 2017</v>
          </cell>
          <cell r="G5773" t="str">
            <v>NBNSYS0000009206</v>
          </cell>
          <cell r="H5773" t="str">
            <v>Bolyphantes luteolus</v>
          </cell>
        </row>
        <row r="5774">
          <cell r="A5774" t="str">
            <v>Callilepis nocturna</v>
          </cell>
          <cell r="B5774" t="str">
            <v>Spiders</v>
          </cell>
          <cell r="C5774" t="str">
            <v>Araneae</v>
          </cell>
          <cell r="D5774" t="str">
            <v>Callilepis nocturna</v>
          </cell>
          <cell r="E5774" t="str">
            <v>VU</v>
          </cell>
          <cell r="F5774" t="str">
            <v>Harvey et al., 2017</v>
          </cell>
          <cell r="G5774" t="str">
            <v>NBNSYS0000008668</v>
          </cell>
          <cell r="H5774" t="str">
            <v>Callilepis nocturna</v>
          </cell>
        </row>
        <row r="5775">
          <cell r="A5775" t="str">
            <v>Carorita limnaea</v>
          </cell>
          <cell r="B5775" t="str">
            <v>Spiders</v>
          </cell>
          <cell r="C5775" t="str">
            <v>Araneae</v>
          </cell>
          <cell r="D5775" t="str">
            <v>Carorita limnaea</v>
          </cell>
          <cell r="E5775" t="str">
            <v>VU</v>
          </cell>
          <cell r="F5775" t="str">
            <v>Harvey et al., 2017</v>
          </cell>
          <cell r="G5775" t="str">
            <v>NBNSYS0000009128</v>
          </cell>
          <cell r="H5775" t="str">
            <v>Carorita limnaea</v>
          </cell>
        </row>
        <row r="5776">
          <cell r="A5776" t="str">
            <v>Caviphantes saxetorum</v>
          </cell>
          <cell r="B5776" t="str">
            <v>Spiders</v>
          </cell>
          <cell r="C5776" t="str">
            <v>Araneae</v>
          </cell>
          <cell r="D5776" t="str">
            <v>Caviphantes saxetorum</v>
          </cell>
          <cell r="E5776" t="str">
            <v>NT</v>
          </cell>
          <cell r="F5776" t="str">
            <v>Harvey et al., 2017</v>
          </cell>
          <cell r="G5776" t="str">
            <v>NBNSYS0000009132</v>
          </cell>
          <cell r="H5776" t="str">
            <v>Caviphantes saxetorum</v>
          </cell>
        </row>
        <row r="5777">
          <cell r="A5777" t="str">
            <v>Centromerita bicolor</v>
          </cell>
          <cell r="B5777" t="str">
            <v>Spiders</v>
          </cell>
          <cell r="C5777" t="str">
            <v>Araneae</v>
          </cell>
          <cell r="D5777" t="str">
            <v>Centromerita bicolor</v>
          </cell>
          <cell r="E5777" t="str">
            <v>LC</v>
          </cell>
          <cell r="F5777" t="str">
            <v>Harvey et al., 2017</v>
          </cell>
          <cell r="G5777" t="str">
            <v>NBNSYS0000009183</v>
          </cell>
          <cell r="H5777" t="str">
            <v>Centromerita bicolor</v>
          </cell>
        </row>
        <row r="5778">
          <cell r="A5778" t="str">
            <v>Centromerita concinna</v>
          </cell>
          <cell r="B5778" t="str">
            <v>Spiders</v>
          </cell>
          <cell r="C5778" t="str">
            <v>Araneae</v>
          </cell>
          <cell r="D5778" t="str">
            <v>Centromerita concinna</v>
          </cell>
          <cell r="E5778" t="str">
            <v>LC</v>
          </cell>
          <cell r="F5778" t="str">
            <v>Harvey et al., 2017</v>
          </cell>
          <cell r="G5778" t="str">
            <v>NBNSYS0000009184</v>
          </cell>
          <cell r="H5778" t="str">
            <v>Centromerita concinna</v>
          </cell>
        </row>
        <row r="5779">
          <cell r="A5779" t="str">
            <v>Centromerus albidus</v>
          </cell>
          <cell r="B5779" t="str">
            <v>Spiders</v>
          </cell>
          <cell r="C5779" t="str">
            <v>Araneae</v>
          </cell>
          <cell r="D5779" t="str">
            <v>Centromerus albidus</v>
          </cell>
          <cell r="E5779" t="str">
            <v>CR(PE)</v>
          </cell>
          <cell r="F5779" t="str">
            <v>Harvey et al., 2017</v>
          </cell>
          <cell r="G5779" t="str">
            <v>NBNSYS0000009179</v>
          </cell>
          <cell r="H5779" t="str">
            <v>Centromerus albidus</v>
          </cell>
        </row>
        <row r="5780">
          <cell r="A5780" t="str">
            <v>Centromerus arcanus</v>
          </cell>
          <cell r="B5780" t="str">
            <v>Spiders</v>
          </cell>
          <cell r="C5780" t="str">
            <v>Araneae</v>
          </cell>
          <cell r="D5780" t="str">
            <v>Centromerus arcanus</v>
          </cell>
          <cell r="E5780" t="str">
            <v>LC</v>
          </cell>
          <cell r="F5780" t="str">
            <v>Harvey et al., 2017</v>
          </cell>
          <cell r="G5780" t="str">
            <v>NBNSYS0000009169</v>
          </cell>
          <cell r="H5780" t="str">
            <v>Centromerus arcanus</v>
          </cell>
        </row>
        <row r="5781">
          <cell r="A5781" t="str">
            <v>Centromerus brevivulvatus</v>
          </cell>
          <cell r="B5781" t="str">
            <v>Spiders</v>
          </cell>
          <cell r="C5781" t="str">
            <v>Araneae</v>
          </cell>
          <cell r="D5781" t="str">
            <v>Centromerus brevivulvatus</v>
          </cell>
          <cell r="E5781" t="str">
            <v>EN</v>
          </cell>
          <cell r="F5781" t="str">
            <v>Harvey et al., 2017</v>
          </cell>
          <cell r="G5781" t="str">
            <v>NBNSYS0000143869</v>
          </cell>
          <cell r="H5781" t="str">
            <v>Centromerus brevivulvatus</v>
          </cell>
        </row>
        <row r="5782">
          <cell r="A5782" t="str">
            <v>Centromerus capucinus</v>
          </cell>
          <cell r="B5782" t="str">
            <v>Spiders</v>
          </cell>
          <cell r="C5782" t="str">
            <v>Araneae</v>
          </cell>
          <cell r="D5782" t="str">
            <v>Centromerus capucinus</v>
          </cell>
          <cell r="E5782" t="str">
            <v>NT</v>
          </cell>
          <cell r="F5782" t="str">
            <v>Harvey et al., 2017</v>
          </cell>
          <cell r="G5782" t="str">
            <v>NBNSYS0000009173</v>
          </cell>
          <cell r="H5782" t="str">
            <v>Centromerus capucinus</v>
          </cell>
        </row>
        <row r="5783">
          <cell r="A5783" t="str">
            <v>Centromerus cavernarum</v>
          </cell>
          <cell r="B5783" t="str">
            <v>Spiders</v>
          </cell>
          <cell r="C5783" t="str">
            <v>Araneae</v>
          </cell>
          <cell r="D5783" t="str">
            <v>Centromerus cavernarum</v>
          </cell>
          <cell r="E5783" t="str">
            <v>NT</v>
          </cell>
          <cell r="F5783" t="str">
            <v>Harvey et al., 2017</v>
          </cell>
          <cell r="G5783" t="str">
            <v>NBNSYS0000009180</v>
          </cell>
          <cell r="H5783" t="str">
            <v>Centromerus cavernarum</v>
          </cell>
        </row>
        <row r="5784">
          <cell r="A5784" t="str">
            <v>Centromerus dilutus</v>
          </cell>
          <cell r="B5784" t="str">
            <v>Spiders</v>
          </cell>
          <cell r="C5784" t="str">
            <v>Araneae</v>
          </cell>
          <cell r="D5784" t="str">
            <v>Centromerus dilutus</v>
          </cell>
          <cell r="E5784" t="str">
            <v>LC</v>
          </cell>
          <cell r="F5784" t="str">
            <v>Harvey et al., 2017</v>
          </cell>
          <cell r="G5784" t="str">
            <v>NBNSYS0000009171</v>
          </cell>
          <cell r="H5784" t="str">
            <v>Centromerus dilutus</v>
          </cell>
        </row>
        <row r="5785">
          <cell r="A5785" t="str">
            <v>Centromerus incilium</v>
          </cell>
          <cell r="B5785" t="str">
            <v>Spiders</v>
          </cell>
          <cell r="C5785" t="str">
            <v>Araneae</v>
          </cell>
          <cell r="D5785" t="str">
            <v>Centromerus incilium</v>
          </cell>
          <cell r="E5785" t="str">
            <v>LC</v>
          </cell>
          <cell r="F5785" t="str">
            <v>Harvey et al., 2017</v>
          </cell>
          <cell r="G5785" t="str">
            <v>NBNSYS0000009174</v>
          </cell>
          <cell r="H5785" t="str">
            <v>Centromerus incilium</v>
          </cell>
        </row>
        <row r="5786">
          <cell r="A5786" t="str">
            <v>Centromerus levitarsis</v>
          </cell>
          <cell r="B5786" t="str">
            <v>Spiders</v>
          </cell>
          <cell r="C5786" t="str">
            <v>Araneae</v>
          </cell>
          <cell r="D5786" t="str">
            <v>Centromerus levitarsis</v>
          </cell>
          <cell r="E5786" t="str">
            <v>EN</v>
          </cell>
          <cell r="F5786" t="str">
            <v>Harvey et al., 2017</v>
          </cell>
          <cell r="G5786" t="str">
            <v>NBNSYS0000009170</v>
          </cell>
          <cell r="H5786" t="str">
            <v>Centromerus levitarsis</v>
          </cell>
        </row>
        <row r="5787">
          <cell r="A5787" t="str">
            <v>Centromerus prudens</v>
          </cell>
          <cell r="B5787" t="str">
            <v>Spiders</v>
          </cell>
          <cell r="C5787" t="str">
            <v>Araneae</v>
          </cell>
          <cell r="D5787" t="str">
            <v>Centromerus prudens</v>
          </cell>
          <cell r="E5787" t="str">
            <v>LC</v>
          </cell>
          <cell r="F5787" t="str">
            <v>Harvey et al., 2017</v>
          </cell>
          <cell r="G5787" t="str">
            <v>NBNSYS0000009168</v>
          </cell>
          <cell r="H5787" t="str">
            <v>Centromerus prudens</v>
          </cell>
        </row>
        <row r="5788">
          <cell r="A5788" t="str">
            <v>Centromerus semiater</v>
          </cell>
          <cell r="B5788" t="str">
            <v>Spiders</v>
          </cell>
          <cell r="C5788" t="str">
            <v>Araneae</v>
          </cell>
          <cell r="D5788" t="str">
            <v>Centromerus semiater</v>
          </cell>
          <cell r="E5788" t="str">
            <v>EN</v>
          </cell>
          <cell r="F5788" t="str">
            <v>Harvey et al., 2017</v>
          </cell>
          <cell r="G5788" t="str">
            <v>NBNSYS0100002237</v>
          </cell>
          <cell r="H5788" t="str">
            <v>Centromerus semiater</v>
          </cell>
        </row>
        <row r="5789">
          <cell r="A5789" t="str">
            <v>Centromerus serratus</v>
          </cell>
          <cell r="B5789" t="str">
            <v>Spiders</v>
          </cell>
          <cell r="C5789" t="str">
            <v>Araneae</v>
          </cell>
          <cell r="D5789" t="str">
            <v>Centromerus serratus</v>
          </cell>
          <cell r="E5789" t="str">
            <v>EN</v>
          </cell>
          <cell r="F5789" t="str">
            <v>Harvey et al., 2017</v>
          </cell>
          <cell r="G5789" t="str">
            <v>NBNSYS0000009178</v>
          </cell>
          <cell r="H5789" t="str">
            <v>Centromerus serratus</v>
          </cell>
        </row>
        <row r="5790">
          <cell r="A5790" t="str">
            <v>Centromerus sylvaticus</v>
          </cell>
          <cell r="B5790" t="str">
            <v>Spiders</v>
          </cell>
          <cell r="C5790" t="str">
            <v>Araneae</v>
          </cell>
          <cell r="D5790" t="str">
            <v>Centromerus sylvaticus</v>
          </cell>
          <cell r="E5790" t="str">
            <v>LC</v>
          </cell>
          <cell r="F5790" t="str">
            <v>Harvey et al., 2017</v>
          </cell>
          <cell r="G5790" t="str">
            <v>NBNSYS0000009167</v>
          </cell>
          <cell r="H5790" t="str">
            <v>Centromerus sylvaticus</v>
          </cell>
        </row>
        <row r="5791">
          <cell r="A5791" t="str">
            <v>Ceratinella brevipes</v>
          </cell>
          <cell r="B5791" t="str">
            <v>Spiders</v>
          </cell>
          <cell r="C5791" t="str">
            <v>Araneae</v>
          </cell>
          <cell r="D5791" t="str">
            <v>Ceratinella brevipes</v>
          </cell>
          <cell r="E5791" t="str">
            <v>LC</v>
          </cell>
          <cell r="F5791" t="str">
            <v>Harvey et al., 2017</v>
          </cell>
          <cell r="G5791" t="str">
            <v>NBNSYS0000008966</v>
          </cell>
          <cell r="H5791" t="str">
            <v>Ceratinella brevipes</v>
          </cell>
        </row>
        <row r="5792">
          <cell r="A5792" t="str">
            <v>Ceratinella brevis</v>
          </cell>
          <cell r="B5792" t="str">
            <v>Spiders</v>
          </cell>
          <cell r="C5792" t="str">
            <v>Araneae</v>
          </cell>
          <cell r="D5792" t="str">
            <v>Ceratinella brevis</v>
          </cell>
          <cell r="E5792" t="str">
            <v>LC</v>
          </cell>
          <cell r="F5792" t="str">
            <v>Harvey et al., 2017</v>
          </cell>
          <cell r="G5792" t="str">
            <v>NBNSYS0000008967</v>
          </cell>
          <cell r="H5792" t="str">
            <v>Ceratinella brevis</v>
          </cell>
        </row>
        <row r="5793">
          <cell r="A5793" t="str">
            <v>Ceratinella scabrosa</v>
          </cell>
          <cell r="B5793" t="str">
            <v>Spiders</v>
          </cell>
          <cell r="C5793" t="str">
            <v>Araneae</v>
          </cell>
          <cell r="D5793" t="str">
            <v>Ceratinella scabrosa</v>
          </cell>
          <cell r="E5793" t="str">
            <v>LC</v>
          </cell>
          <cell r="F5793" t="str">
            <v>Harvey et al., 2017</v>
          </cell>
          <cell r="G5793" t="str">
            <v>NBNSYS0000008968</v>
          </cell>
          <cell r="H5793" t="str">
            <v>Ceratinella scabrosa</v>
          </cell>
        </row>
        <row r="5794">
          <cell r="A5794" t="str">
            <v>Ceratinopsis romana</v>
          </cell>
          <cell r="B5794" t="str">
            <v>Spiders</v>
          </cell>
          <cell r="C5794" t="str">
            <v>Araneae</v>
          </cell>
          <cell r="D5794" t="str">
            <v>Ceratinopsis romana</v>
          </cell>
          <cell r="E5794" t="str">
            <v>LC</v>
          </cell>
          <cell r="F5794" t="str">
            <v>Harvey et al., 2017</v>
          </cell>
          <cell r="G5794" t="str">
            <v>NBNSYS0000157435</v>
          </cell>
          <cell r="H5794" t="str">
            <v>Ceratinopsis romana</v>
          </cell>
        </row>
        <row r="5795">
          <cell r="A5795" t="str">
            <v>Ceratinopsis stativa</v>
          </cell>
          <cell r="B5795" t="str">
            <v>Spiders</v>
          </cell>
          <cell r="C5795" t="str">
            <v>Araneae</v>
          </cell>
          <cell r="D5795" t="str">
            <v>Ceratinopsis stativa</v>
          </cell>
          <cell r="E5795" t="str">
            <v>LC</v>
          </cell>
          <cell r="F5795" t="str">
            <v>Harvey et al., 2017</v>
          </cell>
          <cell r="G5795" t="str">
            <v>NHMSYS0021250589</v>
          </cell>
          <cell r="H5795" t="str">
            <v>Ceratinopsis stativa</v>
          </cell>
        </row>
        <row r="5796">
          <cell r="A5796" t="str">
            <v>Cercidia prominens</v>
          </cell>
          <cell r="B5796" t="str">
            <v>Spiders</v>
          </cell>
          <cell r="C5796" t="str">
            <v>Araneae</v>
          </cell>
          <cell r="D5796" t="str">
            <v>Cercidia prominens</v>
          </cell>
          <cell r="E5796" t="str">
            <v>LC</v>
          </cell>
          <cell r="F5796" t="str">
            <v>Harvey et al., 2017</v>
          </cell>
          <cell r="G5796" t="str">
            <v>NBNSYS0000008961</v>
          </cell>
          <cell r="H5796" t="str">
            <v>Cercidia prominens</v>
          </cell>
        </row>
        <row r="5797">
          <cell r="A5797" t="str">
            <v>Cheiracanthium erraticum</v>
          </cell>
          <cell r="B5797" t="str">
            <v>Spiders</v>
          </cell>
          <cell r="C5797" t="str">
            <v>Araneae</v>
          </cell>
          <cell r="D5797" t="str">
            <v>Cheiracanthium erraticum</v>
          </cell>
          <cell r="E5797" t="str">
            <v>LC</v>
          </cell>
          <cell r="F5797" t="str">
            <v>Harvey et al., 2017</v>
          </cell>
          <cell r="G5797" t="str">
            <v>NBNSYS0000008694</v>
          </cell>
          <cell r="H5797" t="str">
            <v>Cheiracanthium erraticum</v>
          </cell>
        </row>
        <row r="5798">
          <cell r="A5798" t="str">
            <v>Cheiracanthium pennyi</v>
          </cell>
          <cell r="B5798" t="str">
            <v>Spiders</v>
          </cell>
          <cell r="C5798" t="str">
            <v>Araneae</v>
          </cell>
          <cell r="D5798" t="str">
            <v>Cheiracanthium pennyi</v>
          </cell>
          <cell r="E5798" t="str">
            <v>EN</v>
          </cell>
          <cell r="F5798" t="str">
            <v>Harvey et al., 2017</v>
          </cell>
          <cell r="G5798" t="str">
            <v>NBNSYS0000008695</v>
          </cell>
          <cell r="H5798" t="str">
            <v>Cheiracanthium pennyi</v>
          </cell>
        </row>
        <row r="5799">
          <cell r="A5799" t="str">
            <v>Cheiracanthium virescens</v>
          </cell>
          <cell r="B5799" t="str">
            <v>Spiders</v>
          </cell>
          <cell r="C5799" t="str">
            <v>Araneae</v>
          </cell>
          <cell r="D5799" t="str">
            <v>Cheiracanthium virescens</v>
          </cell>
          <cell r="E5799" t="str">
            <v>LC</v>
          </cell>
          <cell r="F5799" t="str">
            <v>Harvey et al., 2017</v>
          </cell>
          <cell r="G5799" t="str">
            <v>NBNSYS0000008696</v>
          </cell>
          <cell r="H5799" t="str">
            <v>Cheiracanthium virescens</v>
          </cell>
        </row>
        <row r="5800">
          <cell r="A5800" t="str">
            <v>Cicurina cicur</v>
          </cell>
          <cell r="B5800" t="str">
            <v>Spiders</v>
          </cell>
          <cell r="C5800" t="str">
            <v>Araneae</v>
          </cell>
          <cell r="D5800" t="str">
            <v>Cicurina cicur</v>
          </cell>
          <cell r="E5800" t="str">
            <v>LC</v>
          </cell>
          <cell r="F5800" t="str">
            <v>Harvey et al., 2017</v>
          </cell>
          <cell r="G5800" t="str">
            <v>NBNSYS0000008846</v>
          </cell>
          <cell r="H5800" t="str">
            <v>Cicurina cicur</v>
          </cell>
        </row>
        <row r="5801">
          <cell r="A5801" t="str">
            <v>Clubiona brevipes</v>
          </cell>
          <cell r="B5801" t="str">
            <v>Spiders</v>
          </cell>
          <cell r="C5801" t="str">
            <v>Araneae</v>
          </cell>
          <cell r="D5801" t="str">
            <v>Clubiona brevipes</v>
          </cell>
          <cell r="E5801" t="str">
            <v>LC</v>
          </cell>
          <cell r="F5801" t="str">
            <v>Harvey et al., 2017</v>
          </cell>
          <cell r="G5801" t="str">
            <v>NBNSYS0000008688</v>
          </cell>
          <cell r="H5801" t="str">
            <v>Clubiona brevipes</v>
          </cell>
        </row>
        <row r="5802">
          <cell r="A5802" t="str">
            <v>Clubiona caerulescens</v>
          </cell>
          <cell r="B5802" t="str">
            <v>Spiders</v>
          </cell>
          <cell r="C5802" t="str">
            <v>Araneae</v>
          </cell>
          <cell r="D5802" t="str">
            <v>Clubiona caerulescens</v>
          </cell>
          <cell r="E5802" t="str">
            <v>VU</v>
          </cell>
          <cell r="F5802" t="str">
            <v>Harvey et al., 2017</v>
          </cell>
          <cell r="G5802" t="str">
            <v>NBNSYS0000008680</v>
          </cell>
          <cell r="H5802" t="str">
            <v>Clubiona caerulescens</v>
          </cell>
        </row>
        <row r="5803">
          <cell r="A5803" t="str">
            <v>Clubiona comta</v>
          </cell>
          <cell r="B5803" t="str">
            <v>Spiders</v>
          </cell>
          <cell r="C5803" t="str">
            <v>Araneae</v>
          </cell>
          <cell r="D5803" t="str">
            <v>Clubiona comta</v>
          </cell>
          <cell r="E5803" t="str">
            <v>LC</v>
          </cell>
          <cell r="F5803" t="str">
            <v>Harvey et al., 2017</v>
          </cell>
          <cell r="G5803" t="str">
            <v>NBNSYS0000008687</v>
          </cell>
          <cell r="H5803" t="str">
            <v>Clubiona comta</v>
          </cell>
        </row>
        <row r="5804">
          <cell r="A5804" t="str">
            <v>Clubiona corticalis</v>
          </cell>
          <cell r="B5804" t="str">
            <v>Spiders</v>
          </cell>
          <cell r="C5804" t="str">
            <v>Araneae</v>
          </cell>
          <cell r="D5804" t="str">
            <v>Clubiona corticalis</v>
          </cell>
          <cell r="E5804" t="str">
            <v>LC</v>
          </cell>
          <cell r="F5804" t="str">
            <v>Harvey et al., 2017</v>
          </cell>
          <cell r="G5804" t="str">
            <v>NBNSYS0000008674</v>
          </cell>
          <cell r="H5804" t="str">
            <v>Clubiona corticalis</v>
          </cell>
        </row>
        <row r="5805">
          <cell r="A5805" t="str">
            <v>Clubiona diversa</v>
          </cell>
          <cell r="B5805" t="str">
            <v>Spiders</v>
          </cell>
          <cell r="C5805" t="str">
            <v>Araneae</v>
          </cell>
          <cell r="D5805" t="str">
            <v>Clubiona diversa</v>
          </cell>
          <cell r="E5805" t="str">
            <v>LC</v>
          </cell>
          <cell r="F5805" t="str">
            <v>Harvey et al., 2017</v>
          </cell>
          <cell r="G5805" t="str">
            <v>NBNSYS0000008692</v>
          </cell>
          <cell r="H5805" t="str">
            <v>Clubiona diversa</v>
          </cell>
        </row>
        <row r="5806">
          <cell r="A5806" t="str">
            <v>Clubiona frisia</v>
          </cell>
          <cell r="B5806" t="str">
            <v>Spiders</v>
          </cell>
          <cell r="C5806" t="str">
            <v>Araneae</v>
          </cell>
          <cell r="D5806" t="str">
            <v>Clubiona frisia</v>
          </cell>
          <cell r="E5806" t="str">
            <v>NT</v>
          </cell>
          <cell r="F5806" t="str">
            <v>Harvey et al., 2017</v>
          </cell>
          <cell r="G5806" t="str">
            <v>NBNSYS0100002487</v>
          </cell>
          <cell r="H5806" t="str">
            <v>Clubiona frisia</v>
          </cell>
        </row>
        <row r="5807">
          <cell r="A5807" t="str">
            <v>Clubiona genevensis</v>
          </cell>
          <cell r="B5807" t="str">
            <v>Spiders</v>
          </cell>
          <cell r="C5807" t="str">
            <v>Araneae</v>
          </cell>
          <cell r="D5807" t="str">
            <v>Clubiona genevensis</v>
          </cell>
          <cell r="E5807" t="str">
            <v>NT</v>
          </cell>
          <cell r="F5807" t="str">
            <v>Harvey et al., 2017</v>
          </cell>
          <cell r="G5807" t="str">
            <v>NHMSYS0021453587</v>
          </cell>
          <cell r="H5807" t="str">
            <v>Clubiona genevensis</v>
          </cell>
        </row>
        <row r="5808">
          <cell r="A5808" t="str">
            <v>Clubiona juvenis</v>
          </cell>
          <cell r="B5808" t="str">
            <v>Spiders</v>
          </cell>
          <cell r="C5808" t="str">
            <v>Araneae</v>
          </cell>
          <cell r="D5808" t="str">
            <v>Clubiona juvenis</v>
          </cell>
          <cell r="E5808" t="str">
            <v>NT</v>
          </cell>
          <cell r="F5808" t="str">
            <v>Harvey et al., 2017</v>
          </cell>
          <cell r="G5808" t="str">
            <v>NBNSYS0000008690</v>
          </cell>
          <cell r="H5808" t="str">
            <v>Clubiona juvenis</v>
          </cell>
        </row>
        <row r="5809">
          <cell r="A5809" t="str">
            <v>Clubiona lutescens</v>
          </cell>
          <cell r="B5809" t="str">
            <v>Spiders</v>
          </cell>
          <cell r="C5809" t="str">
            <v>Araneae</v>
          </cell>
          <cell r="D5809" t="str">
            <v>Clubiona lutescens</v>
          </cell>
          <cell r="E5809" t="str">
            <v>LC</v>
          </cell>
          <cell r="F5809" t="str">
            <v>Harvey et al., 2017</v>
          </cell>
          <cell r="G5809" t="str">
            <v>NBNSYS0000008686</v>
          </cell>
          <cell r="H5809" t="str">
            <v>Clubiona lutescens</v>
          </cell>
        </row>
        <row r="5810">
          <cell r="A5810" t="str">
            <v>Clubiona neglecta sens. str.</v>
          </cell>
          <cell r="B5810" t="str">
            <v>Spiders</v>
          </cell>
          <cell r="C5810" t="str">
            <v>Araneae</v>
          </cell>
          <cell r="D5810" t="str">
            <v>Clubiona neglecta sens. str.</v>
          </cell>
          <cell r="E5810" t="str">
            <v>LC</v>
          </cell>
          <cell r="F5810" t="str">
            <v>Harvey et al., 2017</v>
          </cell>
          <cell r="G5810" t="str">
            <v>NBNSYS0200000057</v>
          </cell>
          <cell r="H5810" t="str">
            <v>Clubiona neglecta sens. str.</v>
          </cell>
        </row>
        <row r="5811">
          <cell r="A5811" t="str">
            <v>Clubiona norvegica</v>
          </cell>
          <cell r="B5811" t="str">
            <v>Spiders</v>
          </cell>
          <cell r="C5811" t="str">
            <v>Araneae</v>
          </cell>
          <cell r="D5811" t="str">
            <v>Clubiona norvegica</v>
          </cell>
          <cell r="E5811" t="str">
            <v>LC</v>
          </cell>
          <cell r="F5811" t="str">
            <v>Harvey et al., 2017</v>
          </cell>
          <cell r="G5811" t="str">
            <v>NBNSYS0000008679</v>
          </cell>
          <cell r="H5811" t="str">
            <v>Clubiona norvegica</v>
          </cell>
        </row>
        <row r="5812">
          <cell r="A5812" t="str">
            <v>Clubiona pallidula</v>
          </cell>
          <cell r="B5812" t="str">
            <v>Spiders</v>
          </cell>
          <cell r="C5812" t="str">
            <v>Araneae</v>
          </cell>
          <cell r="D5812" t="str">
            <v>Clubiona pallidula</v>
          </cell>
          <cell r="E5812" t="str">
            <v>LC</v>
          </cell>
          <cell r="F5812" t="str">
            <v>Harvey et al., 2017</v>
          </cell>
          <cell r="G5812" t="str">
            <v>NBNSYS0000008681</v>
          </cell>
          <cell r="H5812" t="str">
            <v>Clubiona pallidula</v>
          </cell>
        </row>
        <row r="5813">
          <cell r="A5813" t="str">
            <v>Clubiona phragmitis</v>
          </cell>
          <cell r="B5813" t="str">
            <v>Spiders</v>
          </cell>
          <cell r="C5813" t="str">
            <v>Araneae</v>
          </cell>
          <cell r="D5813" t="str">
            <v>Clubiona phragmitis</v>
          </cell>
          <cell r="E5813" t="str">
            <v>LC</v>
          </cell>
          <cell r="F5813" t="str">
            <v>Harvey et al., 2017</v>
          </cell>
          <cell r="G5813" t="str">
            <v>NBNSYS0000008682</v>
          </cell>
          <cell r="H5813" t="str">
            <v>Clubiona phragmitis</v>
          </cell>
        </row>
        <row r="5814">
          <cell r="A5814" t="str">
            <v>Clubiona pseudoneglecta</v>
          </cell>
          <cell r="B5814" t="str">
            <v>Spiders</v>
          </cell>
          <cell r="C5814" t="str">
            <v>Araneae</v>
          </cell>
          <cell r="D5814" t="str">
            <v>Clubiona pseudoneglecta</v>
          </cell>
          <cell r="E5814" t="str">
            <v>VU</v>
          </cell>
          <cell r="F5814" t="str">
            <v>Harvey et al., 2017</v>
          </cell>
          <cell r="G5814" t="str">
            <v>NBNSYS0100002489</v>
          </cell>
          <cell r="H5814" t="str">
            <v>Clubiona pseudoneglecta</v>
          </cell>
        </row>
        <row r="5815">
          <cell r="A5815" t="str">
            <v>Clubiona reclusa</v>
          </cell>
          <cell r="B5815" t="str">
            <v>Spiders</v>
          </cell>
          <cell r="C5815" t="str">
            <v>Araneae</v>
          </cell>
          <cell r="D5815" t="str">
            <v>Clubiona reclusa</v>
          </cell>
          <cell r="E5815" t="str">
            <v>LC</v>
          </cell>
          <cell r="F5815" t="str">
            <v>Harvey et al., 2017</v>
          </cell>
          <cell r="G5815" t="str">
            <v>NBNSYS0000008675</v>
          </cell>
          <cell r="H5815" t="str">
            <v>Clubiona reclusa</v>
          </cell>
        </row>
        <row r="5816">
          <cell r="A5816" t="str">
            <v>Clubiona rosserae</v>
          </cell>
          <cell r="B5816" t="str">
            <v>Spiders</v>
          </cell>
          <cell r="C5816" t="str">
            <v>Araneae</v>
          </cell>
          <cell r="D5816" t="str">
            <v>Clubiona rosserae</v>
          </cell>
          <cell r="E5816" t="str">
            <v>VU</v>
          </cell>
          <cell r="F5816" t="str">
            <v>Harvey et al., 2017</v>
          </cell>
          <cell r="G5816" t="str">
            <v>NBNSYS0000008678</v>
          </cell>
          <cell r="H5816" t="str">
            <v>Clubiona rosserae</v>
          </cell>
        </row>
        <row r="5817">
          <cell r="A5817" t="str">
            <v>Clubiona stagnatilis</v>
          </cell>
          <cell r="B5817" t="str">
            <v>Spiders</v>
          </cell>
          <cell r="C5817" t="str">
            <v>Araneae</v>
          </cell>
          <cell r="D5817" t="str">
            <v>Clubiona stagnatilis</v>
          </cell>
          <cell r="E5817" t="str">
            <v>LC</v>
          </cell>
          <cell r="F5817" t="str">
            <v>Harvey et al., 2017</v>
          </cell>
          <cell r="G5817" t="str">
            <v>NBNSYS0000008677</v>
          </cell>
          <cell r="H5817" t="str">
            <v>Clubiona stagnatilis</v>
          </cell>
        </row>
        <row r="5818">
          <cell r="A5818" t="str">
            <v>Clubiona subtilis</v>
          </cell>
          <cell r="B5818" t="str">
            <v>Spiders</v>
          </cell>
          <cell r="C5818" t="str">
            <v>Araneae</v>
          </cell>
          <cell r="D5818" t="str">
            <v>Clubiona subtilis</v>
          </cell>
          <cell r="E5818" t="str">
            <v>LC</v>
          </cell>
          <cell r="F5818" t="str">
            <v>Harvey et al., 2017</v>
          </cell>
          <cell r="G5818" t="str">
            <v>NBNSYS0000008693</v>
          </cell>
          <cell r="H5818" t="str">
            <v>Clubiona subtilis</v>
          </cell>
        </row>
        <row r="5819">
          <cell r="A5819" t="str">
            <v>Clubiona terrestris</v>
          </cell>
          <cell r="B5819" t="str">
            <v>Spiders</v>
          </cell>
          <cell r="C5819" t="str">
            <v>Araneae</v>
          </cell>
          <cell r="D5819" t="str">
            <v>Clubiona terrestris</v>
          </cell>
          <cell r="E5819" t="str">
            <v>LC</v>
          </cell>
          <cell r="F5819" t="str">
            <v>Harvey et al., 2017</v>
          </cell>
          <cell r="G5819" t="str">
            <v>NBNSYS0000008683</v>
          </cell>
          <cell r="H5819" t="str">
            <v>Clubiona terrestris</v>
          </cell>
        </row>
        <row r="5820">
          <cell r="A5820" t="str">
            <v>Clubiona trivialis</v>
          </cell>
          <cell r="B5820" t="str">
            <v>Spiders</v>
          </cell>
          <cell r="C5820" t="str">
            <v>Araneae</v>
          </cell>
          <cell r="D5820" t="str">
            <v>Clubiona trivialis</v>
          </cell>
          <cell r="E5820" t="str">
            <v>LC</v>
          </cell>
          <cell r="F5820" t="str">
            <v>Harvey et al., 2017</v>
          </cell>
          <cell r="G5820" t="str">
            <v>NBNSYS0000008689</v>
          </cell>
          <cell r="H5820" t="str">
            <v>Clubiona trivialis</v>
          </cell>
        </row>
        <row r="5821">
          <cell r="A5821" t="str">
            <v>Cnephalocotes obscurus</v>
          </cell>
          <cell r="B5821" t="str">
            <v>Spiders</v>
          </cell>
          <cell r="C5821" t="str">
            <v>Araneae</v>
          </cell>
          <cell r="D5821" t="str">
            <v>Cnephalocotes obscurus</v>
          </cell>
          <cell r="E5821" t="str">
            <v>LC</v>
          </cell>
          <cell r="F5821" t="str">
            <v>Harvey et al., 2017</v>
          </cell>
          <cell r="G5821" t="str">
            <v>NBNSYS0000009047</v>
          </cell>
          <cell r="H5821" t="str">
            <v>Cnephalocotes obscurus</v>
          </cell>
        </row>
        <row r="5822">
          <cell r="A5822" t="str">
            <v>Coelotes atropos</v>
          </cell>
          <cell r="B5822" t="str">
            <v>Spiders</v>
          </cell>
          <cell r="C5822" t="str">
            <v>Araneae</v>
          </cell>
          <cell r="D5822" t="str">
            <v>Coelotes atropos</v>
          </cell>
          <cell r="E5822" t="str">
            <v>LC</v>
          </cell>
          <cell r="F5822" t="str">
            <v>Harvey et al., 2017</v>
          </cell>
          <cell r="G5822" t="str">
            <v>NBNSYS0000008844</v>
          </cell>
          <cell r="H5822" t="str">
            <v>Coelotes atropos</v>
          </cell>
        </row>
        <row r="5823">
          <cell r="A5823" t="str">
            <v>Coelotes terrestris</v>
          </cell>
          <cell r="B5823" t="str">
            <v>Spiders</v>
          </cell>
          <cell r="C5823" t="str">
            <v>Araneae</v>
          </cell>
          <cell r="D5823" t="str">
            <v>Coelotes terrestris</v>
          </cell>
          <cell r="E5823" t="str">
            <v>LC</v>
          </cell>
          <cell r="F5823" t="str">
            <v>Harvey et al., 2017</v>
          </cell>
          <cell r="G5823" t="str">
            <v>NBNSYS0000008845</v>
          </cell>
          <cell r="H5823" t="str">
            <v>Coelotes terrestris</v>
          </cell>
        </row>
        <row r="5824">
          <cell r="A5824" t="str">
            <v>Crustulina guttata</v>
          </cell>
          <cell r="B5824" t="str">
            <v>Spiders</v>
          </cell>
          <cell r="C5824" t="str">
            <v>Araneae</v>
          </cell>
          <cell r="D5824" t="str">
            <v>Crustulina guttata</v>
          </cell>
          <cell r="E5824" t="str">
            <v>LC</v>
          </cell>
          <cell r="F5824" t="str">
            <v>Harvey et al., 2017</v>
          </cell>
          <cell r="G5824" t="str">
            <v>NBNSYS0000008873</v>
          </cell>
          <cell r="H5824" t="str">
            <v>Crustulina guttata</v>
          </cell>
        </row>
        <row r="5825">
          <cell r="A5825" t="str">
            <v>Crustulina sticta</v>
          </cell>
          <cell r="B5825" t="str">
            <v>Spiders</v>
          </cell>
          <cell r="C5825" t="str">
            <v>Araneae</v>
          </cell>
          <cell r="D5825" t="str">
            <v>Crustulina sticta</v>
          </cell>
          <cell r="E5825" t="str">
            <v>LC</v>
          </cell>
          <cell r="F5825" t="str">
            <v>Harvey et al., 2017</v>
          </cell>
          <cell r="G5825" t="str">
            <v>NBNSYS0000008874</v>
          </cell>
          <cell r="H5825" t="str">
            <v>Crustulina sticta</v>
          </cell>
        </row>
        <row r="5826">
          <cell r="A5826" t="str">
            <v>Cryphoeca silvicola</v>
          </cell>
          <cell r="B5826" t="str">
            <v>Spiders</v>
          </cell>
          <cell r="C5826" t="str">
            <v>Araneae</v>
          </cell>
          <cell r="D5826" t="str">
            <v>Cryphoeca silvicola</v>
          </cell>
          <cell r="E5826" t="str">
            <v>LC</v>
          </cell>
          <cell r="F5826" t="str">
            <v>Harvey et al., 2017</v>
          </cell>
          <cell r="G5826" t="str">
            <v>NBNSYS0000008847</v>
          </cell>
          <cell r="H5826" t="str">
            <v>Cryphoeca silvicola</v>
          </cell>
        </row>
        <row r="5827">
          <cell r="A5827" t="str">
            <v>Cyclosa conica</v>
          </cell>
          <cell r="B5827" t="str">
            <v>Spiders</v>
          </cell>
          <cell r="C5827" t="str">
            <v>Araneae</v>
          </cell>
          <cell r="D5827" t="str">
            <v>Cyclosa conica</v>
          </cell>
          <cell r="E5827" t="str">
            <v>LC</v>
          </cell>
          <cell r="F5827" t="str">
            <v>Harvey et al., 2017</v>
          </cell>
          <cell r="G5827" t="str">
            <v>NBNSYS0000008963</v>
          </cell>
          <cell r="H5827" t="str">
            <v>Cyclosa conica</v>
          </cell>
        </row>
        <row r="5828">
          <cell r="A5828" t="str">
            <v>Diaea dorsata</v>
          </cell>
          <cell r="B5828" t="str">
            <v>Spiders</v>
          </cell>
          <cell r="C5828" t="str">
            <v>Araneae</v>
          </cell>
          <cell r="D5828" t="str">
            <v>Diaea dorsata</v>
          </cell>
          <cell r="E5828" t="str">
            <v>LC</v>
          </cell>
          <cell r="F5828" t="str">
            <v>Harvey et al., 2017</v>
          </cell>
          <cell r="G5828" t="str">
            <v>NBNSYS0000008717</v>
          </cell>
          <cell r="H5828" t="str">
            <v>Diaea dorsata</v>
          </cell>
        </row>
        <row r="5829">
          <cell r="A5829" t="str">
            <v>Dictyna arundinacea</v>
          </cell>
          <cell r="B5829" t="str">
            <v>Spiders</v>
          </cell>
          <cell r="C5829" t="str">
            <v>Araneae</v>
          </cell>
          <cell r="D5829" t="str">
            <v>Dictyna arundinacea</v>
          </cell>
          <cell r="E5829" t="str">
            <v>LC</v>
          </cell>
          <cell r="F5829" t="str">
            <v>Harvey et al., 2017</v>
          </cell>
          <cell r="G5829" t="str">
            <v>NBNSYS0000008613</v>
          </cell>
          <cell r="H5829" t="str">
            <v>Dictyna arundinacea</v>
          </cell>
        </row>
        <row r="5830">
          <cell r="A5830" t="str">
            <v>Dictyna latens</v>
          </cell>
          <cell r="B5830" t="str">
            <v>Spiders</v>
          </cell>
          <cell r="C5830" t="str">
            <v>Araneae</v>
          </cell>
          <cell r="D5830" t="str">
            <v>Dictyna latens</v>
          </cell>
          <cell r="E5830" t="str">
            <v>LC</v>
          </cell>
          <cell r="F5830" t="str">
            <v>Harvey et al., 2017</v>
          </cell>
          <cell r="G5830" t="str">
            <v>NHMSYS0021453572</v>
          </cell>
          <cell r="H5830" t="str">
            <v>Dictyna latens</v>
          </cell>
        </row>
        <row r="5831">
          <cell r="A5831" t="str">
            <v>Dictyna pusilla</v>
          </cell>
          <cell r="B5831" t="str">
            <v>Spiders</v>
          </cell>
          <cell r="C5831" t="str">
            <v>Araneae</v>
          </cell>
          <cell r="D5831" t="str">
            <v>Dictyna pusilla</v>
          </cell>
          <cell r="E5831" t="str">
            <v>LC</v>
          </cell>
          <cell r="F5831" t="str">
            <v>Harvey et al., 2017</v>
          </cell>
          <cell r="G5831" t="str">
            <v>NBNSYS0000008614</v>
          </cell>
          <cell r="H5831" t="str">
            <v>Dictyna pusilla</v>
          </cell>
        </row>
        <row r="5832">
          <cell r="A5832" t="str">
            <v>Dictyna uncinata</v>
          </cell>
          <cell r="B5832" t="str">
            <v>Spiders</v>
          </cell>
          <cell r="C5832" t="str">
            <v>Araneae</v>
          </cell>
          <cell r="D5832" t="str">
            <v>Dictyna uncinata</v>
          </cell>
          <cell r="E5832" t="str">
            <v>LC</v>
          </cell>
          <cell r="F5832" t="str">
            <v>Harvey et al., 2017</v>
          </cell>
          <cell r="G5832" t="str">
            <v>NBNSYS0000008616</v>
          </cell>
          <cell r="H5832" t="str">
            <v>Dictyna uncinata</v>
          </cell>
        </row>
        <row r="5833">
          <cell r="A5833" t="str">
            <v>Dicymbium brevisetosum</v>
          </cell>
          <cell r="B5833" t="str">
            <v>Spiders</v>
          </cell>
          <cell r="C5833" t="str">
            <v>Araneae</v>
          </cell>
          <cell r="D5833" t="str">
            <v>Dicymbium brevisetosum</v>
          </cell>
          <cell r="E5833" t="str">
            <v>LC</v>
          </cell>
          <cell r="F5833" t="str">
            <v>Harvey et al., 2017</v>
          </cell>
          <cell r="G5833" t="str">
            <v>NBNSYS0000008991</v>
          </cell>
          <cell r="H5833" t="str">
            <v>Dicymbium brevisetosum</v>
          </cell>
        </row>
        <row r="5834">
          <cell r="A5834" t="str">
            <v>Dicymbium nigrum</v>
          </cell>
          <cell r="B5834" t="str">
            <v>Spiders</v>
          </cell>
          <cell r="C5834" t="str">
            <v>Araneae</v>
          </cell>
          <cell r="D5834" t="str">
            <v>Dicymbium nigrum</v>
          </cell>
          <cell r="E5834" t="str">
            <v>LC</v>
          </cell>
          <cell r="F5834" t="str">
            <v>Harvey et al., 2017</v>
          </cell>
          <cell r="G5834" t="str">
            <v>NBNSYS0000008990</v>
          </cell>
          <cell r="H5834" t="str">
            <v>Dicymbium nigrum</v>
          </cell>
        </row>
        <row r="5835">
          <cell r="A5835" t="str">
            <v>Dicymbium tibiale</v>
          </cell>
          <cell r="B5835" t="str">
            <v>Spiders</v>
          </cell>
          <cell r="C5835" t="str">
            <v>Araneae</v>
          </cell>
          <cell r="D5835" t="str">
            <v>Dicymbium tibiale</v>
          </cell>
          <cell r="E5835" t="str">
            <v>LC</v>
          </cell>
          <cell r="F5835" t="str">
            <v>Harvey et al., 2017</v>
          </cell>
          <cell r="G5835" t="str">
            <v>NBNSYS0000008992</v>
          </cell>
          <cell r="H5835" t="str">
            <v>Dicymbium tibiale</v>
          </cell>
        </row>
        <row r="5836">
          <cell r="A5836" t="str">
            <v>Diplocentria bidentata</v>
          </cell>
          <cell r="B5836" t="str">
            <v>Spiders</v>
          </cell>
          <cell r="C5836" t="str">
            <v>Araneae</v>
          </cell>
          <cell r="D5836" t="str">
            <v>Diplocentria bidentata</v>
          </cell>
          <cell r="E5836" t="str">
            <v>LC</v>
          </cell>
          <cell r="F5836" t="str">
            <v>Harvey et al., 2017</v>
          </cell>
          <cell r="G5836" t="str">
            <v>NBNSYS0000009101</v>
          </cell>
          <cell r="H5836" t="str">
            <v>Diplocentria bidentata</v>
          </cell>
        </row>
        <row r="5837">
          <cell r="A5837" t="str">
            <v>Diplocephalus connatus</v>
          </cell>
          <cell r="B5837" t="str">
            <v>Spiders</v>
          </cell>
          <cell r="C5837" t="str">
            <v>Araneae</v>
          </cell>
          <cell r="D5837" t="str">
            <v>Diplocephalus connatus</v>
          </cell>
          <cell r="E5837" t="str">
            <v>CR</v>
          </cell>
          <cell r="F5837" t="str">
            <v>Harvey et al., 2017</v>
          </cell>
          <cell r="G5837" t="str">
            <v>NBNSYS0000009089</v>
          </cell>
          <cell r="H5837" t="str">
            <v>Diplocephalus connatus</v>
          </cell>
        </row>
        <row r="5838">
          <cell r="A5838" t="str">
            <v>Diplocephalus cristatus</v>
          </cell>
          <cell r="B5838" t="str">
            <v>Spiders</v>
          </cell>
          <cell r="C5838" t="str">
            <v>Araneae</v>
          </cell>
          <cell r="D5838" t="str">
            <v>Diplocephalus cristatus</v>
          </cell>
          <cell r="E5838" t="str">
            <v>LC</v>
          </cell>
          <cell r="F5838" t="str">
            <v>Harvey et al., 2017</v>
          </cell>
          <cell r="G5838" t="str">
            <v>NBNSYS0000009086</v>
          </cell>
          <cell r="H5838" t="str">
            <v>Diplocephalus cristatus</v>
          </cell>
        </row>
        <row r="5839">
          <cell r="A5839" t="str">
            <v>Diplocephalus latifrons</v>
          </cell>
          <cell r="B5839" t="str">
            <v>Spiders</v>
          </cell>
          <cell r="C5839" t="str">
            <v>Araneae</v>
          </cell>
          <cell r="D5839" t="str">
            <v>Diplocephalus latifrons</v>
          </cell>
          <cell r="E5839" t="str">
            <v>LC</v>
          </cell>
          <cell r="F5839" t="str">
            <v>Harvey et al., 2017</v>
          </cell>
          <cell r="G5839" t="str">
            <v>NBNSYS0000009088</v>
          </cell>
          <cell r="H5839" t="str">
            <v>Diplocephalus latifrons</v>
          </cell>
        </row>
        <row r="5840">
          <cell r="A5840" t="str">
            <v>Diplocephalus permixtus</v>
          </cell>
          <cell r="B5840" t="str">
            <v>Spiders</v>
          </cell>
          <cell r="C5840" t="str">
            <v>Araneae</v>
          </cell>
          <cell r="D5840" t="str">
            <v>Diplocephalus permixtus</v>
          </cell>
          <cell r="E5840" t="str">
            <v>LC</v>
          </cell>
          <cell r="F5840" t="str">
            <v>Harvey et al., 2017</v>
          </cell>
          <cell r="G5840" t="str">
            <v>NBNSYS0000009087</v>
          </cell>
          <cell r="H5840" t="str">
            <v>Diplocephalus permixtus</v>
          </cell>
        </row>
        <row r="5841">
          <cell r="A5841" t="str">
            <v>Diplocephalus picinus</v>
          </cell>
          <cell r="B5841" t="str">
            <v>Spiders</v>
          </cell>
          <cell r="C5841" t="str">
            <v>Araneae</v>
          </cell>
          <cell r="D5841" t="str">
            <v>Diplocephalus picinus</v>
          </cell>
          <cell r="E5841" t="str">
            <v>LC</v>
          </cell>
          <cell r="F5841" t="str">
            <v>Harvey et al., 2017</v>
          </cell>
          <cell r="G5841" t="str">
            <v>NBNSYS0000009091</v>
          </cell>
          <cell r="H5841" t="str">
            <v>Diplocephalus picinus</v>
          </cell>
        </row>
        <row r="5842">
          <cell r="A5842" t="str">
            <v>Diplocephalus protuberans</v>
          </cell>
          <cell r="B5842" t="str">
            <v>Spiders</v>
          </cell>
          <cell r="C5842" t="str">
            <v>Araneae</v>
          </cell>
          <cell r="D5842" t="str">
            <v>Diplocephalus protuberans</v>
          </cell>
          <cell r="E5842" t="str">
            <v>VU</v>
          </cell>
          <cell r="F5842" t="str">
            <v>Harvey et al., 2017</v>
          </cell>
          <cell r="G5842" t="str">
            <v>NBNSYS0000009092</v>
          </cell>
          <cell r="H5842" t="str">
            <v>Diplocephalus protuberans</v>
          </cell>
        </row>
        <row r="5843">
          <cell r="A5843" t="str">
            <v>Diplostyla concolor</v>
          </cell>
          <cell r="B5843" t="str">
            <v>Spiders</v>
          </cell>
          <cell r="C5843" t="str">
            <v>Araneae</v>
          </cell>
          <cell r="D5843" t="str">
            <v>Diplostyla concolor</v>
          </cell>
          <cell r="E5843" t="str">
            <v>LC</v>
          </cell>
          <cell r="F5843" t="str">
            <v>Harvey et al., 2017</v>
          </cell>
          <cell r="G5843" t="str">
            <v>NBNSYS0000009198</v>
          </cell>
          <cell r="H5843" t="str">
            <v>Diplostyla concolor</v>
          </cell>
        </row>
        <row r="5844">
          <cell r="A5844" t="str">
            <v>Dipoena coracina</v>
          </cell>
          <cell r="B5844" t="str">
            <v>Spiders</v>
          </cell>
          <cell r="C5844" t="str">
            <v>Araneae</v>
          </cell>
          <cell r="D5844" t="str">
            <v>Dipoena coracina</v>
          </cell>
          <cell r="E5844" t="str">
            <v>RE</v>
          </cell>
          <cell r="F5844" t="str">
            <v>Harvey et al., 2017</v>
          </cell>
          <cell r="G5844" t="str">
            <v>NBNSYS0000008870</v>
          </cell>
          <cell r="H5844" t="str">
            <v>Dipoena coracina</v>
          </cell>
        </row>
        <row r="5845">
          <cell r="A5845" t="str">
            <v>Dipoena erythropus</v>
          </cell>
          <cell r="B5845" t="str">
            <v>Spiders</v>
          </cell>
          <cell r="C5845" t="str">
            <v>Araneae</v>
          </cell>
          <cell r="D5845" t="str">
            <v>Dipoena erythropus</v>
          </cell>
          <cell r="E5845" t="str">
            <v>VU</v>
          </cell>
          <cell r="F5845" t="str">
            <v>Harvey et al., 2017</v>
          </cell>
          <cell r="G5845" t="str">
            <v>NBNSYS0000008866</v>
          </cell>
          <cell r="H5845" t="str">
            <v>Dipoena erythropus</v>
          </cell>
        </row>
        <row r="5846">
          <cell r="A5846" t="str">
            <v>Dipoena inornata</v>
          </cell>
          <cell r="B5846" t="str">
            <v>Spiders</v>
          </cell>
          <cell r="C5846" t="str">
            <v>Araneae</v>
          </cell>
          <cell r="D5846" t="str">
            <v>Dipoena inornata</v>
          </cell>
          <cell r="E5846" t="str">
            <v>LC</v>
          </cell>
          <cell r="F5846" t="str">
            <v>Harvey et al., 2017</v>
          </cell>
          <cell r="G5846" t="str">
            <v>NHMSYS0020785986</v>
          </cell>
          <cell r="H5846" t="str">
            <v>Dipoena inornata</v>
          </cell>
        </row>
        <row r="5847">
          <cell r="A5847" t="str">
            <v>Dipoena melanogaster</v>
          </cell>
          <cell r="B5847" t="str">
            <v>Spiders</v>
          </cell>
          <cell r="C5847" t="str">
            <v>Araneae</v>
          </cell>
          <cell r="D5847" t="str">
            <v>Dipoena melanogaster</v>
          </cell>
          <cell r="E5847" t="str">
            <v>EN</v>
          </cell>
          <cell r="F5847" t="str">
            <v>Harvey et al., 2017</v>
          </cell>
          <cell r="G5847" t="str">
            <v>NBNSYS0000008871</v>
          </cell>
          <cell r="H5847" t="str">
            <v>Dipoena melanogaster</v>
          </cell>
        </row>
        <row r="5848">
          <cell r="A5848" t="str">
            <v>Dipoena prona</v>
          </cell>
          <cell r="B5848" t="str">
            <v>Spiders</v>
          </cell>
          <cell r="C5848" t="str">
            <v>Araneae</v>
          </cell>
          <cell r="D5848" t="str">
            <v>Dipoena prona</v>
          </cell>
          <cell r="E5848" t="str">
            <v>EN</v>
          </cell>
          <cell r="F5848" t="str">
            <v>Harvey et al., 2017</v>
          </cell>
          <cell r="G5848" t="str">
            <v>NHMSYS0020785963</v>
          </cell>
          <cell r="H5848" t="str">
            <v>Dipoena prona</v>
          </cell>
        </row>
        <row r="5849">
          <cell r="A5849" t="str">
            <v>Dipoena tristis</v>
          </cell>
          <cell r="B5849" t="str">
            <v>Spiders</v>
          </cell>
          <cell r="C5849" t="str">
            <v>Araneae</v>
          </cell>
          <cell r="D5849" t="str">
            <v>Dipoena tristis</v>
          </cell>
          <cell r="E5849" t="str">
            <v>LC</v>
          </cell>
          <cell r="F5849" t="str">
            <v>Harvey et al., 2017</v>
          </cell>
          <cell r="G5849" t="str">
            <v>NHMSYS0020785964</v>
          </cell>
          <cell r="H5849" t="str">
            <v>Dipoena tristis</v>
          </cell>
        </row>
        <row r="5850">
          <cell r="A5850" t="str">
            <v>Dismodicus bifrons</v>
          </cell>
          <cell r="B5850" t="str">
            <v>Spiders</v>
          </cell>
          <cell r="C5850" t="str">
            <v>Araneae</v>
          </cell>
          <cell r="D5850" t="str">
            <v>Dismodicus bifrons</v>
          </cell>
          <cell r="E5850" t="str">
            <v>LC</v>
          </cell>
          <cell r="F5850" t="str">
            <v>Harvey et al., 2017</v>
          </cell>
          <cell r="G5850" t="str">
            <v>NBNSYS0000009005</v>
          </cell>
          <cell r="H5850" t="str">
            <v>Dismodicus bifrons</v>
          </cell>
        </row>
        <row r="5851">
          <cell r="A5851" t="str">
            <v>Dismodicus elevatus</v>
          </cell>
          <cell r="B5851" t="str">
            <v>Spiders</v>
          </cell>
          <cell r="C5851" t="str">
            <v>Araneae</v>
          </cell>
          <cell r="D5851" t="str">
            <v>Dismodicus elevatus</v>
          </cell>
          <cell r="E5851" t="str">
            <v>VU</v>
          </cell>
          <cell r="F5851" t="str">
            <v>Harvey et al., 2017</v>
          </cell>
          <cell r="G5851" t="str">
            <v>NBNSYS0000009006</v>
          </cell>
          <cell r="H5851" t="str">
            <v>Dismodicus elevatus</v>
          </cell>
        </row>
        <row r="5852">
          <cell r="A5852" t="str">
            <v>Dolomedes fimbriatus</v>
          </cell>
          <cell r="B5852" t="str">
            <v>Spiders</v>
          </cell>
          <cell r="C5852" t="str">
            <v>Araneae</v>
          </cell>
          <cell r="D5852" t="str">
            <v>Dolomedes fimbriatus</v>
          </cell>
          <cell r="E5852" t="str">
            <v>LC</v>
          </cell>
          <cell r="F5852" t="str">
            <v>Harvey et al., 2017</v>
          </cell>
          <cell r="G5852" t="str">
            <v>NBNSYS0000008831</v>
          </cell>
          <cell r="H5852" t="str">
            <v>Dolomedes fimbriatus</v>
          </cell>
        </row>
        <row r="5853">
          <cell r="A5853" t="str">
            <v>Dolomedes plantarius</v>
          </cell>
          <cell r="B5853" t="str">
            <v>Spiders</v>
          </cell>
          <cell r="C5853" t="str">
            <v>Araneae</v>
          </cell>
          <cell r="D5853" t="str">
            <v>Dolomedes plantarius</v>
          </cell>
          <cell r="E5853" t="str">
            <v>VU</v>
          </cell>
          <cell r="F5853" t="str">
            <v>Harvey et al., 2017</v>
          </cell>
          <cell r="G5853" t="str">
            <v>NBNSYS0000008832</v>
          </cell>
          <cell r="H5853" t="str">
            <v>Dolomedes plantarius</v>
          </cell>
        </row>
        <row r="5854">
          <cell r="A5854" t="str">
            <v>Donacochara speciosa</v>
          </cell>
          <cell r="B5854" t="str">
            <v>Spiders</v>
          </cell>
          <cell r="C5854" t="str">
            <v>Araneae</v>
          </cell>
          <cell r="D5854" t="str">
            <v>Donacochara speciosa</v>
          </cell>
          <cell r="E5854" t="str">
            <v>LC</v>
          </cell>
          <cell r="F5854" t="str">
            <v>Harvey et al., 2017</v>
          </cell>
          <cell r="G5854" t="str">
            <v>NBNSYS0000009117</v>
          </cell>
          <cell r="H5854" t="str">
            <v>Donacochara speciosa</v>
          </cell>
        </row>
        <row r="5855">
          <cell r="A5855" t="str">
            <v>Drapetisca socialis</v>
          </cell>
          <cell r="B5855" t="str">
            <v>Spiders</v>
          </cell>
          <cell r="C5855" t="str">
            <v>Araneae</v>
          </cell>
          <cell r="D5855" t="str">
            <v>Drapetisca socialis</v>
          </cell>
          <cell r="E5855" t="str">
            <v>LC</v>
          </cell>
          <cell r="F5855" t="str">
            <v>Harvey et al., 2017</v>
          </cell>
          <cell r="G5855" t="str">
            <v>NBNSYS0000009200</v>
          </cell>
          <cell r="H5855" t="str">
            <v>Drapetisca socialis</v>
          </cell>
        </row>
        <row r="5856">
          <cell r="A5856" t="str">
            <v>Drassodes cupreus</v>
          </cell>
          <cell r="B5856" t="str">
            <v>Spiders</v>
          </cell>
          <cell r="C5856" t="str">
            <v>Araneae</v>
          </cell>
          <cell r="D5856" t="str">
            <v>Drassodes cupreus</v>
          </cell>
          <cell r="E5856" t="str">
            <v>LC</v>
          </cell>
          <cell r="F5856" t="str">
            <v>Harvey et al., 2017</v>
          </cell>
          <cell r="G5856" t="str">
            <v>NBNSYS0000008643</v>
          </cell>
          <cell r="H5856" t="str">
            <v>Drassodes cupreus</v>
          </cell>
        </row>
        <row r="5857">
          <cell r="A5857" t="str">
            <v>Drassodes lapidosus</v>
          </cell>
          <cell r="B5857" t="str">
            <v>Spiders</v>
          </cell>
          <cell r="C5857" t="str">
            <v>Araneae</v>
          </cell>
          <cell r="D5857" t="str">
            <v>Drassodes lapidosus</v>
          </cell>
          <cell r="E5857" t="str">
            <v>LC</v>
          </cell>
          <cell r="F5857" t="str">
            <v>Harvey et al., 2017</v>
          </cell>
          <cell r="G5857" t="str">
            <v>NBNSYS0000008642</v>
          </cell>
          <cell r="H5857" t="str">
            <v>Drassodes lapidosus</v>
          </cell>
        </row>
        <row r="5858">
          <cell r="A5858" t="str">
            <v>Drassodes pubescens</v>
          </cell>
          <cell r="B5858" t="str">
            <v>Spiders</v>
          </cell>
          <cell r="C5858" t="str">
            <v>Araneae</v>
          </cell>
          <cell r="D5858" t="str">
            <v>Drassodes pubescens</v>
          </cell>
          <cell r="E5858" t="str">
            <v>LC</v>
          </cell>
          <cell r="F5858" t="str">
            <v>Harvey et al., 2017</v>
          </cell>
          <cell r="G5858" t="str">
            <v>NBNSYS0000008644</v>
          </cell>
          <cell r="H5858" t="str">
            <v>Drassodes pubescens</v>
          </cell>
        </row>
        <row r="5859">
          <cell r="A5859" t="str">
            <v>Drassyllus lutetianus</v>
          </cell>
          <cell r="B5859" t="str">
            <v>Spiders</v>
          </cell>
          <cell r="C5859" t="str">
            <v>Araneae</v>
          </cell>
          <cell r="D5859" t="str">
            <v>Drassyllus lutetianus</v>
          </cell>
          <cell r="E5859" t="str">
            <v>LC</v>
          </cell>
          <cell r="F5859" t="str">
            <v>Harvey et al., 2017</v>
          </cell>
          <cell r="G5859" t="str">
            <v>NBNSYS0000008662</v>
          </cell>
          <cell r="H5859" t="str">
            <v>Drassyllus lutetianus</v>
          </cell>
        </row>
        <row r="5860">
          <cell r="A5860" t="str">
            <v>Drassyllus praeficus</v>
          </cell>
          <cell r="B5860" t="str">
            <v>Spiders</v>
          </cell>
          <cell r="C5860" t="str">
            <v>Araneae</v>
          </cell>
          <cell r="D5860" t="str">
            <v>Drassyllus praeficus</v>
          </cell>
          <cell r="E5860" t="str">
            <v>LC</v>
          </cell>
          <cell r="F5860" t="str">
            <v>Harvey et al., 2017</v>
          </cell>
          <cell r="G5860" t="str">
            <v>NBNSYS0000008664</v>
          </cell>
          <cell r="H5860" t="str">
            <v>Drassyllus praeficus</v>
          </cell>
        </row>
        <row r="5861">
          <cell r="A5861" t="str">
            <v>Drassyllus pusillus</v>
          </cell>
          <cell r="B5861" t="str">
            <v>Spiders</v>
          </cell>
          <cell r="C5861" t="str">
            <v>Araneae</v>
          </cell>
          <cell r="D5861" t="str">
            <v>Drassyllus pusillus</v>
          </cell>
          <cell r="E5861" t="str">
            <v>LC</v>
          </cell>
          <cell r="F5861" t="str">
            <v>Harvey et al., 2017</v>
          </cell>
          <cell r="G5861" t="str">
            <v>NBNSYS0000008663</v>
          </cell>
          <cell r="H5861" t="str">
            <v>Drassyllus pusillus</v>
          </cell>
        </row>
        <row r="5862">
          <cell r="A5862" t="str">
            <v>Drepanotylus uncatus</v>
          </cell>
          <cell r="B5862" t="str">
            <v>Spiders</v>
          </cell>
          <cell r="C5862" t="str">
            <v>Araneae</v>
          </cell>
          <cell r="D5862" t="str">
            <v>Drepanotylus uncatus</v>
          </cell>
          <cell r="E5862" t="str">
            <v>LC</v>
          </cell>
          <cell r="F5862" t="str">
            <v>Harvey et al., 2017</v>
          </cell>
          <cell r="G5862" t="str">
            <v>NBNSYS0000009119</v>
          </cell>
          <cell r="H5862" t="str">
            <v>Drepanotylus uncatus</v>
          </cell>
        </row>
        <row r="5863">
          <cell r="A5863" t="str">
            <v>Dysdera crocata</v>
          </cell>
          <cell r="B5863" t="str">
            <v>Spiders</v>
          </cell>
          <cell r="C5863" t="str">
            <v>Araneae</v>
          </cell>
          <cell r="D5863" t="str">
            <v>Dysdera crocata</v>
          </cell>
          <cell r="E5863" t="str">
            <v>LC</v>
          </cell>
          <cell r="F5863" t="str">
            <v>Harvey et al., 2017</v>
          </cell>
          <cell r="G5863" t="str">
            <v>NBNSYS0000008632</v>
          </cell>
          <cell r="H5863" t="str">
            <v>Dysdera crocata</v>
          </cell>
        </row>
        <row r="5864">
          <cell r="A5864" t="str">
            <v>Dysdera erythrina</v>
          </cell>
          <cell r="B5864" t="str">
            <v>Spiders</v>
          </cell>
          <cell r="C5864" t="str">
            <v>Araneae</v>
          </cell>
          <cell r="D5864" t="str">
            <v>Dysdera erythrina</v>
          </cell>
          <cell r="E5864" t="str">
            <v>LC</v>
          </cell>
          <cell r="F5864" t="str">
            <v>Harvey et al., 2017</v>
          </cell>
          <cell r="G5864" t="str">
            <v>NBNSYS0000008631</v>
          </cell>
          <cell r="H5864" t="str">
            <v>Dysdera erythrina</v>
          </cell>
        </row>
        <row r="5865">
          <cell r="A5865" t="str">
            <v>Enoplognatha latimana</v>
          </cell>
          <cell r="B5865" t="str">
            <v>Spiders</v>
          </cell>
          <cell r="C5865" t="str">
            <v>Araneae</v>
          </cell>
          <cell r="D5865" t="str">
            <v>Enoplognatha latimana</v>
          </cell>
          <cell r="E5865" t="str">
            <v>LC</v>
          </cell>
          <cell r="F5865" t="str">
            <v>Harvey et al., 2017</v>
          </cell>
          <cell r="G5865" t="str">
            <v>NBNSYS0000008903</v>
          </cell>
          <cell r="H5865" t="str">
            <v>Enoplognatha latimana</v>
          </cell>
        </row>
        <row r="5866">
          <cell r="A5866" t="str">
            <v>Enoplognatha mordax</v>
          </cell>
          <cell r="B5866" t="str">
            <v>Spiders</v>
          </cell>
          <cell r="C5866" t="str">
            <v>Araneae</v>
          </cell>
          <cell r="D5866" t="str">
            <v>Enoplognatha mordax</v>
          </cell>
          <cell r="E5866" t="str">
            <v>LC</v>
          </cell>
          <cell r="F5866" t="str">
            <v>Harvey et al., 2017</v>
          </cell>
          <cell r="G5866" t="str">
            <v>NBNSYS0000008905</v>
          </cell>
          <cell r="H5866" t="str">
            <v>Enoplognatha mordax</v>
          </cell>
        </row>
        <row r="5867">
          <cell r="A5867" t="str">
            <v>Enoplognatha oelandica</v>
          </cell>
          <cell r="B5867" t="str">
            <v>Spiders</v>
          </cell>
          <cell r="C5867" t="str">
            <v>Araneae</v>
          </cell>
          <cell r="D5867" t="str">
            <v>Enoplognatha oelandica</v>
          </cell>
          <cell r="E5867" t="str">
            <v>CR</v>
          </cell>
          <cell r="F5867" t="str">
            <v>Harvey et al., 2017</v>
          </cell>
          <cell r="G5867" t="str">
            <v>NBNSYS0000008907</v>
          </cell>
          <cell r="H5867" t="str">
            <v>Enoplognatha oelandica</v>
          </cell>
        </row>
        <row r="5868">
          <cell r="A5868" t="str">
            <v>Enoplognatha ovata sens. str.</v>
          </cell>
          <cell r="B5868" t="str">
            <v>Spiders</v>
          </cell>
          <cell r="C5868" t="str">
            <v>Araneae</v>
          </cell>
          <cell r="D5868" t="str">
            <v>Enoplognatha ovata sens. str.</v>
          </cell>
          <cell r="E5868" t="str">
            <v>LC</v>
          </cell>
          <cell r="F5868" t="str">
            <v>Harvey et al., 2017</v>
          </cell>
          <cell r="G5868" t="str">
            <v>NBNSYS0200000027</v>
          </cell>
          <cell r="H5868" t="str">
            <v>Enoplognatha ovata sens. str.</v>
          </cell>
        </row>
        <row r="5869">
          <cell r="A5869" t="str">
            <v>Enoplognatha tecta</v>
          </cell>
          <cell r="B5869" t="str">
            <v>Spiders</v>
          </cell>
          <cell r="C5869" t="str">
            <v>Araneae</v>
          </cell>
          <cell r="D5869" t="str">
            <v>Enoplognatha tecta</v>
          </cell>
          <cell r="E5869" t="str">
            <v>VU</v>
          </cell>
          <cell r="F5869" t="str">
            <v>Harvey et al., 2017</v>
          </cell>
          <cell r="G5869" t="str">
            <v>NHMSYS0020785954</v>
          </cell>
          <cell r="H5869" t="str">
            <v>Enoplognatha tecta</v>
          </cell>
        </row>
        <row r="5870">
          <cell r="A5870" t="str">
            <v>Enoplognatha thoracica</v>
          </cell>
          <cell r="B5870" t="str">
            <v>Spiders</v>
          </cell>
          <cell r="C5870" t="str">
            <v>Araneae</v>
          </cell>
          <cell r="D5870" t="str">
            <v>Enoplognatha thoracica</v>
          </cell>
          <cell r="E5870" t="str">
            <v>LC</v>
          </cell>
          <cell r="F5870" t="str">
            <v>Harvey et al., 2017</v>
          </cell>
          <cell r="G5870" t="str">
            <v>NBNSYS0000008904</v>
          </cell>
          <cell r="H5870" t="str">
            <v>Enoplognatha thoracica</v>
          </cell>
        </row>
        <row r="5871">
          <cell r="A5871" t="str">
            <v>Entelecara acuminata</v>
          </cell>
          <cell r="B5871" t="str">
            <v>Spiders</v>
          </cell>
          <cell r="C5871" t="str">
            <v>Araneae</v>
          </cell>
          <cell r="D5871" t="str">
            <v>Entelecara acuminata</v>
          </cell>
          <cell r="E5871" t="str">
            <v>LC</v>
          </cell>
          <cell r="F5871" t="str">
            <v>Harvey et al., 2017</v>
          </cell>
          <cell r="G5871" t="str">
            <v>NBNSYS0000008993</v>
          </cell>
          <cell r="H5871" t="str">
            <v>Entelecara acuminata</v>
          </cell>
        </row>
        <row r="5872">
          <cell r="A5872" t="str">
            <v>Entelecara congenera</v>
          </cell>
          <cell r="B5872" t="str">
            <v>Spiders</v>
          </cell>
          <cell r="C5872" t="str">
            <v>Araneae</v>
          </cell>
          <cell r="D5872" t="str">
            <v>Entelecara congenera</v>
          </cell>
          <cell r="E5872" t="str">
            <v>LC</v>
          </cell>
          <cell r="F5872" t="str">
            <v>Harvey et al., 2017</v>
          </cell>
          <cell r="G5872" t="str">
            <v>NBNSYS0000008994</v>
          </cell>
          <cell r="H5872" t="str">
            <v>Entelecara congenera</v>
          </cell>
        </row>
        <row r="5873">
          <cell r="A5873" t="str">
            <v>Entelecara errata</v>
          </cell>
          <cell r="B5873" t="str">
            <v>Spiders</v>
          </cell>
          <cell r="C5873" t="str">
            <v>Araneae</v>
          </cell>
          <cell r="D5873" t="str">
            <v>Entelecara errata</v>
          </cell>
          <cell r="E5873" t="str">
            <v>LC</v>
          </cell>
          <cell r="F5873" t="str">
            <v>Harvey et al., 2017</v>
          </cell>
          <cell r="G5873" t="str">
            <v>NBNSYS0000008998</v>
          </cell>
          <cell r="H5873" t="str">
            <v>Entelecara errata</v>
          </cell>
        </row>
        <row r="5874">
          <cell r="A5874" t="str">
            <v>Entelecara erythropus</v>
          </cell>
          <cell r="B5874" t="str">
            <v>Spiders</v>
          </cell>
          <cell r="C5874" t="str">
            <v>Araneae</v>
          </cell>
          <cell r="D5874" t="str">
            <v>Entelecara erythropus</v>
          </cell>
          <cell r="E5874" t="str">
            <v>LC</v>
          </cell>
          <cell r="F5874" t="str">
            <v>Harvey et al., 2017</v>
          </cell>
          <cell r="G5874" t="str">
            <v>NBNSYS0000008995</v>
          </cell>
          <cell r="H5874" t="str">
            <v>Entelecara erythropus</v>
          </cell>
        </row>
        <row r="5875">
          <cell r="A5875" t="str">
            <v>Entelecara flavipes</v>
          </cell>
          <cell r="B5875" t="str">
            <v>Spiders</v>
          </cell>
          <cell r="C5875" t="str">
            <v>Araneae</v>
          </cell>
          <cell r="D5875" t="str">
            <v>Entelecara flavipes</v>
          </cell>
          <cell r="E5875" t="str">
            <v>LC</v>
          </cell>
          <cell r="F5875" t="str">
            <v>Harvey et al., 2017</v>
          </cell>
          <cell r="G5875" t="str">
            <v>NBNSYS0000008996</v>
          </cell>
          <cell r="H5875" t="str">
            <v>Entelecara flavipes</v>
          </cell>
        </row>
        <row r="5876">
          <cell r="A5876" t="str">
            <v>Entelecara omissa</v>
          </cell>
          <cell r="B5876" t="str">
            <v>Spiders</v>
          </cell>
          <cell r="C5876" t="str">
            <v>Araneae</v>
          </cell>
          <cell r="D5876" t="str">
            <v>Entelecara omissa</v>
          </cell>
          <cell r="E5876" t="str">
            <v>LC</v>
          </cell>
          <cell r="F5876" t="str">
            <v>Harvey et al., 2017</v>
          </cell>
          <cell r="G5876" t="str">
            <v>NBNSYS0000008997</v>
          </cell>
          <cell r="H5876" t="str">
            <v>Entelecara omissa</v>
          </cell>
        </row>
        <row r="5877">
          <cell r="A5877" t="str">
            <v>Episinus angulatus</v>
          </cell>
          <cell r="B5877" t="str">
            <v>Spiders</v>
          </cell>
          <cell r="C5877" t="str">
            <v>Araneae</v>
          </cell>
          <cell r="D5877" t="str">
            <v>Episinus angulatus</v>
          </cell>
          <cell r="E5877" t="str">
            <v>LC</v>
          </cell>
          <cell r="F5877" t="str">
            <v>Harvey et al., 2017</v>
          </cell>
          <cell r="G5877" t="str">
            <v>NBNSYS0000008862</v>
          </cell>
          <cell r="H5877" t="str">
            <v>Episinus angulatus</v>
          </cell>
        </row>
        <row r="5878">
          <cell r="A5878" t="str">
            <v>Episinus maculipes</v>
          </cell>
          <cell r="B5878" t="str">
            <v>Spiders</v>
          </cell>
          <cell r="C5878" t="str">
            <v>Araneae</v>
          </cell>
          <cell r="D5878" t="str">
            <v>Episinus maculipes</v>
          </cell>
          <cell r="E5878" t="str">
            <v>LC</v>
          </cell>
          <cell r="F5878" t="str">
            <v>Harvey et al., 2017</v>
          </cell>
          <cell r="G5878" t="str">
            <v>NBNSYS0000008864</v>
          </cell>
          <cell r="H5878" t="str">
            <v>Episinus maculipes</v>
          </cell>
        </row>
        <row r="5879">
          <cell r="A5879" t="str">
            <v>Episinus truncatus</v>
          </cell>
          <cell r="B5879" t="str">
            <v>Spiders</v>
          </cell>
          <cell r="C5879" t="str">
            <v>Araneae</v>
          </cell>
          <cell r="D5879" t="str">
            <v>Episinus truncatus</v>
          </cell>
          <cell r="E5879" t="str">
            <v>LC</v>
          </cell>
          <cell r="F5879" t="str">
            <v>Harvey et al., 2017</v>
          </cell>
          <cell r="G5879" t="str">
            <v>NBNSYS0000008863</v>
          </cell>
          <cell r="H5879" t="str">
            <v>Episinus truncatus</v>
          </cell>
        </row>
        <row r="5880">
          <cell r="A5880" t="str">
            <v>Eresus sandaliatus</v>
          </cell>
          <cell r="B5880" t="str">
            <v>Spiders</v>
          </cell>
          <cell r="C5880" t="str">
            <v>Araneae</v>
          </cell>
          <cell r="D5880" t="str">
            <v>Eresus sandaliatus</v>
          </cell>
          <cell r="E5880" t="str">
            <v>VU</v>
          </cell>
          <cell r="F5880" t="str">
            <v>Harvey et al., 2017</v>
          </cell>
          <cell r="G5880" t="str">
            <v>NBNSYS0000189355</v>
          </cell>
          <cell r="H5880" t="str">
            <v>Eresus sandaliatus</v>
          </cell>
        </row>
        <row r="5881">
          <cell r="A5881" t="str">
            <v>Erigone aletris</v>
          </cell>
          <cell r="B5881" t="str">
            <v>Spiders</v>
          </cell>
          <cell r="C5881" t="str">
            <v>Araneae</v>
          </cell>
          <cell r="D5881" t="str">
            <v>Erigone aletris</v>
          </cell>
          <cell r="E5881" t="str">
            <v>LC</v>
          </cell>
          <cell r="F5881" t="str">
            <v>Harvey et al., 2017</v>
          </cell>
          <cell r="G5881" t="str">
            <v>NBNSYS0000009111</v>
          </cell>
          <cell r="H5881" t="str">
            <v>Erigone aletris</v>
          </cell>
        </row>
        <row r="5882">
          <cell r="A5882" t="str">
            <v>Erigone arctica</v>
          </cell>
          <cell r="B5882" t="str">
            <v>Spiders</v>
          </cell>
          <cell r="C5882" t="str">
            <v>Araneae</v>
          </cell>
          <cell r="D5882" t="str">
            <v>Erigone arctica</v>
          </cell>
          <cell r="E5882" t="str">
            <v>LC</v>
          </cell>
          <cell r="F5882" t="str">
            <v>Harvey et al., 2017</v>
          </cell>
          <cell r="G5882" t="str">
            <v>NBNSYS0000009105</v>
          </cell>
          <cell r="H5882" t="str">
            <v>Erigone arctica</v>
          </cell>
        </row>
        <row r="5883">
          <cell r="A5883" t="str">
            <v>Erigone atra</v>
          </cell>
          <cell r="B5883" t="str">
            <v>Spiders</v>
          </cell>
          <cell r="C5883" t="str">
            <v>Araneae</v>
          </cell>
          <cell r="D5883" t="str">
            <v>Erigone atra</v>
          </cell>
          <cell r="E5883" t="str">
            <v>LC</v>
          </cell>
          <cell r="F5883" t="str">
            <v>Harvey et al., 2017</v>
          </cell>
          <cell r="G5883" t="str">
            <v>NBNSYS0000009103</v>
          </cell>
          <cell r="H5883" t="str">
            <v>Erigone atra</v>
          </cell>
        </row>
        <row r="5884">
          <cell r="A5884" t="str">
            <v>Erigone capra</v>
          </cell>
          <cell r="B5884" t="str">
            <v>Spiders</v>
          </cell>
          <cell r="C5884" t="str">
            <v>Araneae</v>
          </cell>
          <cell r="D5884" t="str">
            <v>Erigone capra</v>
          </cell>
          <cell r="E5884" t="str">
            <v>LC</v>
          </cell>
          <cell r="F5884" t="str">
            <v>Harvey et al., 2017</v>
          </cell>
          <cell r="G5884" t="str">
            <v>NHMSYS0020785955</v>
          </cell>
          <cell r="H5884" t="str">
            <v>Erigone capra</v>
          </cell>
        </row>
        <row r="5885">
          <cell r="A5885" t="str">
            <v>Erigone dentipalpis</v>
          </cell>
          <cell r="B5885" t="str">
            <v>Spiders</v>
          </cell>
          <cell r="C5885" t="str">
            <v>Araneae</v>
          </cell>
          <cell r="D5885" t="str">
            <v>Erigone dentipalpis</v>
          </cell>
          <cell r="E5885" t="str">
            <v>LC</v>
          </cell>
          <cell r="F5885" t="str">
            <v>Harvey et al., 2017</v>
          </cell>
          <cell r="G5885" t="str">
            <v>NBNSYS0000009102</v>
          </cell>
          <cell r="H5885" t="str">
            <v>Erigone dentipalpis</v>
          </cell>
        </row>
        <row r="5886">
          <cell r="A5886" t="str">
            <v>Erigone longipalpis</v>
          </cell>
          <cell r="B5886" t="str">
            <v>Spiders</v>
          </cell>
          <cell r="C5886" t="str">
            <v>Araneae</v>
          </cell>
          <cell r="D5886" t="str">
            <v>Erigone longipalpis</v>
          </cell>
          <cell r="E5886" t="str">
            <v>LC</v>
          </cell>
          <cell r="F5886" t="str">
            <v>Harvey et al., 2017</v>
          </cell>
          <cell r="G5886" t="str">
            <v>NBNSYS0000009106</v>
          </cell>
          <cell r="H5886" t="str">
            <v>Erigone longipalpis</v>
          </cell>
        </row>
        <row r="5887">
          <cell r="A5887" t="str">
            <v>Erigone promiscua</v>
          </cell>
          <cell r="B5887" t="str">
            <v>Spiders</v>
          </cell>
          <cell r="C5887" t="str">
            <v>Araneae</v>
          </cell>
          <cell r="D5887" t="str">
            <v>Erigone promiscua</v>
          </cell>
          <cell r="E5887" t="str">
            <v>LC</v>
          </cell>
          <cell r="F5887" t="str">
            <v>Harvey et al., 2017</v>
          </cell>
          <cell r="G5887" t="str">
            <v>NBNSYS0000009104</v>
          </cell>
          <cell r="H5887" t="str">
            <v>Erigone promiscua</v>
          </cell>
        </row>
        <row r="5888">
          <cell r="A5888" t="str">
            <v>Erigone psychrophila</v>
          </cell>
          <cell r="B5888" t="str">
            <v>Spiders</v>
          </cell>
          <cell r="C5888" t="str">
            <v>Araneae</v>
          </cell>
          <cell r="D5888" t="str">
            <v>Erigone psychrophila</v>
          </cell>
          <cell r="E5888" t="str">
            <v>NT</v>
          </cell>
          <cell r="F5888" t="str">
            <v>Harvey et al., 2017</v>
          </cell>
          <cell r="G5888" t="str">
            <v>NBNSYS0000009110</v>
          </cell>
          <cell r="H5888" t="str">
            <v>Erigone psychrophila</v>
          </cell>
        </row>
        <row r="5889">
          <cell r="A5889" t="str">
            <v>Erigone welchi</v>
          </cell>
          <cell r="B5889" t="str">
            <v>Spiders</v>
          </cell>
          <cell r="C5889" t="str">
            <v>Araneae</v>
          </cell>
          <cell r="D5889" t="str">
            <v>Erigone welchi</v>
          </cell>
          <cell r="E5889" t="str">
            <v>EN</v>
          </cell>
          <cell r="F5889" t="str">
            <v>Harvey et al., 2017</v>
          </cell>
          <cell r="G5889" t="str">
            <v>NBNSYS0000009109</v>
          </cell>
          <cell r="H5889" t="str">
            <v>Erigone welchi</v>
          </cell>
        </row>
        <row r="5890">
          <cell r="A5890" t="str">
            <v>Erigonella hiemalis</v>
          </cell>
          <cell r="B5890" t="str">
            <v>Spiders</v>
          </cell>
          <cell r="C5890" t="str">
            <v>Araneae</v>
          </cell>
          <cell r="D5890" t="str">
            <v>Erigonella hiemalis</v>
          </cell>
          <cell r="E5890" t="str">
            <v>LC</v>
          </cell>
          <cell r="F5890" t="str">
            <v>Harvey et al., 2017</v>
          </cell>
          <cell r="G5890" t="str">
            <v>NBNSYS0000009083</v>
          </cell>
          <cell r="H5890" t="str">
            <v>Erigonella hiemalis</v>
          </cell>
        </row>
        <row r="5891">
          <cell r="A5891" t="str">
            <v>Erigonella ignobilis</v>
          </cell>
          <cell r="B5891" t="str">
            <v>Spiders</v>
          </cell>
          <cell r="C5891" t="str">
            <v>Araneae</v>
          </cell>
          <cell r="D5891" t="str">
            <v>Erigonella ignobilis</v>
          </cell>
          <cell r="E5891" t="str">
            <v>LC</v>
          </cell>
          <cell r="F5891" t="str">
            <v>Harvey et al., 2017</v>
          </cell>
          <cell r="G5891" t="str">
            <v>NBNSYS0000009084</v>
          </cell>
          <cell r="H5891" t="str">
            <v>Erigonella ignobilis</v>
          </cell>
        </row>
        <row r="5892">
          <cell r="A5892" t="str">
            <v>Ero aphana</v>
          </cell>
          <cell r="B5892" t="str">
            <v>Spiders</v>
          </cell>
          <cell r="C5892" t="str">
            <v>Araneae</v>
          </cell>
          <cell r="D5892" t="str">
            <v>Ero aphana</v>
          </cell>
          <cell r="E5892" t="str">
            <v>LC</v>
          </cell>
          <cell r="F5892" t="str">
            <v>Harvey et al., 2017</v>
          </cell>
          <cell r="G5892" t="str">
            <v>NBNSYS0000008860</v>
          </cell>
          <cell r="H5892" t="str">
            <v>Ero aphana</v>
          </cell>
        </row>
        <row r="5893">
          <cell r="A5893" t="str">
            <v>Ero cambridgei</v>
          </cell>
          <cell r="B5893" t="str">
            <v>Spiders</v>
          </cell>
          <cell r="C5893" t="str">
            <v>Araneae</v>
          </cell>
          <cell r="D5893" t="str">
            <v>Ero cambridgei</v>
          </cell>
          <cell r="E5893" t="str">
            <v>LC</v>
          </cell>
          <cell r="F5893" t="str">
            <v>Harvey et al., 2017</v>
          </cell>
          <cell r="G5893" t="str">
            <v>NBNSYS0000008858</v>
          </cell>
          <cell r="H5893" t="str">
            <v>Ero cambridgei</v>
          </cell>
        </row>
        <row r="5894">
          <cell r="A5894" t="str">
            <v>Ero furcata</v>
          </cell>
          <cell r="B5894" t="str">
            <v>Spiders</v>
          </cell>
          <cell r="C5894" t="str">
            <v>Araneae</v>
          </cell>
          <cell r="D5894" t="str">
            <v>Ero furcata</v>
          </cell>
          <cell r="E5894" t="str">
            <v>LC</v>
          </cell>
          <cell r="F5894" t="str">
            <v>Harvey et al., 2017</v>
          </cell>
          <cell r="G5894" t="str">
            <v>NBNSYS0000008859</v>
          </cell>
          <cell r="H5894" t="str">
            <v>Ero furcata</v>
          </cell>
        </row>
        <row r="5895">
          <cell r="A5895" t="str">
            <v>Ero tuberculata</v>
          </cell>
          <cell r="B5895" t="str">
            <v>Spiders</v>
          </cell>
          <cell r="C5895" t="str">
            <v>Araneae</v>
          </cell>
          <cell r="D5895" t="str">
            <v>Ero tuberculata</v>
          </cell>
          <cell r="E5895" t="str">
            <v>LC</v>
          </cell>
          <cell r="F5895" t="str">
            <v>Harvey et al., 2017</v>
          </cell>
          <cell r="G5895" t="str">
            <v>NHMSYS0020706398</v>
          </cell>
          <cell r="H5895" t="str">
            <v>Ero tuberculata</v>
          </cell>
        </row>
        <row r="5896">
          <cell r="A5896" t="str">
            <v>Euophrys frontalis</v>
          </cell>
          <cell r="B5896" t="str">
            <v>Spiders</v>
          </cell>
          <cell r="C5896" t="str">
            <v>Araneae</v>
          </cell>
          <cell r="D5896" t="str">
            <v>Euophrys frontalis</v>
          </cell>
          <cell r="E5896" t="str">
            <v>LC</v>
          </cell>
          <cell r="F5896" t="str">
            <v>Harvey et al., 2017</v>
          </cell>
          <cell r="G5896" t="str">
            <v>NBNSYS0000008771</v>
          </cell>
          <cell r="H5896" t="str">
            <v>Euophrys frontalis</v>
          </cell>
        </row>
        <row r="5897">
          <cell r="A5897" t="str">
            <v>Euophrys herbigrada</v>
          </cell>
          <cell r="B5897" t="str">
            <v>Spiders</v>
          </cell>
          <cell r="C5897" t="str">
            <v>Araneae</v>
          </cell>
          <cell r="D5897" t="str">
            <v>Euophrys herbigrada</v>
          </cell>
          <cell r="E5897" t="str">
            <v>VU</v>
          </cell>
          <cell r="F5897" t="str">
            <v>Harvey et al., 2017</v>
          </cell>
          <cell r="G5897" t="str">
            <v>NBNSYS0000008772</v>
          </cell>
          <cell r="H5897" t="str">
            <v>Euophrys herbigrada</v>
          </cell>
        </row>
        <row r="5898">
          <cell r="A5898" t="str">
            <v>Euryopis flavomaculata</v>
          </cell>
          <cell r="B5898" t="str">
            <v>Spiders</v>
          </cell>
          <cell r="C5898" t="str">
            <v>Araneae</v>
          </cell>
          <cell r="D5898" t="str">
            <v>Euryopis flavomaculata</v>
          </cell>
          <cell r="E5898" t="str">
            <v>LC</v>
          </cell>
          <cell r="F5898" t="str">
            <v>Harvey et al., 2017</v>
          </cell>
          <cell r="G5898" t="str">
            <v>NBNSYS0000008865</v>
          </cell>
          <cell r="H5898" t="str">
            <v>Euryopis flavomaculata</v>
          </cell>
        </row>
        <row r="5899">
          <cell r="A5899" t="str">
            <v>Evansia merens</v>
          </cell>
          <cell r="B5899" t="str">
            <v>Spiders</v>
          </cell>
          <cell r="C5899" t="str">
            <v>Araneae</v>
          </cell>
          <cell r="D5899" t="str">
            <v>Evansia merens</v>
          </cell>
          <cell r="E5899" t="str">
            <v>LC</v>
          </cell>
          <cell r="F5899" t="str">
            <v>Harvey et al., 2017</v>
          </cell>
          <cell r="G5899" t="str">
            <v>NBNSYS0000009054</v>
          </cell>
          <cell r="H5899" t="str">
            <v>Evansia merens</v>
          </cell>
        </row>
        <row r="5900">
          <cell r="A5900" t="str">
            <v>Evarcha arcuata</v>
          </cell>
          <cell r="B5900" t="str">
            <v>Spiders</v>
          </cell>
          <cell r="C5900" t="str">
            <v>Araneae</v>
          </cell>
          <cell r="D5900" t="str">
            <v>Evarcha arcuata</v>
          </cell>
          <cell r="E5900" t="str">
            <v>LC</v>
          </cell>
          <cell r="F5900" t="str">
            <v>Harvey et al., 2017</v>
          </cell>
          <cell r="G5900" t="str">
            <v>NBNSYS0000008784</v>
          </cell>
          <cell r="H5900" t="str">
            <v>Evarcha arcuata</v>
          </cell>
        </row>
        <row r="5901">
          <cell r="A5901" t="str">
            <v>Evarcha falcata</v>
          </cell>
          <cell r="B5901" t="str">
            <v>Spiders</v>
          </cell>
          <cell r="C5901" t="str">
            <v>Araneae</v>
          </cell>
          <cell r="D5901" t="str">
            <v>Evarcha falcata</v>
          </cell>
          <cell r="E5901" t="str">
            <v>LC</v>
          </cell>
          <cell r="F5901" t="str">
            <v>Harvey et al., 2017</v>
          </cell>
          <cell r="G5901" t="str">
            <v>NBNSYS0000008783</v>
          </cell>
          <cell r="H5901" t="str">
            <v>Evarcha falcata</v>
          </cell>
        </row>
        <row r="5902">
          <cell r="A5902" t="str">
            <v>Floronia bucculenta</v>
          </cell>
          <cell r="B5902" t="str">
            <v>Spiders</v>
          </cell>
          <cell r="C5902" t="str">
            <v>Araneae</v>
          </cell>
          <cell r="D5902" t="str">
            <v>Floronia bucculenta</v>
          </cell>
          <cell r="E5902" t="str">
            <v>LC</v>
          </cell>
          <cell r="F5902" t="str">
            <v>Harvey et al., 2017</v>
          </cell>
          <cell r="G5902" t="str">
            <v>NBNSYS0000009202</v>
          </cell>
          <cell r="H5902" t="str">
            <v>Floronia bucculenta</v>
          </cell>
        </row>
        <row r="5903">
          <cell r="A5903" t="str">
            <v>Gibbaranea bituberculata</v>
          </cell>
          <cell r="B5903" t="str">
            <v>Spiders</v>
          </cell>
          <cell r="C5903" t="str">
            <v>Araneae</v>
          </cell>
          <cell r="D5903" t="str">
            <v>Gibbaranea bituberculata</v>
          </cell>
          <cell r="E5903" t="str">
            <v>RE</v>
          </cell>
          <cell r="F5903" t="str">
            <v>Harvey et al., 2017</v>
          </cell>
          <cell r="G5903" t="str">
            <v>NBNSYS0000008934</v>
          </cell>
          <cell r="H5903" t="str">
            <v>Gibbaranea bituberculata</v>
          </cell>
        </row>
        <row r="5904">
          <cell r="A5904" t="str">
            <v>Gibbaranea gibbosa</v>
          </cell>
          <cell r="B5904" t="str">
            <v>Spiders</v>
          </cell>
          <cell r="C5904" t="str">
            <v>Araneae</v>
          </cell>
          <cell r="D5904" t="str">
            <v>Gibbaranea gibbosa</v>
          </cell>
          <cell r="E5904" t="str">
            <v>LC</v>
          </cell>
          <cell r="F5904" t="str">
            <v>Harvey et al., 2017</v>
          </cell>
          <cell r="G5904" t="str">
            <v>NBNSYS0000008935</v>
          </cell>
          <cell r="H5904" t="str">
            <v>Gibbaranea gibbosa</v>
          </cell>
        </row>
        <row r="5905">
          <cell r="A5905" t="str">
            <v>Glyphesis cottonae</v>
          </cell>
          <cell r="B5905" t="str">
            <v>Spiders</v>
          </cell>
          <cell r="C5905" t="str">
            <v>Araneae</v>
          </cell>
          <cell r="D5905" t="str">
            <v>Glyphesis cottonae</v>
          </cell>
          <cell r="E5905" t="str">
            <v>VU</v>
          </cell>
          <cell r="F5905" t="str">
            <v>Harvey et al., 2017</v>
          </cell>
          <cell r="G5905" t="str">
            <v>NBNSYS0000009081</v>
          </cell>
          <cell r="H5905" t="str">
            <v>Glyphesis cottonae</v>
          </cell>
        </row>
        <row r="5906">
          <cell r="A5906" t="str">
            <v>Glyphesis servulus</v>
          </cell>
          <cell r="B5906" t="str">
            <v>Spiders</v>
          </cell>
          <cell r="C5906" t="str">
            <v>Araneae</v>
          </cell>
          <cell r="D5906" t="str">
            <v>Glyphesis servulus</v>
          </cell>
          <cell r="E5906" t="str">
            <v>NT</v>
          </cell>
          <cell r="F5906" t="str">
            <v>Harvey et al., 2017</v>
          </cell>
          <cell r="G5906" t="str">
            <v>NBNSYS0000009082</v>
          </cell>
          <cell r="H5906" t="str">
            <v>Glyphesis servulus</v>
          </cell>
        </row>
        <row r="5907">
          <cell r="A5907" t="str">
            <v>Gnaphosa leporina</v>
          </cell>
          <cell r="B5907" t="str">
            <v>Spiders</v>
          </cell>
          <cell r="C5907" t="str">
            <v>Araneae</v>
          </cell>
          <cell r="D5907" t="str">
            <v>Gnaphosa leporina</v>
          </cell>
          <cell r="E5907" t="str">
            <v>LC</v>
          </cell>
          <cell r="F5907" t="str">
            <v>Harvey et al., 2017</v>
          </cell>
          <cell r="G5907" t="str">
            <v>NBNSYS0000008667</v>
          </cell>
          <cell r="H5907" t="str">
            <v>Gnaphosa leporina</v>
          </cell>
        </row>
        <row r="5908">
          <cell r="A5908" t="str">
            <v>Gnaphosa lugubris</v>
          </cell>
          <cell r="B5908" t="str">
            <v>Spiders</v>
          </cell>
          <cell r="C5908" t="str">
            <v>Araneae</v>
          </cell>
          <cell r="D5908" t="str">
            <v>Gnaphosa lugubris</v>
          </cell>
          <cell r="E5908" t="str">
            <v>VU</v>
          </cell>
          <cell r="F5908" t="str">
            <v>Harvey et al., 2017</v>
          </cell>
          <cell r="G5908" t="str">
            <v>NBNSYS0000008665</v>
          </cell>
          <cell r="H5908" t="str">
            <v>Gnaphosa lugubris</v>
          </cell>
        </row>
        <row r="5909">
          <cell r="A5909" t="str">
            <v>Gnaphosa nigerrima</v>
          </cell>
          <cell r="B5909" t="str">
            <v>Spiders</v>
          </cell>
          <cell r="C5909" t="str">
            <v>Araneae</v>
          </cell>
          <cell r="D5909" t="str">
            <v>Gnaphosa nigerrima</v>
          </cell>
          <cell r="E5909" t="str">
            <v>VU</v>
          </cell>
          <cell r="F5909" t="str">
            <v>Harvey et al., 2017</v>
          </cell>
          <cell r="G5909" t="str">
            <v>NBNSYS0000147833</v>
          </cell>
          <cell r="H5909" t="str">
            <v>Gnaphosa nigerrima</v>
          </cell>
        </row>
        <row r="5910">
          <cell r="A5910" t="str">
            <v>Gnaphosa occidentalis</v>
          </cell>
          <cell r="B5910" t="str">
            <v>Spiders</v>
          </cell>
          <cell r="C5910" t="str">
            <v>Araneae</v>
          </cell>
          <cell r="D5910" t="str">
            <v>Gnaphosa occidentalis</v>
          </cell>
          <cell r="E5910" t="str">
            <v>NT</v>
          </cell>
          <cell r="F5910" t="str">
            <v>Harvey et al., 2017</v>
          </cell>
          <cell r="G5910" t="str">
            <v>NBNSYS0000008666</v>
          </cell>
          <cell r="H5910" t="str">
            <v>Gnaphosa occidentalis</v>
          </cell>
        </row>
        <row r="5911">
          <cell r="A5911" t="str">
            <v>Gnathonarium dentatum</v>
          </cell>
          <cell r="B5911" t="str">
            <v>Spiders</v>
          </cell>
          <cell r="C5911" t="str">
            <v>Araneae</v>
          </cell>
          <cell r="D5911" t="str">
            <v>Gnathonarium dentatum</v>
          </cell>
          <cell r="E5911" t="str">
            <v>LC</v>
          </cell>
          <cell r="F5911" t="str">
            <v>Harvey et al., 2017</v>
          </cell>
          <cell r="G5911" t="str">
            <v>NBNSYS0000009001</v>
          </cell>
          <cell r="H5911" t="str">
            <v>Gnathonarium dentatum</v>
          </cell>
        </row>
        <row r="5912">
          <cell r="A5912" t="str">
            <v>Gonatium paradoxum</v>
          </cell>
          <cell r="B5912" t="str">
            <v>Spiders</v>
          </cell>
          <cell r="C5912" t="str">
            <v>Araneae</v>
          </cell>
          <cell r="D5912" t="str">
            <v>Gonatium paradoxum</v>
          </cell>
          <cell r="E5912" t="str">
            <v>EN</v>
          </cell>
          <cell r="F5912" t="str">
            <v>Harvey et al., 2017</v>
          </cell>
          <cell r="G5912" t="str">
            <v>NBNSYS0000009019</v>
          </cell>
          <cell r="H5912" t="str">
            <v>Gonatium paradoxum</v>
          </cell>
        </row>
        <row r="5913">
          <cell r="A5913" t="str">
            <v>Gonatium rubellum</v>
          </cell>
          <cell r="B5913" t="str">
            <v>Spiders</v>
          </cell>
          <cell r="C5913" t="str">
            <v>Araneae</v>
          </cell>
          <cell r="D5913" t="str">
            <v>Gonatium rubellum</v>
          </cell>
          <cell r="E5913" t="str">
            <v>LC</v>
          </cell>
          <cell r="F5913" t="str">
            <v>Harvey et al., 2017</v>
          </cell>
          <cell r="G5913" t="str">
            <v>NBNSYS0000009018</v>
          </cell>
          <cell r="H5913" t="str">
            <v>Gonatium rubellum</v>
          </cell>
        </row>
        <row r="5914">
          <cell r="A5914" t="str">
            <v>Gonatium rubens</v>
          </cell>
          <cell r="B5914" t="str">
            <v>Spiders</v>
          </cell>
          <cell r="C5914" t="str">
            <v>Araneae</v>
          </cell>
          <cell r="D5914" t="str">
            <v>Gonatium rubens</v>
          </cell>
          <cell r="E5914" t="str">
            <v>LC</v>
          </cell>
          <cell r="F5914" t="str">
            <v>Harvey et al., 2017</v>
          </cell>
          <cell r="G5914" t="str">
            <v>NBNSYS0000009017</v>
          </cell>
          <cell r="H5914" t="str">
            <v>Gonatium rubens</v>
          </cell>
        </row>
        <row r="5915">
          <cell r="A5915" t="str">
            <v>Gongylidiellum latebricola</v>
          </cell>
          <cell r="B5915" t="str">
            <v>Spiders</v>
          </cell>
          <cell r="C5915" t="str">
            <v>Araneae</v>
          </cell>
          <cell r="D5915" t="str">
            <v>Gongylidiellum latebricola</v>
          </cell>
          <cell r="E5915" t="str">
            <v>LC</v>
          </cell>
          <cell r="F5915" t="str">
            <v>Harvey et al., 2017</v>
          </cell>
          <cell r="G5915" t="str">
            <v>NBNSYS0000009074</v>
          </cell>
          <cell r="H5915" t="str">
            <v>Gongylidiellum latebricola</v>
          </cell>
        </row>
        <row r="5916">
          <cell r="A5916" t="str">
            <v>Gongylidiellum murcidum</v>
          </cell>
          <cell r="B5916" t="str">
            <v>Spiders</v>
          </cell>
          <cell r="C5916" t="str">
            <v>Araneae</v>
          </cell>
          <cell r="D5916" t="str">
            <v>Gongylidiellum murcidum</v>
          </cell>
          <cell r="E5916" t="str">
            <v>VU</v>
          </cell>
          <cell r="F5916" t="str">
            <v>Harvey et al., 2017</v>
          </cell>
          <cell r="G5916" t="str">
            <v>NBNSYS0000009075</v>
          </cell>
          <cell r="H5916" t="str">
            <v>Gongylidiellum murcidum</v>
          </cell>
        </row>
        <row r="5917">
          <cell r="A5917" t="str">
            <v>Gongylidiellum vivum</v>
          </cell>
          <cell r="B5917" t="str">
            <v>Spiders</v>
          </cell>
          <cell r="C5917" t="str">
            <v>Araneae</v>
          </cell>
          <cell r="D5917" t="str">
            <v>Gongylidiellum vivum</v>
          </cell>
          <cell r="E5917" t="str">
            <v>LC</v>
          </cell>
          <cell r="F5917" t="str">
            <v>Harvey et al., 2017</v>
          </cell>
          <cell r="G5917" t="str">
            <v>NBNSYS0000009073</v>
          </cell>
          <cell r="H5917" t="str">
            <v>Gongylidiellum vivum</v>
          </cell>
        </row>
        <row r="5918">
          <cell r="A5918" t="str">
            <v>Gongylidium rufipes</v>
          </cell>
          <cell r="B5918" t="str">
            <v>Spiders</v>
          </cell>
          <cell r="C5918" t="str">
            <v>Araneae</v>
          </cell>
          <cell r="D5918" t="str">
            <v>Gongylidium rufipes</v>
          </cell>
          <cell r="E5918" t="str">
            <v>LC</v>
          </cell>
          <cell r="F5918" t="str">
            <v>Harvey et al., 2017</v>
          </cell>
          <cell r="G5918" t="str">
            <v>NBNSYS0000009004</v>
          </cell>
          <cell r="H5918" t="str">
            <v>Gongylidium rufipes</v>
          </cell>
        </row>
        <row r="5919">
          <cell r="A5919" t="str">
            <v>Hahnia candida</v>
          </cell>
          <cell r="B5919" t="str">
            <v>Spiders</v>
          </cell>
          <cell r="C5919" t="str">
            <v>Araneae</v>
          </cell>
          <cell r="D5919" t="str">
            <v>Hahnia candida</v>
          </cell>
          <cell r="E5919" t="str">
            <v>VU</v>
          </cell>
          <cell r="F5919" t="str">
            <v>Harvey et al., 2017</v>
          </cell>
          <cell r="G5919" t="str">
            <v>NHMSYS0021453557</v>
          </cell>
          <cell r="H5919" t="str">
            <v>Hahnia candida</v>
          </cell>
        </row>
        <row r="5920">
          <cell r="A5920" t="str">
            <v>Hahnia helveola</v>
          </cell>
          <cell r="B5920" t="str">
            <v>Spiders</v>
          </cell>
          <cell r="C5920" t="str">
            <v>Araneae</v>
          </cell>
          <cell r="D5920" t="str">
            <v>Hahnia helveola</v>
          </cell>
          <cell r="E5920" t="str">
            <v>LC</v>
          </cell>
          <cell r="F5920" t="str">
            <v>Harvey et al., 2017</v>
          </cell>
          <cell r="G5920" t="str">
            <v>NBNSYS0000008856</v>
          </cell>
          <cell r="H5920" t="str">
            <v>Hahnia helveola</v>
          </cell>
        </row>
        <row r="5921">
          <cell r="A5921" t="str">
            <v>Hahnia montana</v>
          </cell>
          <cell r="B5921" t="str">
            <v>Spiders</v>
          </cell>
          <cell r="C5921" t="str">
            <v>Araneae</v>
          </cell>
          <cell r="D5921" t="str">
            <v>Hahnia montana</v>
          </cell>
          <cell r="E5921" t="str">
            <v>LC</v>
          </cell>
          <cell r="F5921" t="str">
            <v>Harvey et al., 2017</v>
          </cell>
          <cell r="G5921" t="str">
            <v>NHMSYS0021453552</v>
          </cell>
          <cell r="H5921" t="str">
            <v>Hahnia montana</v>
          </cell>
        </row>
        <row r="5922">
          <cell r="A5922" t="str">
            <v>Hahnia nava</v>
          </cell>
          <cell r="B5922" t="str">
            <v>Spiders</v>
          </cell>
          <cell r="C5922" t="str">
            <v>Araneae</v>
          </cell>
          <cell r="D5922" t="str">
            <v>Hahnia nava</v>
          </cell>
          <cell r="E5922" t="str">
            <v>LC</v>
          </cell>
          <cell r="F5922" t="str">
            <v>Harvey et al., 2017</v>
          </cell>
          <cell r="G5922" t="str">
            <v>NBNSYS0000008855</v>
          </cell>
          <cell r="H5922" t="str">
            <v>Hahnia nava</v>
          </cell>
        </row>
        <row r="5923">
          <cell r="A5923" t="str">
            <v>Hahnia pusilla</v>
          </cell>
          <cell r="B5923" t="str">
            <v>Spiders</v>
          </cell>
          <cell r="C5923" t="str">
            <v>Araneae</v>
          </cell>
          <cell r="D5923" t="str">
            <v>Hahnia pusilla</v>
          </cell>
          <cell r="E5923" t="str">
            <v>LC</v>
          </cell>
          <cell r="F5923" t="str">
            <v>Harvey et al., 2017</v>
          </cell>
          <cell r="G5923" t="str">
            <v>NBNSYS0000008857</v>
          </cell>
          <cell r="H5923" t="str">
            <v>Hahnia pusilla</v>
          </cell>
        </row>
        <row r="5924">
          <cell r="A5924" t="str">
            <v>Halorates distinctus</v>
          </cell>
          <cell r="B5924" t="str">
            <v>Spiders</v>
          </cell>
          <cell r="C5924" t="str">
            <v>Araneae</v>
          </cell>
          <cell r="D5924" t="str">
            <v>Halorates distinctus</v>
          </cell>
          <cell r="E5924" t="str">
            <v>LC</v>
          </cell>
          <cell r="F5924" t="str">
            <v>Harvey et al., 2017</v>
          </cell>
          <cell r="G5924" t="str">
            <v>NBNSYS0000144858</v>
          </cell>
          <cell r="H5924" t="str">
            <v>Halorates distinctus</v>
          </cell>
        </row>
        <row r="5925">
          <cell r="A5925" t="str">
            <v>Halorates reprobus</v>
          </cell>
          <cell r="B5925" t="str">
            <v>Spiders</v>
          </cell>
          <cell r="C5925" t="str">
            <v>Araneae</v>
          </cell>
          <cell r="D5925" t="str">
            <v>Halorates reprobus</v>
          </cell>
          <cell r="E5925" t="str">
            <v>LC</v>
          </cell>
          <cell r="F5925" t="str">
            <v>Harvey et al., 2017</v>
          </cell>
          <cell r="G5925" t="str">
            <v>NBNSYS0000009125</v>
          </cell>
          <cell r="H5925" t="str">
            <v>Halorates reprobus</v>
          </cell>
        </row>
        <row r="5926">
          <cell r="A5926" t="str">
            <v>Haplodrassus dalmatensis</v>
          </cell>
          <cell r="B5926" t="str">
            <v>Spiders</v>
          </cell>
          <cell r="C5926" t="str">
            <v>Araneae</v>
          </cell>
          <cell r="D5926" t="str">
            <v>Haplodrassus dalmatensis</v>
          </cell>
          <cell r="E5926" t="str">
            <v>LC</v>
          </cell>
          <cell r="F5926" t="str">
            <v>Harvey et al., 2017</v>
          </cell>
          <cell r="G5926" t="str">
            <v>NBNSYS0000008646</v>
          </cell>
          <cell r="H5926" t="str">
            <v>Haplodrassus dalmatensis</v>
          </cell>
        </row>
        <row r="5927">
          <cell r="A5927" t="str">
            <v>Haplodrassus minor</v>
          </cell>
          <cell r="B5927" t="str">
            <v>Spiders</v>
          </cell>
          <cell r="C5927" t="str">
            <v>Araneae</v>
          </cell>
          <cell r="D5927" t="str">
            <v>Haplodrassus minor</v>
          </cell>
          <cell r="E5927" t="str">
            <v>LC</v>
          </cell>
          <cell r="F5927" t="str">
            <v>Harvey et al., 2017</v>
          </cell>
          <cell r="G5927" t="str">
            <v>NBNSYS0000008650</v>
          </cell>
          <cell r="H5927" t="str">
            <v>Haplodrassus minor</v>
          </cell>
        </row>
        <row r="5928">
          <cell r="A5928" t="str">
            <v>Haplodrassus signifer</v>
          </cell>
          <cell r="B5928" t="str">
            <v>Spiders</v>
          </cell>
          <cell r="C5928" t="str">
            <v>Araneae</v>
          </cell>
          <cell r="D5928" t="str">
            <v>Haplodrassus signifer</v>
          </cell>
          <cell r="E5928" t="str">
            <v>LC</v>
          </cell>
          <cell r="F5928" t="str">
            <v>Harvey et al., 2017</v>
          </cell>
          <cell r="G5928" t="str">
            <v>NBNSYS0000008645</v>
          </cell>
          <cell r="H5928" t="str">
            <v>Haplodrassus signifer</v>
          </cell>
        </row>
        <row r="5929">
          <cell r="A5929" t="str">
            <v>Haplodrassus silvestris</v>
          </cell>
          <cell r="B5929" t="str">
            <v>Spiders</v>
          </cell>
          <cell r="C5929" t="str">
            <v>Araneae</v>
          </cell>
          <cell r="D5929" t="str">
            <v>Haplodrassus silvestris</v>
          </cell>
          <cell r="E5929" t="str">
            <v>LC</v>
          </cell>
          <cell r="F5929" t="str">
            <v>Harvey et al., 2017</v>
          </cell>
          <cell r="G5929" t="str">
            <v>NBNSYS0000008649</v>
          </cell>
          <cell r="H5929" t="str">
            <v>Haplodrassus silvestris</v>
          </cell>
        </row>
        <row r="5930">
          <cell r="A5930" t="str">
            <v>Harpactea hombergi</v>
          </cell>
          <cell r="B5930" t="str">
            <v>Spiders</v>
          </cell>
          <cell r="C5930" t="str">
            <v>Araneae</v>
          </cell>
          <cell r="D5930" t="str">
            <v>Harpactea hombergi</v>
          </cell>
          <cell r="E5930" t="str">
            <v>LC</v>
          </cell>
          <cell r="F5930" t="str">
            <v>Harvey et al., 2017</v>
          </cell>
          <cell r="G5930" t="str">
            <v>NBNSYS0000008633</v>
          </cell>
          <cell r="H5930" t="str">
            <v>Harpactea hombergi</v>
          </cell>
        </row>
        <row r="5931">
          <cell r="A5931" t="str">
            <v>Harpactea rubicunda</v>
          </cell>
          <cell r="B5931" t="str">
            <v>Spiders</v>
          </cell>
          <cell r="C5931" t="str">
            <v>Araneae</v>
          </cell>
          <cell r="D5931" t="str">
            <v>Harpactea rubicunda</v>
          </cell>
          <cell r="E5931" t="str">
            <v>VU</v>
          </cell>
          <cell r="F5931" t="str">
            <v>Harvey et al., 2017</v>
          </cell>
          <cell r="G5931" t="str">
            <v>NHMSYS0000354346</v>
          </cell>
          <cell r="H5931" t="str">
            <v>Harpactea rubicunda</v>
          </cell>
        </row>
        <row r="5932">
          <cell r="A5932" t="str">
            <v>Heliophanus auratus</v>
          </cell>
          <cell r="B5932" t="str">
            <v>Spiders</v>
          </cell>
          <cell r="C5932" t="str">
            <v>Araneae</v>
          </cell>
          <cell r="D5932" t="str">
            <v>Heliophanus auratus</v>
          </cell>
          <cell r="E5932" t="str">
            <v>VU</v>
          </cell>
          <cell r="F5932" t="str">
            <v>Harvey et al., 2017</v>
          </cell>
          <cell r="G5932" t="str">
            <v>NBNSYS0000008762</v>
          </cell>
          <cell r="H5932" t="str">
            <v>Heliophanus auratus</v>
          </cell>
        </row>
        <row r="5933">
          <cell r="A5933" t="str">
            <v>Heliophanus cupreus</v>
          </cell>
          <cell r="B5933" t="str">
            <v>Spiders</v>
          </cell>
          <cell r="C5933" t="str">
            <v>Araneae</v>
          </cell>
          <cell r="D5933" t="str">
            <v>Heliophanus cupreus</v>
          </cell>
          <cell r="E5933" t="str">
            <v>LC</v>
          </cell>
          <cell r="F5933" t="str">
            <v>Harvey et al., 2017</v>
          </cell>
          <cell r="G5933" t="str">
            <v>NBNSYS0000008760</v>
          </cell>
          <cell r="H5933" t="str">
            <v>Heliophanus cupreus</v>
          </cell>
        </row>
        <row r="5934">
          <cell r="A5934" t="str">
            <v>Heliophanus flavipes</v>
          </cell>
          <cell r="B5934" t="str">
            <v>Spiders</v>
          </cell>
          <cell r="C5934" t="str">
            <v>Araneae</v>
          </cell>
          <cell r="D5934" t="str">
            <v>Heliophanus flavipes</v>
          </cell>
          <cell r="E5934" t="str">
            <v>LC</v>
          </cell>
          <cell r="F5934" t="str">
            <v>Harvey et al., 2017</v>
          </cell>
          <cell r="G5934" t="str">
            <v>NBNSYS0000008761</v>
          </cell>
          <cell r="H5934" t="str">
            <v>Heliophanus flavipes</v>
          </cell>
        </row>
        <row r="5935">
          <cell r="A5935" t="str">
            <v>Helophora insignis</v>
          </cell>
          <cell r="B5935" t="str">
            <v>Spiders</v>
          </cell>
          <cell r="C5935" t="str">
            <v>Araneae</v>
          </cell>
          <cell r="D5935" t="str">
            <v>Helophora insignis</v>
          </cell>
          <cell r="E5935" t="str">
            <v>LC</v>
          </cell>
          <cell r="F5935" t="str">
            <v>Harvey et al., 2017</v>
          </cell>
          <cell r="G5935" t="str">
            <v>NBNSYS0000009229</v>
          </cell>
          <cell r="H5935" t="str">
            <v>Helophora insignis</v>
          </cell>
        </row>
        <row r="5936">
          <cell r="A5936" t="str">
            <v>Hilaira excisa</v>
          </cell>
          <cell r="B5936" t="str">
            <v>Spiders</v>
          </cell>
          <cell r="C5936" t="str">
            <v>Araneae</v>
          </cell>
          <cell r="D5936" t="str">
            <v>Hilaira excisa</v>
          </cell>
          <cell r="E5936" t="str">
            <v>LC</v>
          </cell>
          <cell r="F5936" t="str">
            <v>Harvey et al., 2017</v>
          </cell>
          <cell r="G5936" t="str">
            <v>NBNSYS0000009121</v>
          </cell>
          <cell r="H5936" t="str">
            <v>Hilaira excisa</v>
          </cell>
        </row>
        <row r="5937">
          <cell r="A5937" t="str">
            <v>Hilaira frigida</v>
          </cell>
          <cell r="B5937" t="str">
            <v>Spiders</v>
          </cell>
          <cell r="C5937" t="str">
            <v>Araneae</v>
          </cell>
          <cell r="D5937" t="str">
            <v>Hilaira frigida</v>
          </cell>
          <cell r="E5937" t="str">
            <v>LC</v>
          </cell>
          <cell r="F5937" t="str">
            <v>Harvey et al., 2017</v>
          </cell>
          <cell r="G5937" t="str">
            <v>NHMSYS0020785974</v>
          </cell>
          <cell r="H5937" t="str">
            <v>Hilaira frigida</v>
          </cell>
        </row>
        <row r="5938">
          <cell r="A5938" t="str">
            <v>Hilaira nubigena</v>
          </cell>
          <cell r="B5938" t="str">
            <v>Spiders</v>
          </cell>
          <cell r="C5938" t="str">
            <v>Araneae</v>
          </cell>
          <cell r="D5938" t="str">
            <v>Hilaira nubigena</v>
          </cell>
          <cell r="E5938" t="str">
            <v>VU</v>
          </cell>
          <cell r="F5938" t="str">
            <v>Harvey et al., 2017</v>
          </cell>
          <cell r="G5938" t="str">
            <v>NBNSYS0000009123</v>
          </cell>
          <cell r="H5938" t="str">
            <v>Hilaira nubigena</v>
          </cell>
        </row>
        <row r="5939">
          <cell r="A5939" t="str">
            <v>Hilaira pervicax</v>
          </cell>
          <cell r="B5939" t="str">
            <v>Spiders</v>
          </cell>
          <cell r="C5939" t="str">
            <v>Araneae</v>
          </cell>
          <cell r="D5939" t="str">
            <v>Hilaira pervicax</v>
          </cell>
          <cell r="E5939" t="str">
            <v>LC</v>
          </cell>
          <cell r="F5939" t="str">
            <v>Harvey et al., 2017</v>
          </cell>
          <cell r="G5939" t="str">
            <v>NBNSYS0000009124</v>
          </cell>
          <cell r="H5939" t="str">
            <v>Hilaira pervicax</v>
          </cell>
        </row>
        <row r="5940">
          <cell r="A5940" t="str">
            <v>Hybocoptus decollatus</v>
          </cell>
          <cell r="B5940" t="str">
            <v>Spiders</v>
          </cell>
          <cell r="C5940" t="str">
            <v>Araneae</v>
          </cell>
          <cell r="D5940" t="str">
            <v>Hybocoptus decollatus</v>
          </cell>
          <cell r="E5940" t="str">
            <v>LC</v>
          </cell>
          <cell r="F5940" t="str">
            <v>Harvey et al., 2017</v>
          </cell>
          <cell r="G5940" t="str">
            <v>NHMSYS0020785958</v>
          </cell>
          <cell r="H5940" t="str">
            <v>Hybocoptus decollatus</v>
          </cell>
        </row>
        <row r="5941">
          <cell r="A5941" t="str">
            <v>Hygrolycosa rubrofasciata</v>
          </cell>
          <cell r="B5941" t="str">
            <v>Spiders</v>
          </cell>
          <cell r="C5941" t="str">
            <v>Araneae</v>
          </cell>
          <cell r="D5941" t="str">
            <v>Hygrolycosa rubrofasciata</v>
          </cell>
          <cell r="E5941" t="str">
            <v>EN</v>
          </cell>
          <cell r="F5941" t="str">
            <v>Harvey et al., 2017</v>
          </cell>
          <cell r="G5941" t="str">
            <v>NBNSYS0000008807</v>
          </cell>
          <cell r="H5941" t="str">
            <v>Hygrolycosa rubrofasciata</v>
          </cell>
        </row>
        <row r="5942">
          <cell r="A5942" t="str">
            <v>Hylyphantes graminicola</v>
          </cell>
          <cell r="B5942" t="str">
            <v>Spiders</v>
          </cell>
          <cell r="C5942" t="str">
            <v>Araneae</v>
          </cell>
          <cell r="D5942" t="str">
            <v>Hylyphantes graminicola</v>
          </cell>
          <cell r="E5942" t="str">
            <v>LC</v>
          </cell>
          <cell r="F5942" t="str">
            <v>Harvey et al., 2017</v>
          </cell>
          <cell r="G5942" t="str">
            <v>NBNSYS0000009000</v>
          </cell>
          <cell r="H5942" t="str">
            <v>Hylyphantes graminicola</v>
          </cell>
        </row>
        <row r="5943">
          <cell r="A5943" t="str">
            <v>Hypomma bituberculatum</v>
          </cell>
          <cell r="B5943" t="str">
            <v>Spiders</v>
          </cell>
          <cell r="C5943" t="str">
            <v>Araneae</v>
          </cell>
          <cell r="D5943" t="str">
            <v>Hypomma bituberculatum</v>
          </cell>
          <cell r="E5943" t="str">
            <v>LC</v>
          </cell>
          <cell r="F5943" t="str">
            <v>Harvey et al., 2017</v>
          </cell>
          <cell r="G5943" t="str">
            <v>NBNSYS0000009007</v>
          </cell>
          <cell r="H5943" t="str">
            <v>Hypomma bituberculatum</v>
          </cell>
        </row>
        <row r="5944">
          <cell r="A5944" t="str">
            <v>Hypomma cornutum</v>
          </cell>
          <cell r="B5944" t="str">
            <v>Spiders</v>
          </cell>
          <cell r="C5944" t="str">
            <v>Araneae</v>
          </cell>
          <cell r="D5944" t="str">
            <v>Hypomma cornutum</v>
          </cell>
          <cell r="E5944" t="str">
            <v>LC</v>
          </cell>
          <cell r="F5944" t="str">
            <v>Harvey et al., 2017</v>
          </cell>
          <cell r="G5944" t="str">
            <v>NBNSYS0000009009</v>
          </cell>
          <cell r="H5944" t="str">
            <v>Hypomma cornutum</v>
          </cell>
        </row>
        <row r="5945">
          <cell r="A5945" t="str">
            <v>Hypomma fulvum</v>
          </cell>
          <cell r="B5945" t="str">
            <v>Spiders</v>
          </cell>
          <cell r="C5945" t="str">
            <v>Araneae</v>
          </cell>
          <cell r="D5945" t="str">
            <v>Hypomma fulvum</v>
          </cell>
          <cell r="E5945" t="str">
            <v>LC</v>
          </cell>
          <cell r="F5945" t="str">
            <v>Harvey et al., 2017</v>
          </cell>
          <cell r="G5945" t="str">
            <v>NHMSYS0000354347</v>
          </cell>
          <cell r="H5945" t="str">
            <v>Hypomma fulvum</v>
          </cell>
        </row>
        <row r="5946">
          <cell r="A5946" t="str">
            <v>Hypselistes jacksoni</v>
          </cell>
          <cell r="B5946" t="str">
            <v>Spiders</v>
          </cell>
          <cell r="C5946" t="str">
            <v>Araneae</v>
          </cell>
          <cell r="D5946" t="str">
            <v>Hypselistes jacksoni</v>
          </cell>
          <cell r="E5946" t="str">
            <v>LC</v>
          </cell>
          <cell r="F5946" t="str">
            <v>Harvey et al., 2017</v>
          </cell>
          <cell r="G5946" t="str">
            <v>NBNSYS0000009025</v>
          </cell>
          <cell r="H5946" t="str">
            <v>Hypselistes jacksoni</v>
          </cell>
        </row>
        <row r="5947">
          <cell r="A5947" t="str">
            <v>Hypsosinga albovittata</v>
          </cell>
          <cell r="B5947" t="str">
            <v>Spiders</v>
          </cell>
          <cell r="C5947" t="str">
            <v>Araneae</v>
          </cell>
          <cell r="D5947" t="str">
            <v>Hypsosinga albovittata</v>
          </cell>
          <cell r="E5947" t="str">
            <v>LC</v>
          </cell>
          <cell r="F5947" t="str">
            <v>Harvey et al., 2017</v>
          </cell>
          <cell r="G5947" t="str">
            <v>NBNSYS0000008956</v>
          </cell>
          <cell r="H5947" t="str">
            <v>Hypsosinga albovittata</v>
          </cell>
        </row>
        <row r="5948">
          <cell r="A5948" t="str">
            <v>Hypsosinga heri</v>
          </cell>
          <cell r="B5948" t="str">
            <v>Spiders</v>
          </cell>
          <cell r="C5948" t="str">
            <v>Araneae</v>
          </cell>
          <cell r="D5948" t="str">
            <v>Hypsosinga heri</v>
          </cell>
          <cell r="E5948" t="str">
            <v>VU</v>
          </cell>
          <cell r="F5948" t="str">
            <v>Harvey et al., 2017</v>
          </cell>
          <cell r="G5948" t="str">
            <v>NBNSYS0000008959</v>
          </cell>
          <cell r="H5948" t="str">
            <v>Hypsosinga heri</v>
          </cell>
        </row>
        <row r="5949">
          <cell r="A5949" t="str">
            <v>Hypsosinga pygmaea</v>
          </cell>
          <cell r="B5949" t="str">
            <v>Spiders</v>
          </cell>
          <cell r="C5949" t="str">
            <v>Araneae</v>
          </cell>
          <cell r="D5949" t="str">
            <v>Hypsosinga pygmaea</v>
          </cell>
          <cell r="E5949" t="str">
            <v>LC</v>
          </cell>
          <cell r="F5949" t="str">
            <v>Harvey et al., 2017</v>
          </cell>
          <cell r="G5949" t="str">
            <v>NHMSYS0000354348</v>
          </cell>
          <cell r="H5949" t="str">
            <v>Hypsosinga pygmaea</v>
          </cell>
        </row>
        <row r="5950">
          <cell r="A5950" t="str">
            <v>Hypsosinga sanguinea</v>
          </cell>
          <cell r="B5950" t="str">
            <v>Spiders</v>
          </cell>
          <cell r="C5950" t="str">
            <v>Araneae</v>
          </cell>
          <cell r="D5950" t="str">
            <v>Hypsosinga sanguinea</v>
          </cell>
          <cell r="E5950" t="str">
            <v>LC</v>
          </cell>
          <cell r="F5950" t="str">
            <v>Harvey et al., 2017</v>
          </cell>
          <cell r="G5950" t="str">
            <v>NBNSYS0000008958</v>
          </cell>
          <cell r="H5950" t="str">
            <v>Hypsosinga sanguinea</v>
          </cell>
        </row>
        <row r="5951">
          <cell r="A5951" t="str">
            <v>Hyptiotes paradoxus</v>
          </cell>
          <cell r="B5951" t="str">
            <v>Spiders</v>
          </cell>
          <cell r="C5951" t="str">
            <v>Araneae</v>
          </cell>
          <cell r="D5951" t="str">
            <v>Hyptiotes paradoxus</v>
          </cell>
          <cell r="E5951" t="str">
            <v>LC</v>
          </cell>
          <cell r="F5951" t="str">
            <v>Harvey et al., 2017</v>
          </cell>
          <cell r="G5951" t="str">
            <v>NBNSYS0000008628</v>
          </cell>
          <cell r="H5951" t="str">
            <v>Hyptiotes paradoxus</v>
          </cell>
        </row>
        <row r="5952">
          <cell r="A5952" t="str">
            <v>Jacksonella falconeri</v>
          </cell>
          <cell r="B5952" t="str">
            <v>Spiders</v>
          </cell>
          <cell r="C5952" t="str">
            <v>Araneae</v>
          </cell>
          <cell r="D5952" t="str">
            <v>Jacksonella falconeri</v>
          </cell>
          <cell r="E5952" t="str">
            <v>LC</v>
          </cell>
          <cell r="F5952" t="str">
            <v>Harvey et al., 2017</v>
          </cell>
          <cell r="G5952" t="str">
            <v>NBNSYS0000009134</v>
          </cell>
          <cell r="H5952" t="str">
            <v>Jacksonella falconeri</v>
          </cell>
        </row>
        <row r="5953">
          <cell r="A5953" t="str">
            <v>Kaestneria dorsalis</v>
          </cell>
          <cell r="B5953" t="str">
            <v>Spiders</v>
          </cell>
          <cell r="C5953" t="str">
            <v>Araneae</v>
          </cell>
          <cell r="D5953" t="str">
            <v>Kaestneria dorsalis</v>
          </cell>
          <cell r="E5953" t="str">
            <v>LC</v>
          </cell>
          <cell r="F5953" t="str">
            <v>Harvey et al., 2017</v>
          </cell>
          <cell r="G5953" t="str">
            <v>NBNSYS0000009196</v>
          </cell>
          <cell r="H5953" t="str">
            <v>Kaestneria dorsalis</v>
          </cell>
        </row>
        <row r="5954">
          <cell r="A5954" t="str">
            <v>Kaestneria pullata</v>
          </cell>
          <cell r="B5954" t="str">
            <v>Spiders</v>
          </cell>
          <cell r="C5954" t="str">
            <v>Araneae</v>
          </cell>
          <cell r="D5954" t="str">
            <v>Kaestneria pullata</v>
          </cell>
          <cell r="E5954" t="str">
            <v>LC</v>
          </cell>
          <cell r="F5954" t="str">
            <v>Harvey et al., 2017</v>
          </cell>
          <cell r="G5954" t="str">
            <v>NBNSYS0000009197</v>
          </cell>
          <cell r="H5954" t="str">
            <v>Kaestneria pullata</v>
          </cell>
        </row>
        <row r="5955">
          <cell r="A5955" t="str">
            <v>Karita paludosa</v>
          </cell>
          <cell r="B5955" t="str">
            <v>Spiders</v>
          </cell>
          <cell r="C5955" t="str">
            <v>Araneae</v>
          </cell>
          <cell r="D5955" t="str">
            <v>Karita paludosa</v>
          </cell>
          <cell r="E5955" t="str">
            <v>VU</v>
          </cell>
          <cell r="F5955" t="str">
            <v>Harvey et al., 2017</v>
          </cell>
          <cell r="G5955" t="str">
            <v>NHMSYS0020785960</v>
          </cell>
          <cell r="H5955" t="str">
            <v>Karita paludosa</v>
          </cell>
        </row>
        <row r="5956">
          <cell r="A5956" t="str">
            <v>Kochiura aulica</v>
          </cell>
          <cell r="B5956" t="str">
            <v>Spiders</v>
          </cell>
          <cell r="C5956" t="str">
            <v>Araneae</v>
          </cell>
          <cell r="D5956" t="str">
            <v>Kochiura aulica</v>
          </cell>
          <cell r="E5956" t="str">
            <v>LC</v>
          </cell>
          <cell r="F5956" t="str">
            <v>Harvey et al., 2017</v>
          </cell>
          <cell r="G5956" t="str">
            <v>NHMSYS0020785962</v>
          </cell>
          <cell r="H5956" t="str">
            <v>Kochiura aulica</v>
          </cell>
        </row>
        <row r="5957">
          <cell r="A5957" t="str">
            <v>Labulla thoracica</v>
          </cell>
          <cell r="B5957" t="str">
            <v>Spiders</v>
          </cell>
          <cell r="C5957" t="str">
            <v>Araneae</v>
          </cell>
          <cell r="D5957" t="str">
            <v>Labulla thoracica</v>
          </cell>
          <cell r="E5957" t="str">
            <v>LC</v>
          </cell>
          <cell r="F5957" t="str">
            <v>Harvey et al., 2017</v>
          </cell>
          <cell r="G5957" t="str">
            <v>NBNSYS0000009204</v>
          </cell>
          <cell r="H5957" t="str">
            <v>Labulla thoracica</v>
          </cell>
        </row>
        <row r="5958">
          <cell r="A5958" t="str">
            <v>Larinioides cornutus</v>
          </cell>
          <cell r="B5958" t="str">
            <v>Spiders</v>
          </cell>
          <cell r="C5958" t="str">
            <v>Araneae</v>
          </cell>
          <cell r="D5958" t="str">
            <v>Larinioides cornutus</v>
          </cell>
          <cell r="E5958" t="str">
            <v>LC</v>
          </cell>
          <cell r="F5958" t="str">
            <v>Harvey et al., 2017</v>
          </cell>
          <cell r="G5958" t="str">
            <v>NBNSYS0000008942</v>
          </cell>
          <cell r="H5958" t="str">
            <v>Larinioides cornutus</v>
          </cell>
        </row>
        <row r="5959">
          <cell r="A5959" t="str">
            <v>Larinioides patagiatus</v>
          </cell>
          <cell r="B5959" t="str">
            <v>Spiders</v>
          </cell>
          <cell r="C5959" t="str">
            <v>Araneae</v>
          </cell>
          <cell r="D5959" t="str">
            <v>Larinioides patagiatus</v>
          </cell>
          <cell r="E5959" t="str">
            <v>LC</v>
          </cell>
          <cell r="F5959" t="str">
            <v>Harvey et al., 2017</v>
          </cell>
          <cell r="G5959" t="str">
            <v>NBNSYS0000008944</v>
          </cell>
          <cell r="H5959" t="str">
            <v>Larinioides patagiatus</v>
          </cell>
        </row>
        <row r="5960">
          <cell r="A5960" t="str">
            <v>Larinioides sclopetarius</v>
          </cell>
          <cell r="B5960" t="str">
            <v>Spiders</v>
          </cell>
          <cell r="C5960" t="str">
            <v>Araneae</v>
          </cell>
          <cell r="D5960" t="str">
            <v>Larinioides sclopetarius</v>
          </cell>
          <cell r="E5960" t="str">
            <v>LC</v>
          </cell>
          <cell r="F5960" t="str">
            <v>Harvey et al., 2017</v>
          </cell>
          <cell r="G5960" t="str">
            <v>NBNSYS0000008943</v>
          </cell>
          <cell r="H5960" t="str">
            <v>Larinioides sclopetarius</v>
          </cell>
        </row>
        <row r="5961">
          <cell r="A5961" t="str">
            <v>Lathys humilis</v>
          </cell>
          <cell r="B5961" t="str">
            <v>Spiders</v>
          </cell>
          <cell r="C5961" t="str">
            <v>Araneae</v>
          </cell>
          <cell r="D5961" t="str">
            <v>Lathys humilis</v>
          </cell>
          <cell r="E5961" t="str">
            <v>LC</v>
          </cell>
          <cell r="F5961" t="str">
            <v>Harvey et al., 2017</v>
          </cell>
          <cell r="G5961" t="str">
            <v>NBNSYS0000008621</v>
          </cell>
          <cell r="H5961" t="str">
            <v>Lathys humilis</v>
          </cell>
        </row>
        <row r="5962">
          <cell r="A5962" t="str">
            <v>Lathys nielseni</v>
          </cell>
          <cell r="B5962" t="str">
            <v>Spiders</v>
          </cell>
          <cell r="C5962" t="str">
            <v>Araneae</v>
          </cell>
          <cell r="D5962" t="str">
            <v>Lathys nielseni</v>
          </cell>
          <cell r="E5962" t="str">
            <v>VU</v>
          </cell>
          <cell r="F5962" t="str">
            <v>Harvey et al., 2017</v>
          </cell>
          <cell r="G5962" t="str">
            <v>NHMSYS0021453577</v>
          </cell>
          <cell r="H5962" t="str">
            <v>Lathys nielseni</v>
          </cell>
        </row>
        <row r="5963">
          <cell r="A5963" t="str">
            <v>Lathys stigmatisata</v>
          </cell>
          <cell r="B5963" t="str">
            <v>Spiders</v>
          </cell>
          <cell r="C5963" t="str">
            <v>Araneae</v>
          </cell>
          <cell r="D5963" t="str">
            <v>Lathys stigmatisata</v>
          </cell>
          <cell r="E5963" t="str">
            <v>VU</v>
          </cell>
          <cell r="F5963" t="str">
            <v>Harvey et al., 2017</v>
          </cell>
          <cell r="G5963" t="str">
            <v>NBNSYS0000008623</v>
          </cell>
          <cell r="H5963" t="str">
            <v>Lathys stigmatisata</v>
          </cell>
        </row>
        <row r="5964">
          <cell r="A5964" t="str">
            <v>Latithorax faustus</v>
          </cell>
          <cell r="B5964" t="str">
            <v>Spiders</v>
          </cell>
          <cell r="C5964" t="str">
            <v>Araneae</v>
          </cell>
          <cell r="D5964" t="str">
            <v>Latithorax faustus</v>
          </cell>
          <cell r="E5964" t="str">
            <v>LC</v>
          </cell>
          <cell r="F5964" t="str">
            <v>Harvey et al., 2017</v>
          </cell>
          <cell r="G5964" t="str">
            <v>NHMSYS0020785994</v>
          </cell>
          <cell r="H5964" t="str">
            <v>Latithorax faustus</v>
          </cell>
        </row>
        <row r="5965">
          <cell r="A5965" t="str">
            <v>Lepthyphantes leprosus</v>
          </cell>
          <cell r="B5965" t="str">
            <v>Spiders</v>
          </cell>
          <cell r="C5965" t="str">
            <v>Araneae</v>
          </cell>
          <cell r="D5965" t="str">
            <v>Lepthyphantes leprosus</v>
          </cell>
          <cell r="E5965" t="str">
            <v>LC</v>
          </cell>
          <cell r="F5965" t="str">
            <v>Harvey et al., 2017</v>
          </cell>
          <cell r="G5965" t="str">
            <v>NBNSYS0000009209</v>
          </cell>
          <cell r="H5965" t="str">
            <v>Lepthyphantes leprosus</v>
          </cell>
        </row>
        <row r="5966">
          <cell r="A5966" t="str">
            <v>Lepthyphantes minutus</v>
          </cell>
          <cell r="B5966" t="str">
            <v>Spiders</v>
          </cell>
          <cell r="C5966" t="str">
            <v>Araneae</v>
          </cell>
          <cell r="D5966" t="str">
            <v>Lepthyphantes minutus</v>
          </cell>
          <cell r="E5966" t="str">
            <v>LC</v>
          </cell>
          <cell r="F5966" t="str">
            <v>Harvey et al., 2017</v>
          </cell>
          <cell r="G5966" t="str">
            <v>NBNSYS0000009210</v>
          </cell>
          <cell r="H5966" t="str">
            <v>Lepthyphantes minutus</v>
          </cell>
        </row>
        <row r="5967">
          <cell r="A5967" t="str">
            <v>Leptorhoptrum robustum</v>
          </cell>
          <cell r="B5967" t="str">
            <v>Spiders</v>
          </cell>
          <cell r="C5967" t="str">
            <v>Araneae</v>
          </cell>
          <cell r="D5967" t="str">
            <v>Leptorhoptrum robustum</v>
          </cell>
          <cell r="E5967" t="str">
            <v>LC</v>
          </cell>
          <cell r="F5967" t="str">
            <v>Harvey et al., 2017</v>
          </cell>
          <cell r="G5967" t="str">
            <v>NBNSYS0000009118</v>
          </cell>
          <cell r="H5967" t="str">
            <v>Leptorhoptrum robustum</v>
          </cell>
        </row>
        <row r="5968">
          <cell r="A5968" t="str">
            <v>Leptothrix hardyi</v>
          </cell>
          <cell r="B5968" t="str">
            <v>Spiders</v>
          </cell>
          <cell r="C5968" t="str">
            <v>Araneae</v>
          </cell>
          <cell r="D5968" t="str">
            <v>Leptothrix hardyi</v>
          </cell>
          <cell r="E5968" t="str">
            <v>LC</v>
          </cell>
          <cell r="F5968" t="str">
            <v>Harvey et al., 2017</v>
          </cell>
          <cell r="G5968" t="str">
            <v>NBNSYS0000009120</v>
          </cell>
          <cell r="H5968" t="str">
            <v>Leptothrix hardyi</v>
          </cell>
        </row>
        <row r="5969">
          <cell r="A5969" t="str">
            <v>Lessertia dentichelis</v>
          </cell>
          <cell r="B5969" t="str">
            <v>Spiders</v>
          </cell>
          <cell r="C5969" t="str">
            <v>Araneae</v>
          </cell>
          <cell r="D5969" t="str">
            <v>Lessertia dentichelis</v>
          </cell>
          <cell r="E5969" t="str">
            <v>LC</v>
          </cell>
          <cell r="F5969" t="str">
            <v>Harvey et al., 2017</v>
          </cell>
          <cell r="G5969" t="str">
            <v>NBNSYS0000009096</v>
          </cell>
          <cell r="H5969" t="str">
            <v>Lessertia dentichelis</v>
          </cell>
        </row>
        <row r="5970">
          <cell r="A5970" t="str">
            <v>Linyphia hortensis</v>
          </cell>
          <cell r="B5970" t="str">
            <v>Spiders</v>
          </cell>
          <cell r="C5970" t="str">
            <v>Araneae</v>
          </cell>
          <cell r="D5970" t="str">
            <v>Linyphia hortensis</v>
          </cell>
          <cell r="E5970" t="str">
            <v>LC</v>
          </cell>
          <cell r="F5970" t="str">
            <v>Harvey et al., 2017</v>
          </cell>
          <cell r="G5970" t="str">
            <v>NBNSYS0000009232</v>
          </cell>
          <cell r="H5970" t="str">
            <v>Linyphia hortensis</v>
          </cell>
        </row>
        <row r="5971">
          <cell r="A5971" t="str">
            <v>Linyphia triangularis</v>
          </cell>
          <cell r="B5971" t="str">
            <v>Spiders</v>
          </cell>
          <cell r="C5971" t="str">
            <v>Araneae</v>
          </cell>
          <cell r="D5971" t="str">
            <v>Linyphia triangularis</v>
          </cell>
          <cell r="E5971" t="str">
            <v>LC</v>
          </cell>
          <cell r="F5971" t="str">
            <v>Harvey et al., 2017</v>
          </cell>
          <cell r="G5971" t="str">
            <v>NBNSYS0000009231</v>
          </cell>
          <cell r="H5971" t="str">
            <v>Linyphia triangularis</v>
          </cell>
        </row>
        <row r="5972">
          <cell r="A5972" t="str">
            <v>Liocranum rupicola</v>
          </cell>
          <cell r="B5972" t="str">
            <v>Spiders</v>
          </cell>
          <cell r="C5972" t="str">
            <v>Araneae</v>
          </cell>
          <cell r="D5972" t="str">
            <v>Liocranum rupicola</v>
          </cell>
          <cell r="E5972" t="str">
            <v>LC</v>
          </cell>
          <cell r="F5972" t="str">
            <v>Harvey et al., 2017</v>
          </cell>
          <cell r="G5972" t="str">
            <v>NBNSYS0000008709</v>
          </cell>
          <cell r="H5972" t="str">
            <v>Liocranum rupicola</v>
          </cell>
        </row>
        <row r="5973">
          <cell r="A5973" t="str">
            <v>Lophomma punctatum</v>
          </cell>
          <cell r="B5973" t="str">
            <v>Spiders</v>
          </cell>
          <cell r="C5973" t="str">
            <v>Araneae</v>
          </cell>
          <cell r="D5973" t="str">
            <v>Lophomma punctatum</v>
          </cell>
          <cell r="E5973" t="str">
            <v>LC</v>
          </cell>
          <cell r="F5973" t="str">
            <v>Harvey et al., 2017</v>
          </cell>
          <cell r="G5973" t="str">
            <v>NBNSYS0000009071</v>
          </cell>
          <cell r="H5973" t="str">
            <v>Lophomma punctatum</v>
          </cell>
        </row>
        <row r="5974">
          <cell r="A5974" t="str">
            <v>Macrargus carpenteri</v>
          </cell>
          <cell r="B5974" t="str">
            <v>Spiders</v>
          </cell>
          <cell r="C5974" t="str">
            <v>Araneae</v>
          </cell>
          <cell r="D5974" t="str">
            <v>Macrargus carpenteri</v>
          </cell>
          <cell r="E5974" t="str">
            <v>LC</v>
          </cell>
          <cell r="F5974" t="str">
            <v>Harvey et al., 2017</v>
          </cell>
          <cell r="G5974" t="str">
            <v>NBNSYS0000009190</v>
          </cell>
          <cell r="H5974" t="str">
            <v>Macrargus carpenteri</v>
          </cell>
        </row>
        <row r="5975">
          <cell r="A5975" t="str">
            <v>Macrargus rufus</v>
          </cell>
          <cell r="B5975" t="str">
            <v>Spiders</v>
          </cell>
          <cell r="C5975" t="str">
            <v>Araneae</v>
          </cell>
          <cell r="D5975" t="str">
            <v>Macrargus rufus</v>
          </cell>
          <cell r="E5975" t="str">
            <v>LC</v>
          </cell>
          <cell r="F5975" t="str">
            <v>Harvey et al., 2017</v>
          </cell>
          <cell r="G5975" t="str">
            <v>NBNSYS0000009189</v>
          </cell>
          <cell r="H5975" t="str">
            <v>Macrargus rufus</v>
          </cell>
        </row>
        <row r="5976">
          <cell r="A5976" t="str">
            <v>Mangora acalypha</v>
          </cell>
          <cell r="B5976" t="str">
            <v>Spiders</v>
          </cell>
          <cell r="C5976" t="str">
            <v>Araneae</v>
          </cell>
          <cell r="D5976" t="str">
            <v>Mangora acalypha</v>
          </cell>
          <cell r="E5976" t="str">
            <v>LC</v>
          </cell>
          <cell r="F5976" t="str">
            <v>Harvey et al., 2017</v>
          </cell>
          <cell r="G5976" t="str">
            <v>NBNSYS0000008962</v>
          </cell>
          <cell r="H5976" t="str">
            <v>Mangora acalypha</v>
          </cell>
        </row>
        <row r="5977">
          <cell r="A5977" t="str">
            <v>Maro lepidus</v>
          </cell>
          <cell r="B5977" t="str">
            <v>Spiders</v>
          </cell>
          <cell r="C5977" t="str">
            <v>Araneae</v>
          </cell>
          <cell r="D5977" t="str">
            <v>Maro lepidus</v>
          </cell>
          <cell r="E5977" t="str">
            <v>EN</v>
          </cell>
          <cell r="F5977" t="str">
            <v>Harvey et al., 2017</v>
          </cell>
          <cell r="G5977" t="str">
            <v>NBNSYS0000009165</v>
          </cell>
          <cell r="H5977" t="str">
            <v>Maro lepidus</v>
          </cell>
        </row>
        <row r="5978">
          <cell r="A5978" t="str">
            <v>Maro minutus</v>
          </cell>
          <cell r="B5978" t="str">
            <v>Spiders</v>
          </cell>
          <cell r="C5978" t="str">
            <v>Araneae</v>
          </cell>
          <cell r="D5978" t="str">
            <v>Maro minutus</v>
          </cell>
          <cell r="E5978" t="str">
            <v>LC</v>
          </cell>
          <cell r="F5978" t="str">
            <v>Harvey et al., 2017</v>
          </cell>
          <cell r="G5978" t="str">
            <v>NBNSYS0000009163</v>
          </cell>
          <cell r="H5978" t="str">
            <v>Maro minutus</v>
          </cell>
        </row>
        <row r="5979">
          <cell r="A5979" t="str">
            <v>Maro sublestus</v>
          </cell>
          <cell r="B5979" t="str">
            <v>Spiders</v>
          </cell>
          <cell r="C5979" t="str">
            <v>Araneae</v>
          </cell>
          <cell r="D5979" t="str">
            <v>Maro sublestus</v>
          </cell>
          <cell r="E5979" t="str">
            <v>EN</v>
          </cell>
          <cell r="F5979" t="str">
            <v>Harvey et al., 2017</v>
          </cell>
          <cell r="G5979" t="str">
            <v>NBNSYS0000009164</v>
          </cell>
          <cell r="H5979" t="str">
            <v>Maro sublestus</v>
          </cell>
        </row>
        <row r="5980">
          <cell r="A5980" t="str">
            <v>Marpissa muscosa</v>
          </cell>
          <cell r="B5980" t="str">
            <v>Spiders</v>
          </cell>
          <cell r="C5980" t="str">
            <v>Araneae</v>
          </cell>
          <cell r="D5980" t="str">
            <v>Marpissa muscosa</v>
          </cell>
          <cell r="E5980" t="str">
            <v>LC</v>
          </cell>
          <cell r="F5980" t="str">
            <v>Harvey et al., 2017</v>
          </cell>
          <cell r="G5980" t="str">
            <v>NBNSYS0000008764</v>
          </cell>
          <cell r="H5980" t="str">
            <v>Marpissa muscosa</v>
          </cell>
        </row>
        <row r="5981">
          <cell r="A5981" t="str">
            <v>Marpissa nivoyi</v>
          </cell>
          <cell r="B5981" t="str">
            <v>Spiders</v>
          </cell>
          <cell r="C5981" t="str">
            <v>Araneae</v>
          </cell>
          <cell r="D5981" t="str">
            <v>Marpissa nivoyi</v>
          </cell>
          <cell r="E5981" t="str">
            <v>LC</v>
          </cell>
          <cell r="F5981" t="str">
            <v>Harvey et al., 2017</v>
          </cell>
          <cell r="G5981" t="str">
            <v>NBNSYS0000008766</v>
          </cell>
          <cell r="H5981" t="str">
            <v>Marpissa nivoyi</v>
          </cell>
        </row>
        <row r="5982">
          <cell r="A5982" t="str">
            <v>Marpissa radiata</v>
          </cell>
          <cell r="B5982" t="str">
            <v>Spiders</v>
          </cell>
          <cell r="C5982" t="str">
            <v>Araneae</v>
          </cell>
          <cell r="D5982" t="str">
            <v>Marpissa radiata</v>
          </cell>
          <cell r="E5982" t="str">
            <v>VU</v>
          </cell>
          <cell r="F5982" t="str">
            <v>Harvey et al., 2017</v>
          </cell>
          <cell r="G5982" t="str">
            <v>NBNSYS0000008765</v>
          </cell>
          <cell r="H5982" t="str">
            <v>Marpissa radiata</v>
          </cell>
        </row>
        <row r="5983">
          <cell r="A5983" t="str">
            <v>Maso gallicus</v>
          </cell>
          <cell r="B5983" t="str">
            <v>Spiders</v>
          </cell>
          <cell r="C5983" t="str">
            <v>Araneae</v>
          </cell>
          <cell r="D5983" t="str">
            <v>Maso gallicus</v>
          </cell>
          <cell r="E5983" t="str">
            <v>LC</v>
          </cell>
          <cell r="F5983" t="str">
            <v>Harvey et al., 2017</v>
          </cell>
          <cell r="G5983" t="str">
            <v>NBNSYS0000009021</v>
          </cell>
          <cell r="H5983" t="str">
            <v>Maso gallicus</v>
          </cell>
        </row>
        <row r="5984">
          <cell r="A5984" t="str">
            <v>Maso sundevalli</v>
          </cell>
          <cell r="B5984" t="str">
            <v>Spiders</v>
          </cell>
          <cell r="C5984" t="str">
            <v>Araneae</v>
          </cell>
          <cell r="D5984" t="str">
            <v>Maso sundevalli</v>
          </cell>
          <cell r="E5984" t="str">
            <v>LC</v>
          </cell>
          <cell r="F5984" t="str">
            <v>Harvey et al., 2017</v>
          </cell>
          <cell r="G5984" t="str">
            <v>NBNSYS0000009020</v>
          </cell>
          <cell r="H5984" t="str">
            <v>Maso sundevalli</v>
          </cell>
        </row>
        <row r="5985">
          <cell r="A5985" t="str">
            <v>Mastigusa arietina</v>
          </cell>
          <cell r="B5985" t="str">
            <v>Spiders</v>
          </cell>
          <cell r="C5985" t="str">
            <v>Araneae</v>
          </cell>
          <cell r="D5985" t="str">
            <v>Mastigusa arietina</v>
          </cell>
          <cell r="E5985" t="str">
            <v>RE</v>
          </cell>
          <cell r="F5985" t="str">
            <v>Harvey et al., 2017</v>
          </cell>
          <cell r="G5985" t="str">
            <v>NBNSYS0000008850</v>
          </cell>
          <cell r="H5985" t="str">
            <v>Mastigusa arietina</v>
          </cell>
        </row>
        <row r="5986">
          <cell r="A5986" t="str">
            <v>Mastigusa macrophthalma</v>
          </cell>
          <cell r="B5986" t="str">
            <v>Spiders</v>
          </cell>
          <cell r="C5986" t="str">
            <v>Araneae</v>
          </cell>
          <cell r="D5986" t="str">
            <v>Mastigusa macrophthalma</v>
          </cell>
          <cell r="E5986" t="str">
            <v>VU</v>
          </cell>
          <cell r="F5986" t="str">
            <v>Harvey et al., 2017</v>
          </cell>
          <cell r="G5986" t="str">
            <v>NBNSYS0000008849</v>
          </cell>
          <cell r="H5986" t="str">
            <v>Mastigusa macrophthalma</v>
          </cell>
        </row>
        <row r="5987">
          <cell r="A5987" t="str">
            <v>Mecopisthes peusi</v>
          </cell>
          <cell r="B5987" t="str">
            <v>Spiders</v>
          </cell>
          <cell r="C5987" t="str">
            <v>Araneae</v>
          </cell>
          <cell r="D5987" t="str">
            <v>Mecopisthes peusi</v>
          </cell>
          <cell r="E5987" t="str">
            <v>LC</v>
          </cell>
          <cell r="F5987" t="str">
            <v>Harvey et al., 2017</v>
          </cell>
          <cell r="G5987" t="str">
            <v>NBNSYS0000009046</v>
          </cell>
          <cell r="H5987" t="str">
            <v>Mecopisthes peusi</v>
          </cell>
        </row>
        <row r="5988">
          <cell r="A5988" t="str">
            <v>Mecynargus morulus</v>
          </cell>
          <cell r="B5988" t="str">
            <v>Spiders</v>
          </cell>
          <cell r="C5988" t="str">
            <v>Araneae</v>
          </cell>
          <cell r="D5988" t="str">
            <v>Mecynargus morulus</v>
          </cell>
          <cell r="E5988" t="str">
            <v>LC</v>
          </cell>
          <cell r="F5988" t="str">
            <v>Harvey et al., 2017</v>
          </cell>
          <cell r="G5988" t="str">
            <v>NBNSYS0100003882</v>
          </cell>
          <cell r="H5988" t="str">
            <v>Mecynargus morulus</v>
          </cell>
        </row>
        <row r="5989">
          <cell r="A5989" t="str">
            <v>Megalepthyphantes nebulosus</v>
          </cell>
          <cell r="B5989" t="str">
            <v>Spiders</v>
          </cell>
          <cell r="C5989" t="str">
            <v>Araneae</v>
          </cell>
          <cell r="D5989" t="str">
            <v>Megalepthyphantes nebulosus</v>
          </cell>
          <cell r="E5989" t="str">
            <v>LC</v>
          </cell>
          <cell r="F5989" t="str">
            <v>Harvey et al., 2017</v>
          </cell>
          <cell r="G5989" t="str">
            <v>NBNSYS0100003893</v>
          </cell>
          <cell r="H5989" t="str">
            <v>Megalepthyphantes nebulosus</v>
          </cell>
        </row>
        <row r="5990">
          <cell r="A5990" t="str">
            <v>Meioneta beata</v>
          </cell>
          <cell r="B5990" t="str">
            <v>Spiders</v>
          </cell>
          <cell r="C5990" t="str">
            <v>Araneae</v>
          </cell>
          <cell r="D5990" t="str">
            <v>Meioneta beata</v>
          </cell>
          <cell r="E5990" t="str">
            <v>LC</v>
          </cell>
          <cell r="F5990" t="str">
            <v>Harvey et al., 2017</v>
          </cell>
          <cell r="G5990" t="str">
            <v>NHMSYS0021453477</v>
          </cell>
          <cell r="H5990" t="str">
            <v>Meioneta beata</v>
          </cell>
        </row>
        <row r="5991">
          <cell r="A5991" t="str">
            <v>Meioneta fuscipalpa</v>
          </cell>
          <cell r="B5991" t="str">
            <v>Spiders</v>
          </cell>
          <cell r="C5991" t="str">
            <v>Araneae</v>
          </cell>
          <cell r="D5991" t="str">
            <v>Meioneta fuscipalpa</v>
          </cell>
          <cell r="E5991" t="str">
            <v>VU</v>
          </cell>
          <cell r="F5991" t="str">
            <v>Harvey et al., 2017</v>
          </cell>
          <cell r="G5991" t="str">
            <v>NHMSYS0021453482</v>
          </cell>
          <cell r="H5991" t="str">
            <v>Meioneta fuscipalpa</v>
          </cell>
        </row>
        <row r="5992">
          <cell r="A5992" t="str">
            <v>Meioneta gulosa</v>
          </cell>
          <cell r="B5992" t="str">
            <v>Spiders</v>
          </cell>
          <cell r="C5992" t="str">
            <v>Araneae</v>
          </cell>
          <cell r="D5992" t="str">
            <v>Meioneta gulosa</v>
          </cell>
          <cell r="E5992" t="str">
            <v>LC</v>
          </cell>
          <cell r="F5992" t="str">
            <v>Harvey et al., 2017</v>
          </cell>
          <cell r="G5992" t="str">
            <v>NHMSYS0021453487</v>
          </cell>
          <cell r="H5992" t="str">
            <v>Meioneta gulosa</v>
          </cell>
        </row>
        <row r="5993">
          <cell r="A5993" t="str">
            <v>Meioneta innotabilis</v>
          </cell>
          <cell r="B5993" t="str">
            <v>Spiders</v>
          </cell>
          <cell r="C5993" t="str">
            <v>Araneae</v>
          </cell>
          <cell r="D5993" t="str">
            <v>Meioneta innotabilis</v>
          </cell>
          <cell r="E5993" t="str">
            <v>LC</v>
          </cell>
          <cell r="F5993" t="str">
            <v>Harvey et al., 2017</v>
          </cell>
          <cell r="G5993" t="str">
            <v>NHMSYS0021453442</v>
          </cell>
          <cell r="H5993" t="str">
            <v>Meioneta innotabilis</v>
          </cell>
        </row>
        <row r="5994">
          <cell r="A5994" t="str">
            <v>Meioneta mollis</v>
          </cell>
          <cell r="B5994" t="str">
            <v>Spiders</v>
          </cell>
          <cell r="C5994" t="str">
            <v>Araneae</v>
          </cell>
          <cell r="D5994" t="str">
            <v>Meioneta mollis</v>
          </cell>
          <cell r="E5994" t="str">
            <v>NT</v>
          </cell>
          <cell r="F5994" t="str">
            <v>Harvey et al., 2017</v>
          </cell>
          <cell r="G5994" t="str">
            <v>NHMSYS0021453452</v>
          </cell>
          <cell r="H5994" t="str">
            <v>Meioneta mollis</v>
          </cell>
        </row>
        <row r="5995">
          <cell r="A5995" t="str">
            <v>Meioneta mossica</v>
          </cell>
          <cell r="B5995" t="str">
            <v>Spiders</v>
          </cell>
          <cell r="C5995" t="str">
            <v>Araneae</v>
          </cell>
          <cell r="D5995" t="str">
            <v>Meioneta mossica</v>
          </cell>
          <cell r="E5995" t="str">
            <v>LC</v>
          </cell>
          <cell r="F5995" t="str">
            <v>Harvey et al., 2017</v>
          </cell>
          <cell r="G5995" t="str">
            <v>NHMSYS0021453467</v>
          </cell>
          <cell r="H5995" t="str">
            <v>Meioneta mossica</v>
          </cell>
        </row>
        <row r="5996">
          <cell r="A5996" t="str">
            <v>Meioneta rurestris</v>
          </cell>
          <cell r="B5996" t="str">
            <v>Spiders</v>
          </cell>
          <cell r="C5996" t="str">
            <v>Araneae</v>
          </cell>
          <cell r="D5996" t="str">
            <v>Meioneta rurestris</v>
          </cell>
          <cell r="E5996" t="str">
            <v>LC</v>
          </cell>
          <cell r="F5996" t="str">
            <v>Harvey et al., 2017</v>
          </cell>
          <cell r="G5996" t="str">
            <v>NHMSYS0021453447</v>
          </cell>
          <cell r="H5996" t="str">
            <v>Meioneta rurestris</v>
          </cell>
        </row>
        <row r="5997">
          <cell r="A5997" t="str">
            <v>Meioneta saxatilis sens. str.</v>
          </cell>
          <cell r="B5997" t="str">
            <v>Spiders</v>
          </cell>
          <cell r="C5997" t="str">
            <v>Araneae</v>
          </cell>
          <cell r="D5997" t="str">
            <v>Meioneta saxatilis sens. str.</v>
          </cell>
          <cell r="E5997" t="str">
            <v>LC</v>
          </cell>
          <cell r="F5997" t="str">
            <v>Harvey et al., 2017</v>
          </cell>
          <cell r="G5997" t="str">
            <v>NHMSYS0021453457</v>
          </cell>
          <cell r="H5997" t="str">
            <v>Meioneta saxatilis sens. str.</v>
          </cell>
        </row>
        <row r="5998">
          <cell r="A5998" t="str">
            <v>Meioneta simplicitarsis</v>
          </cell>
          <cell r="B5998" t="str">
            <v>Spiders</v>
          </cell>
          <cell r="C5998" t="str">
            <v>Araneae</v>
          </cell>
          <cell r="D5998" t="str">
            <v>Meioneta simplicitarsis</v>
          </cell>
          <cell r="E5998" t="str">
            <v>LC</v>
          </cell>
          <cell r="F5998" t="str">
            <v>Harvey et al., 2017</v>
          </cell>
          <cell r="G5998" t="str">
            <v>NHMSYS0021453472</v>
          </cell>
          <cell r="H5998" t="str">
            <v>Meioneta simplicitarsis</v>
          </cell>
        </row>
        <row r="5999">
          <cell r="A5999" t="str">
            <v>Meta bourneti</v>
          </cell>
          <cell r="B5999" t="str">
            <v>Spiders</v>
          </cell>
          <cell r="C5999" t="str">
            <v>Araneae</v>
          </cell>
          <cell r="D5999" t="str">
            <v>Meta bourneti</v>
          </cell>
          <cell r="E5999" t="str">
            <v>LC</v>
          </cell>
          <cell r="F5999" t="str">
            <v>Harvey et al., 2017</v>
          </cell>
          <cell r="G5999" t="str">
            <v>NBNSYS0000008930</v>
          </cell>
          <cell r="H5999" t="str">
            <v>Meta bourneti</v>
          </cell>
        </row>
        <row r="6000">
          <cell r="A6000" t="str">
            <v>Meta menardi</v>
          </cell>
          <cell r="B6000" t="str">
            <v>Spiders</v>
          </cell>
          <cell r="C6000" t="str">
            <v>Araneae</v>
          </cell>
          <cell r="D6000" t="str">
            <v>Meta menardi</v>
          </cell>
          <cell r="E6000" t="str">
            <v>LC</v>
          </cell>
          <cell r="F6000" t="str">
            <v>Harvey et al., 2017</v>
          </cell>
          <cell r="G6000" t="str">
            <v>NBNSYS0000008929</v>
          </cell>
          <cell r="H6000" t="str">
            <v>Meta menardi</v>
          </cell>
        </row>
        <row r="6001">
          <cell r="A6001" t="str">
            <v>Metellina mengei</v>
          </cell>
          <cell r="B6001" t="str">
            <v>Spiders</v>
          </cell>
          <cell r="C6001" t="str">
            <v>Araneae</v>
          </cell>
          <cell r="D6001" t="str">
            <v>Metellina mengei</v>
          </cell>
          <cell r="E6001" t="str">
            <v>LC</v>
          </cell>
          <cell r="F6001" t="str">
            <v>Harvey et al., 2017</v>
          </cell>
          <cell r="G6001" t="str">
            <v>NBNSYS0000008927</v>
          </cell>
          <cell r="H6001" t="str">
            <v>Metellina mengei</v>
          </cell>
        </row>
        <row r="6002">
          <cell r="A6002" t="str">
            <v>Metellina merianae</v>
          </cell>
          <cell r="B6002" t="str">
            <v>Spiders</v>
          </cell>
          <cell r="C6002" t="str">
            <v>Araneae</v>
          </cell>
          <cell r="D6002" t="str">
            <v>Metellina merianae</v>
          </cell>
          <cell r="E6002" t="str">
            <v>LC</v>
          </cell>
          <cell r="F6002" t="str">
            <v>Harvey et al., 2017</v>
          </cell>
          <cell r="G6002" t="str">
            <v>NBNSYS0000008928</v>
          </cell>
          <cell r="H6002" t="str">
            <v>Metellina merianae</v>
          </cell>
        </row>
        <row r="6003">
          <cell r="A6003" t="str">
            <v>Metellina segmentata sens. str.</v>
          </cell>
          <cell r="B6003" t="str">
            <v>Spiders</v>
          </cell>
          <cell r="C6003" t="str">
            <v>Araneae</v>
          </cell>
          <cell r="D6003" t="str">
            <v>Metellina segmentata sens. str.</v>
          </cell>
          <cell r="E6003" t="str">
            <v>LC</v>
          </cell>
          <cell r="F6003" t="str">
            <v>Harvey et al., 2017</v>
          </cell>
          <cell r="G6003" t="str">
            <v>NHMSYS0000354310</v>
          </cell>
          <cell r="H6003" t="str">
            <v>Metellina segmentata sens. str.</v>
          </cell>
        </row>
        <row r="6004">
          <cell r="A6004" t="str">
            <v>Metopobactrus prominulus</v>
          </cell>
          <cell r="B6004" t="str">
            <v>Spiders</v>
          </cell>
          <cell r="C6004" t="str">
            <v>Araneae</v>
          </cell>
          <cell r="D6004" t="str">
            <v>Metopobactrus prominulus</v>
          </cell>
          <cell r="E6004" t="str">
            <v>LC</v>
          </cell>
          <cell r="F6004" t="str">
            <v>Harvey et al., 2017</v>
          </cell>
          <cell r="G6004" t="str">
            <v>NBNSYS0000009010</v>
          </cell>
          <cell r="H6004" t="str">
            <v>Metopobactrus prominulus</v>
          </cell>
        </row>
        <row r="6005">
          <cell r="A6005" t="str">
            <v>Micaria albovittata</v>
          </cell>
          <cell r="B6005" t="str">
            <v>Spiders</v>
          </cell>
          <cell r="C6005" t="str">
            <v>Araneae</v>
          </cell>
          <cell r="D6005" t="str">
            <v>Micaria albovittata</v>
          </cell>
          <cell r="E6005" t="str">
            <v>VU</v>
          </cell>
          <cell r="F6005" t="str">
            <v>Harvey et al., 2017</v>
          </cell>
          <cell r="G6005" t="str">
            <v>NHMSYS0020785971</v>
          </cell>
          <cell r="H6005" t="str">
            <v>Micaria albovittata</v>
          </cell>
        </row>
        <row r="6006">
          <cell r="A6006" t="str">
            <v>Micaria pulicaria</v>
          </cell>
          <cell r="B6006" t="str">
            <v>Spiders</v>
          </cell>
          <cell r="C6006" t="str">
            <v>Araneae</v>
          </cell>
          <cell r="D6006" t="str">
            <v>Micaria pulicaria</v>
          </cell>
          <cell r="E6006" t="str">
            <v>LC</v>
          </cell>
          <cell r="F6006" t="str">
            <v>Harvey et al., 2017</v>
          </cell>
          <cell r="G6006" t="str">
            <v>NHMSYS0021453632</v>
          </cell>
          <cell r="H6006" t="str">
            <v>Micaria pulicaria</v>
          </cell>
        </row>
        <row r="6007">
          <cell r="A6007" t="str">
            <v>Micaria silesiaca</v>
          </cell>
          <cell r="B6007" t="str">
            <v>Spiders</v>
          </cell>
          <cell r="C6007" t="str">
            <v>Araneae</v>
          </cell>
          <cell r="D6007" t="str">
            <v>Micaria silesiaca</v>
          </cell>
          <cell r="E6007" t="str">
            <v>NT</v>
          </cell>
          <cell r="F6007" t="str">
            <v>Harvey et al., 2017</v>
          </cell>
          <cell r="G6007" t="str">
            <v>NBNSYS0000008673</v>
          </cell>
          <cell r="H6007" t="str">
            <v>Micaria silesiaca</v>
          </cell>
        </row>
        <row r="6008">
          <cell r="A6008" t="str">
            <v>Micaria subopaca</v>
          </cell>
          <cell r="B6008" t="str">
            <v>Spiders</v>
          </cell>
          <cell r="C6008" t="str">
            <v>Araneae</v>
          </cell>
          <cell r="D6008" t="str">
            <v>Micaria subopaca</v>
          </cell>
          <cell r="E6008" t="str">
            <v>LC</v>
          </cell>
          <cell r="F6008" t="str">
            <v>Harvey et al., 2017</v>
          </cell>
          <cell r="G6008" t="str">
            <v>NBNSYS0000008672</v>
          </cell>
          <cell r="H6008" t="str">
            <v>Micaria subopaca</v>
          </cell>
        </row>
        <row r="6009">
          <cell r="A6009" t="str">
            <v>Micrargus apertus</v>
          </cell>
          <cell r="B6009" t="str">
            <v>Spiders</v>
          </cell>
          <cell r="C6009" t="str">
            <v>Araneae</v>
          </cell>
          <cell r="D6009" t="str">
            <v>Micrargus apertus</v>
          </cell>
          <cell r="E6009" t="str">
            <v>LC</v>
          </cell>
          <cell r="F6009" t="str">
            <v>Harvey et al., 2017</v>
          </cell>
          <cell r="G6009" t="str">
            <v>NBNSYS0000009077</v>
          </cell>
          <cell r="H6009" t="str">
            <v>Micrargus apertus</v>
          </cell>
        </row>
        <row r="6010">
          <cell r="A6010" t="str">
            <v>Micrargus herbigradus sens. str.</v>
          </cell>
          <cell r="B6010" t="str">
            <v>Spiders</v>
          </cell>
          <cell r="C6010" t="str">
            <v>Araneae</v>
          </cell>
          <cell r="D6010" t="str">
            <v>Micrargus herbigradus sens. str.</v>
          </cell>
          <cell r="E6010" t="str">
            <v>LC</v>
          </cell>
          <cell r="F6010" t="str">
            <v>Harvey et al., 2017</v>
          </cell>
          <cell r="G6010" t="str">
            <v>NBNSYS0200000053</v>
          </cell>
          <cell r="H6010" t="str">
            <v>Micrargus herbigradus sens. str.</v>
          </cell>
        </row>
        <row r="6011">
          <cell r="A6011" t="str">
            <v>Micrargus laudatus</v>
          </cell>
          <cell r="B6011" t="str">
            <v>Spiders</v>
          </cell>
          <cell r="C6011" t="str">
            <v>Araneae</v>
          </cell>
          <cell r="D6011" t="str">
            <v>Micrargus laudatus</v>
          </cell>
          <cell r="E6011" t="str">
            <v>LC</v>
          </cell>
          <cell r="F6011" t="str">
            <v>Harvey et al., 2017</v>
          </cell>
          <cell r="G6011" t="str">
            <v>NBNSYS0000009079</v>
          </cell>
          <cell r="H6011" t="str">
            <v>Micrargus laudatus</v>
          </cell>
        </row>
        <row r="6012">
          <cell r="A6012" t="str">
            <v>Micrargus subaequalis</v>
          </cell>
          <cell r="B6012" t="str">
            <v>Spiders</v>
          </cell>
          <cell r="C6012" t="str">
            <v>Araneae</v>
          </cell>
          <cell r="D6012" t="str">
            <v>Micrargus subaequalis</v>
          </cell>
          <cell r="E6012" t="str">
            <v>LC</v>
          </cell>
          <cell r="F6012" t="str">
            <v>Harvey et al., 2017</v>
          </cell>
          <cell r="G6012" t="str">
            <v>NBNSYS0000009078</v>
          </cell>
          <cell r="H6012" t="str">
            <v>Micrargus subaequalis</v>
          </cell>
        </row>
        <row r="6013">
          <cell r="A6013" t="str">
            <v>Microctenonyx subitaneus</v>
          </cell>
          <cell r="B6013" t="str">
            <v>Spiders</v>
          </cell>
          <cell r="C6013" t="str">
            <v>Araneae</v>
          </cell>
          <cell r="D6013" t="str">
            <v>Microctenonyx subitaneus</v>
          </cell>
          <cell r="E6013" t="str">
            <v>LC</v>
          </cell>
          <cell r="F6013" t="str">
            <v>Harvey et al., 2017</v>
          </cell>
          <cell r="G6013" t="str">
            <v>NBNSYS0000009065</v>
          </cell>
          <cell r="H6013" t="str">
            <v>Microctenonyx subitaneus</v>
          </cell>
        </row>
        <row r="6014">
          <cell r="A6014" t="str">
            <v>Microlinyphia impigra</v>
          </cell>
          <cell r="B6014" t="str">
            <v>Spiders</v>
          </cell>
          <cell r="C6014" t="str">
            <v>Araneae</v>
          </cell>
          <cell r="D6014" t="str">
            <v>Microlinyphia impigra</v>
          </cell>
          <cell r="E6014" t="str">
            <v>LC</v>
          </cell>
          <cell r="F6014" t="str">
            <v>Harvey et al., 2017</v>
          </cell>
          <cell r="G6014" t="str">
            <v>NBNSYS0000009239</v>
          </cell>
          <cell r="H6014" t="str">
            <v>Microlinyphia impigra</v>
          </cell>
        </row>
        <row r="6015">
          <cell r="A6015" t="str">
            <v>Microlinyphia pusilla</v>
          </cell>
          <cell r="B6015" t="str">
            <v>Spiders</v>
          </cell>
          <cell r="C6015" t="str">
            <v>Araneae</v>
          </cell>
          <cell r="D6015" t="str">
            <v>Microlinyphia pusilla</v>
          </cell>
          <cell r="E6015" t="str">
            <v>LC</v>
          </cell>
          <cell r="F6015" t="str">
            <v>Harvey et al., 2017</v>
          </cell>
          <cell r="G6015" t="str">
            <v>NBNSYS0000009238</v>
          </cell>
          <cell r="H6015" t="str">
            <v>Microlinyphia pusilla</v>
          </cell>
        </row>
        <row r="6016">
          <cell r="A6016" t="str">
            <v>Micrommata virescens</v>
          </cell>
          <cell r="B6016" t="str">
            <v>Spiders</v>
          </cell>
          <cell r="C6016" t="str">
            <v>Araneae</v>
          </cell>
          <cell r="D6016" t="str">
            <v>Micrommata virescens</v>
          </cell>
          <cell r="E6016" t="str">
            <v>LC</v>
          </cell>
          <cell r="F6016" t="str">
            <v>Harvey et al., 2017</v>
          </cell>
          <cell r="G6016" t="str">
            <v>NBNSYS0000008715</v>
          </cell>
          <cell r="H6016" t="str">
            <v>Micrommata virescens</v>
          </cell>
        </row>
        <row r="6017">
          <cell r="A6017" t="str">
            <v>Microneta viaria</v>
          </cell>
          <cell r="B6017" t="str">
            <v>Spiders</v>
          </cell>
          <cell r="C6017" t="str">
            <v>Araneae</v>
          </cell>
          <cell r="D6017" t="str">
            <v>Microneta viaria</v>
          </cell>
          <cell r="E6017" t="str">
            <v>LC</v>
          </cell>
          <cell r="F6017" t="str">
            <v>Harvey et al., 2017</v>
          </cell>
          <cell r="G6017" t="str">
            <v>NBNSYS0000009162</v>
          </cell>
          <cell r="H6017" t="str">
            <v>Microneta viaria</v>
          </cell>
        </row>
        <row r="6018">
          <cell r="A6018" t="str">
            <v>Midia midas</v>
          </cell>
          <cell r="B6018" t="str">
            <v>Spiders</v>
          </cell>
          <cell r="C6018" t="str">
            <v>Araneae</v>
          </cell>
          <cell r="D6018" t="str">
            <v>Midia midas</v>
          </cell>
          <cell r="E6018" t="str">
            <v>EN</v>
          </cell>
          <cell r="F6018" t="str">
            <v>Harvey et al., 2017</v>
          </cell>
          <cell r="G6018" t="str">
            <v>NBNSYS0100004075</v>
          </cell>
          <cell r="H6018" t="str">
            <v>Midia midas</v>
          </cell>
        </row>
        <row r="6019">
          <cell r="A6019" t="str">
            <v>Milleriana inerrans</v>
          </cell>
          <cell r="B6019" t="str">
            <v>Spiders</v>
          </cell>
          <cell r="C6019" t="str">
            <v>Araneae</v>
          </cell>
          <cell r="D6019" t="str">
            <v>Milleriana inerrans</v>
          </cell>
          <cell r="E6019" t="str">
            <v>LC</v>
          </cell>
          <cell r="F6019" t="str">
            <v>Harvey et al., 2017</v>
          </cell>
          <cell r="G6019" t="str">
            <v>NHMSYS0020785949</v>
          </cell>
          <cell r="H6019" t="str">
            <v>Milleriana inerrans</v>
          </cell>
        </row>
        <row r="6020">
          <cell r="A6020" t="str">
            <v>Minyriolus pusillus</v>
          </cell>
          <cell r="B6020" t="str">
            <v>Spiders</v>
          </cell>
          <cell r="C6020" t="str">
            <v>Araneae</v>
          </cell>
          <cell r="D6020" t="str">
            <v>Minyriolus pusillus</v>
          </cell>
          <cell r="E6020" t="str">
            <v>LC</v>
          </cell>
          <cell r="F6020" t="str">
            <v>Harvey et al., 2017</v>
          </cell>
          <cell r="G6020" t="str">
            <v>NBNSYS0000009059</v>
          </cell>
          <cell r="H6020" t="str">
            <v>Minyriolus pusillus</v>
          </cell>
        </row>
        <row r="6021">
          <cell r="A6021" t="str">
            <v>Misumena vatia</v>
          </cell>
          <cell r="B6021" t="str">
            <v>Spiders</v>
          </cell>
          <cell r="C6021" t="str">
            <v>Araneae</v>
          </cell>
          <cell r="D6021" t="str">
            <v>Misumena vatia</v>
          </cell>
          <cell r="E6021" t="str">
            <v>LC</v>
          </cell>
          <cell r="F6021" t="str">
            <v>Harvey et al., 2017</v>
          </cell>
          <cell r="G6021" t="str">
            <v>NBNSYS0000008718</v>
          </cell>
          <cell r="H6021" t="str">
            <v>Misumena vatia</v>
          </cell>
        </row>
        <row r="6022">
          <cell r="A6022" t="str">
            <v>Moebelia penicillata</v>
          </cell>
          <cell r="B6022" t="str">
            <v>Spiders</v>
          </cell>
          <cell r="C6022" t="str">
            <v>Araneae</v>
          </cell>
          <cell r="D6022" t="str">
            <v>Moebelia penicillata</v>
          </cell>
          <cell r="E6022" t="str">
            <v>LC</v>
          </cell>
          <cell r="F6022" t="str">
            <v>Harvey et al., 2017</v>
          </cell>
          <cell r="G6022" t="str">
            <v>NBNSYS0000008999</v>
          </cell>
          <cell r="H6022" t="str">
            <v>Moebelia penicillata</v>
          </cell>
        </row>
        <row r="6023">
          <cell r="A6023" t="str">
            <v>Monocephalus castaneipes</v>
          </cell>
          <cell r="B6023" t="str">
            <v>Spiders</v>
          </cell>
          <cell r="C6023" t="str">
            <v>Araneae</v>
          </cell>
          <cell r="D6023" t="str">
            <v>Monocephalus castaneipes</v>
          </cell>
          <cell r="E6023" t="str">
            <v>LC</v>
          </cell>
          <cell r="F6023" t="str">
            <v>Harvey et al., 2017</v>
          </cell>
          <cell r="G6023" t="str">
            <v>NBNSYS0000009070</v>
          </cell>
          <cell r="H6023" t="str">
            <v>Monocephalus castaneipes</v>
          </cell>
        </row>
        <row r="6024">
          <cell r="A6024" t="str">
            <v>Monocephalus fuscipes</v>
          </cell>
          <cell r="B6024" t="str">
            <v>Spiders</v>
          </cell>
          <cell r="C6024" t="str">
            <v>Araneae</v>
          </cell>
          <cell r="D6024" t="str">
            <v>Monocephalus fuscipes</v>
          </cell>
          <cell r="E6024" t="str">
            <v>LC</v>
          </cell>
          <cell r="F6024" t="str">
            <v>Harvey et al., 2017</v>
          </cell>
          <cell r="G6024" t="str">
            <v>NBNSYS0000009069</v>
          </cell>
          <cell r="H6024" t="str">
            <v>Monocephalus fuscipes</v>
          </cell>
        </row>
        <row r="6025">
          <cell r="A6025" t="str">
            <v>Mughiphantes whymperi</v>
          </cell>
          <cell r="B6025" t="str">
            <v>Spiders</v>
          </cell>
          <cell r="C6025" t="str">
            <v>Araneae</v>
          </cell>
          <cell r="D6025" t="str">
            <v>Mughiphantes whymperi</v>
          </cell>
          <cell r="E6025" t="str">
            <v>LC</v>
          </cell>
          <cell r="F6025" t="str">
            <v>Harvey et al., 2017</v>
          </cell>
          <cell r="G6025" t="str">
            <v>NHMSYS0020920566</v>
          </cell>
          <cell r="H6025" t="str">
            <v>Mughiphantes whymperi</v>
          </cell>
        </row>
        <row r="6026">
          <cell r="A6026" t="str">
            <v>Myrmarachne formicaria</v>
          </cell>
          <cell r="B6026" t="str">
            <v>Spiders</v>
          </cell>
          <cell r="C6026" t="str">
            <v>Araneae</v>
          </cell>
          <cell r="D6026" t="str">
            <v>Myrmarachne formicaria</v>
          </cell>
          <cell r="E6026" t="str">
            <v>LC</v>
          </cell>
          <cell r="F6026" t="str">
            <v>Harvey et al., 2017</v>
          </cell>
          <cell r="G6026" t="str">
            <v>NBNSYS0000008788</v>
          </cell>
          <cell r="H6026" t="str">
            <v>Myrmarachne formicaria</v>
          </cell>
        </row>
        <row r="6027">
          <cell r="A6027" t="str">
            <v>Neon pictus</v>
          </cell>
          <cell r="B6027" t="str">
            <v>Spiders</v>
          </cell>
          <cell r="C6027" t="str">
            <v>Araneae</v>
          </cell>
          <cell r="D6027" t="str">
            <v>Neon pictus</v>
          </cell>
          <cell r="E6027" t="str">
            <v>NT</v>
          </cell>
          <cell r="F6027" t="str">
            <v>Harvey et al., 2017</v>
          </cell>
          <cell r="G6027" t="str">
            <v>NBNSYS0100004213</v>
          </cell>
          <cell r="H6027" t="str">
            <v>Neon pictus</v>
          </cell>
        </row>
        <row r="6028">
          <cell r="A6028" t="str">
            <v>Neon reticulatus</v>
          </cell>
          <cell r="B6028" t="str">
            <v>Spiders</v>
          </cell>
          <cell r="C6028" t="str">
            <v>Araneae</v>
          </cell>
          <cell r="D6028" t="str">
            <v>Neon reticulatus</v>
          </cell>
          <cell r="E6028" t="str">
            <v>LC</v>
          </cell>
          <cell r="F6028" t="str">
            <v>Harvey et al., 2017</v>
          </cell>
          <cell r="G6028" t="str">
            <v>NBNSYS0000008769</v>
          </cell>
          <cell r="H6028" t="str">
            <v>Neon reticulatus</v>
          </cell>
        </row>
        <row r="6029">
          <cell r="A6029" t="str">
            <v>Neon robustus</v>
          </cell>
          <cell r="B6029" t="str">
            <v>Spiders</v>
          </cell>
          <cell r="C6029" t="str">
            <v>Araneae</v>
          </cell>
          <cell r="D6029" t="str">
            <v>Neon robustus</v>
          </cell>
          <cell r="E6029" t="str">
            <v>LC</v>
          </cell>
          <cell r="F6029" t="str">
            <v>Harvey et al., 2017</v>
          </cell>
          <cell r="G6029" t="str">
            <v>NBNSYS0100004214</v>
          </cell>
          <cell r="H6029" t="str">
            <v>Neon robustus</v>
          </cell>
        </row>
        <row r="6030">
          <cell r="A6030" t="str">
            <v>Neon valentulus</v>
          </cell>
          <cell r="B6030" t="str">
            <v>Spiders</v>
          </cell>
          <cell r="C6030" t="str">
            <v>Araneae</v>
          </cell>
          <cell r="D6030" t="str">
            <v>Neon valentulus</v>
          </cell>
          <cell r="E6030" t="str">
            <v>CR</v>
          </cell>
          <cell r="F6030" t="str">
            <v>Harvey et al., 2017</v>
          </cell>
          <cell r="G6030" t="str">
            <v>NBNSYS0000008770</v>
          </cell>
          <cell r="H6030" t="str">
            <v>Neon valentulus</v>
          </cell>
        </row>
        <row r="6031">
          <cell r="A6031" t="str">
            <v>Neoscona adianta</v>
          </cell>
          <cell r="B6031" t="str">
            <v>Spiders</v>
          </cell>
          <cell r="C6031" t="str">
            <v>Araneae</v>
          </cell>
          <cell r="D6031" t="str">
            <v>Neoscona adianta</v>
          </cell>
          <cell r="E6031" t="str">
            <v>LC</v>
          </cell>
          <cell r="F6031" t="str">
            <v>Harvey et al., 2017</v>
          </cell>
          <cell r="G6031" t="str">
            <v>NBNSYS0000008947</v>
          </cell>
          <cell r="H6031" t="str">
            <v>Neoscona adianta</v>
          </cell>
        </row>
        <row r="6032">
          <cell r="A6032" t="str">
            <v>Neottiura bimaculata</v>
          </cell>
          <cell r="B6032" t="str">
            <v>Spiders</v>
          </cell>
          <cell r="C6032" t="str">
            <v>Araneae</v>
          </cell>
          <cell r="D6032" t="str">
            <v>Neottiura bimaculata</v>
          </cell>
          <cell r="E6032" t="str">
            <v>LC</v>
          </cell>
          <cell r="F6032" t="str">
            <v>Harvey et al., 2017</v>
          </cell>
          <cell r="G6032" t="str">
            <v>NHMSYS0000355798</v>
          </cell>
          <cell r="H6032" t="str">
            <v>Neottiura bimaculata</v>
          </cell>
        </row>
        <row r="6033">
          <cell r="A6033" t="str">
            <v>Neriene clathrata</v>
          </cell>
          <cell r="B6033" t="str">
            <v>Spiders</v>
          </cell>
          <cell r="C6033" t="str">
            <v>Araneae</v>
          </cell>
          <cell r="D6033" t="str">
            <v>Neriene clathrata</v>
          </cell>
          <cell r="E6033" t="str">
            <v>LC</v>
          </cell>
          <cell r="F6033" t="str">
            <v>Harvey et al., 2017</v>
          </cell>
          <cell r="G6033" t="str">
            <v>NBNSYS0100004232</v>
          </cell>
          <cell r="H6033" t="str">
            <v>Neriene clathrata</v>
          </cell>
        </row>
        <row r="6034">
          <cell r="A6034" t="str">
            <v>Neriene furtiva</v>
          </cell>
          <cell r="B6034" t="str">
            <v>Spiders</v>
          </cell>
          <cell r="C6034" t="str">
            <v>Araneae</v>
          </cell>
          <cell r="D6034" t="str">
            <v>Neriene furtiva</v>
          </cell>
          <cell r="E6034" t="str">
            <v>LC</v>
          </cell>
          <cell r="F6034" t="str">
            <v>Harvey et al., 2017</v>
          </cell>
          <cell r="G6034" t="str">
            <v>NBNSYS0000033140</v>
          </cell>
          <cell r="H6034" t="str">
            <v>Neriene furtiva</v>
          </cell>
        </row>
        <row r="6035">
          <cell r="A6035" t="str">
            <v>Neriene montana</v>
          </cell>
          <cell r="B6035" t="str">
            <v>Spiders</v>
          </cell>
          <cell r="C6035" t="str">
            <v>Araneae</v>
          </cell>
          <cell r="D6035" t="str">
            <v>Neriene montana</v>
          </cell>
          <cell r="E6035" t="str">
            <v>LC</v>
          </cell>
          <cell r="F6035" t="str">
            <v>Harvey et al., 2017</v>
          </cell>
          <cell r="G6035" t="str">
            <v>NBNSYS0100004234</v>
          </cell>
          <cell r="H6035" t="str">
            <v>Neriene montana</v>
          </cell>
        </row>
        <row r="6036">
          <cell r="A6036" t="str">
            <v>Neriene peltata</v>
          </cell>
          <cell r="B6036" t="str">
            <v>Spiders</v>
          </cell>
          <cell r="C6036" t="str">
            <v>Araneae</v>
          </cell>
          <cell r="D6036" t="str">
            <v>Neriene peltata</v>
          </cell>
          <cell r="E6036" t="str">
            <v>LC</v>
          </cell>
          <cell r="F6036" t="str">
            <v>Harvey et al., 2017</v>
          </cell>
          <cell r="G6036" t="str">
            <v>NBNSYS0100004235</v>
          </cell>
          <cell r="H6036" t="str">
            <v>Neriene peltata</v>
          </cell>
        </row>
        <row r="6037">
          <cell r="A6037" t="str">
            <v>Neriene radiata</v>
          </cell>
          <cell r="B6037" t="str">
            <v>Spiders</v>
          </cell>
          <cell r="C6037" t="str">
            <v>Araneae</v>
          </cell>
          <cell r="D6037" t="str">
            <v>Neriene radiata</v>
          </cell>
          <cell r="E6037" t="str">
            <v>NT</v>
          </cell>
          <cell r="F6037" t="str">
            <v>Harvey et al., 2017</v>
          </cell>
          <cell r="G6037" t="str">
            <v>NBNSYS0000152322</v>
          </cell>
          <cell r="H6037" t="str">
            <v>Neriene radiata</v>
          </cell>
        </row>
        <row r="6038">
          <cell r="A6038" t="str">
            <v>Nesticus cellulanus</v>
          </cell>
          <cell r="B6038" t="str">
            <v>Spiders</v>
          </cell>
          <cell r="C6038" t="str">
            <v>Araneae</v>
          </cell>
          <cell r="D6038" t="str">
            <v>Nesticus cellulanus</v>
          </cell>
          <cell r="E6038" t="str">
            <v>LC</v>
          </cell>
          <cell r="F6038" t="str">
            <v>Harvey et al., 2017</v>
          </cell>
          <cell r="G6038" t="str">
            <v>NBNSYS0000008915</v>
          </cell>
          <cell r="H6038" t="str">
            <v>Nesticus cellulanus</v>
          </cell>
        </row>
        <row r="6039">
          <cell r="A6039" t="str">
            <v>Nigma puella</v>
          </cell>
          <cell r="B6039" t="str">
            <v>Spiders</v>
          </cell>
          <cell r="C6039" t="str">
            <v>Araneae</v>
          </cell>
          <cell r="D6039" t="str">
            <v>Nigma puella</v>
          </cell>
          <cell r="E6039" t="str">
            <v>LC</v>
          </cell>
          <cell r="F6039" t="str">
            <v>Harvey et al., 2017</v>
          </cell>
          <cell r="G6039" t="str">
            <v>NBNSYS0000008618</v>
          </cell>
          <cell r="H6039" t="str">
            <v>Nigma puella</v>
          </cell>
        </row>
        <row r="6040">
          <cell r="A6040" t="str">
            <v>Nigma walckenaeri</v>
          </cell>
          <cell r="B6040" t="str">
            <v>Spiders</v>
          </cell>
          <cell r="C6040" t="str">
            <v>Araneae</v>
          </cell>
          <cell r="D6040" t="str">
            <v>Nigma walckenaeri</v>
          </cell>
          <cell r="E6040" t="str">
            <v>LC</v>
          </cell>
          <cell r="F6040" t="str">
            <v>Harvey et al., 2017</v>
          </cell>
          <cell r="G6040" t="str">
            <v>NBNSYS0000008620</v>
          </cell>
          <cell r="H6040" t="str">
            <v>Nigma walckenaeri</v>
          </cell>
        </row>
        <row r="6041">
          <cell r="A6041" t="str">
            <v>Nothophantes horridus</v>
          </cell>
          <cell r="B6041" t="str">
            <v>Spiders</v>
          </cell>
          <cell r="C6041" t="str">
            <v>Araneae</v>
          </cell>
          <cell r="D6041" t="str">
            <v>Nothophantes horridus</v>
          </cell>
          <cell r="E6041" t="str">
            <v>EN</v>
          </cell>
          <cell r="F6041" t="str">
            <v>Harvey et al., 2017</v>
          </cell>
          <cell r="G6041" t="str">
            <v>NBNSYS0100004280</v>
          </cell>
          <cell r="H6041" t="str">
            <v>Nothophantes horridus</v>
          </cell>
        </row>
        <row r="6042">
          <cell r="A6042" t="str">
            <v>Notioscopus sarcinatus</v>
          </cell>
          <cell r="B6042" t="str">
            <v>Spiders</v>
          </cell>
          <cell r="C6042" t="str">
            <v>Araneae</v>
          </cell>
          <cell r="D6042" t="str">
            <v>Notioscopus sarcinatus</v>
          </cell>
          <cell r="E6042" t="str">
            <v>LC</v>
          </cell>
          <cell r="F6042" t="str">
            <v>Harvey et al., 2017</v>
          </cell>
          <cell r="G6042" t="str">
            <v>NBNSYS0000009080</v>
          </cell>
          <cell r="H6042" t="str">
            <v>Notioscopus sarcinatus</v>
          </cell>
        </row>
        <row r="6043">
          <cell r="A6043" t="str">
            <v>Nuctenea umbratica</v>
          </cell>
          <cell r="B6043" t="str">
            <v>Spiders</v>
          </cell>
          <cell r="C6043" t="str">
            <v>Araneae</v>
          </cell>
          <cell r="D6043" t="str">
            <v>Nuctenea umbratica</v>
          </cell>
          <cell r="E6043" t="str">
            <v>LC</v>
          </cell>
          <cell r="F6043" t="str">
            <v>Harvey et al., 2017</v>
          </cell>
          <cell r="G6043" t="str">
            <v>NBNSYS0000008945</v>
          </cell>
          <cell r="H6043" t="str">
            <v>Nuctenea umbratica</v>
          </cell>
        </row>
        <row r="6044">
          <cell r="A6044" t="str">
            <v>Obscuriphantes obscurus</v>
          </cell>
          <cell r="B6044" t="str">
            <v>Spiders</v>
          </cell>
          <cell r="C6044" t="str">
            <v>Araneae</v>
          </cell>
          <cell r="D6044" t="str">
            <v>Obscuriphantes obscurus</v>
          </cell>
          <cell r="E6044" t="str">
            <v>LC</v>
          </cell>
          <cell r="F6044" t="str">
            <v>Harvey et al., 2017</v>
          </cell>
          <cell r="G6044" t="str">
            <v>NHMSYS0020785973</v>
          </cell>
          <cell r="H6044" t="str">
            <v>Obscuriphantes obscurus</v>
          </cell>
        </row>
        <row r="6045">
          <cell r="A6045" t="str">
            <v>Oedothorax agrestis</v>
          </cell>
          <cell r="B6045" t="str">
            <v>Spiders</v>
          </cell>
          <cell r="C6045" t="str">
            <v>Araneae</v>
          </cell>
          <cell r="D6045" t="str">
            <v>Oedothorax agrestis</v>
          </cell>
          <cell r="E6045" t="str">
            <v>LC</v>
          </cell>
          <cell r="F6045" t="str">
            <v>Harvey et al., 2017</v>
          </cell>
          <cell r="G6045" t="str">
            <v>NBNSYS0000009030</v>
          </cell>
          <cell r="H6045" t="str">
            <v>Oedothorax agrestis</v>
          </cell>
        </row>
        <row r="6046">
          <cell r="A6046" t="str">
            <v>Oedothorax apicatus</v>
          </cell>
          <cell r="B6046" t="str">
            <v>Spiders</v>
          </cell>
          <cell r="C6046" t="str">
            <v>Araneae</v>
          </cell>
          <cell r="D6046" t="str">
            <v>Oedothorax apicatus</v>
          </cell>
          <cell r="E6046" t="str">
            <v>LC</v>
          </cell>
          <cell r="F6046" t="str">
            <v>Harvey et al., 2017</v>
          </cell>
          <cell r="G6046" t="str">
            <v>NBNSYS0000009032</v>
          </cell>
          <cell r="H6046" t="str">
            <v>Oedothorax apicatus</v>
          </cell>
        </row>
        <row r="6047">
          <cell r="A6047" t="str">
            <v>Oedothorax fuscus</v>
          </cell>
          <cell r="B6047" t="str">
            <v>Spiders</v>
          </cell>
          <cell r="C6047" t="str">
            <v>Araneae</v>
          </cell>
          <cell r="D6047" t="str">
            <v>Oedothorax fuscus</v>
          </cell>
          <cell r="E6047" t="str">
            <v>LC</v>
          </cell>
          <cell r="F6047" t="str">
            <v>Harvey et al., 2017</v>
          </cell>
          <cell r="G6047" t="str">
            <v>NBNSYS0000009029</v>
          </cell>
          <cell r="H6047" t="str">
            <v>Oedothorax fuscus</v>
          </cell>
        </row>
        <row r="6048">
          <cell r="A6048" t="str">
            <v>Oedothorax gibbosus</v>
          </cell>
          <cell r="B6048" t="str">
            <v>Spiders</v>
          </cell>
          <cell r="C6048" t="str">
            <v>Araneae</v>
          </cell>
          <cell r="D6048" t="str">
            <v>Oedothorax gibbosus</v>
          </cell>
          <cell r="E6048" t="str">
            <v>LC</v>
          </cell>
          <cell r="F6048" t="str">
            <v>Harvey et al., 2017</v>
          </cell>
          <cell r="G6048" t="str">
            <v>NBNSYS0000009027</v>
          </cell>
          <cell r="H6048" t="str">
            <v>Oedothorax gibbosus</v>
          </cell>
        </row>
        <row r="6049">
          <cell r="A6049" t="str">
            <v>Oedothorax retusus</v>
          </cell>
          <cell r="B6049" t="str">
            <v>Spiders</v>
          </cell>
          <cell r="C6049" t="str">
            <v>Araneae</v>
          </cell>
          <cell r="D6049" t="str">
            <v>Oedothorax retusus</v>
          </cell>
          <cell r="E6049" t="str">
            <v>LC</v>
          </cell>
          <cell r="F6049" t="str">
            <v>Harvey et al., 2017</v>
          </cell>
          <cell r="G6049" t="str">
            <v>NBNSYS0000009031</v>
          </cell>
          <cell r="H6049" t="str">
            <v>Oedothorax retusus</v>
          </cell>
        </row>
        <row r="6050">
          <cell r="A6050" t="str">
            <v>Oonops domesticus</v>
          </cell>
          <cell r="B6050" t="str">
            <v>Spiders</v>
          </cell>
          <cell r="C6050" t="str">
            <v>Araneae</v>
          </cell>
          <cell r="D6050" t="str">
            <v>Oonops domesticus</v>
          </cell>
          <cell r="E6050" t="str">
            <v>LC</v>
          </cell>
          <cell r="F6050" t="str">
            <v>Harvey et al., 2017</v>
          </cell>
          <cell r="G6050" t="str">
            <v>NBNSYS0000008630</v>
          </cell>
          <cell r="H6050" t="str">
            <v>Oonops domesticus</v>
          </cell>
        </row>
        <row r="6051">
          <cell r="A6051" t="str">
            <v>Oonops pulcher</v>
          </cell>
          <cell r="B6051" t="str">
            <v>Spiders</v>
          </cell>
          <cell r="C6051" t="str">
            <v>Araneae</v>
          </cell>
          <cell r="D6051" t="str">
            <v>Oonops pulcher</v>
          </cell>
          <cell r="E6051" t="str">
            <v>LC</v>
          </cell>
          <cell r="F6051" t="str">
            <v>Harvey et al., 2017</v>
          </cell>
          <cell r="G6051" t="str">
            <v>NBNSYS0000008629</v>
          </cell>
          <cell r="H6051" t="str">
            <v>Oonops pulcher</v>
          </cell>
        </row>
        <row r="6052">
          <cell r="A6052" t="str">
            <v>Oreonetides vaginatus</v>
          </cell>
          <cell r="B6052" t="str">
            <v>Spiders</v>
          </cell>
          <cell r="C6052" t="str">
            <v>Araneae</v>
          </cell>
          <cell r="D6052" t="str">
            <v>Oreonetides vaginatus</v>
          </cell>
          <cell r="E6052" t="str">
            <v>LC</v>
          </cell>
          <cell r="F6052" t="str">
            <v>Harvey et al., 2017</v>
          </cell>
          <cell r="G6052" t="str">
            <v>NBNSYS0000009186</v>
          </cell>
          <cell r="H6052" t="str">
            <v>Oreonetides vaginatus</v>
          </cell>
        </row>
        <row r="6053">
          <cell r="A6053" t="str">
            <v>Oryphantes angulatus</v>
          </cell>
          <cell r="B6053" t="str">
            <v>Spiders</v>
          </cell>
          <cell r="C6053" t="str">
            <v>Araneae</v>
          </cell>
          <cell r="D6053" t="str">
            <v>Oryphantes angulatus</v>
          </cell>
          <cell r="E6053" t="str">
            <v>LC</v>
          </cell>
          <cell r="F6053" t="str">
            <v>Harvey et al., 2017</v>
          </cell>
          <cell r="G6053" t="str">
            <v>NHMSYS0020785975</v>
          </cell>
          <cell r="H6053" t="str">
            <v>Oryphantes angulatus</v>
          </cell>
        </row>
        <row r="6054">
          <cell r="A6054" t="str">
            <v>Ostearius melanopygius</v>
          </cell>
          <cell r="B6054" t="str">
            <v>Spiders</v>
          </cell>
          <cell r="C6054" t="str">
            <v>Araneae</v>
          </cell>
          <cell r="D6054" t="str">
            <v>Ostearius melanopygius</v>
          </cell>
          <cell r="E6054" t="str">
            <v>LC</v>
          </cell>
          <cell r="F6054" t="str">
            <v>Harvey et al., 2017</v>
          </cell>
          <cell r="G6054" t="str">
            <v>NBNSYS0000009136</v>
          </cell>
          <cell r="H6054" t="str">
            <v>Ostearius melanopygius</v>
          </cell>
        </row>
        <row r="6055">
          <cell r="A6055" t="str">
            <v>Oxyopes heterophthalmus</v>
          </cell>
          <cell r="B6055" t="str">
            <v>Spiders</v>
          </cell>
          <cell r="C6055" t="str">
            <v>Araneae</v>
          </cell>
          <cell r="D6055" t="str">
            <v>Oxyopes heterophthalmus</v>
          </cell>
          <cell r="E6055" t="str">
            <v>VU</v>
          </cell>
          <cell r="F6055" t="str">
            <v>Harvey et al., 2017</v>
          </cell>
          <cell r="G6055" t="str">
            <v>NBNSYS0000008791</v>
          </cell>
          <cell r="H6055" t="str">
            <v>Oxyopes heterophthalmus</v>
          </cell>
        </row>
        <row r="6056">
          <cell r="A6056" t="str">
            <v>Ozyptila atomaria</v>
          </cell>
          <cell r="B6056" t="str">
            <v>Spiders</v>
          </cell>
          <cell r="C6056" t="str">
            <v>Araneae</v>
          </cell>
          <cell r="D6056" t="str">
            <v>Ozyptila atomaria</v>
          </cell>
          <cell r="E6056" t="str">
            <v>LC</v>
          </cell>
          <cell r="F6056" t="str">
            <v>Harvey et al., 2017</v>
          </cell>
          <cell r="G6056" t="str">
            <v>NBNSYS0000008739</v>
          </cell>
          <cell r="H6056" t="str">
            <v>Ozyptila atomaria</v>
          </cell>
        </row>
        <row r="6057">
          <cell r="A6057" t="str">
            <v>Ozyptila blackwalli</v>
          </cell>
          <cell r="B6057" t="str">
            <v>Spiders</v>
          </cell>
          <cell r="C6057" t="str">
            <v>Araneae</v>
          </cell>
          <cell r="D6057" t="str">
            <v>Ozyptila blackwalli</v>
          </cell>
          <cell r="E6057" t="str">
            <v>EN</v>
          </cell>
          <cell r="F6057" t="str">
            <v>Harvey et al., 2017</v>
          </cell>
          <cell r="G6057" t="str">
            <v>NHMSYS0020785950</v>
          </cell>
          <cell r="H6057" t="str">
            <v>Ozyptila blackwalli</v>
          </cell>
        </row>
        <row r="6058">
          <cell r="A6058" t="str">
            <v>Ozyptila brevipes</v>
          </cell>
          <cell r="B6058" t="str">
            <v>Spiders</v>
          </cell>
          <cell r="C6058" t="str">
            <v>Araneae</v>
          </cell>
          <cell r="D6058" t="str">
            <v>Ozyptila brevipes</v>
          </cell>
          <cell r="E6058" t="str">
            <v>LC</v>
          </cell>
          <cell r="F6058" t="str">
            <v>Harvey et al., 2017</v>
          </cell>
          <cell r="G6058" t="str">
            <v>NBNSYS0000008740</v>
          </cell>
          <cell r="H6058" t="str">
            <v>Ozyptila brevipes</v>
          </cell>
        </row>
        <row r="6059">
          <cell r="A6059" t="str">
            <v>Ozyptila nigrita</v>
          </cell>
          <cell r="B6059" t="str">
            <v>Spiders</v>
          </cell>
          <cell r="C6059" t="str">
            <v>Araneae</v>
          </cell>
          <cell r="D6059" t="str">
            <v>Ozyptila nigrita</v>
          </cell>
          <cell r="E6059" t="str">
            <v>LC</v>
          </cell>
          <cell r="F6059" t="str">
            <v>Harvey et al., 2017</v>
          </cell>
          <cell r="G6059" t="str">
            <v>NHMSYS0020785976</v>
          </cell>
          <cell r="H6059" t="str">
            <v>Ozyptila nigrita</v>
          </cell>
        </row>
        <row r="6060">
          <cell r="A6060" t="str">
            <v>Ozyptila praticola</v>
          </cell>
          <cell r="B6060" t="str">
            <v>Spiders</v>
          </cell>
          <cell r="C6060" t="str">
            <v>Araneae</v>
          </cell>
          <cell r="D6060" t="str">
            <v>Ozyptila praticola</v>
          </cell>
          <cell r="E6060" t="str">
            <v>LC</v>
          </cell>
          <cell r="F6060" t="str">
            <v>Harvey et al., 2017</v>
          </cell>
          <cell r="G6060" t="str">
            <v>NBNSYS0000008736</v>
          </cell>
          <cell r="H6060" t="str">
            <v>Ozyptila praticola</v>
          </cell>
        </row>
        <row r="6061">
          <cell r="A6061" t="str">
            <v>Ozyptila pullata</v>
          </cell>
          <cell r="B6061" t="str">
            <v>Spiders</v>
          </cell>
          <cell r="C6061" t="str">
            <v>Araneae</v>
          </cell>
          <cell r="D6061" t="str">
            <v>Ozyptila pullata</v>
          </cell>
          <cell r="E6061" t="str">
            <v>VU</v>
          </cell>
          <cell r="F6061" t="str">
            <v>Harvey et al., 2017</v>
          </cell>
          <cell r="G6061" t="str">
            <v>NBNSYS0100004374</v>
          </cell>
          <cell r="H6061" t="str">
            <v>Ozyptila pullata</v>
          </cell>
        </row>
        <row r="6062">
          <cell r="A6062" t="str">
            <v>Ozyptila sanctuaria</v>
          </cell>
          <cell r="B6062" t="str">
            <v>Spiders</v>
          </cell>
          <cell r="C6062" t="str">
            <v>Araneae</v>
          </cell>
          <cell r="D6062" t="str">
            <v>Ozyptila sanctuaria</v>
          </cell>
          <cell r="E6062" t="str">
            <v>LC</v>
          </cell>
          <cell r="F6062" t="str">
            <v>Harvey et al., 2017</v>
          </cell>
          <cell r="G6062" t="str">
            <v>NBNSYS0000008735</v>
          </cell>
          <cell r="H6062" t="str">
            <v>Ozyptila sanctuaria</v>
          </cell>
        </row>
        <row r="6063">
          <cell r="A6063" t="str">
            <v>Ozyptila scabricula</v>
          </cell>
          <cell r="B6063" t="str">
            <v>Spiders</v>
          </cell>
          <cell r="C6063" t="str">
            <v>Araneae</v>
          </cell>
          <cell r="D6063" t="str">
            <v>Ozyptila scabricula</v>
          </cell>
          <cell r="E6063" t="str">
            <v>LC</v>
          </cell>
          <cell r="F6063" t="str">
            <v>Harvey et al., 2017</v>
          </cell>
          <cell r="G6063" t="str">
            <v>NBNSYS0000008733</v>
          </cell>
          <cell r="H6063" t="str">
            <v>Ozyptila scabricula</v>
          </cell>
        </row>
        <row r="6064">
          <cell r="A6064" t="str">
            <v>Ozyptila simplex</v>
          </cell>
          <cell r="B6064" t="str">
            <v>Spiders</v>
          </cell>
          <cell r="C6064" t="str">
            <v>Araneae</v>
          </cell>
          <cell r="D6064" t="str">
            <v>Ozyptila simplex</v>
          </cell>
          <cell r="E6064" t="str">
            <v>LC</v>
          </cell>
          <cell r="F6064" t="str">
            <v>Harvey et al., 2017</v>
          </cell>
          <cell r="G6064" t="str">
            <v>NBNSYS0000008738</v>
          </cell>
          <cell r="H6064" t="str">
            <v>Ozyptila simplex</v>
          </cell>
        </row>
        <row r="6065">
          <cell r="A6065" t="str">
            <v>Ozyptila trux</v>
          </cell>
          <cell r="B6065" t="str">
            <v>Spiders</v>
          </cell>
          <cell r="C6065" t="str">
            <v>Araneae</v>
          </cell>
          <cell r="D6065" t="str">
            <v>Ozyptila trux</v>
          </cell>
          <cell r="E6065" t="str">
            <v>LC</v>
          </cell>
          <cell r="F6065" t="str">
            <v>Harvey et al., 2017</v>
          </cell>
          <cell r="G6065" t="str">
            <v>NBNSYS0000008737</v>
          </cell>
          <cell r="H6065" t="str">
            <v>Ozyptila trux</v>
          </cell>
        </row>
        <row r="6066">
          <cell r="A6066" t="str">
            <v>Pachygnatha clercki</v>
          </cell>
          <cell r="B6066" t="str">
            <v>Spiders</v>
          </cell>
          <cell r="C6066" t="str">
            <v>Araneae</v>
          </cell>
          <cell r="D6066" t="str">
            <v>Pachygnatha clercki</v>
          </cell>
          <cell r="E6066" t="str">
            <v>LC</v>
          </cell>
          <cell r="F6066" t="str">
            <v>Harvey et al., 2017</v>
          </cell>
          <cell r="G6066" t="str">
            <v>NBNSYS0000008923</v>
          </cell>
          <cell r="H6066" t="str">
            <v>Pachygnatha clercki</v>
          </cell>
        </row>
        <row r="6067">
          <cell r="A6067" t="str">
            <v>Pachygnatha degeeri</v>
          </cell>
          <cell r="B6067" t="str">
            <v>Spiders</v>
          </cell>
          <cell r="C6067" t="str">
            <v>Araneae</v>
          </cell>
          <cell r="D6067" t="str">
            <v>Pachygnatha degeeri</v>
          </cell>
          <cell r="E6067" t="str">
            <v>LC</v>
          </cell>
          <cell r="F6067" t="str">
            <v>Harvey et al., 2017</v>
          </cell>
          <cell r="G6067" t="str">
            <v>NBNSYS0000008925</v>
          </cell>
          <cell r="H6067" t="str">
            <v>Pachygnatha degeeri</v>
          </cell>
        </row>
        <row r="6068">
          <cell r="A6068" t="str">
            <v>Pachygnatha listeri</v>
          </cell>
          <cell r="B6068" t="str">
            <v>Spiders</v>
          </cell>
          <cell r="C6068" t="str">
            <v>Araneae</v>
          </cell>
          <cell r="D6068" t="str">
            <v>Pachygnatha listeri</v>
          </cell>
          <cell r="E6068" t="str">
            <v>LC</v>
          </cell>
          <cell r="F6068" t="str">
            <v>Harvey et al., 2017</v>
          </cell>
          <cell r="G6068" t="str">
            <v>NBNSYS0000008924</v>
          </cell>
          <cell r="H6068" t="str">
            <v>Pachygnatha listeri</v>
          </cell>
        </row>
        <row r="6069">
          <cell r="A6069" t="str">
            <v>Paidiscura pallens</v>
          </cell>
          <cell r="B6069" t="str">
            <v>Spiders</v>
          </cell>
          <cell r="C6069" t="str">
            <v>Araneae</v>
          </cell>
          <cell r="D6069" t="str">
            <v>Paidiscura pallens</v>
          </cell>
          <cell r="E6069" t="str">
            <v>LC</v>
          </cell>
          <cell r="F6069" t="str">
            <v>Harvey et al., 2017</v>
          </cell>
          <cell r="G6069" t="str">
            <v>NBNSYS0100004384</v>
          </cell>
          <cell r="H6069" t="str">
            <v>Paidiscura pallens</v>
          </cell>
        </row>
        <row r="6070">
          <cell r="A6070" t="str">
            <v>Palliduphantes ericaeus</v>
          </cell>
          <cell r="B6070" t="str">
            <v>Spiders</v>
          </cell>
          <cell r="C6070" t="str">
            <v>Araneae</v>
          </cell>
          <cell r="D6070" t="str">
            <v>Palliduphantes ericaeus</v>
          </cell>
          <cell r="E6070" t="str">
            <v>LC</v>
          </cell>
          <cell r="F6070" t="str">
            <v>Harvey et al., 2017</v>
          </cell>
          <cell r="G6070" t="str">
            <v>NHMSYS0020785977</v>
          </cell>
          <cell r="H6070" t="str">
            <v>Palliduphantes ericaeus</v>
          </cell>
        </row>
        <row r="6071">
          <cell r="A6071" t="str">
            <v>Palliduphantes insignis</v>
          </cell>
          <cell r="B6071" t="str">
            <v>Spiders</v>
          </cell>
          <cell r="C6071" t="str">
            <v>Araneae</v>
          </cell>
          <cell r="D6071" t="str">
            <v>Palliduphantes insignis</v>
          </cell>
          <cell r="E6071" t="str">
            <v>LC</v>
          </cell>
          <cell r="F6071" t="str">
            <v>Harvey et al., 2017</v>
          </cell>
          <cell r="G6071" t="str">
            <v>NHMSYS0020785979</v>
          </cell>
          <cell r="H6071" t="str">
            <v>Palliduphantes insignis</v>
          </cell>
        </row>
        <row r="6072">
          <cell r="A6072" t="str">
            <v>Palliduphantes pallidus</v>
          </cell>
          <cell r="B6072" t="str">
            <v>Spiders</v>
          </cell>
          <cell r="C6072" t="str">
            <v>Araneae</v>
          </cell>
          <cell r="D6072" t="str">
            <v>Palliduphantes pallidus</v>
          </cell>
          <cell r="E6072" t="str">
            <v>LC</v>
          </cell>
          <cell r="F6072" t="str">
            <v>Harvey et al., 2017</v>
          </cell>
          <cell r="G6072" t="str">
            <v>NHMSYS0020785978</v>
          </cell>
          <cell r="H6072" t="str">
            <v>Palliduphantes pallidus</v>
          </cell>
        </row>
        <row r="6073">
          <cell r="A6073" t="str">
            <v>Panamomops sulcifrons</v>
          </cell>
          <cell r="B6073" t="str">
            <v>Spiders</v>
          </cell>
          <cell r="C6073" t="str">
            <v>Araneae</v>
          </cell>
          <cell r="D6073" t="str">
            <v>Panamomops sulcifrons</v>
          </cell>
          <cell r="E6073" t="str">
            <v>LC</v>
          </cell>
          <cell r="F6073" t="str">
            <v>Harvey et al., 2017</v>
          </cell>
          <cell r="G6073" t="str">
            <v>NBNSYS0000009095</v>
          </cell>
          <cell r="H6073" t="str">
            <v>Panamomops sulcifrons</v>
          </cell>
        </row>
        <row r="6074">
          <cell r="A6074" t="str">
            <v>Pardosa agrestis</v>
          </cell>
          <cell r="B6074" t="str">
            <v>Spiders</v>
          </cell>
          <cell r="C6074" t="str">
            <v>Araneae</v>
          </cell>
          <cell r="D6074" t="str">
            <v>Pardosa agrestis</v>
          </cell>
          <cell r="E6074" t="str">
            <v>LC</v>
          </cell>
          <cell r="F6074" t="str">
            <v>Harvey et al., 2017</v>
          </cell>
          <cell r="G6074" t="str">
            <v>NBNSYS0000008794</v>
          </cell>
          <cell r="H6074" t="str">
            <v>Pardosa agrestis</v>
          </cell>
        </row>
        <row r="6075">
          <cell r="A6075" t="str">
            <v>Pardosa agricola</v>
          </cell>
          <cell r="B6075" t="str">
            <v>Spiders</v>
          </cell>
          <cell r="C6075" t="str">
            <v>Araneae</v>
          </cell>
          <cell r="D6075" t="str">
            <v>Pardosa agricola</v>
          </cell>
          <cell r="E6075" t="str">
            <v>LC</v>
          </cell>
          <cell r="F6075" t="str">
            <v>Harvey et al., 2017</v>
          </cell>
          <cell r="G6075" t="str">
            <v>NBNSYS0000008792</v>
          </cell>
          <cell r="H6075" t="str">
            <v>Pardosa agricola</v>
          </cell>
        </row>
        <row r="6076">
          <cell r="A6076" t="str">
            <v>Pardosa amentata</v>
          </cell>
          <cell r="B6076" t="str">
            <v>Spiders</v>
          </cell>
          <cell r="C6076" t="str">
            <v>Araneae</v>
          </cell>
          <cell r="D6076" t="str">
            <v>Pardosa amentata</v>
          </cell>
          <cell r="E6076" t="str">
            <v>LC</v>
          </cell>
          <cell r="F6076" t="str">
            <v>Harvey et al., 2017</v>
          </cell>
          <cell r="G6076" t="str">
            <v>NBNSYS0000008800</v>
          </cell>
          <cell r="H6076" t="str">
            <v>Pardosa amentata</v>
          </cell>
        </row>
        <row r="6077">
          <cell r="A6077" t="str">
            <v>Pardosa hortensis</v>
          </cell>
          <cell r="B6077" t="str">
            <v>Spiders</v>
          </cell>
          <cell r="C6077" t="str">
            <v>Araneae</v>
          </cell>
          <cell r="D6077" t="str">
            <v>Pardosa hortensis</v>
          </cell>
          <cell r="E6077" t="str">
            <v>LC</v>
          </cell>
          <cell r="F6077" t="str">
            <v>Harvey et al., 2017</v>
          </cell>
          <cell r="G6077" t="str">
            <v>NBNSYS0000008803</v>
          </cell>
          <cell r="H6077" t="str">
            <v>Pardosa hortensis</v>
          </cell>
        </row>
        <row r="6078">
          <cell r="A6078" t="str">
            <v>Pardosa lugubris</v>
          </cell>
          <cell r="B6078" t="str">
            <v>Spiders</v>
          </cell>
          <cell r="C6078" t="str">
            <v>Araneae</v>
          </cell>
          <cell r="D6078" t="str">
            <v>Pardosa lugubris</v>
          </cell>
          <cell r="E6078" t="str">
            <v>LC</v>
          </cell>
          <cell r="F6078" t="str">
            <v>Harvey et al., 2017</v>
          </cell>
          <cell r="G6078" t="str">
            <v>NHMSYS0020001408</v>
          </cell>
          <cell r="H6078" t="str">
            <v>Pardosa lugubris</v>
          </cell>
        </row>
        <row r="6079">
          <cell r="A6079" t="str">
            <v>Pardosa monticola</v>
          </cell>
          <cell r="B6079" t="str">
            <v>Spiders</v>
          </cell>
          <cell r="C6079" t="str">
            <v>Araneae</v>
          </cell>
          <cell r="D6079" t="str">
            <v>Pardosa monticola</v>
          </cell>
          <cell r="E6079" t="str">
            <v>LC</v>
          </cell>
          <cell r="F6079" t="str">
            <v>Harvey et al., 2017</v>
          </cell>
          <cell r="G6079" t="str">
            <v>NBNSYS0000008796</v>
          </cell>
          <cell r="H6079" t="str">
            <v>Pardosa monticola</v>
          </cell>
        </row>
        <row r="6080">
          <cell r="A6080" t="str">
            <v>Pardosa nigriceps</v>
          </cell>
          <cell r="B6080" t="str">
            <v>Spiders</v>
          </cell>
          <cell r="C6080" t="str">
            <v>Araneae</v>
          </cell>
          <cell r="D6080" t="str">
            <v>Pardosa nigriceps</v>
          </cell>
          <cell r="E6080" t="str">
            <v>LC</v>
          </cell>
          <cell r="F6080" t="str">
            <v>Harvey et al., 2017</v>
          </cell>
          <cell r="G6080" t="str">
            <v>NBNSYS0000008801</v>
          </cell>
          <cell r="H6080" t="str">
            <v>Pardosa nigriceps</v>
          </cell>
        </row>
        <row r="6081">
          <cell r="A6081" t="str">
            <v>Pardosa paludicola</v>
          </cell>
          <cell r="B6081" t="str">
            <v>Spiders</v>
          </cell>
          <cell r="C6081" t="str">
            <v>Araneae</v>
          </cell>
          <cell r="D6081" t="str">
            <v>Pardosa paludicola</v>
          </cell>
          <cell r="E6081" t="str">
            <v>EN</v>
          </cell>
          <cell r="F6081" t="str">
            <v>Harvey et al., 2017</v>
          </cell>
          <cell r="G6081" t="str">
            <v>NBNSYS0000008806</v>
          </cell>
          <cell r="H6081" t="str">
            <v>Pardosa paludicola</v>
          </cell>
        </row>
        <row r="6082">
          <cell r="A6082" t="str">
            <v>Pardosa palustris</v>
          </cell>
          <cell r="B6082" t="str">
            <v>Spiders</v>
          </cell>
          <cell r="C6082" t="str">
            <v>Araneae</v>
          </cell>
          <cell r="D6082" t="str">
            <v>Pardosa palustris</v>
          </cell>
          <cell r="E6082" t="str">
            <v>LC</v>
          </cell>
          <cell r="F6082" t="str">
            <v>Harvey et al., 2017</v>
          </cell>
          <cell r="G6082" t="str">
            <v>NBNSYS0000008797</v>
          </cell>
          <cell r="H6082" t="str">
            <v>Pardosa palustris</v>
          </cell>
        </row>
        <row r="6083">
          <cell r="A6083" t="str">
            <v>Pardosa prativaga</v>
          </cell>
          <cell r="B6083" t="str">
            <v>Spiders</v>
          </cell>
          <cell r="C6083" t="str">
            <v>Araneae</v>
          </cell>
          <cell r="D6083" t="str">
            <v>Pardosa prativaga</v>
          </cell>
          <cell r="E6083" t="str">
            <v>LC</v>
          </cell>
          <cell r="F6083" t="str">
            <v>Harvey et al., 2017</v>
          </cell>
          <cell r="G6083" t="str">
            <v>NBNSYS0000008799</v>
          </cell>
          <cell r="H6083" t="str">
            <v>Pardosa prativaga</v>
          </cell>
        </row>
        <row r="6084">
          <cell r="A6084" t="str">
            <v>Pardosa proxima</v>
          </cell>
          <cell r="B6084" t="str">
            <v>Spiders</v>
          </cell>
          <cell r="C6084" t="str">
            <v>Araneae</v>
          </cell>
          <cell r="D6084" t="str">
            <v>Pardosa proxima</v>
          </cell>
          <cell r="E6084" t="str">
            <v>LC</v>
          </cell>
          <cell r="F6084" t="str">
            <v>Harvey et al., 2017</v>
          </cell>
          <cell r="G6084" t="str">
            <v>NHMSYS0021453507</v>
          </cell>
          <cell r="H6084" t="str">
            <v>Pardosa proxima</v>
          </cell>
        </row>
        <row r="6085">
          <cell r="A6085" t="str">
            <v>Pardosa pullata</v>
          </cell>
          <cell r="B6085" t="str">
            <v>Spiders</v>
          </cell>
          <cell r="C6085" t="str">
            <v>Araneae</v>
          </cell>
          <cell r="D6085" t="str">
            <v>Pardosa pullata</v>
          </cell>
          <cell r="E6085" t="str">
            <v>LC</v>
          </cell>
          <cell r="F6085" t="str">
            <v>Harvey et al., 2017</v>
          </cell>
          <cell r="G6085" t="str">
            <v>NBNSYS0000008798</v>
          </cell>
          <cell r="H6085" t="str">
            <v>Pardosa pullata</v>
          </cell>
        </row>
        <row r="6086">
          <cell r="A6086" t="str">
            <v>Pardosa purbeckensis</v>
          </cell>
          <cell r="B6086" t="str">
            <v>Spiders</v>
          </cell>
          <cell r="C6086" t="str">
            <v>Araneae</v>
          </cell>
          <cell r="D6086" t="str">
            <v>Pardosa purbeckensis</v>
          </cell>
          <cell r="E6086" t="str">
            <v>LC</v>
          </cell>
          <cell r="F6086" t="str">
            <v>Harvey et al., 2017</v>
          </cell>
          <cell r="G6086" t="str">
            <v>NBNSYS0000008795</v>
          </cell>
          <cell r="H6086" t="str">
            <v>Pardosa purbeckensis</v>
          </cell>
        </row>
        <row r="6087">
          <cell r="A6087" t="str">
            <v>Pardosa saltans</v>
          </cell>
          <cell r="B6087" t="str">
            <v>Spiders</v>
          </cell>
          <cell r="C6087" t="str">
            <v>Araneae</v>
          </cell>
          <cell r="D6087" t="str">
            <v>Pardosa saltans</v>
          </cell>
          <cell r="E6087" t="str">
            <v>LC</v>
          </cell>
          <cell r="F6087" t="str">
            <v>Harvey et al., 2017</v>
          </cell>
          <cell r="G6087" t="str">
            <v>NBNSYS0100004475</v>
          </cell>
          <cell r="H6087" t="str">
            <v>Pardosa saltans</v>
          </cell>
        </row>
        <row r="6088">
          <cell r="A6088" t="str">
            <v>Pardosa trailli</v>
          </cell>
          <cell r="B6088" t="str">
            <v>Spiders</v>
          </cell>
          <cell r="C6088" t="str">
            <v>Araneae</v>
          </cell>
          <cell r="D6088" t="str">
            <v>Pardosa trailli</v>
          </cell>
          <cell r="E6088" t="str">
            <v>VU</v>
          </cell>
          <cell r="F6088" t="str">
            <v>Harvey et al., 2017</v>
          </cell>
          <cell r="G6088" t="str">
            <v>NBNSYS0000008805</v>
          </cell>
          <cell r="H6088" t="str">
            <v>Pardosa trailli</v>
          </cell>
        </row>
        <row r="6089">
          <cell r="A6089" t="str">
            <v>Pelecopsis mengei</v>
          </cell>
          <cell r="B6089" t="str">
            <v>Spiders</v>
          </cell>
          <cell r="C6089" t="str">
            <v>Araneae</v>
          </cell>
          <cell r="D6089" t="str">
            <v>Pelecopsis mengei</v>
          </cell>
          <cell r="E6089" t="str">
            <v>LC</v>
          </cell>
          <cell r="F6089" t="str">
            <v>Harvey et al., 2017</v>
          </cell>
          <cell r="G6089" t="str">
            <v>NBNSYS0000009035</v>
          </cell>
          <cell r="H6089" t="str">
            <v>Pelecopsis mengei</v>
          </cell>
        </row>
        <row r="6090">
          <cell r="A6090" t="str">
            <v>Pelecopsis nemoralioides</v>
          </cell>
          <cell r="B6090" t="str">
            <v>Spiders</v>
          </cell>
          <cell r="C6090" t="str">
            <v>Araneae</v>
          </cell>
          <cell r="D6090" t="str">
            <v>Pelecopsis nemoralioides</v>
          </cell>
          <cell r="E6090" t="str">
            <v>LC</v>
          </cell>
          <cell r="F6090" t="str">
            <v>Harvey et al., 2017</v>
          </cell>
          <cell r="G6090" t="str">
            <v>NHMSYS0020785980</v>
          </cell>
          <cell r="H6090" t="str">
            <v>Pelecopsis nemoralioides</v>
          </cell>
        </row>
        <row r="6091">
          <cell r="A6091" t="str">
            <v>Pelecopsis nemoralis</v>
          </cell>
          <cell r="B6091" t="str">
            <v>Spiders</v>
          </cell>
          <cell r="C6091" t="str">
            <v>Araneae</v>
          </cell>
          <cell r="D6091" t="str">
            <v>Pelecopsis nemoralis</v>
          </cell>
          <cell r="E6091" t="str">
            <v>LC</v>
          </cell>
          <cell r="F6091" t="str">
            <v>Harvey et al., 2017</v>
          </cell>
          <cell r="G6091" t="str">
            <v>NHMSYS0020785981</v>
          </cell>
          <cell r="H6091" t="str">
            <v>Pelecopsis nemoralis</v>
          </cell>
        </row>
        <row r="6092">
          <cell r="A6092" t="str">
            <v>Pelecopsis parallela</v>
          </cell>
          <cell r="B6092" t="str">
            <v>Spiders</v>
          </cell>
          <cell r="C6092" t="str">
            <v>Araneae</v>
          </cell>
          <cell r="D6092" t="str">
            <v>Pelecopsis parallela</v>
          </cell>
          <cell r="E6092" t="str">
            <v>LC</v>
          </cell>
          <cell r="F6092" t="str">
            <v>Harvey et al., 2017</v>
          </cell>
          <cell r="G6092" t="str">
            <v>NBNSYS0000009036</v>
          </cell>
          <cell r="H6092" t="str">
            <v>Pelecopsis parallela</v>
          </cell>
        </row>
        <row r="6093">
          <cell r="A6093" t="str">
            <v>Pelecopsis radicicola</v>
          </cell>
          <cell r="B6093" t="str">
            <v>Spiders</v>
          </cell>
          <cell r="C6093" t="str">
            <v>Araneae</v>
          </cell>
          <cell r="D6093" t="str">
            <v>Pelecopsis radicicola</v>
          </cell>
          <cell r="E6093" t="str">
            <v>EN</v>
          </cell>
          <cell r="F6093" t="str">
            <v>Harvey et al., 2017</v>
          </cell>
          <cell r="G6093" t="str">
            <v>NBNSYS0000009041</v>
          </cell>
          <cell r="H6093" t="str">
            <v>Pelecopsis radicicola</v>
          </cell>
        </row>
        <row r="6094">
          <cell r="A6094" t="str">
            <v>Pellenes tripunctatus</v>
          </cell>
          <cell r="B6094" t="str">
            <v>Spiders</v>
          </cell>
          <cell r="C6094" t="str">
            <v>Araneae</v>
          </cell>
          <cell r="D6094" t="str">
            <v>Pellenes tripunctatus</v>
          </cell>
          <cell r="E6094" t="str">
            <v>VU</v>
          </cell>
          <cell r="F6094" t="str">
            <v>Harvey et al., 2017</v>
          </cell>
          <cell r="G6094" t="str">
            <v>NBNSYS0000008790</v>
          </cell>
          <cell r="H6094" t="str">
            <v>Pellenes tripunctatus</v>
          </cell>
        </row>
        <row r="6095">
          <cell r="A6095" t="str">
            <v>Peponocranium ludicrum</v>
          </cell>
          <cell r="B6095" t="str">
            <v>Spiders</v>
          </cell>
          <cell r="C6095" t="str">
            <v>Araneae</v>
          </cell>
          <cell r="D6095" t="str">
            <v>Peponocranium ludicrum</v>
          </cell>
          <cell r="E6095" t="str">
            <v>LC</v>
          </cell>
          <cell r="F6095" t="str">
            <v>Harvey et al., 2017</v>
          </cell>
          <cell r="G6095" t="str">
            <v>NBNSYS0000009022</v>
          </cell>
          <cell r="H6095" t="str">
            <v>Peponocranium ludicrum</v>
          </cell>
        </row>
        <row r="6096">
          <cell r="A6096" t="str">
            <v>Phaeocedus braccatus</v>
          </cell>
          <cell r="B6096" t="str">
            <v>Spiders</v>
          </cell>
          <cell r="C6096" t="str">
            <v>Araneae</v>
          </cell>
          <cell r="D6096" t="str">
            <v>Phaeocedus braccatus</v>
          </cell>
          <cell r="E6096" t="str">
            <v>VU</v>
          </cell>
          <cell r="F6096" t="str">
            <v>Harvey et al., 2017</v>
          </cell>
          <cell r="G6096" t="str">
            <v>NBNSYS0000008653</v>
          </cell>
          <cell r="H6096" t="str">
            <v>Phaeocedus braccatus</v>
          </cell>
        </row>
        <row r="6097">
          <cell r="A6097" t="str">
            <v>Philodromus albidus</v>
          </cell>
          <cell r="B6097" t="str">
            <v>Spiders</v>
          </cell>
          <cell r="C6097" t="str">
            <v>Araneae</v>
          </cell>
          <cell r="D6097" t="str">
            <v>Philodromus albidus</v>
          </cell>
          <cell r="E6097" t="str">
            <v>LC</v>
          </cell>
          <cell r="F6097" t="str">
            <v>Harvey et al., 2017</v>
          </cell>
          <cell r="G6097" t="str">
            <v>NBNSYS0000008750</v>
          </cell>
          <cell r="H6097" t="str">
            <v>Philodromus albidus</v>
          </cell>
        </row>
        <row r="6098">
          <cell r="A6098" t="str">
            <v>Philodromus aureolus</v>
          </cell>
          <cell r="B6098" t="str">
            <v>Spiders</v>
          </cell>
          <cell r="C6098" t="str">
            <v>Araneae</v>
          </cell>
          <cell r="D6098" t="str">
            <v>Philodromus aureolus</v>
          </cell>
          <cell r="E6098" t="str">
            <v>LC</v>
          </cell>
          <cell r="F6098" t="str">
            <v>Harvey et al., 2017</v>
          </cell>
          <cell r="G6098" t="str">
            <v>NBNSYS0000008742</v>
          </cell>
          <cell r="H6098" t="str">
            <v>Philodromus aureolus</v>
          </cell>
        </row>
        <row r="6099">
          <cell r="A6099" t="str">
            <v>Philodromus cespitum</v>
          </cell>
          <cell r="B6099" t="str">
            <v>Spiders</v>
          </cell>
          <cell r="C6099" t="str">
            <v>Araneae</v>
          </cell>
          <cell r="D6099" t="str">
            <v>Philodromus cespitum</v>
          </cell>
          <cell r="E6099" t="str">
            <v>LC</v>
          </cell>
          <cell r="F6099" t="str">
            <v>Harvey et al., 2017</v>
          </cell>
          <cell r="G6099" t="str">
            <v>NBNSYS0000008744</v>
          </cell>
          <cell r="H6099" t="str">
            <v>Philodromus cespitum</v>
          </cell>
        </row>
        <row r="6100">
          <cell r="A6100" t="str">
            <v>Philodromus collinus</v>
          </cell>
          <cell r="B6100" t="str">
            <v>Spiders</v>
          </cell>
          <cell r="C6100" t="str">
            <v>Araneae</v>
          </cell>
          <cell r="D6100" t="str">
            <v>Philodromus collinus</v>
          </cell>
          <cell r="E6100" t="str">
            <v>LC</v>
          </cell>
          <cell r="F6100" t="str">
            <v>Harvey et al., 2017</v>
          </cell>
          <cell r="G6100" t="str">
            <v>NBNSYS0000008746</v>
          </cell>
          <cell r="H6100" t="str">
            <v>Philodromus collinus</v>
          </cell>
        </row>
        <row r="6101">
          <cell r="A6101" t="str">
            <v>Philodromus dispar</v>
          </cell>
          <cell r="B6101" t="str">
            <v>Spiders</v>
          </cell>
          <cell r="C6101" t="str">
            <v>Araneae</v>
          </cell>
          <cell r="D6101" t="str">
            <v>Philodromus dispar</v>
          </cell>
          <cell r="E6101" t="str">
            <v>LC</v>
          </cell>
          <cell r="F6101" t="str">
            <v>Harvey et al., 2017</v>
          </cell>
          <cell r="G6101" t="str">
            <v>NBNSYS0000008741</v>
          </cell>
          <cell r="H6101" t="str">
            <v>Philodromus dispar</v>
          </cell>
        </row>
        <row r="6102">
          <cell r="A6102" t="str">
            <v>Philodromus emarginatus</v>
          </cell>
          <cell r="B6102" t="str">
            <v>Spiders</v>
          </cell>
          <cell r="C6102" t="str">
            <v>Araneae</v>
          </cell>
          <cell r="D6102" t="str">
            <v>Philodromus emarginatus</v>
          </cell>
          <cell r="E6102" t="str">
            <v>VU</v>
          </cell>
          <cell r="F6102" t="str">
            <v>Harvey et al., 2017</v>
          </cell>
          <cell r="G6102" t="str">
            <v>NBNSYS0000008749</v>
          </cell>
          <cell r="H6102" t="str">
            <v>Philodromus emarginatus</v>
          </cell>
        </row>
        <row r="6103">
          <cell r="A6103" t="str">
            <v>Philodromus fallax</v>
          </cell>
          <cell r="B6103" t="str">
            <v>Spiders</v>
          </cell>
          <cell r="C6103" t="str">
            <v>Araneae</v>
          </cell>
          <cell r="D6103" t="str">
            <v>Philodromus fallax</v>
          </cell>
          <cell r="E6103" t="str">
            <v>VU</v>
          </cell>
          <cell r="F6103" t="str">
            <v>Harvey et al., 2017</v>
          </cell>
          <cell r="G6103" t="str">
            <v>NHMSYS0021453602</v>
          </cell>
          <cell r="H6103" t="str">
            <v>Philodromus fallax</v>
          </cell>
        </row>
        <row r="6104">
          <cell r="A6104" t="str">
            <v>Philodromus histrio</v>
          </cell>
          <cell r="B6104" t="str">
            <v>Spiders</v>
          </cell>
          <cell r="C6104" t="str">
            <v>Araneae</v>
          </cell>
          <cell r="D6104" t="str">
            <v>Philodromus histrio</v>
          </cell>
          <cell r="E6104" t="str">
            <v>LC</v>
          </cell>
          <cell r="F6104" t="str">
            <v>Harvey et al., 2017</v>
          </cell>
          <cell r="G6104" t="str">
            <v>NHMSYS0021453607</v>
          </cell>
          <cell r="H6104" t="str">
            <v>Philodromus histrio</v>
          </cell>
        </row>
        <row r="6105">
          <cell r="A6105" t="str">
            <v>Philodromus longipalpis</v>
          </cell>
          <cell r="B6105" t="str">
            <v>Spiders</v>
          </cell>
          <cell r="C6105" t="str">
            <v>Araneae</v>
          </cell>
          <cell r="D6105" t="str">
            <v>Philodromus longipalpis</v>
          </cell>
          <cell r="E6105" t="str">
            <v>LC</v>
          </cell>
          <cell r="F6105" t="str">
            <v>Harvey et al., 2017</v>
          </cell>
          <cell r="G6105" t="str">
            <v>NBNSYS0100004566</v>
          </cell>
          <cell r="H6105" t="str">
            <v>Philodromus longipalpis</v>
          </cell>
        </row>
        <row r="6106">
          <cell r="A6106" t="str">
            <v>Philodromus margaritatus</v>
          </cell>
          <cell r="B6106" t="str">
            <v>Spiders</v>
          </cell>
          <cell r="C6106" t="str">
            <v>Araneae</v>
          </cell>
          <cell r="D6106" t="str">
            <v>Philodromus margaritatus</v>
          </cell>
          <cell r="E6106" t="str">
            <v>NT</v>
          </cell>
          <cell r="F6106" t="str">
            <v>Harvey et al., 2017</v>
          </cell>
          <cell r="G6106" t="str">
            <v>NBNSYS0000008751</v>
          </cell>
          <cell r="H6106" t="str">
            <v>Philodromus margaritatus</v>
          </cell>
        </row>
        <row r="6107">
          <cell r="A6107" t="str">
            <v>Philodromus praedatus</v>
          </cell>
          <cell r="B6107" t="str">
            <v>Spiders</v>
          </cell>
          <cell r="C6107" t="str">
            <v>Araneae</v>
          </cell>
          <cell r="D6107" t="str">
            <v>Philodromus praedatus</v>
          </cell>
          <cell r="E6107" t="str">
            <v>LC</v>
          </cell>
          <cell r="F6107" t="str">
            <v>Harvey et al., 2017</v>
          </cell>
          <cell r="G6107" t="str">
            <v>NBNSYS0000008743</v>
          </cell>
          <cell r="H6107" t="str">
            <v>Philodromus praedatus</v>
          </cell>
        </row>
        <row r="6108">
          <cell r="A6108" t="str">
            <v>Phlegra fasciata</v>
          </cell>
          <cell r="B6108" t="str">
            <v>Spiders</v>
          </cell>
          <cell r="C6108" t="str">
            <v>Araneae</v>
          </cell>
          <cell r="D6108" t="str">
            <v>Phlegra fasciata</v>
          </cell>
          <cell r="E6108" t="str">
            <v>NT</v>
          </cell>
          <cell r="F6108" t="str">
            <v>Harvey et al., 2017</v>
          </cell>
          <cell r="G6108" t="str">
            <v>NBNSYS0000008786</v>
          </cell>
          <cell r="H6108" t="str">
            <v>Phlegra fasciata</v>
          </cell>
        </row>
        <row r="6109">
          <cell r="A6109" t="str">
            <v>Pholcomma gibbum</v>
          </cell>
          <cell r="B6109" t="str">
            <v>Spiders</v>
          </cell>
          <cell r="C6109" t="str">
            <v>Araneae</v>
          </cell>
          <cell r="D6109" t="str">
            <v>Pholcomma gibbum</v>
          </cell>
          <cell r="E6109" t="str">
            <v>LC</v>
          </cell>
          <cell r="F6109" t="str">
            <v>Harvey et al., 2017</v>
          </cell>
          <cell r="G6109" t="str">
            <v>NBNSYS0000008913</v>
          </cell>
          <cell r="H6109" t="str">
            <v>Pholcomma gibbum</v>
          </cell>
        </row>
        <row r="6110">
          <cell r="A6110" t="str">
            <v>Pholcus phalangioides</v>
          </cell>
          <cell r="B6110" t="str">
            <v>Spiders</v>
          </cell>
          <cell r="C6110" t="str">
            <v>Araneae</v>
          </cell>
          <cell r="D6110" t="str">
            <v>Pholcus phalangioides</v>
          </cell>
          <cell r="E6110" t="str">
            <v>LC</v>
          </cell>
          <cell r="F6110" t="str">
            <v>Harvey et al., 2017</v>
          </cell>
          <cell r="G6110" t="str">
            <v>NBNSYS0000008639</v>
          </cell>
          <cell r="H6110" t="str">
            <v>Pholcus phalangioides</v>
          </cell>
        </row>
        <row r="6111">
          <cell r="A6111" t="str">
            <v>Phrurolithus festivus</v>
          </cell>
          <cell r="B6111" t="str">
            <v>Spiders</v>
          </cell>
          <cell r="C6111" t="str">
            <v>Araneae</v>
          </cell>
          <cell r="D6111" t="str">
            <v>Phrurolithus festivus</v>
          </cell>
          <cell r="E6111" t="str">
            <v>LC</v>
          </cell>
          <cell r="F6111" t="str">
            <v>Harvey et al., 2017</v>
          </cell>
          <cell r="G6111" t="str">
            <v>NBNSYS0000008697</v>
          </cell>
          <cell r="H6111" t="str">
            <v>Phrurolithus festivus</v>
          </cell>
        </row>
        <row r="6112">
          <cell r="A6112" t="str">
            <v>Phrurolithus minimus</v>
          </cell>
          <cell r="B6112" t="str">
            <v>Spiders</v>
          </cell>
          <cell r="C6112" t="str">
            <v>Araneae</v>
          </cell>
          <cell r="D6112" t="str">
            <v>Phrurolithus minimus</v>
          </cell>
          <cell r="E6112" t="str">
            <v>LC</v>
          </cell>
          <cell r="F6112" t="str">
            <v>Harvey et al., 2017</v>
          </cell>
          <cell r="G6112" t="str">
            <v>NBNSYS0000008698</v>
          </cell>
          <cell r="H6112" t="str">
            <v>Phrurolithus minimus</v>
          </cell>
        </row>
        <row r="6113">
          <cell r="A6113" t="str">
            <v>Phylloneta impressa</v>
          </cell>
          <cell r="B6113" t="str">
            <v>Spiders</v>
          </cell>
          <cell r="C6113" t="str">
            <v>Araneae</v>
          </cell>
          <cell r="D6113" t="str">
            <v>Phylloneta impressa</v>
          </cell>
          <cell r="E6113" t="str">
            <v>LC</v>
          </cell>
          <cell r="F6113" t="str">
            <v>Harvey et al., 2017</v>
          </cell>
          <cell r="G6113" t="str">
            <v>NHMSYS0021162651</v>
          </cell>
          <cell r="H6113" t="str">
            <v>Phylloneta impressa</v>
          </cell>
        </row>
        <row r="6114">
          <cell r="A6114" t="str">
            <v>Phylloneta sisyphia</v>
          </cell>
          <cell r="B6114" t="str">
            <v>Spiders</v>
          </cell>
          <cell r="C6114" t="str">
            <v>Araneae</v>
          </cell>
          <cell r="D6114" t="str">
            <v>Phylloneta sisyphia</v>
          </cell>
          <cell r="E6114" t="str">
            <v>LC</v>
          </cell>
          <cell r="F6114" t="str">
            <v>Harvey et al., 2017</v>
          </cell>
          <cell r="G6114" t="str">
            <v>NHMSYS0020785988</v>
          </cell>
          <cell r="H6114" t="str">
            <v>Phylloneta sisyphia</v>
          </cell>
        </row>
        <row r="6115">
          <cell r="A6115" t="str">
            <v>Piniphantes pinicola</v>
          </cell>
          <cell r="B6115" t="str">
            <v>Spiders</v>
          </cell>
          <cell r="C6115" t="str">
            <v>Araneae</v>
          </cell>
          <cell r="D6115" t="str">
            <v>Piniphantes pinicola</v>
          </cell>
          <cell r="E6115" t="str">
            <v>LC</v>
          </cell>
          <cell r="F6115" t="str">
            <v>Harvey et al., 2017</v>
          </cell>
          <cell r="G6115" t="str">
            <v>NHMSYS0020785989</v>
          </cell>
          <cell r="H6115" t="str">
            <v>Piniphantes pinicola</v>
          </cell>
        </row>
        <row r="6116">
          <cell r="A6116" t="str">
            <v>Pirata hygrophilus</v>
          </cell>
          <cell r="B6116" t="str">
            <v>Spiders</v>
          </cell>
          <cell r="C6116" t="str">
            <v>Araneae</v>
          </cell>
          <cell r="D6116" t="str">
            <v>Pirata hygrophilus</v>
          </cell>
          <cell r="E6116" t="str">
            <v>LC</v>
          </cell>
          <cell r="F6116" t="str">
            <v>Harvey et al., 2017</v>
          </cell>
          <cell r="G6116" t="str">
            <v>NHMSYS0021453517</v>
          </cell>
          <cell r="H6116" t="str">
            <v>Pirata hygrophilus</v>
          </cell>
        </row>
        <row r="6117">
          <cell r="A6117" t="str">
            <v>Pirata latitans</v>
          </cell>
          <cell r="B6117" t="str">
            <v>Spiders</v>
          </cell>
          <cell r="C6117" t="str">
            <v>Araneae</v>
          </cell>
          <cell r="D6117" t="str">
            <v>Pirata latitans</v>
          </cell>
          <cell r="E6117" t="str">
            <v>LC</v>
          </cell>
          <cell r="F6117" t="str">
            <v>Harvey et al., 2017</v>
          </cell>
          <cell r="G6117" t="str">
            <v>NHMSYS0021453527</v>
          </cell>
          <cell r="H6117" t="str">
            <v>Pirata latitans</v>
          </cell>
        </row>
        <row r="6118">
          <cell r="A6118" t="str">
            <v>Pirata piraticus</v>
          </cell>
          <cell r="B6118" t="str">
            <v>Spiders</v>
          </cell>
          <cell r="C6118" t="str">
            <v>Araneae</v>
          </cell>
          <cell r="D6118" t="str">
            <v>Pirata piraticus</v>
          </cell>
          <cell r="E6118" t="str">
            <v>LC</v>
          </cell>
          <cell r="F6118" t="str">
            <v>Harvey et al., 2017</v>
          </cell>
          <cell r="G6118" t="str">
            <v>NBNSYS0000008823</v>
          </cell>
          <cell r="H6118" t="str">
            <v>Pirata piraticus</v>
          </cell>
        </row>
        <row r="6119">
          <cell r="A6119" t="str">
            <v>Pirata piscatorius</v>
          </cell>
          <cell r="B6119" t="str">
            <v>Spiders</v>
          </cell>
          <cell r="C6119" t="str">
            <v>Araneae</v>
          </cell>
          <cell r="D6119" t="str">
            <v>Pirata piscatorius</v>
          </cell>
          <cell r="E6119" t="str">
            <v>LC</v>
          </cell>
          <cell r="F6119" t="str">
            <v>Harvey et al., 2017</v>
          </cell>
          <cell r="G6119" t="str">
            <v>NBNSYS0000008828</v>
          </cell>
          <cell r="H6119" t="str">
            <v>Pirata piscatorius</v>
          </cell>
        </row>
        <row r="6120">
          <cell r="A6120" t="str">
            <v>Pirata tenuitarsis</v>
          </cell>
          <cell r="B6120" t="str">
            <v>Spiders</v>
          </cell>
          <cell r="C6120" t="str">
            <v>Araneae</v>
          </cell>
          <cell r="D6120" t="str">
            <v>Pirata tenuitarsis</v>
          </cell>
          <cell r="E6120" t="str">
            <v>LC</v>
          </cell>
          <cell r="F6120" t="str">
            <v>Harvey et al., 2017</v>
          </cell>
          <cell r="G6120" t="str">
            <v>NBNSYS0000008824</v>
          </cell>
          <cell r="H6120" t="str">
            <v>Pirata tenuitarsis</v>
          </cell>
        </row>
        <row r="6121">
          <cell r="A6121" t="str">
            <v>Pirata uliginosus</v>
          </cell>
          <cell r="B6121" t="str">
            <v>Spiders</v>
          </cell>
          <cell r="C6121" t="str">
            <v>Araneae</v>
          </cell>
          <cell r="D6121" t="str">
            <v>Pirata uliginosus</v>
          </cell>
          <cell r="E6121" t="str">
            <v>LC</v>
          </cell>
          <cell r="F6121" t="str">
            <v>Harvey et al., 2017</v>
          </cell>
          <cell r="G6121" t="str">
            <v>NHMSYS0021453522</v>
          </cell>
          <cell r="H6121" t="str">
            <v>Pirata uliginosus</v>
          </cell>
        </row>
        <row r="6122">
          <cell r="A6122" t="str">
            <v>Pisaura mirabilis</v>
          </cell>
          <cell r="B6122" t="str">
            <v>Spiders</v>
          </cell>
          <cell r="C6122" t="str">
            <v>Araneae</v>
          </cell>
          <cell r="D6122" t="str">
            <v>Pisaura mirabilis</v>
          </cell>
          <cell r="E6122" t="str">
            <v>LC</v>
          </cell>
          <cell r="F6122" t="str">
            <v>Harvey et al., 2017</v>
          </cell>
          <cell r="G6122" t="str">
            <v>NBNSYS0000008830</v>
          </cell>
          <cell r="H6122" t="str">
            <v>Pisaura mirabilis</v>
          </cell>
        </row>
        <row r="6123">
          <cell r="A6123" t="str">
            <v>Pistius truncatus</v>
          </cell>
          <cell r="B6123" t="str">
            <v>Spiders</v>
          </cell>
          <cell r="C6123" t="str">
            <v>Araneae</v>
          </cell>
          <cell r="D6123" t="str">
            <v>Pistius truncatus</v>
          </cell>
          <cell r="E6123" t="str">
            <v>CR</v>
          </cell>
          <cell r="F6123" t="str">
            <v>Harvey et al., 2017</v>
          </cell>
          <cell r="G6123" t="str">
            <v>NBNSYS0000008719</v>
          </cell>
          <cell r="H6123" t="str">
            <v>Pistius truncatus</v>
          </cell>
        </row>
        <row r="6124">
          <cell r="A6124" t="str">
            <v>Pityohyphantes phrygianus</v>
          </cell>
          <cell r="B6124" t="str">
            <v>Spiders</v>
          </cell>
          <cell r="C6124" t="str">
            <v>Araneae</v>
          </cell>
          <cell r="D6124" t="str">
            <v>Pityohyphantes phrygianus</v>
          </cell>
          <cell r="E6124" t="str">
            <v>LC</v>
          </cell>
          <cell r="F6124" t="str">
            <v>Harvey et al., 2017</v>
          </cell>
          <cell r="G6124" t="str">
            <v>NBNSYS0000009230</v>
          </cell>
          <cell r="H6124" t="str">
            <v>Pityohyphantes phrygianus</v>
          </cell>
        </row>
        <row r="6125">
          <cell r="A6125" t="str">
            <v>Platnickina tincta</v>
          </cell>
          <cell r="B6125" t="str">
            <v>Spiders</v>
          </cell>
          <cell r="C6125" t="str">
            <v>Araneae</v>
          </cell>
          <cell r="D6125" t="str">
            <v>Platnickina tincta</v>
          </cell>
          <cell r="E6125" t="str">
            <v>LC</v>
          </cell>
          <cell r="F6125" t="str">
            <v>Harvey et al., 2017</v>
          </cell>
          <cell r="G6125" t="str">
            <v>NHMSYS0021197261</v>
          </cell>
          <cell r="H6125" t="str">
            <v>Platnickina tincta</v>
          </cell>
        </row>
        <row r="6126">
          <cell r="A6126" t="str">
            <v>Pocadicnemis juncea</v>
          </cell>
          <cell r="B6126" t="str">
            <v>Spiders</v>
          </cell>
          <cell r="C6126" t="str">
            <v>Araneae</v>
          </cell>
          <cell r="D6126" t="str">
            <v>Pocadicnemis juncea</v>
          </cell>
          <cell r="E6126" t="str">
            <v>LC</v>
          </cell>
          <cell r="F6126" t="str">
            <v>Harvey et al., 2017</v>
          </cell>
          <cell r="G6126" t="str">
            <v>NBNSYS0000009024</v>
          </cell>
          <cell r="H6126" t="str">
            <v>Pocadicnemis juncea</v>
          </cell>
        </row>
        <row r="6127">
          <cell r="A6127" t="str">
            <v>Pocadicnemis pumila sens. str.</v>
          </cell>
          <cell r="B6127" t="str">
            <v>Spiders</v>
          </cell>
          <cell r="C6127" t="str">
            <v>Araneae</v>
          </cell>
          <cell r="D6127" t="str">
            <v>Pocadicnemis pumila sens. str.</v>
          </cell>
          <cell r="E6127" t="str">
            <v>LC</v>
          </cell>
          <cell r="F6127" t="str">
            <v>Harvey et al., 2017</v>
          </cell>
          <cell r="G6127" t="str">
            <v>NBNSYS0200000045</v>
          </cell>
          <cell r="H6127" t="str">
            <v>Pocadicnemis pumila sens. str.</v>
          </cell>
        </row>
        <row r="6128">
          <cell r="A6128" t="str">
            <v>Poeciloneta variegata</v>
          </cell>
          <cell r="B6128" t="str">
            <v>Spiders</v>
          </cell>
          <cell r="C6128" t="str">
            <v>Araneae</v>
          </cell>
          <cell r="D6128" t="str">
            <v>Poeciloneta variegata</v>
          </cell>
          <cell r="E6128" t="str">
            <v>LC</v>
          </cell>
          <cell r="F6128" t="str">
            <v>Harvey et al., 2017</v>
          </cell>
          <cell r="G6128" t="str">
            <v>NBNSYS0000009199</v>
          </cell>
          <cell r="H6128" t="str">
            <v>Poeciloneta variegata</v>
          </cell>
        </row>
        <row r="6129">
          <cell r="A6129" t="str">
            <v>Porrhomma campbelli</v>
          </cell>
          <cell r="B6129" t="str">
            <v>Spiders</v>
          </cell>
          <cell r="C6129" t="str">
            <v>Araneae</v>
          </cell>
          <cell r="D6129" t="str">
            <v>Porrhomma campbelli</v>
          </cell>
          <cell r="E6129" t="str">
            <v>LC</v>
          </cell>
          <cell r="F6129" t="str">
            <v>Harvey et al., 2017</v>
          </cell>
          <cell r="G6129" t="str">
            <v>NHMSYS0020785990</v>
          </cell>
          <cell r="H6129" t="str">
            <v>Porrhomma campbelli</v>
          </cell>
        </row>
        <row r="6130">
          <cell r="A6130" t="str">
            <v>Porrhomma convexum</v>
          </cell>
          <cell r="B6130" t="str">
            <v>Spiders</v>
          </cell>
          <cell r="C6130" t="str">
            <v>Araneae</v>
          </cell>
          <cell r="D6130" t="str">
            <v>Porrhomma convexum</v>
          </cell>
          <cell r="E6130" t="str">
            <v>LC</v>
          </cell>
          <cell r="F6130" t="str">
            <v>Harvey et al., 2017</v>
          </cell>
          <cell r="G6130" t="str">
            <v>NBNSYS0000009139</v>
          </cell>
          <cell r="H6130" t="str">
            <v>Porrhomma convexum</v>
          </cell>
        </row>
        <row r="6131">
          <cell r="A6131" t="str">
            <v>Porrhomma egeria</v>
          </cell>
          <cell r="B6131" t="str">
            <v>Spiders</v>
          </cell>
          <cell r="C6131" t="str">
            <v>Araneae</v>
          </cell>
          <cell r="D6131" t="str">
            <v>Porrhomma egeria</v>
          </cell>
          <cell r="E6131" t="str">
            <v>LC</v>
          </cell>
          <cell r="F6131" t="str">
            <v>Harvey et al., 2017</v>
          </cell>
          <cell r="G6131" t="str">
            <v>NBNSYS0000009145</v>
          </cell>
          <cell r="H6131" t="str">
            <v>Porrhomma egeria</v>
          </cell>
        </row>
        <row r="6132">
          <cell r="A6132" t="str">
            <v>Porrhomma errans</v>
          </cell>
          <cell r="B6132" t="str">
            <v>Spiders</v>
          </cell>
          <cell r="C6132" t="str">
            <v>Araneae</v>
          </cell>
          <cell r="D6132" t="str">
            <v>Porrhomma errans</v>
          </cell>
          <cell r="E6132" t="str">
            <v>LC</v>
          </cell>
          <cell r="F6132" t="str">
            <v>Harvey et al., 2017</v>
          </cell>
          <cell r="G6132" t="str">
            <v>NBNSYS0000009144</v>
          </cell>
          <cell r="H6132" t="str">
            <v>Porrhomma errans</v>
          </cell>
        </row>
        <row r="6133">
          <cell r="A6133" t="str">
            <v>Porrhomma microphthalmum</v>
          </cell>
          <cell r="B6133" t="str">
            <v>Spiders</v>
          </cell>
          <cell r="C6133" t="str">
            <v>Araneae</v>
          </cell>
          <cell r="D6133" t="str">
            <v>Porrhomma microphthalmum</v>
          </cell>
          <cell r="E6133" t="str">
            <v>LC</v>
          </cell>
          <cell r="F6133" t="str">
            <v>Harvey et al., 2017</v>
          </cell>
          <cell r="G6133" t="str">
            <v>NBNSYS0000009143</v>
          </cell>
          <cell r="H6133" t="str">
            <v>Porrhomma microphthalmum</v>
          </cell>
        </row>
        <row r="6134">
          <cell r="A6134" t="str">
            <v>Porrhomma montanum</v>
          </cell>
          <cell r="B6134" t="str">
            <v>Spiders</v>
          </cell>
          <cell r="C6134" t="str">
            <v>Araneae</v>
          </cell>
          <cell r="D6134" t="str">
            <v>Porrhomma montanum</v>
          </cell>
          <cell r="E6134" t="str">
            <v>LC</v>
          </cell>
          <cell r="F6134" t="str">
            <v>Harvey et al., 2017</v>
          </cell>
          <cell r="G6134" t="str">
            <v>NBNSYS0000009147</v>
          </cell>
          <cell r="H6134" t="str">
            <v>Porrhomma montanum</v>
          </cell>
        </row>
        <row r="6135">
          <cell r="A6135" t="str">
            <v>Porrhomma oblitum</v>
          </cell>
          <cell r="B6135" t="str">
            <v>Spiders</v>
          </cell>
          <cell r="C6135" t="str">
            <v>Araneae</v>
          </cell>
          <cell r="D6135" t="str">
            <v>Porrhomma oblitum</v>
          </cell>
          <cell r="E6135" t="str">
            <v>LC</v>
          </cell>
          <cell r="F6135" t="str">
            <v>Harvey et al., 2017</v>
          </cell>
          <cell r="G6135" t="str">
            <v>NBNSYS0000009146</v>
          </cell>
          <cell r="H6135" t="str">
            <v>Porrhomma oblitum</v>
          </cell>
        </row>
        <row r="6136">
          <cell r="A6136" t="str">
            <v>Porrhomma pallidum</v>
          </cell>
          <cell r="B6136" t="str">
            <v>Spiders</v>
          </cell>
          <cell r="C6136" t="str">
            <v>Araneae</v>
          </cell>
          <cell r="D6136" t="str">
            <v>Porrhomma pallidum</v>
          </cell>
          <cell r="E6136" t="str">
            <v>LC</v>
          </cell>
          <cell r="F6136" t="str">
            <v>Harvey et al., 2017</v>
          </cell>
          <cell r="G6136" t="str">
            <v>NBNSYS0000009141</v>
          </cell>
          <cell r="H6136" t="str">
            <v>Porrhomma pallidum</v>
          </cell>
        </row>
        <row r="6137">
          <cell r="A6137" t="str">
            <v>Porrhomma pygmaeum</v>
          </cell>
          <cell r="B6137" t="str">
            <v>Spiders</v>
          </cell>
          <cell r="C6137" t="str">
            <v>Araneae</v>
          </cell>
          <cell r="D6137" t="str">
            <v>Porrhomma pygmaeum</v>
          </cell>
          <cell r="E6137" t="str">
            <v>LC</v>
          </cell>
          <cell r="F6137" t="str">
            <v>Harvey et al., 2017</v>
          </cell>
          <cell r="G6137" t="str">
            <v>NBNSYS0000009138</v>
          </cell>
          <cell r="H6137" t="str">
            <v>Porrhomma pygmaeum</v>
          </cell>
        </row>
        <row r="6138">
          <cell r="A6138" t="str">
            <v>Praestigia duffeyi</v>
          </cell>
          <cell r="B6138" t="str">
            <v>Spiders</v>
          </cell>
          <cell r="C6138" t="str">
            <v>Araneae</v>
          </cell>
          <cell r="D6138" t="str">
            <v>Praestigia duffeyi</v>
          </cell>
          <cell r="E6138" t="str">
            <v>EN</v>
          </cell>
          <cell r="F6138" t="str">
            <v>Harvey et al., 2017</v>
          </cell>
          <cell r="G6138" t="str">
            <v>NBNSYS0200000096</v>
          </cell>
          <cell r="H6138" t="str">
            <v>Praestigia duffeyi</v>
          </cell>
        </row>
        <row r="6139">
          <cell r="A6139" t="str">
            <v>Prinerigone vagans</v>
          </cell>
          <cell r="B6139" t="str">
            <v>Spiders</v>
          </cell>
          <cell r="C6139" t="str">
            <v>Araneae</v>
          </cell>
          <cell r="D6139" t="str">
            <v>Prinerigone vagans</v>
          </cell>
          <cell r="E6139" t="str">
            <v>LC</v>
          </cell>
          <cell r="F6139" t="str">
            <v>Harvey et al., 2017</v>
          </cell>
          <cell r="G6139" t="str">
            <v>NBNSYS0000009112</v>
          </cell>
          <cell r="H6139" t="str">
            <v>Prinerigone vagans</v>
          </cell>
        </row>
        <row r="6140">
          <cell r="A6140" t="str">
            <v>Pseudeuophrys erratica</v>
          </cell>
          <cell r="B6140" t="str">
            <v>Spiders</v>
          </cell>
          <cell r="C6140" t="str">
            <v>Araneae</v>
          </cell>
          <cell r="D6140" t="str">
            <v>Pseudeuophrys erratica</v>
          </cell>
          <cell r="E6140" t="str">
            <v>LC</v>
          </cell>
          <cell r="F6140" t="str">
            <v>Harvey et al., 2017</v>
          </cell>
          <cell r="G6140" t="str">
            <v>NBNSYS0100004904</v>
          </cell>
          <cell r="H6140" t="str">
            <v>Pseudeuophrys erratica</v>
          </cell>
        </row>
        <row r="6141">
          <cell r="A6141" t="str">
            <v>Pseudeuophrys lanigera</v>
          </cell>
          <cell r="B6141" t="str">
            <v>Spiders</v>
          </cell>
          <cell r="C6141" t="str">
            <v>Araneae</v>
          </cell>
          <cell r="D6141" t="str">
            <v>Pseudeuophrys lanigera</v>
          </cell>
          <cell r="E6141" t="str">
            <v>LC</v>
          </cell>
          <cell r="F6141" t="str">
            <v>Harvey et al., 2017</v>
          </cell>
          <cell r="G6141" t="str">
            <v>NBNSYS0100004905</v>
          </cell>
          <cell r="H6141" t="str">
            <v>Pseudeuophrys lanigera</v>
          </cell>
        </row>
        <row r="6142">
          <cell r="A6142" t="str">
            <v>Pseudeuophrys obsoleta</v>
          </cell>
          <cell r="B6142" t="str">
            <v>Spiders</v>
          </cell>
          <cell r="C6142" t="str">
            <v>Araneae</v>
          </cell>
          <cell r="D6142" t="str">
            <v>Pseudeuophrys obsoleta</v>
          </cell>
          <cell r="E6142" t="str">
            <v>LC</v>
          </cell>
          <cell r="F6142" t="str">
            <v>Harvey et al., 2017</v>
          </cell>
          <cell r="G6142" t="str">
            <v>NBNSYS0100004906</v>
          </cell>
          <cell r="H6142" t="str">
            <v>Pseudeuophrys obsoleta</v>
          </cell>
        </row>
        <row r="6143">
          <cell r="A6143" t="str">
            <v>Psilochorus simoni</v>
          </cell>
          <cell r="B6143" t="str">
            <v>Spiders</v>
          </cell>
          <cell r="C6143" t="str">
            <v>Araneae</v>
          </cell>
          <cell r="D6143" t="str">
            <v>Psilochorus simoni</v>
          </cell>
          <cell r="E6143" t="str">
            <v>LC</v>
          </cell>
          <cell r="F6143" t="str">
            <v>Harvey et al., 2017</v>
          </cell>
          <cell r="G6143" t="str">
            <v>NBNSYS0000008640</v>
          </cell>
          <cell r="H6143" t="str">
            <v>Psilochorus simoni</v>
          </cell>
        </row>
        <row r="6144">
          <cell r="A6144" t="str">
            <v>Robertus arundineti</v>
          </cell>
          <cell r="B6144" t="str">
            <v>Spiders</v>
          </cell>
          <cell r="C6144" t="str">
            <v>Araneae</v>
          </cell>
          <cell r="D6144" t="str">
            <v>Robertus arundineti</v>
          </cell>
          <cell r="E6144" t="str">
            <v>LC</v>
          </cell>
          <cell r="F6144" t="str">
            <v>Harvey et al., 2017</v>
          </cell>
          <cell r="G6144" t="str">
            <v>NBNSYS0000008909</v>
          </cell>
          <cell r="H6144" t="str">
            <v>Robertus arundineti</v>
          </cell>
        </row>
        <row r="6145">
          <cell r="A6145" t="str">
            <v>Robertus lividus</v>
          </cell>
          <cell r="B6145" t="str">
            <v>Spiders</v>
          </cell>
          <cell r="C6145" t="str">
            <v>Araneae</v>
          </cell>
          <cell r="D6145" t="str">
            <v>Robertus lividus</v>
          </cell>
          <cell r="E6145" t="str">
            <v>LC</v>
          </cell>
          <cell r="F6145" t="str">
            <v>Harvey et al., 2017</v>
          </cell>
          <cell r="G6145" t="str">
            <v>NBNSYS0000008908</v>
          </cell>
          <cell r="H6145" t="str">
            <v>Robertus lividus</v>
          </cell>
        </row>
        <row r="6146">
          <cell r="A6146" t="str">
            <v>Robertus neglectus</v>
          </cell>
          <cell r="B6146" t="str">
            <v>Spiders</v>
          </cell>
          <cell r="C6146" t="str">
            <v>Araneae</v>
          </cell>
          <cell r="D6146" t="str">
            <v>Robertus neglectus</v>
          </cell>
          <cell r="E6146" t="str">
            <v>LC</v>
          </cell>
          <cell r="F6146" t="str">
            <v>Harvey et al., 2017</v>
          </cell>
          <cell r="G6146" t="str">
            <v>NBNSYS0000008910</v>
          </cell>
          <cell r="H6146" t="str">
            <v>Robertus neglectus</v>
          </cell>
        </row>
        <row r="6147">
          <cell r="A6147" t="str">
            <v>Rugathodes bellicosus</v>
          </cell>
          <cell r="B6147" t="str">
            <v>Spiders</v>
          </cell>
          <cell r="C6147" t="str">
            <v>Araneae</v>
          </cell>
          <cell r="D6147" t="str">
            <v>Rugathodes bellicosus</v>
          </cell>
          <cell r="E6147" t="str">
            <v>LC</v>
          </cell>
          <cell r="F6147" t="str">
            <v>Harvey et al., 2017</v>
          </cell>
          <cell r="G6147" t="str">
            <v>NBNSYS0000008899</v>
          </cell>
          <cell r="H6147" t="str">
            <v>Rugathodes bellicosus</v>
          </cell>
        </row>
        <row r="6148">
          <cell r="A6148" t="str">
            <v>Rugathodes instabilis</v>
          </cell>
          <cell r="B6148" t="str">
            <v>Spiders</v>
          </cell>
          <cell r="C6148" t="str">
            <v>Araneae</v>
          </cell>
          <cell r="D6148" t="str">
            <v>Rugathodes instabilis</v>
          </cell>
          <cell r="E6148" t="str">
            <v>LC</v>
          </cell>
          <cell r="F6148" t="str">
            <v>Harvey et al., 2017</v>
          </cell>
          <cell r="G6148" t="str">
            <v>NBNSYS0000008898</v>
          </cell>
          <cell r="H6148" t="str">
            <v>Rugathodes instabilis</v>
          </cell>
        </row>
        <row r="6149">
          <cell r="A6149" t="str">
            <v>Saaristoa abnormis</v>
          </cell>
          <cell r="B6149" t="str">
            <v>Spiders</v>
          </cell>
          <cell r="C6149" t="str">
            <v>Araneae</v>
          </cell>
          <cell r="D6149" t="str">
            <v>Saaristoa abnormis</v>
          </cell>
          <cell r="E6149" t="str">
            <v>LC</v>
          </cell>
          <cell r="F6149" t="str">
            <v>Harvey et al., 2017</v>
          </cell>
          <cell r="G6149" t="str">
            <v>NBNSYS0000009187</v>
          </cell>
          <cell r="H6149" t="str">
            <v>Saaristoa abnormis</v>
          </cell>
        </row>
        <row r="6150">
          <cell r="A6150" t="str">
            <v>Saaristoa firma</v>
          </cell>
          <cell r="B6150" t="str">
            <v>Spiders</v>
          </cell>
          <cell r="C6150" t="str">
            <v>Araneae</v>
          </cell>
          <cell r="D6150" t="str">
            <v>Saaristoa firma</v>
          </cell>
          <cell r="E6150" t="str">
            <v>LC</v>
          </cell>
          <cell r="F6150" t="str">
            <v>Harvey et al., 2017</v>
          </cell>
          <cell r="G6150" t="str">
            <v>NBNSYS0000009188</v>
          </cell>
          <cell r="H6150" t="str">
            <v>Saaristoa firma</v>
          </cell>
        </row>
        <row r="6151">
          <cell r="A6151" t="str">
            <v>Saloca diceros</v>
          </cell>
          <cell r="B6151" t="str">
            <v>Spiders</v>
          </cell>
          <cell r="C6151" t="str">
            <v>Araneae</v>
          </cell>
          <cell r="D6151" t="str">
            <v>Saloca diceros</v>
          </cell>
          <cell r="E6151" t="str">
            <v>LC</v>
          </cell>
          <cell r="F6151" t="str">
            <v>Harvey et al., 2017</v>
          </cell>
          <cell r="G6151" t="str">
            <v>NBNSYS0000009072</v>
          </cell>
          <cell r="H6151" t="str">
            <v>Saloca diceros</v>
          </cell>
        </row>
        <row r="6152">
          <cell r="A6152" t="str">
            <v>Salticus cingulatus</v>
          </cell>
          <cell r="B6152" t="str">
            <v>Spiders</v>
          </cell>
          <cell r="C6152" t="str">
            <v>Araneae</v>
          </cell>
          <cell r="D6152" t="str">
            <v>Salticus cingulatus</v>
          </cell>
          <cell r="E6152" t="str">
            <v>LC</v>
          </cell>
          <cell r="F6152" t="str">
            <v>Harvey et al., 2017</v>
          </cell>
          <cell r="G6152" t="str">
            <v>NBNSYS0200000097</v>
          </cell>
          <cell r="H6152" t="str">
            <v>Salticus cingulatus</v>
          </cell>
        </row>
        <row r="6153">
          <cell r="A6153" t="str">
            <v>Salticus scenicus</v>
          </cell>
          <cell r="B6153" t="str">
            <v>Spiders</v>
          </cell>
          <cell r="C6153" t="str">
            <v>Araneae</v>
          </cell>
          <cell r="D6153" t="str">
            <v>Salticus scenicus</v>
          </cell>
          <cell r="E6153" t="str">
            <v>LC</v>
          </cell>
          <cell r="F6153" t="str">
            <v>Harvey et al., 2017</v>
          </cell>
          <cell r="G6153" t="str">
            <v>NBNSYS0000008756</v>
          </cell>
          <cell r="H6153" t="str">
            <v>Salticus scenicus</v>
          </cell>
        </row>
        <row r="6154">
          <cell r="A6154" t="str">
            <v>Salticus zebraneus</v>
          </cell>
          <cell r="B6154" t="str">
            <v>Spiders</v>
          </cell>
          <cell r="C6154" t="str">
            <v>Araneae</v>
          </cell>
          <cell r="D6154" t="str">
            <v>Salticus zebraneus</v>
          </cell>
          <cell r="E6154" t="str">
            <v>LC</v>
          </cell>
          <cell r="F6154" t="str">
            <v>Harvey et al., 2017</v>
          </cell>
          <cell r="G6154" t="str">
            <v>NBNSYS0000008759</v>
          </cell>
          <cell r="H6154" t="str">
            <v>Salticus zebraneus</v>
          </cell>
        </row>
        <row r="6155">
          <cell r="A6155" t="str">
            <v>Satilatlas britteni</v>
          </cell>
          <cell r="B6155" t="str">
            <v>Spiders</v>
          </cell>
          <cell r="C6155" t="str">
            <v>Araneae</v>
          </cell>
          <cell r="D6155" t="str">
            <v>Satilatlas britteni</v>
          </cell>
          <cell r="E6155" t="str">
            <v>LC</v>
          </cell>
          <cell r="F6155" t="str">
            <v>Harvey et al., 2017</v>
          </cell>
          <cell r="G6155" t="str">
            <v>NBNSYS0000009066</v>
          </cell>
          <cell r="H6155" t="str">
            <v>Satilatlas britteni</v>
          </cell>
        </row>
        <row r="6156">
          <cell r="A6156" t="str">
            <v>Savignia frontata</v>
          </cell>
          <cell r="B6156" t="str">
            <v>Spiders</v>
          </cell>
          <cell r="C6156" t="str">
            <v>Araneae</v>
          </cell>
          <cell r="D6156" t="str">
            <v>Savignia frontata</v>
          </cell>
          <cell r="E6156" t="str">
            <v>LC</v>
          </cell>
          <cell r="F6156" t="str">
            <v>Harvey et al., 2017</v>
          </cell>
          <cell r="G6156" t="str">
            <v>NHMSYS0000355804</v>
          </cell>
          <cell r="H6156" t="str">
            <v>Savignia frontata</v>
          </cell>
        </row>
        <row r="6157">
          <cell r="A6157" t="str">
            <v>Scotina celans</v>
          </cell>
          <cell r="B6157" t="str">
            <v>Spiders</v>
          </cell>
          <cell r="C6157" t="str">
            <v>Araneae</v>
          </cell>
          <cell r="D6157" t="str">
            <v>Scotina celans</v>
          </cell>
          <cell r="E6157" t="str">
            <v>LC</v>
          </cell>
          <cell r="F6157" t="str">
            <v>Harvey et al., 2017</v>
          </cell>
          <cell r="G6157" t="str">
            <v>NBNSYS0000008706</v>
          </cell>
          <cell r="H6157" t="str">
            <v>Scotina celans</v>
          </cell>
        </row>
        <row r="6158">
          <cell r="A6158" t="str">
            <v>Scotina gracilipes</v>
          </cell>
          <cell r="B6158" t="str">
            <v>Spiders</v>
          </cell>
          <cell r="C6158" t="str">
            <v>Araneae</v>
          </cell>
          <cell r="D6158" t="str">
            <v>Scotina gracilipes</v>
          </cell>
          <cell r="E6158" t="str">
            <v>LC</v>
          </cell>
          <cell r="F6158" t="str">
            <v>Harvey et al., 2017</v>
          </cell>
          <cell r="G6158" t="str">
            <v>NBNSYS0000008707</v>
          </cell>
          <cell r="H6158" t="str">
            <v>Scotina gracilipes</v>
          </cell>
        </row>
        <row r="6159">
          <cell r="A6159" t="str">
            <v>Scotina palliardii</v>
          </cell>
          <cell r="B6159" t="str">
            <v>Spiders</v>
          </cell>
          <cell r="C6159" t="str">
            <v>Araneae</v>
          </cell>
          <cell r="D6159" t="str">
            <v>Scotina palliardii</v>
          </cell>
          <cell r="E6159" t="str">
            <v>EN</v>
          </cell>
          <cell r="F6159" t="str">
            <v>Harvey et al., 2017</v>
          </cell>
          <cell r="G6159" t="str">
            <v>NBNSYS0100005466</v>
          </cell>
          <cell r="H6159" t="str">
            <v>Scotina palliardii</v>
          </cell>
        </row>
        <row r="6160">
          <cell r="A6160" t="str">
            <v>Scotinotylus evansi</v>
          </cell>
          <cell r="B6160" t="str">
            <v>Spiders</v>
          </cell>
          <cell r="C6160" t="str">
            <v>Araneae</v>
          </cell>
          <cell r="D6160" t="str">
            <v>Scotinotylus evansi</v>
          </cell>
          <cell r="E6160" t="str">
            <v>LC</v>
          </cell>
          <cell r="F6160" t="str">
            <v>Harvey et al., 2017</v>
          </cell>
          <cell r="G6160" t="str">
            <v>NBNSYS0000009097</v>
          </cell>
          <cell r="H6160" t="str">
            <v>Scotinotylus evansi</v>
          </cell>
        </row>
        <row r="6161">
          <cell r="A6161" t="str">
            <v>Scotophaeus blackwalli</v>
          </cell>
          <cell r="B6161" t="str">
            <v>Spiders</v>
          </cell>
          <cell r="C6161" t="str">
            <v>Araneae</v>
          </cell>
          <cell r="D6161" t="str">
            <v>Scotophaeus blackwalli</v>
          </cell>
          <cell r="E6161" t="str">
            <v>LC</v>
          </cell>
          <cell r="F6161" t="str">
            <v>Harvey et al., 2017</v>
          </cell>
          <cell r="G6161" t="str">
            <v>NBNSYS0000008651</v>
          </cell>
          <cell r="H6161" t="str">
            <v>Scotophaeus blackwalli</v>
          </cell>
        </row>
        <row r="6162">
          <cell r="A6162" t="str">
            <v>Scytodes thoracica</v>
          </cell>
          <cell r="B6162" t="str">
            <v>Spiders</v>
          </cell>
          <cell r="C6162" t="str">
            <v>Araneae</v>
          </cell>
          <cell r="D6162" t="str">
            <v>Scytodes thoracica</v>
          </cell>
          <cell r="E6162" t="str">
            <v>LC</v>
          </cell>
          <cell r="F6162" t="str">
            <v>Harvey et al., 2017</v>
          </cell>
          <cell r="G6162" t="str">
            <v>NBNSYS0000008638</v>
          </cell>
          <cell r="H6162" t="str">
            <v>Scytodes thoracica</v>
          </cell>
        </row>
        <row r="6163">
          <cell r="A6163" t="str">
            <v>Segestria bavarica</v>
          </cell>
          <cell r="B6163" t="str">
            <v>Spiders</v>
          </cell>
          <cell r="C6163" t="str">
            <v>Araneae</v>
          </cell>
          <cell r="D6163" t="str">
            <v>Segestria bavarica</v>
          </cell>
          <cell r="E6163" t="str">
            <v>LC</v>
          </cell>
          <cell r="F6163" t="str">
            <v>Harvey et al., 2017</v>
          </cell>
          <cell r="G6163" t="str">
            <v>NBNSYS0000008636</v>
          </cell>
          <cell r="H6163" t="str">
            <v>Segestria bavarica</v>
          </cell>
        </row>
        <row r="6164">
          <cell r="A6164" t="str">
            <v>Segestria florentina</v>
          </cell>
          <cell r="B6164" t="str">
            <v>Spiders</v>
          </cell>
          <cell r="C6164" t="str">
            <v>Araneae</v>
          </cell>
          <cell r="D6164" t="str">
            <v>Segestria florentina</v>
          </cell>
          <cell r="E6164" t="str">
            <v>LC</v>
          </cell>
          <cell r="F6164" t="str">
            <v>Harvey et al., 2017</v>
          </cell>
          <cell r="G6164" t="str">
            <v>NBNSYS0000008637</v>
          </cell>
          <cell r="H6164" t="str">
            <v>Segestria florentina</v>
          </cell>
        </row>
        <row r="6165">
          <cell r="A6165" t="str">
            <v>Segestria senoculata</v>
          </cell>
          <cell r="B6165" t="str">
            <v>Spiders</v>
          </cell>
          <cell r="C6165" t="str">
            <v>Araneae</v>
          </cell>
          <cell r="D6165" t="str">
            <v>Segestria senoculata</v>
          </cell>
          <cell r="E6165" t="str">
            <v>LC</v>
          </cell>
          <cell r="F6165" t="str">
            <v>Harvey et al., 2017</v>
          </cell>
          <cell r="G6165" t="str">
            <v>NBNSYS0000008635</v>
          </cell>
          <cell r="H6165" t="str">
            <v>Segestria senoculata</v>
          </cell>
        </row>
        <row r="6166">
          <cell r="A6166" t="str">
            <v>Semljicola caliginosus</v>
          </cell>
          <cell r="B6166" t="str">
            <v>Spiders</v>
          </cell>
          <cell r="C6166" t="str">
            <v>Araneae</v>
          </cell>
          <cell r="D6166" t="str">
            <v>Semljicola caliginosus</v>
          </cell>
          <cell r="E6166" t="str">
            <v>EN</v>
          </cell>
          <cell r="F6166" t="str">
            <v>Harvey et al., 2017</v>
          </cell>
          <cell r="G6166" t="str">
            <v>NBNSYS0100005488</v>
          </cell>
          <cell r="H6166" t="str">
            <v>Semljicola caliginosus</v>
          </cell>
        </row>
        <row r="6167">
          <cell r="A6167" t="str">
            <v>Sibianor aurocinctus</v>
          </cell>
          <cell r="B6167" t="str">
            <v>Spiders</v>
          </cell>
          <cell r="C6167" t="str">
            <v>Araneae</v>
          </cell>
          <cell r="D6167" t="str">
            <v>Sibianor aurocinctus</v>
          </cell>
          <cell r="E6167" t="str">
            <v>LC</v>
          </cell>
          <cell r="F6167" t="str">
            <v>Harvey et al., 2017</v>
          </cell>
          <cell r="G6167" t="str">
            <v>NHMSYS0020785995</v>
          </cell>
          <cell r="H6167" t="str">
            <v>Sibianor aurocinctus</v>
          </cell>
        </row>
        <row r="6168">
          <cell r="A6168" t="str">
            <v>Silometopus ambiguus</v>
          </cell>
          <cell r="B6168" t="str">
            <v>Spiders</v>
          </cell>
          <cell r="C6168" t="str">
            <v>Araneae</v>
          </cell>
          <cell r="D6168" t="str">
            <v>Silometopus ambiguus</v>
          </cell>
          <cell r="E6168" t="str">
            <v>LC</v>
          </cell>
          <cell r="F6168" t="str">
            <v>Harvey et al., 2017</v>
          </cell>
          <cell r="G6168" t="str">
            <v>NBNSYS0000009043</v>
          </cell>
          <cell r="H6168" t="str">
            <v>Silometopus ambiguus</v>
          </cell>
        </row>
        <row r="6169">
          <cell r="A6169" t="str">
            <v>Silometopus elegans</v>
          </cell>
          <cell r="B6169" t="str">
            <v>Spiders</v>
          </cell>
          <cell r="C6169" t="str">
            <v>Araneae</v>
          </cell>
          <cell r="D6169" t="str">
            <v>Silometopus elegans</v>
          </cell>
          <cell r="E6169" t="str">
            <v>LC</v>
          </cell>
          <cell r="F6169" t="str">
            <v>Harvey et al., 2017</v>
          </cell>
          <cell r="G6169" t="str">
            <v>NBNSYS0000009042</v>
          </cell>
          <cell r="H6169" t="str">
            <v>Silometopus elegans</v>
          </cell>
        </row>
        <row r="6170">
          <cell r="A6170" t="str">
            <v>Silometopus incurvatus</v>
          </cell>
          <cell r="B6170" t="str">
            <v>Spiders</v>
          </cell>
          <cell r="C6170" t="str">
            <v>Araneae</v>
          </cell>
          <cell r="D6170" t="str">
            <v>Silometopus incurvatus</v>
          </cell>
          <cell r="E6170" t="str">
            <v>VU</v>
          </cell>
          <cell r="F6170" t="str">
            <v>Harvey et al., 2017</v>
          </cell>
          <cell r="G6170" t="str">
            <v>NBNSYS0000009045</v>
          </cell>
          <cell r="H6170" t="str">
            <v>Silometopus incurvatus</v>
          </cell>
        </row>
        <row r="6171">
          <cell r="A6171" t="str">
            <v>Silometopus reussi</v>
          </cell>
          <cell r="B6171" t="str">
            <v>Spiders</v>
          </cell>
          <cell r="C6171" t="str">
            <v>Araneae</v>
          </cell>
          <cell r="D6171" t="str">
            <v>Silometopus reussi</v>
          </cell>
          <cell r="E6171" t="str">
            <v>LC</v>
          </cell>
          <cell r="F6171" t="str">
            <v>Harvey et al., 2017</v>
          </cell>
          <cell r="G6171" t="str">
            <v>NBNSYS0000009044</v>
          </cell>
          <cell r="H6171" t="str">
            <v>Silometopus reussi</v>
          </cell>
        </row>
        <row r="6172">
          <cell r="A6172" t="str">
            <v>Simitidion simile</v>
          </cell>
          <cell r="B6172" t="str">
            <v>Spiders</v>
          </cell>
          <cell r="C6172" t="str">
            <v>Araneae</v>
          </cell>
          <cell r="D6172" t="str">
            <v>Simitidion simile</v>
          </cell>
          <cell r="E6172" t="str">
            <v>LC</v>
          </cell>
          <cell r="F6172" t="str">
            <v>Harvey et al., 2017</v>
          </cell>
          <cell r="G6172" t="str">
            <v>NBNSYS0100005521</v>
          </cell>
          <cell r="H6172" t="str">
            <v>Simitidion simile</v>
          </cell>
        </row>
        <row r="6173">
          <cell r="A6173" t="str">
            <v>Singa hamata</v>
          </cell>
          <cell r="B6173" t="str">
            <v>Spiders</v>
          </cell>
          <cell r="C6173" t="str">
            <v>Araneae</v>
          </cell>
          <cell r="D6173" t="str">
            <v>Singa hamata</v>
          </cell>
          <cell r="E6173" t="str">
            <v>LC</v>
          </cell>
          <cell r="F6173" t="str">
            <v>Harvey et al., 2017</v>
          </cell>
          <cell r="G6173" t="str">
            <v>NBNSYS0000008960</v>
          </cell>
          <cell r="H6173" t="str">
            <v>Singa hamata</v>
          </cell>
        </row>
        <row r="6174">
          <cell r="A6174" t="str">
            <v>Sintula corniger</v>
          </cell>
          <cell r="B6174" t="str">
            <v>Spiders</v>
          </cell>
          <cell r="C6174" t="str">
            <v>Araneae</v>
          </cell>
          <cell r="D6174" t="str">
            <v>Sintula corniger</v>
          </cell>
          <cell r="E6174" t="str">
            <v>LC</v>
          </cell>
          <cell r="F6174" t="str">
            <v>Harvey et al., 2017</v>
          </cell>
          <cell r="G6174" t="str">
            <v>NBNSYS0000009185</v>
          </cell>
          <cell r="H6174" t="str">
            <v>Sintula corniger</v>
          </cell>
        </row>
        <row r="6175">
          <cell r="A6175" t="str">
            <v>Sitticus caricis</v>
          </cell>
          <cell r="B6175" t="str">
            <v>Spiders</v>
          </cell>
          <cell r="C6175" t="str">
            <v>Araneae</v>
          </cell>
          <cell r="D6175" t="str">
            <v>Sitticus caricis</v>
          </cell>
          <cell r="E6175" t="str">
            <v>LC</v>
          </cell>
          <cell r="F6175" t="str">
            <v>Harvey et al., 2017</v>
          </cell>
          <cell r="G6175" t="str">
            <v>NHMSYS0021453382</v>
          </cell>
          <cell r="H6175" t="str">
            <v>Sitticus caricis</v>
          </cell>
        </row>
        <row r="6176">
          <cell r="A6176" t="str">
            <v>Sitticus distinguendus</v>
          </cell>
          <cell r="B6176" t="str">
            <v>Spiders</v>
          </cell>
          <cell r="C6176" t="str">
            <v>Araneae</v>
          </cell>
          <cell r="D6176" t="str">
            <v>Sitticus distinguendus</v>
          </cell>
          <cell r="E6176" t="str">
            <v>CR</v>
          </cell>
          <cell r="F6176" t="str">
            <v>Harvey et al., 2017</v>
          </cell>
          <cell r="G6176" t="str">
            <v>NHMSYS0021453392</v>
          </cell>
          <cell r="H6176" t="str">
            <v>Sitticus distinguendus</v>
          </cell>
        </row>
        <row r="6177">
          <cell r="A6177" t="str">
            <v>Sitticus floricola</v>
          </cell>
          <cell r="B6177" t="str">
            <v>Spiders</v>
          </cell>
          <cell r="C6177" t="str">
            <v>Araneae</v>
          </cell>
          <cell r="D6177" t="str">
            <v>Sitticus floricola</v>
          </cell>
          <cell r="E6177" t="str">
            <v>NT</v>
          </cell>
          <cell r="F6177" t="str">
            <v>Harvey et al., 2017</v>
          </cell>
          <cell r="G6177" t="str">
            <v>NHMSYS0021453402</v>
          </cell>
          <cell r="H6177" t="str">
            <v>Sitticus floricola</v>
          </cell>
        </row>
        <row r="6178">
          <cell r="A6178" t="str">
            <v>Sitticus inexpectus</v>
          </cell>
          <cell r="B6178" t="str">
            <v>Spiders</v>
          </cell>
          <cell r="C6178" t="str">
            <v>Araneae</v>
          </cell>
          <cell r="D6178" t="str">
            <v>Sitticus inexpectus</v>
          </cell>
          <cell r="E6178" t="str">
            <v>LC</v>
          </cell>
          <cell r="F6178" t="str">
            <v>Harvey et al., 2017</v>
          </cell>
          <cell r="G6178" t="str">
            <v>NHMSYS0021453407</v>
          </cell>
          <cell r="H6178" t="str">
            <v>Sitticus inexpectus</v>
          </cell>
        </row>
        <row r="6179">
          <cell r="A6179" t="str">
            <v>Sitticus pubescens</v>
          </cell>
          <cell r="B6179" t="str">
            <v>Spiders</v>
          </cell>
          <cell r="C6179" t="str">
            <v>Araneae</v>
          </cell>
          <cell r="D6179" t="str">
            <v>Sitticus pubescens</v>
          </cell>
          <cell r="E6179" t="str">
            <v>LC</v>
          </cell>
          <cell r="F6179" t="str">
            <v>Harvey et al., 2017</v>
          </cell>
          <cell r="G6179" t="str">
            <v>NHMSYS0021453417</v>
          </cell>
          <cell r="H6179" t="str">
            <v>Sitticus pubescens</v>
          </cell>
        </row>
        <row r="6180">
          <cell r="A6180" t="str">
            <v>Sitticus saltator</v>
          </cell>
          <cell r="B6180" t="str">
            <v>Spiders</v>
          </cell>
          <cell r="C6180" t="str">
            <v>Araneae</v>
          </cell>
          <cell r="D6180" t="str">
            <v>Sitticus saltator</v>
          </cell>
          <cell r="E6180" t="str">
            <v>LC</v>
          </cell>
          <cell r="F6180" t="str">
            <v>Harvey et al., 2017</v>
          </cell>
          <cell r="G6180" t="str">
            <v>NHMSYS0021453422</v>
          </cell>
          <cell r="H6180" t="str">
            <v>Sitticus saltator</v>
          </cell>
        </row>
        <row r="6181">
          <cell r="A6181" t="str">
            <v>Steatoda albomaculata</v>
          </cell>
          <cell r="B6181" t="str">
            <v>Spiders</v>
          </cell>
          <cell r="C6181" t="str">
            <v>Araneae</v>
          </cell>
          <cell r="D6181" t="str">
            <v>Steatoda albomaculata</v>
          </cell>
          <cell r="E6181" t="str">
            <v>LC</v>
          </cell>
          <cell r="F6181" t="str">
            <v>Harvey et al., 2017</v>
          </cell>
          <cell r="G6181" t="str">
            <v>NHMSYS0020706525</v>
          </cell>
          <cell r="H6181" t="str">
            <v>Steatoda albomaculata</v>
          </cell>
        </row>
        <row r="6182">
          <cell r="A6182" t="str">
            <v>Steatoda bipunctata</v>
          </cell>
          <cell r="B6182" t="str">
            <v>Spiders</v>
          </cell>
          <cell r="C6182" t="str">
            <v>Araneae</v>
          </cell>
          <cell r="D6182" t="str">
            <v>Steatoda bipunctata</v>
          </cell>
          <cell r="E6182" t="str">
            <v>LC</v>
          </cell>
          <cell r="F6182" t="str">
            <v>Harvey et al., 2017</v>
          </cell>
          <cell r="G6182" t="str">
            <v>NBNSYS0000008877</v>
          </cell>
          <cell r="H6182" t="str">
            <v>Steatoda bipunctata</v>
          </cell>
        </row>
        <row r="6183">
          <cell r="A6183" t="str">
            <v>Steatoda grossa</v>
          </cell>
          <cell r="B6183" t="str">
            <v>Spiders</v>
          </cell>
          <cell r="C6183" t="str">
            <v>Araneae</v>
          </cell>
          <cell r="D6183" t="str">
            <v>Steatoda grossa</v>
          </cell>
          <cell r="E6183" t="str">
            <v>LC</v>
          </cell>
          <cell r="F6183" t="str">
            <v>Harvey et al., 2017</v>
          </cell>
          <cell r="G6183" t="str">
            <v>NBNSYS0000008878</v>
          </cell>
          <cell r="H6183" t="str">
            <v>Steatoda grossa</v>
          </cell>
        </row>
        <row r="6184">
          <cell r="A6184" t="str">
            <v>Steatoda nobilis</v>
          </cell>
          <cell r="B6184" t="str">
            <v>Spiders</v>
          </cell>
          <cell r="C6184" t="str">
            <v>Araneae</v>
          </cell>
          <cell r="D6184" t="str">
            <v>Steatoda nobilis</v>
          </cell>
          <cell r="E6184" t="str">
            <v>LC</v>
          </cell>
          <cell r="F6184" t="str">
            <v>Harvey et al., 2017</v>
          </cell>
          <cell r="G6184" t="str">
            <v>NBNSYS0000039460</v>
          </cell>
          <cell r="H6184" t="str">
            <v>Steatoda nobilis</v>
          </cell>
        </row>
        <row r="6185">
          <cell r="A6185" t="str">
            <v>Steatoda phalerata</v>
          </cell>
          <cell r="B6185" t="str">
            <v>Spiders</v>
          </cell>
          <cell r="C6185" t="str">
            <v>Araneae</v>
          </cell>
          <cell r="D6185" t="str">
            <v>Steatoda phalerata</v>
          </cell>
          <cell r="E6185" t="str">
            <v>LC</v>
          </cell>
          <cell r="F6185" t="str">
            <v>Harvey et al., 2017</v>
          </cell>
          <cell r="G6185" t="str">
            <v>NHMSYS0000354318</v>
          </cell>
          <cell r="H6185" t="str">
            <v>Steatoda phalerata</v>
          </cell>
        </row>
        <row r="6186">
          <cell r="A6186" t="str">
            <v>Stemonyphantes lineatus</v>
          </cell>
          <cell r="B6186" t="str">
            <v>Spiders</v>
          </cell>
          <cell r="C6186" t="str">
            <v>Araneae</v>
          </cell>
          <cell r="D6186" t="str">
            <v>Stemonyphantes lineatus</v>
          </cell>
          <cell r="E6186" t="str">
            <v>LC</v>
          </cell>
          <cell r="F6186" t="str">
            <v>Harvey et al., 2017</v>
          </cell>
          <cell r="G6186" t="str">
            <v>NBNSYS0000009205</v>
          </cell>
          <cell r="H6186" t="str">
            <v>Stemonyphantes lineatus</v>
          </cell>
        </row>
        <row r="6187">
          <cell r="A6187" t="str">
            <v>Stroemiellus stroemi</v>
          </cell>
          <cell r="B6187" t="str">
            <v>Spiders</v>
          </cell>
          <cell r="C6187" t="str">
            <v>Araneae</v>
          </cell>
          <cell r="D6187" t="str">
            <v>Stroemiellus stroemi</v>
          </cell>
          <cell r="E6187" t="str">
            <v>NT</v>
          </cell>
          <cell r="F6187" t="str">
            <v>Harvey et al., 2017</v>
          </cell>
          <cell r="G6187" t="str">
            <v>NHMSYS0021453502</v>
          </cell>
          <cell r="H6187" t="str">
            <v>Stroemiellus stroemi</v>
          </cell>
        </row>
        <row r="6188">
          <cell r="A6188" t="str">
            <v>Syedra gracilis</v>
          </cell>
          <cell r="B6188" t="str">
            <v>Spiders</v>
          </cell>
          <cell r="C6188" t="str">
            <v>Araneae</v>
          </cell>
          <cell r="D6188" t="str">
            <v>Syedra gracilis</v>
          </cell>
          <cell r="E6188" t="str">
            <v>LC</v>
          </cell>
          <cell r="F6188" t="str">
            <v>Harvey et al., 2017</v>
          </cell>
          <cell r="G6188" t="str">
            <v>NBNSYS0000009166</v>
          </cell>
          <cell r="H6188" t="str">
            <v>Syedra gracilis</v>
          </cell>
        </row>
        <row r="6189">
          <cell r="A6189" t="str">
            <v>Synageles venator</v>
          </cell>
          <cell r="B6189" t="str">
            <v>Spiders</v>
          </cell>
          <cell r="C6189" t="str">
            <v>Araneae</v>
          </cell>
          <cell r="D6189" t="str">
            <v>Synageles venator</v>
          </cell>
          <cell r="E6189" t="str">
            <v>LC</v>
          </cell>
          <cell r="F6189" t="str">
            <v>Harvey et al., 2017</v>
          </cell>
          <cell r="G6189" t="str">
            <v>NBNSYS0000008787</v>
          </cell>
          <cell r="H6189" t="str">
            <v>Synageles venator</v>
          </cell>
        </row>
        <row r="6190">
          <cell r="A6190" t="str">
            <v>Talavera aequipes</v>
          </cell>
          <cell r="B6190" t="str">
            <v>Spiders</v>
          </cell>
          <cell r="C6190" t="str">
            <v>Araneae</v>
          </cell>
          <cell r="D6190" t="str">
            <v>Talavera aequipes</v>
          </cell>
          <cell r="E6190" t="str">
            <v>LC</v>
          </cell>
          <cell r="F6190" t="str">
            <v>Harvey et al., 2017</v>
          </cell>
          <cell r="G6190" t="str">
            <v>NBNSYS0100005697</v>
          </cell>
          <cell r="H6190" t="str">
            <v>Talavera aequipes</v>
          </cell>
        </row>
        <row r="6191">
          <cell r="A6191" t="str">
            <v>Talavera petrensis</v>
          </cell>
          <cell r="B6191" t="str">
            <v>Spiders</v>
          </cell>
          <cell r="C6191" t="str">
            <v>Araneae</v>
          </cell>
          <cell r="D6191" t="str">
            <v>Talavera petrensis</v>
          </cell>
          <cell r="E6191" t="str">
            <v>NT</v>
          </cell>
          <cell r="F6191" t="str">
            <v>Harvey et al., 2017</v>
          </cell>
          <cell r="G6191" t="str">
            <v>NBNSYS0000008773</v>
          </cell>
          <cell r="H6191" t="str">
            <v>Talavera petrensis</v>
          </cell>
        </row>
        <row r="6192">
          <cell r="A6192" t="str">
            <v>Talavera thorelli</v>
          </cell>
          <cell r="B6192" t="str">
            <v>Spiders</v>
          </cell>
          <cell r="C6192" t="str">
            <v>Araneae</v>
          </cell>
          <cell r="D6192" t="str">
            <v>Talavera thorelli</v>
          </cell>
          <cell r="E6192" t="str">
            <v>VU</v>
          </cell>
          <cell r="F6192" t="str">
            <v>Harvey et al., 2017</v>
          </cell>
          <cell r="G6192" t="str">
            <v>NBNSYS0100005699</v>
          </cell>
          <cell r="H6192" t="str">
            <v>Talavera thorelli</v>
          </cell>
        </row>
        <row r="6193">
          <cell r="A6193" t="str">
            <v>Tallusia experta</v>
          </cell>
          <cell r="B6193" t="str">
            <v>Spiders</v>
          </cell>
          <cell r="C6193" t="str">
            <v>Araneae</v>
          </cell>
          <cell r="D6193" t="str">
            <v>Tallusia experta</v>
          </cell>
          <cell r="E6193" t="str">
            <v>LC</v>
          </cell>
          <cell r="F6193" t="str">
            <v>Harvey et al., 2017</v>
          </cell>
          <cell r="G6193" t="str">
            <v>NBNSYS0000009182</v>
          </cell>
          <cell r="H6193" t="str">
            <v>Tallusia experta</v>
          </cell>
        </row>
        <row r="6194">
          <cell r="A6194" t="str">
            <v>Tapinocyba insecta</v>
          </cell>
          <cell r="B6194" t="str">
            <v>Spiders</v>
          </cell>
          <cell r="C6194" t="str">
            <v>Araneae</v>
          </cell>
          <cell r="D6194" t="str">
            <v>Tapinocyba insecta</v>
          </cell>
          <cell r="E6194" t="str">
            <v>LC</v>
          </cell>
          <cell r="F6194" t="str">
            <v>Harvey et al., 2017</v>
          </cell>
          <cell r="G6194" t="str">
            <v>NBNSYS0000009062</v>
          </cell>
          <cell r="H6194" t="str">
            <v>Tapinocyba insecta</v>
          </cell>
        </row>
        <row r="6195">
          <cell r="A6195" t="str">
            <v>Tapinocyba mitis</v>
          </cell>
          <cell r="B6195" t="str">
            <v>Spiders</v>
          </cell>
          <cell r="C6195" t="str">
            <v>Araneae</v>
          </cell>
          <cell r="D6195" t="str">
            <v>Tapinocyba mitis</v>
          </cell>
          <cell r="E6195" t="str">
            <v>EN</v>
          </cell>
          <cell r="F6195" t="str">
            <v>Harvey et al., 2017</v>
          </cell>
          <cell r="G6195" t="str">
            <v>NBNSYS0000009063</v>
          </cell>
          <cell r="H6195" t="str">
            <v>Tapinocyba mitis</v>
          </cell>
        </row>
        <row r="6196">
          <cell r="A6196" t="str">
            <v>Tapinocyba pallens</v>
          </cell>
          <cell r="B6196" t="str">
            <v>Spiders</v>
          </cell>
          <cell r="C6196" t="str">
            <v>Araneae</v>
          </cell>
          <cell r="D6196" t="str">
            <v>Tapinocyba pallens</v>
          </cell>
          <cell r="E6196" t="str">
            <v>LC</v>
          </cell>
          <cell r="F6196" t="str">
            <v>Harvey et al., 2017</v>
          </cell>
          <cell r="G6196" t="str">
            <v>NBNSYS0000009061</v>
          </cell>
          <cell r="H6196" t="str">
            <v>Tapinocyba pallens</v>
          </cell>
        </row>
        <row r="6197">
          <cell r="A6197" t="str">
            <v>Tapinocyba praecox</v>
          </cell>
          <cell r="B6197" t="str">
            <v>Spiders</v>
          </cell>
          <cell r="C6197" t="str">
            <v>Araneae</v>
          </cell>
          <cell r="D6197" t="str">
            <v>Tapinocyba praecox</v>
          </cell>
          <cell r="E6197" t="str">
            <v>LC</v>
          </cell>
          <cell r="F6197" t="str">
            <v>Harvey et al., 2017</v>
          </cell>
          <cell r="G6197" t="str">
            <v>NBNSYS0000009060</v>
          </cell>
          <cell r="H6197" t="str">
            <v>Tapinocyba praecox</v>
          </cell>
        </row>
        <row r="6198">
          <cell r="A6198" t="str">
            <v>Tapinopa longidens</v>
          </cell>
          <cell r="B6198" t="str">
            <v>Spiders</v>
          </cell>
          <cell r="C6198" t="str">
            <v>Araneae</v>
          </cell>
          <cell r="D6198" t="str">
            <v>Tapinopa longidens</v>
          </cell>
          <cell r="E6198" t="str">
            <v>LC</v>
          </cell>
          <cell r="F6198" t="str">
            <v>Harvey et al., 2017</v>
          </cell>
          <cell r="G6198" t="str">
            <v>NBNSYS0000009201</v>
          </cell>
          <cell r="H6198" t="str">
            <v>Tapinopa longidens</v>
          </cell>
        </row>
        <row r="6199">
          <cell r="A6199" t="str">
            <v>Taranucnus setosus</v>
          </cell>
          <cell r="B6199" t="str">
            <v>Spiders</v>
          </cell>
          <cell r="C6199" t="str">
            <v>Araneae</v>
          </cell>
          <cell r="D6199" t="str">
            <v>Taranucnus setosus</v>
          </cell>
          <cell r="E6199" t="str">
            <v>LC</v>
          </cell>
          <cell r="F6199" t="str">
            <v>Harvey et al., 2017</v>
          </cell>
          <cell r="G6199" t="str">
            <v>NBNSYS0000009203</v>
          </cell>
          <cell r="H6199" t="str">
            <v>Taranucnus setosus</v>
          </cell>
        </row>
        <row r="6200">
          <cell r="A6200" t="str">
            <v>Tegenaria agrestis</v>
          </cell>
          <cell r="B6200" t="str">
            <v>Spiders</v>
          </cell>
          <cell r="C6200" t="str">
            <v>Araneae</v>
          </cell>
          <cell r="D6200" t="str">
            <v>Tegenaria agrestis</v>
          </cell>
          <cell r="E6200" t="str">
            <v>LC</v>
          </cell>
          <cell r="F6200" t="str">
            <v>Harvey et al., 2017</v>
          </cell>
          <cell r="G6200" t="str">
            <v>NHMSYS0021199854</v>
          </cell>
          <cell r="H6200" t="str">
            <v>Tegenaria agrestis</v>
          </cell>
        </row>
        <row r="6201">
          <cell r="A6201" t="str">
            <v>Tegenaria atrica</v>
          </cell>
          <cell r="B6201" t="str">
            <v>Spiders</v>
          </cell>
          <cell r="C6201" t="str">
            <v>Araneae</v>
          </cell>
          <cell r="D6201" t="str">
            <v>Tegenaria atrica</v>
          </cell>
          <cell r="E6201" t="str">
            <v>LC</v>
          </cell>
          <cell r="F6201" t="str">
            <v>Harvey et al., 2017</v>
          </cell>
          <cell r="G6201" t="str">
            <v>NHMSYS0021199836</v>
          </cell>
          <cell r="H6201" t="str">
            <v>Tegenaria atrica</v>
          </cell>
        </row>
        <row r="6202">
          <cell r="A6202" t="str">
            <v>Tegenaria domestica</v>
          </cell>
          <cell r="B6202" t="str">
            <v>Spiders</v>
          </cell>
          <cell r="C6202" t="str">
            <v>Araneae</v>
          </cell>
          <cell r="D6202" t="str">
            <v>Tegenaria domestica</v>
          </cell>
          <cell r="E6202" t="str">
            <v>LC</v>
          </cell>
          <cell r="F6202" t="str">
            <v>Harvey et al., 2017</v>
          </cell>
          <cell r="G6202" t="str">
            <v>NBNSYS0000008841</v>
          </cell>
          <cell r="H6202" t="str">
            <v>Tegenaria domestica</v>
          </cell>
        </row>
        <row r="6203">
          <cell r="A6203" t="str">
            <v>Tegenaria gigantea</v>
          </cell>
          <cell r="B6203" t="str">
            <v>Spiders</v>
          </cell>
          <cell r="C6203" t="str">
            <v>Araneae</v>
          </cell>
          <cell r="D6203" t="str">
            <v>Tegenaria gigantea</v>
          </cell>
          <cell r="E6203" t="str">
            <v>LC</v>
          </cell>
          <cell r="F6203" t="str">
            <v>Harvey et al., 2017</v>
          </cell>
          <cell r="G6203" t="str">
            <v>NHMSYS0021250579</v>
          </cell>
          <cell r="H6203" t="str">
            <v>Tegenaria gigantea</v>
          </cell>
        </row>
        <row r="6204">
          <cell r="A6204" t="str">
            <v>Tegenaria parietina</v>
          </cell>
          <cell r="B6204" t="str">
            <v>Spiders</v>
          </cell>
          <cell r="C6204" t="str">
            <v>Araneae</v>
          </cell>
          <cell r="D6204" t="str">
            <v>Tegenaria parietina</v>
          </cell>
          <cell r="E6204" t="str">
            <v>LC</v>
          </cell>
          <cell r="F6204" t="str">
            <v>Harvey et al., 2017</v>
          </cell>
          <cell r="G6204" t="str">
            <v>NBNSYS0000008839</v>
          </cell>
          <cell r="H6204" t="str">
            <v>Tegenaria parietina</v>
          </cell>
        </row>
        <row r="6205">
          <cell r="A6205" t="str">
            <v>Tegenaria picta</v>
          </cell>
          <cell r="B6205" t="str">
            <v>Spiders</v>
          </cell>
          <cell r="C6205" t="str">
            <v>Araneae</v>
          </cell>
          <cell r="D6205" t="str">
            <v>Tegenaria picta</v>
          </cell>
          <cell r="E6205" t="str">
            <v>VU</v>
          </cell>
          <cell r="F6205" t="str">
            <v>Harvey et al., 2017</v>
          </cell>
          <cell r="G6205" t="str">
            <v>NHMSYS0021239613</v>
          </cell>
          <cell r="H6205" t="str">
            <v>Tegenaria picta</v>
          </cell>
        </row>
        <row r="6206">
          <cell r="A6206" t="str">
            <v>Tegenaria saeva</v>
          </cell>
          <cell r="B6206" t="str">
            <v>Spiders</v>
          </cell>
          <cell r="C6206" t="str">
            <v>Araneae</v>
          </cell>
          <cell r="D6206" t="str">
            <v>Tegenaria saeva</v>
          </cell>
          <cell r="E6206" t="str">
            <v>LC</v>
          </cell>
          <cell r="F6206" t="str">
            <v>Harvey et al., 2017</v>
          </cell>
          <cell r="G6206" t="str">
            <v>NHMSYS0021453532</v>
          </cell>
          <cell r="H6206" t="str">
            <v>Tegenaria saeva</v>
          </cell>
        </row>
        <row r="6207">
          <cell r="A6207" t="str">
            <v>Tegenaria silvestris</v>
          </cell>
          <cell r="B6207" t="str">
            <v>Spiders</v>
          </cell>
          <cell r="C6207" t="str">
            <v>Araneae</v>
          </cell>
          <cell r="D6207" t="str">
            <v>Tegenaria silvestris</v>
          </cell>
          <cell r="E6207" t="str">
            <v>LC</v>
          </cell>
          <cell r="F6207" t="str">
            <v>Harvey et al., 2017</v>
          </cell>
          <cell r="G6207" t="str">
            <v>NBNSYS0000008842</v>
          </cell>
          <cell r="H6207" t="str">
            <v>Tegenaria silvestris</v>
          </cell>
        </row>
        <row r="6208">
          <cell r="A6208" t="str">
            <v>Tenuiphantes alacris</v>
          </cell>
          <cell r="B6208" t="str">
            <v>Spiders</v>
          </cell>
          <cell r="C6208" t="str">
            <v>Araneae</v>
          </cell>
          <cell r="D6208" t="str">
            <v>Tenuiphantes alacris</v>
          </cell>
          <cell r="E6208" t="str">
            <v>LC</v>
          </cell>
          <cell r="F6208" t="str">
            <v>Harvey et al., 2017</v>
          </cell>
          <cell r="G6208" t="str">
            <v>NHMSYS0020785998</v>
          </cell>
          <cell r="H6208" t="str">
            <v>Tenuiphantes alacris</v>
          </cell>
        </row>
        <row r="6209">
          <cell r="A6209" t="str">
            <v>Tenuiphantes cristatus</v>
          </cell>
          <cell r="B6209" t="str">
            <v>Spiders</v>
          </cell>
          <cell r="C6209" t="str">
            <v>Araneae</v>
          </cell>
          <cell r="D6209" t="str">
            <v>Tenuiphantes cristatus</v>
          </cell>
          <cell r="E6209" t="str">
            <v>LC</v>
          </cell>
          <cell r="F6209" t="str">
            <v>Harvey et al., 2017</v>
          </cell>
          <cell r="G6209" t="str">
            <v>NHMSYS0020785999</v>
          </cell>
          <cell r="H6209" t="str">
            <v>Tenuiphantes cristatus</v>
          </cell>
        </row>
        <row r="6210">
          <cell r="A6210" t="str">
            <v>Tenuiphantes flavipes</v>
          </cell>
          <cell r="B6210" t="str">
            <v>Spiders</v>
          </cell>
          <cell r="C6210" t="str">
            <v>Araneae</v>
          </cell>
          <cell r="D6210" t="str">
            <v>Tenuiphantes flavipes</v>
          </cell>
          <cell r="E6210" t="str">
            <v>LC</v>
          </cell>
          <cell r="F6210" t="str">
            <v>Harvey et al., 2017</v>
          </cell>
          <cell r="G6210" t="str">
            <v>NHMSYS0020786000</v>
          </cell>
          <cell r="H6210" t="str">
            <v>Tenuiphantes flavipes</v>
          </cell>
        </row>
        <row r="6211">
          <cell r="A6211" t="str">
            <v>Tenuiphantes mengei</v>
          </cell>
          <cell r="B6211" t="str">
            <v>Spiders</v>
          </cell>
          <cell r="C6211" t="str">
            <v>Araneae</v>
          </cell>
          <cell r="D6211" t="str">
            <v>Tenuiphantes mengei</v>
          </cell>
          <cell r="E6211" t="str">
            <v>LC</v>
          </cell>
          <cell r="F6211" t="str">
            <v>Harvey et al., 2017</v>
          </cell>
          <cell r="G6211" t="str">
            <v>NHMSYS0020786001</v>
          </cell>
          <cell r="H6211" t="str">
            <v>Tenuiphantes mengei</v>
          </cell>
        </row>
        <row r="6212">
          <cell r="A6212" t="str">
            <v>Tenuiphantes tenebricola</v>
          </cell>
          <cell r="B6212" t="str">
            <v>Spiders</v>
          </cell>
          <cell r="C6212" t="str">
            <v>Araneae</v>
          </cell>
          <cell r="D6212" t="str">
            <v>Tenuiphantes tenebricola</v>
          </cell>
          <cell r="E6212" t="str">
            <v>LC</v>
          </cell>
          <cell r="F6212" t="str">
            <v>Harvey et al., 2017</v>
          </cell>
          <cell r="G6212" t="str">
            <v>NHMSYS0020786002</v>
          </cell>
          <cell r="H6212" t="str">
            <v>Tenuiphantes tenebricola</v>
          </cell>
        </row>
        <row r="6213">
          <cell r="A6213" t="str">
            <v>Tenuiphantes tenuis</v>
          </cell>
          <cell r="B6213" t="str">
            <v>Spiders</v>
          </cell>
          <cell r="C6213" t="str">
            <v>Araneae</v>
          </cell>
          <cell r="D6213" t="str">
            <v>Tenuiphantes tenuis</v>
          </cell>
          <cell r="E6213" t="str">
            <v>LC</v>
          </cell>
          <cell r="F6213" t="str">
            <v>Harvey et al., 2017</v>
          </cell>
          <cell r="G6213" t="str">
            <v>NHMSYS0020786003</v>
          </cell>
          <cell r="H6213" t="str">
            <v>Tenuiphantes tenuis</v>
          </cell>
        </row>
        <row r="6214">
          <cell r="A6214" t="str">
            <v>Tenuiphantes zimmermanni</v>
          </cell>
          <cell r="B6214" t="str">
            <v>Spiders</v>
          </cell>
          <cell r="C6214" t="str">
            <v>Araneae</v>
          </cell>
          <cell r="D6214" t="str">
            <v>Tenuiphantes zimmermanni</v>
          </cell>
          <cell r="E6214" t="str">
            <v>LC</v>
          </cell>
          <cell r="F6214" t="str">
            <v>Harvey et al., 2017</v>
          </cell>
          <cell r="G6214" t="str">
            <v>NHMSYS0020786004</v>
          </cell>
          <cell r="H6214" t="str">
            <v>Tenuiphantes zimmermanni</v>
          </cell>
        </row>
        <row r="6215">
          <cell r="A6215" t="str">
            <v>Tetragnatha extensa</v>
          </cell>
          <cell r="B6215" t="str">
            <v>Spiders</v>
          </cell>
          <cell r="C6215" t="str">
            <v>Araneae</v>
          </cell>
          <cell r="D6215" t="str">
            <v>Tetragnatha extensa</v>
          </cell>
          <cell r="E6215" t="str">
            <v>LC</v>
          </cell>
          <cell r="F6215" t="str">
            <v>Harvey et al., 2017</v>
          </cell>
          <cell r="G6215" t="str">
            <v>NBNSYS0000008917</v>
          </cell>
          <cell r="H6215" t="str">
            <v>Tetragnatha extensa</v>
          </cell>
        </row>
        <row r="6216">
          <cell r="A6216" t="str">
            <v>Tetragnatha montana</v>
          </cell>
          <cell r="B6216" t="str">
            <v>Spiders</v>
          </cell>
          <cell r="C6216" t="str">
            <v>Araneae</v>
          </cell>
          <cell r="D6216" t="str">
            <v>Tetragnatha montana</v>
          </cell>
          <cell r="E6216" t="str">
            <v>LC</v>
          </cell>
          <cell r="F6216" t="str">
            <v>Harvey et al., 2017</v>
          </cell>
          <cell r="G6216" t="str">
            <v>NBNSYS0000008919</v>
          </cell>
          <cell r="H6216" t="str">
            <v>Tetragnatha montana</v>
          </cell>
        </row>
        <row r="6217">
          <cell r="A6217" t="str">
            <v>Tetragnatha nigrita</v>
          </cell>
          <cell r="B6217" t="str">
            <v>Spiders</v>
          </cell>
          <cell r="C6217" t="str">
            <v>Araneae</v>
          </cell>
          <cell r="D6217" t="str">
            <v>Tetragnatha nigrita</v>
          </cell>
          <cell r="E6217" t="str">
            <v>LC</v>
          </cell>
          <cell r="F6217" t="str">
            <v>Harvey et al., 2017</v>
          </cell>
          <cell r="G6217" t="str">
            <v>NBNSYS0000008921</v>
          </cell>
          <cell r="H6217" t="str">
            <v>Tetragnatha nigrita</v>
          </cell>
        </row>
        <row r="6218">
          <cell r="A6218" t="str">
            <v>Tetragnatha obtusa</v>
          </cell>
          <cell r="B6218" t="str">
            <v>Spiders</v>
          </cell>
          <cell r="C6218" t="str">
            <v>Araneae</v>
          </cell>
          <cell r="D6218" t="str">
            <v>Tetragnatha obtusa</v>
          </cell>
          <cell r="E6218" t="str">
            <v>LC</v>
          </cell>
          <cell r="F6218" t="str">
            <v>Harvey et al., 2017</v>
          </cell>
          <cell r="G6218" t="str">
            <v>NBNSYS0000008920</v>
          </cell>
          <cell r="H6218" t="str">
            <v>Tetragnatha obtusa</v>
          </cell>
        </row>
        <row r="6219">
          <cell r="A6219" t="str">
            <v>Tetragnatha pinicola</v>
          </cell>
          <cell r="B6219" t="str">
            <v>Spiders</v>
          </cell>
          <cell r="C6219" t="str">
            <v>Araneae</v>
          </cell>
          <cell r="D6219" t="str">
            <v>Tetragnatha pinicola</v>
          </cell>
          <cell r="E6219" t="str">
            <v>LC</v>
          </cell>
          <cell r="F6219" t="str">
            <v>Harvey et al., 2017</v>
          </cell>
          <cell r="G6219" t="str">
            <v>NBNSYS0000008918</v>
          </cell>
          <cell r="H6219" t="str">
            <v>Tetragnatha pinicola</v>
          </cell>
        </row>
        <row r="6220">
          <cell r="A6220" t="str">
            <v>Tetragnatha striata</v>
          </cell>
          <cell r="B6220" t="str">
            <v>Spiders</v>
          </cell>
          <cell r="C6220" t="str">
            <v>Araneae</v>
          </cell>
          <cell r="D6220" t="str">
            <v>Tetragnatha striata</v>
          </cell>
          <cell r="E6220" t="str">
            <v>LC</v>
          </cell>
          <cell r="F6220" t="str">
            <v>Harvey et al., 2017</v>
          </cell>
          <cell r="G6220" t="str">
            <v>NBNSYS0000008922</v>
          </cell>
          <cell r="H6220" t="str">
            <v>Tetragnatha striata</v>
          </cell>
        </row>
        <row r="6221">
          <cell r="A6221" t="str">
            <v>Textrix denticulata</v>
          </cell>
          <cell r="B6221" t="str">
            <v>Spiders</v>
          </cell>
          <cell r="C6221" t="str">
            <v>Araneae</v>
          </cell>
          <cell r="D6221" t="str">
            <v>Textrix denticulata</v>
          </cell>
          <cell r="E6221" t="str">
            <v>LC</v>
          </cell>
          <cell r="F6221" t="str">
            <v>Harvey et al., 2017</v>
          </cell>
          <cell r="G6221" t="str">
            <v>NBNSYS0000008835</v>
          </cell>
          <cell r="H6221" t="str">
            <v>Textrix denticulata</v>
          </cell>
        </row>
        <row r="6222">
          <cell r="A6222" t="str">
            <v>Thanatus formicinus</v>
          </cell>
          <cell r="B6222" t="str">
            <v>Spiders</v>
          </cell>
          <cell r="C6222" t="str">
            <v>Araneae</v>
          </cell>
          <cell r="D6222" t="str">
            <v>Thanatus formicinus</v>
          </cell>
          <cell r="E6222" t="str">
            <v>CR(PE)</v>
          </cell>
          <cell r="F6222" t="str">
            <v>Harvey et al., 2017</v>
          </cell>
          <cell r="G6222" t="str">
            <v>NBNSYS0000008753</v>
          </cell>
          <cell r="H6222" t="str">
            <v>Thanatus formicinus</v>
          </cell>
        </row>
        <row r="6223">
          <cell r="A6223" t="str">
            <v>Thanatus striatus</v>
          </cell>
          <cell r="B6223" t="str">
            <v>Spiders</v>
          </cell>
          <cell r="C6223" t="str">
            <v>Araneae</v>
          </cell>
          <cell r="D6223" t="str">
            <v>Thanatus striatus</v>
          </cell>
          <cell r="E6223" t="str">
            <v>LC</v>
          </cell>
          <cell r="F6223" t="str">
            <v>Harvey et al., 2017</v>
          </cell>
          <cell r="G6223" t="str">
            <v>NBNSYS0000008752</v>
          </cell>
          <cell r="H6223" t="str">
            <v>Thanatus striatus</v>
          </cell>
        </row>
        <row r="6224">
          <cell r="A6224" t="str">
            <v>Theonoe minutissima</v>
          </cell>
          <cell r="B6224" t="str">
            <v>Spiders</v>
          </cell>
          <cell r="C6224" t="str">
            <v>Araneae</v>
          </cell>
          <cell r="D6224" t="str">
            <v>Theonoe minutissima</v>
          </cell>
          <cell r="E6224" t="str">
            <v>LC</v>
          </cell>
          <cell r="F6224" t="str">
            <v>Harvey et al., 2017</v>
          </cell>
          <cell r="G6224" t="str">
            <v>NBNSYS0000008914</v>
          </cell>
          <cell r="H6224" t="str">
            <v>Theonoe minutissima</v>
          </cell>
        </row>
        <row r="6225">
          <cell r="A6225" t="str">
            <v>Theridion blackwalli</v>
          </cell>
          <cell r="B6225" t="str">
            <v>Spiders</v>
          </cell>
          <cell r="C6225" t="str">
            <v>Araneae</v>
          </cell>
          <cell r="D6225" t="str">
            <v>Theridion blackwalli</v>
          </cell>
          <cell r="E6225" t="str">
            <v>LC</v>
          </cell>
          <cell r="F6225" t="str">
            <v>Harvey et al., 2017</v>
          </cell>
          <cell r="G6225" t="str">
            <v>NHMSYS0020785991</v>
          </cell>
          <cell r="H6225" t="str">
            <v>Theridion blackwalli</v>
          </cell>
        </row>
        <row r="6226">
          <cell r="A6226" t="str">
            <v>Theridion familiare</v>
          </cell>
          <cell r="B6226" t="str">
            <v>Spiders</v>
          </cell>
          <cell r="C6226" t="str">
            <v>Araneae</v>
          </cell>
          <cell r="D6226" t="str">
            <v>Theridion familiare</v>
          </cell>
          <cell r="E6226" t="str">
            <v>LC</v>
          </cell>
          <cell r="F6226" t="str">
            <v>Harvey et al., 2017</v>
          </cell>
          <cell r="G6226" t="str">
            <v>NBNSYS0000008893</v>
          </cell>
          <cell r="H6226" t="str">
            <v>Theridion familiare</v>
          </cell>
        </row>
        <row r="6227">
          <cell r="A6227" t="str">
            <v>Theridion melanurum</v>
          </cell>
          <cell r="B6227" t="str">
            <v>Spiders</v>
          </cell>
          <cell r="C6227" t="str">
            <v>Araneae</v>
          </cell>
          <cell r="D6227" t="str">
            <v>Theridion melanurum</v>
          </cell>
          <cell r="E6227" t="str">
            <v>LC</v>
          </cell>
          <cell r="F6227" t="str">
            <v>Harvey et al., 2017</v>
          </cell>
          <cell r="G6227" t="str">
            <v>NBNSYS0000008894</v>
          </cell>
          <cell r="H6227" t="str">
            <v>Theridion melanurum</v>
          </cell>
        </row>
        <row r="6228">
          <cell r="A6228" t="str">
            <v>Theridion mystaceum</v>
          </cell>
          <cell r="B6228" t="str">
            <v>Spiders</v>
          </cell>
          <cell r="C6228" t="str">
            <v>Araneae</v>
          </cell>
          <cell r="D6228" t="str">
            <v>Theridion mystaceum</v>
          </cell>
          <cell r="E6228" t="str">
            <v>LC</v>
          </cell>
          <cell r="F6228" t="str">
            <v>Harvey et al., 2017</v>
          </cell>
          <cell r="G6228" t="str">
            <v>NBNSYS0000008895</v>
          </cell>
          <cell r="H6228" t="str">
            <v>Theridion mystaceum</v>
          </cell>
        </row>
        <row r="6229">
          <cell r="A6229" t="str">
            <v>Theridion pictum</v>
          </cell>
          <cell r="B6229" t="str">
            <v>Spiders</v>
          </cell>
          <cell r="C6229" t="str">
            <v>Araneae</v>
          </cell>
          <cell r="D6229" t="str">
            <v>Theridion pictum</v>
          </cell>
          <cell r="E6229" t="str">
            <v>LC</v>
          </cell>
          <cell r="F6229" t="str">
            <v>Harvey et al., 2017</v>
          </cell>
          <cell r="G6229" t="str">
            <v>NBNSYS0000008889</v>
          </cell>
          <cell r="H6229" t="str">
            <v>Theridion pictum</v>
          </cell>
        </row>
        <row r="6230">
          <cell r="A6230" t="str">
            <v>Theridion pinastri</v>
          </cell>
          <cell r="B6230" t="str">
            <v>Spiders</v>
          </cell>
          <cell r="C6230" t="str">
            <v>Araneae</v>
          </cell>
          <cell r="D6230" t="str">
            <v>Theridion pinastri</v>
          </cell>
          <cell r="E6230" t="str">
            <v>LC</v>
          </cell>
          <cell r="F6230" t="str">
            <v>Harvey et al., 2017</v>
          </cell>
          <cell r="G6230" t="str">
            <v>NBNSYS0000008891</v>
          </cell>
          <cell r="H6230" t="str">
            <v>Theridion pinastri</v>
          </cell>
        </row>
        <row r="6231">
          <cell r="A6231" t="str">
            <v>Theridion varians</v>
          </cell>
          <cell r="B6231" t="str">
            <v>Spiders</v>
          </cell>
          <cell r="C6231" t="str">
            <v>Araneae</v>
          </cell>
          <cell r="D6231" t="str">
            <v>Theridion varians</v>
          </cell>
          <cell r="E6231" t="str">
            <v>LC</v>
          </cell>
          <cell r="F6231" t="str">
            <v>Harvey et al., 2017</v>
          </cell>
          <cell r="G6231" t="str">
            <v>NBNSYS0000008890</v>
          </cell>
          <cell r="H6231" t="str">
            <v>Theridion varians</v>
          </cell>
        </row>
        <row r="6232">
          <cell r="A6232" t="str">
            <v>Theridiosoma gemmosum</v>
          </cell>
          <cell r="B6232" t="str">
            <v>Spiders</v>
          </cell>
          <cell r="C6232" t="str">
            <v>Araneae</v>
          </cell>
          <cell r="D6232" t="str">
            <v>Theridiosoma gemmosum</v>
          </cell>
          <cell r="E6232" t="str">
            <v>LC</v>
          </cell>
          <cell r="F6232" t="str">
            <v>Harvey et al., 2017</v>
          </cell>
          <cell r="G6232" t="str">
            <v>NBNSYS0000008965</v>
          </cell>
          <cell r="H6232" t="str">
            <v>Theridiosoma gemmosum</v>
          </cell>
        </row>
        <row r="6233">
          <cell r="A6233" t="str">
            <v>Thomisus onustus</v>
          </cell>
          <cell r="B6233" t="str">
            <v>Spiders</v>
          </cell>
          <cell r="C6233" t="str">
            <v>Araneae</v>
          </cell>
          <cell r="D6233" t="str">
            <v>Thomisus onustus</v>
          </cell>
          <cell r="E6233" t="str">
            <v>LC</v>
          </cell>
          <cell r="F6233" t="str">
            <v>Harvey et al., 2017</v>
          </cell>
          <cell r="G6233" t="str">
            <v>NBNSYS0000008716</v>
          </cell>
          <cell r="H6233" t="str">
            <v>Thomisus onustus</v>
          </cell>
        </row>
        <row r="6234">
          <cell r="A6234" t="str">
            <v>Thyreosthenius biovatus</v>
          </cell>
          <cell r="B6234" t="str">
            <v>Spiders</v>
          </cell>
          <cell r="C6234" t="str">
            <v>Araneae</v>
          </cell>
          <cell r="D6234" t="str">
            <v>Thyreosthenius biovatus</v>
          </cell>
          <cell r="E6234" t="str">
            <v>LC</v>
          </cell>
          <cell r="F6234" t="str">
            <v>Harvey et al., 2017</v>
          </cell>
          <cell r="G6234" t="str">
            <v>NBNSYS0000009068</v>
          </cell>
          <cell r="H6234" t="str">
            <v>Thyreosthenius biovatus</v>
          </cell>
        </row>
        <row r="6235">
          <cell r="A6235" t="str">
            <v>Thyreosthenius parasiticus</v>
          </cell>
          <cell r="B6235" t="str">
            <v>Spiders</v>
          </cell>
          <cell r="C6235" t="str">
            <v>Araneae</v>
          </cell>
          <cell r="D6235" t="str">
            <v>Thyreosthenius parasiticus</v>
          </cell>
          <cell r="E6235" t="str">
            <v>LC</v>
          </cell>
          <cell r="F6235" t="str">
            <v>Harvey et al., 2017</v>
          </cell>
          <cell r="G6235" t="str">
            <v>NBNSYS0000009067</v>
          </cell>
          <cell r="H6235" t="str">
            <v>Thyreosthenius parasiticus</v>
          </cell>
        </row>
        <row r="6236">
          <cell r="A6236" t="str">
            <v>Tibellus maritimus</v>
          </cell>
          <cell r="B6236" t="str">
            <v>Spiders</v>
          </cell>
          <cell r="C6236" t="str">
            <v>Araneae</v>
          </cell>
          <cell r="D6236" t="str">
            <v>Tibellus maritimus</v>
          </cell>
          <cell r="E6236" t="str">
            <v>LC</v>
          </cell>
          <cell r="F6236" t="str">
            <v>Harvey et al., 2017</v>
          </cell>
          <cell r="G6236" t="str">
            <v>NBNSYS0000008754</v>
          </cell>
          <cell r="H6236" t="str">
            <v>Tibellus maritimus</v>
          </cell>
        </row>
        <row r="6237">
          <cell r="A6237" t="str">
            <v>Tibellus oblongus</v>
          </cell>
          <cell r="B6237" t="str">
            <v>Spiders</v>
          </cell>
          <cell r="C6237" t="str">
            <v>Araneae</v>
          </cell>
          <cell r="D6237" t="str">
            <v>Tibellus oblongus</v>
          </cell>
          <cell r="E6237" t="str">
            <v>LC</v>
          </cell>
          <cell r="F6237" t="str">
            <v>Harvey et al., 2017</v>
          </cell>
          <cell r="G6237" t="str">
            <v>NBNSYS0000008755</v>
          </cell>
          <cell r="H6237" t="str">
            <v>Tibellus oblongus</v>
          </cell>
        </row>
        <row r="6238">
          <cell r="A6238" t="str">
            <v>Tiso aestivus</v>
          </cell>
          <cell r="B6238" t="str">
            <v>Spiders</v>
          </cell>
          <cell r="C6238" t="str">
            <v>Araneae</v>
          </cell>
          <cell r="D6238" t="str">
            <v>Tiso aestivus</v>
          </cell>
          <cell r="E6238" t="str">
            <v>LC</v>
          </cell>
          <cell r="F6238" t="str">
            <v>Harvey et al., 2017</v>
          </cell>
          <cell r="G6238" t="str">
            <v>NBNSYS0000009056</v>
          </cell>
          <cell r="H6238" t="str">
            <v>Tiso aestivus</v>
          </cell>
        </row>
        <row r="6239">
          <cell r="A6239" t="str">
            <v>Tiso vagans</v>
          </cell>
          <cell r="B6239" t="str">
            <v>Spiders</v>
          </cell>
          <cell r="C6239" t="str">
            <v>Araneae</v>
          </cell>
          <cell r="D6239" t="str">
            <v>Tiso vagans</v>
          </cell>
          <cell r="E6239" t="str">
            <v>LC</v>
          </cell>
          <cell r="F6239" t="str">
            <v>Harvey et al., 2017</v>
          </cell>
          <cell r="G6239" t="str">
            <v>NBNSYS0000009055</v>
          </cell>
          <cell r="H6239" t="str">
            <v>Tiso vagans</v>
          </cell>
        </row>
        <row r="6240">
          <cell r="A6240" t="str">
            <v>Tmeticus affinis</v>
          </cell>
          <cell r="B6240" t="str">
            <v>Spiders</v>
          </cell>
          <cell r="C6240" t="str">
            <v>Araneae</v>
          </cell>
          <cell r="D6240" t="str">
            <v>Tmeticus affinis</v>
          </cell>
          <cell r="E6240" t="str">
            <v>LC</v>
          </cell>
          <cell r="F6240" t="str">
            <v>Harvey et al., 2017</v>
          </cell>
          <cell r="G6240" t="str">
            <v>NBNSYS0000009003</v>
          </cell>
          <cell r="H6240" t="str">
            <v>Tmeticus affinis</v>
          </cell>
        </row>
        <row r="6241">
          <cell r="A6241" t="str">
            <v>Trachyzelotes pedestris</v>
          </cell>
          <cell r="B6241" t="str">
            <v>Spiders</v>
          </cell>
          <cell r="C6241" t="str">
            <v>Araneae</v>
          </cell>
          <cell r="D6241" t="str">
            <v>Trachyzelotes pedestris</v>
          </cell>
          <cell r="E6241" t="str">
            <v>LC</v>
          </cell>
          <cell r="F6241" t="str">
            <v>Harvey et al., 2017</v>
          </cell>
          <cell r="G6241" t="str">
            <v>NBNSYS0000008660</v>
          </cell>
          <cell r="H6241" t="str">
            <v>Trachyzelotes pedestris</v>
          </cell>
        </row>
        <row r="6242">
          <cell r="A6242" t="str">
            <v>Trematocephalus cristatus</v>
          </cell>
          <cell r="B6242" t="str">
            <v>Spiders</v>
          </cell>
          <cell r="C6242" t="str">
            <v>Araneae</v>
          </cell>
          <cell r="D6242" t="str">
            <v>Trematocephalus cristatus</v>
          </cell>
          <cell r="E6242" t="str">
            <v>LC</v>
          </cell>
          <cell r="F6242" t="str">
            <v>Harvey et al., 2017</v>
          </cell>
          <cell r="G6242" t="str">
            <v>NBNSYS0000009002</v>
          </cell>
          <cell r="H6242" t="str">
            <v>Trematocephalus cristatus</v>
          </cell>
        </row>
        <row r="6243">
          <cell r="A6243" t="str">
            <v>Trichoncus affinis</v>
          </cell>
          <cell r="B6243" t="str">
            <v>Spiders</v>
          </cell>
          <cell r="C6243" t="str">
            <v>Araneae</v>
          </cell>
          <cell r="D6243" t="str">
            <v>Trichoncus affinis</v>
          </cell>
          <cell r="E6243" t="str">
            <v>LC</v>
          </cell>
          <cell r="F6243" t="str">
            <v>Harvey et al., 2017</v>
          </cell>
          <cell r="G6243" t="str">
            <v>NBNSYS0000009051</v>
          </cell>
          <cell r="H6243" t="str">
            <v>Trichoncus affinis</v>
          </cell>
        </row>
        <row r="6244">
          <cell r="A6244" t="str">
            <v>Trichoncus hackmani</v>
          </cell>
          <cell r="B6244" t="str">
            <v>Spiders</v>
          </cell>
          <cell r="C6244" t="str">
            <v>Araneae</v>
          </cell>
          <cell r="D6244" t="str">
            <v>Trichoncus hackmani</v>
          </cell>
          <cell r="E6244" t="str">
            <v>VU</v>
          </cell>
          <cell r="F6244" t="str">
            <v>Harvey et al., 2017</v>
          </cell>
          <cell r="G6244" t="str">
            <v>NBNSYS0000009050</v>
          </cell>
          <cell r="H6244" t="str">
            <v>Trichoncus hackmani</v>
          </cell>
        </row>
        <row r="6245">
          <cell r="A6245" t="str">
            <v>Trichoncus saxicola</v>
          </cell>
          <cell r="B6245" t="str">
            <v>Spiders</v>
          </cell>
          <cell r="C6245" t="str">
            <v>Araneae</v>
          </cell>
          <cell r="D6245" t="str">
            <v>Trichoncus saxicola</v>
          </cell>
          <cell r="E6245" t="str">
            <v>VU</v>
          </cell>
          <cell r="F6245" t="str">
            <v>Harvey et al., 2017</v>
          </cell>
          <cell r="G6245" t="str">
            <v>NBNSYS0000009049</v>
          </cell>
          <cell r="H6245" t="str">
            <v>Trichoncus saxicola</v>
          </cell>
        </row>
        <row r="6246">
          <cell r="A6246" t="str">
            <v>Trichopterna cito</v>
          </cell>
          <cell r="B6246" t="str">
            <v>Spiders</v>
          </cell>
          <cell r="C6246" t="str">
            <v>Araneae</v>
          </cell>
          <cell r="D6246" t="str">
            <v>Trichopterna cito</v>
          </cell>
          <cell r="E6246" t="str">
            <v>EN</v>
          </cell>
          <cell r="F6246" t="str">
            <v>Harvey et al., 2017</v>
          </cell>
          <cell r="G6246" t="str">
            <v>NBNSYS0000009034</v>
          </cell>
          <cell r="H6246" t="str">
            <v>Trichopterna cito</v>
          </cell>
        </row>
        <row r="6247">
          <cell r="A6247" t="str">
            <v>Trichopternoides thorelli</v>
          </cell>
          <cell r="B6247" t="str">
            <v>Spiders</v>
          </cell>
          <cell r="C6247" t="str">
            <v>Araneae</v>
          </cell>
          <cell r="D6247" t="str">
            <v>Trichopternoides thorelli</v>
          </cell>
          <cell r="E6247" t="str">
            <v>LC</v>
          </cell>
          <cell r="F6247" t="str">
            <v>Harvey et al., 2017</v>
          </cell>
          <cell r="G6247" t="str">
            <v>NHMSYS0021197249</v>
          </cell>
          <cell r="H6247" t="str">
            <v>Trichopternoides thorelli</v>
          </cell>
        </row>
        <row r="6248">
          <cell r="A6248" t="str">
            <v>Trochosa robusta</v>
          </cell>
          <cell r="B6248" t="str">
            <v>Spiders</v>
          </cell>
          <cell r="C6248" t="str">
            <v>Araneae</v>
          </cell>
          <cell r="D6248" t="str">
            <v>Trochosa robusta</v>
          </cell>
          <cell r="E6248" t="str">
            <v>VU</v>
          </cell>
          <cell r="F6248" t="str">
            <v>Harvey et al., 2017</v>
          </cell>
          <cell r="G6248" t="str">
            <v>NBNSYS0000008815</v>
          </cell>
          <cell r="H6248" t="str">
            <v>Trochosa robusta</v>
          </cell>
        </row>
        <row r="6249">
          <cell r="A6249" t="str">
            <v>Trochosa ruricola</v>
          </cell>
          <cell r="B6249" t="str">
            <v>Spiders</v>
          </cell>
          <cell r="C6249" t="str">
            <v>Araneae</v>
          </cell>
          <cell r="D6249" t="str">
            <v>Trochosa ruricola</v>
          </cell>
          <cell r="E6249" t="str">
            <v>LC</v>
          </cell>
          <cell r="F6249" t="str">
            <v>Harvey et al., 2017</v>
          </cell>
          <cell r="G6249" t="str">
            <v>NBNSYS0000008814</v>
          </cell>
          <cell r="H6249" t="str">
            <v>Trochosa ruricola</v>
          </cell>
        </row>
        <row r="6250">
          <cell r="A6250" t="str">
            <v>Trochosa spinipalpis</v>
          </cell>
          <cell r="B6250" t="str">
            <v>Spiders</v>
          </cell>
          <cell r="C6250" t="str">
            <v>Araneae</v>
          </cell>
          <cell r="D6250" t="str">
            <v>Trochosa spinipalpis</v>
          </cell>
          <cell r="E6250" t="str">
            <v>LC</v>
          </cell>
          <cell r="F6250" t="str">
            <v>Harvey et al., 2017</v>
          </cell>
          <cell r="G6250" t="str">
            <v>NBNSYS0000008817</v>
          </cell>
          <cell r="H6250" t="str">
            <v>Trochosa spinipalpis</v>
          </cell>
        </row>
        <row r="6251">
          <cell r="A6251" t="str">
            <v>Trochosa terricola</v>
          </cell>
          <cell r="B6251" t="str">
            <v>Spiders</v>
          </cell>
          <cell r="C6251" t="str">
            <v>Araneae</v>
          </cell>
          <cell r="D6251" t="str">
            <v>Trochosa terricola</v>
          </cell>
          <cell r="E6251" t="str">
            <v>LC</v>
          </cell>
          <cell r="F6251" t="str">
            <v>Harvey et al., 2017</v>
          </cell>
          <cell r="G6251" t="str">
            <v>NBNSYS0000008816</v>
          </cell>
          <cell r="H6251" t="str">
            <v>Trochosa terricola</v>
          </cell>
        </row>
        <row r="6252">
          <cell r="A6252" t="str">
            <v>Troxochrus scabriculus</v>
          </cell>
          <cell r="B6252" t="str">
            <v>Spiders</v>
          </cell>
          <cell r="C6252" t="str">
            <v>Araneae</v>
          </cell>
          <cell r="D6252" t="str">
            <v>Troxochrus scabriculus</v>
          </cell>
          <cell r="E6252" t="str">
            <v>LC</v>
          </cell>
          <cell r="F6252" t="str">
            <v>Harvey et al., 2017</v>
          </cell>
          <cell r="G6252" t="str">
            <v>NBNSYS0000009057</v>
          </cell>
          <cell r="H6252" t="str">
            <v>Troxochrus scabriculus</v>
          </cell>
        </row>
        <row r="6253">
          <cell r="A6253" t="str">
            <v>Tuberta maerens</v>
          </cell>
          <cell r="B6253" t="str">
            <v>Spiders</v>
          </cell>
          <cell r="C6253" t="str">
            <v>Araneae</v>
          </cell>
          <cell r="D6253" t="str">
            <v>Tuberta maerens</v>
          </cell>
          <cell r="E6253" t="str">
            <v>EN</v>
          </cell>
          <cell r="F6253" t="str">
            <v>Harvey et al., 2017</v>
          </cell>
          <cell r="G6253" t="str">
            <v>NBNSYS0000008848</v>
          </cell>
          <cell r="H6253" t="str">
            <v>Tuberta maerens</v>
          </cell>
        </row>
        <row r="6254">
          <cell r="A6254" t="str">
            <v>Typhochrestus digitatus</v>
          </cell>
          <cell r="B6254" t="str">
            <v>Spiders</v>
          </cell>
          <cell r="C6254" t="str">
            <v>Araneae</v>
          </cell>
          <cell r="D6254" t="str">
            <v>Typhochrestus digitatus</v>
          </cell>
          <cell r="E6254" t="str">
            <v>LC</v>
          </cell>
          <cell r="F6254" t="str">
            <v>Harvey et al., 2017</v>
          </cell>
          <cell r="G6254" t="str">
            <v>NBNSYS0000009098</v>
          </cell>
          <cell r="H6254" t="str">
            <v>Typhochrestus digitatus</v>
          </cell>
        </row>
        <row r="6255">
          <cell r="A6255" t="str">
            <v>Typhochrestus simoni</v>
          </cell>
          <cell r="B6255" t="str">
            <v>Spiders</v>
          </cell>
          <cell r="C6255" t="str">
            <v>Araneae</v>
          </cell>
          <cell r="D6255" t="str">
            <v>Typhochrestus simoni</v>
          </cell>
          <cell r="E6255" t="str">
            <v>CR</v>
          </cell>
          <cell r="F6255" t="str">
            <v>Harvey et al., 2017</v>
          </cell>
          <cell r="G6255" t="str">
            <v>NHMSYS0000355809</v>
          </cell>
          <cell r="H6255" t="str">
            <v>Typhochrestus simoni</v>
          </cell>
        </row>
        <row r="6256">
          <cell r="A6256" t="str">
            <v>Uloborus walckenaerius</v>
          </cell>
          <cell r="B6256" t="str">
            <v>Spiders</v>
          </cell>
          <cell r="C6256" t="str">
            <v>Araneae</v>
          </cell>
          <cell r="D6256" t="str">
            <v>Uloborus walckenaerius</v>
          </cell>
          <cell r="E6256" t="str">
            <v>NT</v>
          </cell>
          <cell r="F6256" t="str">
            <v>Harvey et al., 2017</v>
          </cell>
          <cell r="G6256" t="str">
            <v>NBNSYS0000008627</v>
          </cell>
          <cell r="H6256" t="str">
            <v>Uloborus walckenaerius</v>
          </cell>
        </row>
        <row r="6257">
          <cell r="A6257" t="str">
            <v>Walckenaeria acuminata</v>
          </cell>
          <cell r="B6257" t="str">
            <v>Spiders</v>
          </cell>
          <cell r="C6257" t="str">
            <v>Araneae</v>
          </cell>
          <cell r="D6257" t="str">
            <v>Walckenaeria acuminata</v>
          </cell>
          <cell r="E6257" t="str">
            <v>LC</v>
          </cell>
          <cell r="F6257" t="str">
            <v>Harvey et al., 2017</v>
          </cell>
          <cell r="G6257" t="str">
            <v>NBNSYS0000008969</v>
          </cell>
          <cell r="H6257" t="str">
            <v>Walckenaeria acuminata</v>
          </cell>
        </row>
        <row r="6258">
          <cell r="A6258" t="str">
            <v>Walckenaeria alticeps</v>
          </cell>
          <cell r="B6258" t="str">
            <v>Spiders</v>
          </cell>
          <cell r="C6258" t="str">
            <v>Araneae</v>
          </cell>
          <cell r="D6258" t="str">
            <v>Walckenaeria alticeps</v>
          </cell>
          <cell r="E6258" t="str">
            <v>LC</v>
          </cell>
          <cell r="F6258" t="str">
            <v>Harvey et al., 2017</v>
          </cell>
          <cell r="G6258" t="str">
            <v>NBNSYS0000008972</v>
          </cell>
          <cell r="H6258" t="str">
            <v>Walckenaeria alticeps</v>
          </cell>
        </row>
        <row r="6259">
          <cell r="A6259" t="str">
            <v>Walckenaeria antica</v>
          </cell>
          <cell r="B6259" t="str">
            <v>Spiders</v>
          </cell>
          <cell r="C6259" t="str">
            <v>Araneae</v>
          </cell>
          <cell r="D6259" t="str">
            <v>Walckenaeria antica</v>
          </cell>
          <cell r="E6259" t="str">
            <v>LC</v>
          </cell>
          <cell r="F6259" t="str">
            <v>Harvey et al., 2017</v>
          </cell>
          <cell r="G6259" t="str">
            <v>NBNSYS0000008971</v>
          </cell>
          <cell r="H6259" t="str">
            <v>Walckenaeria antica</v>
          </cell>
        </row>
        <row r="6260">
          <cell r="A6260" t="str">
            <v>Walckenaeria atrotibialis</v>
          </cell>
          <cell r="B6260" t="str">
            <v>Spiders</v>
          </cell>
          <cell r="C6260" t="str">
            <v>Araneae</v>
          </cell>
          <cell r="D6260" t="str">
            <v>Walckenaeria atrotibialis</v>
          </cell>
          <cell r="E6260" t="str">
            <v>LC</v>
          </cell>
          <cell r="F6260" t="str">
            <v>Harvey et al., 2017</v>
          </cell>
          <cell r="G6260" t="str">
            <v>NBNSYS0000008975</v>
          </cell>
          <cell r="H6260" t="str">
            <v>Walckenaeria atrotibialis</v>
          </cell>
        </row>
        <row r="6261">
          <cell r="A6261" t="str">
            <v>Walckenaeria capito</v>
          </cell>
          <cell r="B6261" t="str">
            <v>Spiders</v>
          </cell>
          <cell r="C6261" t="str">
            <v>Araneae</v>
          </cell>
          <cell r="D6261" t="str">
            <v>Walckenaeria capito</v>
          </cell>
          <cell r="E6261" t="str">
            <v>LC</v>
          </cell>
          <cell r="F6261" t="str">
            <v>Harvey et al., 2017</v>
          </cell>
          <cell r="G6261" t="str">
            <v>NBNSYS0000008976</v>
          </cell>
          <cell r="H6261" t="str">
            <v>Walckenaeria capito</v>
          </cell>
        </row>
        <row r="6262">
          <cell r="A6262" t="str">
            <v>Walckenaeria clavicornis</v>
          </cell>
          <cell r="B6262" t="str">
            <v>Spiders</v>
          </cell>
          <cell r="C6262" t="str">
            <v>Araneae</v>
          </cell>
          <cell r="D6262" t="str">
            <v>Walckenaeria clavicornis</v>
          </cell>
          <cell r="E6262" t="str">
            <v>LC</v>
          </cell>
          <cell r="F6262" t="str">
            <v>Harvey et al., 2017</v>
          </cell>
          <cell r="G6262" t="str">
            <v>NBNSYS0000008987</v>
          </cell>
          <cell r="H6262" t="str">
            <v>Walckenaeria clavicornis</v>
          </cell>
        </row>
        <row r="6263">
          <cell r="A6263" t="str">
            <v>Walckenaeria corniculans</v>
          </cell>
          <cell r="B6263" t="str">
            <v>Spiders</v>
          </cell>
          <cell r="C6263" t="str">
            <v>Araneae</v>
          </cell>
          <cell r="D6263" t="str">
            <v>Walckenaeria corniculans</v>
          </cell>
          <cell r="E6263" t="str">
            <v>CR</v>
          </cell>
          <cell r="F6263" t="str">
            <v>Harvey et al., 2017</v>
          </cell>
          <cell r="G6263" t="str">
            <v>NBNSYS0000008983</v>
          </cell>
          <cell r="H6263" t="str">
            <v>Walckenaeria corniculans</v>
          </cell>
        </row>
        <row r="6264">
          <cell r="A6264" t="str">
            <v>Walckenaeria cucullata</v>
          </cell>
          <cell r="B6264" t="str">
            <v>Spiders</v>
          </cell>
          <cell r="C6264" t="str">
            <v>Araneae</v>
          </cell>
          <cell r="D6264" t="str">
            <v>Walckenaeria cucullata</v>
          </cell>
          <cell r="E6264" t="str">
            <v>LC</v>
          </cell>
          <cell r="F6264" t="str">
            <v>Harvey et al., 2017</v>
          </cell>
          <cell r="G6264" t="str">
            <v>NBNSYS0000008973</v>
          </cell>
          <cell r="H6264" t="str">
            <v>Walckenaeria cucullata</v>
          </cell>
        </row>
        <row r="6265">
          <cell r="A6265" t="str">
            <v>Walckenaeria cuspidata</v>
          </cell>
          <cell r="B6265" t="str">
            <v>Spiders</v>
          </cell>
          <cell r="C6265" t="str">
            <v>Araneae</v>
          </cell>
          <cell r="D6265" t="str">
            <v>Walckenaeria cuspidata</v>
          </cell>
          <cell r="E6265" t="str">
            <v>LC</v>
          </cell>
          <cell r="F6265" t="str">
            <v>Harvey et al., 2017</v>
          </cell>
          <cell r="G6265" t="str">
            <v>NBNSYS0000008988</v>
          </cell>
          <cell r="H6265" t="str">
            <v>Walckenaeria cuspidata</v>
          </cell>
        </row>
        <row r="6266">
          <cell r="A6266" t="str">
            <v>Walckenaeria dysderoides</v>
          </cell>
          <cell r="B6266" t="str">
            <v>Spiders</v>
          </cell>
          <cell r="C6266" t="str">
            <v>Araneae</v>
          </cell>
          <cell r="D6266" t="str">
            <v>Walckenaeria dysderoides</v>
          </cell>
          <cell r="E6266" t="str">
            <v>LC</v>
          </cell>
          <cell r="F6266" t="str">
            <v>Harvey et al., 2017</v>
          </cell>
          <cell r="G6266" t="str">
            <v>NBNSYS0000008978</v>
          </cell>
          <cell r="H6266" t="str">
            <v>Walckenaeria dysderoides</v>
          </cell>
        </row>
        <row r="6267">
          <cell r="A6267" t="str">
            <v>Walckenaeria furcillata</v>
          </cell>
          <cell r="B6267" t="str">
            <v>Spiders</v>
          </cell>
          <cell r="C6267" t="str">
            <v>Araneae</v>
          </cell>
          <cell r="D6267" t="str">
            <v>Walckenaeria furcillata</v>
          </cell>
          <cell r="E6267" t="str">
            <v>LC</v>
          </cell>
          <cell r="F6267" t="str">
            <v>Harvey et al., 2017</v>
          </cell>
          <cell r="G6267" t="str">
            <v>NBNSYS0000008984</v>
          </cell>
          <cell r="H6267" t="str">
            <v>Walckenaeria furcillata</v>
          </cell>
        </row>
        <row r="6268">
          <cell r="A6268" t="str">
            <v>Walckenaeria incisa</v>
          </cell>
          <cell r="B6268" t="str">
            <v>Spiders</v>
          </cell>
          <cell r="C6268" t="str">
            <v>Araneae</v>
          </cell>
          <cell r="D6268" t="str">
            <v>Walckenaeria incisa</v>
          </cell>
          <cell r="E6268" t="str">
            <v>LC</v>
          </cell>
          <cell r="F6268" t="str">
            <v>Harvey et al., 2017</v>
          </cell>
          <cell r="G6268" t="str">
            <v>NBNSYS0000008977</v>
          </cell>
          <cell r="H6268" t="str">
            <v>Walckenaeria incisa</v>
          </cell>
        </row>
        <row r="6269">
          <cell r="A6269" t="str">
            <v>Walckenaeria kochi</v>
          </cell>
          <cell r="B6269" t="str">
            <v>Spiders</v>
          </cell>
          <cell r="C6269" t="str">
            <v>Araneae</v>
          </cell>
          <cell r="D6269" t="str">
            <v>Walckenaeria kochi</v>
          </cell>
          <cell r="E6269" t="str">
            <v>LC</v>
          </cell>
          <cell r="F6269" t="str">
            <v>Harvey et al., 2017</v>
          </cell>
          <cell r="G6269" t="str">
            <v>NBNSYS0000008986</v>
          </cell>
          <cell r="H6269" t="str">
            <v>Walckenaeria kochi</v>
          </cell>
        </row>
        <row r="6270">
          <cell r="A6270" t="str">
            <v>Walckenaeria mitrata</v>
          </cell>
          <cell r="B6270" t="str">
            <v>Spiders</v>
          </cell>
          <cell r="C6270" t="str">
            <v>Araneae</v>
          </cell>
          <cell r="D6270" t="str">
            <v>Walckenaeria mitrata</v>
          </cell>
          <cell r="E6270" t="str">
            <v>VU</v>
          </cell>
          <cell r="F6270" t="str">
            <v>Harvey et al., 2017</v>
          </cell>
          <cell r="G6270" t="str">
            <v>NBNSYS0000008970</v>
          </cell>
          <cell r="H6270" t="str">
            <v>Walckenaeria mitrata</v>
          </cell>
        </row>
        <row r="6271">
          <cell r="A6271" t="str">
            <v>Walckenaeria monoceros</v>
          </cell>
          <cell r="B6271" t="str">
            <v>Spiders</v>
          </cell>
          <cell r="C6271" t="str">
            <v>Araneae</v>
          </cell>
          <cell r="D6271" t="str">
            <v>Walckenaeria monoceros</v>
          </cell>
          <cell r="E6271" t="str">
            <v>LC</v>
          </cell>
          <cell r="F6271" t="str">
            <v>Harvey et al., 2017</v>
          </cell>
          <cell r="G6271" t="str">
            <v>NBNSYS0000008982</v>
          </cell>
          <cell r="H6271" t="str">
            <v>Walckenaeria monoceros</v>
          </cell>
        </row>
        <row r="6272">
          <cell r="A6272" t="str">
            <v>Walckenaeria nodosa</v>
          </cell>
          <cell r="B6272" t="str">
            <v>Spiders</v>
          </cell>
          <cell r="C6272" t="str">
            <v>Araneae</v>
          </cell>
          <cell r="D6272" t="str">
            <v>Walckenaeria nodosa</v>
          </cell>
          <cell r="E6272" t="str">
            <v>LC</v>
          </cell>
          <cell r="F6272" t="str">
            <v>Harvey et al., 2017</v>
          </cell>
          <cell r="G6272" t="str">
            <v>NBNSYS0000008974</v>
          </cell>
          <cell r="H6272" t="str">
            <v>Walckenaeria nodosa</v>
          </cell>
        </row>
        <row r="6273">
          <cell r="A6273" t="str">
            <v>Walckenaeria nudipalpis</v>
          </cell>
          <cell r="B6273" t="str">
            <v>Spiders</v>
          </cell>
          <cell r="C6273" t="str">
            <v>Araneae</v>
          </cell>
          <cell r="D6273" t="str">
            <v>Walckenaeria nudipalpis</v>
          </cell>
          <cell r="E6273" t="str">
            <v>LC</v>
          </cell>
          <cell r="F6273" t="str">
            <v>Harvey et al., 2017</v>
          </cell>
          <cell r="G6273" t="str">
            <v>NBNSYS0000008980</v>
          </cell>
          <cell r="H6273" t="str">
            <v>Walckenaeria nudipalpis</v>
          </cell>
        </row>
        <row r="6274">
          <cell r="A6274" t="str">
            <v>Walckenaeria obtusa</v>
          </cell>
          <cell r="B6274" t="str">
            <v>Spiders</v>
          </cell>
          <cell r="C6274" t="str">
            <v>Araneae</v>
          </cell>
          <cell r="D6274" t="str">
            <v>Walckenaeria obtusa</v>
          </cell>
          <cell r="E6274" t="str">
            <v>LC</v>
          </cell>
          <cell r="F6274" t="str">
            <v>Harvey et al., 2017</v>
          </cell>
          <cell r="G6274" t="str">
            <v>NBNSYS0000008981</v>
          </cell>
          <cell r="H6274" t="str">
            <v>Walckenaeria obtusa</v>
          </cell>
        </row>
        <row r="6275">
          <cell r="A6275" t="str">
            <v>Walckenaeria stylifrons</v>
          </cell>
          <cell r="B6275" t="str">
            <v>Spiders</v>
          </cell>
          <cell r="C6275" t="str">
            <v>Araneae</v>
          </cell>
          <cell r="D6275" t="str">
            <v>Walckenaeria stylifrons</v>
          </cell>
          <cell r="E6275" t="str">
            <v>VU</v>
          </cell>
          <cell r="F6275" t="str">
            <v>Harvey et al., 2017</v>
          </cell>
          <cell r="G6275" t="str">
            <v>NBNSYS0000008979</v>
          </cell>
          <cell r="H6275" t="str">
            <v>Walckenaeria stylifrons</v>
          </cell>
        </row>
        <row r="6276">
          <cell r="A6276" t="str">
            <v>Walckenaeria unicornis</v>
          </cell>
          <cell r="B6276" t="str">
            <v>Spiders</v>
          </cell>
          <cell r="C6276" t="str">
            <v>Araneae</v>
          </cell>
          <cell r="D6276" t="str">
            <v>Walckenaeria unicornis</v>
          </cell>
          <cell r="E6276" t="str">
            <v>LC</v>
          </cell>
          <cell r="F6276" t="str">
            <v>Harvey et al., 2017</v>
          </cell>
          <cell r="G6276" t="str">
            <v>NBNSYS0000008985</v>
          </cell>
          <cell r="H6276" t="str">
            <v>Walckenaeria unicornis</v>
          </cell>
        </row>
        <row r="6277">
          <cell r="A6277" t="str">
            <v>Walckenaeria vigilax</v>
          </cell>
          <cell r="B6277" t="str">
            <v>Spiders</v>
          </cell>
          <cell r="C6277" t="str">
            <v>Araneae</v>
          </cell>
          <cell r="D6277" t="str">
            <v>Walckenaeria vigilax</v>
          </cell>
          <cell r="E6277" t="str">
            <v>LC</v>
          </cell>
          <cell r="F6277" t="str">
            <v>Harvey et al., 2017</v>
          </cell>
          <cell r="G6277" t="str">
            <v>NBNSYS0000008989</v>
          </cell>
          <cell r="H6277" t="str">
            <v>Walckenaeria vigilax</v>
          </cell>
        </row>
        <row r="6278">
          <cell r="A6278" t="str">
            <v>Wiehlea calcarifera</v>
          </cell>
          <cell r="B6278" t="str">
            <v>Spiders</v>
          </cell>
          <cell r="C6278" t="str">
            <v>Araneae</v>
          </cell>
          <cell r="D6278" t="str">
            <v>Wiehlea calcarifera</v>
          </cell>
          <cell r="E6278" t="str">
            <v>EN</v>
          </cell>
          <cell r="F6278" t="str">
            <v>Harvey et al., 2017</v>
          </cell>
          <cell r="G6278" t="str">
            <v>NBNSYS0000009130</v>
          </cell>
          <cell r="H6278" t="str">
            <v>Wiehlea calcarifera</v>
          </cell>
        </row>
        <row r="6279">
          <cell r="A6279" t="str">
            <v>Xerolycosa miniata</v>
          </cell>
          <cell r="B6279" t="str">
            <v>Spiders</v>
          </cell>
          <cell r="C6279" t="str">
            <v>Araneae</v>
          </cell>
          <cell r="D6279" t="str">
            <v>Xerolycosa miniata</v>
          </cell>
          <cell r="E6279" t="str">
            <v>LC</v>
          </cell>
          <cell r="F6279" t="str">
            <v>Harvey et al., 2017</v>
          </cell>
          <cell r="G6279" t="str">
            <v>NBNSYS0000008809</v>
          </cell>
          <cell r="H6279" t="str">
            <v>Xerolycosa miniata</v>
          </cell>
        </row>
        <row r="6280">
          <cell r="A6280" t="str">
            <v>Xerolycosa nemoralis</v>
          </cell>
          <cell r="B6280" t="str">
            <v>Spiders</v>
          </cell>
          <cell r="C6280" t="str">
            <v>Araneae</v>
          </cell>
          <cell r="D6280" t="str">
            <v>Xerolycosa nemoralis</v>
          </cell>
          <cell r="E6280" t="str">
            <v>LC</v>
          </cell>
          <cell r="F6280" t="str">
            <v>Harvey et al., 2017</v>
          </cell>
          <cell r="G6280" t="str">
            <v>NBNSYS0000008808</v>
          </cell>
          <cell r="H6280" t="str">
            <v>Xerolycosa nemoralis</v>
          </cell>
        </row>
        <row r="6281">
          <cell r="A6281" t="str">
            <v>Xysticus acerbus</v>
          </cell>
          <cell r="B6281" t="str">
            <v>Spiders</v>
          </cell>
          <cell r="C6281" t="str">
            <v>Araneae</v>
          </cell>
          <cell r="D6281" t="str">
            <v>Xysticus acerbus</v>
          </cell>
          <cell r="E6281" t="str">
            <v>LC</v>
          </cell>
          <cell r="F6281" t="str">
            <v>Harvey et al., 2017</v>
          </cell>
          <cell r="G6281" t="str">
            <v>NBNSYS0000008730</v>
          </cell>
          <cell r="H6281" t="str">
            <v>Xysticus acerbus</v>
          </cell>
        </row>
        <row r="6282">
          <cell r="A6282" t="str">
            <v>Xysticus audax</v>
          </cell>
          <cell r="B6282" t="str">
            <v>Spiders</v>
          </cell>
          <cell r="C6282" t="str">
            <v>Araneae</v>
          </cell>
          <cell r="D6282" t="str">
            <v>Xysticus audax</v>
          </cell>
          <cell r="E6282" t="str">
            <v>LC</v>
          </cell>
          <cell r="F6282" t="str">
            <v>Harvey et al., 2017</v>
          </cell>
          <cell r="G6282" t="str">
            <v>NBNSYS0000008721</v>
          </cell>
          <cell r="H6282" t="str">
            <v>Xysticus audax</v>
          </cell>
        </row>
        <row r="6283">
          <cell r="A6283" t="str">
            <v>Xysticus bifasciatus</v>
          </cell>
          <cell r="B6283" t="str">
            <v>Spiders</v>
          </cell>
          <cell r="C6283" t="str">
            <v>Araneae</v>
          </cell>
          <cell r="D6283" t="str">
            <v>Xysticus bifasciatus</v>
          </cell>
          <cell r="E6283" t="str">
            <v>LC</v>
          </cell>
          <cell r="F6283" t="str">
            <v>Harvey et al., 2017</v>
          </cell>
          <cell r="G6283" t="str">
            <v>NBNSYS0000008726</v>
          </cell>
          <cell r="H6283" t="str">
            <v>Xysticus bifasciatus</v>
          </cell>
        </row>
        <row r="6284">
          <cell r="A6284" t="str">
            <v>Xysticus cristatus</v>
          </cell>
          <cell r="B6284" t="str">
            <v>Spiders</v>
          </cell>
          <cell r="C6284" t="str">
            <v>Araneae</v>
          </cell>
          <cell r="D6284" t="str">
            <v>Xysticus cristatus</v>
          </cell>
          <cell r="E6284" t="str">
            <v>LC</v>
          </cell>
          <cell r="F6284" t="str">
            <v>Harvey et al., 2017</v>
          </cell>
          <cell r="G6284" t="str">
            <v>NBNSYS0000008720</v>
          </cell>
          <cell r="H6284" t="str">
            <v>Xysticus cristatus</v>
          </cell>
        </row>
        <row r="6285">
          <cell r="A6285" t="str">
            <v>Xysticus erraticus</v>
          </cell>
          <cell r="B6285" t="str">
            <v>Spiders</v>
          </cell>
          <cell r="C6285" t="str">
            <v>Araneae</v>
          </cell>
          <cell r="D6285" t="str">
            <v>Xysticus erraticus</v>
          </cell>
          <cell r="E6285" t="str">
            <v>LC</v>
          </cell>
          <cell r="F6285" t="str">
            <v>Harvey et al., 2017</v>
          </cell>
          <cell r="G6285" t="str">
            <v>NBNSYS0000008723</v>
          </cell>
          <cell r="H6285" t="str">
            <v>Xysticus erraticus</v>
          </cell>
        </row>
        <row r="6286">
          <cell r="A6286" t="str">
            <v>Xysticus kochi</v>
          </cell>
          <cell r="B6286" t="str">
            <v>Spiders</v>
          </cell>
          <cell r="C6286" t="str">
            <v>Araneae</v>
          </cell>
          <cell r="D6286" t="str">
            <v>Xysticus kochi</v>
          </cell>
          <cell r="E6286" t="str">
            <v>LC</v>
          </cell>
          <cell r="F6286" t="str">
            <v>Harvey et al., 2017</v>
          </cell>
          <cell r="G6286" t="str">
            <v>NBNSYS0000008722</v>
          </cell>
          <cell r="H6286" t="str">
            <v>Xysticus kochi</v>
          </cell>
        </row>
        <row r="6287">
          <cell r="A6287" t="str">
            <v>Xysticus lanio</v>
          </cell>
          <cell r="B6287" t="str">
            <v>Spiders</v>
          </cell>
          <cell r="C6287" t="str">
            <v>Araneae</v>
          </cell>
          <cell r="D6287" t="str">
            <v>Xysticus lanio</v>
          </cell>
          <cell r="E6287" t="str">
            <v>LC</v>
          </cell>
          <cell r="F6287" t="str">
            <v>Harvey et al., 2017</v>
          </cell>
          <cell r="G6287" t="str">
            <v>NBNSYS0000008724</v>
          </cell>
          <cell r="H6287" t="str">
            <v>Xysticus lanio</v>
          </cell>
        </row>
        <row r="6288">
          <cell r="A6288" t="str">
            <v>Xysticus luctator</v>
          </cell>
          <cell r="B6288" t="str">
            <v>Spiders</v>
          </cell>
          <cell r="C6288" t="str">
            <v>Araneae</v>
          </cell>
          <cell r="D6288" t="str">
            <v>Xysticus luctator</v>
          </cell>
          <cell r="E6288" t="str">
            <v>EN</v>
          </cell>
          <cell r="F6288" t="str">
            <v>Harvey et al., 2017</v>
          </cell>
          <cell r="G6288" t="str">
            <v>NBNSYS0000008727</v>
          </cell>
          <cell r="H6288" t="str">
            <v>Xysticus luctator</v>
          </cell>
        </row>
        <row r="6289">
          <cell r="A6289" t="str">
            <v>Xysticus luctuosus</v>
          </cell>
          <cell r="B6289" t="str">
            <v>Spiders</v>
          </cell>
          <cell r="C6289" t="str">
            <v>Araneae</v>
          </cell>
          <cell r="D6289" t="str">
            <v>Xysticus luctuosus</v>
          </cell>
          <cell r="E6289" t="str">
            <v>EN</v>
          </cell>
          <cell r="F6289" t="str">
            <v>Harvey et al., 2017</v>
          </cell>
          <cell r="G6289" t="str">
            <v>NBNSYS0000008729</v>
          </cell>
          <cell r="H6289" t="str">
            <v>Xysticus luctuosus</v>
          </cell>
        </row>
        <row r="6290">
          <cell r="A6290" t="str">
            <v>Xysticus robustus</v>
          </cell>
          <cell r="B6290" t="str">
            <v>Spiders</v>
          </cell>
          <cell r="C6290" t="str">
            <v>Araneae</v>
          </cell>
          <cell r="D6290" t="str">
            <v>Xysticus robustus</v>
          </cell>
          <cell r="E6290" t="str">
            <v>EN</v>
          </cell>
          <cell r="F6290" t="str">
            <v>Harvey et al., 2017</v>
          </cell>
          <cell r="G6290" t="str">
            <v>NHMSYS0021453617</v>
          </cell>
          <cell r="H6290" t="str">
            <v>Xysticus robustus</v>
          </cell>
        </row>
        <row r="6291">
          <cell r="A6291" t="str">
            <v>Xysticus sabulosus</v>
          </cell>
          <cell r="B6291" t="str">
            <v>Spiders</v>
          </cell>
          <cell r="C6291" t="str">
            <v>Araneae</v>
          </cell>
          <cell r="D6291" t="str">
            <v>Xysticus sabulosus</v>
          </cell>
          <cell r="E6291" t="str">
            <v>LC</v>
          </cell>
          <cell r="F6291" t="str">
            <v>Harvey et al., 2017</v>
          </cell>
          <cell r="G6291" t="str">
            <v>NBNSYS0000008728</v>
          </cell>
          <cell r="H6291" t="str">
            <v>Xysticus sabulosus</v>
          </cell>
        </row>
        <row r="6292">
          <cell r="A6292" t="str">
            <v>Xysticus ulmi</v>
          </cell>
          <cell r="B6292" t="str">
            <v>Spiders</v>
          </cell>
          <cell r="C6292" t="str">
            <v>Araneae</v>
          </cell>
          <cell r="D6292" t="str">
            <v>Xysticus ulmi</v>
          </cell>
          <cell r="E6292" t="str">
            <v>LC</v>
          </cell>
          <cell r="F6292" t="str">
            <v>Harvey et al., 2017</v>
          </cell>
          <cell r="G6292" t="str">
            <v>NBNSYS0000008725</v>
          </cell>
          <cell r="H6292" t="str">
            <v>Xysticus ulmi</v>
          </cell>
        </row>
        <row r="6293">
          <cell r="A6293" t="str">
            <v>Zelotes apricorum</v>
          </cell>
          <cell r="B6293" t="str">
            <v>Spiders</v>
          </cell>
          <cell r="C6293" t="str">
            <v>Araneae</v>
          </cell>
          <cell r="D6293" t="str">
            <v>Zelotes apricorum</v>
          </cell>
          <cell r="E6293" t="str">
            <v>LC</v>
          </cell>
          <cell r="F6293" t="str">
            <v>Harvey et al., 2017</v>
          </cell>
          <cell r="G6293" t="str">
            <v>NBNSYS0000033077</v>
          </cell>
          <cell r="H6293" t="str">
            <v>Zelotes apricorum</v>
          </cell>
        </row>
        <row r="6294">
          <cell r="A6294" t="str">
            <v>Zelotes electus</v>
          </cell>
          <cell r="B6294" t="str">
            <v>Spiders</v>
          </cell>
          <cell r="C6294" t="str">
            <v>Araneae</v>
          </cell>
          <cell r="D6294" t="str">
            <v>Zelotes electus</v>
          </cell>
          <cell r="E6294" t="str">
            <v>LC</v>
          </cell>
          <cell r="F6294" t="str">
            <v>Harvey et al., 2017</v>
          </cell>
          <cell r="G6294" t="str">
            <v>NBNSYS0000008654</v>
          </cell>
          <cell r="H6294" t="str">
            <v>Zelotes electus</v>
          </cell>
        </row>
        <row r="6295">
          <cell r="A6295" t="str">
            <v>Zelotes latreillei</v>
          </cell>
          <cell r="B6295" t="str">
            <v>Spiders</v>
          </cell>
          <cell r="C6295" t="str">
            <v>Araneae</v>
          </cell>
          <cell r="D6295" t="str">
            <v>Zelotes latreillei</v>
          </cell>
          <cell r="E6295" t="str">
            <v>LC</v>
          </cell>
          <cell r="F6295" t="str">
            <v>Harvey et al., 2017</v>
          </cell>
          <cell r="G6295" t="str">
            <v>NBNSYS0000008655</v>
          </cell>
          <cell r="H6295" t="str">
            <v>Zelotes latreillei</v>
          </cell>
        </row>
        <row r="6296">
          <cell r="A6296" t="str">
            <v>Zelotes longipes</v>
          </cell>
          <cell r="B6296" t="str">
            <v>Spiders</v>
          </cell>
          <cell r="C6296" t="str">
            <v>Araneae</v>
          </cell>
          <cell r="D6296" t="str">
            <v>Zelotes longipes</v>
          </cell>
          <cell r="E6296" t="str">
            <v>VU</v>
          </cell>
          <cell r="F6296" t="str">
            <v>Harvey et al., 2017</v>
          </cell>
          <cell r="G6296" t="str">
            <v>NBNSYS0000008657</v>
          </cell>
          <cell r="H6296" t="str">
            <v>Zelotes longipes</v>
          </cell>
        </row>
        <row r="6297">
          <cell r="A6297" t="str">
            <v>Zelotes petrensis</v>
          </cell>
          <cell r="B6297" t="str">
            <v>Spiders</v>
          </cell>
          <cell r="C6297" t="str">
            <v>Araneae</v>
          </cell>
          <cell r="D6297" t="str">
            <v>Zelotes petrensis</v>
          </cell>
          <cell r="E6297" t="str">
            <v>LC</v>
          </cell>
          <cell r="F6297" t="str">
            <v>Harvey et al., 2017</v>
          </cell>
          <cell r="G6297" t="str">
            <v>NBNSYS0000008658</v>
          </cell>
          <cell r="H6297" t="str">
            <v>Zelotes petrensis</v>
          </cell>
        </row>
        <row r="6298">
          <cell r="A6298" t="str">
            <v>Zelotes subterraneus</v>
          </cell>
          <cell r="B6298" t="str">
            <v>Spiders</v>
          </cell>
          <cell r="C6298" t="str">
            <v>Araneae</v>
          </cell>
          <cell r="D6298" t="str">
            <v>Zelotes subterraneus</v>
          </cell>
          <cell r="E6298" t="str">
            <v>LC</v>
          </cell>
          <cell r="F6298" t="str">
            <v>Harvey et al., 2017</v>
          </cell>
          <cell r="G6298" t="str">
            <v>NBNSYS0000008659</v>
          </cell>
          <cell r="H6298" t="str">
            <v>Zelotes subterraneus</v>
          </cell>
        </row>
        <row r="6299">
          <cell r="A6299" t="str">
            <v>Zilla diodia</v>
          </cell>
          <cell r="B6299" t="str">
            <v>Spiders</v>
          </cell>
          <cell r="C6299" t="str">
            <v>Araneae</v>
          </cell>
          <cell r="D6299" t="str">
            <v>Zilla diodia</v>
          </cell>
          <cell r="E6299" t="str">
            <v>LC</v>
          </cell>
          <cell r="F6299" t="str">
            <v>Harvey et al., 2017</v>
          </cell>
          <cell r="G6299" t="str">
            <v>NBNSYS0000008955</v>
          </cell>
          <cell r="H6299" t="str">
            <v>Zilla diodia</v>
          </cell>
        </row>
        <row r="6300">
          <cell r="A6300" t="str">
            <v>Zodarion fuscum</v>
          </cell>
          <cell r="B6300" t="str">
            <v>Spiders</v>
          </cell>
          <cell r="C6300" t="str">
            <v>Araneae</v>
          </cell>
          <cell r="D6300" t="str">
            <v>Zodarion fuscum</v>
          </cell>
          <cell r="E6300" t="str">
            <v>VU</v>
          </cell>
          <cell r="F6300" t="str">
            <v>Harvey et al., 2017</v>
          </cell>
          <cell r="G6300" t="str">
            <v>NBNSYS0100006050</v>
          </cell>
          <cell r="H6300" t="str">
            <v>Zodarion fuscum</v>
          </cell>
        </row>
        <row r="6301">
          <cell r="A6301" t="str">
            <v>Zodarion italicum</v>
          </cell>
          <cell r="B6301" t="str">
            <v>Spiders</v>
          </cell>
          <cell r="C6301" t="str">
            <v>Araneae</v>
          </cell>
          <cell r="D6301" t="str">
            <v>Zodarion italicum</v>
          </cell>
          <cell r="E6301" t="str">
            <v>LC</v>
          </cell>
          <cell r="F6301" t="str">
            <v>Harvey et al., 2017</v>
          </cell>
          <cell r="G6301" t="str">
            <v>NBNSYS0000008641</v>
          </cell>
          <cell r="H6301" t="str">
            <v>Zodarion italicum</v>
          </cell>
        </row>
        <row r="6302">
          <cell r="A6302" t="str">
            <v>Zodarion vicinum</v>
          </cell>
          <cell r="B6302" t="str">
            <v>Spiders</v>
          </cell>
          <cell r="C6302" t="str">
            <v>Araneae</v>
          </cell>
          <cell r="D6302" t="str">
            <v>Zodarion vicinum</v>
          </cell>
          <cell r="E6302" t="str">
            <v>VU</v>
          </cell>
          <cell r="F6302" t="str">
            <v>Harvey et al., 2017</v>
          </cell>
          <cell r="G6302" t="str">
            <v>NBNSYS0100006052</v>
          </cell>
          <cell r="H6302" t="str">
            <v>Zodarion vicinum</v>
          </cell>
        </row>
        <row r="6303">
          <cell r="A6303" t="str">
            <v>Zora armillata</v>
          </cell>
          <cell r="B6303" t="str">
            <v>Spiders</v>
          </cell>
          <cell r="C6303" t="str">
            <v>Araneae</v>
          </cell>
          <cell r="D6303" t="str">
            <v>Zora armillata</v>
          </cell>
          <cell r="E6303" t="str">
            <v>CR</v>
          </cell>
          <cell r="F6303" t="str">
            <v>Harvey et al., 2017</v>
          </cell>
          <cell r="G6303" t="str">
            <v>NBNSYS0000008711</v>
          </cell>
          <cell r="H6303" t="str">
            <v>Zora armillata</v>
          </cell>
        </row>
        <row r="6304">
          <cell r="A6304" t="str">
            <v>Zora nemoralis</v>
          </cell>
          <cell r="B6304" t="str">
            <v>Spiders</v>
          </cell>
          <cell r="C6304" t="str">
            <v>Araneae</v>
          </cell>
          <cell r="D6304" t="str">
            <v>Zora nemoralis</v>
          </cell>
          <cell r="E6304" t="str">
            <v>VU</v>
          </cell>
          <cell r="F6304" t="str">
            <v>Harvey et al., 2017</v>
          </cell>
          <cell r="G6304" t="str">
            <v>NBNSYS0000008712</v>
          </cell>
          <cell r="H6304" t="str">
            <v>Zora nemoralis</v>
          </cell>
        </row>
        <row r="6305">
          <cell r="A6305" t="str">
            <v>Zora silvestris</v>
          </cell>
          <cell r="B6305" t="str">
            <v>Spiders</v>
          </cell>
          <cell r="C6305" t="str">
            <v>Araneae</v>
          </cell>
          <cell r="D6305" t="str">
            <v>Zora silvestris</v>
          </cell>
          <cell r="E6305" t="str">
            <v>CR</v>
          </cell>
          <cell r="F6305" t="str">
            <v>Harvey et al., 2017</v>
          </cell>
          <cell r="G6305" t="str">
            <v>NBNSYS0000008713</v>
          </cell>
          <cell r="H6305" t="str">
            <v>Zora silvestris</v>
          </cell>
        </row>
        <row r="6306">
          <cell r="A6306" t="str">
            <v>Zora spinimana</v>
          </cell>
          <cell r="B6306" t="str">
            <v>Spiders</v>
          </cell>
          <cell r="C6306" t="str">
            <v>Araneae</v>
          </cell>
          <cell r="D6306" t="str">
            <v>Zora spinimana</v>
          </cell>
          <cell r="E6306" t="str">
            <v>LC</v>
          </cell>
          <cell r="F6306" t="str">
            <v>Harvey et al., 2017</v>
          </cell>
          <cell r="G6306" t="str">
            <v>NBNSYS0000008710</v>
          </cell>
          <cell r="H6306" t="str">
            <v>Zora spinimana</v>
          </cell>
        </row>
        <row r="6307">
          <cell r="A6307" t="str">
            <v>Zygiella atrica</v>
          </cell>
          <cell r="B6307" t="str">
            <v>Spiders</v>
          </cell>
          <cell r="C6307" t="str">
            <v>Araneae</v>
          </cell>
          <cell r="D6307" t="str">
            <v>Zygiella atrica</v>
          </cell>
          <cell r="E6307" t="str">
            <v>LC</v>
          </cell>
          <cell r="F6307" t="str">
            <v>Harvey et al., 2017</v>
          </cell>
          <cell r="G6307" t="str">
            <v>NBNSYS0000008932</v>
          </cell>
          <cell r="H6307" t="str">
            <v>Zygiella atrica</v>
          </cell>
        </row>
        <row r="6308">
          <cell r="A6308" t="str">
            <v>Zygiella x-notata</v>
          </cell>
          <cell r="B6308" t="str">
            <v>Spiders</v>
          </cell>
          <cell r="C6308" t="str">
            <v>Araneae</v>
          </cell>
          <cell r="D6308" t="str">
            <v>Zygiella x-notata</v>
          </cell>
          <cell r="E6308" t="str">
            <v>LC</v>
          </cell>
          <cell r="F6308" t="str">
            <v>Harvey et al., 2017</v>
          </cell>
          <cell r="G6308" t="str">
            <v>NBNSYS0000008931</v>
          </cell>
          <cell r="H6308" t="str">
            <v>Zygiella x-notata</v>
          </cell>
        </row>
        <row r="6309">
          <cell r="A6309" t="str">
            <v>Amphinemura standfussi</v>
          </cell>
          <cell r="B6309" t="str">
            <v>Stoneflies</v>
          </cell>
          <cell r="C6309" t="str">
            <v>Plecoptera</v>
          </cell>
          <cell r="D6309" t="str">
            <v>Amphinemura standfussi</v>
          </cell>
          <cell r="E6309" t="str">
            <v>LC</v>
          </cell>
          <cell r="F6309" t="str">
            <v>Macadam, 2015</v>
          </cell>
          <cell r="G6309" t="str">
            <v>NHMSYS0020316239</v>
          </cell>
          <cell r="H6309" t="str">
            <v>Amphinemura standfussi</v>
          </cell>
        </row>
        <row r="6310">
          <cell r="A6310" t="str">
            <v>Amphinemura sulcicollis</v>
          </cell>
          <cell r="B6310" t="str">
            <v>Stoneflies</v>
          </cell>
          <cell r="C6310" t="str">
            <v>Plecoptera</v>
          </cell>
          <cell r="D6310" t="str">
            <v>Amphinemura sulcicollis</v>
          </cell>
          <cell r="E6310" t="str">
            <v>LC</v>
          </cell>
          <cell r="F6310" t="str">
            <v>Macadam, 2015</v>
          </cell>
          <cell r="G6310" t="str">
            <v>NHMSYS0020316240</v>
          </cell>
          <cell r="H6310" t="str">
            <v>Amphinemura sulcicollis</v>
          </cell>
        </row>
        <row r="6311">
          <cell r="A6311" t="str">
            <v>Brachyptera putata</v>
          </cell>
          <cell r="B6311" t="str">
            <v>Stoneflies</v>
          </cell>
          <cell r="C6311" t="str">
            <v>Plecoptera</v>
          </cell>
          <cell r="D6311" t="str">
            <v>Brachyptera putata</v>
          </cell>
          <cell r="E6311" t="str">
            <v>LC</v>
          </cell>
          <cell r="F6311" t="str">
            <v>Macadam, 2015</v>
          </cell>
          <cell r="G6311" t="str">
            <v>NBNSYS0000022413</v>
          </cell>
          <cell r="H6311" t="str">
            <v>Brachyptera putata</v>
          </cell>
        </row>
        <row r="6312">
          <cell r="A6312" t="str">
            <v>Brachyptera risi</v>
          </cell>
          <cell r="B6312" t="str">
            <v>Stoneflies</v>
          </cell>
          <cell r="C6312" t="str">
            <v>Plecoptera</v>
          </cell>
          <cell r="D6312" t="str">
            <v>Brachyptera risi</v>
          </cell>
          <cell r="E6312" t="str">
            <v>LC</v>
          </cell>
          <cell r="F6312" t="str">
            <v>Macadam, 2015</v>
          </cell>
          <cell r="G6312" t="str">
            <v>NBNSYS0000022414</v>
          </cell>
          <cell r="H6312" t="str">
            <v>Brachyptera risi</v>
          </cell>
        </row>
        <row r="6313">
          <cell r="A6313" t="str">
            <v>Capnia bifrons</v>
          </cell>
          <cell r="B6313" t="str">
            <v>Stoneflies</v>
          </cell>
          <cell r="C6313" t="str">
            <v>Plecoptera</v>
          </cell>
          <cell r="D6313" t="str">
            <v>Capnia bifrons</v>
          </cell>
          <cell r="E6313" t="str">
            <v>LC</v>
          </cell>
          <cell r="F6313" t="str">
            <v>Macadam, 2015</v>
          </cell>
          <cell r="G6313" t="str">
            <v>NHMSYS0021167569</v>
          </cell>
          <cell r="H6313" t="str">
            <v>Capnia bifrons</v>
          </cell>
        </row>
        <row r="6314">
          <cell r="A6314" t="str">
            <v>Chloroperla tripunctata</v>
          </cell>
          <cell r="B6314" t="str">
            <v>Stoneflies</v>
          </cell>
          <cell r="C6314" t="str">
            <v>Plecoptera</v>
          </cell>
          <cell r="D6314" t="str">
            <v>Chloroperla tripunctata</v>
          </cell>
          <cell r="E6314" t="str">
            <v>LC</v>
          </cell>
          <cell r="F6314" t="str">
            <v>Macadam, 2015</v>
          </cell>
          <cell r="G6314" t="str">
            <v>NBNSYS0000022446</v>
          </cell>
          <cell r="H6314" t="str">
            <v>Chloroperla tripunctata</v>
          </cell>
        </row>
        <row r="6315">
          <cell r="A6315" t="str">
            <v>Dinocras cephalotes</v>
          </cell>
          <cell r="B6315" t="str">
            <v>Stoneflies</v>
          </cell>
          <cell r="C6315" t="str">
            <v>Plecoptera</v>
          </cell>
          <cell r="D6315" t="str">
            <v>Dinocras cephalotes</v>
          </cell>
          <cell r="E6315" t="str">
            <v>LC</v>
          </cell>
          <cell r="F6315" t="str">
            <v>Macadam, 2015</v>
          </cell>
          <cell r="G6315" t="str">
            <v>NBNSYS0000022442</v>
          </cell>
          <cell r="H6315" t="str">
            <v>Dinocras cephalotes</v>
          </cell>
        </row>
        <row r="6316">
          <cell r="A6316" t="str">
            <v>Diura bicaudata</v>
          </cell>
          <cell r="B6316" t="str">
            <v>Stoneflies</v>
          </cell>
          <cell r="C6316" t="str">
            <v>Plecoptera</v>
          </cell>
          <cell r="D6316" t="str">
            <v>Diura bicaudata</v>
          </cell>
          <cell r="E6316" t="str">
            <v>LC</v>
          </cell>
          <cell r="F6316" t="str">
            <v>Macadam, 2015</v>
          </cell>
          <cell r="G6316" t="str">
            <v>NHMSYS0020316254</v>
          </cell>
          <cell r="H6316" t="str">
            <v>Diura bicaudata</v>
          </cell>
        </row>
        <row r="6317">
          <cell r="A6317" t="str">
            <v>Isoperla grammatica</v>
          </cell>
          <cell r="B6317" t="str">
            <v>Stoneflies</v>
          </cell>
          <cell r="C6317" t="str">
            <v>Plecoptera</v>
          </cell>
          <cell r="D6317" t="str">
            <v>Isoperla grammatica</v>
          </cell>
          <cell r="E6317" t="str">
            <v>LC</v>
          </cell>
          <cell r="F6317" t="str">
            <v>Macadam, 2015</v>
          </cell>
          <cell r="G6317" t="str">
            <v>NBNSYS0000022439</v>
          </cell>
          <cell r="H6317" t="str">
            <v>Isoperla grammatica</v>
          </cell>
        </row>
        <row r="6318">
          <cell r="A6318" t="str">
            <v>Isoperla obscura</v>
          </cell>
          <cell r="B6318" t="str">
            <v>Stoneflies</v>
          </cell>
          <cell r="C6318" t="str">
            <v>Plecoptera</v>
          </cell>
          <cell r="D6318" t="str">
            <v>Isoperla obscura</v>
          </cell>
          <cell r="E6318" t="str">
            <v>RE</v>
          </cell>
          <cell r="F6318" t="str">
            <v>Macadam, 2015</v>
          </cell>
          <cell r="G6318" t="str">
            <v>NBNSYS0000022440</v>
          </cell>
          <cell r="H6318" t="str">
            <v>Isoperla obscura</v>
          </cell>
        </row>
        <row r="6319">
          <cell r="A6319" t="str">
            <v>Leuctra fusca</v>
          </cell>
          <cell r="B6319" t="str">
            <v>Stoneflies</v>
          </cell>
          <cell r="C6319" t="str">
            <v>Plecoptera</v>
          </cell>
          <cell r="D6319" t="str">
            <v>Leuctra fusca</v>
          </cell>
          <cell r="E6319" t="str">
            <v>LC</v>
          </cell>
          <cell r="F6319" t="str">
            <v>Macadam, 2015</v>
          </cell>
          <cell r="G6319" t="str">
            <v>NBNSYS0000022428</v>
          </cell>
          <cell r="H6319" t="str">
            <v>Leuctra fusca</v>
          </cell>
        </row>
        <row r="6320">
          <cell r="A6320" t="str">
            <v>Leuctra geniculata</v>
          </cell>
          <cell r="B6320" t="str">
            <v>Stoneflies</v>
          </cell>
          <cell r="C6320" t="str">
            <v>Plecoptera</v>
          </cell>
          <cell r="D6320" t="str">
            <v>Leuctra geniculata</v>
          </cell>
          <cell r="E6320" t="str">
            <v>LC</v>
          </cell>
          <cell r="F6320" t="str">
            <v>Macadam, 2015</v>
          </cell>
          <cell r="G6320" t="str">
            <v>NBNSYS0000022429</v>
          </cell>
          <cell r="H6320" t="str">
            <v>Leuctra geniculata</v>
          </cell>
        </row>
        <row r="6321">
          <cell r="A6321" t="str">
            <v>Leuctra hippopus</v>
          </cell>
          <cell r="B6321" t="str">
            <v>Stoneflies</v>
          </cell>
          <cell r="C6321" t="str">
            <v>Plecoptera</v>
          </cell>
          <cell r="D6321" t="str">
            <v>Leuctra hippopus</v>
          </cell>
          <cell r="E6321" t="str">
            <v>LC</v>
          </cell>
          <cell r="F6321" t="str">
            <v>Macadam, 2015</v>
          </cell>
          <cell r="G6321" t="str">
            <v>NHMSYS0020316259</v>
          </cell>
          <cell r="H6321" t="str">
            <v>Leuctra hippopus</v>
          </cell>
        </row>
        <row r="6322">
          <cell r="A6322" t="str">
            <v>Leuctra inermis</v>
          </cell>
          <cell r="B6322" t="str">
            <v>Stoneflies</v>
          </cell>
          <cell r="C6322" t="str">
            <v>Plecoptera</v>
          </cell>
          <cell r="D6322" t="str">
            <v>Leuctra inermis</v>
          </cell>
          <cell r="E6322" t="str">
            <v>LC</v>
          </cell>
          <cell r="F6322" t="str">
            <v>Macadam, 2015</v>
          </cell>
          <cell r="G6322" t="str">
            <v>NHMSYS0020316260</v>
          </cell>
          <cell r="H6322" t="str">
            <v>Leuctra inermis</v>
          </cell>
        </row>
        <row r="6323">
          <cell r="A6323" t="str">
            <v>Leuctra moselyi</v>
          </cell>
          <cell r="B6323" t="str">
            <v>Stoneflies</v>
          </cell>
          <cell r="C6323" t="str">
            <v>Plecoptera</v>
          </cell>
          <cell r="D6323" t="str">
            <v>Leuctra moselyi</v>
          </cell>
          <cell r="E6323" t="str">
            <v>LC</v>
          </cell>
          <cell r="F6323" t="str">
            <v>Macadam, 2015</v>
          </cell>
          <cell r="G6323" t="str">
            <v>NBNSYS0000022432</v>
          </cell>
          <cell r="H6323" t="str">
            <v>Leuctra moselyi</v>
          </cell>
        </row>
        <row r="6324">
          <cell r="A6324" t="str">
            <v>Leuctra nigra</v>
          </cell>
          <cell r="B6324" t="str">
            <v>Stoneflies</v>
          </cell>
          <cell r="C6324" t="str">
            <v>Plecoptera</v>
          </cell>
          <cell r="D6324" t="str">
            <v>Leuctra nigra</v>
          </cell>
          <cell r="E6324" t="str">
            <v>LC</v>
          </cell>
          <cell r="F6324" t="str">
            <v>Macadam, 2015</v>
          </cell>
          <cell r="G6324" t="str">
            <v>NBNSYS0000022433</v>
          </cell>
          <cell r="H6324" t="str">
            <v>Leuctra nigra</v>
          </cell>
        </row>
        <row r="6325">
          <cell r="A6325" t="str">
            <v>Nemoura avicularis</v>
          </cell>
          <cell r="B6325" t="str">
            <v>Stoneflies</v>
          </cell>
          <cell r="C6325" t="str">
            <v>Plecoptera</v>
          </cell>
          <cell r="D6325" t="str">
            <v>Nemoura avicularis</v>
          </cell>
          <cell r="E6325" t="str">
            <v>LC</v>
          </cell>
          <cell r="F6325" t="str">
            <v>Macadam, 2015</v>
          </cell>
          <cell r="G6325" t="str">
            <v>NBNSYS0000022419</v>
          </cell>
          <cell r="H6325" t="str">
            <v>Nemoura avicularis</v>
          </cell>
        </row>
        <row r="6326">
          <cell r="A6326" t="str">
            <v>Nemoura cambrica</v>
          </cell>
          <cell r="B6326" t="str">
            <v>Stoneflies</v>
          </cell>
          <cell r="C6326" t="str">
            <v>Plecoptera</v>
          </cell>
          <cell r="D6326" t="str">
            <v>Nemoura cambrica</v>
          </cell>
          <cell r="E6326" t="str">
            <v>LC</v>
          </cell>
          <cell r="F6326" t="str">
            <v>Macadam, 2015</v>
          </cell>
          <cell r="G6326" t="str">
            <v>NBNSYS0000022420</v>
          </cell>
          <cell r="H6326" t="str">
            <v>Nemoura cambrica</v>
          </cell>
        </row>
        <row r="6327">
          <cell r="A6327" t="str">
            <v>Nemoura cinerea</v>
          </cell>
          <cell r="B6327" t="str">
            <v>Stoneflies</v>
          </cell>
          <cell r="C6327" t="str">
            <v>Plecoptera</v>
          </cell>
          <cell r="D6327" t="str">
            <v>Nemoura cinerea</v>
          </cell>
          <cell r="E6327" t="str">
            <v>LC</v>
          </cell>
          <cell r="F6327" t="str">
            <v>Macadam, 2015</v>
          </cell>
          <cell r="G6327" t="str">
            <v>NBNSYS0000022421</v>
          </cell>
          <cell r="H6327" t="str">
            <v>Nemoura cinerea</v>
          </cell>
        </row>
        <row r="6328">
          <cell r="A6328" t="str">
            <v>Nemoura dubitans</v>
          </cell>
          <cell r="B6328" t="str">
            <v>Stoneflies</v>
          </cell>
          <cell r="C6328" t="str">
            <v>Plecoptera</v>
          </cell>
          <cell r="D6328" t="str">
            <v>Nemoura dubitans</v>
          </cell>
          <cell r="E6328" t="str">
            <v>LC</v>
          </cell>
          <cell r="F6328" t="str">
            <v>Macadam, 2015</v>
          </cell>
          <cell r="G6328" t="str">
            <v>NBNSYS0000022422</v>
          </cell>
          <cell r="H6328" t="str">
            <v>Nemoura dubitans</v>
          </cell>
        </row>
        <row r="6329">
          <cell r="A6329" t="str">
            <v>Nemoura erratica</v>
          </cell>
          <cell r="B6329" t="str">
            <v>Stoneflies</v>
          </cell>
          <cell r="C6329" t="str">
            <v>Plecoptera</v>
          </cell>
          <cell r="D6329" t="str">
            <v>Nemoura erratica</v>
          </cell>
          <cell r="E6329" t="str">
            <v>LC</v>
          </cell>
          <cell r="F6329" t="str">
            <v>Macadam, 2015</v>
          </cell>
          <cell r="G6329" t="str">
            <v>NBNSYS0000022423</v>
          </cell>
          <cell r="H6329" t="str">
            <v>Nemoura erratica</v>
          </cell>
        </row>
        <row r="6330">
          <cell r="A6330" t="str">
            <v>Nemurella pictetii</v>
          </cell>
          <cell r="B6330" t="str">
            <v>Stoneflies</v>
          </cell>
          <cell r="C6330" t="str">
            <v>Plecoptera</v>
          </cell>
          <cell r="D6330" t="str">
            <v>Nemurella pictetii</v>
          </cell>
          <cell r="E6330" t="str">
            <v>LC</v>
          </cell>
          <cell r="F6330" t="str">
            <v>Macadam, 2015</v>
          </cell>
          <cell r="G6330" t="str">
            <v>NHMSYS0020316272</v>
          </cell>
          <cell r="H6330" t="str">
            <v>Nemurella pictetii</v>
          </cell>
        </row>
        <row r="6331">
          <cell r="A6331" t="str">
            <v>Perla bipunctata</v>
          </cell>
          <cell r="B6331" t="str">
            <v>Stoneflies</v>
          </cell>
          <cell r="C6331" t="str">
            <v>Plecoptera</v>
          </cell>
          <cell r="D6331" t="str">
            <v>Perla bipunctata</v>
          </cell>
          <cell r="E6331" t="str">
            <v>LC</v>
          </cell>
          <cell r="F6331" t="str">
            <v>Macadam, 2015</v>
          </cell>
          <cell r="G6331" t="str">
            <v>NBNSYS0000022443</v>
          </cell>
          <cell r="H6331" t="str">
            <v>Perla bipunctata</v>
          </cell>
        </row>
        <row r="6332">
          <cell r="A6332" t="str">
            <v>Perlodes mortoni</v>
          </cell>
          <cell r="B6332" t="str">
            <v>Stoneflies</v>
          </cell>
          <cell r="C6332" t="str">
            <v>Plecoptera</v>
          </cell>
          <cell r="D6332" t="str">
            <v>Perlodes mortoni</v>
          </cell>
          <cell r="E6332" t="str">
            <v>LC</v>
          </cell>
          <cell r="F6332" t="str">
            <v>Macadam, 2015</v>
          </cell>
          <cell r="G6332" t="str">
            <v>NHMSYS0021168023</v>
          </cell>
          <cell r="H6332" t="str">
            <v>Perlodes mortoni</v>
          </cell>
        </row>
        <row r="6333">
          <cell r="A6333" t="str">
            <v>Protonemura meyeri</v>
          </cell>
          <cell r="B6333" t="str">
            <v>Stoneflies</v>
          </cell>
          <cell r="C6333" t="str">
            <v>Plecoptera</v>
          </cell>
          <cell r="D6333" t="str">
            <v>Protonemura meyeri</v>
          </cell>
          <cell r="E6333" t="str">
            <v>LC</v>
          </cell>
          <cell r="F6333" t="str">
            <v>Macadam, 2015</v>
          </cell>
          <cell r="G6333" t="str">
            <v>NBNSYS0000022425</v>
          </cell>
          <cell r="H6333" t="str">
            <v>Protonemura meyeri</v>
          </cell>
        </row>
        <row r="6334">
          <cell r="A6334" t="str">
            <v>Protonemura praecox</v>
          </cell>
          <cell r="B6334" t="str">
            <v>Stoneflies</v>
          </cell>
          <cell r="C6334" t="str">
            <v>Plecoptera</v>
          </cell>
          <cell r="D6334" t="str">
            <v>Protonemura praecox</v>
          </cell>
          <cell r="E6334" t="str">
            <v>LC</v>
          </cell>
          <cell r="F6334" t="str">
            <v>Macadam, 2015</v>
          </cell>
          <cell r="G6334" t="str">
            <v>NBNSYS0000022427</v>
          </cell>
          <cell r="H6334" t="str">
            <v>Protonemura praecox</v>
          </cell>
        </row>
        <row r="6335">
          <cell r="A6335" t="str">
            <v>Rhabdiopteryx acuminata</v>
          </cell>
          <cell r="B6335" t="str">
            <v>Stoneflies</v>
          </cell>
          <cell r="C6335" t="str">
            <v>Plecoptera</v>
          </cell>
          <cell r="D6335" t="str">
            <v>Rhabdiopteryx acuminata</v>
          </cell>
          <cell r="E6335" t="str">
            <v>VU</v>
          </cell>
          <cell r="F6335" t="str">
            <v>Macadam, 2015</v>
          </cell>
          <cell r="G6335" t="str">
            <v>NHMSYS0020316291</v>
          </cell>
          <cell r="H6335" t="str">
            <v>Rhabdiopteryx acuminata</v>
          </cell>
        </row>
        <row r="6336">
          <cell r="A6336" t="str">
            <v>Siphonoperla torrentium</v>
          </cell>
          <cell r="B6336" t="str">
            <v>Stoneflies</v>
          </cell>
          <cell r="C6336" t="str">
            <v>Plecoptera</v>
          </cell>
          <cell r="D6336" t="str">
            <v>Siphonoperla torrentium</v>
          </cell>
          <cell r="E6336" t="str">
            <v>LC</v>
          </cell>
          <cell r="F6336" t="str">
            <v>Macadam, 2015</v>
          </cell>
          <cell r="G6336" t="str">
            <v>NBNSYS0000156799</v>
          </cell>
          <cell r="H6336" t="str">
            <v>Siphonoperla torrentium</v>
          </cell>
        </row>
        <row r="6337">
          <cell r="A6337" t="str">
            <v>Taeniopteryx nebulosa britannica</v>
          </cell>
          <cell r="B6337" t="str">
            <v>Stoneflies</v>
          </cell>
          <cell r="C6337" t="str">
            <v>Plecoptera</v>
          </cell>
          <cell r="D6337" t="str">
            <v>Taeniopteryx nebulosa (subsp.) britannica</v>
          </cell>
          <cell r="E6337" t="str">
            <v>LC</v>
          </cell>
          <cell r="F6337" t="str">
            <v>Macadam, 2015</v>
          </cell>
          <cell r="G6337" t="str">
            <v>NHMSYS0020784625</v>
          </cell>
          <cell r="H6337" t="str">
            <v>Taeniopteryx nebulosa britannica</v>
          </cell>
        </row>
        <row r="6338">
          <cell r="A6338" t="str">
            <v>Acer campestre</v>
          </cell>
          <cell r="B6338" t="str">
            <v>Vascular plants</v>
          </cell>
          <cell r="C6338" t="str">
            <v>Tracheophyta</v>
          </cell>
          <cell r="D6338" t="str">
            <v>Acer campestre</v>
          </cell>
          <cell r="E6338" t="str">
            <v>LC</v>
          </cell>
          <cell r="F6338" t="str">
            <v>in Stroh et al., 2014 (from: Cheffings &amp; Farrell 2005 or subsequent amendments in Leach 2007, 2010; Leach &amp; Walker 2011, 2013)</v>
          </cell>
          <cell r="G6338" t="str">
            <v>NBNSYS0000003193</v>
          </cell>
          <cell r="H6338" t="str">
            <v>Acer campestre</v>
          </cell>
        </row>
        <row r="6339">
          <cell r="A6339" t="str">
            <v>Achillea maritima</v>
          </cell>
          <cell r="B6339" t="str">
            <v>Vascular plants</v>
          </cell>
          <cell r="C6339" t="str">
            <v>Tracheophyta</v>
          </cell>
          <cell r="D6339" t="str">
            <v>Achillea maritima</v>
          </cell>
          <cell r="E6339" t="str">
            <v>EX</v>
          </cell>
          <cell r="F6339" t="str">
            <v>in Stroh et al., 2014 (from: Cheffings &amp; Farrell 2005 or subsequent amendments in Leach 2007, 2010; Leach &amp; Walker 2011, 2013)</v>
          </cell>
          <cell r="G6339" t="str">
            <v>NHMSYS0021240634</v>
          </cell>
          <cell r="H6339" t="str">
            <v>Achillea maritima</v>
          </cell>
        </row>
        <row r="6340">
          <cell r="A6340" t="str">
            <v>Achillea millefolium</v>
          </cell>
          <cell r="B6340" t="str">
            <v>Vascular plants</v>
          </cell>
          <cell r="C6340" t="str">
            <v>Tracheophyta</v>
          </cell>
          <cell r="D6340" t="str">
            <v>Achillea millefolium</v>
          </cell>
          <cell r="E6340" t="str">
            <v>LC</v>
          </cell>
          <cell r="F6340" t="str">
            <v>in Stroh et al., 2014 (from: Cheffings &amp; Farrell 2005 or subsequent amendments in Leach 2007, 2010; Leach &amp; Walker 2011, 2013)</v>
          </cell>
          <cell r="G6340" t="str">
            <v>NBNSYS0000004451</v>
          </cell>
          <cell r="H6340" t="str">
            <v>Achillea millefolium</v>
          </cell>
        </row>
        <row r="6341">
          <cell r="A6341" t="str">
            <v>Achillea ptarmica</v>
          </cell>
          <cell r="B6341" t="str">
            <v>Vascular plants</v>
          </cell>
          <cell r="C6341" t="str">
            <v>Tracheophyta</v>
          </cell>
          <cell r="D6341" t="str">
            <v>Achillea ptarmica</v>
          </cell>
          <cell r="E6341" t="str">
            <v>LC</v>
          </cell>
          <cell r="F6341" t="str">
            <v>in Stroh et al., 2014 (from: Cheffings &amp; Farrell 2005 or subsequent amendments in Leach 2007, 2010; Leach &amp; Walker 2011, 2013)</v>
          </cell>
          <cell r="G6341" t="str">
            <v>NBNSYS0000004453</v>
          </cell>
          <cell r="H6341" t="str">
            <v>Achillea ptarmica</v>
          </cell>
        </row>
        <row r="6342">
          <cell r="A6342" t="str">
            <v>Actaea spicata</v>
          </cell>
          <cell r="B6342" t="str">
            <v>Vascular plants</v>
          </cell>
          <cell r="C6342" t="str">
            <v>Tracheophyta</v>
          </cell>
          <cell r="D6342" t="str">
            <v>Actaea spicata</v>
          </cell>
          <cell r="E6342" t="str">
            <v>LC</v>
          </cell>
          <cell r="F6342" t="str">
            <v>in Stroh et al., 2014 (from: Cheffings &amp; Farrell 2005 or subsequent amendments in Leach 2007, 2010; Leach &amp; Walker 2011, 2013)</v>
          </cell>
          <cell r="G6342" t="str">
            <v>NBNSYS0000002699</v>
          </cell>
          <cell r="H6342" t="str">
            <v>Actaea spicata</v>
          </cell>
        </row>
        <row r="6343">
          <cell r="A6343" t="str">
            <v>Adiantum capillus-veneris</v>
          </cell>
          <cell r="B6343" t="str">
            <v>Vascular plants</v>
          </cell>
          <cell r="C6343" t="str">
            <v>Tracheophyta</v>
          </cell>
          <cell r="D6343" t="str">
            <v>Adiantum capillus-veneris</v>
          </cell>
          <cell r="E6343" t="str">
            <v>LC</v>
          </cell>
          <cell r="F6343" t="str">
            <v>in Stroh et al., 2014 (from: Cheffings &amp; Farrell 2005 or subsequent amendments in Leach 2007, 2010; Leach &amp; Walker 2011, 2013)</v>
          </cell>
          <cell r="G6343" t="str">
            <v>NBNSYS0000002034</v>
          </cell>
          <cell r="H6343" t="str">
            <v>Adiantum capillus-veneris</v>
          </cell>
        </row>
        <row r="6344">
          <cell r="A6344" t="str">
            <v>Adoxa moschatellina</v>
          </cell>
          <cell r="B6344" t="str">
            <v>Vascular plants</v>
          </cell>
          <cell r="C6344" t="str">
            <v>Tracheophyta</v>
          </cell>
          <cell r="D6344" t="str">
            <v>Adoxa moschatellina</v>
          </cell>
          <cell r="E6344" t="str">
            <v>LC</v>
          </cell>
          <cell r="F6344" t="str">
            <v>in Stroh et al., 2014 (from: Cheffings &amp; Farrell 2005 or subsequent amendments in Leach 2007, 2010; Leach &amp; Walker 2011, 2013)</v>
          </cell>
          <cell r="G6344" t="str">
            <v>NBNSYS0000004336</v>
          </cell>
          <cell r="H6344" t="str">
            <v>Adoxa moschatellina</v>
          </cell>
        </row>
        <row r="6345">
          <cell r="A6345" t="str">
            <v>Aethusa cynapium</v>
          </cell>
          <cell r="B6345" t="str">
            <v>Vascular plants</v>
          </cell>
          <cell r="C6345" t="str">
            <v>Tracheophyta</v>
          </cell>
          <cell r="D6345" t="str">
            <v>Aethusa cynapium</v>
          </cell>
          <cell r="E6345" t="str">
            <v>LC</v>
          </cell>
          <cell r="F6345" t="str">
            <v>in Stroh et al., 2014 (from: Cheffings &amp; Farrell 2005 or subsequent amendments in Leach 2007, 2010; Leach &amp; Walker 2011, 2013)</v>
          </cell>
          <cell r="G6345" t="str">
            <v>NBNSYS0000003696</v>
          </cell>
          <cell r="H6345" t="str">
            <v>Aethusa cynapium</v>
          </cell>
        </row>
        <row r="6346">
          <cell r="A6346" t="str">
            <v>Agrimonia eupatoria</v>
          </cell>
          <cell r="B6346" t="str">
            <v>Vascular plants</v>
          </cell>
          <cell r="C6346" t="str">
            <v>Tracheophyta</v>
          </cell>
          <cell r="D6346" t="str">
            <v>Agrimonia eupatoria</v>
          </cell>
          <cell r="E6346" t="str">
            <v>LC</v>
          </cell>
          <cell r="F6346" t="str">
            <v>in Stroh et al., 2014 (from: Cheffings &amp; Farrell 2005 or subsequent amendments in Leach 2007, 2010; Leach &amp; Walker 2011, 2013)</v>
          </cell>
          <cell r="G6346" t="str">
            <v>NBNSYS0000003366</v>
          </cell>
          <cell r="H6346" t="str">
            <v>Agrimonia eupatoria</v>
          </cell>
        </row>
        <row r="6347">
          <cell r="A6347" t="str">
            <v>Agrimonia procera</v>
          </cell>
          <cell r="B6347" t="str">
            <v>Vascular plants</v>
          </cell>
          <cell r="C6347" t="str">
            <v>Tracheophyta</v>
          </cell>
          <cell r="D6347" t="str">
            <v>Agrimonia procera</v>
          </cell>
          <cell r="E6347" t="str">
            <v>LC</v>
          </cell>
          <cell r="F6347" t="str">
            <v>in Stroh et al., 2014 (from: Cheffings &amp; Farrell 2005 or subsequent amendments in Leach 2007, 2010; Leach &amp; Walker 2011, 2013)</v>
          </cell>
          <cell r="G6347" t="str">
            <v>NBNSYS0000003367</v>
          </cell>
          <cell r="H6347" t="str">
            <v>Agrimonia procera</v>
          </cell>
        </row>
        <row r="6348">
          <cell r="A6348" t="str">
            <v>Agrostis canina</v>
          </cell>
          <cell r="B6348" t="str">
            <v>Vascular plants</v>
          </cell>
          <cell r="C6348" t="str">
            <v>Tracheophyta</v>
          </cell>
          <cell r="D6348" t="str">
            <v>Agrostis canina</v>
          </cell>
          <cell r="E6348" t="str">
            <v>LC</v>
          </cell>
          <cell r="F6348" t="str">
            <v>in Stroh et al., 2014 (from: Cheffings &amp; Farrell 2005 or subsequent amendments in Leach 2007, 2010; Leach &amp; Walker 2011, 2013)</v>
          </cell>
          <cell r="G6348" t="str">
            <v>NHMSYS0000494978</v>
          </cell>
          <cell r="H6348" t="str">
            <v>Agrostis canina</v>
          </cell>
        </row>
        <row r="6349">
          <cell r="A6349" t="str">
            <v>Agrostis capillaris</v>
          </cell>
          <cell r="B6349" t="str">
            <v>Vascular plants</v>
          </cell>
          <cell r="C6349" t="str">
            <v>Tracheophyta</v>
          </cell>
          <cell r="D6349" t="str">
            <v>Agrostis capillaris</v>
          </cell>
          <cell r="E6349" t="str">
            <v>LC</v>
          </cell>
          <cell r="F6349" t="str">
            <v>in Stroh et al., 2014 (from: Cheffings &amp; Farrell 2005 or subsequent amendments in Leach 2007, 2010; Leach &amp; Walker 2011, 2013)</v>
          </cell>
          <cell r="G6349" t="str">
            <v>NBNSYS0000002638</v>
          </cell>
          <cell r="H6349" t="str">
            <v>Agrostis capillaris</v>
          </cell>
        </row>
        <row r="6350">
          <cell r="A6350" t="str">
            <v>Agrostis curtisii</v>
          </cell>
          <cell r="B6350" t="str">
            <v>Vascular plants</v>
          </cell>
          <cell r="C6350" t="str">
            <v>Tracheophyta</v>
          </cell>
          <cell r="D6350" t="str">
            <v>Agrostis curtisii</v>
          </cell>
          <cell r="E6350" t="str">
            <v>LC</v>
          </cell>
          <cell r="F6350" t="str">
            <v>in Stroh et al., 2014 (from: Cheffings &amp; Farrell 2005 or subsequent amendments in Leach 2007, 2010; Leach &amp; Walker 2011, 2013)</v>
          </cell>
          <cell r="G6350" t="str">
            <v>NHMSYS0000455680</v>
          </cell>
          <cell r="H6350" t="str">
            <v>Agrostis curtisii</v>
          </cell>
        </row>
        <row r="6351">
          <cell r="A6351" t="str">
            <v>Agrostis stolonifera</v>
          </cell>
          <cell r="B6351" t="str">
            <v>Vascular plants</v>
          </cell>
          <cell r="C6351" t="str">
            <v>Tracheophyta</v>
          </cell>
          <cell r="D6351" t="str">
            <v>Agrostis stolonifera</v>
          </cell>
          <cell r="E6351" t="str">
            <v>LC</v>
          </cell>
          <cell r="F6351" t="str">
            <v>in Stroh et al., 2014 (from: Cheffings &amp; Farrell 2005 or subsequent amendments in Leach 2007, 2010; Leach &amp; Walker 2011, 2013)</v>
          </cell>
          <cell r="G6351" t="str">
            <v>NBNSYS0000002640</v>
          </cell>
          <cell r="H6351" t="str">
            <v>Agrostis stolonifera</v>
          </cell>
        </row>
        <row r="6352">
          <cell r="A6352" t="str">
            <v>Agrostis vinealis</v>
          </cell>
          <cell r="B6352" t="str">
            <v>Vascular plants</v>
          </cell>
          <cell r="C6352" t="str">
            <v>Tracheophyta</v>
          </cell>
          <cell r="D6352" t="str">
            <v>Agrostis vinealis</v>
          </cell>
          <cell r="E6352" t="str">
            <v>LC</v>
          </cell>
          <cell r="F6352" t="str">
            <v>in Stroh et al., 2014 (from: Cheffings &amp; Farrell 2005 or subsequent amendments in Leach 2007, 2010; Leach &amp; Walker 2011, 2013)</v>
          </cell>
          <cell r="G6352" t="str">
            <v>NHMSYS0000455693</v>
          </cell>
          <cell r="H6352" t="str">
            <v>Agrostis vinealis</v>
          </cell>
        </row>
        <row r="6353">
          <cell r="A6353" t="str">
            <v>Aira caryophyllea</v>
          </cell>
          <cell r="B6353" t="str">
            <v>Vascular plants</v>
          </cell>
          <cell r="C6353" t="str">
            <v>Tracheophyta</v>
          </cell>
          <cell r="D6353" t="str">
            <v>Aira caryophyllea</v>
          </cell>
          <cell r="E6353" t="str">
            <v>LC</v>
          </cell>
          <cell r="F6353" t="str">
            <v>in Stroh et al., 2014 (from: Cheffings &amp; Farrell 2005 or subsequent amendments in Leach 2007, 2010; Leach &amp; Walker 2011, 2013)</v>
          </cell>
          <cell r="G6353" t="str">
            <v>NBNSYS0000002626</v>
          </cell>
          <cell r="H6353" t="str">
            <v>Aira caryophyllea</v>
          </cell>
        </row>
        <row r="6354">
          <cell r="A6354" t="str">
            <v>Aira praecox</v>
          </cell>
          <cell r="B6354" t="str">
            <v>Vascular plants</v>
          </cell>
          <cell r="C6354" t="str">
            <v>Tracheophyta</v>
          </cell>
          <cell r="D6354" t="str">
            <v>Aira praecox</v>
          </cell>
          <cell r="E6354" t="str">
            <v>LC</v>
          </cell>
          <cell r="F6354" t="str">
            <v>in Stroh et al., 2014 (from: Cheffings &amp; Farrell 2005 or subsequent amendments in Leach 2007, 2010; Leach &amp; Walker 2011, 2013)</v>
          </cell>
          <cell r="G6354" t="str">
            <v>NBNSYS0000002625</v>
          </cell>
          <cell r="H6354" t="str">
            <v>Aira praecox</v>
          </cell>
        </row>
        <row r="6355">
          <cell r="A6355" t="str">
            <v>Ajuga chamaepitys</v>
          </cell>
          <cell r="B6355" t="str">
            <v>Vascular plants</v>
          </cell>
          <cell r="C6355" t="str">
            <v>Tracheophyta</v>
          </cell>
          <cell r="D6355" t="str">
            <v>Ajuga chamaepitys</v>
          </cell>
          <cell r="E6355" t="str">
            <v>EN</v>
          </cell>
          <cell r="F6355" t="str">
            <v>in Stroh et al., 2014 (from: Cheffings &amp; Farrell 2005 or subsequent amendments in Leach 2007, 2010; Leach &amp; Walker 2011, 2013)</v>
          </cell>
          <cell r="G6355" t="str">
            <v>NHMSYS0000455713</v>
          </cell>
          <cell r="H6355" t="str">
            <v>Ajuga chamaepitys</v>
          </cell>
        </row>
        <row r="6356">
          <cell r="A6356" t="str">
            <v>Ajuga pyramidalis</v>
          </cell>
          <cell r="B6356" t="str">
            <v>Vascular plants</v>
          </cell>
          <cell r="C6356" t="str">
            <v>Tracheophyta</v>
          </cell>
          <cell r="D6356" t="str">
            <v>Ajuga pyramidalis</v>
          </cell>
          <cell r="E6356" t="str">
            <v>VU</v>
          </cell>
          <cell r="F6356" t="str">
            <v>in Stroh et al., 2014 (from: Cheffings &amp; Farrell 2005 or subsequent amendments in Leach 2007, 2010; Leach &amp; Walker 2011, 2013)</v>
          </cell>
          <cell r="G6356" t="str">
            <v>NBNSYS0000004271</v>
          </cell>
          <cell r="H6356" t="str">
            <v>Ajuga pyramidalis</v>
          </cell>
        </row>
        <row r="6357">
          <cell r="A6357" t="str">
            <v>Ajuga reptans</v>
          </cell>
          <cell r="B6357" t="str">
            <v>Vascular plants</v>
          </cell>
          <cell r="C6357" t="str">
            <v>Tracheophyta</v>
          </cell>
          <cell r="D6357" t="str">
            <v>Ajuga reptans</v>
          </cell>
          <cell r="E6357" t="str">
            <v>LC</v>
          </cell>
          <cell r="F6357" t="str">
            <v>in Stroh et al., 2014 (from: Cheffings &amp; Farrell 2005 or subsequent amendments in Leach 2007, 2010; Leach &amp; Walker 2011, 2013)</v>
          </cell>
          <cell r="G6357" t="str">
            <v>NBNSYS0000004269</v>
          </cell>
          <cell r="H6357" t="str">
            <v>Ajuga reptans</v>
          </cell>
        </row>
        <row r="6358">
          <cell r="A6358" t="str">
            <v>Alchemilla acutiloba</v>
          </cell>
          <cell r="B6358" t="str">
            <v>Vascular plants</v>
          </cell>
          <cell r="C6358" t="str">
            <v>Tracheophyta</v>
          </cell>
          <cell r="D6358" t="str">
            <v>Alchemilla acutiloba</v>
          </cell>
          <cell r="E6358" t="str">
            <v>VU</v>
          </cell>
          <cell r="F6358" t="str">
            <v>in Stroh et al., 2014 (from: Cheffings &amp; Farrell 2005 or subsequent amendments in Leach 2007, 2010; Leach &amp; Walker 2011, 2013)</v>
          </cell>
          <cell r="G6358" t="str">
            <v>NBNSYS0000003378</v>
          </cell>
          <cell r="H6358" t="str">
            <v>Alchemilla acutiloba</v>
          </cell>
        </row>
        <row r="6359">
          <cell r="A6359" t="str">
            <v>Alchemilla alpina</v>
          </cell>
          <cell r="B6359" t="str">
            <v>Vascular plants</v>
          </cell>
          <cell r="C6359" t="str">
            <v>Tracheophyta</v>
          </cell>
          <cell r="D6359" t="str">
            <v>Alchemilla alpina</v>
          </cell>
          <cell r="E6359" t="str">
            <v>LC</v>
          </cell>
          <cell r="F6359" t="str">
            <v>in Stroh et al., 2014 (from: Cheffings &amp; Farrell 2005 or subsequent amendments in Leach 2007, 2010; Leach &amp; Walker 2011, 2013)</v>
          </cell>
          <cell r="G6359" t="str">
            <v>NBNSYS0000003369</v>
          </cell>
          <cell r="H6359" t="str">
            <v>Alchemilla alpina</v>
          </cell>
        </row>
        <row r="6360">
          <cell r="A6360" t="str">
            <v>Alchemilla filicaulis</v>
          </cell>
          <cell r="B6360" t="str">
            <v>Vascular plants</v>
          </cell>
          <cell r="C6360" t="str">
            <v>Tracheophyta</v>
          </cell>
          <cell r="D6360" t="str">
            <v>Alchemilla filicaulis</v>
          </cell>
          <cell r="E6360" t="str">
            <v>LC</v>
          </cell>
          <cell r="F6360" t="str">
            <v>in Stroh et al., 2014 (from: Cheffings &amp; Farrell 2005 or subsequent amendments in Leach 2007, 2010; Leach &amp; Walker 2011, 2013)</v>
          </cell>
          <cell r="G6360" t="str">
            <v>NBNSYS0000034246</v>
          </cell>
          <cell r="H6360" t="str">
            <v>Alchemilla filicaulis</v>
          </cell>
        </row>
        <row r="6361">
          <cell r="A6361" t="str">
            <v>Alchemilla glabra</v>
          </cell>
          <cell r="B6361" t="str">
            <v>Vascular plants</v>
          </cell>
          <cell r="C6361" t="str">
            <v>Tracheophyta</v>
          </cell>
          <cell r="D6361" t="str">
            <v>Alchemilla glabra</v>
          </cell>
          <cell r="E6361" t="str">
            <v>LC</v>
          </cell>
          <cell r="F6361" t="str">
            <v>in Stroh et al., 2014 (from: Cheffings &amp; Farrell 2005 or subsequent amendments in Leach 2007, 2010; Leach &amp; Walker 2011, 2013)</v>
          </cell>
          <cell r="G6361" t="str">
            <v>NHMSYS0000455726</v>
          </cell>
          <cell r="H6361" t="str">
            <v>Alchemilla glabra</v>
          </cell>
        </row>
        <row r="6362">
          <cell r="A6362" t="str">
            <v>Alchemilla glaucescens</v>
          </cell>
          <cell r="B6362" t="str">
            <v>Vascular plants</v>
          </cell>
          <cell r="C6362" t="str">
            <v>Tracheophyta</v>
          </cell>
          <cell r="D6362" t="str">
            <v>Alchemilla glaucescens</v>
          </cell>
          <cell r="E6362" t="str">
            <v>LC</v>
          </cell>
          <cell r="F6362" t="str">
            <v>in Stroh et al., 2014 (from: Cheffings &amp; Farrell 2005 or subsequent amendments in Leach 2007, 2010; Leach &amp; Walker 2011, 2013)</v>
          </cell>
          <cell r="G6362" t="str">
            <v>NBNSYS0000003372</v>
          </cell>
          <cell r="H6362" t="str">
            <v>Alchemilla glaucescens</v>
          </cell>
        </row>
        <row r="6363">
          <cell r="A6363" t="str">
            <v>Alchemilla glomerulans</v>
          </cell>
          <cell r="B6363" t="str">
            <v>Vascular plants</v>
          </cell>
          <cell r="C6363" t="str">
            <v>Tracheophyta</v>
          </cell>
          <cell r="D6363" t="str">
            <v>Alchemilla glomerulans</v>
          </cell>
          <cell r="E6363" t="str">
            <v>VU</v>
          </cell>
          <cell r="F6363" t="str">
            <v>in Stroh et al., 2014 (from: Cheffings &amp; Farrell 2005 or subsequent amendments in Leach 2007, 2010; Leach &amp; Walker 2011, 2013)</v>
          </cell>
          <cell r="G6363" t="str">
            <v>NBNSYS0000003380</v>
          </cell>
          <cell r="H6363" t="str">
            <v>Alchemilla glomerulans</v>
          </cell>
        </row>
        <row r="6364">
          <cell r="A6364" t="str">
            <v>Alchemilla micans</v>
          </cell>
          <cell r="B6364" t="str">
            <v>Vascular plants</v>
          </cell>
          <cell r="C6364" t="str">
            <v>Tracheophyta</v>
          </cell>
          <cell r="D6364" t="str">
            <v>Alchemilla micans</v>
          </cell>
          <cell r="E6364" t="str">
            <v>EN</v>
          </cell>
          <cell r="F6364" t="str">
            <v>in Stroh et al., 2014 (from: Cheffings &amp; Farrell 2005 or subsequent amendments in Leach 2007, 2010; Leach &amp; Walker 2011, 2013)</v>
          </cell>
          <cell r="G6364" t="str">
            <v>NBNSYS0100001449</v>
          </cell>
          <cell r="H6364" t="str">
            <v>Alchemilla micans</v>
          </cell>
        </row>
        <row r="6365">
          <cell r="A6365" t="str">
            <v>Alchemilla monticola</v>
          </cell>
          <cell r="B6365" t="str">
            <v>Vascular plants</v>
          </cell>
          <cell r="C6365" t="str">
            <v>Tracheophyta</v>
          </cell>
          <cell r="D6365" t="str">
            <v>Alchemilla monticola</v>
          </cell>
          <cell r="E6365" t="str">
            <v>EN</v>
          </cell>
          <cell r="F6365" t="str">
            <v>in Stroh et al., 2014 (from: Cheffings &amp; Farrell 2005 or subsequent amendments in Leach 2007, 2010; Leach &amp; Walker 2011, 2013)</v>
          </cell>
          <cell r="G6365" t="str">
            <v>NBNSYS0000003377</v>
          </cell>
          <cell r="H6365" t="str">
            <v>Alchemilla monticola</v>
          </cell>
        </row>
        <row r="6366">
          <cell r="A6366" t="str">
            <v>Alchemilla subcrenata</v>
          </cell>
          <cell r="B6366" t="str">
            <v>Vascular plants</v>
          </cell>
          <cell r="C6366" t="str">
            <v>Tracheophyta</v>
          </cell>
          <cell r="D6366" t="str">
            <v>Alchemilla subcrenata</v>
          </cell>
          <cell r="E6366" t="str">
            <v>EN</v>
          </cell>
          <cell r="F6366" t="str">
            <v>in Stroh et al., 2014 (from: Cheffings &amp; Farrell 2005 or subsequent amendments in Leach 2007, 2010; Leach &amp; Walker 2011, 2013)</v>
          </cell>
          <cell r="G6366" t="str">
            <v>NBNSYS0000003375</v>
          </cell>
          <cell r="H6366" t="str">
            <v>Alchemilla subcrenata</v>
          </cell>
        </row>
        <row r="6367">
          <cell r="A6367" t="str">
            <v>Alchemilla wichurae</v>
          </cell>
          <cell r="B6367" t="str">
            <v>Vascular plants</v>
          </cell>
          <cell r="C6367" t="str">
            <v>Tracheophyta</v>
          </cell>
          <cell r="D6367" t="str">
            <v>Alchemilla wichurae</v>
          </cell>
          <cell r="E6367" t="str">
            <v>EN</v>
          </cell>
          <cell r="F6367" t="str">
            <v>in Stroh et al., 2014 (from: Cheffings &amp; Farrell 2005 or subsequent amendments in Leach 2007, 2010; Leach &amp; Walker 2011, 2013)</v>
          </cell>
          <cell r="G6367" t="str">
            <v>NHMSYS0000455738</v>
          </cell>
          <cell r="H6367" t="str">
            <v>Alchemilla wichurae</v>
          </cell>
        </row>
        <row r="6368">
          <cell r="A6368" t="str">
            <v>Alchemilla xanthochlora</v>
          </cell>
          <cell r="B6368" t="str">
            <v>Vascular plants</v>
          </cell>
          <cell r="C6368" t="str">
            <v>Tracheophyta</v>
          </cell>
          <cell r="D6368" t="str">
            <v>Alchemilla xanthochlora</v>
          </cell>
          <cell r="E6368" t="str">
            <v>LC</v>
          </cell>
          <cell r="F6368" t="str">
            <v>in Stroh et al., 2014 (from: Cheffings &amp; Farrell 2005 or subsequent amendments in Leach 2007, 2010; Leach &amp; Walker 2011, 2013)</v>
          </cell>
          <cell r="G6368" t="str">
            <v>NBNSYS0000003379</v>
          </cell>
          <cell r="H6368" t="str">
            <v>Alchemilla xanthochlora</v>
          </cell>
        </row>
        <row r="6369">
          <cell r="A6369" t="str">
            <v>Alisma gramineum</v>
          </cell>
          <cell r="B6369" t="str">
            <v>Vascular plants</v>
          </cell>
          <cell r="C6369" t="str">
            <v>Tracheophyta</v>
          </cell>
          <cell r="D6369" t="str">
            <v>Alisma gramineum</v>
          </cell>
          <cell r="E6369" t="str">
            <v>CR</v>
          </cell>
          <cell r="F6369" t="str">
            <v>in Stroh et al., 2014 (from: Cheffings &amp; Farrell 2005 or subsequent amendments in Leach 2007, 2010; Leach &amp; Walker 2011, 2013)</v>
          </cell>
          <cell r="G6369" t="str">
            <v>NBNSYS0000002103</v>
          </cell>
          <cell r="H6369" t="str">
            <v>Alisma gramineum</v>
          </cell>
        </row>
        <row r="6370">
          <cell r="A6370" t="str">
            <v>Alisma lanceolatum</v>
          </cell>
          <cell r="B6370" t="str">
            <v>Vascular plants</v>
          </cell>
          <cell r="C6370" t="str">
            <v>Tracheophyta</v>
          </cell>
          <cell r="D6370" t="str">
            <v>Alisma lanceolatum</v>
          </cell>
          <cell r="E6370" t="str">
            <v>LC</v>
          </cell>
          <cell r="F6370" t="str">
            <v>in Stroh et al., 2014 (from: Cheffings &amp; Farrell 2005 or subsequent amendments in Leach 2007, 2010; Leach &amp; Walker 2011, 2013)</v>
          </cell>
          <cell r="G6370" t="str">
            <v>NBNSYS0000002102</v>
          </cell>
          <cell r="H6370" t="str">
            <v>Alisma lanceolatum</v>
          </cell>
        </row>
        <row r="6371">
          <cell r="A6371" t="str">
            <v>Alisma plantago-aquatica</v>
          </cell>
          <cell r="B6371" t="str">
            <v>Vascular plants</v>
          </cell>
          <cell r="C6371" t="str">
            <v>Tracheophyta</v>
          </cell>
          <cell r="D6371" t="str">
            <v>Alisma plantago-aquatica</v>
          </cell>
          <cell r="E6371" t="str">
            <v>LC</v>
          </cell>
          <cell r="F6371" t="str">
            <v>in Stroh et al., 2014 (from: Cheffings &amp; Farrell 2005 or subsequent amendments in Leach 2007, 2010; Leach &amp; Walker 2011, 2013)</v>
          </cell>
          <cell r="G6371" t="str">
            <v>NBNSYS0000002101</v>
          </cell>
          <cell r="H6371" t="str">
            <v>Alisma plantago-aquatica</v>
          </cell>
        </row>
        <row r="6372">
          <cell r="A6372" t="str">
            <v>Alliaria petiolata</v>
          </cell>
          <cell r="B6372" t="str">
            <v>Vascular plants</v>
          </cell>
          <cell r="C6372" t="str">
            <v>Tracheophyta</v>
          </cell>
          <cell r="D6372" t="str">
            <v>Alliaria petiolata</v>
          </cell>
          <cell r="E6372" t="str">
            <v>LC</v>
          </cell>
          <cell r="F6372" t="str">
            <v>in Stroh et al., 2014 (from: Cheffings &amp; Farrell 2005 or subsequent amendments in Leach 2007, 2010; Leach &amp; Walker 2011, 2013)</v>
          </cell>
          <cell r="G6372" t="str">
            <v>NHMSYS0000455754</v>
          </cell>
          <cell r="H6372" t="str">
            <v>Alliaria petiolata</v>
          </cell>
        </row>
        <row r="6373">
          <cell r="A6373" t="str">
            <v>Allium oleraceum</v>
          </cell>
          <cell r="B6373" t="str">
            <v>Vascular plants</v>
          </cell>
          <cell r="C6373" t="str">
            <v>Tracheophyta</v>
          </cell>
          <cell r="D6373" t="str">
            <v>Allium oleraceum</v>
          </cell>
          <cell r="E6373" t="str">
            <v>VU</v>
          </cell>
          <cell r="F6373" t="str">
            <v>in Stroh et al., 2014 (from: Cheffings &amp; Farrell 2005 or subsequent amendments in Leach 2007, 2010; Leach &amp; Walker 2011, 2013)</v>
          </cell>
          <cell r="G6373" t="str">
            <v>NBNSYS0000002197</v>
          </cell>
          <cell r="H6373" t="str">
            <v>Allium oleraceum</v>
          </cell>
        </row>
        <row r="6374">
          <cell r="A6374" t="str">
            <v>Allium schoenoprasum</v>
          </cell>
          <cell r="B6374" t="str">
            <v>Vascular plants</v>
          </cell>
          <cell r="C6374" t="str">
            <v>Tracheophyta</v>
          </cell>
          <cell r="D6374" t="str">
            <v>Allium schoenoprasum</v>
          </cell>
          <cell r="E6374" t="str">
            <v>LC</v>
          </cell>
          <cell r="F6374" t="str">
            <v>in Stroh et al., 2014 (from: Cheffings &amp; Farrell 2005 or subsequent amendments in Leach 2007, 2010; Leach &amp; Walker 2011, 2013)</v>
          </cell>
          <cell r="G6374" t="str">
            <v>NBNSYS0000002199</v>
          </cell>
          <cell r="H6374" t="str">
            <v>Allium schoenoprasum</v>
          </cell>
        </row>
        <row r="6375">
          <cell r="A6375" t="str">
            <v>Allium scorodoprasum</v>
          </cell>
          <cell r="B6375" t="str">
            <v>Vascular plants</v>
          </cell>
          <cell r="C6375" t="str">
            <v>Tracheophyta</v>
          </cell>
          <cell r="D6375" t="str">
            <v>Allium scorodoprasum</v>
          </cell>
          <cell r="E6375" t="str">
            <v>LC</v>
          </cell>
          <cell r="F6375" t="str">
            <v>in Stroh et al., 2014 (from: Cheffings &amp; Farrell 2005 or subsequent amendments in Leach 2007, 2010; Leach &amp; Walker 2011, 2013)</v>
          </cell>
          <cell r="G6375" t="str">
            <v>NBNSYS0000002194</v>
          </cell>
          <cell r="H6375" t="str">
            <v>Allium scorodoprasum</v>
          </cell>
        </row>
        <row r="6376">
          <cell r="A6376" t="str">
            <v>Allium sphaerocephalon</v>
          </cell>
          <cell r="B6376" t="str">
            <v>Vascular plants</v>
          </cell>
          <cell r="C6376" t="str">
            <v>Tracheophyta</v>
          </cell>
          <cell r="D6376" t="str">
            <v>Allium sphaerocephalon</v>
          </cell>
          <cell r="E6376" t="str">
            <v>VU</v>
          </cell>
          <cell r="F6376" t="str">
            <v>in Stroh et al., 2014 (from: Cheffings &amp; Farrell 2005 or subsequent amendments in Leach 2007, 2010; Leach &amp; Walker 2011, 2013)</v>
          </cell>
          <cell r="G6376" t="str">
            <v>NBNSYS0000002195</v>
          </cell>
          <cell r="H6376" t="str">
            <v>Allium sphaerocephalon</v>
          </cell>
        </row>
        <row r="6377">
          <cell r="A6377" t="str">
            <v>Allium ursinum</v>
          </cell>
          <cell r="B6377" t="str">
            <v>Vascular plants</v>
          </cell>
          <cell r="C6377" t="str">
            <v>Tracheophyta</v>
          </cell>
          <cell r="D6377" t="str">
            <v>Allium ursinum</v>
          </cell>
          <cell r="E6377" t="str">
            <v>LC</v>
          </cell>
          <cell r="F6377" t="str">
            <v>in Stroh et al., 2014 (from: Cheffings &amp; Farrell 2005 or subsequent amendments in Leach 2007, 2010; Leach &amp; Walker 2011, 2013)</v>
          </cell>
          <cell r="G6377" t="str">
            <v>NBNSYS0000002205</v>
          </cell>
          <cell r="H6377" t="str">
            <v>Allium ursinum</v>
          </cell>
        </row>
        <row r="6378">
          <cell r="A6378" t="str">
            <v>Allium vineale</v>
          </cell>
          <cell r="B6378" t="str">
            <v>Vascular plants</v>
          </cell>
          <cell r="C6378" t="str">
            <v>Tracheophyta</v>
          </cell>
          <cell r="D6378" t="str">
            <v>Allium vineale</v>
          </cell>
          <cell r="E6378" t="str">
            <v>LC</v>
          </cell>
          <cell r="F6378" t="str">
            <v>in Stroh et al., 2014 (from: Cheffings &amp; Farrell 2005 or subsequent amendments in Leach 2007, 2010; Leach &amp; Walker 2011, 2013)</v>
          </cell>
          <cell r="G6378" t="str">
            <v>NBNSYS0000002196</v>
          </cell>
          <cell r="H6378" t="str">
            <v>Allium vineale</v>
          </cell>
        </row>
        <row r="6379">
          <cell r="A6379" t="str">
            <v>Alnus glutinosa</v>
          </cell>
          <cell r="B6379" t="str">
            <v>Vascular plants</v>
          </cell>
          <cell r="C6379" t="str">
            <v>Tracheophyta</v>
          </cell>
          <cell r="D6379" t="str">
            <v>Alnus glutinosa</v>
          </cell>
          <cell r="E6379" t="str">
            <v>LC</v>
          </cell>
          <cell r="F6379" t="str">
            <v>in Stroh et al., 2014 (from: Cheffings &amp; Farrell 2005 or subsequent amendments in Leach 2007, 2010; Leach &amp; Walker 2011, 2013)</v>
          </cell>
          <cell r="G6379" t="str">
            <v>NHMSYS0000455771</v>
          </cell>
          <cell r="H6379" t="str">
            <v>Alnus glutinosa</v>
          </cell>
        </row>
        <row r="6380">
          <cell r="A6380" t="str">
            <v>Alopecurus aequalis</v>
          </cell>
          <cell r="B6380" t="str">
            <v>Vascular plants</v>
          </cell>
          <cell r="C6380" t="str">
            <v>Tracheophyta</v>
          </cell>
          <cell r="D6380" t="str">
            <v>Alopecurus aequalis</v>
          </cell>
          <cell r="E6380" t="str">
            <v>LC</v>
          </cell>
          <cell r="F6380" t="str">
            <v>in Stroh et al., 2014 (from: Cheffings &amp; Farrell 2005 or subsequent amendments in Leach 2007, 2010; Leach &amp; Walker 2011, 2013)</v>
          </cell>
          <cell r="G6380" t="str">
            <v>NBNSYS0000002659</v>
          </cell>
          <cell r="H6380" t="str">
            <v>Alopecurus aequalis</v>
          </cell>
        </row>
        <row r="6381">
          <cell r="A6381" t="str">
            <v>Alopecurus bulbosus</v>
          </cell>
          <cell r="B6381" t="str">
            <v>Vascular plants</v>
          </cell>
          <cell r="C6381" t="str">
            <v>Tracheophyta</v>
          </cell>
          <cell r="D6381" t="str">
            <v>Alopecurus bulbosus</v>
          </cell>
          <cell r="E6381" t="str">
            <v>LC</v>
          </cell>
          <cell r="F6381" t="str">
            <v>in Stroh et al., 2014 (from: Cheffings &amp; Farrell 2005 or subsequent amendments in Leach 2007, 2010; Leach &amp; Walker 2011, 2013)</v>
          </cell>
          <cell r="G6381" t="str">
            <v>NBNSYS0000002661</v>
          </cell>
          <cell r="H6381" t="str">
            <v>Alopecurus bulbosus</v>
          </cell>
        </row>
        <row r="6382">
          <cell r="A6382" t="str">
            <v>Alopecurus geniculatus</v>
          </cell>
          <cell r="B6382" t="str">
            <v>Vascular plants</v>
          </cell>
          <cell r="C6382" t="str">
            <v>Tracheophyta</v>
          </cell>
          <cell r="D6382" t="str">
            <v>Alopecurus geniculatus</v>
          </cell>
          <cell r="E6382" t="str">
            <v>LC</v>
          </cell>
          <cell r="F6382" t="str">
            <v>in Stroh et al., 2014 (from: Cheffings &amp; Farrell 2005 or subsequent amendments in Leach 2007, 2010; Leach &amp; Walker 2011, 2013)</v>
          </cell>
          <cell r="G6382" t="str">
            <v>NBNSYS0000002657</v>
          </cell>
          <cell r="H6382" t="str">
            <v>Alopecurus geniculatus</v>
          </cell>
        </row>
        <row r="6383">
          <cell r="A6383" t="str">
            <v>Alopecurus magellanicus</v>
          </cell>
          <cell r="B6383" t="str">
            <v>Vascular plants</v>
          </cell>
          <cell r="C6383" t="str">
            <v>Tracheophyta</v>
          </cell>
          <cell r="D6383" t="str">
            <v>Alopecurus magellanicus</v>
          </cell>
          <cell r="E6383" t="str">
            <v>LC</v>
          </cell>
          <cell r="F6383" t="str">
            <v>in Stroh et al., 2014 (from: Cheffings &amp; Farrell 2005 or subsequent amendments in Leach 2007, 2010; Leach &amp; Walker 2011, 2013)</v>
          </cell>
          <cell r="G6383" t="str">
            <v>NBNSYS0200001716</v>
          </cell>
          <cell r="H6383" t="str">
            <v>Alopecurus magellanicus</v>
          </cell>
        </row>
        <row r="6384">
          <cell r="A6384" t="str">
            <v>Alopecurus pratensis</v>
          </cell>
          <cell r="B6384" t="str">
            <v>Vascular plants</v>
          </cell>
          <cell r="C6384" t="str">
            <v>Tracheophyta</v>
          </cell>
          <cell r="D6384" t="str">
            <v>Alopecurus pratensis</v>
          </cell>
          <cell r="E6384" t="str">
            <v>LC</v>
          </cell>
          <cell r="F6384" t="str">
            <v>in Stroh et al., 2014 (from: Cheffings &amp; Farrell 2005 or subsequent amendments in Leach 2007, 2010; Leach &amp; Walker 2011, 2013)</v>
          </cell>
          <cell r="G6384" t="str">
            <v>NBNSYS0000002656</v>
          </cell>
          <cell r="H6384" t="str">
            <v>Alopecurus pratensis</v>
          </cell>
        </row>
        <row r="6385">
          <cell r="A6385" t="str">
            <v>Althaea officinalis</v>
          </cell>
          <cell r="B6385" t="str">
            <v>Vascular plants</v>
          </cell>
          <cell r="C6385" t="str">
            <v>Tracheophyta</v>
          </cell>
          <cell r="D6385" t="str">
            <v>Althaea officinalis</v>
          </cell>
          <cell r="E6385" t="str">
            <v>LC</v>
          </cell>
          <cell r="F6385" t="str">
            <v>in Stroh et al., 2014 (from: Cheffings &amp; Farrell 2005 or subsequent amendments in Leach 2007, 2010; Leach &amp; Walker 2011, 2013)</v>
          </cell>
          <cell r="G6385" t="str">
            <v>NBNSYS0000003139</v>
          </cell>
          <cell r="H6385" t="str">
            <v>Althaea officinalis</v>
          </cell>
        </row>
        <row r="6386">
          <cell r="A6386" t="str">
            <v>Ammophila arenaria</v>
          </cell>
          <cell r="B6386" t="str">
            <v>Vascular plants</v>
          </cell>
          <cell r="C6386" t="str">
            <v>Tracheophyta</v>
          </cell>
          <cell r="D6386" t="str">
            <v>Ammophila arenaria</v>
          </cell>
          <cell r="E6386" t="str">
            <v>LC</v>
          </cell>
          <cell r="F6386" t="str">
            <v>in Stroh et al., 2014 (from: Cheffings &amp; Farrell 2005 or subsequent amendments in Leach 2007, 2010; Leach &amp; Walker 2011, 2013)</v>
          </cell>
          <cell r="G6386" t="str">
            <v>NBNSYS0000002629</v>
          </cell>
          <cell r="H6386" t="str">
            <v>Ammophila arenaria</v>
          </cell>
        </row>
        <row r="6387">
          <cell r="A6387" t="str">
            <v>Anacamptis morio</v>
          </cell>
          <cell r="B6387" t="str">
            <v>Vascular plants</v>
          </cell>
          <cell r="C6387" t="str">
            <v>Tracheophyta</v>
          </cell>
          <cell r="D6387" t="str">
            <v>Anacamptis morio</v>
          </cell>
          <cell r="E6387" t="str">
            <v>NT</v>
          </cell>
          <cell r="F6387" t="str">
            <v>in Stroh et al., 2014 (from: Cheffings &amp; Farrell 2005 or subsequent amendments in Leach 2007, 2010; Leach &amp; Walker 2011, 2013)</v>
          </cell>
          <cell r="G6387" t="str">
            <v>NHMSYS0000455893</v>
          </cell>
          <cell r="H6387" t="str">
            <v>Anacamptis morio</v>
          </cell>
        </row>
        <row r="6388">
          <cell r="A6388" t="str">
            <v>Anacamptis pyramidalis</v>
          </cell>
          <cell r="B6388" t="str">
            <v>Vascular plants</v>
          </cell>
          <cell r="C6388" t="str">
            <v>Tracheophyta</v>
          </cell>
          <cell r="D6388" t="str">
            <v>Anacamptis pyramidalis</v>
          </cell>
          <cell r="E6388" t="str">
            <v>LC</v>
          </cell>
          <cell r="F6388" t="str">
            <v>in Stroh et al., 2014 (from: Cheffings &amp; Farrell 2005 or subsequent amendments in Leach 2007, 2010; Leach &amp; Walker 2011, 2013)</v>
          </cell>
          <cell r="G6388" t="str">
            <v>NBNSYS0000002347</v>
          </cell>
          <cell r="H6388" t="str">
            <v>Anacamptis pyramidalis</v>
          </cell>
        </row>
        <row r="6389">
          <cell r="A6389" t="str">
            <v>Anagallis arvensis</v>
          </cell>
          <cell r="B6389" t="str">
            <v>Vascular plants</v>
          </cell>
          <cell r="C6389" t="str">
            <v>Tracheophyta</v>
          </cell>
          <cell r="D6389" t="str">
            <v>Anagallis arvensis</v>
          </cell>
          <cell r="E6389" t="str">
            <v>LC</v>
          </cell>
          <cell r="F6389" t="str">
            <v>in Stroh et al., 2014 (from: Cheffings &amp; Farrell 2005 or subsequent amendments in Leach 2007, 2010; Leach &amp; Walker 2011, 2013)</v>
          </cell>
          <cell r="G6389" t="str">
            <v>NBNSYS0000003943</v>
          </cell>
          <cell r="H6389" t="str">
            <v>Anagallis arvensis</v>
          </cell>
        </row>
        <row r="6390">
          <cell r="A6390" t="str">
            <v>Anagallis tenella</v>
          </cell>
          <cell r="B6390" t="str">
            <v>Vascular plants</v>
          </cell>
          <cell r="C6390" t="str">
            <v>Tracheophyta</v>
          </cell>
          <cell r="D6390" t="str">
            <v>Anagallis tenella</v>
          </cell>
          <cell r="E6390" t="str">
            <v>LC</v>
          </cell>
          <cell r="F6390" t="str">
            <v>in Stroh et al., 2014 (from: Cheffings &amp; Farrell 2005 or subsequent amendments in Leach 2007, 2010; Leach &amp; Walker 2011, 2013)</v>
          </cell>
          <cell r="G6390" t="str">
            <v>NBNSYS0000003942</v>
          </cell>
          <cell r="H6390" t="str">
            <v>Anagallis tenella</v>
          </cell>
        </row>
        <row r="6391">
          <cell r="A6391" t="str">
            <v>Andromeda polifolia</v>
          </cell>
          <cell r="B6391" t="str">
            <v>Vascular plants</v>
          </cell>
          <cell r="C6391" t="str">
            <v>Tracheophyta</v>
          </cell>
          <cell r="D6391" t="str">
            <v>Andromeda polifolia</v>
          </cell>
          <cell r="E6391" t="str">
            <v>LC</v>
          </cell>
          <cell r="F6391" t="str">
            <v>in Stroh et al., 2014 (from: Cheffings &amp; Farrell 2005 or subsequent amendments in Leach 2007, 2010; Leach &amp; Walker 2011, 2013)</v>
          </cell>
          <cell r="G6391" t="str">
            <v>NBNSYS0000003895</v>
          </cell>
          <cell r="H6391" t="str">
            <v>Andromeda polifolia</v>
          </cell>
        </row>
        <row r="6392">
          <cell r="A6392" t="str">
            <v>Anemone nemorosa</v>
          </cell>
          <cell r="B6392" t="str">
            <v>Vascular plants</v>
          </cell>
          <cell r="C6392" t="str">
            <v>Tracheophyta</v>
          </cell>
          <cell r="D6392" t="str">
            <v>Anemone nemorosa</v>
          </cell>
          <cell r="E6392" t="str">
            <v>LC</v>
          </cell>
          <cell r="F6392" t="str">
            <v>in Stroh et al., 2014 (from: Cheffings &amp; Farrell 2005 or subsequent amendments in Leach 2007, 2010; Leach &amp; Walker 2011, 2013)</v>
          </cell>
          <cell r="G6392" t="str">
            <v>NBNSYS0000002700</v>
          </cell>
          <cell r="H6392" t="str">
            <v>Anemone nemorosa</v>
          </cell>
        </row>
        <row r="6393">
          <cell r="A6393" t="str">
            <v>Angelica sylvestris</v>
          </cell>
          <cell r="B6393" t="str">
            <v>Vascular plants</v>
          </cell>
          <cell r="C6393" t="str">
            <v>Tracheophyta</v>
          </cell>
          <cell r="D6393" t="str">
            <v>Angelica sylvestris</v>
          </cell>
          <cell r="E6393" t="str">
            <v>LC</v>
          </cell>
          <cell r="F6393" t="str">
            <v>in Stroh et al., 2014 (from: Cheffings &amp; Farrell 2005 or subsequent amendments in Leach 2007, 2010; Leach &amp; Walker 2011, 2013)</v>
          </cell>
          <cell r="G6393" t="str">
            <v>NBNSYS0000003703</v>
          </cell>
          <cell r="H6393" t="str">
            <v>Angelica sylvestris</v>
          </cell>
        </row>
        <row r="6394">
          <cell r="A6394" t="str">
            <v>Antennaria dioica</v>
          </cell>
          <cell r="B6394" t="str">
            <v>Vascular plants</v>
          </cell>
          <cell r="C6394" t="str">
            <v>Tracheophyta</v>
          </cell>
          <cell r="D6394" t="str">
            <v>Antennaria dioica</v>
          </cell>
          <cell r="E6394" t="str">
            <v>LC</v>
          </cell>
          <cell r="F6394" t="str">
            <v>in Stroh et al., 2014 (from: Cheffings &amp; Farrell 2005 or subsequent amendments in Leach 2007, 2010; Leach &amp; Walker 2011, 2013)</v>
          </cell>
          <cell r="G6394" t="str">
            <v>NHMSYS0000455950</v>
          </cell>
          <cell r="H6394" t="str">
            <v>Antennaria dioica</v>
          </cell>
        </row>
        <row r="6395">
          <cell r="A6395" t="str">
            <v>Anthoxanthum odoratum</v>
          </cell>
          <cell r="B6395" t="str">
            <v>Vascular plants</v>
          </cell>
          <cell r="C6395" t="str">
            <v>Tracheophyta</v>
          </cell>
          <cell r="D6395" t="str">
            <v>Anthoxanthum odoratum</v>
          </cell>
          <cell r="E6395" t="str">
            <v>LC</v>
          </cell>
          <cell r="F6395" t="str">
            <v>in Stroh et al., 2014 (from: Cheffings &amp; Farrell 2005 or subsequent amendments in Leach 2007, 2010; Leach &amp; Walker 2011, 2013)</v>
          </cell>
          <cell r="G6395" t="str">
            <v>NBNSYS0000002667</v>
          </cell>
          <cell r="H6395" t="str">
            <v>Anthoxanthum odoratum</v>
          </cell>
        </row>
        <row r="6396">
          <cell r="A6396" t="str">
            <v>Anthriscus caucalis</v>
          </cell>
          <cell r="B6396" t="str">
            <v>Vascular plants</v>
          </cell>
          <cell r="C6396" t="str">
            <v>Tracheophyta</v>
          </cell>
          <cell r="D6396" t="str">
            <v>Anthriscus caucalis</v>
          </cell>
          <cell r="E6396" t="str">
            <v>LC</v>
          </cell>
          <cell r="F6396" t="str">
            <v>in Stroh et al., 2014 (from: Cheffings &amp; Farrell 2005 or subsequent amendments in Leach 2007, 2010; Leach &amp; Walker 2011, 2013)</v>
          </cell>
          <cell r="G6396" t="str">
            <v>NHMSYS0000455967</v>
          </cell>
          <cell r="H6396" t="str">
            <v>Anthriscus caucalis</v>
          </cell>
        </row>
        <row r="6397">
          <cell r="A6397" t="str">
            <v>Anthriscus sylvestris</v>
          </cell>
          <cell r="B6397" t="str">
            <v>Vascular plants</v>
          </cell>
          <cell r="C6397" t="str">
            <v>Tracheophyta</v>
          </cell>
          <cell r="D6397" t="str">
            <v>Anthriscus sylvestris</v>
          </cell>
          <cell r="E6397" t="str">
            <v>LC</v>
          </cell>
          <cell r="F6397" t="str">
            <v>in Stroh et al., 2014 (from: Cheffings &amp; Farrell 2005 or subsequent amendments in Leach 2007, 2010; Leach &amp; Walker 2011, 2013)</v>
          </cell>
          <cell r="G6397" t="str">
            <v>NBNSYS0000003641</v>
          </cell>
          <cell r="H6397" t="str">
            <v>Anthriscus sylvestris</v>
          </cell>
        </row>
        <row r="6398">
          <cell r="A6398" t="str">
            <v>Anthyllis vulneraria</v>
          </cell>
          <cell r="B6398" t="str">
            <v>Vascular plants</v>
          </cell>
          <cell r="C6398" t="str">
            <v>Tracheophyta</v>
          </cell>
          <cell r="D6398" t="str">
            <v>Anthyllis vulneraria</v>
          </cell>
          <cell r="E6398" t="str">
            <v>LC</v>
          </cell>
          <cell r="F6398" t="str">
            <v>in Stroh et al., 2014 (from: Cheffings &amp; Farrell 2005 or subsequent amendments in Leach 2007, 2010; Leach &amp; Walker 2011, 2013)</v>
          </cell>
          <cell r="G6398" t="str">
            <v>NBNSYS0000003255</v>
          </cell>
          <cell r="H6398" t="str">
            <v>Anthyllis vulneraria</v>
          </cell>
        </row>
        <row r="6399">
          <cell r="A6399" t="str">
            <v>Aphanes arvensis</v>
          </cell>
          <cell r="B6399" t="str">
            <v>Vascular plants</v>
          </cell>
          <cell r="C6399" t="str">
            <v>Tracheophyta</v>
          </cell>
          <cell r="D6399" t="str">
            <v>Aphanes arvensis</v>
          </cell>
          <cell r="E6399" t="str">
            <v>LC</v>
          </cell>
          <cell r="F6399" t="str">
            <v>in Stroh et al., 2014 (from: Cheffings &amp; Farrell 2005 or subsequent amendments in Leach 2007, 2010; Leach &amp; Walker 2011, 2013)</v>
          </cell>
          <cell r="G6399" t="str">
            <v>NBNSYS0000141953</v>
          </cell>
          <cell r="H6399" t="str">
            <v>Aphanes arvensis</v>
          </cell>
        </row>
        <row r="6400">
          <cell r="A6400" t="str">
            <v>Aphanes australis</v>
          </cell>
          <cell r="B6400" t="str">
            <v>Vascular plants</v>
          </cell>
          <cell r="C6400" t="str">
            <v>Tracheophyta</v>
          </cell>
          <cell r="D6400" t="str">
            <v>Aphanes australis</v>
          </cell>
          <cell r="E6400" t="str">
            <v>LC</v>
          </cell>
          <cell r="F6400" t="str">
            <v>in Stroh et al., 2014 (from: Cheffings &amp; Farrell 2005 or subsequent amendments in Leach 2007, 2010; Leach &amp; Walker 2011, 2013)</v>
          </cell>
          <cell r="G6400" t="str">
            <v>NBNSYS0100001604</v>
          </cell>
          <cell r="H6400" t="str">
            <v>Aphanes australis</v>
          </cell>
        </row>
        <row r="6401">
          <cell r="A6401" t="str">
            <v>Apium graveolens</v>
          </cell>
          <cell r="B6401" t="str">
            <v>Vascular plants</v>
          </cell>
          <cell r="C6401" t="str">
            <v>Tracheophyta</v>
          </cell>
          <cell r="D6401" t="str">
            <v>Apium graveolens</v>
          </cell>
          <cell r="E6401" t="str">
            <v>LC</v>
          </cell>
          <cell r="F6401" t="str">
            <v>in Stroh et al., 2014 (from: Cheffings &amp; Farrell 2005 or subsequent amendments in Leach 2007, 2010; Leach &amp; Walker 2011, 2013)</v>
          </cell>
          <cell r="G6401" t="str">
            <v>NBNSYS0000003663</v>
          </cell>
          <cell r="H6401" t="str">
            <v>Apium graveolens</v>
          </cell>
        </row>
        <row r="6402">
          <cell r="A6402" t="str">
            <v>Apium inundatum</v>
          </cell>
          <cell r="B6402" t="str">
            <v>Vascular plants</v>
          </cell>
          <cell r="C6402" t="str">
            <v>Tracheophyta</v>
          </cell>
          <cell r="D6402" t="str">
            <v>Apium inundatum</v>
          </cell>
          <cell r="E6402" t="str">
            <v>LC</v>
          </cell>
          <cell r="F6402" t="str">
            <v>in Stroh et al., 2014 (from: Cheffings &amp; Farrell 2005 or subsequent amendments in Leach 2007, 2010; Leach &amp; Walker 2011, 2013)</v>
          </cell>
          <cell r="G6402" t="str">
            <v>NHMSYS0000455995</v>
          </cell>
          <cell r="H6402" t="str">
            <v>Apium inundatum</v>
          </cell>
        </row>
        <row r="6403">
          <cell r="A6403" t="str">
            <v>Apium nodiflorum</v>
          </cell>
          <cell r="B6403" t="str">
            <v>Vascular plants</v>
          </cell>
          <cell r="C6403" t="str">
            <v>Tracheophyta</v>
          </cell>
          <cell r="D6403" t="str">
            <v>Apium nodiflorum</v>
          </cell>
          <cell r="E6403" t="str">
            <v>LC</v>
          </cell>
          <cell r="F6403" t="str">
            <v>in Stroh et al., 2014 (from: Cheffings &amp; Farrell 2005 or subsequent amendments in Leach 2007, 2010; Leach &amp; Walker 2011, 2013)</v>
          </cell>
          <cell r="G6403" t="str">
            <v>NBNSYS0000003666</v>
          </cell>
          <cell r="H6403" t="str">
            <v>Apium nodiflorum</v>
          </cell>
        </row>
        <row r="6404">
          <cell r="A6404" t="str">
            <v>Apium repens</v>
          </cell>
          <cell r="B6404" t="str">
            <v>Vascular plants</v>
          </cell>
          <cell r="C6404" t="str">
            <v>Tracheophyta</v>
          </cell>
          <cell r="D6404" t="str">
            <v>Apium repens</v>
          </cell>
          <cell r="E6404" t="str">
            <v>VU</v>
          </cell>
          <cell r="F6404" t="str">
            <v>in Stroh et al., 2014 (from: Cheffings &amp; Farrell 2005 or subsequent amendments in Leach 2007, 2010; Leach &amp; Walker 2011, 2013)</v>
          </cell>
          <cell r="G6404" t="str">
            <v>NBNSYS0000003668</v>
          </cell>
          <cell r="H6404" t="str">
            <v>Apium repens</v>
          </cell>
        </row>
        <row r="6405">
          <cell r="A6405" t="str">
            <v>Aquilegia vulgaris</v>
          </cell>
          <cell r="B6405" t="str">
            <v>Vascular plants</v>
          </cell>
          <cell r="C6405" t="str">
            <v>Tracheophyta</v>
          </cell>
          <cell r="D6405" t="str">
            <v>Aquilegia vulgaris</v>
          </cell>
          <cell r="E6405" t="str">
            <v>LC</v>
          </cell>
          <cell r="F6405" t="str">
            <v>in Stroh et al., 2014 (from: Cheffings &amp; Farrell 2005 or subsequent amendments in Leach 2007, 2010; Leach &amp; Walker 2011, 2013)</v>
          </cell>
          <cell r="G6405" t="str">
            <v>NBNSYS0000002742</v>
          </cell>
          <cell r="H6405" t="str">
            <v>Aquilegia vulgaris</v>
          </cell>
        </row>
        <row r="6406">
          <cell r="A6406" t="str">
            <v>Arabidopsis thaliana</v>
          </cell>
          <cell r="B6406" t="str">
            <v>Vascular plants</v>
          </cell>
          <cell r="C6406" t="str">
            <v>Tracheophyta</v>
          </cell>
          <cell r="D6406" t="str">
            <v>Arabidopsis thaliana</v>
          </cell>
          <cell r="E6406" t="str">
            <v>LC</v>
          </cell>
          <cell r="F6406" t="str">
            <v>in Stroh et al., 2014 (from: Cheffings &amp; Farrell 2005 or subsequent amendments in Leach 2007, 2010; Leach &amp; Walker 2011, 2013)</v>
          </cell>
          <cell r="G6406" t="str">
            <v>NBNSYS0000002913</v>
          </cell>
          <cell r="H6406" t="str">
            <v>Arabidopsis thaliana</v>
          </cell>
        </row>
        <row r="6407">
          <cell r="A6407" t="str">
            <v>Arabis hirsuta</v>
          </cell>
          <cell r="B6407" t="str">
            <v>Vascular plants</v>
          </cell>
          <cell r="C6407" t="str">
            <v>Tracheophyta</v>
          </cell>
          <cell r="D6407" t="str">
            <v>Arabis hirsuta</v>
          </cell>
          <cell r="E6407" t="str">
            <v>LC</v>
          </cell>
          <cell r="F6407" t="str">
            <v>in Stroh et al., 2014 (from: Cheffings &amp; Farrell 2005 or subsequent amendments in Leach 2007, 2010; Leach &amp; Walker 2011, 2013)</v>
          </cell>
          <cell r="G6407" t="str">
            <v>NBNSYS0000002889</v>
          </cell>
          <cell r="H6407" t="str">
            <v>Arabis hirsuta</v>
          </cell>
        </row>
        <row r="6408">
          <cell r="A6408" t="str">
            <v>Arabis scabra</v>
          </cell>
          <cell r="B6408" t="str">
            <v>Vascular plants</v>
          </cell>
          <cell r="C6408" t="str">
            <v>Tracheophyta</v>
          </cell>
          <cell r="D6408" t="str">
            <v>Arabis scabra</v>
          </cell>
          <cell r="E6408" t="str">
            <v>VU</v>
          </cell>
          <cell r="F6408" t="str">
            <v>in Stroh et al., 2014 (from: Cheffings &amp; Farrell 2005 or subsequent amendments in Leach 2007, 2010; Leach &amp; Walker 2011, 2013)</v>
          </cell>
          <cell r="G6408" t="str">
            <v>NBNSYS0000002891</v>
          </cell>
          <cell r="H6408" t="str">
            <v>Arabis scabra</v>
          </cell>
        </row>
        <row r="6409">
          <cell r="A6409" t="str">
            <v>Arctium minus</v>
          </cell>
          <cell r="B6409" t="str">
            <v>Vascular plants</v>
          </cell>
          <cell r="C6409" t="str">
            <v>Tracheophyta</v>
          </cell>
          <cell r="D6409" t="str">
            <v>Arctium minus</v>
          </cell>
          <cell r="E6409" t="str">
            <v>LC</v>
          </cell>
          <cell r="F6409" t="str">
            <v>in Stroh et al., 2014 (from: Cheffings &amp; Farrell 2005 or subsequent amendments in Leach 2007, 2010; Leach &amp; Walker 2011, 2013)</v>
          </cell>
          <cell r="G6409" t="str">
            <v>NBNSYS0000004483</v>
          </cell>
          <cell r="H6409" t="str">
            <v>Arctium minus</v>
          </cell>
        </row>
        <row r="6410">
          <cell r="A6410" t="str">
            <v>Arctostaphylos uva-ursi</v>
          </cell>
          <cell r="B6410" t="str">
            <v>Vascular plants</v>
          </cell>
          <cell r="C6410" t="str">
            <v>Tracheophyta</v>
          </cell>
          <cell r="D6410" t="str">
            <v>Arctostaphylos uva-ursi</v>
          </cell>
          <cell r="E6410" t="str">
            <v>LC</v>
          </cell>
          <cell r="F6410" t="str">
            <v>in Stroh et al., 2014 (from: Cheffings &amp; Farrell 2005 or subsequent amendments in Leach 2007, 2010; Leach &amp; Walker 2011, 2013)</v>
          </cell>
          <cell r="G6410" t="str">
            <v>NHMSYS0000456036</v>
          </cell>
          <cell r="H6410" t="str">
            <v>Arctostaphylos uva-ursi</v>
          </cell>
        </row>
        <row r="6411">
          <cell r="A6411" t="str">
            <v>Arenaria leptoclados</v>
          </cell>
          <cell r="B6411" t="str">
            <v>Vascular plants</v>
          </cell>
          <cell r="C6411" t="str">
            <v>Tracheophyta</v>
          </cell>
          <cell r="D6411" t="str">
            <v>Arenaria leptoclados</v>
          </cell>
          <cell r="E6411" t="str">
            <v>LC</v>
          </cell>
          <cell r="F6411" t="str">
            <v>in Stroh et al., 2014 (from: Cheffings &amp; Farrell 2005 or subsequent amendments in Leach 2007, 2010; Leach &amp; Walker 2011, 2013)</v>
          </cell>
          <cell r="G6411" t="str">
            <v>NHMSYS0000456053</v>
          </cell>
          <cell r="H6411" t="str">
            <v>Arenaria leptoclados</v>
          </cell>
        </row>
        <row r="6412">
          <cell r="A6412" t="str">
            <v>Arenaria norvegica subsp. anglica </v>
          </cell>
          <cell r="B6412" t="str">
            <v>Vascular plants</v>
          </cell>
          <cell r="C6412" t="str">
            <v>Tracheophyta</v>
          </cell>
          <cell r="D6412" t="str">
            <v>Arenaria norvegica (subsp.) anglica</v>
          </cell>
          <cell r="E6412" t="str">
            <v>EN</v>
          </cell>
          <cell r="F6412" t="str">
            <v>in Stroh et al., 2014 (from: Cheffings &amp; Farrell 2005 or subsequent amendments in Leach 2007, 2010; Leach &amp; Walker 2011, 2013)</v>
          </cell>
          <cell r="G6412" t="str">
            <v>NHMSYS0000456048</v>
          </cell>
          <cell r="H6412" t="str">
            <v>Arenaria norvegica subsp. anglica </v>
          </cell>
        </row>
        <row r="6413">
          <cell r="A6413" t="str">
            <v>Arenaria serpyllifolia</v>
          </cell>
          <cell r="B6413" t="str">
            <v>Vascular plants</v>
          </cell>
          <cell r="C6413" t="str">
            <v>Tracheophyta</v>
          </cell>
          <cell r="D6413" t="str">
            <v>Arenaria serpyllifolia</v>
          </cell>
          <cell r="E6413" t="str">
            <v>LC</v>
          </cell>
          <cell r="F6413" t="str">
            <v>in Stroh et al., 2014 (from: Cheffings &amp; Farrell 2005 or subsequent amendments in Leach 2007, 2010; Leach &amp; Walker 2011, 2013)</v>
          </cell>
          <cell r="G6413" t="str">
            <v>NBNSYS0000004683</v>
          </cell>
          <cell r="H6413" t="str">
            <v>Arenaria serpyllifolia</v>
          </cell>
        </row>
        <row r="6414">
          <cell r="A6414" t="str">
            <v>Armeria maritima</v>
          </cell>
          <cell r="B6414" t="str">
            <v>Vascular plants</v>
          </cell>
          <cell r="C6414" t="str">
            <v>Tracheophyta</v>
          </cell>
          <cell r="D6414" t="str">
            <v>Armeria maritima</v>
          </cell>
          <cell r="E6414" t="str">
            <v>LC</v>
          </cell>
          <cell r="F6414" t="str">
            <v>in Stroh et al., 2014 (from: Cheffings &amp; Farrell 2005 or subsequent amendments in Leach 2007, 2010; Leach &amp; Walker 2011, 2013)</v>
          </cell>
          <cell r="G6414" t="str">
            <v>NHMSYS0021060385</v>
          </cell>
          <cell r="H6414" t="str">
            <v>Armeria maritima</v>
          </cell>
        </row>
        <row r="6415">
          <cell r="A6415" t="str">
            <v>Arrhenatherum elatius</v>
          </cell>
          <cell r="B6415" t="str">
            <v>Vascular plants</v>
          </cell>
          <cell r="C6415" t="str">
            <v>Tracheophyta</v>
          </cell>
          <cell r="D6415" t="str">
            <v>Arrhenatherum elatius</v>
          </cell>
          <cell r="E6415" t="str">
            <v>LC</v>
          </cell>
          <cell r="F6415" t="str">
            <v>in Stroh et al., 2014 (from: Cheffings &amp; Farrell 2005 or subsequent amendments in Leach 2007, 2010; Leach &amp; Walker 2011, 2013)</v>
          </cell>
          <cell r="G6415" t="str">
            <v>NHMSYS0000456095</v>
          </cell>
          <cell r="H6415" t="str">
            <v>Arrhenatherum elatius</v>
          </cell>
        </row>
        <row r="6416">
          <cell r="A6416" t="str">
            <v>Artemisia campestris</v>
          </cell>
          <cell r="B6416" t="str">
            <v>Vascular plants</v>
          </cell>
          <cell r="C6416" t="str">
            <v>Tracheophyta</v>
          </cell>
          <cell r="D6416" t="str">
            <v>Artemisia campestris</v>
          </cell>
          <cell r="E6416" t="str">
            <v>VU</v>
          </cell>
          <cell r="F6416" t="str">
            <v>in Stroh et al., 2014 (from: Cheffings &amp; Farrell 2005 or subsequent amendments in Leach 2007, 2010; Leach &amp; Walker 2011, 2013)</v>
          </cell>
          <cell r="G6416" t="str">
            <v>NBNSYS0000004476</v>
          </cell>
          <cell r="H6416" t="str">
            <v>Artemisia campestris</v>
          </cell>
        </row>
        <row r="6417">
          <cell r="A6417" t="str">
            <v>Artemisia maritima</v>
          </cell>
          <cell r="B6417" t="str">
            <v>Vascular plants</v>
          </cell>
          <cell r="C6417" t="str">
            <v>Tracheophyta</v>
          </cell>
          <cell r="D6417" t="str">
            <v>Artemisia maritima</v>
          </cell>
          <cell r="E6417" t="str">
            <v>LC</v>
          </cell>
          <cell r="F6417" t="str">
            <v>in Stroh et al., 2014 (from: Cheffings &amp; Farrell 2005 or subsequent amendments in Leach 2007, 2010; Leach &amp; Walker 2011, 2013)</v>
          </cell>
          <cell r="G6417" t="str">
            <v>NHMSYS0000463463</v>
          </cell>
          <cell r="H6417" t="str">
            <v>Artemisia maritima</v>
          </cell>
        </row>
        <row r="6418">
          <cell r="A6418" t="str">
            <v>Arum italicum</v>
          </cell>
          <cell r="B6418" t="str">
            <v>Vascular plants</v>
          </cell>
          <cell r="C6418" t="str">
            <v>Tracheophyta</v>
          </cell>
          <cell r="D6418" t="str">
            <v>Arum italicum</v>
          </cell>
          <cell r="E6418" t="str">
            <v>NT</v>
          </cell>
          <cell r="F6418" t="str">
            <v>in Stroh et al., 2014 (from: Cheffings &amp; Farrell 2005 or subsequent amendments in Leach 2007, 2010; Leach &amp; Walker 2011, 2013)</v>
          </cell>
          <cell r="G6418" t="str">
            <v>NHMSYS0000456118</v>
          </cell>
          <cell r="H6418" t="str">
            <v>Arum italicum</v>
          </cell>
        </row>
        <row r="6419">
          <cell r="A6419" t="str">
            <v>Arum maculatum</v>
          </cell>
          <cell r="B6419" t="str">
            <v>Vascular plants</v>
          </cell>
          <cell r="C6419" t="str">
            <v>Tracheophyta</v>
          </cell>
          <cell r="D6419" t="str">
            <v>Arum maculatum</v>
          </cell>
          <cell r="E6419" t="str">
            <v>LC</v>
          </cell>
          <cell r="F6419" t="str">
            <v>in Stroh et al., 2014 (from: Cheffings &amp; Farrell 2005 or subsequent amendments in Leach 2007, 2010; Leach &amp; Walker 2011, 2013)</v>
          </cell>
          <cell r="G6419" t="str">
            <v>NBNSYS0000002351</v>
          </cell>
          <cell r="H6419" t="str">
            <v>Arum maculatum</v>
          </cell>
        </row>
        <row r="6420">
          <cell r="A6420" t="str">
            <v>Asparagus prostratus</v>
          </cell>
          <cell r="B6420" t="str">
            <v>Vascular plants</v>
          </cell>
          <cell r="C6420" t="str">
            <v>Tracheophyta</v>
          </cell>
          <cell r="D6420" t="str">
            <v>Asparagus prostratus</v>
          </cell>
          <cell r="E6420" t="str">
            <v>EN</v>
          </cell>
          <cell r="F6420" t="str">
            <v>in Stroh et al., 2014 (from: Cheffings &amp; Farrell 2005 or subsequent amendments in Leach 2007, 2010; Leach &amp; Walker 2011, 2013)</v>
          </cell>
          <cell r="G6420" t="str">
            <v>NHMSYS0000456142</v>
          </cell>
          <cell r="H6420" t="str">
            <v>Asparagus prostratus</v>
          </cell>
        </row>
        <row r="6421">
          <cell r="A6421" t="str">
            <v>Asperula cynanchica</v>
          </cell>
          <cell r="B6421" t="str">
            <v>Vascular plants</v>
          </cell>
          <cell r="C6421" t="str">
            <v>Tracheophyta</v>
          </cell>
          <cell r="D6421" t="str">
            <v>Asperula cynanchica</v>
          </cell>
          <cell r="E6421" t="str">
            <v>LC</v>
          </cell>
          <cell r="F6421" t="str">
            <v>in Stroh et al., 2014 (from: Cheffings &amp; Farrell 2005 or subsequent amendments in Leach 2007, 2010; Leach &amp; Walker 2011, 2013)</v>
          </cell>
          <cell r="G6421" t="str">
            <v>NBNSYS0000014864</v>
          </cell>
          <cell r="H6421" t="str">
            <v>Asperula cynanchica</v>
          </cell>
        </row>
        <row r="6422">
          <cell r="A6422" t="str">
            <v>Asplenium adiantum-nigrum</v>
          </cell>
          <cell r="B6422" t="str">
            <v>Vascular plants</v>
          </cell>
          <cell r="C6422" t="str">
            <v>Tracheophyta</v>
          </cell>
          <cell r="D6422" t="str">
            <v>Asplenium adiantum-nigrum</v>
          </cell>
          <cell r="E6422" t="str">
            <v>LC</v>
          </cell>
          <cell r="F6422" t="str">
            <v>in Stroh et al., 2014 (from: Cheffings &amp; Farrell 2005 or subsequent amendments in Leach 2007, 2010; Leach &amp; Walker 2011, 2013)</v>
          </cell>
          <cell r="G6422" t="str">
            <v>NBNSYS0000002040</v>
          </cell>
          <cell r="H6422" t="str">
            <v>Asplenium adiantum-nigrum</v>
          </cell>
        </row>
        <row r="6423">
          <cell r="A6423" t="str">
            <v>Asplenium ceterach</v>
          </cell>
          <cell r="B6423" t="str">
            <v>Vascular plants</v>
          </cell>
          <cell r="C6423" t="str">
            <v>Tracheophyta</v>
          </cell>
          <cell r="D6423" t="str">
            <v>Asplenium ceterach</v>
          </cell>
          <cell r="E6423" t="str">
            <v>LC</v>
          </cell>
          <cell r="F6423" t="str">
            <v>in Stroh et al., 2014 (from: Cheffings &amp; Farrell 2005 or subsequent amendments in Leach 2007, 2010; Leach &amp; Walker 2011, 2013)</v>
          </cell>
          <cell r="G6423" t="str">
            <v>NHMSYS0100001007</v>
          </cell>
          <cell r="H6423" t="str">
            <v>Asplenium ceterach</v>
          </cell>
        </row>
        <row r="6424">
          <cell r="A6424" t="str">
            <v>Asplenium fontanum</v>
          </cell>
          <cell r="B6424" t="str">
            <v>Vascular plants</v>
          </cell>
          <cell r="C6424" t="str">
            <v>Tracheophyta</v>
          </cell>
          <cell r="D6424" t="str">
            <v>Asplenium fontanum</v>
          </cell>
          <cell r="E6424" t="str">
            <v>EX</v>
          </cell>
          <cell r="F6424" t="str">
            <v>in Stroh et al., 2014 (from: Cheffings &amp; Farrell 2005 or subsequent amendments in Leach 2007, 2010; Leach &amp; Walker 2011, 2013)</v>
          </cell>
          <cell r="G6424" t="str">
            <v>NBNSYS0000002044</v>
          </cell>
          <cell r="H6424" t="str">
            <v>Asplenium fontanum</v>
          </cell>
        </row>
        <row r="6425">
          <cell r="A6425" t="str">
            <v>Asplenium marinum</v>
          </cell>
          <cell r="B6425" t="str">
            <v>Vascular plants</v>
          </cell>
          <cell r="C6425" t="str">
            <v>Tracheophyta</v>
          </cell>
          <cell r="D6425" t="str">
            <v>Asplenium marinum</v>
          </cell>
          <cell r="E6425" t="str">
            <v>LC</v>
          </cell>
          <cell r="F6425" t="str">
            <v>in Stroh et al., 2014 (from: Cheffings &amp; Farrell 2005 or subsequent amendments in Leach 2007, 2010; Leach &amp; Walker 2011, 2013)</v>
          </cell>
          <cell r="G6425" t="str">
            <v>NBNSYS0000002045</v>
          </cell>
          <cell r="H6425" t="str">
            <v>Asplenium marinum</v>
          </cell>
        </row>
        <row r="6426">
          <cell r="A6426" t="str">
            <v>Asplenium obovatum</v>
          </cell>
          <cell r="B6426" t="str">
            <v>Vascular plants</v>
          </cell>
          <cell r="C6426" t="str">
            <v>Tracheophyta</v>
          </cell>
          <cell r="D6426" t="str">
            <v>Asplenium obovatum</v>
          </cell>
          <cell r="E6426" t="str">
            <v>NT</v>
          </cell>
          <cell r="F6426" t="str">
            <v>in Stroh et al., 2014 (from: Cheffings &amp; Farrell 2005 or subsequent amendments in Leach 2007, 2010; Leach &amp; Walker 2011, 2013)</v>
          </cell>
          <cell r="G6426" t="str">
            <v>NBNSYS0000002043</v>
          </cell>
          <cell r="H6426" t="str">
            <v>Asplenium obovatum</v>
          </cell>
        </row>
        <row r="6427">
          <cell r="A6427" t="str">
            <v>Asplenium ruta-muraria</v>
          </cell>
          <cell r="B6427" t="str">
            <v>Vascular plants</v>
          </cell>
          <cell r="C6427" t="str">
            <v>Tracheophyta</v>
          </cell>
          <cell r="D6427" t="str">
            <v>Asplenium ruta-muraria</v>
          </cell>
          <cell r="E6427" t="str">
            <v>LC</v>
          </cell>
          <cell r="F6427" t="str">
            <v>in Stroh et al., 2014 (from: Cheffings &amp; Farrell 2005 or subsequent amendments in Leach 2007, 2010; Leach &amp; Walker 2011, 2013)</v>
          </cell>
          <cell r="G6427" t="str">
            <v>NBNSYS0000002050</v>
          </cell>
          <cell r="H6427" t="str">
            <v>Asplenium ruta-muraria</v>
          </cell>
        </row>
        <row r="6428">
          <cell r="A6428" t="str">
            <v>Asplenium scolopendrium</v>
          </cell>
          <cell r="B6428" t="str">
            <v>Vascular plants</v>
          </cell>
          <cell r="C6428" t="str">
            <v>Tracheophyta</v>
          </cell>
          <cell r="D6428" t="str">
            <v>Asplenium scolopendrium</v>
          </cell>
          <cell r="E6428" t="str">
            <v>LC</v>
          </cell>
          <cell r="F6428" t="str">
            <v>in Stroh et al., 2014 (from: Cheffings &amp; Farrell 2005 or subsequent amendments in Leach 2007, 2010; Leach &amp; Walker 2011, 2013)</v>
          </cell>
          <cell r="G6428" t="str">
            <v>NBNSYS0000002039</v>
          </cell>
          <cell r="H6428" t="str">
            <v>Asplenium scolopendrium</v>
          </cell>
        </row>
        <row r="6429">
          <cell r="A6429" t="str">
            <v>Asplenium septentrionale</v>
          </cell>
          <cell r="B6429" t="str">
            <v>Vascular plants</v>
          </cell>
          <cell r="C6429" t="str">
            <v>Tracheophyta</v>
          </cell>
          <cell r="D6429" t="str">
            <v>Asplenium septentrionale</v>
          </cell>
          <cell r="E6429" t="str">
            <v>NT</v>
          </cell>
          <cell r="F6429" t="str">
            <v>in Stroh et al., 2014 (from: Cheffings &amp; Farrell 2005 or subsequent amendments in Leach 2007, 2010; Leach &amp; Walker 2011, 2013)</v>
          </cell>
          <cell r="G6429" t="str">
            <v>NBNSYS0000002051</v>
          </cell>
          <cell r="H6429" t="str">
            <v>Asplenium septentrionale</v>
          </cell>
        </row>
        <row r="6430">
          <cell r="A6430" t="str">
            <v>Asplenium trichomanes</v>
          </cell>
          <cell r="B6430" t="str">
            <v>Vascular plants</v>
          </cell>
          <cell r="C6430" t="str">
            <v>Tracheophyta</v>
          </cell>
          <cell r="D6430" t="str">
            <v>Asplenium trichomanes</v>
          </cell>
          <cell r="E6430" t="str">
            <v>LC</v>
          </cell>
          <cell r="F6430" t="str">
            <v>in Stroh et al., 2014 (from: Cheffings &amp; Farrell 2005 or subsequent amendments in Leach 2007, 2010; Leach &amp; Walker 2011, 2013)</v>
          </cell>
          <cell r="G6430" t="str">
            <v>NBNSYS0000002046</v>
          </cell>
          <cell r="H6430" t="str">
            <v>Asplenium trichomanes</v>
          </cell>
        </row>
        <row r="6431">
          <cell r="A6431" t="str">
            <v>Asplenium viride</v>
          </cell>
          <cell r="B6431" t="str">
            <v>Vascular plants</v>
          </cell>
          <cell r="C6431" t="str">
            <v>Tracheophyta</v>
          </cell>
          <cell r="D6431" t="str">
            <v>Asplenium viride</v>
          </cell>
          <cell r="E6431" t="str">
            <v>LC</v>
          </cell>
          <cell r="F6431" t="str">
            <v>in Stroh et al., 2014 (from: Cheffings &amp; Farrell 2005 or subsequent amendments in Leach 2007, 2010; Leach &amp; Walker 2011, 2013)</v>
          </cell>
          <cell r="G6431" t="str">
            <v>NBNSYS0000142467</v>
          </cell>
          <cell r="H6431" t="str">
            <v>Asplenium viride</v>
          </cell>
        </row>
        <row r="6432">
          <cell r="A6432" t="str">
            <v>Aster linosyris</v>
          </cell>
          <cell r="B6432" t="str">
            <v>Vascular plants</v>
          </cell>
          <cell r="C6432" t="str">
            <v>Tracheophyta</v>
          </cell>
          <cell r="D6432" t="str">
            <v>Aster linosyris</v>
          </cell>
          <cell r="E6432" t="str">
            <v>LC</v>
          </cell>
          <cell r="F6432" t="str">
            <v>in Stroh et al., 2014 (from: Cheffings &amp; Farrell 2005 or subsequent amendments in Leach 2007, 2010; Leach &amp; Walker 2011, 2013)</v>
          </cell>
          <cell r="G6432" t="str">
            <v>NBNSYS0000004435</v>
          </cell>
          <cell r="H6432" t="str">
            <v>Aster linosyris</v>
          </cell>
        </row>
        <row r="6433">
          <cell r="A6433" t="str">
            <v>Aster tripolium</v>
          </cell>
          <cell r="B6433" t="str">
            <v>Vascular plants</v>
          </cell>
          <cell r="C6433" t="str">
            <v>Tracheophyta</v>
          </cell>
          <cell r="D6433" t="str">
            <v>Aster tripolium</v>
          </cell>
          <cell r="E6433" t="str">
            <v>LC</v>
          </cell>
          <cell r="F6433" t="str">
            <v>in Stroh et al., 2014 (from: Cheffings &amp; Farrell 2005 or subsequent amendments in Leach 2007, 2010; Leach &amp; Walker 2011, 2013)</v>
          </cell>
          <cell r="G6433" t="str">
            <v>NBNSYS0000004422</v>
          </cell>
          <cell r="H6433" t="str">
            <v>Aster tripolium</v>
          </cell>
        </row>
        <row r="6434">
          <cell r="A6434" t="str">
            <v>Astragalus danicus</v>
          </cell>
          <cell r="B6434" t="str">
            <v>Vascular plants</v>
          </cell>
          <cell r="C6434" t="str">
            <v>Tracheophyta</v>
          </cell>
          <cell r="D6434" t="str">
            <v>Astragalus danicus</v>
          </cell>
          <cell r="E6434" t="str">
            <v>EN</v>
          </cell>
          <cell r="F6434" t="str">
            <v>in Stroh et al., 2014 (from: Cheffings &amp; Farrell 2005 or subsequent amendments in Leach 2007, 2010; Leach &amp; Walker 2011, 2013)</v>
          </cell>
          <cell r="G6434" t="str">
            <v>NBNSYS0000003267</v>
          </cell>
          <cell r="H6434" t="str">
            <v>Astragalus danicus</v>
          </cell>
        </row>
        <row r="6435">
          <cell r="A6435" t="str">
            <v>Astragalus glycyphyllos</v>
          </cell>
          <cell r="B6435" t="str">
            <v>Vascular plants</v>
          </cell>
          <cell r="C6435" t="str">
            <v>Tracheophyta</v>
          </cell>
          <cell r="D6435" t="str">
            <v>Astragalus glycyphyllos</v>
          </cell>
          <cell r="E6435" t="str">
            <v>LC</v>
          </cell>
          <cell r="F6435" t="str">
            <v>in Stroh et al., 2014 (from: Cheffings &amp; Farrell 2005 or subsequent amendments in Leach 2007, 2010; Leach &amp; Walker 2011, 2013)</v>
          </cell>
          <cell r="G6435" t="str">
            <v>NBNSYS0000003269</v>
          </cell>
          <cell r="H6435" t="str">
            <v>Astragalus glycyphyllos</v>
          </cell>
        </row>
        <row r="6436">
          <cell r="A6436" t="str">
            <v>Athyrium filix-femina</v>
          </cell>
          <cell r="B6436" t="str">
            <v>Vascular plants</v>
          </cell>
          <cell r="C6436" t="str">
            <v>Tracheophyta</v>
          </cell>
          <cell r="D6436" t="str">
            <v>Athyrium filix-femina</v>
          </cell>
          <cell r="E6436" t="str">
            <v>LC</v>
          </cell>
          <cell r="F6436" t="str">
            <v>in Stroh et al., 2014 (from: Cheffings &amp; Farrell 2005 or subsequent amendments in Leach 2007, 2010; Leach &amp; Walker 2011, 2013)</v>
          </cell>
          <cell r="G6436" t="str">
            <v>NBNSYS0000002054</v>
          </cell>
          <cell r="H6436" t="str">
            <v>Athyrium filix-femina</v>
          </cell>
        </row>
        <row r="6437">
          <cell r="A6437" t="str">
            <v>Atriplex glabriuscula</v>
          </cell>
          <cell r="B6437" t="str">
            <v>Vascular plants</v>
          </cell>
          <cell r="C6437" t="str">
            <v>Tracheophyta</v>
          </cell>
          <cell r="D6437" t="str">
            <v>Atriplex glabriuscula</v>
          </cell>
          <cell r="E6437" t="str">
            <v>LC</v>
          </cell>
          <cell r="F6437" t="str">
            <v>in Stroh et al., 2014 (from: Cheffings &amp; Farrell 2005 or subsequent amendments in Leach 2007, 2010; Leach &amp; Walker 2011, 2013)</v>
          </cell>
          <cell r="G6437" t="str">
            <v>NBNSYS0000003113</v>
          </cell>
          <cell r="H6437" t="str">
            <v>Atriplex glabriuscula</v>
          </cell>
        </row>
        <row r="6438">
          <cell r="A6438" t="str">
            <v>Atriplex laciniata</v>
          </cell>
          <cell r="B6438" t="str">
            <v>Vascular plants</v>
          </cell>
          <cell r="C6438" t="str">
            <v>Tracheophyta</v>
          </cell>
          <cell r="D6438" t="str">
            <v>Atriplex laciniata</v>
          </cell>
          <cell r="E6438" t="str">
            <v>LC</v>
          </cell>
          <cell r="F6438" t="str">
            <v>in Stroh et al., 2014 (from: Cheffings &amp; Farrell 2005 or subsequent amendments in Leach 2007, 2010; Leach &amp; Walker 2011, 2013)</v>
          </cell>
          <cell r="G6438" t="str">
            <v>NBNSYS0000003114</v>
          </cell>
          <cell r="H6438" t="str">
            <v>Atriplex laciniata</v>
          </cell>
        </row>
        <row r="6439">
          <cell r="A6439" t="str">
            <v>Atriplex littoralis</v>
          </cell>
          <cell r="B6439" t="str">
            <v>Vascular plants</v>
          </cell>
          <cell r="C6439" t="str">
            <v>Tracheophyta</v>
          </cell>
          <cell r="D6439" t="str">
            <v>Atriplex littoralis</v>
          </cell>
          <cell r="E6439" t="str">
            <v>LC</v>
          </cell>
          <cell r="F6439" t="str">
            <v>in Stroh et al., 2014 (from: Cheffings &amp; Farrell 2005 or subsequent amendments in Leach 2007, 2010; Leach &amp; Walker 2011, 2013)</v>
          </cell>
          <cell r="G6439" t="str">
            <v>NBNSYS0000003110</v>
          </cell>
          <cell r="H6439" t="str">
            <v>Atriplex littoralis</v>
          </cell>
        </row>
        <row r="6440">
          <cell r="A6440" t="str">
            <v>Atriplex longipes</v>
          </cell>
          <cell r="B6440" t="str">
            <v>Vascular plants</v>
          </cell>
          <cell r="C6440" t="str">
            <v>Tracheophyta</v>
          </cell>
          <cell r="D6440" t="str">
            <v>Atriplex longipes</v>
          </cell>
          <cell r="E6440" t="str">
            <v>LC</v>
          </cell>
          <cell r="F6440" t="str">
            <v>in Stroh et al., 2014 (from: Cheffings &amp; Farrell 2005 or subsequent amendments in Leach 2007, 2010; Leach &amp; Walker 2011, 2013)</v>
          </cell>
          <cell r="G6440" t="str">
            <v>NBNSYS0000003118</v>
          </cell>
          <cell r="H6440" t="str">
            <v>Atriplex longipes</v>
          </cell>
        </row>
        <row r="6441">
          <cell r="A6441" t="str">
            <v>Atriplex patula</v>
          </cell>
          <cell r="B6441" t="str">
            <v>Vascular plants</v>
          </cell>
          <cell r="C6441" t="str">
            <v>Tracheophyta</v>
          </cell>
          <cell r="D6441" t="str">
            <v>Atriplex patula</v>
          </cell>
          <cell r="E6441" t="str">
            <v>LC</v>
          </cell>
          <cell r="F6441" t="str">
            <v>in Stroh et al., 2014 (from: Cheffings &amp; Farrell 2005 or subsequent amendments in Leach 2007, 2010; Leach &amp; Walker 2011, 2013)</v>
          </cell>
          <cell r="G6441" t="str">
            <v>NBNSYS0000003111</v>
          </cell>
          <cell r="H6441" t="str">
            <v>Atriplex patula</v>
          </cell>
        </row>
        <row r="6442">
          <cell r="A6442" t="str">
            <v>Atriplex pedunculata</v>
          </cell>
          <cell r="B6442" t="str">
            <v>Vascular plants</v>
          </cell>
          <cell r="C6442" t="str">
            <v>Tracheophyta</v>
          </cell>
          <cell r="D6442" t="str">
            <v>Atriplex pedunculata</v>
          </cell>
          <cell r="E6442" t="str">
            <v>CR</v>
          </cell>
          <cell r="F6442" t="str">
            <v>in Stroh et al., 2014 (from: Cheffings &amp; Farrell 2005 or subsequent amendments in Leach 2007, 2010; Leach &amp; Walker 2011, 2013)</v>
          </cell>
          <cell r="G6442" t="str">
            <v>NBNSYS0000003120</v>
          </cell>
          <cell r="H6442" t="str">
            <v>Atriplex pedunculata</v>
          </cell>
        </row>
        <row r="6443">
          <cell r="A6443" t="str">
            <v>Atriplex portulacoides</v>
          </cell>
          <cell r="B6443" t="str">
            <v>Vascular plants</v>
          </cell>
          <cell r="C6443" t="str">
            <v>Tracheophyta</v>
          </cell>
          <cell r="D6443" t="str">
            <v>Atriplex portulacoides</v>
          </cell>
          <cell r="E6443" t="str">
            <v>LC</v>
          </cell>
          <cell r="F6443" t="str">
            <v>in Stroh et al., 2014 (from: Cheffings &amp; Farrell 2005 or subsequent amendments in Leach 2007, 2010; Leach &amp; Walker 2011, 2013)</v>
          </cell>
          <cell r="G6443" t="str">
            <v>NBNSYS0000003119</v>
          </cell>
          <cell r="H6443" t="str">
            <v>Atriplex portulacoides</v>
          </cell>
        </row>
        <row r="6444">
          <cell r="A6444" t="str">
            <v>Atriplex praecox</v>
          </cell>
          <cell r="B6444" t="str">
            <v>Vascular plants</v>
          </cell>
          <cell r="C6444" t="str">
            <v>Tracheophyta</v>
          </cell>
          <cell r="D6444" t="str">
            <v>Atriplex praecox</v>
          </cell>
          <cell r="E6444" t="str">
            <v>LC</v>
          </cell>
          <cell r="F6444" t="str">
            <v>in Stroh et al., 2014 (from: Cheffings &amp; Farrell 2005 or subsequent amendments in Leach 2007, 2010; Leach &amp; Walker 2011, 2013)</v>
          </cell>
          <cell r="G6444" t="str">
            <v>NHMSYS0000456348</v>
          </cell>
          <cell r="H6444" t="str">
            <v>Atriplex praecox</v>
          </cell>
        </row>
        <row r="6445">
          <cell r="A6445" t="str">
            <v>Atriplex prostrata</v>
          </cell>
          <cell r="B6445" t="str">
            <v>Vascular plants</v>
          </cell>
          <cell r="C6445" t="str">
            <v>Tracheophyta</v>
          </cell>
          <cell r="D6445" t="str">
            <v>Atriplex prostrata</v>
          </cell>
          <cell r="E6445" t="str">
            <v>LC</v>
          </cell>
          <cell r="F6445" t="str">
            <v>in Stroh et al., 2014 (from: Cheffings &amp; Farrell 2005 or subsequent amendments in Leach 2007, 2010; Leach &amp; Walker 2011, 2013)</v>
          </cell>
          <cell r="G6445" t="str">
            <v>NBNSYS0000003112</v>
          </cell>
          <cell r="H6445" t="str">
            <v>Atriplex prostrata</v>
          </cell>
        </row>
        <row r="6446">
          <cell r="A6446" t="str">
            <v>Atropa belladonna</v>
          </cell>
          <cell r="B6446" t="str">
            <v>Vascular plants</v>
          </cell>
          <cell r="C6446" t="str">
            <v>Tracheophyta</v>
          </cell>
          <cell r="D6446" t="str">
            <v>Atropa belladonna</v>
          </cell>
          <cell r="E6446" t="str">
            <v>LC</v>
          </cell>
          <cell r="F6446" t="str">
            <v>in Stroh et al., 2014 (from: Cheffings &amp; Farrell 2005 or subsequent amendments in Leach 2007, 2010; Leach &amp; Walker 2011, 2013)</v>
          </cell>
          <cell r="G6446" t="str">
            <v>NBNSYS0000004034</v>
          </cell>
          <cell r="H6446" t="str">
            <v>Atropa belladonna</v>
          </cell>
        </row>
        <row r="6447">
          <cell r="A6447" t="str">
            <v>Avenula pratensis</v>
          </cell>
          <cell r="B6447" t="str">
            <v>Vascular plants</v>
          </cell>
          <cell r="C6447" t="str">
            <v>Tracheophyta</v>
          </cell>
          <cell r="D6447" t="str">
            <v>Avenula pratensis</v>
          </cell>
          <cell r="E6447" t="str">
            <v>LC</v>
          </cell>
          <cell r="F6447" t="str">
            <v>in Stroh et al., 2014 (from: Cheffings &amp; Farrell 2005 or subsequent amendments in Leach 2007, 2010; Leach &amp; Walker 2011, 2013)</v>
          </cell>
          <cell r="G6447" t="str">
            <v>NBNSYS0000002616</v>
          </cell>
          <cell r="H6447" t="str">
            <v>Avenula pratensis</v>
          </cell>
        </row>
        <row r="6448">
          <cell r="A6448" t="str">
            <v>Avenula pubescens</v>
          </cell>
          <cell r="B6448" t="str">
            <v>Vascular plants</v>
          </cell>
          <cell r="C6448" t="str">
            <v>Tracheophyta</v>
          </cell>
          <cell r="D6448" t="str">
            <v>Avenula pubescens</v>
          </cell>
          <cell r="E6448" t="str">
            <v>LC</v>
          </cell>
          <cell r="F6448" t="str">
            <v>in Stroh et al., 2014 (from: Cheffings &amp; Farrell 2005 or subsequent amendments in Leach 2007, 2010; Leach &amp; Walker 2011, 2013)</v>
          </cell>
          <cell r="G6448" t="str">
            <v>NHMSYS0000459280</v>
          </cell>
          <cell r="H6448" t="str">
            <v>Avenula pubescens</v>
          </cell>
        </row>
        <row r="6449">
          <cell r="A6449" t="str">
            <v>Baldellia ranunculoides</v>
          </cell>
          <cell r="B6449" t="str">
            <v>Vascular plants</v>
          </cell>
          <cell r="C6449" t="str">
            <v>Tracheophyta</v>
          </cell>
          <cell r="D6449" t="str">
            <v>Baldellia ranunculoides</v>
          </cell>
          <cell r="E6449" t="str">
            <v>NT</v>
          </cell>
          <cell r="F6449" t="str">
            <v>in Stroh et al., 2014 (from: Cheffings &amp; Farrell 2005 or subsequent amendments in Leach 2007, 2010; Leach &amp; Walker 2011, 2013)</v>
          </cell>
          <cell r="G6449" t="str">
            <v>NBNSYS0000002099</v>
          </cell>
          <cell r="H6449" t="str">
            <v>Baldellia ranunculoides</v>
          </cell>
        </row>
        <row r="6450">
          <cell r="A6450" t="str">
            <v>Barbarea vulgaris</v>
          </cell>
          <cell r="B6450" t="str">
            <v>Vascular plants</v>
          </cell>
          <cell r="C6450" t="str">
            <v>Tracheophyta</v>
          </cell>
          <cell r="D6450" t="str">
            <v>Barbarea vulgaris</v>
          </cell>
          <cell r="E6450" t="str">
            <v>LC</v>
          </cell>
          <cell r="F6450" t="str">
            <v>in Stroh et al., 2014 (from: Cheffings &amp; Farrell 2005 or subsequent amendments in Leach 2007, 2010; Leach &amp; Walker 2011, 2013)</v>
          </cell>
          <cell r="G6450" t="str">
            <v>NHMSYS0000456406</v>
          </cell>
          <cell r="H6450" t="str">
            <v>Barbarea vulgaris</v>
          </cell>
        </row>
        <row r="6451">
          <cell r="A6451" t="str">
            <v>Bartsia alpina</v>
          </cell>
          <cell r="B6451" t="str">
            <v>Vascular plants</v>
          </cell>
          <cell r="C6451" t="str">
            <v>Tracheophyta</v>
          </cell>
          <cell r="D6451" t="str">
            <v>Bartsia alpina</v>
          </cell>
          <cell r="E6451" t="str">
            <v>LC</v>
          </cell>
          <cell r="F6451" t="str">
            <v>in Stroh et al., 2014 (from: Cheffings &amp; Farrell 2005 or subsequent amendments in Leach 2007, 2010; Leach &amp; Walker 2011, 2013)</v>
          </cell>
          <cell r="G6451" t="str">
            <v>NBNSYS0000004168</v>
          </cell>
          <cell r="H6451" t="str">
            <v>Bartsia alpina</v>
          </cell>
        </row>
        <row r="6452">
          <cell r="A6452" t="str">
            <v>Bellis perennis</v>
          </cell>
          <cell r="B6452" t="str">
            <v>Vascular plants</v>
          </cell>
          <cell r="C6452" t="str">
            <v>Tracheophyta</v>
          </cell>
          <cell r="D6452" t="str">
            <v>Bellis perennis</v>
          </cell>
          <cell r="E6452" t="str">
            <v>LC</v>
          </cell>
          <cell r="F6452" t="str">
            <v>in Stroh et al., 2014 (from: Cheffings &amp; Farrell 2005 or subsequent amendments in Leach 2007, 2010; Leach &amp; Walker 2011, 2013)</v>
          </cell>
          <cell r="G6452" t="str">
            <v>NBNSYS0000004445</v>
          </cell>
          <cell r="H6452" t="str">
            <v>Bellis perennis</v>
          </cell>
        </row>
        <row r="6453">
          <cell r="A6453" t="str">
            <v>Berberis vulgaris</v>
          </cell>
          <cell r="B6453" t="str">
            <v>Vascular plants</v>
          </cell>
          <cell r="C6453" t="str">
            <v>Tracheophyta</v>
          </cell>
          <cell r="D6453" t="str">
            <v>Berberis vulgaris</v>
          </cell>
          <cell r="E6453" t="str">
            <v>LC</v>
          </cell>
          <cell r="F6453" t="str">
            <v>in Stroh et al., 2014 (from: Cheffings &amp; Farrell 2005 or subsequent amendments in Leach 2007, 2010; Leach &amp; Walker 2011, 2013)</v>
          </cell>
          <cell r="G6453" t="str">
            <v>NBNSYS0000002752</v>
          </cell>
          <cell r="H6453" t="str">
            <v>Berberis vulgaris</v>
          </cell>
        </row>
        <row r="6454">
          <cell r="A6454" t="str">
            <v>Berula erecta</v>
          </cell>
          <cell r="B6454" t="str">
            <v>Vascular plants</v>
          </cell>
          <cell r="C6454" t="str">
            <v>Tracheophyta</v>
          </cell>
          <cell r="D6454" t="str">
            <v>Berula erecta</v>
          </cell>
          <cell r="E6454" t="str">
            <v>LC</v>
          </cell>
          <cell r="F6454" t="str">
            <v>in Stroh et al., 2014 (from: Cheffings &amp; Farrell 2005 or subsequent amendments in Leach 2007, 2010; Leach &amp; Walker 2011, 2013)</v>
          </cell>
          <cell r="G6454" t="str">
            <v>NHMSYS0000456451</v>
          </cell>
          <cell r="H6454" t="str">
            <v>Berula erecta</v>
          </cell>
        </row>
        <row r="6455">
          <cell r="A6455" t="str">
            <v>Beta vulgaris</v>
          </cell>
          <cell r="B6455" t="str">
            <v>Vascular plants</v>
          </cell>
          <cell r="C6455" t="str">
            <v>Tracheophyta</v>
          </cell>
          <cell r="D6455" t="str">
            <v>Beta vulgaris</v>
          </cell>
          <cell r="E6455" t="str">
            <v>LC</v>
          </cell>
          <cell r="F6455" t="str">
            <v>in Stroh et al., 2014 (from: Cheffings &amp; Farrell 2005 or subsequent amendments in Leach 2007, 2010; Leach &amp; Walker 2011, 2013)</v>
          </cell>
          <cell r="G6455" t="str">
            <v>NBNSYS0000003106</v>
          </cell>
          <cell r="H6455" t="str">
            <v>Beta vulgaris</v>
          </cell>
        </row>
        <row r="6456">
          <cell r="A6456" t="str">
            <v>Betonica officinalis</v>
          </cell>
          <cell r="B6456" t="str">
            <v>Vascular plants</v>
          </cell>
          <cell r="C6456" t="str">
            <v>Tracheophyta</v>
          </cell>
          <cell r="D6456" t="str">
            <v>Betonica officinalis</v>
          </cell>
          <cell r="E6456" t="str">
            <v>LC</v>
          </cell>
          <cell r="F6456" t="str">
            <v>in Stroh et al., 2014 (from: Cheffings &amp; Farrell 2005 or subsequent amendments in Leach 2007, 2010; Leach &amp; Walker 2011, 2013)</v>
          </cell>
          <cell r="G6456" t="str">
            <v>NHMSYS0000463975</v>
          </cell>
          <cell r="H6456" t="str">
            <v>Betonica officinalis</v>
          </cell>
        </row>
        <row r="6457">
          <cell r="A6457" t="str">
            <v>Betula nana</v>
          </cell>
          <cell r="B6457" t="str">
            <v>Vascular plants</v>
          </cell>
          <cell r="C6457" t="str">
            <v>Tracheophyta</v>
          </cell>
          <cell r="D6457" t="str">
            <v>Betula nana</v>
          </cell>
          <cell r="E6457" t="str">
            <v>LC</v>
          </cell>
          <cell r="F6457" t="str">
            <v>in Stroh et al., 2014 (from: Cheffings &amp; Farrell 2005 or subsequent amendments in Leach 2007, 2010; Leach &amp; Walker 2011, 2013)</v>
          </cell>
          <cell r="G6457" t="str">
            <v>NBNSYS0000003832</v>
          </cell>
          <cell r="H6457" t="str">
            <v>Betula nana</v>
          </cell>
        </row>
        <row r="6458">
          <cell r="A6458" t="str">
            <v>Betula pendula</v>
          </cell>
          <cell r="B6458" t="str">
            <v>Vascular plants</v>
          </cell>
          <cell r="C6458" t="str">
            <v>Tracheophyta</v>
          </cell>
          <cell r="D6458" t="str">
            <v>Betula pendula</v>
          </cell>
          <cell r="E6458" t="str">
            <v>LC</v>
          </cell>
          <cell r="F6458" t="str">
            <v>in Stroh et al., 2014 (from: Cheffings &amp; Farrell 2005 or subsequent amendments in Leach 2007, 2010; Leach &amp; Walker 2011, 2013)</v>
          </cell>
          <cell r="G6458" t="str">
            <v>NBNSYS0000003827</v>
          </cell>
          <cell r="H6458" t="str">
            <v>Betula pendula</v>
          </cell>
        </row>
        <row r="6459">
          <cell r="A6459" t="str">
            <v>Betula pubescens</v>
          </cell>
          <cell r="B6459" t="str">
            <v>Vascular plants</v>
          </cell>
          <cell r="C6459" t="str">
            <v>Tracheophyta</v>
          </cell>
          <cell r="D6459" t="str">
            <v>Betula pubescens</v>
          </cell>
          <cell r="E6459" t="str">
            <v>LC</v>
          </cell>
          <cell r="F6459" t="str">
            <v>in Stroh et al., 2014 (from: Cheffings &amp; Farrell 2005 or subsequent amendments in Leach 2007, 2010; Leach &amp; Walker 2011, 2013)</v>
          </cell>
          <cell r="G6459" t="str">
            <v>NBNSYS0000003829</v>
          </cell>
          <cell r="H6459" t="str">
            <v>Betula pubescens</v>
          </cell>
        </row>
        <row r="6460">
          <cell r="A6460" t="str">
            <v>Bidens cernua</v>
          </cell>
          <cell r="B6460" t="str">
            <v>Vascular plants</v>
          </cell>
          <cell r="C6460" t="str">
            <v>Tracheophyta</v>
          </cell>
          <cell r="D6460" t="str">
            <v>Bidens cernua</v>
          </cell>
          <cell r="E6460" t="str">
            <v>LC</v>
          </cell>
          <cell r="F6460" t="str">
            <v>in Stroh et al., 2014 (from: Cheffings &amp; Farrell 2005 or subsequent amendments in Leach 2007, 2010; Leach &amp; Walker 2011, 2013)</v>
          </cell>
          <cell r="G6460" t="str">
            <v>NBNSYS0000004354</v>
          </cell>
          <cell r="H6460" t="str">
            <v>Bidens cernua</v>
          </cell>
        </row>
        <row r="6461">
          <cell r="A6461" t="str">
            <v>Bidens tripartita</v>
          </cell>
          <cell r="B6461" t="str">
            <v>Vascular plants</v>
          </cell>
          <cell r="C6461" t="str">
            <v>Tracheophyta</v>
          </cell>
          <cell r="D6461" t="str">
            <v>Bidens tripartita</v>
          </cell>
          <cell r="E6461" t="str">
            <v>LC</v>
          </cell>
          <cell r="F6461" t="str">
            <v>in Stroh et al., 2014 (from: Cheffings &amp; Farrell 2005 or subsequent amendments in Leach 2007, 2010; Leach &amp; Walker 2011, 2013)</v>
          </cell>
          <cell r="G6461" t="str">
            <v>NBNSYS0000004355</v>
          </cell>
          <cell r="H6461" t="str">
            <v>Bidens tripartita</v>
          </cell>
        </row>
        <row r="6462">
          <cell r="A6462" t="str">
            <v>Blackstonia perfoliata</v>
          </cell>
          <cell r="B6462" t="str">
            <v>Vascular plants</v>
          </cell>
          <cell r="C6462" t="str">
            <v>Tracheophyta</v>
          </cell>
          <cell r="D6462" t="str">
            <v>Blackstonia perfoliata</v>
          </cell>
          <cell r="E6462" t="str">
            <v>LC</v>
          </cell>
          <cell r="F6462" t="str">
            <v>in Stroh et al., 2014 (from: Cheffings &amp; Farrell 2005 or subsequent amendments in Leach 2007, 2010; Leach &amp; Walker 2011, 2013)</v>
          </cell>
          <cell r="G6462" t="str">
            <v>NHMSYS0000456502</v>
          </cell>
          <cell r="H6462" t="str">
            <v>Blackstonia perfoliata</v>
          </cell>
        </row>
        <row r="6463">
          <cell r="A6463" t="str">
            <v>Blechnum spicant</v>
          </cell>
          <cell r="B6463" t="str">
            <v>Vascular plants</v>
          </cell>
          <cell r="C6463" t="str">
            <v>Tracheophyta</v>
          </cell>
          <cell r="D6463" t="str">
            <v>Blechnum spicant</v>
          </cell>
          <cell r="E6463" t="str">
            <v>LC</v>
          </cell>
          <cell r="F6463" t="str">
            <v>in Stroh et al., 2014 (from: Cheffings &amp; Farrell 2005 or subsequent amendments in Leach 2007, 2010; Leach &amp; Walker 2011, 2013)</v>
          </cell>
          <cell r="G6463" t="str">
            <v>NBNSYS0000002036</v>
          </cell>
          <cell r="H6463" t="str">
            <v>Blechnum spicant</v>
          </cell>
        </row>
        <row r="6464">
          <cell r="A6464" t="str">
            <v>Blysmus compressus</v>
          </cell>
          <cell r="B6464" t="str">
            <v>Vascular plants</v>
          </cell>
          <cell r="C6464" t="str">
            <v>Tracheophyta</v>
          </cell>
          <cell r="D6464" t="str">
            <v>Blysmus compressus</v>
          </cell>
          <cell r="E6464" t="str">
            <v>VU</v>
          </cell>
          <cell r="F6464" t="str">
            <v>in Stroh et al., 2014 (from: Cheffings &amp; Farrell 2005 or subsequent amendments in Leach 2007, 2010; Leach &amp; Walker 2011, 2013)</v>
          </cell>
          <cell r="G6464" t="str">
            <v>NHMSYS0000456532</v>
          </cell>
          <cell r="H6464" t="str">
            <v>Blysmus compressus</v>
          </cell>
        </row>
        <row r="6465">
          <cell r="A6465" t="str">
            <v>Blysmus rufus</v>
          </cell>
          <cell r="B6465" t="str">
            <v>Vascular plants</v>
          </cell>
          <cell r="C6465" t="str">
            <v>Tracheophyta</v>
          </cell>
          <cell r="D6465" t="str">
            <v>Blysmus rufus</v>
          </cell>
          <cell r="E6465" t="str">
            <v>LC</v>
          </cell>
          <cell r="F6465" t="str">
            <v>in Stroh et al., 2014 (from: Cheffings &amp; Farrell 2005 or subsequent amendments in Leach 2007, 2010; Leach &amp; Walker 2011, 2013)</v>
          </cell>
          <cell r="G6465" t="str">
            <v>NHMSYS0000456533</v>
          </cell>
          <cell r="H6465" t="str">
            <v>Blysmus rufus</v>
          </cell>
        </row>
        <row r="6466">
          <cell r="A6466" t="str">
            <v>Bolboschoenus laticarpus</v>
          </cell>
          <cell r="B6466" t="str">
            <v>Vascular plants</v>
          </cell>
          <cell r="C6466" t="str">
            <v>Tracheophyta</v>
          </cell>
          <cell r="D6466" t="str">
            <v>Bolboschoenus laticarpus</v>
          </cell>
          <cell r="E6466" t="str">
            <v>LC</v>
          </cell>
          <cell r="F6466" t="str">
            <v>in Stroh et al., 2014 (from: Cheffings &amp; Farrell 2005 or subsequent amendments in Leach 2007, 2010; Leach &amp; Walker 2011, 2013)</v>
          </cell>
          <cell r="G6466" t="str">
            <v>NHMSYS0021118752</v>
          </cell>
          <cell r="H6466" t="str">
            <v>Bolboschoenus laticarpus</v>
          </cell>
        </row>
        <row r="6467">
          <cell r="A6467" t="str">
            <v>Bolboschoenus maritimus</v>
          </cell>
          <cell r="B6467" t="str">
            <v>Vascular plants</v>
          </cell>
          <cell r="C6467" t="str">
            <v>Tracheophyta</v>
          </cell>
          <cell r="D6467" t="str">
            <v>Bolboschoenus maritimus</v>
          </cell>
          <cell r="E6467" t="str">
            <v>LC</v>
          </cell>
          <cell r="F6467" t="str">
            <v>in Stroh et al., 2014 (from: Cheffings &amp; Farrell 2005 or subsequent amendments in Leach 2007, 2010; Leach &amp; Walker 2011, 2013)</v>
          </cell>
          <cell r="G6467" t="str">
            <v>NBNSYS0000002381</v>
          </cell>
          <cell r="H6467" t="str">
            <v>Bolboschoenus maritimus</v>
          </cell>
        </row>
        <row r="6468">
          <cell r="A6468" t="str">
            <v>Botrychium lunaria</v>
          </cell>
          <cell r="B6468" t="str">
            <v>Vascular plants</v>
          </cell>
          <cell r="C6468" t="str">
            <v>Tracheophyta</v>
          </cell>
          <cell r="D6468" t="str">
            <v>Botrychium lunaria</v>
          </cell>
          <cell r="E6468" t="str">
            <v>LC</v>
          </cell>
          <cell r="F6468" t="str">
            <v>in Stroh et al., 2014 (from: Cheffings &amp; Farrell 2005 or subsequent amendments in Leach 2007, 2010; Leach &amp; Walker 2011, 2013)</v>
          </cell>
          <cell r="G6468" t="str">
            <v>NBNSYS0000002091</v>
          </cell>
          <cell r="H6468" t="str">
            <v>Botrychium lunaria</v>
          </cell>
        </row>
        <row r="6469">
          <cell r="A6469" t="str">
            <v>Brachypodium pinnatum s.s.</v>
          </cell>
          <cell r="B6469" t="str">
            <v>Vascular plants</v>
          </cell>
          <cell r="C6469" t="str">
            <v>Tracheophyta</v>
          </cell>
          <cell r="D6469" t="str">
            <v>Brachypodium pinnatum s.s.</v>
          </cell>
          <cell r="E6469" t="str">
            <v>LC</v>
          </cell>
          <cell r="F6469" t="str">
            <v>in Stroh et al., 2014 (from: Cheffings &amp; Farrell 2005 or subsequent amendments in Leach 2007, 2010; Leach &amp; Walker 2011, 2013)</v>
          </cell>
          <cell r="G6469" t="str">
            <v>NHMSYS0000456583</v>
          </cell>
          <cell r="H6469" t="str">
            <v>Brachypodium pinnatum s.s.</v>
          </cell>
        </row>
        <row r="6470">
          <cell r="A6470" t="str">
            <v>Brachypodium sylvaticum</v>
          </cell>
          <cell r="B6470" t="str">
            <v>Vascular plants</v>
          </cell>
          <cell r="C6470" t="str">
            <v>Tracheophyta</v>
          </cell>
          <cell r="D6470" t="str">
            <v>Brachypodium sylvaticum</v>
          </cell>
          <cell r="E6470" t="str">
            <v>LC</v>
          </cell>
          <cell r="F6470" t="str">
            <v>in Stroh et al., 2014 (from: Cheffings &amp; Farrell 2005 or subsequent amendments in Leach 2007, 2010; Leach &amp; Walker 2011, 2013)</v>
          </cell>
          <cell r="G6470" t="str">
            <v>NHMSYS0000456587</v>
          </cell>
          <cell r="H6470" t="str">
            <v>Brachypodium sylvaticum</v>
          </cell>
        </row>
        <row r="6471">
          <cell r="A6471" t="str">
            <v>Brassica nigra</v>
          </cell>
          <cell r="B6471" t="str">
            <v>Vascular plants</v>
          </cell>
          <cell r="C6471" t="str">
            <v>Tracheophyta</v>
          </cell>
          <cell r="D6471" t="str">
            <v>Brassica nigra</v>
          </cell>
          <cell r="E6471" t="str">
            <v>LC</v>
          </cell>
          <cell r="F6471" t="str">
            <v>in Stroh et al., 2014 (from: Cheffings &amp; Farrell 2005 or subsequent amendments in Leach 2007, 2010; Leach &amp; Walker 2011, 2013)</v>
          </cell>
          <cell r="G6471" t="str">
            <v>NHMSYS0000456605</v>
          </cell>
          <cell r="H6471" t="str">
            <v>Brassica nigra</v>
          </cell>
        </row>
        <row r="6472">
          <cell r="A6472" t="str">
            <v>Brassica oleracea</v>
          </cell>
          <cell r="B6472" t="str">
            <v>Vascular plants</v>
          </cell>
          <cell r="C6472" t="str">
            <v>Tracheophyta</v>
          </cell>
          <cell r="D6472" t="str">
            <v>Brassica oleracea</v>
          </cell>
          <cell r="E6472" t="str">
            <v>LC</v>
          </cell>
          <cell r="F6472" t="str">
            <v>in Stroh et al., 2014 (from: Cheffings &amp; Farrell 2005 or subsequent amendments in Leach 2007, 2010; Leach &amp; Walker 2011, 2013)</v>
          </cell>
          <cell r="G6472" t="str">
            <v>NBNSYS0000002800</v>
          </cell>
          <cell r="H6472" t="str">
            <v>Brassica oleracea</v>
          </cell>
        </row>
        <row r="6473">
          <cell r="A6473" t="str">
            <v>Briza media</v>
          </cell>
          <cell r="B6473" t="str">
            <v>Vascular plants</v>
          </cell>
          <cell r="C6473" t="str">
            <v>Tracheophyta</v>
          </cell>
          <cell r="D6473" t="str">
            <v>Briza media</v>
          </cell>
          <cell r="E6473" t="str">
            <v>LC</v>
          </cell>
          <cell r="F6473" t="str">
            <v>in Stroh et al., 2014 (from: Cheffings &amp; Farrell 2005 or subsequent amendments in Leach 2007, 2010; Leach &amp; Walker 2011, 2013)</v>
          </cell>
          <cell r="G6473" t="str">
            <v>NBNSYS0000002565</v>
          </cell>
          <cell r="H6473" t="str">
            <v>Briza media</v>
          </cell>
        </row>
        <row r="6474">
          <cell r="A6474" t="str">
            <v>Bromopsis benekenii</v>
          </cell>
          <cell r="B6474" t="str">
            <v>Vascular plants</v>
          </cell>
          <cell r="C6474" t="str">
            <v>Tracheophyta</v>
          </cell>
          <cell r="D6474" t="str">
            <v>Bromopsis benekenii</v>
          </cell>
          <cell r="E6474" t="str">
            <v>LC</v>
          </cell>
          <cell r="F6474" t="str">
            <v>in Stroh et al., 2014 (from: Cheffings &amp; Farrell 2005 or subsequent amendments in Leach 2007, 2010; Leach &amp; Walker 2011, 2013)</v>
          </cell>
          <cell r="G6474" t="str">
            <v>NBNSYS0000002573</v>
          </cell>
          <cell r="H6474" t="str">
            <v>Bromopsis benekenii</v>
          </cell>
        </row>
        <row r="6475">
          <cell r="A6475" t="str">
            <v>Bromopsis erecta</v>
          </cell>
          <cell r="B6475" t="str">
            <v>Vascular plants</v>
          </cell>
          <cell r="C6475" t="str">
            <v>Tracheophyta</v>
          </cell>
          <cell r="D6475" t="str">
            <v>Bromopsis erecta</v>
          </cell>
          <cell r="E6475" t="str">
            <v>LC</v>
          </cell>
          <cell r="F6475" t="str">
            <v>in Stroh et al., 2014 (from: Cheffings &amp; Farrell 2005 or subsequent amendments in Leach 2007, 2010; Leach &amp; Walker 2011, 2013)</v>
          </cell>
          <cell r="G6475" t="str">
            <v>NHMSYS0000456650</v>
          </cell>
          <cell r="H6475" t="str">
            <v>Bromopsis erecta</v>
          </cell>
        </row>
        <row r="6476">
          <cell r="A6476" t="str">
            <v>Bromopsis ramosa</v>
          </cell>
          <cell r="B6476" t="str">
            <v>Vascular plants</v>
          </cell>
          <cell r="C6476" t="str">
            <v>Tracheophyta</v>
          </cell>
          <cell r="D6476" t="str">
            <v>Bromopsis ramosa</v>
          </cell>
          <cell r="E6476" t="str">
            <v>LC</v>
          </cell>
          <cell r="F6476" t="str">
            <v>in Stroh et al., 2014 (from: Cheffings &amp; Farrell 2005 or subsequent amendments in Leach 2007, 2010; Leach &amp; Walker 2011, 2013)</v>
          </cell>
          <cell r="G6476" t="str">
            <v>NHMSYS0000456655</v>
          </cell>
          <cell r="H6476" t="str">
            <v>Bromopsis ramosa</v>
          </cell>
        </row>
        <row r="6477">
          <cell r="A6477" t="str">
            <v>Bromus commutatus</v>
          </cell>
          <cell r="B6477" t="str">
            <v>Vascular plants</v>
          </cell>
          <cell r="C6477" t="str">
            <v>Tracheophyta</v>
          </cell>
          <cell r="D6477" t="str">
            <v>Bromus commutatus</v>
          </cell>
          <cell r="E6477" t="str">
            <v>LC</v>
          </cell>
          <cell r="F6477" t="str">
            <v>in Stroh et al., 2014 (from: Cheffings &amp; Farrell 2005 or subsequent amendments in Leach 2007, 2010; Leach &amp; Walker 2011, 2013)</v>
          </cell>
          <cell r="G6477" t="str">
            <v>NHMSYS0000456661</v>
          </cell>
          <cell r="H6477" t="str">
            <v>Bromus commutatus</v>
          </cell>
        </row>
        <row r="6478">
          <cell r="A6478" t="str">
            <v>Bromus hordeaceus</v>
          </cell>
          <cell r="B6478" t="str">
            <v>Vascular plants</v>
          </cell>
          <cell r="C6478" t="str">
            <v>Tracheophyta</v>
          </cell>
          <cell r="D6478" t="str">
            <v>Bromus hordeaceus</v>
          </cell>
          <cell r="E6478" t="str">
            <v>LC</v>
          </cell>
          <cell r="F6478" t="str">
            <v>in Stroh et al., 2014 (from: Cheffings &amp; Farrell 2005 or subsequent amendments in Leach 2007, 2010; Leach &amp; Walker 2011, 2013)</v>
          </cell>
          <cell r="G6478" t="str">
            <v>NBNSYS0000004689</v>
          </cell>
          <cell r="H6478" t="str">
            <v>Bromus hordeaceus</v>
          </cell>
        </row>
        <row r="6479">
          <cell r="A6479" t="str">
            <v>Bromus interruptus</v>
          </cell>
          <cell r="B6479" t="str">
            <v>Vascular plants</v>
          </cell>
          <cell r="C6479" t="str">
            <v>Tracheophyta</v>
          </cell>
          <cell r="D6479" t="str">
            <v>Bromus interruptus</v>
          </cell>
          <cell r="E6479" t="str">
            <v>EW</v>
          </cell>
          <cell r="F6479" t="str">
            <v>in Stroh et al., 2014 (from: Cheffings &amp; Farrell 2005 or subsequent amendments in Leach 2007, 2010; Leach &amp; Walker 2011, 2013)</v>
          </cell>
          <cell r="G6479" t="str">
            <v>NHMSYS0000456674</v>
          </cell>
          <cell r="H6479" t="str">
            <v>Bromus interruptus</v>
          </cell>
        </row>
        <row r="6480">
          <cell r="A6480" t="str">
            <v>Bromus racemosus</v>
          </cell>
          <cell r="B6480" t="str">
            <v>Vascular plants</v>
          </cell>
          <cell r="C6480" t="str">
            <v>Tracheophyta</v>
          </cell>
          <cell r="D6480" t="str">
            <v>Bromus racemosus</v>
          </cell>
          <cell r="E6480" t="str">
            <v>LC</v>
          </cell>
          <cell r="F6480" t="str">
            <v>in Stroh et al., 2014 (from: Cheffings &amp; Farrell 2005 or subsequent amendments in Leach 2007, 2010; Leach &amp; Walker 2011, 2013)</v>
          </cell>
          <cell r="G6480" t="str">
            <v>NBNSYS0000002585</v>
          </cell>
          <cell r="H6480" t="str">
            <v>Bromus racemosus</v>
          </cell>
        </row>
        <row r="6481">
          <cell r="A6481" t="str">
            <v>Bryonia dioica</v>
          </cell>
          <cell r="B6481" t="str">
            <v>Vascular plants</v>
          </cell>
          <cell r="C6481" t="str">
            <v>Tracheophyta</v>
          </cell>
          <cell r="D6481" t="str">
            <v>Bryonia dioica</v>
          </cell>
          <cell r="E6481" t="str">
            <v>LC</v>
          </cell>
          <cell r="F6481" t="str">
            <v>in Stroh et al., 2014 (from: Cheffings &amp; Farrell 2005 or subsequent amendments in Leach 2007, 2010; Leach &amp; Walker 2011, 2013)</v>
          </cell>
          <cell r="G6481" t="str">
            <v>NBNSYS0000003717</v>
          </cell>
          <cell r="H6481" t="str">
            <v>Bryonia dioica</v>
          </cell>
        </row>
        <row r="6482">
          <cell r="A6482" t="str">
            <v>Bunium bulbocastanum</v>
          </cell>
          <cell r="B6482" t="str">
            <v>Vascular plants</v>
          </cell>
          <cell r="C6482" t="str">
            <v>Tracheophyta</v>
          </cell>
          <cell r="D6482" t="str">
            <v>Bunium bulbocastanum</v>
          </cell>
          <cell r="E6482" t="str">
            <v>LC</v>
          </cell>
          <cell r="F6482" t="str">
            <v>in Stroh et al., 2014 (from: Cheffings &amp; Farrell 2005 or subsequent amendments in Leach 2007, 2010; Leach &amp; Walker 2011, 2013)</v>
          </cell>
          <cell r="G6482" t="str">
            <v>NBNSYS0000003680</v>
          </cell>
          <cell r="H6482" t="str">
            <v>Bunium bulbocastanum</v>
          </cell>
        </row>
        <row r="6483">
          <cell r="A6483" t="str">
            <v>Bupleurum baldense</v>
          </cell>
          <cell r="B6483" t="str">
            <v>Vascular plants</v>
          </cell>
          <cell r="C6483" t="str">
            <v>Tracheophyta</v>
          </cell>
          <cell r="D6483" t="str">
            <v>Bupleurum baldense</v>
          </cell>
          <cell r="E6483" t="str">
            <v>VU</v>
          </cell>
          <cell r="F6483" t="str">
            <v>in Stroh et al., 2014 (from: Cheffings &amp; Farrell 2005 or subsequent amendments in Leach 2007, 2010; Leach &amp; Walker 2011, 2013)</v>
          </cell>
          <cell r="G6483" t="str">
            <v>NBNSYS0000003658</v>
          </cell>
          <cell r="H6483" t="str">
            <v>Bupleurum baldense</v>
          </cell>
        </row>
        <row r="6484">
          <cell r="A6484" t="str">
            <v>Bupleurum tenuissimum</v>
          </cell>
          <cell r="B6484" t="str">
            <v>Vascular plants</v>
          </cell>
          <cell r="C6484" t="str">
            <v>Tracheophyta</v>
          </cell>
          <cell r="D6484" t="str">
            <v>Bupleurum tenuissimum</v>
          </cell>
          <cell r="E6484" t="str">
            <v>VU</v>
          </cell>
          <cell r="F6484" t="str">
            <v>in Stroh et al., 2014 (from: Cheffings &amp; Farrell 2005 or subsequent amendments in Leach 2007, 2010; Leach &amp; Walker 2011, 2013)</v>
          </cell>
          <cell r="G6484" t="str">
            <v>NBNSYS0000003659</v>
          </cell>
          <cell r="H6484" t="str">
            <v>Bupleurum tenuissimum</v>
          </cell>
        </row>
        <row r="6485">
          <cell r="A6485" t="str">
            <v>Butomus umbellatus</v>
          </cell>
          <cell r="B6485" t="str">
            <v>Vascular plants</v>
          </cell>
          <cell r="C6485" t="str">
            <v>Tracheophyta</v>
          </cell>
          <cell r="D6485" t="str">
            <v>Butomus umbellatus</v>
          </cell>
          <cell r="E6485" t="str">
            <v>LC</v>
          </cell>
          <cell r="F6485" t="str">
            <v>in Stroh et al., 2014 (from: Cheffings &amp; Farrell 2005 or subsequent amendments in Leach 2007, 2010; Leach &amp; Walker 2011, 2013)</v>
          </cell>
          <cell r="G6485" t="str">
            <v>NBNSYS0000002108</v>
          </cell>
          <cell r="H6485" t="str">
            <v>Butomus umbellatus</v>
          </cell>
        </row>
        <row r="6486">
          <cell r="A6486" t="str">
            <v>Cakile maritima</v>
          </cell>
          <cell r="B6486" t="str">
            <v>Vascular plants</v>
          </cell>
          <cell r="C6486" t="str">
            <v>Tracheophyta</v>
          </cell>
          <cell r="D6486" t="str">
            <v>Cakile maritima</v>
          </cell>
          <cell r="E6486" t="str">
            <v>LC</v>
          </cell>
          <cell r="F6486" t="str">
            <v>in Stroh et al., 2014 (from: Cheffings &amp; Farrell 2005 or subsequent amendments in Leach 2007, 2010; Leach &amp; Walker 2011, 2013)</v>
          </cell>
          <cell r="G6486" t="str">
            <v>NBNSYS0000002826</v>
          </cell>
          <cell r="H6486" t="str">
            <v>Cakile maritima</v>
          </cell>
        </row>
        <row r="6487">
          <cell r="A6487" t="str">
            <v>Calamagrostis canescens</v>
          </cell>
          <cell r="B6487" t="str">
            <v>Vascular plants</v>
          </cell>
          <cell r="C6487" t="str">
            <v>Tracheophyta</v>
          </cell>
          <cell r="D6487" t="str">
            <v>Calamagrostis canescens</v>
          </cell>
          <cell r="E6487" t="str">
            <v>LC</v>
          </cell>
          <cell r="F6487" t="str">
            <v>in Stroh et al., 2014 (from: Cheffings &amp; Farrell 2005 or subsequent amendments in Leach 2007, 2010; Leach &amp; Walker 2011, 2013)</v>
          </cell>
          <cell r="G6487" t="str">
            <v>NHMSYS0000456750</v>
          </cell>
          <cell r="H6487" t="str">
            <v>Calamagrostis canescens</v>
          </cell>
        </row>
        <row r="6488">
          <cell r="A6488" t="str">
            <v>Calamagrostis epigejos</v>
          </cell>
          <cell r="B6488" t="str">
            <v>Vascular plants</v>
          </cell>
          <cell r="C6488" t="str">
            <v>Tracheophyta</v>
          </cell>
          <cell r="D6488" t="str">
            <v>Calamagrostis epigejos</v>
          </cell>
          <cell r="E6488" t="str">
            <v>LC</v>
          </cell>
          <cell r="F6488" t="str">
            <v>in Stroh et al., 2014 (from: Cheffings &amp; Farrell 2005 or subsequent amendments in Leach 2007, 2010; Leach &amp; Walker 2011, 2013)</v>
          </cell>
          <cell r="G6488" t="str">
            <v>NBNSYS0000002630</v>
          </cell>
          <cell r="H6488" t="str">
            <v>Calamagrostis epigejos</v>
          </cell>
        </row>
        <row r="6489">
          <cell r="A6489" t="str">
            <v>Calamagrostis purpurea</v>
          </cell>
          <cell r="B6489" t="str">
            <v>Vascular plants</v>
          </cell>
          <cell r="C6489" t="str">
            <v>Tracheophyta</v>
          </cell>
          <cell r="D6489" t="str">
            <v>Calamagrostis purpurea</v>
          </cell>
          <cell r="E6489" t="str">
            <v>LC</v>
          </cell>
          <cell r="F6489" t="str">
            <v>in Stroh et al., 2014 (from: Cheffings &amp; Farrell 2005 or subsequent amendments in Leach 2007, 2010; Leach &amp; Walker 2011, 2013)</v>
          </cell>
          <cell r="G6489" t="str">
            <v>NHMSYS0000456752</v>
          </cell>
          <cell r="H6489" t="str">
            <v>Calamagrostis purpurea</v>
          </cell>
        </row>
        <row r="6490">
          <cell r="A6490" t="str">
            <v>Calamagrostis stricta</v>
          </cell>
          <cell r="B6490" t="str">
            <v>Vascular plants</v>
          </cell>
          <cell r="C6490" t="str">
            <v>Tracheophyta</v>
          </cell>
          <cell r="D6490" t="str">
            <v>Calamagrostis stricta</v>
          </cell>
          <cell r="E6490" t="str">
            <v>VU</v>
          </cell>
          <cell r="F6490" t="str">
            <v>in Stroh et al., 2014 (from: Cheffings &amp; Farrell 2005 or subsequent amendments in Leach 2007, 2010; Leach &amp; Walker 2011, 2013)</v>
          </cell>
          <cell r="G6490" t="str">
            <v>NBNSYS0000002632</v>
          </cell>
          <cell r="H6490" t="str">
            <v>Calamagrostis stricta</v>
          </cell>
        </row>
        <row r="6491">
          <cell r="A6491" t="str">
            <v>Callitriche brutia</v>
          </cell>
          <cell r="B6491" t="str">
            <v>Vascular plants</v>
          </cell>
          <cell r="C6491" t="str">
            <v>Tracheophyta</v>
          </cell>
          <cell r="D6491" t="str">
            <v>Callitriche brutia</v>
          </cell>
          <cell r="E6491" t="str">
            <v>LC</v>
          </cell>
          <cell r="F6491" t="str">
            <v>in Stroh et al., 2014 (from: Cheffings &amp; Farrell 2005 or subsequent amendments in Leach 2007, 2010; Leach &amp; Walker 2011, 2013)</v>
          </cell>
          <cell r="G6491" t="str">
            <v>NBNSYS0000003623</v>
          </cell>
          <cell r="H6491" t="str">
            <v>Callitriche brutia</v>
          </cell>
        </row>
        <row r="6492">
          <cell r="A6492" t="str">
            <v>Callitriche hermaphroditica</v>
          </cell>
          <cell r="B6492" t="str">
            <v>Vascular plants</v>
          </cell>
          <cell r="C6492" t="str">
            <v>Tracheophyta</v>
          </cell>
          <cell r="D6492" t="str">
            <v>Callitriche hermaphroditica</v>
          </cell>
          <cell r="E6492" t="str">
            <v>LC</v>
          </cell>
          <cell r="F6492" t="str">
            <v>in Stroh et al., 2014 (from: Cheffings &amp; Farrell 2005 or subsequent amendments in Leach 2007, 2010; Leach &amp; Walker 2011, 2013)</v>
          </cell>
          <cell r="G6492" t="str">
            <v>NBNSYS0000003620</v>
          </cell>
          <cell r="H6492" t="str">
            <v>Callitriche hermaphroditica</v>
          </cell>
        </row>
        <row r="6493">
          <cell r="A6493" t="str">
            <v>Callitriche obtusangula</v>
          </cell>
          <cell r="B6493" t="str">
            <v>Vascular plants</v>
          </cell>
          <cell r="C6493" t="str">
            <v>Tracheophyta</v>
          </cell>
          <cell r="D6493" t="str">
            <v>Callitriche obtusangula</v>
          </cell>
          <cell r="E6493" t="str">
            <v>LC</v>
          </cell>
          <cell r="F6493" t="str">
            <v>in Stroh et al., 2014 (from: Cheffings &amp; Farrell 2005 or subsequent amendments in Leach 2007, 2010; Leach &amp; Walker 2011, 2013)</v>
          </cell>
          <cell r="G6493" t="str">
            <v>NBNSYS0000003618</v>
          </cell>
          <cell r="H6493" t="str">
            <v>Callitriche obtusangula</v>
          </cell>
        </row>
        <row r="6494">
          <cell r="A6494" t="str">
            <v>Callitriche platycarpa</v>
          </cell>
          <cell r="B6494" t="str">
            <v>Vascular plants</v>
          </cell>
          <cell r="C6494" t="str">
            <v>Tracheophyta</v>
          </cell>
          <cell r="D6494" t="str">
            <v>Callitriche platycarpa</v>
          </cell>
          <cell r="E6494" t="str">
            <v>LC</v>
          </cell>
          <cell r="F6494" t="str">
            <v>in Stroh et al., 2014 (from: Cheffings &amp; Farrell 2005 or subsequent amendments in Leach 2007, 2010; Leach &amp; Walker 2011, 2013)</v>
          </cell>
          <cell r="G6494" t="str">
            <v>NHMSYS0000456307</v>
          </cell>
          <cell r="H6494" t="str">
            <v>Callitriche platycarpa</v>
          </cell>
        </row>
        <row r="6495">
          <cell r="A6495" t="str">
            <v>Callitriche stagnalis</v>
          </cell>
          <cell r="B6495" t="str">
            <v>Vascular plants</v>
          </cell>
          <cell r="C6495" t="str">
            <v>Tracheophyta</v>
          </cell>
          <cell r="D6495" t="str">
            <v>Callitriche stagnalis</v>
          </cell>
          <cell r="E6495" t="str">
            <v>LC</v>
          </cell>
          <cell r="F6495" t="str">
            <v>in Stroh et al., 2014 (from: Cheffings &amp; Farrell 2005 or subsequent amendments in Leach 2007, 2010; Leach &amp; Walker 2011, 2013)</v>
          </cell>
          <cell r="G6495" t="str">
            <v>NBNSYS0000143455</v>
          </cell>
          <cell r="H6495" t="str">
            <v>Callitriche stagnalis</v>
          </cell>
        </row>
        <row r="6496">
          <cell r="A6496" t="str">
            <v>Callitriche truncata</v>
          </cell>
          <cell r="B6496" t="str">
            <v>Vascular plants</v>
          </cell>
          <cell r="C6496" t="str">
            <v>Tracheophyta</v>
          </cell>
          <cell r="D6496" t="str">
            <v>Callitriche truncata</v>
          </cell>
          <cell r="E6496" t="str">
            <v>LC</v>
          </cell>
          <cell r="F6496" t="str">
            <v>in Stroh et al., 2014 (from: Cheffings &amp; Farrell 2005 or subsequent amendments in Leach 2007, 2010; Leach &amp; Walker 2011, 2013)</v>
          </cell>
          <cell r="G6496" t="str">
            <v>NBNSYS0000003621</v>
          </cell>
          <cell r="H6496" t="str">
            <v>Callitriche truncata</v>
          </cell>
        </row>
        <row r="6497">
          <cell r="A6497" t="str">
            <v>Calluna vulgaris</v>
          </cell>
          <cell r="B6497" t="str">
            <v>Vascular plants</v>
          </cell>
          <cell r="C6497" t="str">
            <v>Tracheophyta</v>
          </cell>
          <cell r="D6497" t="str">
            <v>Calluna vulgaris</v>
          </cell>
          <cell r="E6497" t="str">
            <v>LC</v>
          </cell>
          <cell r="F6497" t="str">
            <v>in Stroh et al., 2014 (from: Cheffings &amp; Farrell 2005 or subsequent amendments in Leach 2007, 2010; Leach &amp; Walker 2011, 2013)</v>
          </cell>
          <cell r="G6497" t="str">
            <v>NBNSYS0000003902</v>
          </cell>
          <cell r="H6497" t="str">
            <v>Calluna vulgaris</v>
          </cell>
        </row>
        <row r="6498">
          <cell r="A6498" t="str">
            <v>Caltha palustris</v>
          </cell>
          <cell r="B6498" t="str">
            <v>Vascular plants</v>
          </cell>
          <cell r="C6498" t="str">
            <v>Tracheophyta</v>
          </cell>
          <cell r="D6498" t="str">
            <v>Caltha palustris</v>
          </cell>
          <cell r="E6498" t="str">
            <v>LC</v>
          </cell>
          <cell r="F6498" t="str">
            <v>in Stroh et al., 2014 (from: Cheffings &amp; Farrell 2005 or subsequent amendments in Leach 2007, 2010; Leach &amp; Walker 2011, 2013)</v>
          </cell>
          <cell r="G6498" t="str">
            <v>NBNSYS0000002691</v>
          </cell>
          <cell r="H6498" t="str">
            <v>Caltha palustris</v>
          </cell>
        </row>
        <row r="6499">
          <cell r="A6499" t="str">
            <v>Calystegia sepium</v>
          </cell>
          <cell r="B6499" t="str">
            <v>Vascular plants</v>
          </cell>
          <cell r="C6499" t="str">
            <v>Tracheophyta</v>
          </cell>
          <cell r="D6499" t="str">
            <v>Calystegia sepium</v>
          </cell>
          <cell r="E6499" t="str">
            <v>LC</v>
          </cell>
          <cell r="F6499" t="str">
            <v>in Stroh et al., 2014 (from: Cheffings &amp; Farrell 2005 or subsequent amendments in Leach 2007, 2010; Leach &amp; Walker 2011, 2013)</v>
          </cell>
          <cell r="G6499" t="str">
            <v>NHMSYS0000456325</v>
          </cell>
          <cell r="H6499" t="str">
            <v>Calystegia sepium</v>
          </cell>
        </row>
        <row r="6500">
          <cell r="A6500" t="str">
            <v>Calystegia soldanella</v>
          </cell>
          <cell r="B6500" t="str">
            <v>Vascular plants</v>
          </cell>
          <cell r="C6500" t="str">
            <v>Tracheophyta</v>
          </cell>
          <cell r="D6500" t="str">
            <v>Calystegia soldanella</v>
          </cell>
          <cell r="E6500" t="str">
            <v>LC</v>
          </cell>
          <cell r="F6500" t="str">
            <v>in Stroh et al., 2014 (from: Cheffings &amp; Farrell 2005 or subsequent amendments in Leach 2007, 2010; Leach &amp; Walker 2011, 2013)</v>
          </cell>
          <cell r="G6500" t="str">
            <v>NHMSYS0000456336</v>
          </cell>
          <cell r="H6500" t="str">
            <v>Calystegia soldanella</v>
          </cell>
        </row>
        <row r="6501">
          <cell r="A6501" t="str">
            <v>Campanula glomerata</v>
          </cell>
          <cell r="B6501" t="str">
            <v>Vascular plants</v>
          </cell>
          <cell r="C6501" t="str">
            <v>Tracheophyta</v>
          </cell>
          <cell r="D6501" t="str">
            <v>Campanula glomerata</v>
          </cell>
          <cell r="E6501" t="str">
            <v>LC</v>
          </cell>
          <cell r="F6501" t="str">
            <v>in Stroh et al., 2014 (from: Cheffings &amp; Farrell 2005 or subsequent amendments in Leach 2007, 2010; Leach &amp; Walker 2011, 2013)</v>
          </cell>
          <cell r="G6501" t="str">
            <v>NBNSYS0000004287</v>
          </cell>
          <cell r="H6501" t="str">
            <v>Campanula glomerata</v>
          </cell>
        </row>
        <row r="6502">
          <cell r="A6502" t="str">
            <v>Campanula latifolia</v>
          </cell>
          <cell r="B6502" t="str">
            <v>Vascular plants</v>
          </cell>
          <cell r="C6502" t="str">
            <v>Tracheophyta</v>
          </cell>
          <cell r="D6502" t="str">
            <v>Campanula latifolia</v>
          </cell>
          <cell r="E6502" t="str">
            <v>LC</v>
          </cell>
          <cell r="F6502" t="str">
            <v>in Stroh et al., 2014 (from: Cheffings &amp; Farrell 2005 or subsequent amendments in Leach 2007, 2010; Leach &amp; Walker 2011, 2013)</v>
          </cell>
          <cell r="G6502" t="str">
            <v>NBNSYS0000004282</v>
          </cell>
          <cell r="H6502" t="str">
            <v>Campanula latifolia</v>
          </cell>
        </row>
        <row r="6503">
          <cell r="A6503" t="str">
            <v>Campanula patula</v>
          </cell>
          <cell r="B6503" t="str">
            <v>Vascular plants</v>
          </cell>
          <cell r="C6503" t="str">
            <v>Tracheophyta</v>
          </cell>
          <cell r="D6503" t="str">
            <v>Campanula patula</v>
          </cell>
          <cell r="E6503" t="str">
            <v>EN</v>
          </cell>
          <cell r="F6503" t="str">
            <v>in Stroh et al., 2014 (from: Cheffings &amp; Farrell 2005 or subsequent amendments in Leach 2007, 2010; Leach &amp; Walker 2011, 2013)</v>
          </cell>
          <cell r="G6503" t="str">
            <v>NBNSYS0000004289</v>
          </cell>
          <cell r="H6503" t="str">
            <v>Campanula patula</v>
          </cell>
        </row>
        <row r="6504">
          <cell r="A6504" t="str">
            <v>Campanula rotundifolia</v>
          </cell>
          <cell r="B6504" t="str">
            <v>Vascular plants</v>
          </cell>
          <cell r="C6504" t="str">
            <v>Tracheophyta</v>
          </cell>
          <cell r="D6504" t="str">
            <v>Campanula rotundifolia</v>
          </cell>
          <cell r="E6504" t="str">
            <v>LC</v>
          </cell>
          <cell r="F6504" t="str">
            <v>in Stroh et al., 2014 (from: Cheffings &amp; Farrell 2005 or subsequent amendments in Leach 2007, 2010; Leach &amp; Walker 2011, 2013)</v>
          </cell>
          <cell r="G6504" t="str">
            <v>NBNSYS0000004288</v>
          </cell>
          <cell r="H6504" t="str">
            <v>Campanula rotundifolia</v>
          </cell>
        </row>
        <row r="6505">
          <cell r="A6505" t="str">
            <v>Campanula trachelium</v>
          </cell>
          <cell r="B6505" t="str">
            <v>Vascular plants</v>
          </cell>
          <cell r="C6505" t="str">
            <v>Tracheophyta</v>
          </cell>
          <cell r="D6505" t="str">
            <v>Campanula trachelium</v>
          </cell>
          <cell r="E6505" t="str">
            <v>LC</v>
          </cell>
          <cell r="F6505" t="str">
            <v>in Stroh et al., 2014 (from: Cheffings &amp; Farrell 2005 or subsequent amendments in Leach 2007, 2010; Leach &amp; Walker 2011, 2013)</v>
          </cell>
          <cell r="G6505" t="str">
            <v>NBNSYS0000004283</v>
          </cell>
          <cell r="H6505" t="str">
            <v>Campanula trachelium</v>
          </cell>
        </row>
        <row r="6506">
          <cell r="A6506" t="str">
            <v>Cardamine amara</v>
          </cell>
          <cell r="B6506" t="str">
            <v>Vascular plants</v>
          </cell>
          <cell r="C6506" t="str">
            <v>Tracheophyta</v>
          </cell>
          <cell r="D6506" t="str">
            <v>Cardamine amara</v>
          </cell>
          <cell r="E6506" t="str">
            <v>LC</v>
          </cell>
          <cell r="F6506" t="str">
            <v>in Stroh et al., 2014 (from: Cheffings &amp; Farrell 2005 or subsequent amendments in Leach 2007, 2010; Leach &amp; Walker 2011, 2013)</v>
          </cell>
          <cell r="G6506" t="str">
            <v>NBNSYS0000002873</v>
          </cell>
          <cell r="H6506" t="str">
            <v>Cardamine amara</v>
          </cell>
        </row>
        <row r="6507">
          <cell r="A6507" t="str">
            <v>Cardamine bulbifera</v>
          </cell>
          <cell r="B6507" t="str">
            <v>Vascular plants</v>
          </cell>
          <cell r="C6507" t="str">
            <v>Tracheophyta</v>
          </cell>
          <cell r="D6507" t="str">
            <v>Cardamine bulbifera</v>
          </cell>
          <cell r="E6507" t="str">
            <v>LC</v>
          </cell>
          <cell r="F6507" t="str">
            <v>in Stroh et al., 2014 (from: Cheffings &amp; Farrell 2005 or subsequent amendments in Leach 2007, 2010; Leach &amp; Walker 2011, 2013)</v>
          </cell>
          <cell r="G6507" t="str">
            <v>NBNSYS0000002879</v>
          </cell>
          <cell r="H6507" t="str">
            <v>Cardamine bulbifera</v>
          </cell>
        </row>
        <row r="6508">
          <cell r="A6508" t="str">
            <v>Cardamine flexuosa</v>
          </cell>
          <cell r="B6508" t="str">
            <v>Vascular plants</v>
          </cell>
          <cell r="C6508" t="str">
            <v>Tracheophyta</v>
          </cell>
          <cell r="D6508" t="str">
            <v>Cardamine flexuosa</v>
          </cell>
          <cell r="E6508" t="str">
            <v>LC</v>
          </cell>
          <cell r="F6508" t="str">
            <v>in Stroh et al., 2014 (from: Cheffings &amp; Farrell 2005 or subsequent amendments in Leach 2007, 2010; Leach &amp; Walker 2011, 2013)</v>
          </cell>
          <cell r="G6508" t="str">
            <v>NBNSYS0000002875</v>
          </cell>
          <cell r="H6508" t="str">
            <v>Cardamine flexuosa</v>
          </cell>
        </row>
        <row r="6509">
          <cell r="A6509" t="str">
            <v>Cardamine hirsuta</v>
          </cell>
          <cell r="B6509" t="str">
            <v>Vascular plants</v>
          </cell>
          <cell r="C6509" t="str">
            <v>Tracheophyta</v>
          </cell>
          <cell r="D6509" t="str">
            <v>Cardamine hirsuta</v>
          </cell>
          <cell r="E6509" t="str">
            <v>LC</v>
          </cell>
          <cell r="F6509" t="str">
            <v>in Stroh et al., 2014 (from: Cheffings &amp; Farrell 2005 or subsequent amendments in Leach 2007, 2010; Leach &amp; Walker 2011, 2013)</v>
          </cell>
          <cell r="G6509" t="str">
            <v>NBNSYS0000002876</v>
          </cell>
          <cell r="H6509" t="str">
            <v>Cardamine hirsuta</v>
          </cell>
        </row>
        <row r="6510">
          <cell r="A6510" t="str">
            <v>Cardamine impatiens</v>
          </cell>
          <cell r="B6510" t="str">
            <v>Vascular plants</v>
          </cell>
          <cell r="C6510" t="str">
            <v>Tracheophyta</v>
          </cell>
          <cell r="D6510" t="str">
            <v>Cardamine impatiens</v>
          </cell>
          <cell r="E6510" t="str">
            <v>NT</v>
          </cell>
          <cell r="F6510" t="str">
            <v>in Stroh et al., 2014 (from: Cheffings &amp; Farrell 2005 or subsequent amendments in Leach 2007, 2010; Leach &amp; Walker 2011, 2013)</v>
          </cell>
          <cell r="G6510" t="str">
            <v>NBNSYS0000002874</v>
          </cell>
          <cell r="H6510" t="str">
            <v>Cardamine impatiens</v>
          </cell>
        </row>
        <row r="6511">
          <cell r="A6511" t="str">
            <v>Cardamine pratensis</v>
          </cell>
          <cell r="B6511" t="str">
            <v>Vascular plants</v>
          </cell>
          <cell r="C6511" t="str">
            <v>Tracheophyta</v>
          </cell>
          <cell r="D6511" t="str">
            <v>Cardamine pratensis</v>
          </cell>
          <cell r="E6511" t="str">
            <v>LC</v>
          </cell>
          <cell r="F6511" t="str">
            <v>in Stroh et al., 2014 (from: Cheffings &amp; Farrell 2005 or subsequent amendments in Leach 2007, 2010; Leach &amp; Walker 2011, 2013)</v>
          </cell>
          <cell r="G6511" t="str">
            <v>NBNSYS0000002872</v>
          </cell>
          <cell r="H6511" t="str">
            <v>Cardamine pratensis</v>
          </cell>
        </row>
        <row r="6512">
          <cell r="A6512" t="str">
            <v>Carduus crispus</v>
          </cell>
          <cell r="B6512" t="str">
            <v>Vascular plants</v>
          </cell>
          <cell r="C6512" t="str">
            <v>Tracheophyta</v>
          </cell>
          <cell r="D6512" t="str">
            <v>Carduus crispus</v>
          </cell>
          <cell r="E6512" t="str">
            <v>LC</v>
          </cell>
          <cell r="F6512" t="str">
            <v>in Stroh et al., 2014 (from: Cheffings &amp; Farrell 2005 or subsequent amendments in Leach 2007, 2010; Leach &amp; Walker 2011, 2013)</v>
          </cell>
          <cell r="G6512" t="str">
            <v>NBNSYS0000004487</v>
          </cell>
          <cell r="H6512" t="str">
            <v>Carduus crispus</v>
          </cell>
        </row>
        <row r="6513">
          <cell r="A6513" t="str">
            <v>Carduus nutans</v>
          </cell>
          <cell r="B6513" t="str">
            <v>Vascular plants</v>
          </cell>
          <cell r="C6513" t="str">
            <v>Tracheophyta</v>
          </cell>
          <cell r="D6513" t="str">
            <v>Carduus nutans</v>
          </cell>
          <cell r="E6513" t="str">
            <v>LC</v>
          </cell>
          <cell r="F6513" t="str">
            <v>in Stroh et al., 2014 (from: Cheffings &amp; Farrell 2005 or subsequent amendments in Leach 2007, 2010; Leach &amp; Walker 2011, 2013)</v>
          </cell>
          <cell r="G6513" t="str">
            <v>NBNSYS0000004486</v>
          </cell>
          <cell r="H6513" t="str">
            <v>Carduus nutans</v>
          </cell>
        </row>
        <row r="6514">
          <cell r="A6514" t="str">
            <v>Carduus tenuiflorus</v>
          </cell>
          <cell r="B6514" t="str">
            <v>Vascular plants</v>
          </cell>
          <cell r="C6514" t="str">
            <v>Tracheophyta</v>
          </cell>
          <cell r="D6514" t="str">
            <v>Carduus tenuiflorus</v>
          </cell>
          <cell r="E6514" t="str">
            <v>LC</v>
          </cell>
          <cell r="F6514" t="str">
            <v>in Stroh et al., 2014 (from: Cheffings &amp; Farrell 2005 or subsequent amendments in Leach 2007, 2010; Leach &amp; Walker 2011, 2013)</v>
          </cell>
          <cell r="G6514" t="str">
            <v>NBNSYS0000004484</v>
          </cell>
          <cell r="H6514" t="str">
            <v>Carduus tenuiflorus</v>
          </cell>
        </row>
        <row r="6515">
          <cell r="A6515" t="str">
            <v>Carex acuta</v>
          </cell>
          <cell r="B6515" t="str">
            <v>Vascular plants</v>
          </cell>
          <cell r="C6515" t="str">
            <v>Tracheophyta</v>
          </cell>
          <cell r="D6515" t="str">
            <v>Carex acuta</v>
          </cell>
          <cell r="E6515" t="str">
            <v>LC</v>
          </cell>
          <cell r="F6515" t="str">
            <v>in Stroh et al., 2014 (from: Cheffings &amp; Farrell 2005 or subsequent amendments in Leach 2007, 2010; Leach &amp; Walker 2011, 2013)</v>
          </cell>
          <cell r="G6515" t="str">
            <v>NBNSYS0000002457</v>
          </cell>
          <cell r="H6515" t="str">
            <v>Carex acuta</v>
          </cell>
        </row>
        <row r="6516">
          <cell r="A6516" t="str">
            <v>Carex acutiformis</v>
          </cell>
          <cell r="B6516" t="str">
            <v>Vascular plants</v>
          </cell>
          <cell r="C6516" t="str">
            <v>Tracheophyta</v>
          </cell>
          <cell r="D6516" t="str">
            <v>Carex acutiformis</v>
          </cell>
          <cell r="E6516" t="str">
            <v>LC</v>
          </cell>
          <cell r="F6516" t="str">
            <v>in Stroh et al., 2014 (from: Cheffings &amp; Farrell 2005 or subsequent amendments in Leach 2007, 2010; Leach &amp; Walker 2011, 2013)</v>
          </cell>
          <cell r="G6516" t="str">
            <v>NBNSYS0000002431</v>
          </cell>
          <cell r="H6516" t="str">
            <v>Carex acutiformis</v>
          </cell>
        </row>
        <row r="6517">
          <cell r="A6517" t="str">
            <v>Carex appropinquata</v>
          </cell>
          <cell r="B6517" t="str">
            <v>Vascular plants</v>
          </cell>
          <cell r="C6517" t="str">
            <v>Tracheophyta</v>
          </cell>
          <cell r="D6517" t="str">
            <v>Carex appropinquata</v>
          </cell>
          <cell r="E6517" t="str">
            <v>NT</v>
          </cell>
          <cell r="F6517" t="str">
            <v>in Stroh et al., 2014 (from: Cheffings &amp; Farrell 2005 or subsequent amendments in Leach 2007, 2010; Leach &amp; Walker 2011, 2013)</v>
          </cell>
          <cell r="G6517" t="str">
            <v>NHMSYS0000456829</v>
          </cell>
          <cell r="H6517" t="str">
            <v>Carex appropinquata</v>
          </cell>
        </row>
        <row r="6518">
          <cell r="A6518" t="str">
            <v>Carex aquatilis</v>
          </cell>
          <cell r="B6518" t="str">
            <v>Vascular plants</v>
          </cell>
          <cell r="C6518" t="str">
            <v>Tracheophyta</v>
          </cell>
          <cell r="D6518" t="str">
            <v>Carex aquatilis</v>
          </cell>
          <cell r="E6518" t="str">
            <v>LC</v>
          </cell>
          <cell r="F6518" t="str">
            <v>in Stroh et al., 2014 (from: Cheffings &amp; Farrell 2005 or subsequent amendments in Leach 2007, 2010; Leach &amp; Walker 2011, 2013)</v>
          </cell>
          <cell r="G6518" t="str">
            <v>NBNSYS0000002458</v>
          </cell>
          <cell r="H6518" t="str">
            <v>Carex aquatilis</v>
          </cell>
        </row>
        <row r="6519">
          <cell r="A6519" t="str">
            <v>Carex arenaria</v>
          </cell>
          <cell r="B6519" t="str">
            <v>Vascular plants</v>
          </cell>
          <cell r="C6519" t="str">
            <v>Tracheophyta</v>
          </cell>
          <cell r="D6519" t="str">
            <v>Carex arenaria</v>
          </cell>
          <cell r="E6519" t="str">
            <v>LC</v>
          </cell>
          <cell r="F6519" t="str">
            <v>in Stroh et al., 2014 (from: Cheffings &amp; Farrell 2005 or subsequent amendments in Leach 2007, 2010; Leach &amp; Walker 2011, 2013)</v>
          </cell>
          <cell r="G6519" t="str">
            <v>NHMSYS0000352601</v>
          </cell>
          <cell r="H6519" t="str">
            <v>Carex arenaria</v>
          </cell>
        </row>
        <row r="6520">
          <cell r="A6520" t="str">
            <v>Carex atrata</v>
          </cell>
          <cell r="B6520" t="str">
            <v>Vascular plants</v>
          </cell>
          <cell r="C6520" t="str">
            <v>Tracheophyta</v>
          </cell>
          <cell r="D6520" t="str">
            <v>Carex atrata</v>
          </cell>
          <cell r="E6520" t="str">
            <v>LC</v>
          </cell>
          <cell r="F6520" t="str">
            <v>in Stroh et al., 2014 (from: Cheffings &amp; Farrell 2005 or subsequent amendments in Leach 2007, 2010; Leach &amp; Walker 2011, 2013)</v>
          </cell>
          <cell r="G6520" t="str">
            <v>NBNSYS0000002453</v>
          </cell>
          <cell r="H6520" t="str">
            <v>Carex atrata</v>
          </cell>
        </row>
        <row r="6521">
          <cell r="A6521" t="str">
            <v>Carex bigelowii</v>
          </cell>
          <cell r="B6521" t="str">
            <v>Vascular plants</v>
          </cell>
          <cell r="C6521" t="str">
            <v>Tracheophyta</v>
          </cell>
          <cell r="D6521" t="str">
            <v>Carex bigelowii</v>
          </cell>
          <cell r="E6521" t="str">
            <v>LC</v>
          </cell>
          <cell r="F6521" t="str">
            <v>in Stroh et al., 2014 (from: Cheffings &amp; Farrell 2005 or subsequent amendments in Leach 2007, 2010; Leach &amp; Walker 2011, 2013)</v>
          </cell>
          <cell r="G6521" t="str">
            <v>NHMSYS0000456832</v>
          </cell>
          <cell r="H6521" t="str">
            <v>Carex bigelowii</v>
          </cell>
        </row>
        <row r="6522">
          <cell r="A6522" t="str">
            <v>Carex binervis</v>
          </cell>
          <cell r="B6522" t="str">
            <v>Vascular plants</v>
          </cell>
          <cell r="C6522" t="str">
            <v>Tracheophyta</v>
          </cell>
          <cell r="D6522" t="str">
            <v>Carex binervis</v>
          </cell>
          <cell r="E6522" t="str">
            <v>LC</v>
          </cell>
          <cell r="F6522" t="str">
            <v>in Stroh et al., 2014 (from: Cheffings &amp; Farrell 2005 or subsequent amendments in Leach 2007, 2010; Leach &amp; Walker 2011, 2013)</v>
          </cell>
          <cell r="G6522" t="str">
            <v>NHMSYS0000456834</v>
          </cell>
          <cell r="H6522" t="str">
            <v>Carex binervis</v>
          </cell>
        </row>
        <row r="6523">
          <cell r="A6523" t="str">
            <v>Carex canescens</v>
          </cell>
          <cell r="B6523" t="str">
            <v>Vascular plants</v>
          </cell>
          <cell r="C6523" t="str">
            <v>Tracheophyta</v>
          </cell>
          <cell r="D6523" t="str">
            <v>Carex canescens</v>
          </cell>
          <cell r="E6523" t="str">
            <v>LC</v>
          </cell>
          <cell r="F6523" t="str">
            <v>in Stroh et al., 2014 (from: Cheffings &amp; Farrell 2005 or subsequent amendments in Leach 2007, 2010; Leach &amp; Walker 2011, 2013)</v>
          </cell>
          <cell r="G6523" t="str">
            <v>NHMSYS0021128332</v>
          </cell>
          <cell r="H6523" t="str">
            <v>Carex canescens</v>
          </cell>
        </row>
        <row r="6524">
          <cell r="A6524" t="str">
            <v>Carex capillaris</v>
          </cell>
          <cell r="B6524" t="str">
            <v>Vascular plants</v>
          </cell>
          <cell r="C6524" t="str">
            <v>Tracheophyta</v>
          </cell>
          <cell r="D6524" t="str">
            <v>Carex capillaris</v>
          </cell>
          <cell r="E6524" t="str">
            <v>LC</v>
          </cell>
          <cell r="F6524" t="str">
            <v>in Stroh et al., 2014 (from: Cheffings &amp; Farrell 2005 or subsequent amendments in Leach 2007, 2010; Leach &amp; Walker 2011, 2013)</v>
          </cell>
          <cell r="G6524" t="str">
            <v>NBNSYS0000002423</v>
          </cell>
          <cell r="H6524" t="str">
            <v>Carex capillaris</v>
          </cell>
        </row>
        <row r="6525">
          <cell r="A6525" t="str">
            <v>Carex caryophyllea</v>
          </cell>
          <cell r="B6525" t="str">
            <v>Vascular plants</v>
          </cell>
          <cell r="C6525" t="str">
            <v>Tracheophyta</v>
          </cell>
          <cell r="D6525" t="str">
            <v>Carex caryophyllea</v>
          </cell>
          <cell r="E6525" t="str">
            <v>LC</v>
          </cell>
          <cell r="F6525" t="str">
            <v>in Stroh et al., 2014 (from: Cheffings &amp; Farrell 2005 or subsequent amendments in Leach 2007, 2010; Leach &amp; Walker 2011, 2013)</v>
          </cell>
          <cell r="G6525" t="str">
            <v>NHMSYS0000456837</v>
          </cell>
          <cell r="H6525" t="str">
            <v>Carex caryophyllea</v>
          </cell>
        </row>
        <row r="6526">
          <cell r="A6526" t="str">
            <v>Carex cespitosa</v>
          </cell>
          <cell r="B6526" t="str">
            <v>Vascular plants</v>
          </cell>
          <cell r="C6526" t="str">
            <v>Tracheophyta</v>
          </cell>
          <cell r="D6526" t="str">
            <v>Carex cespitosa</v>
          </cell>
          <cell r="E6526" t="str">
            <v>CR</v>
          </cell>
          <cell r="F6526" t="str">
            <v>in Stroh et al., 2014 (from: Cheffings &amp; Farrell 2005 or subsequent amendments in Leach 2007, 2010; Leach &amp; Walker 2011, 2013)</v>
          </cell>
          <cell r="G6526" t="str">
            <v>NHMSYS0021118758</v>
          </cell>
          <cell r="H6526" t="str">
            <v>Carex cespitosa</v>
          </cell>
        </row>
        <row r="6527">
          <cell r="A6527" t="str">
            <v>Carex davalliana</v>
          </cell>
          <cell r="B6527" t="str">
            <v>Vascular plants</v>
          </cell>
          <cell r="C6527" t="str">
            <v>Tracheophyta</v>
          </cell>
          <cell r="D6527" t="str">
            <v>Carex davalliana</v>
          </cell>
          <cell r="E6527" t="str">
            <v>EX</v>
          </cell>
          <cell r="F6527" t="str">
            <v>in Stroh et al., 2014 (from: Cheffings &amp; Farrell 2005 or subsequent amendments in Leach 2007, 2010; Leach &amp; Walker 2011, 2013)</v>
          </cell>
          <cell r="G6527" t="str">
            <v>NHMSYS0000456841</v>
          </cell>
          <cell r="H6527" t="str">
            <v>Carex davalliana</v>
          </cell>
        </row>
        <row r="6528">
          <cell r="A6528" t="str">
            <v>Carex demissa</v>
          </cell>
          <cell r="B6528" t="str">
            <v>Vascular plants</v>
          </cell>
          <cell r="C6528" t="str">
            <v>Tracheophyta</v>
          </cell>
          <cell r="D6528" t="str">
            <v>Carex demissa</v>
          </cell>
          <cell r="E6528" t="str">
            <v>LC</v>
          </cell>
          <cell r="F6528" t="str">
            <v>in Stroh et al., 2014 (from: Cheffings &amp; Farrell 2005 or subsequent amendments in Leach 2007, 2010; Leach &amp; Walker 2011, 2013)</v>
          </cell>
          <cell r="G6528" t="str">
            <v>NHMSYS0000456908</v>
          </cell>
          <cell r="H6528" t="str">
            <v>Carex demissa</v>
          </cell>
        </row>
        <row r="6529">
          <cell r="A6529" t="str">
            <v>Carex depauperata</v>
          </cell>
          <cell r="B6529" t="str">
            <v>Vascular plants</v>
          </cell>
          <cell r="C6529" t="str">
            <v>Tracheophyta</v>
          </cell>
          <cell r="D6529" t="str">
            <v>Carex depauperata</v>
          </cell>
          <cell r="E6529" t="str">
            <v>EN</v>
          </cell>
          <cell r="F6529" t="str">
            <v>in Stroh et al., 2014 (from: Cheffings &amp; Farrell 2005 or subsequent amendments in Leach 2007, 2010; Leach &amp; Walker 2011, 2013)</v>
          </cell>
          <cell r="G6529" t="str">
            <v>NBNSYS0000002424</v>
          </cell>
          <cell r="H6529" t="str">
            <v>Carex depauperata</v>
          </cell>
        </row>
        <row r="6530">
          <cell r="A6530" t="str">
            <v>Carex diandra</v>
          </cell>
          <cell r="B6530" t="str">
            <v>Vascular plants</v>
          </cell>
          <cell r="C6530" t="str">
            <v>Tracheophyta</v>
          </cell>
          <cell r="D6530" t="str">
            <v>Carex diandra</v>
          </cell>
          <cell r="E6530" t="str">
            <v>NT</v>
          </cell>
          <cell r="F6530" t="str">
            <v>in Stroh et al., 2014 (from: Cheffings &amp; Farrell 2005 or subsequent amendments in Leach 2007, 2010; Leach &amp; Walker 2011, 2013)</v>
          </cell>
          <cell r="G6530" t="str">
            <v>NBNSYS0000002466</v>
          </cell>
          <cell r="H6530" t="str">
            <v>Carex diandra</v>
          </cell>
        </row>
        <row r="6531">
          <cell r="A6531" t="str">
            <v>Carex digitata</v>
          </cell>
          <cell r="B6531" t="str">
            <v>Vascular plants</v>
          </cell>
          <cell r="C6531" t="str">
            <v>Tracheophyta</v>
          </cell>
          <cell r="D6531" t="str">
            <v>Carex digitata</v>
          </cell>
          <cell r="E6531" t="str">
            <v>LC</v>
          </cell>
          <cell r="F6531" t="str">
            <v>in Stroh et al., 2014 (from: Cheffings &amp; Farrell 2005 or subsequent amendments in Leach 2007, 2010; Leach &amp; Walker 2011, 2013)</v>
          </cell>
          <cell r="G6531" t="str">
            <v>NBNSYS0000002449</v>
          </cell>
          <cell r="H6531" t="str">
            <v>Carex digitata</v>
          </cell>
        </row>
        <row r="6532">
          <cell r="A6532" t="str">
            <v>Carex dioica</v>
          </cell>
          <cell r="B6532" t="str">
            <v>Vascular plants</v>
          </cell>
          <cell r="C6532" t="str">
            <v>Tracheophyta</v>
          </cell>
          <cell r="D6532" t="str">
            <v>Carex dioica</v>
          </cell>
          <cell r="E6532" t="str">
            <v>LC</v>
          </cell>
          <cell r="F6532" t="str">
            <v>in Stroh et al., 2014 (from: Cheffings &amp; Farrell 2005 or subsequent amendments in Leach 2007, 2010; Leach &amp; Walker 2011, 2013)</v>
          </cell>
          <cell r="G6532" t="str">
            <v>NHMSYS0000456843</v>
          </cell>
          <cell r="H6532" t="str">
            <v>Carex dioica</v>
          </cell>
        </row>
        <row r="6533">
          <cell r="A6533" t="str">
            <v>Carex distans</v>
          </cell>
          <cell r="B6533" t="str">
            <v>Vascular plants</v>
          </cell>
          <cell r="C6533" t="str">
            <v>Tracheophyta</v>
          </cell>
          <cell r="D6533" t="str">
            <v>Carex distans</v>
          </cell>
          <cell r="E6533" t="str">
            <v>LC</v>
          </cell>
          <cell r="F6533" t="str">
            <v>in Stroh et al., 2014 (from: Cheffings &amp; Farrell 2005 or subsequent amendments in Leach 2007, 2010; Leach &amp; Walker 2011, 2013)</v>
          </cell>
          <cell r="G6533" t="str">
            <v>NBNSYS0000002413</v>
          </cell>
          <cell r="H6533" t="str">
            <v>Carex distans</v>
          </cell>
        </row>
        <row r="6534">
          <cell r="A6534" t="str">
            <v>Carex disticha</v>
          </cell>
          <cell r="B6534" t="str">
            <v>Vascular plants</v>
          </cell>
          <cell r="C6534" t="str">
            <v>Tracheophyta</v>
          </cell>
          <cell r="D6534" t="str">
            <v>Carex disticha</v>
          </cell>
          <cell r="E6534" t="str">
            <v>LC</v>
          </cell>
          <cell r="F6534" t="str">
            <v>in Stroh et al., 2014 (from: Cheffings &amp; Farrell 2005 or subsequent amendments in Leach 2007, 2010; Leach &amp; Walker 2011, 2013)</v>
          </cell>
          <cell r="G6534" t="str">
            <v>NHMSYS0000456844</v>
          </cell>
          <cell r="H6534" t="str">
            <v>Carex disticha</v>
          </cell>
        </row>
        <row r="6535">
          <cell r="A6535" t="str">
            <v>Carex divisa</v>
          </cell>
          <cell r="B6535" t="str">
            <v>Vascular plants</v>
          </cell>
          <cell r="C6535" t="str">
            <v>Tracheophyta</v>
          </cell>
          <cell r="D6535" t="str">
            <v>Carex divisa</v>
          </cell>
          <cell r="E6535" t="str">
            <v>VU</v>
          </cell>
          <cell r="F6535" t="str">
            <v>in Stroh et al., 2014 (from: Cheffings &amp; Farrell 2005 or subsequent amendments in Leach 2007, 2010; Leach &amp; Walker 2011, 2013)</v>
          </cell>
          <cell r="G6535" t="str">
            <v>NHMSYS0000456845</v>
          </cell>
          <cell r="H6535" t="str">
            <v>Carex divisa</v>
          </cell>
        </row>
        <row r="6536">
          <cell r="A6536" t="str">
            <v>Carex divulsa</v>
          </cell>
          <cell r="B6536" t="str">
            <v>Vascular plants</v>
          </cell>
          <cell r="C6536" t="str">
            <v>Tracheophyta</v>
          </cell>
          <cell r="D6536" t="str">
            <v>Carex divulsa</v>
          </cell>
          <cell r="E6536" t="str">
            <v>LC</v>
          </cell>
          <cell r="F6536" t="str">
            <v>in Stroh et al., 2014 (from: Cheffings &amp; Farrell 2005 or subsequent amendments in Leach 2007, 2010; Leach &amp; Walker 2011, 2013)</v>
          </cell>
          <cell r="G6536" t="str">
            <v>NBNSYS0000014681</v>
          </cell>
          <cell r="H6536" t="str">
            <v>Carex divulsa</v>
          </cell>
        </row>
        <row r="6537">
          <cell r="A6537" t="str">
            <v>Carex echinata</v>
          </cell>
          <cell r="B6537" t="str">
            <v>Vascular plants</v>
          </cell>
          <cell r="C6537" t="str">
            <v>Tracheophyta</v>
          </cell>
          <cell r="D6537" t="str">
            <v>Carex echinata</v>
          </cell>
          <cell r="E6537" t="str">
            <v>LC</v>
          </cell>
          <cell r="F6537" t="str">
            <v>in Stroh et al., 2014 (from: Cheffings &amp; Farrell 2005 or subsequent amendments in Leach 2007, 2010; Leach &amp; Walker 2011, 2013)</v>
          </cell>
          <cell r="G6537" t="str">
            <v>NBNSYS0000002482</v>
          </cell>
          <cell r="H6537" t="str">
            <v>Carex echinata</v>
          </cell>
        </row>
        <row r="6538">
          <cell r="A6538" t="str">
            <v>Carex elata</v>
          </cell>
          <cell r="B6538" t="str">
            <v>Vascular plants</v>
          </cell>
          <cell r="C6538" t="str">
            <v>Tracheophyta</v>
          </cell>
          <cell r="D6538" t="str">
            <v>Carex elata</v>
          </cell>
          <cell r="E6538" t="str">
            <v>LC</v>
          </cell>
          <cell r="F6538" t="str">
            <v>in Stroh et al., 2014 (from: Cheffings &amp; Farrell 2005 or subsequent amendments in Leach 2007, 2010; Leach &amp; Walker 2011, 2013)</v>
          </cell>
          <cell r="G6538" t="str">
            <v>NBNSYS0000002456</v>
          </cell>
          <cell r="H6538" t="str">
            <v>Carex elata</v>
          </cell>
        </row>
        <row r="6539">
          <cell r="A6539" t="str">
            <v>Carex elongata</v>
          </cell>
          <cell r="B6539" t="str">
            <v>Vascular plants</v>
          </cell>
          <cell r="C6539" t="str">
            <v>Tracheophyta</v>
          </cell>
          <cell r="D6539" t="str">
            <v>Carex elongata</v>
          </cell>
          <cell r="E6539" t="str">
            <v>LC</v>
          </cell>
          <cell r="F6539" t="str">
            <v>in Stroh et al., 2014 (from: Cheffings &amp; Farrell 2005 or subsequent amendments in Leach 2007, 2010; Leach &amp; Walker 2011, 2013)</v>
          </cell>
          <cell r="G6539" t="str">
            <v>NBNSYS0000002481</v>
          </cell>
          <cell r="H6539" t="str">
            <v>Carex elongata</v>
          </cell>
        </row>
        <row r="6540">
          <cell r="A6540" t="str">
            <v>Carex ericetorum</v>
          </cell>
          <cell r="B6540" t="str">
            <v>Vascular plants</v>
          </cell>
          <cell r="C6540" t="str">
            <v>Tracheophyta</v>
          </cell>
          <cell r="D6540" t="str">
            <v>Carex ericetorum</v>
          </cell>
          <cell r="E6540" t="str">
            <v>VU</v>
          </cell>
          <cell r="F6540" t="str">
            <v>in Stroh et al., 2014 (from: Cheffings &amp; Farrell 2005 or subsequent amendments in Leach 2007, 2010; Leach &amp; Walker 2011, 2013)</v>
          </cell>
          <cell r="G6540" t="str">
            <v>NBNSYS0000002445</v>
          </cell>
          <cell r="H6540" t="str">
            <v>Carex ericetorum</v>
          </cell>
        </row>
        <row r="6541">
          <cell r="A6541" t="str">
            <v>Carex extensa</v>
          </cell>
          <cell r="B6541" t="str">
            <v>Vascular plants</v>
          </cell>
          <cell r="C6541" t="str">
            <v>Tracheophyta</v>
          </cell>
          <cell r="D6541" t="str">
            <v>Carex extensa</v>
          </cell>
          <cell r="E6541" t="str">
            <v>LC</v>
          </cell>
          <cell r="F6541" t="str">
            <v>in Stroh et al., 2014 (from: Cheffings &amp; Farrell 2005 or subsequent amendments in Leach 2007, 2010; Leach &amp; Walker 2011, 2013)</v>
          </cell>
          <cell r="G6541" t="str">
            <v>NBNSYS0000002421</v>
          </cell>
          <cell r="H6541" t="str">
            <v>Carex extensa</v>
          </cell>
        </row>
        <row r="6542">
          <cell r="A6542" t="str">
            <v>Carex filiformis</v>
          </cell>
          <cell r="B6542" t="str">
            <v>Vascular plants</v>
          </cell>
          <cell r="C6542" t="str">
            <v>Tracheophyta</v>
          </cell>
          <cell r="D6542" t="str">
            <v>Carex filiformis</v>
          </cell>
          <cell r="E6542" t="str">
            <v>LC</v>
          </cell>
          <cell r="F6542" t="str">
            <v>in Stroh et al., 2014 (from: Cheffings &amp; Farrell 2005 or subsequent amendments in Leach 2007, 2010; Leach &amp; Walker 2011, 2013)</v>
          </cell>
          <cell r="G6542" t="str">
            <v>NBNSYS0000002435</v>
          </cell>
          <cell r="H6542" t="str">
            <v>Carex filiformis</v>
          </cell>
        </row>
        <row r="6543">
          <cell r="A6543" t="str">
            <v>Carex flacca</v>
          </cell>
          <cell r="B6543" t="str">
            <v>Vascular plants</v>
          </cell>
          <cell r="C6543" t="str">
            <v>Tracheophyta</v>
          </cell>
          <cell r="D6543" t="str">
            <v>Carex flacca</v>
          </cell>
          <cell r="E6543" t="str">
            <v>LC</v>
          </cell>
          <cell r="F6543" t="str">
            <v>in Stroh et al., 2014 (from: Cheffings &amp; Farrell 2005 or subsequent amendments in Leach 2007, 2010; Leach &amp; Walker 2011, 2013)</v>
          </cell>
          <cell r="G6543" t="str">
            <v>NHMSYS0000456850</v>
          </cell>
          <cell r="H6543" t="str">
            <v>Carex flacca</v>
          </cell>
        </row>
        <row r="6544">
          <cell r="A6544" t="str">
            <v>Carex flava</v>
          </cell>
          <cell r="B6544" t="str">
            <v>Vascular plants</v>
          </cell>
          <cell r="C6544" t="str">
            <v>Tracheophyta</v>
          </cell>
          <cell r="D6544" t="str">
            <v>Carex flava</v>
          </cell>
          <cell r="E6544" t="str">
            <v>VU</v>
          </cell>
          <cell r="F6544" t="str">
            <v>in Stroh et al., 2014 (from: Cheffings &amp; Farrell 2005 or subsequent amendments in Leach 2007, 2010; Leach &amp; Walker 2011, 2013)</v>
          </cell>
          <cell r="G6544" t="str">
            <v>NBNSYS0000002417</v>
          </cell>
          <cell r="H6544" t="str">
            <v>Carex flava</v>
          </cell>
        </row>
        <row r="6545">
          <cell r="A6545" t="str">
            <v>Carex hirta</v>
          </cell>
          <cell r="B6545" t="str">
            <v>Vascular plants</v>
          </cell>
          <cell r="C6545" t="str">
            <v>Tracheophyta</v>
          </cell>
          <cell r="D6545" t="str">
            <v>Carex hirta</v>
          </cell>
          <cell r="E6545" t="str">
            <v>LC</v>
          </cell>
          <cell r="F6545" t="str">
            <v>in Stroh et al., 2014 (from: Cheffings &amp; Farrell 2005 or subsequent amendments in Leach 2007, 2010; Leach &amp; Walker 2011, 2013)</v>
          </cell>
          <cell r="G6545" t="str">
            <v>NBNSYS0000002442</v>
          </cell>
          <cell r="H6545" t="str">
            <v>Carex hirta</v>
          </cell>
        </row>
        <row r="6546">
          <cell r="A6546" t="str">
            <v>Carex hostiana</v>
          </cell>
          <cell r="B6546" t="str">
            <v>Vascular plants</v>
          </cell>
          <cell r="C6546" t="str">
            <v>Tracheophyta</v>
          </cell>
          <cell r="D6546" t="str">
            <v>Carex hostiana</v>
          </cell>
          <cell r="E6546" t="str">
            <v>LC</v>
          </cell>
          <cell r="F6546" t="str">
            <v>in Stroh et al., 2014 (from: Cheffings &amp; Farrell 2005 or subsequent amendments in Leach 2007, 2010; Leach &amp; Walker 2011, 2013)</v>
          </cell>
          <cell r="G6546" t="str">
            <v>NBNSYS0000002415</v>
          </cell>
          <cell r="H6546" t="str">
            <v>Carex hostiana</v>
          </cell>
        </row>
        <row r="6547">
          <cell r="A6547" t="str">
            <v>Carex humilis</v>
          </cell>
          <cell r="B6547" t="str">
            <v>Vascular plants</v>
          </cell>
          <cell r="C6547" t="str">
            <v>Tracheophyta</v>
          </cell>
          <cell r="D6547" t="str">
            <v>Carex humilis</v>
          </cell>
          <cell r="E6547" t="str">
            <v>LC</v>
          </cell>
          <cell r="F6547" t="str">
            <v>in Stroh et al., 2014 (from: Cheffings &amp; Farrell 2005 or subsequent amendments in Leach 2007, 2010; Leach &amp; Walker 2011, 2013)</v>
          </cell>
          <cell r="G6547" t="str">
            <v>NHMSYS0000456863</v>
          </cell>
          <cell r="H6547" t="str">
            <v>Carex humilis</v>
          </cell>
        </row>
        <row r="6548">
          <cell r="A6548" t="str">
            <v>Carex laevigata</v>
          </cell>
          <cell r="B6548" t="str">
            <v>Vascular plants</v>
          </cell>
          <cell r="C6548" t="str">
            <v>Tracheophyta</v>
          </cell>
          <cell r="D6548" t="str">
            <v>Carex laevigata</v>
          </cell>
          <cell r="E6548" t="str">
            <v>LC</v>
          </cell>
          <cell r="F6548" t="str">
            <v>in Stroh et al., 2014 (from: Cheffings &amp; Farrell 2005 or subsequent amendments in Leach 2007, 2010; Leach &amp; Walker 2011, 2013)</v>
          </cell>
          <cell r="G6548" t="str">
            <v>NHMSYS0000456866</v>
          </cell>
          <cell r="H6548" t="str">
            <v>Carex laevigata</v>
          </cell>
        </row>
        <row r="6549">
          <cell r="A6549" t="str">
            <v>Carex lasiocarpa</v>
          </cell>
          <cell r="B6549" t="str">
            <v>Vascular plants</v>
          </cell>
          <cell r="C6549" t="str">
            <v>Tracheophyta</v>
          </cell>
          <cell r="D6549" t="str">
            <v>Carex lasiocarpa</v>
          </cell>
          <cell r="E6549" t="str">
            <v>LC</v>
          </cell>
          <cell r="F6549" t="str">
            <v>in Stroh et al., 2014 (from: Cheffings &amp; Farrell 2005 or subsequent amendments in Leach 2007, 2010; Leach &amp; Walker 2011, 2013)</v>
          </cell>
          <cell r="G6549" t="str">
            <v>NBNSYS0000002443</v>
          </cell>
          <cell r="H6549" t="str">
            <v>Carex lasiocarpa</v>
          </cell>
        </row>
        <row r="6550">
          <cell r="A6550" t="str">
            <v>Carex lepidocarpa</v>
          </cell>
          <cell r="B6550" t="str">
            <v>Vascular plants</v>
          </cell>
          <cell r="C6550" t="str">
            <v>Tracheophyta</v>
          </cell>
          <cell r="D6550" t="str">
            <v>Carex lepidocarpa</v>
          </cell>
          <cell r="E6550" t="str">
            <v>LC</v>
          </cell>
          <cell r="F6550" t="str">
            <v>in Stroh et al., 2014 (from: Cheffings &amp; Farrell 2005 or subsequent amendments in Leach 2007, 2010; Leach &amp; Walker 2011, 2013)</v>
          </cell>
          <cell r="G6550" t="str">
            <v>NHMSYS0000456906</v>
          </cell>
          <cell r="H6550" t="str">
            <v>Carex lepidocarpa</v>
          </cell>
        </row>
        <row r="6551">
          <cell r="A6551" t="str">
            <v>Carex leporina</v>
          </cell>
          <cell r="B6551" t="str">
            <v>Vascular plants</v>
          </cell>
          <cell r="C6551" t="str">
            <v>Tracheophyta</v>
          </cell>
          <cell r="D6551" t="str">
            <v>Carex leporina</v>
          </cell>
          <cell r="E6551" t="str">
            <v>LC</v>
          </cell>
          <cell r="F6551" t="str">
            <v>in Stroh et al., 2014 (from: Cheffings &amp; Farrell 2005 or subsequent amendments in Leach 2007, 2010; Leach &amp; Walker 2011, 2013)</v>
          </cell>
          <cell r="G6551" t="str">
            <v>NHMSYS0021128349</v>
          </cell>
          <cell r="H6551" t="str">
            <v>Carex leporina</v>
          </cell>
        </row>
        <row r="6552">
          <cell r="A6552" t="str">
            <v>Carex limosa</v>
          </cell>
          <cell r="B6552" t="str">
            <v>Vascular plants</v>
          </cell>
          <cell r="C6552" t="str">
            <v>Tracheophyta</v>
          </cell>
          <cell r="D6552" t="str">
            <v>Carex limosa</v>
          </cell>
          <cell r="E6552" t="str">
            <v>LC</v>
          </cell>
          <cell r="F6552" t="str">
            <v>in Stroh et al., 2014 (from: Cheffings &amp; Farrell 2005 or subsequent amendments in Leach 2007, 2010; Leach &amp; Walker 2011, 2013)</v>
          </cell>
          <cell r="G6552" t="str">
            <v>NBNSYS0000002438</v>
          </cell>
          <cell r="H6552" t="str">
            <v>Carex limosa</v>
          </cell>
        </row>
        <row r="6553">
          <cell r="A6553" t="str">
            <v>Carex magellanica</v>
          </cell>
          <cell r="B6553" t="str">
            <v>Vascular plants</v>
          </cell>
          <cell r="C6553" t="str">
            <v>Tracheophyta</v>
          </cell>
          <cell r="D6553" t="str">
            <v>Carex magellanica</v>
          </cell>
          <cell r="E6553" t="str">
            <v>LC</v>
          </cell>
          <cell r="F6553" t="str">
            <v>in Stroh et al., 2014 (from: Cheffings &amp; Farrell 2005 or subsequent amendments in Leach 2007, 2010; Leach &amp; Walker 2011, 2013)</v>
          </cell>
          <cell r="G6553" t="str">
            <v>NBNSYS0000002439</v>
          </cell>
          <cell r="H6553" t="str">
            <v>Carex magellanica</v>
          </cell>
        </row>
        <row r="6554">
          <cell r="A6554" t="str">
            <v>Carex maritima</v>
          </cell>
          <cell r="B6554" t="str">
            <v>Vascular plants</v>
          </cell>
          <cell r="C6554" t="str">
            <v>Tracheophyta</v>
          </cell>
          <cell r="D6554" t="str">
            <v>Carex maritima</v>
          </cell>
          <cell r="E6554" t="str">
            <v>EN</v>
          </cell>
          <cell r="F6554" t="str">
            <v>in Stroh et al., 2014 (from: Cheffings &amp; Farrell 2005 or subsequent amendments in Leach 2007, 2010; Leach &amp; Walker 2011, 2013)</v>
          </cell>
          <cell r="G6554" t="str">
            <v>NBNSYS0000002474</v>
          </cell>
          <cell r="H6554" t="str">
            <v>Carex maritima</v>
          </cell>
        </row>
        <row r="6555">
          <cell r="A6555" t="str">
            <v>Carex montana</v>
          </cell>
          <cell r="B6555" t="str">
            <v>Vascular plants</v>
          </cell>
          <cell r="C6555" t="str">
            <v>Tracheophyta</v>
          </cell>
          <cell r="D6555" t="str">
            <v>Carex montana</v>
          </cell>
          <cell r="E6555" t="str">
            <v>LC</v>
          </cell>
          <cell r="F6555" t="str">
            <v>in Stroh et al., 2014 (from: Cheffings &amp; Farrell 2005 or subsequent amendments in Leach 2007, 2010; Leach &amp; Walker 2011, 2013)</v>
          </cell>
          <cell r="G6555" t="str">
            <v>NBNSYS0000002447</v>
          </cell>
          <cell r="H6555" t="str">
            <v>Carex montana</v>
          </cell>
        </row>
        <row r="6556">
          <cell r="A6556" t="str">
            <v>Carex muricata </v>
          </cell>
          <cell r="B6556" t="str">
            <v>Vascular plants</v>
          </cell>
          <cell r="C6556" t="str">
            <v>Tracheophyta</v>
          </cell>
          <cell r="D6556" t="str">
            <v>Carex muricata</v>
          </cell>
          <cell r="E6556" t="str">
            <v>LC</v>
          </cell>
          <cell r="F6556" t="str">
            <v>in Stroh et al., 2014 (from: Cheffings &amp; Farrell 2005 or subsequent amendments in Leach 2007, 2010; Leach &amp; Walker 2011, 2013)</v>
          </cell>
          <cell r="G6556" t="str">
            <v>NBNSYS0000039526</v>
          </cell>
          <cell r="H6556" t="str">
            <v>Carex muricata </v>
          </cell>
        </row>
        <row r="6557">
          <cell r="A6557" t="str">
            <v>Carex nigra</v>
          </cell>
          <cell r="B6557" t="str">
            <v>Vascular plants</v>
          </cell>
          <cell r="C6557" t="str">
            <v>Tracheophyta</v>
          </cell>
          <cell r="D6557" t="str">
            <v>Carex nigra</v>
          </cell>
          <cell r="E6557" t="str">
            <v>LC</v>
          </cell>
          <cell r="F6557" t="str">
            <v>in Stroh et al., 2014 (from: Cheffings &amp; Farrell 2005 or subsequent amendments in Leach 2007, 2010; Leach &amp; Walker 2011, 2013)</v>
          </cell>
          <cell r="G6557" t="str">
            <v>NBNSYS0000002460</v>
          </cell>
          <cell r="H6557" t="str">
            <v>Carex nigra</v>
          </cell>
        </row>
        <row r="6558">
          <cell r="A6558" t="str">
            <v>Carex oederi</v>
          </cell>
          <cell r="B6558" t="str">
            <v>Vascular plants</v>
          </cell>
          <cell r="C6558" t="str">
            <v>Tracheophyta</v>
          </cell>
          <cell r="D6558" t="str">
            <v>Carex oederi</v>
          </cell>
          <cell r="E6558" t="str">
            <v>LC</v>
          </cell>
          <cell r="F6558" t="str">
            <v>in Stroh et al., 2014 (from: Cheffings &amp; Farrell 2005 or subsequent amendments in Leach 2007, 2010; Leach &amp; Walker 2011, 2013)</v>
          </cell>
          <cell r="G6558" t="str">
            <v>NHMSYS0000456911</v>
          </cell>
          <cell r="H6558" t="str">
            <v>Carex oederi</v>
          </cell>
        </row>
        <row r="6559">
          <cell r="A6559" t="str">
            <v>Carex ornithopoda</v>
          </cell>
          <cell r="B6559" t="str">
            <v>Vascular plants</v>
          </cell>
          <cell r="C6559" t="str">
            <v>Tracheophyta</v>
          </cell>
          <cell r="D6559" t="str">
            <v>Carex ornithopoda</v>
          </cell>
          <cell r="E6559" t="str">
            <v>LC</v>
          </cell>
          <cell r="F6559" t="str">
            <v>in Stroh et al., 2014 (from: Cheffings &amp; Farrell 2005 or subsequent amendments in Leach 2007, 2010; Leach &amp; Walker 2011, 2013)</v>
          </cell>
          <cell r="G6559" t="str">
            <v>NBNSYS0000002450</v>
          </cell>
          <cell r="H6559" t="str">
            <v>Carex ornithopoda</v>
          </cell>
        </row>
        <row r="6560">
          <cell r="A6560" t="str">
            <v>Carex otrubae</v>
          </cell>
          <cell r="B6560" t="str">
            <v>Vascular plants</v>
          </cell>
          <cell r="C6560" t="str">
            <v>Tracheophyta</v>
          </cell>
          <cell r="D6560" t="str">
            <v>Carex otrubae</v>
          </cell>
          <cell r="E6560" t="str">
            <v>LC</v>
          </cell>
          <cell r="F6560" t="str">
            <v>in Stroh et al., 2014 (from: Cheffings &amp; Farrell 2005 or subsequent amendments in Leach 2007, 2010; Leach &amp; Walker 2011, 2013)</v>
          </cell>
          <cell r="G6560" t="str">
            <v>NBNSYS0000002467</v>
          </cell>
          <cell r="H6560" t="str">
            <v>Carex otrubae</v>
          </cell>
        </row>
        <row r="6561">
          <cell r="A6561" t="str">
            <v>Carex pallescens</v>
          </cell>
          <cell r="B6561" t="str">
            <v>Vascular plants</v>
          </cell>
          <cell r="C6561" t="str">
            <v>Tracheophyta</v>
          </cell>
          <cell r="D6561" t="str">
            <v>Carex pallescens</v>
          </cell>
          <cell r="E6561" t="str">
            <v>LC</v>
          </cell>
          <cell r="F6561" t="str">
            <v>in Stroh et al., 2014 (from: Cheffings &amp; Farrell 2005 or subsequent amendments in Leach 2007, 2010; Leach &amp; Walker 2011, 2013)</v>
          </cell>
          <cell r="G6561" t="str">
            <v>NBNSYS0000002434</v>
          </cell>
          <cell r="H6561" t="str">
            <v>Carex pallescens</v>
          </cell>
        </row>
        <row r="6562">
          <cell r="A6562" t="str">
            <v>Carex panicea</v>
          </cell>
          <cell r="B6562" t="str">
            <v>Vascular plants</v>
          </cell>
          <cell r="C6562" t="str">
            <v>Tracheophyta</v>
          </cell>
          <cell r="D6562" t="str">
            <v>Carex panicea</v>
          </cell>
          <cell r="E6562" t="str">
            <v>LC</v>
          </cell>
          <cell r="F6562" t="str">
            <v>in Stroh et al., 2014 (from: Cheffings &amp; Farrell 2005 or subsequent amendments in Leach 2007, 2010; Leach &amp; Walker 2011, 2013)</v>
          </cell>
          <cell r="G6562" t="str">
            <v>NBNSYS0000002436</v>
          </cell>
          <cell r="H6562" t="str">
            <v>Carex panicea</v>
          </cell>
        </row>
        <row r="6563">
          <cell r="A6563" t="str">
            <v>Carex paniculata</v>
          </cell>
          <cell r="B6563" t="str">
            <v>Vascular plants</v>
          </cell>
          <cell r="C6563" t="str">
            <v>Tracheophyta</v>
          </cell>
          <cell r="D6563" t="str">
            <v>Carex paniculata</v>
          </cell>
          <cell r="E6563" t="str">
            <v>LC</v>
          </cell>
          <cell r="F6563" t="str">
            <v>in Stroh et al., 2014 (from: Cheffings &amp; Farrell 2005 or subsequent amendments in Leach 2007, 2010; Leach &amp; Walker 2011, 2013)</v>
          </cell>
          <cell r="G6563" t="str">
            <v>NBNSYS0000002464</v>
          </cell>
          <cell r="H6563" t="str">
            <v>Carex paniculata</v>
          </cell>
        </row>
        <row r="6564">
          <cell r="A6564" t="str">
            <v>Carex pauciflora</v>
          </cell>
          <cell r="B6564" t="str">
            <v>Vascular plants</v>
          </cell>
          <cell r="C6564" t="str">
            <v>Tracheophyta</v>
          </cell>
          <cell r="D6564" t="str">
            <v>Carex pauciflora</v>
          </cell>
          <cell r="E6564" t="str">
            <v>LC</v>
          </cell>
          <cell r="F6564" t="str">
            <v>in Stroh et al., 2014 (from: Cheffings &amp; Farrell 2005 or subsequent amendments in Leach 2007, 2010; Leach &amp; Walker 2011, 2013)</v>
          </cell>
          <cell r="G6564" t="str">
            <v>NHMSYS0000456883</v>
          </cell>
          <cell r="H6564" t="str">
            <v>Carex pauciflora</v>
          </cell>
        </row>
        <row r="6565">
          <cell r="A6565" t="str">
            <v>Carex pendula</v>
          </cell>
          <cell r="B6565" t="str">
            <v>Vascular plants</v>
          </cell>
          <cell r="C6565" t="str">
            <v>Tracheophyta</v>
          </cell>
          <cell r="D6565" t="str">
            <v>Carex pendula</v>
          </cell>
          <cell r="E6565" t="str">
            <v>LC</v>
          </cell>
          <cell r="F6565" t="str">
            <v>in Stroh et al., 2014 (from: Cheffings &amp; Farrell 2005 or subsequent amendments in Leach 2007, 2010; Leach &amp; Walker 2011, 2013)</v>
          </cell>
          <cell r="G6565" t="str">
            <v>NHMSYS0000456886</v>
          </cell>
          <cell r="H6565" t="str">
            <v>Carex pendula</v>
          </cell>
        </row>
        <row r="6566">
          <cell r="A6566" t="str">
            <v>Carex pilulifera</v>
          </cell>
          <cell r="B6566" t="str">
            <v>Vascular plants</v>
          </cell>
          <cell r="C6566" t="str">
            <v>Tracheophyta</v>
          </cell>
          <cell r="D6566" t="str">
            <v>Carex pilulifera</v>
          </cell>
          <cell r="E6566" t="str">
            <v>LC</v>
          </cell>
          <cell r="F6566" t="str">
            <v>in Stroh et al., 2014 (from: Cheffings &amp; Farrell 2005 or subsequent amendments in Leach 2007, 2010; Leach &amp; Walker 2011, 2013)</v>
          </cell>
          <cell r="G6566" t="str">
            <v>NBNSYS0000002444</v>
          </cell>
          <cell r="H6566" t="str">
            <v>Carex pilulifera</v>
          </cell>
        </row>
        <row r="6567">
          <cell r="A6567" t="str">
            <v>Carex pseudocyperus</v>
          </cell>
          <cell r="B6567" t="str">
            <v>Vascular plants</v>
          </cell>
          <cell r="C6567" t="str">
            <v>Tracheophyta</v>
          </cell>
          <cell r="D6567" t="str">
            <v>Carex pseudocyperus</v>
          </cell>
          <cell r="E6567" t="str">
            <v>LC</v>
          </cell>
          <cell r="F6567" t="str">
            <v>in Stroh et al., 2014 (from: Cheffings &amp; Farrell 2005 or subsequent amendments in Leach 2007, 2010; Leach &amp; Walker 2011, 2013)</v>
          </cell>
          <cell r="G6567" t="str">
            <v>NBNSYS0000002425</v>
          </cell>
          <cell r="H6567" t="str">
            <v>Carex pseudocyperus</v>
          </cell>
        </row>
        <row r="6568">
          <cell r="A6568" t="str">
            <v>Carex pulicaris</v>
          </cell>
          <cell r="B6568" t="str">
            <v>Vascular plants</v>
          </cell>
          <cell r="C6568" t="str">
            <v>Tracheophyta</v>
          </cell>
          <cell r="D6568" t="str">
            <v>Carex pulicaris</v>
          </cell>
          <cell r="E6568" t="str">
            <v>LC</v>
          </cell>
          <cell r="F6568" t="str">
            <v>in Stroh et al., 2014 (from: Cheffings &amp; Farrell 2005 or subsequent amendments in Leach 2007, 2010; Leach &amp; Walker 2011, 2013)</v>
          </cell>
          <cell r="G6568" t="str">
            <v>NBNSYS0000002492</v>
          </cell>
          <cell r="H6568" t="str">
            <v>Carex pulicaris</v>
          </cell>
        </row>
        <row r="6569">
          <cell r="A6569" t="str">
            <v>Carex punctata</v>
          </cell>
          <cell r="B6569" t="str">
            <v>Vascular plants</v>
          </cell>
          <cell r="C6569" t="str">
            <v>Tracheophyta</v>
          </cell>
          <cell r="D6569" t="str">
            <v>Carex punctata</v>
          </cell>
          <cell r="E6569" t="str">
            <v>LC</v>
          </cell>
          <cell r="F6569" t="str">
            <v>in Stroh et al., 2014 (from: Cheffings &amp; Farrell 2005 or subsequent amendments in Leach 2007, 2010; Leach &amp; Walker 2011, 2013)</v>
          </cell>
          <cell r="G6569" t="str">
            <v>NBNSYS0000002414</v>
          </cell>
          <cell r="H6569" t="str">
            <v>Carex punctata</v>
          </cell>
        </row>
        <row r="6570">
          <cell r="A6570" t="str">
            <v>Carex remota</v>
          </cell>
          <cell r="B6570" t="str">
            <v>Vascular plants</v>
          </cell>
          <cell r="C6570" t="str">
            <v>Tracheophyta</v>
          </cell>
          <cell r="D6570" t="str">
            <v>Carex remota</v>
          </cell>
          <cell r="E6570" t="str">
            <v>LC</v>
          </cell>
          <cell r="F6570" t="str">
            <v>in Stroh et al., 2014 (from: Cheffings &amp; Farrell 2005 or subsequent amendments in Leach 2007, 2010; Leach &amp; Walker 2011, 2013)</v>
          </cell>
          <cell r="G6570" t="str">
            <v>NBNSYS0000002483</v>
          </cell>
          <cell r="H6570" t="str">
            <v>Carex remota</v>
          </cell>
        </row>
        <row r="6571">
          <cell r="A6571" t="str">
            <v>Carex riparia</v>
          </cell>
          <cell r="B6571" t="str">
            <v>Vascular plants</v>
          </cell>
          <cell r="C6571" t="str">
            <v>Tracheophyta</v>
          </cell>
          <cell r="D6571" t="str">
            <v>Carex riparia</v>
          </cell>
          <cell r="E6571" t="str">
            <v>LC</v>
          </cell>
          <cell r="F6571" t="str">
            <v>in Stroh et al., 2014 (from: Cheffings &amp; Farrell 2005 or subsequent amendments in Leach 2007, 2010; Leach &amp; Walker 2011, 2013)</v>
          </cell>
          <cell r="G6571" t="str">
            <v>NBNSYS0000002430</v>
          </cell>
          <cell r="H6571" t="str">
            <v>Carex riparia</v>
          </cell>
        </row>
        <row r="6572">
          <cell r="A6572" t="str">
            <v>Carex rostrata</v>
          </cell>
          <cell r="B6572" t="str">
            <v>Vascular plants</v>
          </cell>
          <cell r="C6572" t="str">
            <v>Tracheophyta</v>
          </cell>
          <cell r="D6572" t="str">
            <v>Carex rostrata</v>
          </cell>
          <cell r="E6572" t="str">
            <v>LC</v>
          </cell>
          <cell r="F6572" t="str">
            <v>in Stroh et al., 2014 (from: Cheffings &amp; Farrell 2005 or subsequent amendments in Leach 2007, 2010; Leach &amp; Walker 2011, 2013)</v>
          </cell>
          <cell r="G6572" t="str">
            <v>NBNSYS0000002426</v>
          </cell>
          <cell r="H6572" t="str">
            <v>Carex rostrata</v>
          </cell>
        </row>
        <row r="6573">
          <cell r="A6573" t="str">
            <v>Carex spicata</v>
          </cell>
          <cell r="B6573" t="str">
            <v>Vascular plants</v>
          </cell>
          <cell r="C6573" t="str">
            <v>Tracheophyta</v>
          </cell>
          <cell r="D6573" t="str">
            <v>Carex spicata</v>
          </cell>
          <cell r="E6573" t="str">
            <v>LC</v>
          </cell>
          <cell r="F6573" t="str">
            <v>in Stroh et al., 2014 (from: Cheffings &amp; Farrell 2005 or subsequent amendments in Leach 2007, 2010; Leach &amp; Walker 2011, 2013)</v>
          </cell>
          <cell r="G6573" t="str">
            <v>NHMSYS0000456896</v>
          </cell>
          <cell r="H6573" t="str">
            <v>Carex spicata</v>
          </cell>
        </row>
        <row r="6574">
          <cell r="A6574" t="str">
            <v>Carex strigosa</v>
          </cell>
          <cell r="B6574" t="str">
            <v>Vascular plants</v>
          </cell>
          <cell r="C6574" t="str">
            <v>Tracheophyta</v>
          </cell>
          <cell r="D6574" t="str">
            <v>Carex strigosa</v>
          </cell>
          <cell r="E6574" t="str">
            <v>LC</v>
          </cell>
          <cell r="F6574" t="str">
            <v>in Stroh et al., 2014 (from: Cheffings &amp; Farrell 2005 or subsequent amendments in Leach 2007, 2010; Leach &amp; Walker 2011, 2013)</v>
          </cell>
          <cell r="G6574" t="str">
            <v>NHMSYS0000456898</v>
          </cell>
          <cell r="H6574" t="str">
            <v>Carex strigosa</v>
          </cell>
        </row>
        <row r="6575">
          <cell r="A6575" t="str">
            <v>Carex sylvatica</v>
          </cell>
          <cell r="B6575" t="str">
            <v>Vascular plants</v>
          </cell>
          <cell r="C6575" t="str">
            <v>Tracheophyta</v>
          </cell>
          <cell r="D6575" t="str">
            <v>Carex sylvatica</v>
          </cell>
          <cell r="E6575" t="str">
            <v>LC</v>
          </cell>
          <cell r="F6575" t="str">
            <v>in Stroh et al., 2014 (from: Cheffings &amp; Farrell 2005 or subsequent amendments in Leach 2007, 2010; Leach &amp; Walker 2011, 2013)</v>
          </cell>
          <cell r="G6575" t="str">
            <v>NHMSYS0000456899</v>
          </cell>
          <cell r="H6575" t="str">
            <v>Carex sylvatica</v>
          </cell>
        </row>
        <row r="6576">
          <cell r="A6576" t="str">
            <v>Carex trinervis</v>
          </cell>
          <cell r="B6576" t="str">
            <v>Vascular plants</v>
          </cell>
          <cell r="C6576" t="str">
            <v>Tracheophyta</v>
          </cell>
          <cell r="D6576" t="str">
            <v>Carex trinervis</v>
          </cell>
          <cell r="E6576" t="str">
            <v>EX</v>
          </cell>
          <cell r="F6576" t="str">
            <v>in Stroh et al., 2014 (from: Cheffings &amp; Farrell 2005 or subsequent amendments in Leach 2007, 2010; Leach &amp; Walker 2011, 2013)</v>
          </cell>
          <cell r="G6576" t="str">
            <v>NBNSYS0000002461</v>
          </cell>
          <cell r="H6576" t="str">
            <v>Carex trinervis</v>
          </cell>
        </row>
        <row r="6577">
          <cell r="A6577" t="str">
            <v>Carex vaginata</v>
          </cell>
          <cell r="B6577" t="str">
            <v>Vascular plants</v>
          </cell>
          <cell r="C6577" t="str">
            <v>Tracheophyta</v>
          </cell>
          <cell r="D6577" t="str">
            <v>Carex vaginata</v>
          </cell>
          <cell r="E6577" t="str">
            <v>LC</v>
          </cell>
          <cell r="F6577" t="str">
            <v>in Stroh et al., 2014 (from: Cheffings &amp; Farrell 2005 or subsequent amendments in Leach 2007, 2010; Leach &amp; Walker 2011, 2013)</v>
          </cell>
          <cell r="G6577" t="str">
            <v>NBNSYS0000002437</v>
          </cell>
          <cell r="H6577" t="str">
            <v>Carex vaginata</v>
          </cell>
        </row>
        <row r="6578">
          <cell r="A6578" t="str">
            <v>Carex vesicaria</v>
          </cell>
          <cell r="B6578" t="str">
            <v>Vascular plants</v>
          </cell>
          <cell r="C6578" t="str">
            <v>Tracheophyta</v>
          </cell>
          <cell r="D6578" t="str">
            <v>Carex vesicaria</v>
          </cell>
          <cell r="E6578" t="str">
            <v>LC</v>
          </cell>
          <cell r="F6578" t="str">
            <v>in Stroh et al., 2014 (from: Cheffings &amp; Farrell 2005 or subsequent amendments in Leach 2007, 2010; Leach &amp; Walker 2011, 2013)</v>
          </cell>
          <cell r="G6578" t="str">
            <v>NBNSYS0000002427</v>
          </cell>
          <cell r="H6578" t="str">
            <v>Carex vesicaria</v>
          </cell>
        </row>
        <row r="6579">
          <cell r="A6579" t="str">
            <v>Carex vulpina</v>
          </cell>
          <cell r="B6579" t="str">
            <v>Vascular plants</v>
          </cell>
          <cell r="C6579" t="str">
            <v>Tracheophyta</v>
          </cell>
          <cell r="D6579" t="str">
            <v>Carex vulpina</v>
          </cell>
          <cell r="E6579" t="str">
            <v>VU</v>
          </cell>
          <cell r="F6579" t="str">
            <v>in Stroh et al., 2014 (from: Cheffings &amp; Farrell 2005 or subsequent amendments in Leach 2007, 2010; Leach &amp; Walker 2011, 2013)</v>
          </cell>
          <cell r="G6579" t="str">
            <v>NBNSYS0000002468</v>
          </cell>
          <cell r="H6579" t="str">
            <v>Carex vulpina</v>
          </cell>
        </row>
        <row r="6580">
          <cell r="A6580" t="str">
            <v>Carlina vulgaris</v>
          </cell>
          <cell r="B6580" t="str">
            <v>Vascular plants</v>
          </cell>
          <cell r="C6580" t="str">
            <v>Tracheophyta</v>
          </cell>
          <cell r="D6580" t="str">
            <v>Carlina vulgaris</v>
          </cell>
          <cell r="E6580" t="str">
            <v>LC</v>
          </cell>
          <cell r="F6580" t="str">
            <v>in Stroh et al., 2014 (from: Cheffings &amp; Farrell 2005 or subsequent amendments in Leach 2007, 2010; Leach &amp; Walker 2011, 2013)</v>
          </cell>
          <cell r="G6580" t="str">
            <v>NBNSYS0000004478</v>
          </cell>
          <cell r="H6580" t="str">
            <v>Carlina vulgaris</v>
          </cell>
        </row>
        <row r="6581">
          <cell r="A6581" t="str">
            <v>Carpinus betulus</v>
          </cell>
          <cell r="B6581" t="str">
            <v>Vascular plants</v>
          </cell>
          <cell r="C6581" t="str">
            <v>Tracheophyta</v>
          </cell>
          <cell r="D6581" t="str">
            <v>Carpinus betulus</v>
          </cell>
          <cell r="E6581" t="str">
            <v>LC</v>
          </cell>
          <cell r="F6581" t="str">
            <v>in Stroh et al., 2014 (from: Cheffings &amp; Farrell 2005 or subsequent amendments in Leach 2007, 2010; Leach &amp; Walker 2011, 2013)</v>
          </cell>
          <cell r="G6581" t="str">
            <v>NBNSYS0000003838</v>
          </cell>
          <cell r="H6581" t="str">
            <v>Carpinus betulus</v>
          </cell>
        </row>
        <row r="6582">
          <cell r="A6582" t="str">
            <v>Carum verticillatum</v>
          </cell>
          <cell r="B6582" t="str">
            <v>Vascular plants</v>
          </cell>
          <cell r="C6582" t="str">
            <v>Tracheophyta</v>
          </cell>
          <cell r="D6582" t="str">
            <v>Carum verticillatum</v>
          </cell>
          <cell r="E6582" t="str">
            <v>LC</v>
          </cell>
          <cell r="F6582" t="str">
            <v>in Stroh et al., 2014 (from: Cheffings &amp; Farrell 2005 or subsequent amendments in Leach 2007, 2010; Leach &amp; Walker 2011, 2013)</v>
          </cell>
          <cell r="G6582" t="str">
            <v>NHMSYS0000456960</v>
          </cell>
          <cell r="H6582" t="str">
            <v>Carum verticillatum</v>
          </cell>
        </row>
        <row r="6583">
          <cell r="A6583" t="str">
            <v>Catabrosa aquatica</v>
          </cell>
          <cell r="B6583" t="str">
            <v>Vascular plants</v>
          </cell>
          <cell r="C6583" t="str">
            <v>Tracheophyta</v>
          </cell>
          <cell r="D6583" t="str">
            <v>Catabrosa aquatica</v>
          </cell>
          <cell r="E6583" t="str">
            <v>LC</v>
          </cell>
          <cell r="F6583" t="str">
            <v>in Stroh et al., 2014 (from: Cheffings &amp; Farrell 2005 or subsequent amendments in Leach 2007, 2010; Leach &amp; Walker 2011, 2013)</v>
          </cell>
          <cell r="G6583" t="str">
            <v>NHMSYS0000456975</v>
          </cell>
          <cell r="H6583" t="str">
            <v>Catabrosa aquatica</v>
          </cell>
        </row>
        <row r="6584">
          <cell r="A6584" t="str">
            <v>Catapodium marinum</v>
          </cell>
          <cell r="B6584" t="str">
            <v>Vascular plants</v>
          </cell>
          <cell r="C6584" t="str">
            <v>Tracheophyta</v>
          </cell>
          <cell r="D6584" t="str">
            <v>Catapodium marinum</v>
          </cell>
          <cell r="E6584" t="str">
            <v>LC</v>
          </cell>
          <cell r="F6584" t="str">
            <v>in Stroh et al., 2014 (from: Cheffings &amp; Farrell 2005 or subsequent amendments in Leach 2007, 2010; Leach &amp; Walker 2011, 2013)</v>
          </cell>
          <cell r="G6584" t="str">
            <v>NHMSYS0000456980</v>
          </cell>
          <cell r="H6584" t="str">
            <v>Catapodium marinum</v>
          </cell>
        </row>
        <row r="6585">
          <cell r="A6585" t="str">
            <v>Catapodium rigidum</v>
          </cell>
          <cell r="B6585" t="str">
            <v>Vascular plants</v>
          </cell>
          <cell r="C6585" t="str">
            <v>Tracheophyta</v>
          </cell>
          <cell r="D6585" t="str">
            <v>Catapodium rigidum</v>
          </cell>
          <cell r="E6585" t="str">
            <v>LC</v>
          </cell>
          <cell r="F6585" t="str">
            <v>in Stroh et al., 2014 (from: Cheffings &amp; Farrell 2005 or subsequent amendments in Leach 2007, 2010; Leach &amp; Walker 2011, 2013)</v>
          </cell>
          <cell r="G6585" t="str">
            <v>NHMSYS0000456981</v>
          </cell>
          <cell r="H6585" t="str">
            <v>Catapodium rigidum</v>
          </cell>
        </row>
        <row r="6586">
          <cell r="A6586" t="str">
            <v>Centaurea debeauxii</v>
          </cell>
          <cell r="B6586" t="str">
            <v>Vascular plants</v>
          </cell>
          <cell r="C6586" t="str">
            <v>Tracheophyta</v>
          </cell>
          <cell r="D6586" t="str">
            <v>Centaurea debeauxii</v>
          </cell>
          <cell r="E6586" t="str">
            <v>LC</v>
          </cell>
          <cell r="F6586" t="str">
            <v>in Stroh et al., 2014 (from: Cheffings &amp; Farrell 2005 or subsequent amendments in Leach 2007, 2010; Leach &amp; Walker 2011, 2013)</v>
          </cell>
          <cell r="G6586" t="str">
            <v>NHMSYS0000457017</v>
          </cell>
          <cell r="H6586" t="str">
            <v>Centaurea debeauxii</v>
          </cell>
        </row>
        <row r="6587">
          <cell r="A6587" t="str">
            <v>Centaurea nigra</v>
          </cell>
          <cell r="B6587" t="str">
            <v>Vascular plants</v>
          </cell>
          <cell r="C6587" t="str">
            <v>Tracheophyta</v>
          </cell>
          <cell r="D6587" t="str">
            <v>Centaurea nigra</v>
          </cell>
          <cell r="E6587" t="str">
            <v>LC</v>
          </cell>
          <cell r="F6587" t="str">
            <v>in Stroh et al., 2014 (from: Cheffings &amp; Farrell 2005 or subsequent amendments in Leach 2007, 2010; Leach &amp; Walker 2011, 2013)</v>
          </cell>
          <cell r="G6587" t="str">
            <v>NHMSYS0021232354</v>
          </cell>
          <cell r="H6587" t="str">
            <v>Centaurea nigra</v>
          </cell>
        </row>
        <row r="6588">
          <cell r="A6588" t="str">
            <v>Centaurea scabiosa</v>
          </cell>
          <cell r="B6588" t="str">
            <v>Vascular plants</v>
          </cell>
          <cell r="C6588" t="str">
            <v>Tracheophyta</v>
          </cell>
          <cell r="D6588" t="str">
            <v>Centaurea scabiosa</v>
          </cell>
          <cell r="E6588" t="str">
            <v>LC</v>
          </cell>
          <cell r="F6588" t="str">
            <v>in Stroh et al., 2014 (from: Cheffings &amp; Farrell 2005 or subsequent amendments in Leach 2007, 2010; Leach &amp; Walker 2011, 2013)</v>
          </cell>
          <cell r="G6588" t="str">
            <v>NBNSYS0000004501</v>
          </cell>
          <cell r="H6588" t="str">
            <v>Centaurea scabiosa</v>
          </cell>
        </row>
        <row r="6589">
          <cell r="A6589" t="str">
            <v>Centaurium erythraea</v>
          </cell>
          <cell r="B6589" t="str">
            <v>Vascular plants</v>
          </cell>
          <cell r="C6589" t="str">
            <v>Tracheophyta</v>
          </cell>
          <cell r="D6589" t="str">
            <v>Centaurium erythraea</v>
          </cell>
          <cell r="E6589" t="str">
            <v>LC</v>
          </cell>
          <cell r="F6589" t="str">
            <v>in Stroh et al., 2014 (from: Cheffings &amp; Farrell 2005 or subsequent amendments in Leach 2007, 2010; Leach &amp; Walker 2011, 2013)</v>
          </cell>
          <cell r="G6589" t="str">
            <v>NHMSYS0000457033</v>
          </cell>
          <cell r="H6589" t="str">
            <v>Centaurium erythraea</v>
          </cell>
        </row>
        <row r="6590">
          <cell r="A6590" t="str">
            <v>Centaurium littorale</v>
          </cell>
          <cell r="B6590" t="str">
            <v>Vascular plants</v>
          </cell>
          <cell r="C6590" t="str">
            <v>Tracheophyta</v>
          </cell>
          <cell r="D6590" t="str">
            <v>Centaurium littorale</v>
          </cell>
          <cell r="E6590" t="str">
            <v>LC</v>
          </cell>
          <cell r="F6590" t="str">
            <v>in Stroh et al., 2014 (from: Cheffings &amp; Farrell 2005 or subsequent amendments in Leach 2007, 2010; Leach &amp; Walker 2011, 2013)</v>
          </cell>
          <cell r="G6590" t="str">
            <v>NBNSYS0000003965</v>
          </cell>
          <cell r="H6590" t="str">
            <v>Centaurium littorale</v>
          </cell>
        </row>
        <row r="6591">
          <cell r="A6591" t="str">
            <v>Centaurium pulchellum</v>
          </cell>
          <cell r="B6591" t="str">
            <v>Vascular plants</v>
          </cell>
          <cell r="C6591" t="str">
            <v>Tracheophyta</v>
          </cell>
          <cell r="D6591" t="str">
            <v>Centaurium pulchellum</v>
          </cell>
          <cell r="E6591" t="str">
            <v>LC</v>
          </cell>
          <cell r="F6591" t="str">
            <v>in Stroh et al., 2014 (from: Cheffings &amp; Farrell 2005 or subsequent amendments in Leach 2007, 2010; Leach &amp; Walker 2011, 2013)</v>
          </cell>
          <cell r="G6591" t="str">
            <v>NBNSYS0000003958</v>
          </cell>
          <cell r="H6591" t="str">
            <v>Centaurium pulchellum</v>
          </cell>
        </row>
        <row r="6592">
          <cell r="A6592" t="str">
            <v>Centaurium scilloides</v>
          </cell>
          <cell r="B6592" t="str">
            <v>Vascular plants</v>
          </cell>
          <cell r="C6592" t="str">
            <v>Tracheophyta</v>
          </cell>
          <cell r="D6592" t="str">
            <v>Centaurium scilloides</v>
          </cell>
          <cell r="E6592" t="str">
            <v>EN</v>
          </cell>
          <cell r="F6592" t="str">
            <v>in Stroh et al., 2014 (from: Cheffings &amp; Farrell 2005 or subsequent amendments in Leach 2007, 2010; Leach &amp; Walker 2011, 2013)</v>
          </cell>
          <cell r="G6592" t="str">
            <v>NHMSYS0000457036</v>
          </cell>
          <cell r="H6592" t="str">
            <v>Centaurium scilloides</v>
          </cell>
        </row>
        <row r="6593">
          <cell r="A6593" t="str">
            <v>Centaurium tenuiflorum</v>
          </cell>
          <cell r="B6593" t="str">
            <v>Vascular plants</v>
          </cell>
          <cell r="C6593" t="str">
            <v>Tracheophyta</v>
          </cell>
          <cell r="D6593" t="str">
            <v>Centaurium tenuiflorum</v>
          </cell>
          <cell r="E6593" t="str">
            <v>VU</v>
          </cell>
          <cell r="F6593" t="str">
            <v>in Stroh et al., 2014 (from: Cheffings &amp; Farrell 2005 or subsequent amendments in Leach 2007, 2010; Leach &amp; Walker 2011, 2013)</v>
          </cell>
          <cell r="G6593" t="str">
            <v>NHMSYS0000457037</v>
          </cell>
          <cell r="H6593" t="str">
            <v>Centaurium tenuiflorum</v>
          </cell>
        </row>
        <row r="6594">
          <cell r="A6594" t="str">
            <v>Centunculus minimus</v>
          </cell>
          <cell r="B6594" t="str">
            <v>Vascular plants</v>
          </cell>
          <cell r="C6594" t="str">
            <v>Tracheophyta</v>
          </cell>
          <cell r="D6594" t="str">
            <v>Centunculus minimus</v>
          </cell>
          <cell r="E6594" t="str">
            <v>NT</v>
          </cell>
          <cell r="F6594" t="str">
            <v>in Stroh et al., 2014 (from: Cheffings &amp; Farrell 2005 or subsequent amendments in Leach 2007, 2010; Leach &amp; Walker 2011, 2013)</v>
          </cell>
          <cell r="G6594" t="str">
            <v>NBNSYS0000143890</v>
          </cell>
          <cell r="H6594" t="str">
            <v>Centunculus minimus</v>
          </cell>
        </row>
        <row r="6595">
          <cell r="A6595" t="str">
            <v>Cephalanthera damasonium</v>
          </cell>
          <cell r="B6595" t="str">
            <v>Vascular plants</v>
          </cell>
          <cell r="C6595" t="str">
            <v>Tracheophyta</v>
          </cell>
          <cell r="D6595" t="str">
            <v>Cephalanthera damasonium</v>
          </cell>
          <cell r="E6595" t="str">
            <v>VU</v>
          </cell>
          <cell r="F6595" t="str">
            <v>in Stroh et al., 2014 (from: Cheffings &amp; Farrell 2005 or subsequent amendments in Leach 2007, 2010; Leach &amp; Walker 2011, 2013)</v>
          </cell>
          <cell r="G6595" t="str">
            <v>NHMSYS0000457045</v>
          </cell>
          <cell r="H6595" t="str">
            <v>Cephalanthera damasonium</v>
          </cell>
        </row>
        <row r="6596">
          <cell r="A6596" t="str">
            <v>Cephalanthera longifolia</v>
          </cell>
          <cell r="B6596" t="str">
            <v>Vascular plants</v>
          </cell>
          <cell r="C6596" t="str">
            <v>Tracheophyta</v>
          </cell>
          <cell r="D6596" t="str">
            <v>Cephalanthera longifolia</v>
          </cell>
          <cell r="E6596" t="str">
            <v>VU</v>
          </cell>
          <cell r="F6596" t="str">
            <v>in Stroh et al., 2014 (from: Cheffings &amp; Farrell 2005 or subsequent amendments in Leach 2007, 2010; Leach &amp; Walker 2011, 2013)</v>
          </cell>
          <cell r="G6596" t="str">
            <v>NBNSYS0000002286</v>
          </cell>
          <cell r="H6596" t="str">
            <v>Cephalanthera longifolia</v>
          </cell>
        </row>
        <row r="6597">
          <cell r="A6597" t="str">
            <v>Cephalanthera rubra</v>
          </cell>
          <cell r="B6597" t="str">
            <v>Vascular plants</v>
          </cell>
          <cell r="C6597" t="str">
            <v>Tracheophyta</v>
          </cell>
          <cell r="D6597" t="str">
            <v>Cephalanthera rubra</v>
          </cell>
          <cell r="E6597" t="str">
            <v>CR</v>
          </cell>
          <cell r="F6597" t="str">
            <v>in Stroh et al., 2014 (from: Cheffings &amp; Farrell 2005 or subsequent amendments in Leach 2007, 2010; Leach &amp; Walker 2011, 2013)</v>
          </cell>
          <cell r="G6597" t="str">
            <v>NHMSYS0000457046</v>
          </cell>
          <cell r="H6597" t="str">
            <v>Cephalanthera rubra</v>
          </cell>
        </row>
        <row r="6598">
          <cell r="A6598" t="str">
            <v>Cerastium alpinum</v>
          </cell>
          <cell r="B6598" t="str">
            <v>Vascular plants</v>
          </cell>
          <cell r="C6598" t="str">
            <v>Tracheophyta</v>
          </cell>
          <cell r="D6598" t="str">
            <v>Cerastium alpinum</v>
          </cell>
          <cell r="E6598" t="str">
            <v>LC</v>
          </cell>
          <cell r="F6598" t="str">
            <v>in Stroh et al., 2014 (from: Cheffings &amp; Farrell 2005 or subsequent amendments in Leach 2007, 2010; Leach &amp; Walker 2011, 2013)</v>
          </cell>
          <cell r="G6598" t="str">
            <v>NBNSYS0000003019</v>
          </cell>
          <cell r="H6598" t="str">
            <v>Cerastium alpinum</v>
          </cell>
        </row>
        <row r="6599">
          <cell r="A6599" t="str">
            <v>Cerastium arvense</v>
          </cell>
          <cell r="B6599" t="str">
            <v>Vascular plants</v>
          </cell>
          <cell r="C6599" t="str">
            <v>Tracheophyta</v>
          </cell>
          <cell r="D6599" t="str">
            <v>Cerastium arvense</v>
          </cell>
          <cell r="E6599" t="str">
            <v>LC</v>
          </cell>
          <cell r="F6599" t="str">
            <v>in Stroh et al., 2014 (from: Cheffings &amp; Farrell 2005 or subsequent amendments in Leach 2007, 2010; Leach &amp; Walker 2011, 2013)</v>
          </cell>
          <cell r="G6599" t="str">
            <v>NBNSYS0000003017</v>
          </cell>
          <cell r="H6599" t="str">
            <v>Cerastium arvense</v>
          </cell>
        </row>
        <row r="6600">
          <cell r="A6600" t="str">
            <v>Cerastium diffusum</v>
          </cell>
          <cell r="B6600" t="str">
            <v>Vascular plants</v>
          </cell>
          <cell r="C6600" t="str">
            <v>Tracheophyta</v>
          </cell>
          <cell r="D6600" t="str">
            <v>Cerastium diffusum</v>
          </cell>
          <cell r="E6600" t="str">
            <v>LC</v>
          </cell>
          <cell r="F6600" t="str">
            <v>in Stroh et al., 2014 (from: Cheffings &amp; Farrell 2005 or subsequent amendments in Leach 2007, 2010; Leach &amp; Walker 2011, 2013)</v>
          </cell>
          <cell r="G6600" t="str">
            <v>NBNSYS0000003025</v>
          </cell>
          <cell r="H6600" t="str">
            <v>Cerastium diffusum</v>
          </cell>
        </row>
        <row r="6601">
          <cell r="A6601" t="str">
            <v>Cerastium fontanum</v>
          </cell>
          <cell r="B6601" t="str">
            <v>Vascular plants</v>
          </cell>
          <cell r="C6601" t="str">
            <v>Tracheophyta</v>
          </cell>
          <cell r="D6601" t="str">
            <v>Cerastium fontanum</v>
          </cell>
          <cell r="E6601" t="str">
            <v>LC</v>
          </cell>
          <cell r="F6601" t="str">
            <v>in Stroh et al., 2014 (from: Cheffings &amp; Farrell 2005 or subsequent amendments in Leach 2007, 2010; Leach &amp; Walker 2011, 2013)</v>
          </cell>
          <cell r="G6601" t="str">
            <v>NBNSYS0000003022</v>
          </cell>
          <cell r="H6601" t="str">
            <v>Cerastium fontanum</v>
          </cell>
        </row>
        <row r="6602">
          <cell r="A6602" t="str">
            <v>Cerastium glomeratum</v>
          </cell>
          <cell r="B6602" t="str">
            <v>Vascular plants</v>
          </cell>
          <cell r="C6602" t="str">
            <v>Tracheophyta</v>
          </cell>
          <cell r="D6602" t="str">
            <v>Cerastium glomeratum</v>
          </cell>
          <cell r="E6602" t="str">
            <v>LC</v>
          </cell>
          <cell r="F6602" t="str">
            <v>in Stroh et al., 2014 (from: Cheffings &amp; Farrell 2005 or subsequent amendments in Leach 2007, 2010; Leach &amp; Walker 2011, 2013)</v>
          </cell>
          <cell r="G6602" t="str">
            <v>NBNSYS0000003023</v>
          </cell>
          <cell r="H6602" t="str">
            <v>Cerastium glomeratum</v>
          </cell>
        </row>
        <row r="6603">
          <cell r="A6603" t="str">
            <v>Cerastium pumilum</v>
          </cell>
          <cell r="B6603" t="str">
            <v>Vascular plants</v>
          </cell>
          <cell r="C6603" t="str">
            <v>Tracheophyta</v>
          </cell>
          <cell r="D6603" t="str">
            <v>Cerastium pumilum</v>
          </cell>
          <cell r="E6603" t="str">
            <v>LC</v>
          </cell>
          <cell r="F6603" t="str">
            <v>in Stroh et al., 2014 (from: Cheffings &amp; Farrell 2005 or subsequent amendments in Leach 2007, 2010; Leach &amp; Walker 2011, 2013)</v>
          </cell>
          <cell r="G6603" t="str">
            <v>NBNSYS0000003026</v>
          </cell>
          <cell r="H6603" t="str">
            <v>Cerastium pumilum</v>
          </cell>
        </row>
        <row r="6604">
          <cell r="A6604" t="str">
            <v>Cerastium semidecandrum</v>
          </cell>
          <cell r="B6604" t="str">
            <v>Vascular plants</v>
          </cell>
          <cell r="C6604" t="str">
            <v>Tracheophyta</v>
          </cell>
          <cell r="D6604" t="str">
            <v>Cerastium semidecandrum</v>
          </cell>
          <cell r="E6604" t="str">
            <v>LC</v>
          </cell>
          <cell r="F6604" t="str">
            <v>in Stroh et al., 2014 (from: Cheffings &amp; Farrell 2005 or subsequent amendments in Leach 2007, 2010; Leach &amp; Walker 2011, 2013)</v>
          </cell>
          <cell r="G6604" t="str">
            <v>NBNSYS0000003027</v>
          </cell>
          <cell r="H6604" t="str">
            <v>Cerastium semidecandrum</v>
          </cell>
        </row>
        <row r="6605">
          <cell r="A6605" t="str">
            <v>Ceratocapnos claviculata</v>
          </cell>
          <cell r="B6605" t="str">
            <v>Vascular plants</v>
          </cell>
          <cell r="C6605" t="str">
            <v>Tracheophyta</v>
          </cell>
          <cell r="D6605" t="str">
            <v>Ceratocapnos claviculata</v>
          </cell>
          <cell r="E6605" t="str">
            <v>LC</v>
          </cell>
          <cell r="F6605" t="str">
            <v>in Stroh et al., 2014 (from: Cheffings &amp; Farrell 2005 or subsequent amendments in Leach 2007, 2010; Leach &amp; Walker 2011, 2013)</v>
          </cell>
          <cell r="G6605" t="str">
            <v>NHMSYS0000457085</v>
          </cell>
          <cell r="H6605" t="str">
            <v>Ceratocapnos claviculata</v>
          </cell>
        </row>
        <row r="6606">
          <cell r="A6606" t="str">
            <v>Ceratophyllum demersum</v>
          </cell>
          <cell r="B6606" t="str">
            <v>Vascular plants</v>
          </cell>
          <cell r="C6606" t="str">
            <v>Tracheophyta</v>
          </cell>
          <cell r="D6606" t="str">
            <v>Ceratophyllum demersum</v>
          </cell>
          <cell r="E6606" t="str">
            <v>LC</v>
          </cell>
          <cell r="F6606" t="str">
            <v>in Stroh et al., 2014 (from: Cheffings &amp; Farrell 2005 or subsequent amendments in Leach 2007, 2010; Leach &amp; Walker 2011, 2013)</v>
          </cell>
          <cell r="G6606" t="str">
            <v>NBNSYS0000002761</v>
          </cell>
          <cell r="H6606" t="str">
            <v>Ceratophyllum demersum</v>
          </cell>
        </row>
        <row r="6607">
          <cell r="A6607" t="str">
            <v>Ceratophyllum submersum</v>
          </cell>
          <cell r="B6607" t="str">
            <v>Vascular plants</v>
          </cell>
          <cell r="C6607" t="str">
            <v>Tracheophyta</v>
          </cell>
          <cell r="D6607" t="str">
            <v>Ceratophyllum submersum</v>
          </cell>
          <cell r="E6607" t="str">
            <v>LC</v>
          </cell>
          <cell r="F6607" t="str">
            <v>in Stroh et al., 2014 (from: Cheffings &amp; Farrell 2005 or subsequent amendments in Leach 2007, 2010; Leach &amp; Walker 2011, 2013)</v>
          </cell>
          <cell r="G6607" t="str">
            <v>NBNSYS0000002762</v>
          </cell>
          <cell r="H6607" t="str">
            <v>Ceratophyllum submersum</v>
          </cell>
        </row>
        <row r="6608">
          <cell r="A6608" t="str">
            <v>Chaerophyllum temulum</v>
          </cell>
          <cell r="B6608" t="str">
            <v>Vascular plants</v>
          </cell>
          <cell r="C6608" t="str">
            <v>Tracheophyta</v>
          </cell>
          <cell r="D6608" t="str">
            <v>Chaerophyllum temulum</v>
          </cell>
          <cell r="E6608" t="str">
            <v>LC</v>
          </cell>
          <cell r="F6608" t="str">
            <v>in Stroh et al., 2014 (from: Cheffings &amp; Farrell 2005 or subsequent amendments in Leach 2007, 2010; Leach &amp; Walker 2011, 2013)</v>
          </cell>
          <cell r="G6608" t="str">
            <v>NBNSYS0000003638</v>
          </cell>
          <cell r="H6608" t="str">
            <v>Chaerophyllum temulum</v>
          </cell>
        </row>
        <row r="6609">
          <cell r="A6609" t="str">
            <v>Chamaemelum nobile</v>
          </cell>
          <cell r="B6609" t="str">
            <v>Vascular plants</v>
          </cell>
          <cell r="C6609" t="str">
            <v>Tracheophyta</v>
          </cell>
          <cell r="D6609" t="str">
            <v>Chamaemelum nobile</v>
          </cell>
          <cell r="E6609" t="str">
            <v>VU</v>
          </cell>
          <cell r="F6609" t="str">
            <v>in Stroh et al., 2014 (from: Cheffings &amp; Farrell 2005 or subsequent amendments in Leach 2007, 2010; Leach &amp; Walker 2011, 2013)</v>
          </cell>
          <cell r="G6609" t="str">
            <v>NBNSYS0000004450</v>
          </cell>
          <cell r="H6609" t="str">
            <v>Chamaemelum nobile</v>
          </cell>
        </row>
        <row r="6610">
          <cell r="A6610" t="str">
            <v>Chamerion angustifolium</v>
          </cell>
          <cell r="B6610" t="str">
            <v>Vascular plants</v>
          </cell>
          <cell r="C6610" t="str">
            <v>Tracheophyta</v>
          </cell>
          <cell r="D6610" t="str">
            <v>Chamerion angustifolium</v>
          </cell>
          <cell r="E6610" t="str">
            <v>LC</v>
          </cell>
          <cell r="F6610" t="str">
            <v>in Stroh et al., 2014 (from: Cheffings &amp; Farrell 2005 or subsequent amendments in Leach 2007, 2010; Leach &amp; Walker 2011, 2013)</v>
          </cell>
          <cell r="G6610" t="str">
            <v>NBNSYS0000003598</v>
          </cell>
          <cell r="H6610" t="str">
            <v>Chamerion angustifolium</v>
          </cell>
        </row>
        <row r="6611">
          <cell r="A6611" t="str">
            <v>Chenopodium album agg.</v>
          </cell>
          <cell r="B6611" t="str">
            <v>Vascular plants</v>
          </cell>
          <cell r="C6611" t="str">
            <v>Tracheophyta</v>
          </cell>
          <cell r="D6611" t="str">
            <v>Chenopodium album agg.</v>
          </cell>
          <cell r="E6611" t="str">
            <v>LC</v>
          </cell>
          <cell r="F6611" t="str">
            <v>in Stroh et al., 2014 (from: Cheffings &amp; Farrell 2005 or subsequent amendments in Leach 2007, 2010; Leach &amp; Walker 2011, 2013)</v>
          </cell>
          <cell r="G6611" t="str">
            <v>NBNSYS0000003091</v>
          </cell>
          <cell r="H6611" t="str">
            <v>Chenopodium album agg.</v>
          </cell>
        </row>
        <row r="6612">
          <cell r="A6612" t="str">
            <v>Chenopodium chenopodioides</v>
          </cell>
          <cell r="B6612" t="str">
            <v>Vascular plants</v>
          </cell>
          <cell r="C6612" t="str">
            <v>Tracheophyta</v>
          </cell>
          <cell r="D6612" t="str">
            <v>Chenopodium chenopodioides</v>
          </cell>
          <cell r="E6612" t="str">
            <v>LC</v>
          </cell>
          <cell r="F6612" t="str">
            <v>in Stroh et al., 2014 (from: Cheffings &amp; Farrell 2005 or subsequent amendments in Leach 2007, 2010; Leach &amp; Walker 2011, 2013)</v>
          </cell>
          <cell r="G6612" t="str">
            <v>NBNSYS0000003103</v>
          </cell>
          <cell r="H6612" t="str">
            <v>Chenopodium chenopodioides</v>
          </cell>
        </row>
        <row r="6613">
          <cell r="A6613" t="str">
            <v>Chenopodium rubrum</v>
          </cell>
          <cell r="B6613" t="str">
            <v>Vascular plants</v>
          </cell>
          <cell r="C6613" t="str">
            <v>Tracheophyta</v>
          </cell>
          <cell r="D6613" t="str">
            <v>Chenopodium rubrum</v>
          </cell>
          <cell r="E6613" t="str">
            <v>LC</v>
          </cell>
          <cell r="F6613" t="str">
            <v>in Stroh et al., 2014 (from: Cheffings &amp; Farrell 2005 or subsequent amendments in Leach 2007, 2010; Leach &amp; Walker 2011, 2013)</v>
          </cell>
          <cell r="G6613" t="str">
            <v>NBNSYS0000003102</v>
          </cell>
          <cell r="H6613" t="str">
            <v>Chenopodium rubrum</v>
          </cell>
        </row>
        <row r="6614">
          <cell r="A6614" t="str">
            <v>Chrysosplenium alternifolium</v>
          </cell>
          <cell r="B6614" t="str">
            <v>Vascular plants</v>
          </cell>
          <cell r="C6614" t="str">
            <v>Tracheophyta</v>
          </cell>
          <cell r="D6614" t="str">
            <v>Chrysosplenium alternifolium</v>
          </cell>
          <cell r="E6614" t="str">
            <v>LC</v>
          </cell>
          <cell r="F6614" t="str">
            <v>in Stroh et al., 2014 (from: Cheffings &amp; Farrell 2005 or subsequent amendments in Leach 2007, 2010; Leach &amp; Walker 2011, 2013)</v>
          </cell>
          <cell r="G6614" t="str">
            <v>NBNSYS0000003511</v>
          </cell>
          <cell r="H6614" t="str">
            <v>Chrysosplenium alternifolium</v>
          </cell>
        </row>
        <row r="6615">
          <cell r="A6615" t="str">
            <v>Chrysosplenium oppositifolium</v>
          </cell>
          <cell r="B6615" t="str">
            <v>Vascular plants</v>
          </cell>
          <cell r="C6615" t="str">
            <v>Tracheophyta</v>
          </cell>
          <cell r="D6615" t="str">
            <v>Chrysosplenium oppositifolium</v>
          </cell>
          <cell r="E6615" t="str">
            <v>LC</v>
          </cell>
          <cell r="F6615" t="str">
            <v>in Stroh et al., 2014 (from: Cheffings &amp; Farrell 2005 or subsequent amendments in Leach 2007, 2010; Leach &amp; Walker 2011, 2013)</v>
          </cell>
          <cell r="G6615" t="str">
            <v>NBNSYS0000003510</v>
          </cell>
          <cell r="H6615" t="str">
            <v>Chrysosplenium oppositifolium</v>
          </cell>
        </row>
        <row r="6616">
          <cell r="A6616" t="str">
            <v>Cicendia filiformis</v>
          </cell>
          <cell r="B6616" t="str">
            <v>Vascular plants</v>
          </cell>
          <cell r="C6616" t="str">
            <v>Tracheophyta</v>
          </cell>
          <cell r="D6616" t="str">
            <v>Cicendia filiformis</v>
          </cell>
          <cell r="E6616" t="str">
            <v>VU</v>
          </cell>
          <cell r="F6616" t="str">
            <v>in Stroh et al., 2014 (from: Cheffings &amp; Farrell 2005 or subsequent amendments in Leach 2007, 2010; Leach &amp; Walker 2011, 2013)</v>
          </cell>
          <cell r="G6616" t="str">
            <v>NBNSYS0000003956</v>
          </cell>
          <cell r="H6616" t="str">
            <v>Cicendia filiformis</v>
          </cell>
        </row>
        <row r="6617">
          <cell r="A6617" t="str">
            <v>Cicuta virosa</v>
          </cell>
          <cell r="B6617" t="str">
            <v>Vascular plants</v>
          </cell>
          <cell r="C6617" t="str">
            <v>Tracheophyta</v>
          </cell>
          <cell r="D6617" t="str">
            <v>Cicuta virosa</v>
          </cell>
          <cell r="E6617" t="str">
            <v>LC</v>
          </cell>
          <cell r="F6617" t="str">
            <v>in Stroh et al., 2014 (from: Cheffings &amp; Farrell 2005 or subsequent amendments in Leach 2007, 2010; Leach &amp; Walker 2011, 2013)</v>
          </cell>
          <cell r="G6617" t="str">
            <v>NBNSYS0000003674</v>
          </cell>
          <cell r="H6617" t="str">
            <v>Cicuta virosa</v>
          </cell>
        </row>
        <row r="6618">
          <cell r="A6618" t="str">
            <v>Circaea alpina</v>
          </cell>
          <cell r="B6618" t="str">
            <v>Vascular plants</v>
          </cell>
          <cell r="C6618" t="str">
            <v>Tracheophyta</v>
          </cell>
          <cell r="D6618" t="str">
            <v>Circaea alpina</v>
          </cell>
          <cell r="E6618" t="str">
            <v>LC</v>
          </cell>
          <cell r="F6618" t="str">
            <v>in Stroh et al., 2014 (from: Cheffings &amp; Farrell 2005 or subsequent amendments in Leach 2007, 2010; Leach &amp; Walker 2011, 2013)</v>
          </cell>
          <cell r="G6618" t="str">
            <v>NBNSYS0000003606</v>
          </cell>
          <cell r="H6618" t="str">
            <v>Circaea alpina</v>
          </cell>
        </row>
        <row r="6619">
          <cell r="A6619" t="str">
            <v>Circaea lutetiana</v>
          </cell>
          <cell r="B6619" t="str">
            <v>Vascular plants</v>
          </cell>
          <cell r="C6619" t="str">
            <v>Tracheophyta</v>
          </cell>
          <cell r="D6619" t="str">
            <v>Circaea lutetiana</v>
          </cell>
          <cell r="E6619" t="str">
            <v>LC</v>
          </cell>
          <cell r="F6619" t="str">
            <v>in Stroh et al., 2014 (from: Cheffings &amp; Farrell 2005 or subsequent amendments in Leach 2007, 2010; Leach &amp; Walker 2011, 2013)</v>
          </cell>
          <cell r="G6619" t="str">
            <v>NBNSYS0000003604</v>
          </cell>
          <cell r="H6619" t="str">
            <v>Circaea lutetiana</v>
          </cell>
        </row>
        <row r="6620">
          <cell r="A6620" t="str">
            <v>Cirsium acaule</v>
          </cell>
          <cell r="B6620" t="str">
            <v>Vascular plants</v>
          </cell>
          <cell r="C6620" t="str">
            <v>Tracheophyta</v>
          </cell>
          <cell r="D6620" t="str">
            <v>Cirsium acaule</v>
          </cell>
          <cell r="E6620" t="str">
            <v>LC</v>
          </cell>
          <cell r="F6620" t="str">
            <v>in Stroh et al., 2014 (from: Cheffings &amp; Farrell 2005 or subsequent amendments in Leach 2007, 2010; Leach &amp; Walker 2011, 2013)</v>
          </cell>
          <cell r="G6620" t="str">
            <v>NBNSYS0000004494</v>
          </cell>
          <cell r="H6620" t="str">
            <v>Cirsium acaule</v>
          </cell>
        </row>
        <row r="6621">
          <cell r="A6621" t="str">
            <v>Cirsium arvense</v>
          </cell>
          <cell r="B6621" t="str">
            <v>Vascular plants</v>
          </cell>
          <cell r="C6621" t="str">
            <v>Tracheophyta</v>
          </cell>
          <cell r="D6621" t="str">
            <v>Cirsium arvense</v>
          </cell>
          <cell r="E6621" t="str">
            <v>LC</v>
          </cell>
          <cell r="F6621" t="str">
            <v>in Stroh et al., 2014 (from: Cheffings &amp; Farrell 2005 or subsequent amendments in Leach 2007, 2010; Leach &amp; Walker 2011, 2013)</v>
          </cell>
          <cell r="G6621" t="str">
            <v>NBNSYS0000004492</v>
          </cell>
          <cell r="H6621" t="str">
            <v>Cirsium arvense</v>
          </cell>
        </row>
        <row r="6622">
          <cell r="A6622" t="str">
            <v>Cirsium dissectum</v>
          </cell>
          <cell r="B6622" t="str">
            <v>Vascular plants</v>
          </cell>
          <cell r="C6622" t="str">
            <v>Tracheophyta</v>
          </cell>
          <cell r="D6622" t="str">
            <v>Cirsium dissectum</v>
          </cell>
          <cell r="E6622" t="str">
            <v>LC</v>
          </cell>
          <cell r="F6622" t="str">
            <v>in Stroh et al., 2014 (from: Cheffings &amp; Farrell 2005 or subsequent amendments in Leach 2007, 2010; Leach &amp; Walker 2011, 2013)</v>
          </cell>
          <cell r="G6622" t="str">
            <v>NBNSYS0000004496</v>
          </cell>
          <cell r="H6622" t="str">
            <v>Cirsium dissectum</v>
          </cell>
        </row>
        <row r="6623">
          <cell r="A6623" t="str">
            <v>Cirsium eriophorum</v>
          </cell>
          <cell r="B6623" t="str">
            <v>Vascular plants</v>
          </cell>
          <cell r="C6623" t="str">
            <v>Tracheophyta</v>
          </cell>
          <cell r="D6623" t="str">
            <v>Cirsium eriophorum</v>
          </cell>
          <cell r="E6623" t="str">
            <v>LC</v>
          </cell>
          <cell r="F6623" t="str">
            <v>in Stroh et al., 2014 (from: Cheffings &amp; Farrell 2005 or subsequent amendments in Leach 2007, 2010; Leach &amp; Walker 2011, 2013)</v>
          </cell>
          <cell r="G6623" t="str">
            <v>NBNSYS0000004489</v>
          </cell>
          <cell r="H6623" t="str">
            <v>Cirsium eriophorum</v>
          </cell>
        </row>
        <row r="6624">
          <cell r="A6624" t="str">
            <v>Cirsium heterophyllum</v>
          </cell>
          <cell r="B6624" t="str">
            <v>Vascular plants</v>
          </cell>
          <cell r="C6624" t="str">
            <v>Tracheophyta</v>
          </cell>
          <cell r="D6624" t="str">
            <v>Cirsium heterophyllum</v>
          </cell>
          <cell r="E6624" t="str">
            <v>LC</v>
          </cell>
          <cell r="F6624" t="str">
            <v>in Stroh et al., 2014 (from: Cheffings &amp; Farrell 2005 or subsequent amendments in Leach 2007, 2010; Leach &amp; Walker 2011, 2013)</v>
          </cell>
          <cell r="G6624" t="str">
            <v>NBNSYS0000004495</v>
          </cell>
          <cell r="H6624" t="str">
            <v>Cirsium heterophyllum</v>
          </cell>
        </row>
        <row r="6625">
          <cell r="A6625" t="str">
            <v>Cirsium palustre</v>
          </cell>
          <cell r="B6625" t="str">
            <v>Vascular plants</v>
          </cell>
          <cell r="C6625" t="str">
            <v>Tracheophyta</v>
          </cell>
          <cell r="D6625" t="str">
            <v>Cirsium palustre</v>
          </cell>
          <cell r="E6625" t="str">
            <v>LC</v>
          </cell>
          <cell r="F6625" t="str">
            <v>in Stroh et al., 2014 (from: Cheffings &amp; Farrell 2005 or subsequent amendments in Leach 2007, 2010; Leach &amp; Walker 2011, 2013)</v>
          </cell>
          <cell r="G6625" t="str">
            <v>NBNSYS0000004491</v>
          </cell>
          <cell r="H6625" t="str">
            <v>Cirsium palustre</v>
          </cell>
        </row>
        <row r="6626">
          <cell r="A6626" t="str">
            <v>Cirsium tuberosum</v>
          </cell>
          <cell r="B6626" t="str">
            <v>Vascular plants</v>
          </cell>
          <cell r="C6626" t="str">
            <v>Tracheophyta</v>
          </cell>
          <cell r="D6626" t="str">
            <v>Cirsium tuberosum</v>
          </cell>
          <cell r="E6626" t="str">
            <v>NT</v>
          </cell>
          <cell r="F6626" t="str">
            <v>in Stroh et al., 2014 (from: Cheffings &amp; Farrell 2005 or subsequent amendments in Leach 2007, 2010; Leach &amp; Walker 2011, 2013)</v>
          </cell>
          <cell r="G6626" t="str">
            <v>NBNSYS0000004497</v>
          </cell>
          <cell r="H6626" t="str">
            <v>Cirsium tuberosum</v>
          </cell>
        </row>
        <row r="6627">
          <cell r="A6627" t="str">
            <v>Cirsium vulgare</v>
          </cell>
          <cell r="B6627" t="str">
            <v>Vascular plants</v>
          </cell>
          <cell r="C6627" t="str">
            <v>Tracheophyta</v>
          </cell>
          <cell r="D6627" t="str">
            <v>Cirsium vulgare</v>
          </cell>
          <cell r="E6627" t="str">
            <v>LC</v>
          </cell>
          <cell r="F6627" t="str">
            <v>in Stroh et al., 2014 (from: Cheffings &amp; Farrell 2005 or subsequent amendments in Leach 2007, 2010; Leach &amp; Walker 2011, 2013)</v>
          </cell>
          <cell r="G6627" t="str">
            <v>NBNSYS0000004490</v>
          </cell>
          <cell r="H6627" t="str">
            <v>Cirsium vulgare</v>
          </cell>
        </row>
        <row r="6628">
          <cell r="A6628" t="str">
            <v>Cladium mariscus</v>
          </cell>
          <cell r="B6628" t="str">
            <v>Vascular plants</v>
          </cell>
          <cell r="C6628" t="str">
            <v>Tracheophyta</v>
          </cell>
          <cell r="D6628" t="str">
            <v>Cladium mariscus</v>
          </cell>
          <cell r="E6628" t="str">
            <v>LC</v>
          </cell>
          <cell r="F6628" t="str">
            <v>in Stroh et al., 2014 (from: Cheffings &amp; Farrell 2005 or subsequent amendments in Leach 2007, 2010; Leach &amp; Walker 2011, 2013)</v>
          </cell>
          <cell r="G6628" t="str">
            <v>NBNSYS0000002409</v>
          </cell>
          <cell r="H6628" t="str">
            <v>Cladium mariscus</v>
          </cell>
        </row>
        <row r="6629">
          <cell r="A6629" t="str">
            <v>Clematis vitalba</v>
          </cell>
          <cell r="B6629" t="str">
            <v>Vascular plants</v>
          </cell>
          <cell r="C6629" t="str">
            <v>Tracheophyta</v>
          </cell>
          <cell r="D6629" t="str">
            <v>Clematis vitalba</v>
          </cell>
          <cell r="E6629" t="str">
            <v>LC</v>
          </cell>
          <cell r="F6629" t="str">
            <v>in Stroh et al., 2014 (from: Cheffings &amp; Farrell 2005 or subsequent amendments in Leach 2007, 2010; Leach &amp; Walker 2011, 2013)</v>
          </cell>
          <cell r="G6629" t="str">
            <v>NBNSYS0000002704</v>
          </cell>
          <cell r="H6629" t="str">
            <v>Clematis vitalba</v>
          </cell>
        </row>
        <row r="6630">
          <cell r="A6630" t="str">
            <v>Clinopodium acinos</v>
          </cell>
          <cell r="B6630" t="str">
            <v>Vascular plants</v>
          </cell>
          <cell r="C6630" t="str">
            <v>Tracheophyta</v>
          </cell>
          <cell r="D6630" t="str">
            <v>Clinopodium acinos</v>
          </cell>
          <cell r="E6630" t="str">
            <v>VU</v>
          </cell>
          <cell r="F6630" t="str">
            <v>in Stroh et al., 2014 (from: Cheffings &amp; Farrell 2005 or subsequent amendments in Leach 2007, 2010; Leach &amp; Walker 2011, 2013)</v>
          </cell>
          <cell r="G6630" t="str">
            <v>NBNSYS0000004216</v>
          </cell>
          <cell r="H6630" t="str">
            <v>Clinopodium acinos</v>
          </cell>
        </row>
        <row r="6631">
          <cell r="A6631" t="str">
            <v>Clinopodium ascendens</v>
          </cell>
          <cell r="B6631" t="str">
            <v>Vascular plants</v>
          </cell>
          <cell r="C6631" t="str">
            <v>Tracheophyta</v>
          </cell>
          <cell r="D6631" t="str">
            <v>Clinopodium ascendens</v>
          </cell>
          <cell r="E6631" t="str">
            <v>LC</v>
          </cell>
          <cell r="F6631" t="str">
            <v>in Stroh et al., 2014 (from: Cheffings &amp; Farrell 2005 or subsequent amendments in Leach 2007, 2010; Leach &amp; Walker 2011, 2013)</v>
          </cell>
          <cell r="G6631" t="str">
            <v>NHMSYS0000457382</v>
          </cell>
          <cell r="H6631" t="str">
            <v>Clinopodium ascendens</v>
          </cell>
        </row>
        <row r="6632">
          <cell r="A6632" t="str">
            <v>Clinopodium calamintha</v>
          </cell>
          <cell r="B6632" t="str">
            <v>Vascular plants</v>
          </cell>
          <cell r="C6632" t="str">
            <v>Tracheophyta</v>
          </cell>
          <cell r="D6632" t="str">
            <v>Clinopodium calamintha</v>
          </cell>
          <cell r="E6632" t="str">
            <v>VU</v>
          </cell>
          <cell r="F6632" t="str">
            <v>in Stroh et al., 2014 (from: Cheffings &amp; Farrell 2005 or subsequent amendments in Leach 2007, 2010; Leach &amp; Walker 2011, 2013)</v>
          </cell>
          <cell r="G6632" t="str">
            <v>NBNSYS0000004215</v>
          </cell>
          <cell r="H6632" t="str">
            <v>Clinopodium calamintha</v>
          </cell>
        </row>
        <row r="6633">
          <cell r="A6633" t="str">
            <v>Clinopodium menthifolium</v>
          </cell>
          <cell r="B6633" t="str">
            <v>Vascular plants</v>
          </cell>
          <cell r="C6633" t="str">
            <v>Tracheophyta</v>
          </cell>
          <cell r="D6633" t="str">
            <v>Clinopodium menthifolium</v>
          </cell>
          <cell r="E6633" t="str">
            <v>CR</v>
          </cell>
          <cell r="F6633" t="str">
            <v>in Stroh et al., 2014 (from: Cheffings &amp; Farrell 2005 or subsequent amendments in Leach 2007, 2010; Leach &amp; Walker 2011, 2013)</v>
          </cell>
          <cell r="G6633" t="str">
            <v>NBNSYS0000004213</v>
          </cell>
          <cell r="H6633" t="str">
            <v>Clinopodium menthifolium</v>
          </cell>
        </row>
        <row r="6634">
          <cell r="A6634" t="str">
            <v>Clinopodium vulgare</v>
          </cell>
          <cell r="B6634" t="str">
            <v>Vascular plants</v>
          </cell>
          <cell r="C6634" t="str">
            <v>Tracheophyta</v>
          </cell>
          <cell r="D6634" t="str">
            <v>Clinopodium vulgare</v>
          </cell>
          <cell r="E6634" t="str">
            <v>LC</v>
          </cell>
          <cell r="F6634" t="str">
            <v>in Stroh et al., 2014 (from: Cheffings &amp; Farrell 2005 or subsequent amendments in Leach 2007, 2010; Leach &amp; Walker 2011, 2013)</v>
          </cell>
          <cell r="G6634" t="str">
            <v>NBNSYS0000004217</v>
          </cell>
          <cell r="H6634" t="str">
            <v>Clinopodium vulgare</v>
          </cell>
        </row>
        <row r="6635">
          <cell r="A6635" t="str">
            <v>Cochlearia anglica</v>
          </cell>
          <cell r="B6635" t="str">
            <v>Vascular plants</v>
          </cell>
          <cell r="C6635" t="str">
            <v>Tracheophyta</v>
          </cell>
          <cell r="D6635" t="str">
            <v>Cochlearia anglica</v>
          </cell>
          <cell r="E6635" t="str">
            <v>LC</v>
          </cell>
          <cell r="F6635" t="str">
            <v>in Stroh et al., 2014 (from: Cheffings &amp; Farrell 2005 or subsequent amendments in Leach 2007, 2010; Leach &amp; Walker 2011, 2013)</v>
          </cell>
          <cell r="G6635" t="str">
            <v>NBNSYS0000002855</v>
          </cell>
          <cell r="H6635" t="str">
            <v>Cochlearia anglica</v>
          </cell>
        </row>
        <row r="6636">
          <cell r="A6636" t="str">
            <v>Cochlearia danica</v>
          </cell>
          <cell r="B6636" t="str">
            <v>Vascular plants</v>
          </cell>
          <cell r="C6636" t="str">
            <v>Tracheophyta</v>
          </cell>
          <cell r="D6636" t="str">
            <v>Cochlearia danica</v>
          </cell>
          <cell r="E6636" t="str">
            <v>LC</v>
          </cell>
          <cell r="F6636" t="str">
            <v>in Stroh et al., 2014 (from: Cheffings &amp; Farrell 2005 or subsequent amendments in Leach 2007, 2010; Leach &amp; Walker 2011, 2013)</v>
          </cell>
          <cell r="G6636" t="str">
            <v>NBNSYS0000002854</v>
          </cell>
          <cell r="H6636" t="str">
            <v>Cochlearia danica</v>
          </cell>
        </row>
        <row r="6637">
          <cell r="A6637" t="str">
            <v>Cochlearia officinalis</v>
          </cell>
          <cell r="B6637" t="str">
            <v>Vascular plants</v>
          </cell>
          <cell r="C6637" t="str">
            <v>Tracheophyta</v>
          </cell>
          <cell r="D6637" t="str">
            <v>Cochlearia officinalis</v>
          </cell>
          <cell r="E6637" t="str">
            <v>LC</v>
          </cell>
          <cell r="F6637" t="str">
            <v>in Stroh et al., 2014 (from: Cheffings &amp; Farrell 2005 or subsequent amendments in Leach 2007, 2010; Leach &amp; Walker 2011, 2013)</v>
          </cell>
          <cell r="G6637" t="str">
            <v>NHMSYS0000457397</v>
          </cell>
          <cell r="H6637" t="str">
            <v>Cochlearia officinalis</v>
          </cell>
        </row>
        <row r="6638">
          <cell r="A6638" t="str">
            <v>Cochlearia pyrenaica</v>
          </cell>
          <cell r="B6638" t="str">
            <v>Vascular plants</v>
          </cell>
          <cell r="C6638" t="str">
            <v>Tracheophyta</v>
          </cell>
          <cell r="D6638" t="str">
            <v>Cochlearia pyrenaica</v>
          </cell>
          <cell r="E6638" t="str">
            <v>LC</v>
          </cell>
          <cell r="F6638" t="str">
            <v>in Stroh et al., 2014 (from: Cheffings &amp; Farrell 2005 or subsequent amendments in Leach 2007, 2010; Leach &amp; Walker 2011, 2013)</v>
          </cell>
          <cell r="G6638" t="str">
            <v>NBNSYS0000002851</v>
          </cell>
          <cell r="H6638" t="str">
            <v>Cochlearia pyrenaica</v>
          </cell>
        </row>
        <row r="6639">
          <cell r="A6639" t="str">
            <v>Coeloglossum viride</v>
          </cell>
          <cell r="B6639" t="str">
            <v>Vascular plants</v>
          </cell>
          <cell r="C6639" t="str">
            <v>Tracheophyta</v>
          </cell>
          <cell r="D6639" t="str">
            <v>Coeloglossum viride</v>
          </cell>
          <cell r="E6639" t="str">
            <v>VU</v>
          </cell>
          <cell r="F6639" t="str">
            <v>in Stroh et al., 2014 (from: Cheffings &amp; Farrell 2005 or subsequent amendments in Leach 2007, 2010; Leach &amp; Walker 2011, 2013)</v>
          </cell>
          <cell r="G6639" t="str">
            <v>NHMSYS0000457408</v>
          </cell>
          <cell r="H6639" t="str">
            <v>Coeloglossum viride</v>
          </cell>
        </row>
        <row r="6640">
          <cell r="A6640" t="str">
            <v>Coincya monensis</v>
          </cell>
          <cell r="B6640" t="str">
            <v>Vascular plants</v>
          </cell>
          <cell r="C6640" t="str">
            <v>Tracheophyta</v>
          </cell>
          <cell r="D6640" t="str">
            <v>Coincya monensis</v>
          </cell>
          <cell r="E6640" t="str">
            <v>LC</v>
          </cell>
          <cell r="F6640" t="str">
            <v>in Stroh et al., 2014 (from: Cheffings &amp; Farrell 2005 or subsequent amendments in Leach 2007, 2010; Leach &amp; Walker 2011, 2013)</v>
          </cell>
          <cell r="G6640" t="str">
            <v>NBNSYS0000034043</v>
          </cell>
          <cell r="H6640" t="str">
            <v>Coincya monensis</v>
          </cell>
        </row>
        <row r="6641">
          <cell r="A6641" t="str">
            <v>Coincya wrightii</v>
          </cell>
          <cell r="B6641" t="str">
            <v>Vascular plants</v>
          </cell>
          <cell r="C6641" t="str">
            <v>Tracheophyta</v>
          </cell>
          <cell r="D6641" t="str">
            <v>Coincya wrightii</v>
          </cell>
          <cell r="E6641" t="str">
            <v>VU</v>
          </cell>
          <cell r="F6641" t="str">
            <v>in Stroh et al., 2014 (from: Cheffings &amp; Farrell 2005 or subsequent amendments in Leach 2007, 2010; Leach &amp; Walker 2011, 2013)</v>
          </cell>
          <cell r="G6641" t="str">
            <v>NHMSYS0000457413</v>
          </cell>
          <cell r="H6641" t="str">
            <v>Coincya wrightii</v>
          </cell>
        </row>
        <row r="6642">
          <cell r="A6642" t="str">
            <v>Colchicum autumnale</v>
          </cell>
          <cell r="B6642" t="str">
            <v>Vascular plants</v>
          </cell>
          <cell r="C6642" t="str">
            <v>Tracheophyta</v>
          </cell>
          <cell r="D6642" t="str">
            <v>Colchicum autumnale</v>
          </cell>
          <cell r="E6642" t="str">
            <v>NT</v>
          </cell>
          <cell r="F6642" t="str">
            <v>in Stroh et al., 2014 (from: Cheffings &amp; Farrell 2005 or subsequent amendments in Leach 2007, 2010; Leach &amp; Walker 2011, 2013)</v>
          </cell>
          <cell r="G6642" t="str">
            <v>NBNSYS0000002189</v>
          </cell>
          <cell r="H6642" t="str">
            <v>Colchicum autumnale</v>
          </cell>
        </row>
        <row r="6643">
          <cell r="A6643" t="str">
            <v>Comarum palustre</v>
          </cell>
          <cell r="B6643" t="str">
            <v>Vascular plants</v>
          </cell>
          <cell r="C6643" t="str">
            <v>Tracheophyta</v>
          </cell>
          <cell r="D6643" t="str">
            <v>Comarum palustre</v>
          </cell>
          <cell r="E6643" t="str">
            <v>LC</v>
          </cell>
          <cell r="F6643" t="str">
            <v>in Stroh et al., 2014 (from: Cheffings &amp; Farrell 2005 or subsequent amendments in Leach 2007, 2010; Leach &amp; Walker 2011, 2013)</v>
          </cell>
          <cell r="G6643" t="str">
            <v>NBNSYS0000003338</v>
          </cell>
          <cell r="H6643" t="str">
            <v>Comarum palustre</v>
          </cell>
        </row>
        <row r="6644">
          <cell r="A6644" t="str">
            <v>Conopodium majus</v>
          </cell>
          <cell r="B6644" t="str">
            <v>Vascular plants</v>
          </cell>
          <cell r="C6644" t="str">
            <v>Tracheophyta</v>
          </cell>
          <cell r="D6644" t="str">
            <v>Conopodium majus</v>
          </cell>
          <cell r="E6644" t="str">
            <v>LC</v>
          </cell>
          <cell r="F6644" t="str">
            <v>in Stroh et al., 2014 (from: Cheffings &amp; Farrell 2005 or subsequent amendments in Leach 2007, 2010; Leach &amp; Walker 2011, 2013)</v>
          </cell>
          <cell r="G6644" t="str">
            <v>NBNSYS0000003681</v>
          </cell>
          <cell r="H6644" t="str">
            <v>Conopodium majus</v>
          </cell>
        </row>
        <row r="6645">
          <cell r="A6645" t="str">
            <v>Convallaria majalis</v>
          </cell>
          <cell r="B6645" t="str">
            <v>Vascular plants</v>
          </cell>
          <cell r="C6645" t="str">
            <v>Tracheophyta</v>
          </cell>
          <cell r="D6645" t="str">
            <v>Convallaria majalis</v>
          </cell>
          <cell r="E6645" t="str">
            <v>LC</v>
          </cell>
          <cell r="F6645" t="str">
            <v>in Stroh et al., 2014 (from: Cheffings &amp; Farrell 2005 or subsequent amendments in Leach 2007, 2010; Leach &amp; Walker 2011, 2013)</v>
          </cell>
          <cell r="G6645" t="str">
            <v>NBNSYS0000002161</v>
          </cell>
          <cell r="H6645" t="str">
            <v>Convallaria majalis</v>
          </cell>
        </row>
        <row r="6646">
          <cell r="A6646" t="str">
            <v>Convolvulus arvensis</v>
          </cell>
          <cell r="B6646" t="str">
            <v>Vascular plants</v>
          </cell>
          <cell r="C6646" t="str">
            <v>Tracheophyta</v>
          </cell>
          <cell r="D6646" t="str">
            <v>Convolvulus arvensis</v>
          </cell>
          <cell r="E6646" t="str">
            <v>LC</v>
          </cell>
          <cell r="F6646" t="str">
            <v>in Stroh et al., 2014 (from: Cheffings &amp; Farrell 2005 or subsequent amendments in Leach 2007, 2010; Leach &amp; Walker 2011, 2013)</v>
          </cell>
          <cell r="G6646" t="str">
            <v>NBNSYS0000004022</v>
          </cell>
          <cell r="H6646" t="str">
            <v>Convolvulus arvensis</v>
          </cell>
        </row>
        <row r="6647">
          <cell r="A6647" t="str">
            <v>Corallorhiza trifida</v>
          </cell>
          <cell r="B6647" t="str">
            <v>Vascular plants</v>
          </cell>
          <cell r="C6647" t="str">
            <v>Tracheophyta</v>
          </cell>
          <cell r="D6647" t="str">
            <v>Corallorhiza trifida</v>
          </cell>
          <cell r="E6647" t="str">
            <v>VU</v>
          </cell>
          <cell r="F6647" t="str">
            <v>in Stroh et al., 2014 (from: Cheffings &amp; Farrell 2005 or subsequent amendments in Leach 2007, 2010; Leach &amp; Walker 2011, 2013)</v>
          </cell>
          <cell r="G6647" t="str">
            <v>NHMSYS0000457493</v>
          </cell>
          <cell r="H6647" t="str">
            <v>Corallorhiza trifida</v>
          </cell>
        </row>
        <row r="6648">
          <cell r="A6648" t="str">
            <v>Cornus sanguinea</v>
          </cell>
          <cell r="B6648" t="str">
            <v>Vascular plants</v>
          </cell>
          <cell r="C6648" t="str">
            <v>Tracheophyta</v>
          </cell>
          <cell r="D6648" t="str">
            <v>Cornus sanguinea</v>
          </cell>
          <cell r="E6648" t="str">
            <v>LC</v>
          </cell>
          <cell r="F6648" t="str">
            <v>in Stroh et al., 2014 (from: Cheffings &amp; Farrell 2005 or subsequent amendments in Leach 2007, 2010; Leach &amp; Walker 2011, 2013)</v>
          </cell>
          <cell r="G6648" t="str">
            <v>NBNSYS0000003626</v>
          </cell>
          <cell r="H6648" t="str">
            <v>Cornus sanguinea</v>
          </cell>
        </row>
        <row r="6649">
          <cell r="A6649" t="str">
            <v>Cornus suecica</v>
          </cell>
          <cell r="B6649" t="str">
            <v>Vascular plants</v>
          </cell>
          <cell r="C6649" t="str">
            <v>Tracheophyta</v>
          </cell>
          <cell r="D6649" t="str">
            <v>Cornus suecica</v>
          </cell>
          <cell r="E6649" t="str">
            <v>NT</v>
          </cell>
          <cell r="F6649" t="str">
            <v>in Stroh et al., 2014 (from: Cheffings &amp; Farrell 2005 or subsequent amendments in Leach 2007, 2010; Leach &amp; Walker 2011, 2013)</v>
          </cell>
          <cell r="G6649" t="str">
            <v>NBNSYS0000003629</v>
          </cell>
          <cell r="H6649" t="str">
            <v>Cornus suecica</v>
          </cell>
        </row>
        <row r="6650">
          <cell r="A6650" t="str">
            <v>Corrigiola litoralis</v>
          </cell>
          <cell r="B6650" t="str">
            <v>Vascular plants</v>
          </cell>
          <cell r="C6650" t="str">
            <v>Tracheophyta</v>
          </cell>
          <cell r="D6650" t="str">
            <v>Corrigiola litoralis</v>
          </cell>
          <cell r="E6650" t="str">
            <v>CR</v>
          </cell>
          <cell r="F6650" t="str">
            <v>in Stroh et al., 2014 (from: Cheffings &amp; Farrell 2005 or subsequent amendments in Leach 2007, 2010; Leach &amp; Walker 2011, 2013)</v>
          </cell>
          <cell r="G6650" t="str">
            <v>NBNSYS0000004581</v>
          </cell>
          <cell r="H6650" t="str">
            <v>Corrigiola litoralis</v>
          </cell>
        </row>
        <row r="6651">
          <cell r="A6651" t="str">
            <v>Corylus avellana</v>
          </cell>
          <cell r="B6651" t="str">
            <v>Vascular plants</v>
          </cell>
          <cell r="C6651" t="str">
            <v>Tracheophyta</v>
          </cell>
          <cell r="D6651" t="str">
            <v>Corylus avellana</v>
          </cell>
          <cell r="E6651" t="str">
            <v>LC</v>
          </cell>
          <cell r="F6651" t="str">
            <v>in Stroh et al., 2014 (from: Cheffings &amp; Farrell 2005 or subsequent amendments in Leach 2007, 2010; Leach &amp; Walker 2011, 2013)</v>
          </cell>
          <cell r="G6651" t="str">
            <v>NBNSYS0000003839</v>
          </cell>
          <cell r="H6651" t="str">
            <v>Corylus avellana</v>
          </cell>
        </row>
        <row r="6652">
          <cell r="A6652" t="str">
            <v>Corynephorus canescens</v>
          </cell>
          <cell r="B6652" t="str">
            <v>Vascular plants</v>
          </cell>
          <cell r="C6652" t="str">
            <v>Tracheophyta</v>
          </cell>
          <cell r="D6652" t="str">
            <v>Corynephorus canescens</v>
          </cell>
          <cell r="E6652" t="str">
            <v>NT</v>
          </cell>
          <cell r="F6652" t="str">
            <v>in Stroh et al., 2014 (from: Cheffings &amp; Farrell 2005 or subsequent amendments in Leach 2007, 2010; Leach &amp; Walker 2011, 2013)</v>
          </cell>
          <cell r="G6652" t="str">
            <v>NHMSYS0000457542</v>
          </cell>
          <cell r="H6652" t="str">
            <v>Corynephorus canescens</v>
          </cell>
        </row>
        <row r="6653">
          <cell r="A6653" t="str">
            <v>Crambe maritima</v>
          </cell>
          <cell r="B6653" t="str">
            <v>Vascular plants</v>
          </cell>
          <cell r="C6653" t="str">
            <v>Tracheophyta</v>
          </cell>
          <cell r="D6653" t="str">
            <v>Crambe maritima</v>
          </cell>
          <cell r="E6653" t="str">
            <v>LC</v>
          </cell>
          <cell r="F6653" t="str">
            <v>in Stroh et al., 2014 (from: Cheffings &amp; Farrell 2005 or subsequent amendments in Leach 2007, 2010; Leach &amp; Walker 2011, 2013)</v>
          </cell>
          <cell r="G6653" t="str">
            <v>NBNSYS0000002821</v>
          </cell>
          <cell r="H6653" t="str">
            <v>Crambe maritima</v>
          </cell>
        </row>
        <row r="6654">
          <cell r="A6654" t="str">
            <v>Crassula aquatica</v>
          </cell>
          <cell r="B6654" t="str">
            <v>Vascular plants</v>
          </cell>
          <cell r="C6654" t="str">
            <v>Tracheophyta</v>
          </cell>
          <cell r="D6654" t="str">
            <v>Crassula aquatica</v>
          </cell>
          <cell r="E6654" t="str">
            <v>VU</v>
          </cell>
          <cell r="F6654" t="str">
            <v>in Stroh et al., 2014 (from: Cheffings &amp; Farrell 2005 or subsequent amendments in Leach 2007, 2010; Leach &amp; Walker 2011, 2013)</v>
          </cell>
          <cell r="G6654" t="str">
            <v>NHMSYS0000457654</v>
          </cell>
          <cell r="H6654" t="str">
            <v>Crassula aquatica</v>
          </cell>
        </row>
        <row r="6655">
          <cell r="A6655" t="str">
            <v>Crassula tillaea</v>
          </cell>
          <cell r="B6655" t="str">
            <v>Vascular plants</v>
          </cell>
          <cell r="C6655" t="str">
            <v>Tracheophyta</v>
          </cell>
          <cell r="D6655" t="str">
            <v>Crassula tillaea</v>
          </cell>
          <cell r="E6655" t="str">
            <v>LC</v>
          </cell>
          <cell r="F6655" t="str">
            <v>in Stroh et al., 2014 (from: Cheffings &amp; Farrell 2005 or subsequent amendments in Leach 2007, 2010; Leach &amp; Walker 2011, 2013)</v>
          </cell>
          <cell r="G6655" t="str">
            <v>NHMSYS0000457663</v>
          </cell>
          <cell r="H6655" t="str">
            <v>Crassula tillaea</v>
          </cell>
        </row>
        <row r="6656">
          <cell r="A6656" t="str">
            <v>Crataegus laevigata</v>
          </cell>
          <cell r="B6656" t="str">
            <v>Vascular plants</v>
          </cell>
          <cell r="C6656" t="str">
            <v>Tracheophyta</v>
          </cell>
          <cell r="D6656" t="str">
            <v>Crataegus laevigata</v>
          </cell>
          <cell r="E6656" t="str">
            <v>LC</v>
          </cell>
          <cell r="F6656" t="str">
            <v>in Stroh et al., 2014 (from: Cheffings &amp; Farrell 2005 or subsequent amendments in Leach 2007, 2010; Leach &amp; Walker 2011, 2013)</v>
          </cell>
          <cell r="G6656" t="str">
            <v>NHMSYS0000457671</v>
          </cell>
          <cell r="H6656" t="str">
            <v>Crataegus laevigata</v>
          </cell>
        </row>
        <row r="6657">
          <cell r="A6657" t="str">
            <v>Crataegus monogyna</v>
          </cell>
          <cell r="B6657" t="str">
            <v>Vascular plants</v>
          </cell>
          <cell r="C6657" t="str">
            <v>Tracheophyta</v>
          </cell>
          <cell r="D6657" t="str">
            <v>Crataegus monogyna</v>
          </cell>
          <cell r="E6657" t="str">
            <v>LC</v>
          </cell>
          <cell r="F6657" t="str">
            <v>in Stroh et al., 2014 (from: Cheffings &amp; Farrell 2005 or subsequent amendments in Leach 2007, 2010; Leach &amp; Walker 2011, 2013)</v>
          </cell>
          <cell r="G6657" t="str">
            <v>NBNSYS0000003430</v>
          </cell>
          <cell r="H6657" t="str">
            <v>Crataegus monogyna</v>
          </cell>
        </row>
        <row r="6658">
          <cell r="A6658" t="str">
            <v>Crepis biennis</v>
          </cell>
          <cell r="B6658" t="str">
            <v>Vascular plants</v>
          </cell>
          <cell r="C6658" t="str">
            <v>Tracheophyta</v>
          </cell>
          <cell r="D6658" t="str">
            <v>Crepis biennis</v>
          </cell>
          <cell r="E6658" t="str">
            <v>LC</v>
          </cell>
          <cell r="F6658" t="str">
            <v>in Stroh et al., 2014 (from: Cheffings &amp; Farrell 2005 or subsequent amendments in Leach 2007, 2010; Leach &amp; Walker 2011, 2013)</v>
          </cell>
          <cell r="G6658" t="str">
            <v>NBNSYS0000004575</v>
          </cell>
          <cell r="H6658" t="str">
            <v>Crepis biennis</v>
          </cell>
        </row>
        <row r="6659">
          <cell r="A6659" t="str">
            <v>Crepis capillaris</v>
          </cell>
          <cell r="B6659" t="str">
            <v>Vascular plants</v>
          </cell>
          <cell r="C6659" t="str">
            <v>Tracheophyta</v>
          </cell>
          <cell r="D6659" t="str">
            <v>Crepis capillaris</v>
          </cell>
          <cell r="E6659" t="str">
            <v>LC</v>
          </cell>
          <cell r="F6659" t="str">
            <v>in Stroh et al., 2014 (from: Cheffings &amp; Farrell 2005 or subsequent amendments in Leach 2007, 2010; Leach &amp; Walker 2011, 2013)</v>
          </cell>
          <cell r="G6659" t="str">
            <v>NBNSYS0000004576</v>
          </cell>
          <cell r="H6659" t="str">
            <v>Crepis capillaris</v>
          </cell>
        </row>
        <row r="6660">
          <cell r="A6660" t="str">
            <v>Crepis mollis</v>
          </cell>
          <cell r="B6660" t="str">
            <v>Vascular plants</v>
          </cell>
          <cell r="C6660" t="str">
            <v>Tracheophyta</v>
          </cell>
          <cell r="D6660" t="str">
            <v>Crepis mollis</v>
          </cell>
          <cell r="E6660" t="str">
            <v>EN</v>
          </cell>
          <cell r="F6660" t="str">
            <v>in Stroh et al., 2014 (from: Cheffings &amp; Farrell 2005 or subsequent amendments in Leach 2007, 2010; Leach &amp; Walker 2011, 2013)</v>
          </cell>
          <cell r="G6660" t="str">
            <v>NBNSYS0000004574</v>
          </cell>
          <cell r="H6660" t="str">
            <v>Crepis mollis</v>
          </cell>
        </row>
        <row r="6661">
          <cell r="A6661" t="str">
            <v>Crepis paludosa</v>
          </cell>
          <cell r="B6661" t="str">
            <v>Vascular plants</v>
          </cell>
          <cell r="C6661" t="str">
            <v>Tracheophyta</v>
          </cell>
          <cell r="D6661" t="str">
            <v>Crepis paludosa</v>
          </cell>
          <cell r="E6661" t="str">
            <v>LC</v>
          </cell>
          <cell r="F6661" t="str">
            <v>in Stroh et al., 2014 (from: Cheffings &amp; Farrell 2005 or subsequent amendments in Leach 2007, 2010; Leach &amp; Walker 2011, 2013)</v>
          </cell>
          <cell r="G6661" t="str">
            <v>NBNSYS0000004578</v>
          </cell>
          <cell r="H6661" t="str">
            <v>Crepis paludosa</v>
          </cell>
        </row>
        <row r="6662">
          <cell r="A6662" t="str">
            <v>Crepis praemorsa</v>
          </cell>
          <cell r="B6662" t="str">
            <v>Vascular plants</v>
          </cell>
          <cell r="C6662" t="str">
            <v>Tracheophyta</v>
          </cell>
          <cell r="D6662" t="str">
            <v>Crepis praemorsa</v>
          </cell>
          <cell r="E6662" t="str">
            <v>EN</v>
          </cell>
          <cell r="F6662" t="str">
            <v>in Stroh et al., 2014 (from: Cheffings &amp; Farrell 2005 or subsequent amendments in Leach 2007, 2010; Leach &amp; Walker 2011, 2013)</v>
          </cell>
          <cell r="G6662" t="str">
            <v>NHMSYS0000457690</v>
          </cell>
          <cell r="H6662" t="str">
            <v>Crepis praemorsa</v>
          </cell>
        </row>
        <row r="6663">
          <cell r="A6663" t="str">
            <v>Crithmum maritimum</v>
          </cell>
          <cell r="B6663" t="str">
            <v>Vascular plants</v>
          </cell>
          <cell r="C6663" t="str">
            <v>Tracheophyta</v>
          </cell>
          <cell r="D6663" t="str">
            <v>Crithmum maritimum</v>
          </cell>
          <cell r="E6663" t="str">
            <v>LC</v>
          </cell>
          <cell r="F6663" t="str">
            <v>in Stroh et al., 2014 (from: Cheffings &amp; Farrell 2005 or subsequent amendments in Leach 2007, 2010; Leach &amp; Walker 2011, 2013)</v>
          </cell>
          <cell r="G6663" t="str">
            <v>NBNSYS0000003687</v>
          </cell>
          <cell r="H6663" t="str">
            <v>Crithmum maritimum</v>
          </cell>
        </row>
        <row r="6664">
          <cell r="A6664" t="str">
            <v>Cruciata laevipes</v>
          </cell>
          <cell r="B6664" t="str">
            <v>Vascular plants</v>
          </cell>
          <cell r="C6664" t="str">
            <v>Tracheophyta</v>
          </cell>
          <cell r="D6664" t="str">
            <v>Cruciata laevipes</v>
          </cell>
          <cell r="E6664" t="str">
            <v>LC</v>
          </cell>
          <cell r="F6664" t="str">
            <v>in Stroh et al., 2014 (from: Cheffings &amp; Farrell 2005 or subsequent amendments in Leach 2007, 2010; Leach &amp; Walker 2011, 2013)</v>
          </cell>
          <cell r="G6664" t="str">
            <v>NBNSYS0000004304</v>
          </cell>
          <cell r="H6664" t="str">
            <v>Cruciata laevipes</v>
          </cell>
        </row>
        <row r="6665">
          <cell r="A6665" t="str">
            <v>Cryptogramma crispa</v>
          </cell>
          <cell r="B6665" t="str">
            <v>Vascular plants</v>
          </cell>
          <cell r="C6665" t="str">
            <v>Tracheophyta</v>
          </cell>
          <cell r="D6665" t="str">
            <v>Cryptogramma crispa</v>
          </cell>
          <cell r="E6665" t="str">
            <v>LC</v>
          </cell>
          <cell r="F6665" t="str">
            <v>in Stroh et al., 2014 (from: Cheffings &amp; Farrell 2005 or subsequent amendments in Leach 2007, 2010; Leach &amp; Walker 2011, 2013)</v>
          </cell>
          <cell r="G6665" t="str">
            <v>NHMSYS0000457743</v>
          </cell>
          <cell r="H6665" t="str">
            <v>Cryptogramma crispa</v>
          </cell>
        </row>
        <row r="6666">
          <cell r="A6666" t="str">
            <v>Cuscuta epithymum</v>
          </cell>
          <cell r="B6666" t="str">
            <v>Vascular plants</v>
          </cell>
          <cell r="C6666" t="str">
            <v>Tracheophyta</v>
          </cell>
          <cell r="D6666" t="str">
            <v>Cuscuta epithymum</v>
          </cell>
          <cell r="E6666" t="str">
            <v>VU</v>
          </cell>
          <cell r="F6666" t="str">
            <v>in Stroh et al., 2014 (from: Cheffings &amp; Farrell 2005 or subsequent amendments in Leach 2007, 2010; Leach &amp; Walker 2011, 2013)</v>
          </cell>
          <cell r="G6666" t="str">
            <v>NBNSYS0000004030</v>
          </cell>
          <cell r="H6666" t="str">
            <v>Cuscuta epithymum</v>
          </cell>
        </row>
        <row r="6667">
          <cell r="A6667" t="str">
            <v>Cuscuta europaea</v>
          </cell>
          <cell r="B6667" t="str">
            <v>Vascular plants</v>
          </cell>
          <cell r="C6667" t="str">
            <v>Tracheophyta</v>
          </cell>
          <cell r="D6667" t="str">
            <v>Cuscuta europaea</v>
          </cell>
          <cell r="E6667" t="str">
            <v>LC</v>
          </cell>
          <cell r="F6667" t="str">
            <v>in Stroh et al., 2014 (from: Cheffings &amp; Farrell 2005 or subsequent amendments in Leach 2007, 2010; Leach &amp; Walker 2011, 2013)</v>
          </cell>
          <cell r="G6667" t="str">
            <v>NBNSYS0000004028</v>
          </cell>
          <cell r="H6667" t="str">
            <v>Cuscuta europaea</v>
          </cell>
        </row>
        <row r="6668">
          <cell r="A6668" t="str">
            <v>Cynoglossum germanicum</v>
          </cell>
          <cell r="B6668" t="str">
            <v>Vascular plants</v>
          </cell>
          <cell r="C6668" t="str">
            <v>Tracheophyta</v>
          </cell>
          <cell r="D6668" t="str">
            <v>Cynoglossum germanicum</v>
          </cell>
          <cell r="E6668" t="str">
            <v>CR</v>
          </cell>
          <cell r="F6668" t="str">
            <v>in Stroh et al., 2014 (from: Cheffings &amp; Farrell 2005 or subsequent amendments in Leach 2007, 2010; Leach &amp; Walker 2011, 2013)</v>
          </cell>
          <cell r="G6668" t="str">
            <v>NBNSYS0000003981</v>
          </cell>
          <cell r="H6668" t="str">
            <v>Cynoglossum germanicum</v>
          </cell>
        </row>
        <row r="6669">
          <cell r="A6669" t="str">
            <v>Cynoglossum officinale</v>
          </cell>
          <cell r="B6669" t="str">
            <v>Vascular plants</v>
          </cell>
          <cell r="C6669" t="str">
            <v>Tracheophyta</v>
          </cell>
          <cell r="D6669" t="str">
            <v>Cynoglossum officinale</v>
          </cell>
          <cell r="E6669" t="str">
            <v>NT</v>
          </cell>
          <cell r="F6669" t="str">
            <v>in Stroh et al., 2014 (from: Cheffings &amp; Farrell 2005 or subsequent amendments in Leach 2007, 2010; Leach &amp; Walker 2011, 2013)</v>
          </cell>
          <cell r="G6669" t="str">
            <v>NBNSYS0000003980</v>
          </cell>
          <cell r="H6669" t="str">
            <v>Cynoglossum officinale</v>
          </cell>
        </row>
        <row r="6670">
          <cell r="A6670" t="str">
            <v>Cynosurus cristatus</v>
          </cell>
          <cell r="B6670" t="str">
            <v>Vascular plants</v>
          </cell>
          <cell r="C6670" t="str">
            <v>Tracheophyta</v>
          </cell>
          <cell r="D6670" t="str">
            <v>Cynosurus cristatus</v>
          </cell>
          <cell r="E6670" t="str">
            <v>LC</v>
          </cell>
          <cell r="F6670" t="str">
            <v>in Stroh et al., 2014 (from: Cheffings &amp; Farrell 2005 or subsequent amendments in Leach 2007, 2010; Leach &amp; Walker 2011, 2013)</v>
          </cell>
          <cell r="G6670" t="str">
            <v>NBNSYS0000002563</v>
          </cell>
          <cell r="H6670" t="str">
            <v>Cynosurus cristatus</v>
          </cell>
        </row>
        <row r="6671">
          <cell r="A6671" t="str">
            <v>Cyperus fuscus</v>
          </cell>
          <cell r="B6671" t="str">
            <v>Vascular plants</v>
          </cell>
          <cell r="C6671" t="str">
            <v>Tracheophyta</v>
          </cell>
          <cell r="D6671" t="str">
            <v>Cyperus fuscus</v>
          </cell>
          <cell r="E6671" t="str">
            <v>VU</v>
          </cell>
          <cell r="F6671" t="str">
            <v>in Stroh et al., 2014 (from: Cheffings &amp; Farrell 2005 or subsequent amendments in Leach 2007, 2010; Leach &amp; Walker 2011, 2013)</v>
          </cell>
          <cell r="G6671" t="str">
            <v>NBNSYS0000002404</v>
          </cell>
          <cell r="H6671" t="str">
            <v>Cyperus fuscus</v>
          </cell>
        </row>
        <row r="6672">
          <cell r="A6672" t="str">
            <v>Cyperus longus</v>
          </cell>
          <cell r="B6672" t="str">
            <v>Vascular plants</v>
          </cell>
          <cell r="C6672" t="str">
            <v>Tracheophyta</v>
          </cell>
          <cell r="D6672" t="str">
            <v>Cyperus longus</v>
          </cell>
          <cell r="E6672" t="str">
            <v>NT</v>
          </cell>
          <cell r="F6672" t="str">
            <v>in Stroh et al., 2014 (from: Cheffings &amp; Farrell 2005 or subsequent amendments in Leach 2007, 2010; Leach &amp; Walker 2011, 2013)</v>
          </cell>
          <cell r="G6672" t="str">
            <v>NBNSYS0000002403</v>
          </cell>
          <cell r="H6672" t="str">
            <v>Cyperus longus</v>
          </cell>
        </row>
        <row r="6673">
          <cell r="A6673" t="str">
            <v>Cypripedium calceolus</v>
          </cell>
          <cell r="B6673" t="str">
            <v>Vascular plants</v>
          </cell>
          <cell r="C6673" t="str">
            <v>Tracheophyta</v>
          </cell>
          <cell r="D6673" t="str">
            <v>Cypripedium calceolus</v>
          </cell>
          <cell r="E6673" t="str">
            <v>CR</v>
          </cell>
          <cell r="F6673" t="str">
            <v>in Stroh et al., 2014 (from: Cheffings &amp; Farrell 2005 or subsequent amendments in Leach 2007, 2010; Leach &amp; Walker 2011, 2013)</v>
          </cell>
          <cell r="G6673" t="str">
            <v>NBNSYS0000002284</v>
          </cell>
          <cell r="H6673" t="str">
            <v>Cypripedium calceolus</v>
          </cell>
        </row>
        <row r="6674">
          <cell r="A6674" t="str">
            <v>Cystopteris alpina</v>
          </cell>
          <cell r="B6674" t="str">
            <v>Vascular plants</v>
          </cell>
          <cell r="C6674" t="str">
            <v>Tracheophyta</v>
          </cell>
          <cell r="D6674" t="str">
            <v>Cystopteris alpina</v>
          </cell>
          <cell r="E6674" t="str">
            <v>EX</v>
          </cell>
          <cell r="F6674" t="str">
            <v>in Stroh et al., 2014 (from: Cheffings &amp; Farrell 2005 or subsequent amendments in Leach 2007, 2010; Leach &amp; Walker 2011, 2013)</v>
          </cell>
          <cell r="G6674" t="str">
            <v>NHMSYS0000457845</v>
          </cell>
          <cell r="H6674" t="str">
            <v>Cystopteris alpina</v>
          </cell>
        </row>
        <row r="6675">
          <cell r="A6675" t="str">
            <v>Cystopteris diaphana</v>
          </cell>
          <cell r="B6675" t="str">
            <v>Vascular plants</v>
          </cell>
          <cell r="C6675" t="str">
            <v>Tracheophyta</v>
          </cell>
          <cell r="D6675" t="str">
            <v>Cystopteris diaphana</v>
          </cell>
          <cell r="E6675" t="str">
            <v>VU</v>
          </cell>
          <cell r="F6675" t="str">
            <v>in Stroh et al., 2014 (from: Cheffings &amp; Farrell 2005 or subsequent amendments in Leach 2007, 2010; Leach &amp; Walker 2011, 2013)</v>
          </cell>
          <cell r="G6675" t="str">
            <v>NHMSYS0000457846</v>
          </cell>
          <cell r="H6675" t="str">
            <v>Cystopteris diaphana</v>
          </cell>
        </row>
        <row r="6676">
          <cell r="A6676" t="str">
            <v>Cystopteris fragilis</v>
          </cell>
          <cell r="B6676" t="str">
            <v>Vascular plants</v>
          </cell>
          <cell r="C6676" t="str">
            <v>Tracheophyta</v>
          </cell>
          <cell r="D6676" t="str">
            <v>Cystopteris fragilis</v>
          </cell>
          <cell r="E6676" t="str">
            <v>LC</v>
          </cell>
          <cell r="F6676" t="str">
            <v>in Stroh et al., 2014 (from: Cheffings &amp; Farrell 2005 or subsequent amendments in Leach 2007, 2010; Leach &amp; Walker 2011, 2013)</v>
          </cell>
          <cell r="G6676" t="str">
            <v>NBNSYS0000002058</v>
          </cell>
          <cell r="H6676" t="str">
            <v>Cystopteris fragilis</v>
          </cell>
        </row>
        <row r="6677">
          <cell r="A6677" t="str">
            <v>Cytisus scoparius</v>
          </cell>
          <cell r="B6677" t="str">
            <v>Vascular plants</v>
          </cell>
          <cell r="C6677" t="str">
            <v>Tracheophyta</v>
          </cell>
          <cell r="D6677" t="str">
            <v>Cytisus scoparius</v>
          </cell>
          <cell r="E6677" t="str">
            <v>LC</v>
          </cell>
          <cell r="F6677" t="str">
            <v>in Stroh et al., 2014 (from: Cheffings &amp; Farrell 2005 or subsequent amendments in Leach 2007, 2010; Leach &amp; Walker 2011, 2013)</v>
          </cell>
          <cell r="G6677" t="str">
            <v>NBNSYS0000003214</v>
          </cell>
          <cell r="H6677" t="str">
            <v>Cytisus scoparius</v>
          </cell>
        </row>
        <row r="6678">
          <cell r="A6678" t="str">
            <v>Dactylis glomerata</v>
          </cell>
          <cell r="B6678" t="str">
            <v>Vascular plants</v>
          </cell>
          <cell r="C6678" t="str">
            <v>Tracheophyta</v>
          </cell>
          <cell r="D6678" t="str">
            <v>Dactylis glomerata</v>
          </cell>
          <cell r="E6678" t="str">
            <v>LC</v>
          </cell>
          <cell r="F6678" t="str">
            <v>in Stroh et al., 2014 (from: Cheffings &amp; Farrell 2005 or subsequent amendments in Leach 2007, 2010; Leach &amp; Walker 2011, 2013)</v>
          </cell>
          <cell r="G6678" t="str">
            <v>NBNSYS0000002561</v>
          </cell>
          <cell r="H6678" t="str">
            <v>Dactylis glomerata</v>
          </cell>
        </row>
        <row r="6679">
          <cell r="A6679" t="str">
            <v>Dactylorhiza fuchsii</v>
          </cell>
          <cell r="B6679" t="str">
            <v>Vascular plants</v>
          </cell>
          <cell r="C6679" t="str">
            <v>Tracheophyta</v>
          </cell>
          <cell r="D6679" t="str">
            <v>Dactylorhiza fuchsii</v>
          </cell>
          <cell r="E6679" t="str">
            <v>LC</v>
          </cell>
          <cell r="F6679" t="str">
            <v>in Stroh et al., 2014 (from: Cheffings &amp; Farrell 2005 or subsequent amendments in Leach 2007, 2010; Leach &amp; Walker 2011, 2013)</v>
          </cell>
          <cell r="G6679" t="str">
            <v>NHMSYS0000457901</v>
          </cell>
          <cell r="H6679" t="str">
            <v>Dactylorhiza fuchsii</v>
          </cell>
        </row>
        <row r="6680">
          <cell r="A6680" t="str">
            <v>Dactylorhiza incarnata</v>
          </cell>
          <cell r="B6680" t="str">
            <v>Vascular plants</v>
          </cell>
          <cell r="C6680" t="str">
            <v>Tracheophyta</v>
          </cell>
          <cell r="D6680" t="str">
            <v>Dactylorhiza incarnata</v>
          </cell>
          <cell r="E6680" t="str">
            <v>LC</v>
          </cell>
          <cell r="F6680" t="str">
            <v>in Stroh et al., 2014 (from: Cheffings &amp; Farrell 2005 or subsequent amendments in Leach 2007, 2010; Leach &amp; Walker 2011, 2013)</v>
          </cell>
          <cell r="G6680" t="str">
            <v>NHMSYS0000457908</v>
          </cell>
          <cell r="H6680" t="str">
            <v>Dactylorhiza incarnata</v>
          </cell>
        </row>
        <row r="6681">
          <cell r="A6681" t="str">
            <v>Dactylorhiza maculata</v>
          </cell>
          <cell r="B6681" t="str">
            <v>Vascular plants</v>
          </cell>
          <cell r="C6681" t="str">
            <v>Tracheophyta</v>
          </cell>
          <cell r="D6681" t="str">
            <v>Dactylorhiza maculata</v>
          </cell>
          <cell r="E6681" t="str">
            <v>LC</v>
          </cell>
          <cell r="F6681" t="str">
            <v>in Stroh et al., 2014 (from: Cheffings &amp; Farrell 2005 or subsequent amendments in Leach 2007, 2010; Leach &amp; Walker 2011, 2013)</v>
          </cell>
          <cell r="G6681" t="str">
            <v>NHMSYS0000457923</v>
          </cell>
          <cell r="H6681" t="str">
            <v>Dactylorhiza maculata</v>
          </cell>
        </row>
        <row r="6682">
          <cell r="A6682" t="str">
            <v>Dactylorhiza praetermissa</v>
          </cell>
          <cell r="B6682" t="str">
            <v>Vascular plants</v>
          </cell>
          <cell r="C6682" t="str">
            <v>Tracheophyta</v>
          </cell>
          <cell r="D6682" t="str">
            <v>Dactylorhiza praetermissa</v>
          </cell>
          <cell r="E6682" t="str">
            <v>LC</v>
          </cell>
          <cell r="F6682" t="str">
            <v>in Stroh et al., 2014 (from: Cheffings &amp; Farrell 2005 or subsequent amendments in Leach 2007, 2010; Leach &amp; Walker 2011, 2013)</v>
          </cell>
          <cell r="G6682" t="str">
            <v>NHMSYS0000457949</v>
          </cell>
          <cell r="H6682" t="str">
            <v>Dactylorhiza praetermissa</v>
          </cell>
        </row>
        <row r="6683">
          <cell r="A6683" t="str">
            <v>Dactylorhiza purpurella</v>
          </cell>
          <cell r="B6683" t="str">
            <v>Vascular plants</v>
          </cell>
          <cell r="C6683" t="str">
            <v>Tracheophyta</v>
          </cell>
          <cell r="D6683" t="str">
            <v>Dactylorhiza purpurella</v>
          </cell>
          <cell r="E6683" t="str">
            <v>LC</v>
          </cell>
          <cell r="F6683" t="str">
            <v>in Stroh et al., 2014 (from: Cheffings &amp; Farrell 2005 or subsequent amendments in Leach 2007, 2010; Leach &amp; Walker 2011, 2013)</v>
          </cell>
          <cell r="G6683" t="str">
            <v>NHMSYS0000457952</v>
          </cell>
          <cell r="H6683" t="str">
            <v>Dactylorhiza purpurella</v>
          </cell>
        </row>
        <row r="6684">
          <cell r="A6684" t="str">
            <v>Dactylorhiza traunsteinerioides</v>
          </cell>
          <cell r="B6684" t="str">
            <v>Vascular plants</v>
          </cell>
          <cell r="C6684" t="str">
            <v>Tracheophyta</v>
          </cell>
          <cell r="D6684" t="str">
            <v>Dactylorhiza traunsteinerioides</v>
          </cell>
          <cell r="E6684" t="str">
            <v>LC</v>
          </cell>
          <cell r="F6684" t="str">
            <v>in Stroh et al., 2014 (from: Cheffings &amp; Farrell 2005 or subsequent amendments in Leach 2007, 2010; Leach &amp; Walker 2011, 2013)</v>
          </cell>
          <cell r="G6684" t="str">
            <v>NHMSYS0020116813</v>
          </cell>
          <cell r="H6684" t="str">
            <v>Dactylorhiza traunsteinerioides</v>
          </cell>
        </row>
        <row r="6685">
          <cell r="A6685" t="str">
            <v>Damasonium alisma</v>
          </cell>
          <cell r="B6685" t="str">
            <v>Vascular plants</v>
          </cell>
          <cell r="C6685" t="str">
            <v>Tracheophyta</v>
          </cell>
          <cell r="D6685" t="str">
            <v>Damasonium alisma</v>
          </cell>
          <cell r="E6685" t="str">
            <v>CR</v>
          </cell>
          <cell r="F6685" t="str">
            <v>in Stroh et al., 2014 (from: Cheffings &amp; Farrell 2005 or subsequent amendments in Leach 2007, 2010; Leach &amp; Walker 2011, 2013)</v>
          </cell>
          <cell r="G6685" t="str">
            <v>NHMSYS0000457989</v>
          </cell>
          <cell r="H6685" t="str">
            <v>Damasonium alisma</v>
          </cell>
        </row>
        <row r="6686">
          <cell r="A6686" t="str">
            <v>Danthonia decumbens</v>
          </cell>
          <cell r="B6686" t="str">
            <v>Vascular plants</v>
          </cell>
          <cell r="C6686" t="str">
            <v>Tracheophyta</v>
          </cell>
          <cell r="D6686" t="str">
            <v>Danthonia decumbens</v>
          </cell>
          <cell r="E6686" t="str">
            <v>LC</v>
          </cell>
          <cell r="F6686" t="str">
            <v>in Stroh et al., 2014 (from: Cheffings &amp; Farrell 2005 or subsequent amendments in Leach 2007, 2010; Leach &amp; Walker 2011, 2013)</v>
          </cell>
          <cell r="G6686" t="str">
            <v>NBNSYS0000002500</v>
          </cell>
          <cell r="H6686" t="str">
            <v>Danthonia decumbens</v>
          </cell>
        </row>
        <row r="6687">
          <cell r="A6687" t="str">
            <v>Daphne laureola</v>
          </cell>
          <cell r="B6687" t="str">
            <v>Vascular plants</v>
          </cell>
          <cell r="C6687" t="str">
            <v>Tracheophyta</v>
          </cell>
          <cell r="D6687" t="str">
            <v>Daphne laureola</v>
          </cell>
          <cell r="E6687" t="str">
            <v>LC</v>
          </cell>
          <cell r="F6687" t="str">
            <v>in Stroh et al., 2014 (from: Cheffings &amp; Farrell 2005 or subsequent amendments in Leach 2007, 2010; Leach &amp; Walker 2011, 2013)</v>
          </cell>
          <cell r="G6687" t="str">
            <v>NBNSYS0000003531</v>
          </cell>
          <cell r="H6687" t="str">
            <v>Daphne laureola</v>
          </cell>
        </row>
        <row r="6688">
          <cell r="A6688" t="str">
            <v>Daphne mezereum</v>
          </cell>
          <cell r="B6688" t="str">
            <v>Vascular plants</v>
          </cell>
          <cell r="C6688" t="str">
            <v>Tracheophyta</v>
          </cell>
          <cell r="D6688" t="str">
            <v>Daphne mezereum</v>
          </cell>
          <cell r="E6688" t="str">
            <v>VU</v>
          </cell>
          <cell r="F6688" t="str">
            <v>in Stroh et al., 2014 (from: Cheffings &amp; Farrell 2005 or subsequent amendments in Leach 2007, 2010; Leach &amp; Walker 2011, 2013)</v>
          </cell>
          <cell r="G6688" t="str">
            <v>NBNSYS0000003530</v>
          </cell>
          <cell r="H6688" t="str">
            <v>Daphne mezereum</v>
          </cell>
        </row>
        <row r="6689">
          <cell r="A6689" t="str">
            <v>Daucus carota</v>
          </cell>
          <cell r="B6689" t="str">
            <v>Vascular plants</v>
          </cell>
          <cell r="C6689" t="str">
            <v>Tracheophyta</v>
          </cell>
          <cell r="D6689" t="str">
            <v>Daucus carota</v>
          </cell>
          <cell r="E6689" t="str">
            <v>LC</v>
          </cell>
          <cell r="F6689" t="str">
            <v>in Stroh et al., 2014 (from: Cheffings &amp; Farrell 2005 or subsequent amendments in Leach 2007, 2010; Leach &amp; Walker 2011, 2013)</v>
          </cell>
          <cell r="G6689" t="str">
            <v>NBNSYS0000014362</v>
          </cell>
          <cell r="H6689" t="str">
            <v>Daucus carota</v>
          </cell>
        </row>
        <row r="6690">
          <cell r="A6690" t="str">
            <v>Deschampsia cespitosa</v>
          </cell>
          <cell r="B6690" t="str">
            <v>Vascular plants</v>
          </cell>
          <cell r="C6690" t="str">
            <v>Tracheophyta</v>
          </cell>
          <cell r="D6690" t="str">
            <v>Deschampsia cespitosa</v>
          </cell>
          <cell r="E6690" t="str">
            <v>LC</v>
          </cell>
          <cell r="F6690" t="str">
            <v>in Stroh et al., 2014 (from: Cheffings &amp; Farrell 2005 or subsequent amendments in Leach 2007, 2010; Leach &amp; Walker 2011, 2013)</v>
          </cell>
          <cell r="G6690" t="str">
            <v>NHMSYS0000458048</v>
          </cell>
          <cell r="H6690" t="str">
            <v>Deschampsia cespitosa</v>
          </cell>
        </row>
        <row r="6691">
          <cell r="A6691" t="str">
            <v>Deschampsia flexuosa</v>
          </cell>
          <cell r="B6691" t="str">
            <v>Vascular plants</v>
          </cell>
          <cell r="C6691" t="str">
            <v>Tracheophyta</v>
          </cell>
          <cell r="D6691" t="str">
            <v>Deschampsia flexuosa</v>
          </cell>
          <cell r="E6691" t="str">
            <v>LC</v>
          </cell>
          <cell r="F6691" t="str">
            <v>in Stroh et al., 2014 (from: Cheffings &amp; Farrell 2005 or subsequent amendments in Leach 2007, 2010; Leach &amp; Walker 2011, 2013)</v>
          </cell>
          <cell r="G6691" t="str">
            <v>NBNSYS0000002623</v>
          </cell>
          <cell r="H6691" t="str">
            <v>Deschampsia flexuosa</v>
          </cell>
        </row>
        <row r="6692">
          <cell r="A6692" t="str">
            <v>Deschampsia setacea</v>
          </cell>
          <cell r="B6692" t="str">
            <v>Vascular plants</v>
          </cell>
          <cell r="C6692" t="str">
            <v>Tracheophyta</v>
          </cell>
          <cell r="D6692" t="str">
            <v>Deschampsia setacea</v>
          </cell>
          <cell r="E6692" t="str">
            <v>LC</v>
          </cell>
          <cell r="F6692" t="str">
            <v>in Stroh et al., 2014 (from: Cheffings &amp; Farrell 2005 or subsequent amendments in Leach 2007, 2010; Leach &amp; Walker 2011, 2013)</v>
          </cell>
          <cell r="G6692" t="str">
            <v>NHMSYS0000458051</v>
          </cell>
          <cell r="H6692" t="str">
            <v>Deschampsia setacea</v>
          </cell>
        </row>
        <row r="6693">
          <cell r="A6693" t="str">
            <v>Dianthus armeria</v>
          </cell>
          <cell r="B6693" t="str">
            <v>Vascular plants</v>
          </cell>
          <cell r="C6693" t="str">
            <v>Tracheophyta</v>
          </cell>
          <cell r="D6693" t="str">
            <v>Dianthus armeria</v>
          </cell>
          <cell r="E6693" t="str">
            <v>EN</v>
          </cell>
          <cell r="F6693" t="str">
            <v>in Stroh et al., 2014 (from: Cheffings &amp; Farrell 2005 or subsequent amendments in Leach 2007, 2010; Leach &amp; Walker 2011, 2013)</v>
          </cell>
          <cell r="G6693" t="str">
            <v>NBNSYS0000003006</v>
          </cell>
          <cell r="H6693" t="str">
            <v>Dianthus armeria</v>
          </cell>
        </row>
        <row r="6694">
          <cell r="A6694" t="str">
            <v>Dianthus deltoides</v>
          </cell>
          <cell r="B6694" t="str">
            <v>Vascular plants</v>
          </cell>
          <cell r="C6694" t="str">
            <v>Tracheophyta</v>
          </cell>
          <cell r="D6694" t="str">
            <v>Dianthus deltoides</v>
          </cell>
          <cell r="E6694" t="str">
            <v>NT</v>
          </cell>
          <cell r="F6694" t="str">
            <v>in Stroh et al., 2014 (from: Cheffings &amp; Farrell 2005 or subsequent amendments in Leach 2007, 2010; Leach &amp; Walker 2011, 2013)</v>
          </cell>
          <cell r="G6694" t="str">
            <v>NBNSYS0000003013</v>
          </cell>
          <cell r="H6694" t="str">
            <v>Dianthus deltoides</v>
          </cell>
        </row>
        <row r="6695">
          <cell r="A6695" t="str">
            <v>Dianthus gratianopolitanus</v>
          </cell>
          <cell r="B6695" t="str">
            <v>Vascular plants</v>
          </cell>
          <cell r="C6695" t="str">
            <v>Tracheophyta</v>
          </cell>
          <cell r="D6695" t="str">
            <v>Dianthus gratianopolitanus</v>
          </cell>
          <cell r="E6695" t="str">
            <v>VU</v>
          </cell>
          <cell r="F6695" t="str">
            <v>in Stroh et al., 2014 (from: Cheffings &amp; Farrell 2005 or subsequent amendments in Leach 2007, 2010; Leach &amp; Walker 2011, 2013)</v>
          </cell>
          <cell r="G6695" t="str">
            <v>NHMSYS0000458066</v>
          </cell>
          <cell r="H6695" t="str">
            <v>Dianthus gratianopolitanus</v>
          </cell>
        </row>
        <row r="6696">
          <cell r="A6696" t="str">
            <v>Digitalis purpurea</v>
          </cell>
          <cell r="B6696" t="str">
            <v>Vascular plants</v>
          </cell>
          <cell r="C6696" t="str">
            <v>Tracheophyta</v>
          </cell>
          <cell r="D6696" t="str">
            <v>Digitalis purpurea</v>
          </cell>
          <cell r="E6696" t="str">
            <v>LC</v>
          </cell>
          <cell r="F6696" t="str">
            <v>in Stroh et al., 2014 (from: Cheffings &amp; Farrell 2005 or subsequent amendments in Leach 2007, 2010; Leach &amp; Walker 2011, 2013)</v>
          </cell>
          <cell r="G6696" t="str">
            <v>NBNSYS0000004094</v>
          </cell>
          <cell r="H6696" t="str">
            <v>Digitalis purpurea</v>
          </cell>
        </row>
        <row r="6697">
          <cell r="A6697" t="str">
            <v>Diphasiastrum alpinum</v>
          </cell>
          <cell r="B6697" t="str">
            <v>Vascular plants</v>
          </cell>
          <cell r="C6697" t="str">
            <v>Tracheophyta</v>
          </cell>
          <cell r="D6697" t="str">
            <v>Diphasiastrum alpinum</v>
          </cell>
          <cell r="E6697" t="str">
            <v>LC</v>
          </cell>
          <cell r="F6697" t="str">
            <v>in Stroh et al., 2014 (from: Cheffings &amp; Farrell 2005 or subsequent amendments in Leach 2007, 2010; Leach &amp; Walker 2011, 2013)</v>
          </cell>
          <cell r="G6697" t="str">
            <v>NBNSYS0000002004</v>
          </cell>
          <cell r="H6697" t="str">
            <v>Diphasiastrum alpinum</v>
          </cell>
        </row>
        <row r="6698">
          <cell r="A6698" t="str">
            <v>Diphasiastrum complanatum</v>
          </cell>
          <cell r="B6698" t="str">
            <v>Vascular plants</v>
          </cell>
          <cell r="C6698" t="str">
            <v>Tracheophyta</v>
          </cell>
          <cell r="D6698" t="str">
            <v>Diphasiastrum complanatum</v>
          </cell>
          <cell r="E6698" t="str">
            <v>NT</v>
          </cell>
          <cell r="F6698" t="str">
            <v>in Stroh et al., 2014 (from: Cheffings &amp; Farrell 2005 or subsequent amendments in Leach 2007, 2010; Leach &amp; Walker 2011, 2013)</v>
          </cell>
          <cell r="G6698" t="str">
            <v>NHMSYS0000458106</v>
          </cell>
          <cell r="H6698" t="str">
            <v>Diphasiastrum complanatum</v>
          </cell>
        </row>
        <row r="6699">
          <cell r="A6699" t="str">
            <v>Dipsacus fullonum</v>
          </cell>
          <cell r="B6699" t="str">
            <v>Vascular plants</v>
          </cell>
          <cell r="C6699" t="str">
            <v>Tracheophyta</v>
          </cell>
          <cell r="D6699" t="str">
            <v>Dipsacus fullonum</v>
          </cell>
          <cell r="E6699" t="str">
            <v>LC</v>
          </cell>
          <cell r="F6699" t="str">
            <v>in Stroh et al., 2014 (from: Cheffings &amp; Farrell 2005 or subsequent amendments in Leach 2007, 2010; Leach &amp; Walker 2011, 2013)</v>
          </cell>
          <cell r="G6699" t="str">
            <v>NHMSYS0100001301</v>
          </cell>
          <cell r="H6699" t="str">
            <v>Dipsacus fullonum</v>
          </cell>
        </row>
        <row r="6700">
          <cell r="A6700" t="str">
            <v>Dipsacus pilosus</v>
          </cell>
          <cell r="B6700" t="str">
            <v>Vascular plants</v>
          </cell>
          <cell r="C6700" t="str">
            <v>Tracheophyta</v>
          </cell>
          <cell r="D6700" t="str">
            <v>Dipsacus pilosus</v>
          </cell>
          <cell r="E6700" t="str">
            <v>LC</v>
          </cell>
          <cell r="F6700" t="str">
            <v>in Stroh et al., 2014 (from: Cheffings &amp; Farrell 2005 or subsequent amendments in Leach 2007, 2010; Leach &amp; Walker 2011, 2013)</v>
          </cell>
          <cell r="G6700" t="str">
            <v>NBNSYS0000004348</v>
          </cell>
          <cell r="H6700" t="str">
            <v>Dipsacus pilosus</v>
          </cell>
        </row>
        <row r="6701">
          <cell r="A6701" t="str">
            <v>Draba incana</v>
          </cell>
          <cell r="B6701" t="str">
            <v>Vascular plants</v>
          </cell>
          <cell r="C6701" t="str">
            <v>Tracheophyta</v>
          </cell>
          <cell r="D6701" t="str">
            <v>Draba incana</v>
          </cell>
          <cell r="E6701" t="str">
            <v>LC</v>
          </cell>
          <cell r="F6701" t="str">
            <v>in Stroh et al., 2014 (from: Cheffings &amp; Farrell 2005 or subsequent amendments in Leach 2007, 2010; Leach &amp; Walker 2011, 2013)</v>
          </cell>
          <cell r="G6701" t="str">
            <v>NBNSYS0000002865</v>
          </cell>
          <cell r="H6701" t="str">
            <v>Draba incana</v>
          </cell>
        </row>
        <row r="6702">
          <cell r="A6702" t="str">
            <v>Draba muralis</v>
          </cell>
          <cell r="B6702" t="str">
            <v>Vascular plants</v>
          </cell>
          <cell r="C6702" t="str">
            <v>Tracheophyta</v>
          </cell>
          <cell r="D6702" t="str">
            <v>Draba muralis</v>
          </cell>
          <cell r="E6702" t="str">
            <v>LC</v>
          </cell>
          <cell r="F6702" t="str">
            <v>in Stroh et al., 2014 (from: Cheffings &amp; Farrell 2005 or subsequent amendments in Leach 2007, 2010; Leach &amp; Walker 2011, 2013)</v>
          </cell>
          <cell r="G6702" t="str">
            <v>NBNSYS0000002866</v>
          </cell>
          <cell r="H6702" t="str">
            <v>Draba muralis</v>
          </cell>
        </row>
        <row r="6703">
          <cell r="A6703" t="str">
            <v>Drosera anglica</v>
          </cell>
          <cell r="B6703" t="str">
            <v>Vascular plants</v>
          </cell>
          <cell r="C6703" t="str">
            <v>Tracheophyta</v>
          </cell>
          <cell r="D6703" t="str">
            <v>Drosera anglica</v>
          </cell>
          <cell r="E6703" t="str">
            <v>NT</v>
          </cell>
          <cell r="F6703" t="str">
            <v>in Stroh et al., 2014 (from: Cheffings &amp; Farrell 2005 or subsequent amendments in Leach 2007, 2010; Leach &amp; Walker 2011, 2013)</v>
          </cell>
          <cell r="G6703" t="str">
            <v>NBNSYS0000146364</v>
          </cell>
          <cell r="H6703" t="str">
            <v>Drosera anglica</v>
          </cell>
        </row>
        <row r="6704">
          <cell r="A6704" t="str">
            <v>Drosera intermedia</v>
          </cell>
          <cell r="B6704" t="str">
            <v>Vascular plants</v>
          </cell>
          <cell r="C6704" t="str">
            <v>Tracheophyta</v>
          </cell>
          <cell r="D6704" t="str">
            <v>Drosera intermedia</v>
          </cell>
          <cell r="E6704" t="str">
            <v>LC</v>
          </cell>
          <cell r="F6704" t="str">
            <v>in Stroh et al., 2014 (from: Cheffings &amp; Farrell 2005 or subsequent amendments in Leach 2007, 2010; Leach &amp; Walker 2011, 2013)</v>
          </cell>
          <cell r="G6704" t="str">
            <v>NBNSYS0000003522</v>
          </cell>
          <cell r="H6704" t="str">
            <v>Drosera intermedia</v>
          </cell>
        </row>
        <row r="6705">
          <cell r="A6705" t="str">
            <v>Drosera rotundifolia</v>
          </cell>
          <cell r="B6705" t="str">
            <v>Vascular plants</v>
          </cell>
          <cell r="C6705" t="str">
            <v>Tracheophyta</v>
          </cell>
          <cell r="D6705" t="str">
            <v>Drosera rotundifolia</v>
          </cell>
          <cell r="E6705" t="str">
            <v>LC</v>
          </cell>
          <cell r="F6705" t="str">
            <v>in Stroh et al., 2014 (from: Cheffings &amp; Farrell 2005 or subsequent amendments in Leach 2007, 2010; Leach &amp; Walker 2011, 2013)</v>
          </cell>
          <cell r="G6705" t="str">
            <v>NBNSYS0000003519</v>
          </cell>
          <cell r="H6705" t="str">
            <v>Drosera rotundifolia</v>
          </cell>
        </row>
        <row r="6706">
          <cell r="A6706" t="str">
            <v>Dryas octopetala</v>
          </cell>
          <cell r="B6706" t="str">
            <v>Vascular plants</v>
          </cell>
          <cell r="C6706" t="str">
            <v>Tracheophyta</v>
          </cell>
          <cell r="D6706" t="str">
            <v>Dryas octopetala</v>
          </cell>
          <cell r="E6706" t="str">
            <v>LC</v>
          </cell>
          <cell r="F6706" t="str">
            <v>in Stroh et al., 2014 (from: Cheffings &amp; Farrell 2005 or subsequent amendments in Leach 2007, 2010; Leach &amp; Walker 2011, 2013)</v>
          </cell>
          <cell r="G6706" t="str">
            <v>NBNSYS0000003365</v>
          </cell>
          <cell r="H6706" t="str">
            <v>Dryas octopetala</v>
          </cell>
        </row>
        <row r="6707">
          <cell r="A6707" t="str">
            <v>Dryopteris aemula</v>
          </cell>
          <cell r="B6707" t="str">
            <v>Vascular plants</v>
          </cell>
          <cell r="C6707" t="str">
            <v>Tracheophyta</v>
          </cell>
          <cell r="D6707" t="str">
            <v>Dryopteris aemula</v>
          </cell>
          <cell r="E6707" t="str">
            <v>LC</v>
          </cell>
          <cell r="F6707" t="str">
            <v>in Stroh et al., 2014 (from: Cheffings &amp; Farrell 2005 or subsequent amendments in Leach 2007, 2010; Leach &amp; Walker 2011, 2013)</v>
          </cell>
          <cell r="G6707" t="str">
            <v>NBNSYS0000002070</v>
          </cell>
          <cell r="H6707" t="str">
            <v>Dryopteris aemula</v>
          </cell>
        </row>
        <row r="6708">
          <cell r="A6708" t="str">
            <v>Dryopteris affinis </v>
          </cell>
          <cell r="B6708" t="str">
            <v>Vascular plants</v>
          </cell>
          <cell r="C6708" t="str">
            <v>Tracheophyta</v>
          </cell>
          <cell r="D6708" t="str">
            <v>Dryopteris affinis</v>
          </cell>
          <cell r="E6708" t="str">
            <v>LC</v>
          </cell>
          <cell r="F6708" t="str">
            <v>in Stroh et al., 2014 (from: Cheffings &amp; Farrell 2005 or subsequent amendments in Leach 2007, 2010; Leach &amp; Walker 2011, 2013)</v>
          </cell>
          <cell r="G6708" t="str">
            <v>NHMSYS0000458170</v>
          </cell>
          <cell r="H6708" t="str">
            <v>Dryopteris affinis </v>
          </cell>
        </row>
        <row r="6709">
          <cell r="A6709" t="str">
            <v>Dryopteris cambrensis </v>
          </cell>
          <cell r="B6709" t="str">
            <v>Vascular plants</v>
          </cell>
          <cell r="C6709" t="str">
            <v>Tracheophyta</v>
          </cell>
          <cell r="D6709" t="str">
            <v>Dryopteris cambrensis</v>
          </cell>
          <cell r="E6709" t="str">
            <v>LC</v>
          </cell>
          <cell r="F6709" t="str">
            <v>in Stroh et al., 2014 (from: Cheffings &amp; Farrell 2005 or subsequent amendments in Leach 2007, 2010; Leach &amp; Walker 2011, 2013)</v>
          </cell>
          <cell r="G6709" t="str">
            <v>NHMSYS0000458182</v>
          </cell>
          <cell r="H6709" t="str">
            <v>Dryopteris cambrensis </v>
          </cell>
        </row>
        <row r="6710">
          <cell r="A6710" t="str">
            <v>Dryopteris carthusiana</v>
          </cell>
          <cell r="B6710" t="str">
            <v>Vascular plants</v>
          </cell>
          <cell r="C6710" t="str">
            <v>Tracheophyta</v>
          </cell>
          <cell r="D6710" t="str">
            <v>Dryopteris carthusiana</v>
          </cell>
          <cell r="E6710" t="str">
            <v>LC</v>
          </cell>
          <cell r="F6710" t="str">
            <v>in Stroh et al., 2014 (from: Cheffings &amp; Farrell 2005 or subsequent amendments in Leach 2007, 2010; Leach &amp; Walker 2011, 2013)</v>
          </cell>
          <cell r="G6710" t="str">
            <v>NHMSYS0000458183</v>
          </cell>
          <cell r="H6710" t="str">
            <v>Dryopteris carthusiana</v>
          </cell>
        </row>
        <row r="6711">
          <cell r="A6711" t="str">
            <v>Dryopteris cristata</v>
          </cell>
          <cell r="B6711" t="str">
            <v>Vascular plants</v>
          </cell>
          <cell r="C6711" t="str">
            <v>Tracheophyta</v>
          </cell>
          <cell r="D6711" t="str">
            <v>Dryopteris cristata</v>
          </cell>
          <cell r="E6711" t="str">
            <v>CR</v>
          </cell>
          <cell r="F6711" t="str">
            <v>in Stroh et al., 2014 (from: Cheffings &amp; Farrell 2005 or subsequent amendments in Leach 2007, 2010; Leach &amp; Walker 2011, 2013)</v>
          </cell>
          <cell r="G6711" t="str">
            <v>NHMSYS0000458186</v>
          </cell>
          <cell r="H6711" t="str">
            <v>Dryopteris cristata</v>
          </cell>
        </row>
        <row r="6712">
          <cell r="A6712" t="str">
            <v>Dryopteris dilatata</v>
          </cell>
          <cell r="B6712" t="str">
            <v>Vascular plants</v>
          </cell>
          <cell r="C6712" t="str">
            <v>Tracheophyta</v>
          </cell>
          <cell r="D6712" t="str">
            <v>Dryopteris dilatata</v>
          </cell>
          <cell r="E6712" t="str">
            <v>LC</v>
          </cell>
          <cell r="F6712" t="str">
            <v>in Stroh et al., 2014 (from: Cheffings &amp; Farrell 2005 or subsequent amendments in Leach 2007, 2010; Leach &amp; Walker 2011, 2013)</v>
          </cell>
          <cell r="G6712" t="str">
            <v>NHMSYS0000458187</v>
          </cell>
          <cell r="H6712" t="str">
            <v>Dryopteris dilatata</v>
          </cell>
        </row>
        <row r="6713">
          <cell r="A6713" t="str">
            <v>Dryopteris expansa</v>
          </cell>
          <cell r="B6713" t="str">
            <v>Vascular plants</v>
          </cell>
          <cell r="C6713" t="str">
            <v>Tracheophyta</v>
          </cell>
          <cell r="D6713" t="str">
            <v>Dryopteris expansa</v>
          </cell>
          <cell r="E6713" t="str">
            <v>LC</v>
          </cell>
          <cell r="F6713" t="str">
            <v>in Stroh et al., 2014 (from: Cheffings &amp; Farrell 2005 or subsequent amendments in Leach 2007, 2010; Leach &amp; Walker 2011, 2013)</v>
          </cell>
          <cell r="G6713" t="str">
            <v>NHMSYS0000458190</v>
          </cell>
          <cell r="H6713" t="str">
            <v>Dryopteris expansa</v>
          </cell>
        </row>
        <row r="6714">
          <cell r="A6714" t="str">
            <v>Dryopteris filix-mas</v>
          </cell>
          <cell r="B6714" t="str">
            <v>Vascular plants</v>
          </cell>
          <cell r="C6714" t="str">
            <v>Tracheophyta</v>
          </cell>
          <cell r="D6714" t="str">
            <v>Dryopteris filix-mas</v>
          </cell>
          <cell r="E6714" t="str">
            <v>LC</v>
          </cell>
          <cell r="F6714" t="str">
            <v>in Stroh et al., 2014 (from: Cheffings &amp; Farrell 2005 or subsequent amendments in Leach 2007, 2010; Leach &amp; Walker 2011, 2013)</v>
          </cell>
          <cell r="G6714" t="str">
            <v>NBNSYS0000004640</v>
          </cell>
          <cell r="H6714" t="str">
            <v>Dryopteris filix-mas</v>
          </cell>
        </row>
        <row r="6715">
          <cell r="A6715" t="str">
            <v>Dryopteris oreades</v>
          </cell>
          <cell r="B6715" t="str">
            <v>Vascular plants</v>
          </cell>
          <cell r="C6715" t="str">
            <v>Tracheophyta</v>
          </cell>
          <cell r="D6715" t="str">
            <v>Dryopteris oreades</v>
          </cell>
          <cell r="E6715" t="str">
            <v>LC</v>
          </cell>
          <cell r="F6715" t="str">
            <v>in Stroh et al., 2014 (from: Cheffings &amp; Farrell 2005 or subsequent amendments in Leach 2007, 2010; Leach &amp; Walker 2011, 2013)</v>
          </cell>
          <cell r="G6715" t="str">
            <v>NBNSYS0000002065</v>
          </cell>
          <cell r="H6715" t="str">
            <v>Dryopteris oreades</v>
          </cell>
        </row>
        <row r="6716">
          <cell r="A6716" t="str">
            <v>Dryopteris submontana</v>
          </cell>
          <cell r="B6716" t="str">
            <v>Vascular plants</v>
          </cell>
          <cell r="C6716" t="str">
            <v>Tracheophyta</v>
          </cell>
          <cell r="D6716" t="str">
            <v>Dryopteris submontana</v>
          </cell>
          <cell r="E6716" t="str">
            <v>LC</v>
          </cell>
          <cell r="F6716" t="str">
            <v>in Stroh et al., 2014 (from: Cheffings &amp; Farrell 2005 or subsequent amendments in Leach 2007, 2010; Leach &amp; Walker 2011, 2013)</v>
          </cell>
          <cell r="G6716" t="str">
            <v>NHMSYS0000458208</v>
          </cell>
          <cell r="H6716" t="str">
            <v>Dryopteris submontana</v>
          </cell>
        </row>
        <row r="6717">
          <cell r="A6717" t="str">
            <v>Echium vulgare</v>
          </cell>
          <cell r="B6717" t="str">
            <v>Vascular plants</v>
          </cell>
          <cell r="C6717" t="str">
            <v>Tracheophyta</v>
          </cell>
          <cell r="D6717" t="str">
            <v>Echium vulgare</v>
          </cell>
          <cell r="E6717" t="str">
            <v>LC</v>
          </cell>
          <cell r="F6717" t="str">
            <v>in Stroh et al., 2014 (from: Cheffings &amp; Farrell 2005 or subsequent amendments in Leach 2007, 2010; Leach &amp; Walker 2011, 2013)</v>
          </cell>
          <cell r="G6717" t="str">
            <v>NBNSYS0000004019</v>
          </cell>
          <cell r="H6717" t="str">
            <v>Echium vulgare</v>
          </cell>
        </row>
        <row r="6718">
          <cell r="A6718" t="str">
            <v>Elatine hexandra</v>
          </cell>
          <cell r="B6718" t="str">
            <v>Vascular plants</v>
          </cell>
          <cell r="C6718" t="str">
            <v>Tracheophyta</v>
          </cell>
          <cell r="D6718" t="str">
            <v>Elatine hexandra</v>
          </cell>
          <cell r="E6718" t="str">
            <v>LC</v>
          </cell>
          <cell r="F6718" t="str">
            <v>in Stroh et al., 2014 (from: Cheffings &amp; Farrell 2005 or subsequent amendments in Leach 2007, 2010; Leach &amp; Walker 2011, 2013)</v>
          </cell>
          <cell r="G6718" t="str">
            <v>NBNSYS0000002983</v>
          </cell>
          <cell r="H6718" t="str">
            <v>Elatine hexandra</v>
          </cell>
        </row>
        <row r="6719">
          <cell r="A6719" t="str">
            <v>Elatine hydropiper</v>
          </cell>
          <cell r="B6719" t="str">
            <v>Vascular plants</v>
          </cell>
          <cell r="C6719" t="str">
            <v>Tracheophyta</v>
          </cell>
          <cell r="D6719" t="str">
            <v>Elatine hydropiper</v>
          </cell>
          <cell r="E6719" t="str">
            <v>LC</v>
          </cell>
          <cell r="F6719" t="str">
            <v>in Stroh et al., 2014 (from: Cheffings &amp; Farrell 2005 or subsequent amendments in Leach 2007, 2010; Leach &amp; Walker 2011, 2013)</v>
          </cell>
          <cell r="G6719" t="str">
            <v>NBNSYS0000002984</v>
          </cell>
          <cell r="H6719" t="str">
            <v>Elatine hydropiper</v>
          </cell>
        </row>
        <row r="6720">
          <cell r="A6720" t="str">
            <v>Eleocharis acicularis</v>
          </cell>
          <cell r="B6720" t="str">
            <v>Vascular plants</v>
          </cell>
          <cell r="C6720" t="str">
            <v>Tracheophyta</v>
          </cell>
          <cell r="D6720" t="str">
            <v>Eleocharis acicularis</v>
          </cell>
          <cell r="E6720" t="str">
            <v>LC</v>
          </cell>
          <cell r="F6720" t="str">
            <v>in Stroh et al., 2014 (from: Cheffings &amp; Farrell 2005 or subsequent amendments in Leach 2007, 2010; Leach &amp; Walker 2011, 2013)</v>
          </cell>
          <cell r="G6720" t="str">
            <v>NHMSYS0000458301</v>
          </cell>
          <cell r="H6720" t="str">
            <v>Eleocharis acicularis</v>
          </cell>
        </row>
        <row r="6721">
          <cell r="A6721" t="str">
            <v>Eleocharis mamillata</v>
          </cell>
          <cell r="B6721" t="str">
            <v>Vascular plants</v>
          </cell>
          <cell r="C6721" t="str">
            <v>Tracheophyta</v>
          </cell>
          <cell r="D6721" t="str">
            <v>Eleocharis mamillata</v>
          </cell>
          <cell r="E6721" t="str">
            <v>LC</v>
          </cell>
          <cell r="F6721" t="str">
            <v>in Stroh et al., 2014 (from: Cheffings &amp; Farrell 2005 or subsequent amendments in Leach 2007, 2010; Leach &amp; Walker 2011, 2013)</v>
          </cell>
          <cell r="G6721" t="str">
            <v>NHMSYS0020110555</v>
          </cell>
          <cell r="H6721" t="str">
            <v>Eleocharis mamillata</v>
          </cell>
        </row>
        <row r="6722">
          <cell r="A6722" t="str">
            <v>Eleocharis multicaulis</v>
          </cell>
          <cell r="B6722" t="str">
            <v>Vascular plants</v>
          </cell>
          <cell r="C6722" t="str">
            <v>Tracheophyta</v>
          </cell>
          <cell r="D6722" t="str">
            <v>Eleocharis multicaulis</v>
          </cell>
          <cell r="E6722" t="str">
            <v>LC</v>
          </cell>
          <cell r="F6722" t="str">
            <v>in Stroh et al., 2014 (from: Cheffings &amp; Farrell 2005 or subsequent amendments in Leach 2007, 2010; Leach &amp; Walker 2011, 2013)</v>
          </cell>
          <cell r="G6722" t="str">
            <v>NHMSYS0000458302</v>
          </cell>
          <cell r="H6722" t="str">
            <v>Eleocharis multicaulis</v>
          </cell>
        </row>
        <row r="6723">
          <cell r="A6723" t="str">
            <v>Eleocharis palustris</v>
          </cell>
          <cell r="B6723" t="str">
            <v>Vascular plants</v>
          </cell>
          <cell r="C6723" t="str">
            <v>Tracheophyta</v>
          </cell>
          <cell r="D6723" t="str">
            <v>Eleocharis palustris</v>
          </cell>
          <cell r="E6723" t="str">
            <v>LC</v>
          </cell>
          <cell r="F6723" t="str">
            <v>in Stroh et al., 2014 (from: Cheffings &amp; Farrell 2005 or subsequent amendments in Leach 2007, 2010; Leach &amp; Walker 2011, 2013)</v>
          </cell>
          <cell r="G6723" t="str">
            <v>NHMSYS0000458304</v>
          </cell>
          <cell r="H6723" t="str">
            <v>Eleocharis palustris</v>
          </cell>
        </row>
        <row r="6724">
          <cell r="A6724" t="str">
            <v>Eleocharis parvula</v>
          </cell>
          <cell r="B6724" t="str">
            <v>Vascular plants</v>
          </cell>
          <cell r="C6724" t="str">
            <v>Tracheophyta</v>
          </cell>
          <cell r="D6724" t="str">
            <v>Eleocharis parvula</v>
          </cell>
          <cell r="E6724" t="str">
            <v>LC</v>
          </cell>
          <cell r="F6724" t="str">
            <v>in Stroh et al., 2014 (from: Cheffings &amp; Farrell 2005 or subsequent amendments in Leach 2007, 2010; Leach &amp; Walker 2011, 2013)</v>
          </cell>
          <cell r="G6724" t="str">
            <v>NHMSYS0100001375</v>
          </cell>
          <cell r="H6724" t="str">
            <v>Eleocharis parvula</v>
          </cell>
        </row>
        <row r="6725">
          <cell r="A6725" t="str">
            <v>Eleocharis quinqueflora</v>
          </cell>
          <cell r="B6725" t="str">
            <v>Vascular plants</v>
          </cell>
          <cell r="C6725" t="str">
            <v>Tracheophyta</v>
          </cell>
          <cell r="D6725" t="str">
            <v>Eleocharis quinqueflora</v>
          </cell>
          <cell r="E6725" t="str">
            <v>LC</v>
          </cell>
          <cell r="F6725" t="str">
            <v>in Stroh et al., 2014 (from: Cheffings &amp; Farrell 2005 or subsequent amendments in Leach 2007, 2010; Leach &amp; Walker 2011, 2013)</v>
          </cell>
          <cell r="G6725" t="str">
            <v>NHMSYS0000458307</v>
          </cell>
          <cell r="H6725" t="str">
            <v>Eleocharis quinqueflora</v>
          </cell>
        </row>
        <row r="6726">
          <cell r="A6726" t="str">
            <v>Eleocharis uniglumis</v>
          </cell>
          <cell r="B6726" t="str">
            <v>Vascular plants</v>
          </cell>
          <cell r="C6726" t="str">
            <v>Tracheophyta</v>
          </cell>
          <cell r="D6726" t="str">
            <v>Eleocharis uniglumis</v>
          </cell>
          <cell r="E6726" t="str">
            <v>LC</v>
          </cell>
          <cell r="F6726" t="str">
            <v>in Stroh et al., 2014 (from: Cheffings &amp; Farrell 2005 or subsequent amendments in Leach 2007, 2010; Leach &amp; Walker 2011, 2013)</v>
          </cell>
          <cell r="G6726" t="str">
            <v>NHMSYS0000458308</v>
          </cell>
          <cell r="H6726" t="str">
            <v>Eleocharis uniglumis</v>
          </cell>
        </row>
        <row r="6727">
          <cell r="A6727" t="str">
            <v>Eleogiton fluitans</v>
          </cell>
          <cell r="B6727" t="str">
            <v>Vascular plants</v>
          </cell>
          <cell r="C6727" t="str">
            <v>Tracheophyta</v>
          </cell>
          <cell r="D6727" t="str">
            <v>Eleogiton fluitans</v>
          </cell>
          <cell r="E6727" t="str">
            <v>LC</v>
          </cell>
          <cell r="F6727" t="str">
            <v>in Stroh et al., 2014 (from: Cheffings &amp; Farrell 2005 or subsequent amendments in Leach 2007, 2010; Leach &amp; Walker 2011, 2013)</v>
          </cell>
          <cell r="G6727" t="str">
            <v>NBNSYS0000002392</v>
          </cell>
          <cell r="H6727" t="str">
            <v>Eleogiton fluitans</v>
          </cell>
        </row>
        <row r="6728">
          <cell r="A6728" t="str">
            <v>Elymus caninus</v>
          </cell>
          <cell r="B6728" t="str">
            <v>Vascular plants</v>
          </cell>
          <cell r="C6728" t="str">
            <v>Tracheophyta</v>
          </cell>
          <cell r="D6728" t="str">
            <v>Elymus caninus</v>
          </cell>
          <cell r="E6728" t="str">
            <v>LC</v>
          </cell>
          <cell r="F6728" t="str">
            <v>in Stroh et al., 2014 (from: Cheffings &amp; Farrell 2005 or subsequent amendments in Leach 2007, 2010; Leach &amp; Walker 2011, 2013)</v>
          </cell>
          <cell r="G6728" t="str">
            <v>NBNSYS0000002594</v>
          </cell>
          <cell r="H6728" t="str">
            <v>Elymus caninus</v>
          </cell>
        </row>
        <row r="6729">
          <cell r="A6729" t="str">
            <v>Elytrigia atherica</v>
          </cell>
          <cell r="B6729" t="str">
            <v>Vascular plants</v>
          </cell>
          <cell r="C6729" t="str">
            <v>Tracheophyta</v>
          </cell>
          <cell r="D6729" t="str">
            <v>Elytrigia atherica</v>
          </cell>
          <cell r="E6729" t="str">
            <v>LC</v>
          </cell>
          <cell r="F6729" t="str">
            <v>in Stroh et al., 2014 (from: Cheffings &amp; Farrell 2005 or subsequent amendments in Leach 2007, 2010; Leach &amp; Walker 2011, 2013)</v>
          </cell>
          <cell r="G6729" t="str">
            <v>NHMSYS0000458356</v>
          </cell>
          <cell r="H6729" t="str">
            <v>Elytrigia atherica</v>
          </cell>
        </row>
        <row r="6730">
          <cell r="A6730" t="str">
            <v>Elytrigia campestris</v>
          </cell>
          <cell r="B6730" t="str">
            <v>Vascular plants</v>
          </cell>
          <cell r="C6730" t="str">
            <v>Tracheophyta</v>
          </cell>
          <cell r="D6730" t="str">
            <v>Elytrigia campestris</v>
          </cell>
          <cell r="E6730" t="str">
            <v>LC</v>
          </cell>
          <cell r="F6730" t="str">
            <v>in Stroh et al., 2014 (from: Cheffings &amp; Farrell 2005 or subsequent amendments in Leach 2007, 2010; Leach &amp; Walker 2011, 2013)</v>
          </cell>
          <cell r="G6730" t="str">
            <v>NHMSYS0000458357</v>
          </cell>
          <cell r="H6730" t="str">
            <v>Elytrigia campestris</v>
          </cell>
        </row>
        <row r="6731">
          <cell r="A6731" t="str">
            <v>Elytrigia juncea</v>
          </cell>
          <cell r="B6731" t="str">
            <v>Vascular plants</v>
          </cell>
          <cell r="C6731" t="str">
            <v>Tracheophyta</v>
          </cell>
          <cell r="D6731" t="str">
            <v>Elytrigia juncea</v>
          </cell>
          <cell r="E6731" t="str">
            <v>LC</v>
          </cell>
          <cell r="F6731" t="str">
            <v>in Stroh et al., 2014 (from: Cheffings &amp; Farrell 2005 or subsequent amendments in Leach 2007, 2010; Leach &amp; Walker 2011, 2013)</v>
          </cell>
          <cell r="G6731" t="str">
            <v>NBNSYS0000002597</v>
          </cell>
          <cell r="H6731" t="str">
            <v>Elytrigia juncea</v>
          </cell>
        </row>
        <row r="6732">
          <cell r="A6732" t="str">
            <v>Elytrigia repens</v>
          </cell>
          <cell r="B6732" t="str">
            <v>Vascular plants</v>
          </cell>
          <cell r="C6732" t="str">
            <v>Tracheophyta</v>
          </cell>
          <cell r="D6732" t="str">
            <v>Elytrigia repens</v>
          </cell>
          <cell r="E6732" t="str">
            <v>LC</v>
          </cell>
          <cell r="F6732" t="str">
            <v>in Stroh et al., 2014 (from: Cheffings &amp; Farrell 2005 or subsequent amendments in Leach 2007, 2010; Leach &amp; Walker 2011, 2013)</v>
          </cell>
          <cell r="G6732" t="str">
            <v>NHMSYS0100001391</v>
          </cell>
          <cell r="H6732" t="str">
            <v>Elytrigia repens</v>
          </cell>
        </row>
        <row r="6733">
          <cell r="A6733" t="str">
            <v>Empetrum nigrum</v>
          </cell>
          <cell r="B6733" t="str">
            <v>Vascular plants</v>
          </cell>
          <cell r="C6733" t="str">
            <v>Tracheophyta</v>
          </cell>
          <cell r="D6733" t="str">
            <v>Empetrum nigrum</v>
          </cell>
          <cell r="E6733" t="str">
            <v>LC</v>
          </cell>
          <cell r="F6733" t="str">
            <v>in Stroh et al., 2014 (from: Cheffings &amp; Farrell 2005 or subsequent amendments in Leach 2007, 2010; Leach &amp; Walker 2011, 2013)</v>
          </cell>
          <cell r="G6733" t="str">
            <v>NBNSYS0000004598</v>
          </cell>
          <cell r="H6733" t="str">
            <v>Empetrum nigrum</v>
          </cell>
        </row>
        <row r="6734">
          <cell r="A6734" t="str">
            <v>Epilobium alsinifolium</v>
          </cell>
          <cell r="B6734" t="str">
            <v>Vascular plants</v>
          </cell>
          <cell r="C6734" t="str">
            <v>Tracheophyta</v>
          </cell>
          <cell r="D6734" t="str">
            <v>Epilobium alsinifolium</v>
          </cell>
          <cell r="E6734" t="str">
            <v>LC</v>
          </cell>
          <cell r="F6734" t="str">
            <v>in Stroh et al., 2014 (from: Cheffings &amp; Farrell 2005 or subsequent amendments in Leach 2007, 2010; Leach &amp; Walker 2011, 2013)</v>
          </cell>
          <cell r="G6734" t="str">
            <v>NHMSYS0000458393</v>
          </cell>
          <cell r="H6734" t="str">
            <v>Epilobium alsinifolium</v>
          </cell>
        </row>
        <row r="6735">
          <cell r="A6735" t="str">
            <v>Epilobium anagallidifolium</v>
          </cell>
          <cell r="B6735" t="str">
            <v>Vascular plants</v>
          </cell>
          <cell r="C6735" t="str">
            <v>Tracheophyta</v>
          </cell>
          <cell r="D6735" t="str">
            <v>Epilobium anagallidifolium</v>
          </cell>
          <cell r="E6735" t="str">
            <v>LC</v>
          </cell>
          <cell r="F6735" t="str">
            <v>in Stroh et al., 2014 (from: Cheffings &amp; Farrell 2005 or subsequent amendments in Leach 2007, 2010; Leach &amp; Walker 2011, 2013)</v>
          </cell>
          <cell r="G6735" t="str">
            <v>NBNSYS0000003587</v>
          </cell>
          <cell r="H6735" t="str">
            <v>Epilobium anagallidifolium</v>
          </cell>
        </row>
        <row r="6736">
          <cell r="A6736" t="str">
            <v>Epilobium hirsutum</v>
          </cell>
          <cell r="B6736" t="str">
            <v>Vascular plants</v>
          </cell>
          <cell r="C6736" t="str">
            <v>Tracheophyta</v>
          </cell>
          <cell r="D6736" t="str">
            <v>Epilobium hirsutum</v>
          </cell>
          <cell r="E6736" t="str">
            <v>LC</v>
          </cell>
          <cell r="F6736" t="str">
            <v>in Stroh et al., 2014 (from: Cheffings &amp; Farrell 2005 or subsequent amendments in Leach 2007, 2010; Leach &amp; Walker 2011, 2013)</v>
          </cell>
          <cell r="G6736" t="str">
            <v>NBNSYS0000003536</v>
          </cell>
          <cell r="H6736" t="str">
            <v>Epilobium hirsutum</v>
          </cell>
        </row>
        <row r="6737">
          <cell r="A6737" t="str">
            <v>Epilobium lanceolatum</v>
          </cell>
          <cell r="B6737" t="str">
            <v>Vascular plants</v>
          </cell>
          <cell r="C6737" t="str">
            <v>Tracheophyta</v>
          </cell>
          <cell r="D6737" t="str">
            <v>Epilobium lanceolatum</v>
          </cell>
          <cell r="E6737" t="str">
            <v>LC</v>
          </cell>
          <cell r="F6737" t="str">
            <v>in Stroh et al., 2014 (from: Cheffings &amp; Farrell 2005 or subsequent amendments in Leach 2007, 2010; Leach &amp; Walker 2011, 2013)</v>
          </cell>
          <cell r="G6737" t="str">
            <v>NBNSYS0000003551</v>
          </cell>
          <cell r="H6737" t="str">
            <v>Epilobium lanceolatum</v>
          </cell>
        </row>
        <row r="6738">
          <cell r="A6738" t="str">
            <v>Epilobium montanum</v>
          </cell>
          <cell r="B6738" t="str">
            <v>Vascular plants</v>
          </cell>
          <cell r="C6738" t="str">
            <v>Tracheophyta</v>
          </cell>
          <cell r="D6738" t="str">
            <v>Epilobium montanum</v>
          </cell>
          <cell r="E6738" t="str">
            <v>LC</v>
          </cell>
          <cell r="F6738" t="str">
            <v>in Stroh et al., 2014 (from: Cheffings &amp; Farrell 2005 or subsequent amendments in Leach 2007, 2010; Leach &amp; Walker 2011, 2013)</v>
          </cell>
          <cell r="G6738" t="str">
            <v>NBNSYS0000003546</v>
          </cell>
          <cell r="H6738" t="str">
            <v>Epilobium montanum</v>
          </cell>
        </row>
        <row r="6739">
          <cell r="A6739" t="str">
            <v>Epilobium obscurum</v>
          </cell>
          <cell r="B6739" t="str">
            <v>Vascular plants</v>
          </cell>
          <cell r="C6739" t="str">
            <v>Tracheophyta</v>
          </cell>
          <cell r="D6739" t="str">
            <v>Epilobium obscurum</v>
          </cell>
          <cell r="E6739" t="str">
            <v>LC</v>
          </cell>
          <cell r="F6739" t="str">
            <v>in Stroh et al., 2014 (from: Cheffings &amp; Farrell 2005 or subsequent amendments in Leach 2007, 2010; Leach &amp; Walker 2011, 2013)</v>
          </cell>
          <cell r="G6739" t="str">
            <v>NHMSYS0000458402</v>
          </cell>
          <cell r="H6739" t="str">
            <v>Epilobium obscurum</v>
          </cell>
        </row>
        <row r="6740">
          <cell r="A6740" t="str">
            <v>Epilobium palustre</v>
          </cell>
          <cell r="B6740" t="str">
            <v>Vascular plants</v>
          </cell>
          <cell r="C6740" t="str">
            <v>Tracheophyta</v>
          </cell>
          <cell r="D6740" t="str">
            <v>Epilobium palustre</v>
          </cell>
          <cell r="E6740" t="str">
            <v>LC</v>
          </cell>
          <cell r="F6740" t="str">
            <v>in Stroh et al., 2014 (from: Cheffings &amp; Farrell 2005 or subsequent amendments in Leach 2007, 2010; Leach &amp; Walker 2011, 2013)</v>
          </cell>
          <cell r="G6740" t="str">
            <v>NBNSYS0000003584</v>
          </cell>
          <cell r="H6740" t="str">
            <v>Epilobium palustre</v>
          </cell>
        </row>
        <row r="6741">
          <cell r="A6741" t="str">
            <v>Epilobium parviflorum</v>
          </cell>
          <cell r="B6741" t="str">
            <v>Vascular plants</v>
          </cell>
          <cell r="C6741" t="str">
            <v>Tracheophyta</v>
          </cell>
          <cell r="D6741" t="str">
            <v>Epilobium parviflorum</v>
          </cell>
          <cell r="E6741" t="str">
            <v>LC</v>
          </cell>
          <cell r="F6741" t="str">
            <v>in Stroh et al., 2014 (from: Cheffings &amp; Farrell 2005 or subsequent amendments in Leach 2007, 2010; Leach &amp; Walker 2011, 2013)</v>
          </cell>
          <cell r="G6741" t="str">
            <v>NHMSYS0000458403</v>
          </cell>
          <cell r="H6741" t="str">
            <v>Epilobium parviflorum</v>
          </cell>
        </row>
        <row r="6742">
          <cell r="A6742" t="str">
            <v>Epilobium roseum</v>
          </cell>
          <cell r="B6742" t="str">
            <v>Vascular plants</v>
          </cell>
          <cell r="C6742" t="str">
            <v>Tracheophyta</v>
          </cell>
          <cell r="D6742" t="str">
            <v>Epilobium roseum</v>
          </cell>
          <cell r="E6742" t="str">
            <v>LC</v>
          </cell>
          <cell r="F6742" t="str">
            <v>in Stroh et al., 2014 (from: Cheffings &amp; Farrell 2005 or subsequent amendments in Leach 2007, 2010; Leach &amp; Walker 2011, 2013)</v>
          </cell>
          <cell r="G6742" t="str">
            <v>NHMSYS0000458405</v>
          </cell>
          <cell r="H6742" t="str">
            <v>Epilobium roseum</v>
          </cell>
        </row>
        <row r="6743">
          <cell r="A6743" t="str">
            <v>Epilobium tetragonum</v>
          </cell>
          <cell r="B6743" t="str">
            <v>Vascular plants</v>
          </cell>
          <cell r="C6743" t="str">
            <v>Tracheophyta</v>
          </cell>
          <cell r="D6743" t="str">
            <v>Epilobium tetragonum</v>
          </cell>
          <cell r="E6743" t="str">
            <v>LC</v>
          </cell>
          <cell r="F6743" t="str">
            <v>in Stroh et al., 2014 (from: Cheffings &amp; Farrell 2005 or subsequent amendments in Leach 2007, 2010; Leach &amp; Walker 2011, 2013)</v>
          </cell>
          <cell r="G6743" t="str">
            <v>NBNSYS0000003567</v>
          </cell>
          <cell r="H6743" t="str">
            <v>Epilobium tetragonum</v>
          </cell>
        </row>
        <row r="6744">
          <cell r="A6744" t="str">
            <v>Epipactis atrorubens</v>
          </cell>
          <cell r="B6744" t="str">
            <v>Vascular plants</v>
          </cell>
          <cell r="C6744" t="str">
            <v>Tracheophyta</v>
          </cell>
          <cell r="D6744" t="str">
            <v>Epipactis atrorubens</v>
          </cell>
          <cell r="E6744" t="str">
            <v>LC</v>
          </cell>
          <cell r="F6744" t="str">
            <v>in Stroh et al., 2014 (from: Cheffings &amp; Farrell 2005 or subsequent amendments in Leach 2007, 2010; Leach &amp; Walker 2011, 2013)</v>
          </cell>
          <cell r="G6744" t="str">
            <v>NBNSYS0000002294</v>
          </cell>
          <cell r="H6744" t="str">
            <v>Epipactis atrorubens</v>
          </cell>
        </row>
        <row r="6745">
          <cell r="A6745" t="str">
            <v>Epipactis helleborine</v>
          </cell>
          <cell r="B6745" t="str">
            <v>Vascular plants</v>
          </cell>
          <cell r="C6745" t="str">
            <v>Tracheophyta</v>
          </cell>
          <cell r="D6745" t="str">
            <v>Epipactis helleborine</v>
          </cell>
          <cell r="E6745" t="str">
            <v>LC</v>
          </cell>
          <cell r="F6745" t="str">
            <v>in Stroh et al., 2014 (from: Cheffings &amp; Farrell 2005 or subsequent amendments in Leach 2007, 2010; Leach &amp; Walker 2011, 2013)</v>
          </cell>
          <cell r="G6745" t="str">
            <v>NBNSYS0000002289</v>
          </cell>
          <cell r="H6745" t="str">
            <v>Epipactis helleborine</v>
          </cell>
        </row>
        <row r="6746">
          <cell r="A6746" t="str">
            <v>Epipactis leptochila agg.</v>
          </cell>
          <cell r="B6746" t="str">
            <v>Vascular plants</v>
          </cell>
          <cell r="C6746" t="str">
            <v>Tracheophyta</v>
          </cell>
          <cell r="D6746" t="str">
            <v>Epipactis leptochila agg.</v>
          </cell>
          <cell r="E6746" t="str">
            <v>LC</v>
          </cell>
          <cell r="F6746" t="str">
            <v>in Stroh et al., 2014 (from: Cheffings &amp; Farrell 2005 or subsequent amendments in Leach 2007, 2010; Leach &amp; Walker 2011, 2013)</v>
          </cell>
          <cell r="G6746" t="str">
            <v>NBNSYS0000002291</v>
          </cell>
          <cell r="H6746" t="str">
            <v>Epipactis leptochila agg.</v>
          </cell>
        </row>
        <row r="6747">
          <cell r="A6747" t="str">
            <v>Epipactis palustris</v>
          </cell>
          <cell r="B6747" t="str">
            <v>Vascular plants</v>
          </cell>
          <cell r="C6747" t="str">
            <v>Tracheophyta</v>
          </cell>
          <cell r="D6747" t="str">
            <v>Epipactis palustris</v>
          </cell>
          <cell r="E6747" t="str">
            <v>LC</v>
          </cell>
          <cell r="F6747" t="str">
            <v>in Stroh et al., 2014 (from: Cheffings &amp; Farrell 2005 or subsequent amendments in Leach 2007, 2010; Leach &amp; Walker 2011, 2013)</v>
          </cell>
          <cell r="G6747" t="str">
            <v>NHMSYS0000458452</v>
          </cell>
          <cell r="H6747" t="str">
            <v>Epipactis palustris</v>
          </cell>
        </row>
        <row r="6748">
          <cell r="A6748" t="str">
            <v>Epipactis phyllanthes</v>
          </cell>
          <cell r="B6748" t="str">
            <v>Vascular plants</v>
          </cell>
          <cell r="C6748" t="str">
            <v>Tracheophyta</v>
          </cell>
          <cell r="D6748" t="str">
            <v>Epipactis phyllanthes</v>
          </cell>
          <cell r="E6748" t="str">
            <v>LC</v>
          </cell>
          <cell r="F6748" t="str">
            <v>in Stroh et al., 2014 (from: Cheffings &amp; Farrell 2005 or subsequent amendments in Leach 2007, 2010; Leach &amp; Walker 2011, 2013)</v>
          </cell>
          <cell r="G6748" t="str">
            <v>NHMSYS0000458454</v>
          </cell>
          <cell r="H6748" t="str">
            <v>Epipactis phyllanthes</v>
          </cell>
        </row>
        <row r="6749">
          <cell r="A6749" t="str">
            <v>Epipactis purpurata</v>
          </cell>
          <cell r="B6749" t="str">
            <v>Vascular plants</v>
          </cell>
          <cell r="C6749" t="str">
            <v>Tracheophyta</v>
          </cell>
          <cell r="D6749" t="str">
            <v>Epipactis purpurata</v>
          </cell>
          <cell r="E6749" t="str">
            <v>LC</v>
          </cell>
          <cell r="F6749" t="str">
            <v>in Stroh et al., 2014 (from: Cheffings &amp; Farrell 2005 or subsequent amendments in Leach 2007, 2010; Leach &amp; Walker 2011, 2013)</v>
          </cell>
          <cell r="G6749" t="str">
            <v>NHMSYS0000458456</v>
          </cell>
          <cell r="H6749" t="str">
            <v>Epipactis purpurata</v>
          </cell>
        </row>
        <row r="6750">
          <cell r="A6750" t="str">
            <v>Epipactis sancta</v>
          </cell>
          <cell r="B6750" t="str">
            <v>Vascular plants</v>
          </cell>
          <cell r="C6750" t="str">
            <v>Tracheophyta</v>
          </cell>
          <cell r="D6750" t="str">
            <v>Epipactis sancta</v>
          </cell>
          <cell r="E6750" t="str">
            <v>EN</v>
          </cell>
          <cell r="F6750" t="str">
            <v>in Stroh et al., 2014 (from: Cheffings &amp; Farrell 2005 or subsequent amendments in Leach 2007, 2010; Leach &amp; Walker 2011, 2013)</v>
          </cell>
          <cell r="G6750" t="str">
            <v>NHMSYS0020110557</v>
          </cell>
          <cell r="H6750" t="str">
            <v>Epipactis sancta</v>
          </cell>
        </row>
        <row r="6751">
          <cell r="A6751" t="str">
            <v>Epipogium aphyllum</v>
          </cell>
          <cell r="B6751" t="str">
            <v>Vascular plants</v>
          </cell>
          <cell r="C6751" t="str">
            <v>Tracheophyta</v>
          </cell>
          <cell r="D6751" t="str">
            <v>Epipogium aphyllum</v>
          </cell>
          <cell r="E6751" t="str">
            <v>CR</v>
          </cell>
          <cell r="F6751" t="str">
            <v>in Stroh et al., 2014 (from: Cheffings &amp; Farrell 2005 or subsequent amendments in Leach 2007, 2010; Leach &amp; Walker 2011, 2013)</v>
          </cell>
          <cell r="G6751" t="str">
            <v>NBNSYS0000002295</v>
          </cell>
          <cell r="H6751" t="str">
            <v>Epipogium aphyllum</v>
          </cell>
        </row>
        <row r="6752">
          <cell r="A6752" t="str">
            <v>Equisetum arvense</v>
          </cell>
          <cell r="B6752" t="str">
            <v>Vascular plants</v>
          </cell>
          <cell r="C6752" t="str">
            <v>Tracheophyta</v>
          </cell>
          <cell r="D6752" t="str">
            <v>Equisetum arvense</v>
          </cell>
          <cell r="E6752" t="str">
            <v>LC</v>
          </cell>
          <cell r="F6752" t="str">
            <v>in Stroh et al., 2014 (from: Cheffings &amp; Farrell 2005 or subsequent amendments in Leach 2007, 2010; Leach &amp; Walker 2011, 2013)</v>
          </cell>
          <cell r="G6752" t="str">
            <v>NBNSYS0000002022</v>
          </cell>
          <cell r="H6752" t="str">
            <v>Equisetum arvense</v>
          </cell>
        </row>
        <row r="6753">
          <cell r="A6753" t="str">
            <v>Equisetum fluviatile</v>
          </cell>
          <cell r="B6753" t="str">
            <v>Vascular plants</v>
          </cell>
          <cell r="C6753" t="str">
            <v>Tracheophyta</v>
          </cell>
          <cell r="D6753" t="str">
            <v>Equisetum fluviatile</v>
          </cell>
          <cell r="E6753" t="str">
            <v>LC</v>
          </cell>
          <cell r="F6753" t="str">
            <v>in Stroh et al., 2014 (from: Cheffings &amp; Farrell 2005 or subsequent amendments in Leach 2007, 2010; Leach &amp; Walker 2011, 2013)</v>
          </cell>
          <cell r="G6753" t="str">
            <v>NBNSYS0000002016</v>
          </cell>
          <cell r="H6753" t="str">
            <v>Equisetum fluviatile</v>
          </cell>
        </row>
        <row r="6754">
          <cell r="A6754" t="str">
            <v>Equisetum hyemale</v>
          </cell>
          <cell r="B6754" t="str">
            <v>Vascular plants</v>
          </cell>
          <cell r="C6754" t="str">
            <v>Tracheophyta</v>
          </cell>
          <cell r="D6754" t="str">
            <v>Equisetum hyemale</v>
          </cell>
          <cell r="E6754" t="str">
            <v>LC</v>
          </cell>
          <cell r="F6754" t="str">
            <v>in Stroh et al., 2014 (from: Cheffings &amp; Farrell 2005 or subsequent amendments in Leach 2007, 2010; Leach &amp; Walker 2011, 2013)</v>
          </cell>
          <cell r="G6754" t="str">
            <v>NBNSYS0000002011</v>
          </cell>
          <cell r="H6754" t="str">
            <v>Equisetum hyemale</v>
          </cell>
        </row>
        <row r="6755">
          <cell r="A6755" t="str">
            <v>Equisetum palustre</v>
          </cell>
          <cell r="B6755" t="str">
            <v>Vascular plants</v>
          </cell>
          <cell r="C6755" t="str">
            <v>Tracheophyta</v>
          </cell>
          <cell r="D6755" t="str">
            <v>Equisetum palustre</v>
          </cell>
          <cell r="E6755" t="str">
            <v>LC</v>
          </cell>
          <cell r="F6755" t="str">
            <v>in Stroh et al., 2014 (from: Cheffings &amp; Farrell 2005 or subsequent amendments in Leach 2007, 2010; Leach &amp; Walker 2011, 2013)</v>
          </cell>
          <cell r="G6755" t="str">
            <v>NBNSYS0000002018</v>
          </cell>
          <cell r="H6755" t="str">
            <v>Equisetum palustre</v>
          </cell>
        </row>
        <row r="6756">
          <cell r="A6756" t="str">
            <v>Equisetum pratense</v>
          </cell>
          <cell r="B6756" t="str">
            <v>Vascular plants</v>
          </cell>
          <cell r="C6756" t="str">
            <v>Tracheophyta</v>
          </cell>
          <cell r="D6756" t="str">
            <v>Equisetum pratense</v>
          </cell>
          <cell r="E6756" t="str">
            <v>LC</v>
          </cell>
          <cell r="F6756" t="str">
            <v>in Stroh et al., 2014 (from: Cheffings &amp; Farrell 2005 or subsequent amendments in Leach 2007, 2010; Leach &amp; Walker 2011, 2013)</v>
          </cell>
          <cell r="G6756" t="str">
            <v>NBNSYS0000002021</v>
          </cell>
          <cell r="H6756" t="str">
            <v>Equisetum pratense</v>
          </cell>
        </row>
        <row r="6757">
          <cell r="A6757" t="str">
            <v>Equisetum sylvaticum</v>
          </cell>
          <cell r="B6757" t="str">
            <v>Vascular plants</v>
          </cell>
          <cell r="C6757" t="str">
            <v>Tracheophyta</v>
          </cell>
          <cell r="D6757" t="str">
            <v>Equisetum sylvaticum</v>
          </cell>
          <cell r="E6757" t="str">
            <v>LC</v>
          </cell>
          <cell r="F6757" t="str">
            <v>in Stroh et al., 2014 (from: Cheffings &amp; Farrell 2005 or subsequent amendments in Leach 2007, 2010; Leach &amp; Walker 2011, 2013)</v>
          </cell>
          <cell r="G6757" t="str">
            <v>NBNSYS0000002020</v>
          </cell>
          <cell r="H6757" t="str">
            <v>Equisetum sylvaticum</v>
          </cell>
        </row>
        <row r="6758">
          <cell r="A6758" t="str">
            <v>Equisetum telmateia</v>
          </cell>
          <cell r="B6758" t="str">
            <v>Vascular plants</v>
          </cell>
          <cell r="C6758" t="str">
            <v>Tracheophyta</v>
          </cell>
          <cell r="D6758" t="str">
            <v>Equisetum telmateia</v>
          </cell>
          <cell r="E6758" t="str">
            <v>LC</v>
          </cell>
          <cell r="F6758" t="str">
            <v>in Stroh et al., 2014 (from: Cheffings &amp; Farrell 2005 or subsequent amendments in Leach 2007, 2010; Leach &amp; Walker 2011, 2013)</v>
          </cell>
          <cell r="G6758" t="str">
            <v>NBNSYS0000002025</v>
          </cell>
          <cell r="H6758" t="str">
            <v>Equisetum telmateia</v>
          </cell>
        </row>
        <row r="6759">
          <cell r="A6759" t="str">
            <v>Equisetum variegatum</v>
          </cell>
          <cell r="B6759" t="str">
            <v>Vascular plants</v>
          </cell>
          <cell r="C6759" t="str">
            <v>Tracheophyta</v>
          </cell>
          <cell r="D6759" t="str">
            <v>Equisetum variegatum</v>
          </cell>
          <cell r="E6759" t="str">
            <v>LC</v>
          </cell>
          <cell r="F6759" t="str">
            <v>in Stroh et al., 2014 (from: Cheffings &amp; Farrell 2005 or subsequent amendments in Leach 2007, 2010; Leach &amp; Walker 2011, 2013)</v>
          </cell>
          <cell r="G6759" t="str">
            <v>NHMSYS0000458478</v>
          </cell>
          <cell r="H6759" t="str">
            <v>Equisetum variegatum</v>
          </cell>
        </row>
        <row r="6760">
          <cell r="A6760" t="str">
            <v>Erica ciliaris</v>
          </cell>
          <cell r="B6760" t="str">
            <v>Vascular plants</v>
          </cell>
          <cell r="C6760" t="str">
            <v>Tracheophyta</v>
          </cell>
          <cell r="D6760" t="str">
            <v>Erica ciliaris</v>
          </cell>
          <cell r="E6760" t="str">
            <v>LC</v>
          </cell>
          <cell r="F6760" t="str">
            <v>in Stroh et al., 2014 (from: Cheffings &amp; Farrell 2005 or subsequent amendments in Leach 2007, 2010; Leach &amp; Walker 2011, 2013)</v>
          </cell>
          <cell r="G6760" t="str">
            <v>NBNSYS0000003907</v>
          </cell>
          <cell r="H6760" t="str">
            <v>Erica ciliaris</v>
          </cell>
        </row>
        <row r="6761">
          <cell r="A6761" t="str">
            <v>Erica cinerea</v>
          </cell>
          <cell r="B6761" t="str">
            <v>Vascular plants</v>
          </cell>
          <cell r="C6761" t="str">
            <v>Tracheophyta</v>
          </cell>
          <cell r="D6761" t="str">
            <v>Erica cinerea</v>
          </cell>
          <cell r="E6761" t="str">
            <v>LC</v>
          </cell>
          <cell r="F6761" t="str">
            <v>in Stroh et al., 2014 (from: Cheffings &amp; Farrell 2005 or subsequent amendments in Leach 2007, 2010; Leach &amp; Walker 2011, 2013)</v>
          </cell>
          <cell r="G6761" t="str">
            <v>NBNSYS0000003909</v>
          </cell>
          <cell r="H6761" t="str">
            <v>Erica cinerea</v>
          </cell>
        </row>
        <row r="6762">
          <cell r="A6762" t="str">
            <v>Erica tetralix</v>
          </cell>
          <cell r="B6762" t="str">
            <v>Vascular plants</v>
          </cell>
          <cell r="C6762" t="str">
            <v>Tracheophyta</v>
          </cell>
          <cell r="D6762" t="str">
            <v>Erica tetralix</v>
          </cell>
          <cell r="E6762" t="str">
            <v>LC</v>
          </cell>
          <cell r="F6762" t="str">
            <v>in Stroh et al., 2014 (from: Cheffings &amp; Farrell 2005 or subsequent amendments in Leach 2007, 2010; Leach &amp; Walker 2011, 2013)</v>
          </cell>
          <cell r="G6762" t="str">
            <v>NBNSYS0000003903</v>
          </cell>
          <cell r="H6762" t="str">
            <v>Erica tetralix</v>
          </cell>
        </row>
        <row r="6763">
          <cell r="A6763" t="str">
            <v>Erica vagans</v>
          </cell>
          <cell r="B6763" t="str">
            <v>Vascular plants</v>
          </cell>
          <cell r="C6763" t="str">
            <v>Tracheophyta</v>
          </cell>
          <cell r="D6763" t="str">
            <v>Erica vagans</v>
          </cell>
          <cell r="E6763" t="str">
            <v>LC</v>
          </cell>
          <cell r="F6763" t="str">
            <v>in Stroh et al., 2014 (from: Cheffings &amp; Farrell 2005 or subsequent amendments in Leach 2007, 2010; Leach &amp; Walker 2011, 2013)</v>
          </cell>
          <cell r="G6763" t="str">
            <v>NBNSYS0000003913</v>
          </cell>
          <cell r="H6763" t="str">
            <v>Erica vagans</v>
          </cell>
        </row>
        <row r="6764">
          <cell r="A6764" t="str">
            <v>Erigeron acris</v>
          </cell>
          <cell r="B6764" t="str">
            <v>Vascular plants</v>
          </cell>
          <cell r="C6764" t="str">
            <v>Tracheophyta</v>
          </cell>
          <cell r="D6764" t="str">
            <v>Erigeron acris</v>
          </cell>
          <cell r="E6764" t="str">
            <v>LC</v>
          </cell>
          <cell r="F6764" t="str">
            <v>in Stroh et al., 2014 (from: Cheffings &amp; Farrell 2005 or subsequent amendments in Leach 2007, 2010; Leach &amp; Walker 2011, 2013)</v>
          </cell>
          <cell r="G6764" t="str">
            <v>NHMSYS0021126192</v>
          </cell>
          <cell r="H6764" t="str">
            <v>Erigeron acris</v>
          </cell>
        </row>
        <row r="6765">
          <cell r="A6765" t="str">
            <v>Eriophorum angustifolium</v>
          </cell>
          <cell r="B6765" t="str">
            <v>Vascular plants</v>
          </cell>
          <cell r="C6765" t="str">
            <v>Tracheophyta</v>
          </cell>
          <cell r="D6765" t="str">
            <v>Eriophorum angustifolium</v>
          </cell>
          <cell r="E6765" t="str">
            <v>LC</v>
          </cell>
          <cell r="F6765" t="str">
            <v>in Stroh et al., 2014 (from: Cheffings &amp; Farrell 2005 or subsequent amendments in Leach 2007, 2010; Leach &amp; Walker 2011, 2013)</v>
          </cell>
          <cell r="G6765" t="str">
            <v>NBNSYS0000002372</v>
          </cell>
          <cell r="H6765" t="str">
            <v>Eriophorum angustifolium</v>
          </cell>
        </row>
        <row r="6766">
          <cell r="A6766" t="str">
            <v>Eriophorum gracile</v>
          </cell>
          <cell r="B6766" t="str">
            <v>Vascular plants</v>
          </cell>
          <cell r="C6766" t="str">
            <v>Tracheophyta</v>
          </cell>
          <cell r="D6766" t="str">
            <v>Eriophorum gracile</v>
          </cell>
          <cell r="E6766" t="str">
            <v>NT</v>
          </cell>
          <cell r="F6766" t="str">
            <v>in Stroh et al., 2014 (from: Cheffings &amp; Farrell 2005 or subsequent amendments in Leach 2007, 2010; Leach &amp; Walker 2011, 2013)</v>
          </cell>
          <cell r="G6766" t="str">
            <v>NHMSYS0000458556</v>
          </cell>
          <cell r="H6766" t="str">
            <v>Eriophorum gracile</v>
          </cell>
        </row>
        <row r="6767">
          <cell r="A6767" t="str">
            <v>Eriophorum latifolium</v>
          </cell>
          <cell r="B6767" t="str">
            <v>Vascular plants</v>
          </cell>
          <cell r="C6767" t="str">
            <v>Tracheophyta</v>
          </cell>
          <cell r="D6767" t="str">
            <v>Eriophorum latifolium</v>
          </cell>
          <cell r="E6767" t="str">
            <v>LC</v>
          </cell>
          <cell r="F6767" t="str">
            <v>in Stroh et al., 2014 (from: Cheffings &amp; Farrell 2005 or subsequent amendments in Leach 2007, 2010; Leach &amp; Walker 2011, 2013)</v>
          </cell>
          <cell r="G6767" t="str">
            <v>NBNSYS0000002374</v>
          </cell>
          <cell r="H6767" t="str">
            <v>Eriophorum latifolium</v>
          </cell>
        </row>
        <row r="6768">
          <cell r="A6768" t="str">
            <v>Eriophorum vaginatum</v>
          </cell>
          <cell r="B6768" t="str">
            <v>Vascular plants</v>
          </cell>
          <cell r="C6768" t="str">
            <v>Tracheophyta</v>
          </cell>
          <cell r="D6768" t="str">
            <v>Eriophorum vaginatum</v>
          </cell>
          <cell r="E6768" t="str">
            <v>LC</v>
          </cell>
          <cell r="F6768" t="str">
            <v>in Stroh et al., 2014 (from: Cheffings &amp; Farrell 2005 or subsequent amendments in Leach 2007, 2010; Leach &amp; Walker 2011, 2013)</v>
          </cell>
          <cell r="G6768" t="str">
            <v>NBNSYS0000002375</v>
          </cell>
          <cell r="H6768" t="str">
            <v>Eriophorum vaginatum</v>
          </cell>
        </row>
        <row r="6769">
          <cell r="A6769" t="str">
            <v>Erodium cicutarium</v>
          </cell>
          <cell r="B6769" t="str">
            <v>Vascular plants</v>
          </cell>
          <cell r="C6769" t="str">
            <v>Tracheophyta</v>
          </cell>
          <cell r="D6769" t="str">
            <v>Erodium cicutarium</v>
          </cell>
          <cell r="E6769" t="str">
            <v>LC</v>
          </cell>
          <cell r="F6769" t="str">
            <v>in Stroh et al., 2014 (from: Cheffings &amp; Farrell 2005 or subsequent amendments in Leach 2007, 2010; Leach &amp; Walker 2011, 2013)</v>
          </cell>
          <cell r="G6769" t="str">
            <v>NHMSYS0000458563</v>
          </cell>
          <cell r="H6769" t="str">
            <v>Erodium cicutarium</v>
          </cell>
        </row>
        <row r="6770">
          <cell r="A6770" t="str">
            <v>Erodium lebelii</v>
          </cell>
          <cell r="B6770" t="str">
            <v>Vascular plants</v>
          </cell>
          <cell r="C6770" t="str">
            <v>Tracheophyta</v>
          </cell>
          <cell r="D6770" t="str">
            <v>Erodium lebelii</v>
          </cell>
          <cell r="E6770" t="str">
            <v>LC</v>
          </cell>
          <cell r="F6770" t="str">
            <v>in Stroh et al., 2014 (from: Cheffings &amp; Farrell 2005 or subsequent amendments in Leach 2007, 2010; Leach &amp; Walker 2011, 2013)</v>
          </cell>
          <cell r="G6770" t="str">
            <v>NHMSYS0000458571</v>
          </cell>
          <cell r="H6770" t="str">
            <v>Erodium lebelii</v>
          </cell>
        </row>
        <row r="6771">
          <cell r="A6771" t="str">
            <v>Erodium maritimum</v>
          </cell>
          <cell r="B6771" t="str">
            <v>Vascular plants</v>
          </cell>
          <cell r="C6771" t="str">
            <v>Tracheophyta</v>
          </cell>
          <cell r="D6771" t="str">
            <v>Erodium maritimum</v>
          </cell>
          <cell r="E6771" t="str">
            <v>LC</v>
          </cell>
          <cell r="F6771" t="str">
            <v>in Stroh et al., 2014 (from: Cheffings &amp; Farrell 2005 or subsequent amendments in Leach 2007, 2010; Leach &amp; Walker 2011, 2013)</v>
          </cell>
          <cell r="G6771" t="str">
            <v>NHMSYS0000458573</v>
          </cell>
          <cell r="H6771" t="str">
            <v>Erodium maritimum</v>
          </cell>
        </row>
        <row r="6772">
          <cell r="A6772" t="str">
            <v>Erophila glabrescens</v>
          </cell>
          <cell r="B6772" t="str">
            <v>Vascular plants</v>
          </cell>
          <cell r="C6772" t="str">
            <v>Tracheophyta</v>
          </cell>
          <cell r="D6772" t="str">
            <v>Erophila glabrescens</v>
          </cell>
          <cell r="E6772" t="str">
            <v>LC</v>
          </cell>
          <cell r="F6772" t="str">
            <v>in Stroh et al., 2014 (from: Cheffings &amp; Farrell 2005 or subsequent amendments in Leach 2007, 2010; Leach &amp; Walker 2011, 2013)</v>
          </cell>
          <cell r="G6772" t="str">
            <v>NHMSYS0000458579</v>
          </cell>
          <cell r="H6772" t="str">
            <v>Erophila glabrescens</v>
          </cell>
        </row>
        <row r="6773">
          <cell r="A6773" t="str">
            <v>Erophila majuscula</v>
          </cell>
          <cell r="B6773" t="str">
            <v>Vascular plants</v>
          </cell>
          <cell r="C6773" t="str">
            <v>Tracheophyta</v>
          </cell>
          <cell r="D6773" t="str">
            <v>Erophila majuscula</v>
          </cell>
          <cell r="E6773" t="str">
            <v>LC</v>
          </cell>
          <cell r="F6773" t="str">
            <v>in Stroh et al., 2014 (from: Cheffings &amp; Farrell 2005 or subsequent amendments in Leach 2007, 2010; Leach &amp; Walker 2011, 2013)</v>
          </cell>
          <cell r="G6773" t="str">
            <v>NHMSYS0000458580</v>
          </cell>
          <cell r="H6773" t="str">
            <v>Erophila majuscula</v>
          </cell>
        </row>
        <row r="6774">
          <cell r="A6774" t="str">
            <v>Erophila verna </v>
          </cell>
          <cell r="B6774" t="str">
            <v>Vascular plants</v>
          </cell>
          <cell r="C6774" t="str">
            <v>Tracheophyta</v>
          </cell>
          <cell r="D6774" t="str">
            <v>Erophila verna</v>
          </cell>
          <cell r="E6774" t="str">
            <v>LC</v>
          </cell>
          <cell r="F6774" t="str">
            <v>in Stroh et al., 2014 (from: Cheffings &amp; Farrell 2005 or subsequent amendments in Leach 2007, 2010; Leach &amp; Walker 2011, 2013)</v>
          </cell>
          <cell r="G6774" t="str">
            <v>NHMSYS0000458582</v>
          </cell>
          <cell r="H6774" t="str">
            <v>Erophila verna </v>
          </cell>
        </row>
        <row r="6775">
          <cell r="A6775" t="str">
            <v>Eryngium maritimum</v>
          </cell>
          <cell r="B6775" t="str">
            <v>Vascular plants</v>
          </cell>
          <cell r="C6775" t="str">
            <v>Tracheophyta</v>
          </cell>
          <cell r="D6775" t="str">
            <v>Eryngium maritimum</v>
          </cell>
          <cell r="E6775" t="str">
            <v>LC</v>
          </cell>
          <cell r="F6775" t="str">
            <v>in Stroh et al., 2014 (from: Cheffings &amp; Farrell 2005 or subsequent amendments in Leach 2007, 2010; Leach &amp; Walker 2011, 2013)</v>
          </cell>
          <cell r="G6775" t="str">
            <v>NBNSYS0000003636</v>
          </cell>
          <cell r="H6775" t="str">
            <v>Eryngium maritimum</v>
          </cell>
        </row>
        <row r="6776">
          <cell r="A6776" t="str">
            <v>Euonymus europaeus</v>
          </cell>
          <cell r="B6776" t="str">
            <v>Vascular plants</v>
          </cell>
          <cell r="C6776" t="str">
            <v>Tracheophyta</v>
          </cell>
          <cell r="D6776" t="str">
            <v>Euonymus europaeus</v>
          </cell>
          <cell r="E6776" t="str">
            <v>LC</v>
          </cell>
          <cell r="F6776" t="str">
            <v>in Stroh et al., 2014 (from: Cheffings &amp; Farrell 2005 or subsequent amendments in Leach 2007, 2010; Leach &amp; Walker 2011, 2013)</v>
          </cell>
          <cell r="G6776" t="str">
            <v>NBNSYS0000003195</v>
          </cell>
          <cell r="H6776" t="str">
            <v>Euonymus europaeus</v>
          </cell>
        </row>
        <row r="6777">
          <cell r="A6777" t="str">
            <v>Eupatorium cannabinum</v>
          </cell>
          <cell r="B6777" t="str">
            <v>Vascular plants</v>
          </cell>
          <cell r="C6777" t="str">
            <v>Tracheophyta</v>
          </cell>
          <cell r="D6777" t="str">
            <v>Eupatorium cannabinum</v>
          </cell>
          <cell r="E6777" t="str">
            <v>LC</v>
          </cell>
          <cell r="F6777" t="str">
            <v>in Stroh et al., 2014 (from: Cheffings &amp; Farrell 2005 or subsequent amendments in Leach 2007, 2010; Leach &amp; Walker 2011, 2013)</v>
          </cell>
          <cell r="G6777" t="str">
            <v>NBNSYS0000004446</v>
          </cell>
          <cell r="H6777" t="str">
            <v>Eupatorium cannabinum</v>
          </cell>
        </row>
        <row r="6778">
          <cell r="A6778" t="str">
            <v>Euphorbia amygdaloides</v>
          </cell>
          <cell r="B6778" t="str">
            <v>Vascular plants</v>
          </cell>
          <cell r="C6778" t="str">
            <v>Tracheophyta</v>
          </cell>
          <cell r="D6778" t="str">
            <v>Euphorbia amygdaloides</v>
          </cell>
          <cell r="E6778" t="str">
            <v>LC</v>
          </cell>
          <cell r="F6778" t="str">
            <v>in Stroh et al., 2014 (from: Cheffings &amp; Farrell 2005 or subsequent amendments in Leach 2007, 2010; Leach &amp; Walker 2011, 2013)</v>
          </cell>
          <cell r="G6778" t="str">
            <v>NBNSYS0000003741</v>
          </cell>
          <cell r="H6778" t="str">
            <v>Euphorbia amygdaloides</v>
          </cell>
        </row>
        <row r="6779">
          <cell r="A6779" t="str">
            <v>Euphorbia hyberna</v>
          </cell>
          <cell r="B6779" t="str">
            <v>Vascular plants</v>
          </cell>
          <cell r="C6779" t="str">
            <v>Tracheophyta</v>
          </cell>
          <cell r="D6779" t="str">
            <v>Euphorbia hyberna</v>
          </cell>
          <cell r="E6779" t="str">
            <v>VU</v>
          </cell>
          <cell r="F6779" t="str">
            <v>in Stroh et al., 2014 (from: Cheffings &amp; Farrell 2005 or subsequent amendments in Leach 2007, 2010; Leach &amp; Walker 2011, 2013)</v>
          </cell>
          <cell r="G6779" t="str">
            <v>NBNSYS0000003728</v>
          </cell>
          <cell r="H6779" t="str">
            <v>Euphorbia hyberna</v>
          </cell>
        </row>
        <row r="6780">
          <cell r="A6780" t="str">
            <v>Euphorbia paralias</v>
          </cell>
          <cell r="B6780" t="str">
            <v>Vascular plants</v>
          </cell>
          <cell r="C6780" t="str">
            <v>Tracheophyta</v>
          </cell>
          <cell r="D6780" t="str">
            <v>Euphorbia paralias</v>
          </cell>
          <cell r="E6780" t="str">
            <v>LC</v>
          </cell>
          <cell r="F6780" t="str">
            <v>in Stroh et al., 2014 (from: Cheffings &amp; Farrell 2005 or subsequent amendments in Leach 2007, 2010; Leach &amp; Walker 2011, 2013)</v>
          </cell>
          <cell r="G6780" t="str">
            <v>NBNSYS0000003736</v>
          </cell>
          <cell r="H6780" t="str">
            <v>Euphorbia paralias</v>
          </cell>
        </row>
        <row r="6781">
          <cell r="A6781" t="str">
            <v>Euphorbia peplis</v>
          </cell>
          <cell r="B6781" t="str">
            <v>Vascular plants</v>
          </cell>
          <cell r="C6781" t="str">
            <v>Tracheophyta</v>
          </cell>
          <cell r="D6781" t="str">
            <v>Euphorbia peplis</v>
          </cell>
          <cell r="E6781" t="str">
            <v>EX</v>
          </cell>
          <cell r="F6781" t="str">
            <v>in Stroh et al., 2014 (from: Cheffings &amp; Farrell 2005 or subsequent amendments in Leach 2007, 2010; Leach &amp; Walker 2011, 2013)</v>
          </cell>
          <cell r="G6781" t="str">
            <v>NBNSYS0000003724</v>
          </cell>
          <cell r="H6781" t="str">
            <v>Euphorbia peplis</v>
          </cell>
        </row>
        <row r="6782">
          <cell r="A6782" t="str">
            <v>Euphorbia portlandica</v>
          </cell>
          <cell r="B6782" t="str">
            <v>Vascular plants</v>
          </cell>
          <cell r="C6782" t="str">
            <v>Tracheophyta</v>
          </cell>
          <cell r="D6782" t="str">
            <v>Euphorbia portlandica</v>
          </cell>
          <cell r="E6782" t="str">
            <v>LC</v>
          </cell>
          <cell r="F6782" t="str">
            <v>in Stroh et al., 2014 (from: Cheffings &amp; Farrell 2005 or subsequent amendments in Leach 2007, 2010; Leach &amp; Walker 2011, 2013)</v>
          </cell>
          <cell r="G6782" t="str">
            <v>NBNSYS0000003735</v>
          </cell>
          <cell r="H6782" t="str">
            <v>Euphorbia portlandica</v>
          </cell>
        </row>
        <row r="6783">
          <cell r="A6783" t="str">
            <v>Euphorbia stricta</v>
          </cell>
          <cell r="B6783" t="str">
            <v>Vascular plants</v>
          </cell>
          <cell r="C6783" t="str">
            <v>Tracheophyta</v>
          </cell>
          <cell r="D6783" t="str">
            <v>Euphorbia stricta</v>
          </cell>
          <cell r="E6783" t="str">
            <v>LC</v>
          </cell>
          <cell r="F6783" t="str">
            <v>in Stroh et al., 2014 (from: Cheffings &amp; Farrell 2005 or subsequent amendments in Leach 2007, 2010; Leach &amp; Walker 2011, 2013)</v>
          </cell>
          <cell r="G6783" t="str">
            <v>NBNSYS0000039527</v>
          </cell>
          <cell r="H6783" t="str">
            <v>Euphorbia stricta</v>
          </cell>
        </row>
        <row r="6784">
          <cell r="A6784" t="str">
            <v>Euphrasia nemorosa</v>
          </cell>
          <cell r="B6784" t="str">
            <v>Vascular plants</v>
          </cell>
          <cell r="C6784" t="str">
            <v>Tracheophyta</v>
          </cell>
          <cell r="D6784" t="str">
            <v>Euphrasia nemorosa</v>
          </cell>
          <cell r="E6784" t="str">
            <v>LC</v>
          </cell>
          <cell r="F6784" t="str">
            <v>in Stroh et al., 2014 (from: Cheffings &amp; Farrell 2005 or subsequent amendments in Leach 2007, 2010; Leach &amp; Walker 2011, 2013)</v>
          </cell>
          <cell r="G6784" t="str">
            <v>NBNSYS0000004155</v>
          </cell>
          <cell r="H6784" t="str">
            <v>Euphrasia nemorosa</v>
          </cell>
        </row>
        <row r="6785">
          <cell r="A6785" t="str">
            <v>Euphrasia officinalis agg.</v>
          </cell>
          <cell r="B6785" t="str">
            <v>Vascular plants</v>
          </cell>
          <cell r="C6785" t="str">
            <v>Tracheophyta</v>
          </cell>
          <cell r="D6785" t="str">
            <v>Euphrasia officinalis agg.</v>
          </cell>
          <cell r="E6785" t="str">
            <v>LC</v>
          </cell>
          <cell r="F6785" t="str">
            <v>in Stroh et al., 2014 (from: Cheffings &amp; Farrell 2005 or subsequent amendments in Leach 2007, 2010; Leach &amp; Walker 2011, 2013)</v>
          </cell>
          <cell r="G6785" t="str">
            <v>NHMSYS0000458671</v>
          </cell>
          <cell r="H6785" t="str">
            <v>Euphrasia officinalis agg.</v>
          </cell>
        </row>
        <row r="6786">
          <cell r="A6786" t="str">
            <v>Euphrasia pseudokerneri</v>
          </cell>
          <cell r="B6786" t="str">
            <v>Vascular plants</v>
          </cell>
          <cell r="C6786" t="str">
            <v>Tracheophyta</v>
          </cell>
          <cell r="D6786" t="str">
            <v>Euphrasia pseudokerneri</v>
          </cell>
          <cell r="E6786" t="str">
            <v>EN</v>
          </cell>
          <cell r="F6786" t="str">
            <v>in Stroh et al., 2014 (from: Cheffings &amp; Farrell 2005 or subsequent amendments in Leach 2007, 2010; Leach &amp; Walker 2011, 2013)</v>
          </cell>
          <cell r="G6786" t="str">
            <v>NBNSYS0000004158</v>
          </cell>
          <cell r="H6786" t="str">
            <v>Euphrasia pseudokerneri</v>
          </cell>
        </row>
        <row r="6787">
          <cell r="A6787" t="str">
            <v>Euphrasia rivularis</v>
          </cell>
          <cell r="B6787" t="str">
            <v>Vascular plants</v>
          </cell>
          <cell r="C6787" t="str">
            <v>Tracheophyta</v>
          </cell>
          <cell r="D6787" t="str">
            <v>Euphrasia rivularis</v>
          </cell>
          <cell r="E6787" t="str">
            <v>VU</v>
          </cell>
          <cell r="F6787" t="str">
            <v>in Stroh et al., 2014 (from: Cheffings &amp; Farrell 2005 or subsequent amendments in Leach 2007, 2010; Leach &amp; Walker 2011, 2013)</v>
          </cell>
          <cell r="G6787" t="str">
            <v>NBNSYS0000004161</v>
          </cell>
          <cell r="H6787" t="str">
            <v>Euphrasia rivularis</v>
          </cell>
        </row>
        <row r="6788">
          <cell r="A6788" t="str">
            <v>Euphrasia scottica</v>
          </cell>
          <cell r="B6788" t="str">
            <v>Vascular plants</v>
          </cell>
          <cell r="C6788" t="str">
            <v>Tracheophyta</v>
          </cell>
          <cell r="D6788" t="str">
            <v>Euphrasia scottica</v>
          </cell>
          <cell r="E6788" t="str">
            <v>LC</v>
          </cell>
          <cell r="F6788" t="str">
            <v>in Stroh et al., 2014 (from: Cheffings &amp; Farrell 2005 or subsequent amendments in Leach 2007, 2010; Leach &amp; Walker 2011, 2013)</v>
          </cell>
          <cell r="G6788" t="str">
            <v>NBNSYS0000004142</v>
          </cell>
          <cell r="H6788" t="str">
            <v>Euphrasia scottica</v>
          </cell>
        </row>
        <row r="6789">
          <cell r="A6789" t="str">
            <v>Euphrasia tetraquetra</v>
          </cell>
          <cell r="B6789" t="str">
            <v>Vascular plants</v>
          </cell>
          <cell r="C6789" t="str">
            <v>Tracheophyta</v>
          </cell>
          <cell r="D6789" t="str">
            <v>Euphrasia tetraquetra</v>
          </cell>
          <cell r="E6789" t="str">
            <v>LC</v>
          </cell>
          <cell r="F6789" t="str">
            <v>in Stroh et al., 2014 (from: Cheffings &amp; Farrell 2005 or subsequent amendments in Leach 2007, 2010; Leach &amp; Walker 2011, 2013)</v>
          </cell>
          <cell r="G6789" t="str">
            <v>NHMSYS0000458682</v>
          </cell>
          <cell r="H6789" t="str">
            <v>Euphrasia tetraquetra</v>
          </cell>
        </row>
        <row r="6790">
          <cell r="A6790" t="str">
            <v>Euphrasia vigursii</v>
          </cell>
          <cell r="B6790" t="str">
            <v>Vascular plants</v>
          </cell>
          <cell r="C6790" t="str">
            <v>Tracheophyta</v>
          </cell>
          <cell r="D6790" t="str">
            <v>Euphrasia vigursii</v>
          </cell>
          <cell r="E6790" t="str">
            <v>EN</v>
          </cell>
          <cell r="F6790" t="str">
            <v>in Stroh et al., 2014 (from: Cheffings &amp; Farrell 2005 or subsequent amendments in Leach 2007, 2010; Leach &amp; Walker 2011, 2013)</v>
          </cell>
          <cell r="G6790" t="str">
            <v>NBNSYS0000004163</v>
          </cell>
          <cell r="H6790" t="str">
            <v>Euphrasia vigursii</v>
          </cell>
        </row>
        <row r="6791">
          <cell r="A6791" t="str">
            <v>Fagus sylvatica</v>
          </cell>
          <cell r="B6791" t="str">
            <v>Vascular plants</v>
          </cell>
          <cell r="C6791" t="str">
            <v>Tracheophyta</v>
          </cell>
          <cell r="D6791" t="str">
            <v>Fagus sylvatica</v>
          </cell>
          <cell r="E6791" t="str">
            <v>LC</v>
          </cell>
          <cell r="F6791" t="str">
            <v>in Stroh et al., 2014 (from: Cheffings &amp; Farrell 2005 or subsequent amendments in Leach 2007, 2010; Leach &amp; Walker 2011, 2013)</v>
          </cell>
          <cell r="G6791" t="str">
            <v>NBNSYS0000003840</v>
          </cell>
          <cell r="H6791" t="str">
            <v>Fagus sylvatica</v>
          </cell>
        </row>
        <row r="6792">
          <cell r="A6792" t="str">
            <v>Fallopia dumetorum</v>
          </cell>
          <cell r="B6792" t="str">
            <v>Vascular plants</v>
          </cell>
          <cell r="C6792" t="str">
            <v>Tracheophyta</v>
          </cell>
          <cell r="D6792" t="str">
            <v>Fallopia dumetorum</v>
          </cell>
          <cell r="E6792" t="str">
            <v>VU</v>
          </cell>
          <cell r="F6792" t="str">
            <v>in Stroh et al., 2014 (from: Cheffings &amp; Farrell 2005 or subsequent amendments in Leach 2007, 2010; Leach &amp; Walker 2011, 2013)</v>
          </cell>
          <cell r="G6792" t="str">
            <v>NBNSYS0000003759</v>
          </cell>
          <cell r="H6792" t="str">
            <v>Fallopia dumetorum</v>
          </cell>
        </row>
        <row r="6793">
          <cell r="A6793" t="str">
            <v>Festuca altissima</v>
          </cell>
          <cell r="B6793" t="str">
            <v>Vascular plants</v>
          </cell>
          <cell r="C6793" t="str">
            <v>Tracheophyta</v>
          </cell>
          <cell r="D6793" t="str">
            <v>Festuca altissima</v>
          </cell>
          <cell r="E6793" t="str">
            <v>LC</v>
          </cell>
          <cell r="F6793" t="str">
            <v>in Stroh et al., 2014 (from: Cheffings &amp; Farrell 2005 or subsequent amendments in Leach 2007, 2010; Leach &amp; Walker 2011, 2013)</v>
          </cell>
          <cell r="G6793" t="str">
            <v>NBNSYS0000002511</v>
          </cell>
          <cell r="H6793" t="str">
            <v>Festuca altissima</v>
          </cell>
        </row>
        <row r="6794">
          <cell r="A6794" t="str">
            <v>Festuca arenaria</v>
          </cell>
          <cell r="B6794" t="str">
            <v>Vascular plants</v>
          </cell>
          <cell r="C6794" t="str">
            <v>Tracheophyta</v>
          </cell>
          <cell r="D6794" t="str">
            <v>Festuca arenaria</v>
          </cell>
          <cell r="E6794" t="str">
            <v>LC</v>
          </cell>
          <cell r="F6794" t="str">
            <v>in Stroh et al., 2014 (from: Cheffings &amp; Farrell 2005 or subsequent amendments in Leach 2007, 2010; Leach &amp; Walker 2011, 2013)</v>
          </cell>
          <cell r="G6794" t="str">
            <v>NBNSYS0000002516</v>
          </cell>
          <cell r="H6794" t="str">
            <v>Festuca arenaria</v>
          </cell>
        </row>
        <row r="6795">
          <cell r="A6795" t="str">
            <v>Festuca filiformis</v>
          </cell>
          <cell r="B6795" t="str">
            <v>Vascular plants</v>
          </cell>
          <cell r="C6795" t="str">
            <v>Tracheophyta</v>
          </cell>
          <cell r="D6795" t="str">
            <v>Festuca filiformis</v>
          </cell>
          <cell r="E6795" t="str">
            <v>LC</v>
          </cell>
          <cell r="F6795" t="str">
            <v>in Stroh et al., 2014 (from: Cheffings &amp; Farrell 2005 or subsequent amendments in Leach 2007, 2010; Leach &amp; Walker 2011, 2013)</v>
          </cell>
          <cell r="G6795" t="str">
            <v>NHMSYS0000458768</v>
          </cell>
          <cell r="H6795" t="str">
            <v>Festuca filiformis</v>
          </cell>
        </row>
        <row r="6796">
          <cell r="A6796" t="str">
            <v>Festuca lemanii</v>
          </cell>
          <cell r="B6796" t="str">
            <v>Vascular plants</v>
          </cell>
          <cell r="C6796" t="str">
            <v>Tracheophyta</v>
          </cell>
          <cell r="D6796" t="str">
            <v>Festuca lemanii</v>
          </cell>
          <cell r="E6796" t="str">
            <v>LC</v>
          </cell>
          <cell r="F6796" t="str">
            <v>in Stroh et al., 2014 (from: Cheffings &amp; Farrell 2005 or subsequent amendments in Leach 2007, 2010; Leach &amp; Walker 2011, 2013)</v>
          </cell>
          <cell r="G6796" t="str">
            <v>NHMSYS0000458777</v>
          </cell>
          <cell r="H6796" t="str">
            <v>Festuca lemanii</v>
          </cell>
        </row>
        <row r="6797">
          <cell r="A6797" t="str">
            <v>Festuca longifolia</v>
          </cell>
          <cell r="B6797" t="str">
            <v>Vascular plants</v>
          </cell>
          <cell r="C6797" t="str">
            <v>Tracheophyta</v>
          </cell>
          <cell r="D6797" t="str">
            <v>Festuca longifolia</v>
          </cell>
          <cell r="E6797" t="str">
            <v>LC</v>
          </cell>
          <cell r="F6797" t="str">
            <v>in Stroh et al., 2014 (from: Cheffings &amp; Farrell 2005 or subsequent amendments in Leach 2007, 2010; Leach &amp; Walker 2011, 2013)</v>
          </cell>
          <cell r="G6797" t="str">
            <v>NBNSYS0000002525</v>
          </cell>
          <cell r="H6797" t="str">
            <v>Festuca longifolia</v>
          </cell>
        </row>
        <row r="6798">
          <cell r="A6798" t="str">
            <v>Festuca ovina</v>
          </cell>
          <cell r="B6798" t="str">
            <v>Vascular plants</v>
          </cell>
          <cell r="C6798" t="str">
            <v>Tracheophyta</v>
          </cell>
          <cell r="D6798" t="str">
            <v>Festuca ovina</v>
          </cell>
          <cell r="E6798" t="str">
            <v>LC</v>
          </cell>
          <cell r="F6798" t="str">
            <v>in Stroh et al., 2014 (from: Cheffings &amp; Farrell 2005 or subsequent amendments in Leach 2007, 2010; Leach &amp; Walker 2011, 2013)</v>
          </cell>
          <cell r="G6798" t="str">
            <v>NHMSYS0000344612</v>
          </cell>
          <cell r="H6798" t="str">
            <v>Festuca ovina</v>
          </cell>
        </row>
        <row r="6799">
          <cell r="A6799" t="str">
            <v>Festuca rubra agg.</v>
          </cell>
          <cell r="B6799" t="str">
            <v>Vascular plants</v>
          </cell>
          <cell r="C6799" t="str">
            <v>Tracheophyta</v>
          </cell>
          <cell r="D6799" t="str">
            <v>Festuca rubra agg.</v>
          </cell>
          <cell r="E6799" t="str">
            <v>LC</v>
          </cell>
          <cell r="F6799" t="str">
            <v>in Stroh et al., 2014 (from: Cheffings &amp; Farrell 2005 or subsequent amendments in Leach 2007, 2010; Leach &amp; Walker 2011, 2013)</v>
          </cell>
          <cell r="G6799" t="str">
            <v>NHMSYS0000523323</v>
          </cell>
          <cell r="H6799" t="str">
            <v>Festuca rubra agg.</v>
          </cell>
        </row>
        <row r="6800">
          <cell r="A6800" t="str">
            <v>Festuca vivipara</v>
          </cell>
          <cell r="B6800" t="str">
            <v>Vascular plants</v>
          </cell>
          <cell r="C6800" t="str">
            <v>Tracheophyta</v>
          </cell>
          <cell r="D6800" t="str">
            <v>Festuca vivipara</v>
          </cell>
          <cell r="E6800" t="str">
            <v>LC</v>
          </cell>
          <cell r="F6800" t="str">
            <v>in Stroh et al., 2014 (from: Cheffings &amp; Farrell 2005 or subsequent amendments in Leach 2007, 2010; Leach &amp; Walker 2011, 2013)</v>
          </cell>
          <cell r="G6800" t="str">
            <v>NHMSYS0000458810</v>
          </cell>
          <cell r="H6800" t="str">
            <v>Festuca vivipara</v>
          </cell>
        </row>
        <row r="6801">
          <cell r="A6801" t="str">
            <v>Ficaria verna</v>
          </cell>
          <cell r="B6801" t="str">
            <v>Vascular plants</v>
          </cell>
          <cell r="C6801" t="str">
            <v>Tracheophyta</v>
          </cell>
          <cell r="D6801" t="str">
            <v>Ficaria verna</v>
          </cell>
          <cell r="E6801" t="str">
            <v>LC</v>
          </cell>
          <cell r="F6801" t="str">
            <v>in Stroh et al., 2014 (from: Cheffings &amp; Farrell 2005 or subsequent amendments in Leach 2007, 2010; Leach &amp; Walker 2011, 2013)</v>
          </cell>
          <cell r="G6801" t="str">
            <v>NHMSYS0100001603</v>
          </cell>
          <cell r="H6801" t="str">
            <v>Ficaria verna</v>
          </cell>
        </row>
        <row r="6802">
          <cell r="A6802" t="str">
            <v>Filago lutescens</v>
          </cell>
          <cell r="B6802" t="str">
            <v>Vascular plants</v>
          </cell>
          <cell r="C6802" t="str">
            <v>Tracheophyta</v>
          </cell>
          <cell r="D6802" t="str">
            <v>Filago lutescens</v>
          </cell>
          <cell r="E6802" t="str">
            <v>EN</v>
          </cell>
          <cell r="F6802" t="str">
            <v>in Stroh et al., 2014 (from: Cheffings &amp; Farrell 2005 or subsequent amendments in Leach 2007, 2010; Leach &amp; Walker 2011, 2013)</v>
          </cell>
          <cell r="G6802" t="str">
            <v>NHMSYS0000458841</v>
          </cell>
          <cell r="H6802" t="str">
            <v>Filago lutescens</v>
          </cell>
        </row>
        <row r="6803">
          <cell r="A6803" t="str">
            <v>Filago minima</v>
          </cell>
          <cell r="B6803" t="str">
            <v>Vascular plants</v>
          </cell>
          <cell r="C6803" t="str">
            <v>Tracheophyta</v>
          </cell>
          <cell r="D6803" t="str">
            <v>Filago minima</v>
          </cell>
          <cell r="E6803" t="str">
            <v>LC</v>
          </cell>
          <cell r="F6803" t="str">
            <v>in Stroh et al., 2014 (from: Cheffings &amp; Farrell 2005 or subsequent amendments in Leach 2007, 2010; Leach &amp; Walker 2011, 2013)</v>
          </cell>
          <cell r="G6803" t="str">
            <v>NHMSYS0000458842</v>
          </cell>
          <cell r="H6803" t="str">
            <v>Filago minima</v>
          </cell>
        </row>
        <row r="6804">
          <cell r="A6804" t="str">
            <v>Filago vulgaris</v>
          </cell>
          <cell r="B6804" t="str">
            <v>Vascular plants</v>
          </cell>
          <cell r="C6804" t="str">
            <v>Tracheophyta</v>
          </cell>
          <cell r="D6804" t="str">
            <v>Filago vulgaris</v>
          </cell>
          <cell r="E6804" t="str">
            <v>NT</v>
          </cell>
          <cell r="F6804" t="str">
            <v>in Stroh et al., 2014 (from: Cheffings &amp; Farrell 2005 or subsequent amendments in Leach 2007, 2010; Leach &amp; Walker 2011, 2013)</v>
          </cell>
          <cell r="G6804" t="str">
            <v>NBNSYS0000004403</v>
          </cell>
          <cell r="H6804" t="str">
            <v>Filago vulgaris</v>
          </cell>
        </row>
        <row r="6805">
          <cell r="A6805" t="str">
            <v>Filipendula ulmaria</v>
          </cell>
          <cell r="B6805" t="str">
            <v>Vascular plants</v>
          </cell>
          <cell r="C6805" t="str">
            <v>Tracheophyta</v>
          </cell>
          <cell r="D6805" t="str">
            <v>Filipendula ulmaria</v>
          </cell>
          <cell r="E6805" t="str">
            <v>LC</v>
          </cell>
          <cell r="F6805" t="str">
            <v>in Stroh et al., 2014 (from: Cheffings &amp; Farrell 2005 or subsequent amendments in Leach 2007, 2010; Leach &amp; Walker 2011, 2013)</v>
          </cell>
          <cell r="G6805" t="str">
            <v>NBNSYS0000003316</v>
          </cell>
          <cell r="H6805" t="str">
            <v>Filipendula ulmaria</v>
          </cell>
        </row>
        <row r="6806">
          <cell r="A6806" t="str">
            <v>Filipendula vulgaris</v>
          </cell>
          <cell r="B6806" t="str">
            <v>Vascular plants</v>
          </cell>
          <cell r="C6806" t="str">
            <v>Tracheophyta</v>
          </cell>
          <cell r="D6806" t="str">
            <v>Filipendula vulgaris</v>
          </cell>
          <cell r="E6806" t="str">
            <v>LC</v>
          </cell>
          <cell r="F6806" t="str">
            <v>in Stroh et al., 2014 (from: Cheffings &amp; Farrell 2005 or subsequent amendments in Leach 2007, 2010; Leach &amp; Walker 2011, 2013)</v>
          </cell>
          <cell r="G6806" t="str">
            <v>NBNSYS0000003315</v>
          </cell>
          <cell r="H6806" t="str">
            <v>Filipendula vulgaris</v>
          </cell>
        </row>
        <row r="6807">
          <cell r="A6807" t="str">
            <v>Fragaria vesca</v>
          </cell>
          <cell r="B6807" t="str">
            <v>Vascular plants</v>
          </cell>
          <cell r="C6807" t="str">
            <v>Tracheophyta</v>
          </cell>
          <cell r="D6807" t="str">
            <v>Fragaria vesca</v>
          </cell>
          <cell r="E6807" t="str">
            <v>LC</v>
          </cell>
          <cell r="F6807" t="str">
            <v>in Stroh et al., 2014 (from: Cheffings &amp; Farrell 2005 or subsequent amendments in Leach 2007, 2010; Leach &amp; Walker 2011, 2013)</v>
          </cell>
          <cell r="G6807" t="str">
            <v>NBNSYS0000003358</v>
          </cell>
          <cell r="H6807" t="str">
            <v>Fragaria vesca</v>
          </cell>
        </row>
        <row r="6808">
          <cell r="A6808" t="str">
            <v>Frangula alnus</v>
          </cell>
          <cell r="B6808" t="str">
            <v>Vascular plants</v>
          </cell>
          <cell r="C6808" t="str">
            <v>Tracheophyta</v>
          </cell>
          <cell r="D6808" t="str">
            <v>Frangula alnus</v>
          </cell>
          <cell r="E6808" t="str">
            <v>LC</v>
          </cell>
          <cell r="F6808" t="str">
            <v>in Stroh et al., 2014 (from: Cheffings &amp; Farrell 2005 or subsequent amendments in Leach 2007, 2010; Leach &amp; Walker 2011, 2013)</v>
          </cell>
          <cell r="G6808" t="str">
            <v>NHMSYS0000458887</v>
          </cell>
          <cell r="H6808" t="str">
            <v>Frangula alnus</v>
          </cell>
        </row>
        <row r="6809">
          <cell r="A6809" t="str">
            <v>Frankenia laevis</v>
          </cell>
          <cell r="B6809" t="str">
            <v>Vascular plants</v>
          </cell>
          <cell r="C6809" t="str">
            <v>Tracheophyta</v>
          </cell>
          <cell r="D6809" t="str">
            <v>Frankenia laevis</v>
          </cell>
          <cell r="E6809" t="str">
            <v>NT</v>
          </cell>
          <cell r="F6809" t="str">
            <v>in Stroh et al., 2014 (from: Cheffings &amp; Farrell 2005 or subsequent amendments in Leach 2007, 2010; Leach &amp; Walker 2011, 2013)</v>
          </cell>
          <cell r="G6809" t="str">
            <v>NBNSYS0000002982</v>
          </cell>
          <cell r="H6809" t="str">
            <v>Frankenia laevis</v>
          </cell>
        </row>
        <row r="6810">
          <cell r="A6810" t="str">
            <v>Fraxinus excelsior</v>
          </cell>
          <cell r="B6810" t="str">
            <v>Vascular plants</v>
          </cell>
          <cell r="C6810" t="str">
            <v>Tracheophyta</v>
          </cell>
          <cell r="D6810" t="str">
            <v>Fraxinus excelsior</v>
          </cell>
          <cell r="E6810" t="str">
            <v>LC</v>
          </cell>
          <cell r="F6810" t="str">
            <v>in Stroh et al., 2014 (from: Cheffings &amp; Farrell 2005 or subsequent amendments in Leach 2007, 2010; Leach &amp; Walker 2011, 2013)</v>
          </cell>
          <cell r="G6810" t="str">
            <v>NBNSYS0000003949</v>
          </cell>
          <cell r="H6810" t="str">
            <v>Fraxinus excelsior</v>
          </cell>
        </row>
        <row r="6811">
          <cell r="A6811" t="str">
            <v>Fumaria bastardii</v>
          </cell>
          <cell r="B6811" t="str">
            <v>Vascular plants</v>
          </cell>
          <cell r="C6811" t="str">
            <v>Tracheophyta</v>
          </cell>
          <cell r="D6811" t="str">
            <v>Fumaria bastardii</v>
          </cell>
          <cell r="E6811" t="str">
            <v>LC</v>
          </cell>
          <cell r="F6811" t="str">
            <v>in Stroh et al., 2014 (from: Cheffings &amp; Farrell 2005 or subsequent amendments in Leach 2007, 2010; Leach &amp; Walker 2011, 2013)</v>
          </cell>
          <cell r="G6811" t="str">
            <v>NBNSYS0000002785</v>
          </cell>
          <cell r="H6811" t="str">
            <v>Fumaria bastardii</v>
          </cell>
        </row>
        <row r="6812">
          <cell r="A6812" t="str">
            <v>Fumaria capreolata</v>
          </cell>
          <cell r="B6812" t="str">
            <v>Vascular plants</v>
          </cell>
          <cell r="C6812" t="str">
            <v>Tracheophyta</v>
          </cell>
          <cell r="D6812" t="str">
            <v>Fumaria capreolata</v>
          </cell>
          <cell r="E6812" t="str">
            <v>LC</v>
          </cell>
          <cell r="F6812" t="str">
            <v>in Stroh et al., 2014 (from: Cheffings &amp; Farrell 2005 or subsequent amendments in Leach 2007, 2010; Leach &amp; Walker 2011, 2013)</v>
          </cell>
          <cell r="G6812" t="str">
            <v>NBNSYS0000002783</v>
          </cell>
          <cell r="H6812" t="str">
            <v>Fumaria capreolata</v>
          </cell>
        </row>
        <row r="6813">
          <cell r="A6813" t="str">
            <v>Fumaria muralis</v>
          </cell>
          <cell r="B6813" t="str">
            <v>Vascular plants</v>
          </cell>
          <cell r="C6813" t="str">
            <v>Tracheophyta</v>
          </cell>
          <cell r="D6813" t="str">
            <v>Fumaria muralis</v>
          </cell>
          <cell r="E6813" t="str">
            <v>LC</v>
          </cell>
          <cell r="F6813" t="str">
            <v>in Stroh et al., 2014 (from: Cheffings &amp; Farrell 2005 or subsequent amendments in Leach 2007, 2010; Leach &amp; Walker 2011, 2013)</v>
          </cell>
          <cell r="G6813" t="str">
            <v>NHMSYS0000458911</v>
          </cell>
          <cell r="H6813" t="str">
            <v>Fumaria muralis</v>
          </cell>
        </row>
        <row r="6814">
          <cell r="A6814" t="str">
            <v>Fumaria occidentalis</v>
          </cell>
          <cell r="B6814" t="str">
            <v>Vascular plants</v>
          </cell>
          <cell r="C6814" t="str">
            <v>Tracheophyta</v>
          </cell>
          <cell r="D6814" t="str">
            <v>Fumaria occidentalis</v>
          </cell>
          <cell r="E6814" t="str">
            <v>LC</v>
          </cell>
          <cell r="F6814" t="str">
            <v>in Stroh et al., 2014 (from: Cheffings &amp; Farrell 2005 or subsequent amendments in Leach 2007, 2010; Leach &amp; Walker 2011, 2013)</v>
          </cell>
          <cell r="G6814" t="str">
            <v>NBNSYS0000002782</v>
          </cell>
          <cell r="H6814" t="str">
            <v>Fumaria occidentalis</v>
          </cell>
        </row>
        <row r="6815">
          <cell r="A6815" t="str">
            <v>Fumaria purpurea</v>
          </cell>
          <cell r="B6815" t="str">
            <v>Vascular plants</v>
          </cell>
          <cell r="C6815" t="str">
            <v>Tracheophyta</v>
          </cell>
          <cell r="D6815" t="str">
            <v>Fumaria purpurea</v>
          </cell>
          <cell r="E6815" t="str">
            <v>LC</v>
          </cell>
          <cell r="F6815" t="str">
            <v>in Stroh et al., 2014 (from: Cheffings &amp; Farrell 2005 or subsequent amendments in Leach 2007, 2010; Leach &amp; Walker 2011, 2013)</v>
          </cell>
          <cell r="G6815" t="str">
            <v>NBNSYS0000002784</v>
          </cell>
          <cell r="H6815" t="str">
            <v>Fumaria purpurea</v>
          </cell>
        </row>
        <row r="6816">
          <cell r="A6816" t="str">
            <v>Gagea lutea</v>
          </cell>
          <cell r="B6816" t="str">
            <v>Vascular plants</v>
          </cell>
          <cell r="C6816" t="str">
            <v>Tracheophyta</v>
          </cell>
          <cell r="D6816" t="str">
            <v>Gagea lutea</v>
          </cell>
          <cell r="E6816" t="str">
            <v>LC</v>
          </cell>
          <cell r="F6816" t="str">
            <v>in Stroh et al., 2014 (from: Cheffings &amp; Farrell 2005 or subsequent amendments in Leach 2007, 2010; Leach &amp; Walker 2011, 2013)</v>
          </cell>
          <cell r="G6816" t="str">
            <v>NHMSYS0000458926</v>
          </cell>
          <cell r="H6816" t="str">
            <v>Gagea lutea</v>
          </cell>
        </row>
        <row r="6817">
          <cell r="A6817" t="str">
            <v>Galeopsis bifida</v>
          </cell>
          <cell r="B6817" t="str">
            <v>Vascular plants</v>
          </cell>
          <cell r="C6817" t="str">
            <v>Tracheophyta</v>
          </cell>
          <cell r="D6817" t="str">
            <v>Galeopsis bifida</v>
          </cell>
          <cell r="E6817" t="str">
            <v>LC</v>
          </cell>
          <cell r="F6817" t="str">
            <v>in Stroh et al., 2014 (from: Cheffings &amp; Farrell 2005 or subsequent amendments in Leach 2007, 2010; Leach &amp; Walker 2011, 2013)</v>
          </cell>
          <cell r="G6817" t="str">
            <v>NBNSYS0000004254</v>
          </cell>
          <cell r="H6817" t="str">
            <v>Galeopsis bifida</v>
          </cell>
        </row>
        <row r="6818">
          <cell r="A6818" t="str">
            <v>Galeopsis tetrahit agg.</v>
          </cell>
          <cell r="B6818" t="str">
            <v>Vascular plants</v>
          </cell>
          <cell r="C6818" t="str">
            <v>Tracheophyta</v>
          </cell>
          <cell r="D6818" t="str">
            <v>Galeopsis tetrahit agg.</v>
          </cell>
          <cell r="E6818" t="str">
            <v>LC</v>
          </cell>
          <cell r="F6818" t="str">
            <v>in Stroh et al., 2014 (from: Cheffings &amp; Farrell 2005 or subsequent amendments in Leach 2007, 2010; Leach &amp; Walker 2011, 2013)</v>
          </cell>
          <cell r="G6818" t="str">
            <v>NBNSYS0000004252</v>
          </cell>
          <cell r="H6818" t="str">
            <v>Galeopsis tetrahit agg.</v>
          </cell>
        </row>
        <row r="6819">
          <cell r="A6819" t="str">
            <v>Galium album</v>
          </cell>
          <cell r="B6819" t="str">
            <v>Vascular plants</v>
          </cell>
          <cell r="C6819" t="str">
            <v>Tracheophyta</v>
          </cell>
          <cell r="D6819" t="str">
            <v>Galium album</v>
          </cell>
          <cell r="E6819" t="str">
            <v>LC</v>
          </cell>
          <cell r="F6819" t="str">
            <v>in Stroh et al., 2014 (from: Cheffings &amp; Farrell 2005 or subsequent amendments in Leach 2007, 2010; Leach &amp; Walker 2011, 2013)</v>
          </cell>
          <cell r="G6819" t="str">
            <v>NBNSYS0000004740</v>
          </cell>
          <cell r="H6819" t="str">
            <v>Galium album</v>
          </cell>
        </row>
        <row r="6820">
          <cell r="A6820" t="str">
            <v>Galium aparine</v>
          </cell>
          <cell r="B6820" t="str">
            <v>Vascular plants</v>
          </cell>
          <cell r="C6820" t="str">
            <v>Tracheophyta</v>
          </cell>
          <cell r="D6820" t="str">
            <v>Galium aparine</v>
          </cell>
          <cell r="E6820" t="str">
            <v>LC</v>
          </cell>
          <cell r="F6820" t="str">
            <v>in Stroh et al., 2014 (from: Cheffings &amp; Farrell 2005 or subsequent amendments in Leach 2007, 2010; Leach &amp; Walker 2011, 2013)</v>
          </cell>
          <cell r="G6820" t="str">
            <v>NBNSYS0000004319</v>
          </cell>
          <cell r="H6820" t="str">
            <v>Galium aparine</v>
          </cell>
        </row>
        <row r="6821">
          <cell r="A6821" t="str">
            <v>Galium boreale</v>
          </cell>
          <cell r="B6821" t="str">
            <v>Vascular plants</v>
          </cell>
          <cell r="C6821" t="str">
            <v>Tracheophyta</v>
          </cell>
          <cell r="D6821" t="str">
            <v>Galium boreale</v>
          </cell>
          <cell r="E6821" t="str">
            <v>LC</v>
          </cell>
          <cell r="F6821" t="str">
            <v>in Stroh et al., 2014 (from: Cheffings &amp; Farrell 2005 or subsequent amendments in Leach 2007, 2010; Leach &amp; Walker 2011, 2013)</v>
          </cell>
          <cell r="G6821" t="str">
            <v>NBNSYS0000004307</v>
          </cell>
          <cell r="H6821" t="str">
            <v>Galium boreale</v>
          </cell>
        </row>
        <row r="6822">
          <cell r="A6822" t="str">
            <v>Galium constrictum</v>
          </cell>
          <cell r="B6822" t="str">
            <v>Vascular plants</v>
          </cell>
          <cell r="C6822" t="str">
            <v>Tracheophyta</v>
          </cell>
          <cell r="D6822" t="str">
            <v>Galium constrictum</v>
          </cell>
          <cell r="E6822" t="str">
            <v>LC</v>
          </cell>
          <cell r="F6822" t="str">
            <v>in Stroh et al., 2014 (from: Cheffings &amp; Farrell 2005 or subsequent amendments in Leach 2007, 2010; Leach &amp; Walker 2011, 2013)</v>
          </cell>
          <cell r="G6822" t="str">
            <v>NBNSYS0000004316</v>
          </cell>
          <cell r="H6822" t="str">
            <v>Galium constrictum</v>
          </cell>
        </row>
        <row r="6823">
          <cell r="A6823" t="str">
            <v>Galium odoratum</v>
          </cell>
          <cell r="B6823" t="str">
            <v>Vascular plants</v>
          </cell>
          <cell r="C6823" t="str">
            <v>Tracheophyta</v>
          </cell>
          <cell r="D6823" t="str">
            <v>Galium odoratum</v>
          </cell>
          <cell r="E6823" t="str">
            <v>LC</v>
          </cell>
          <cell r="F6823" t="str">
            <v>in Stroh et al., 2014 (from: Cheffings &amp; Farrell 2005 or subsequent amendments in Leach 2007, 2010; Leach &amp; Walker 2011, 2013)</v>
          </cell>
          <cell r="G6823" t="str">
            <v>NBNSYS0000004306</v>
          </cell>
          <cell r="H6823" t="str">
            <v>Galium odoratum</v>
          </cell>
        </row>
        <row r="6824">
          <cell r="A6824" t="str">
            <v>Galium palustre</v>
          </cell>
          <cell r="B6824" t="str">
            <v>Vascular plants</v>
          </cell>
          <cell r="C6824" t="str">
            <v>Tracheophyta</v>
          </cell>
          <cell r="D6824" t="str">
            <v>Galium palustre</v>
          </cell>
          <cell r="E6824" t="str">
            <v>LC</v>
          </cell>
          <cell r="F6824" t="str">
            <v>in Stroh et al., 2014 (from: Cheffings &amp; Farrell 2005 or subsequent amendments in Leach 2007, 2010; Leach &amp; Walker 2011, 2013)</v>
          </cell>
          <cell r="G6824" t="str">
            <v>NBNSYS0000004313</v>
          </cell>
          <cell r="H6824" t="str">
            <v>Galium palustre</v>
          </cell>
        </row>
        <row r="6825">
          <cell r="A6825" t="str">
            <v>Galium parisiense</v>
          </cell>
          <cell r="B6825" t="str">
            <v>Vascular plants</v>
          </cell>
          <cell r="C6825" t="str">
            <v>Tracheophyta</v>
          </cell>
          <cell r="D6825" t="str">
            <v>Galium parisiense</v>
          </cell>
          <cell r="E6825" t="str">
            <v>VU</v>
          </cell>
          <cell r="F6825" t="str">
            <v>in Stroh et al., 2014 (from: Cheffings &amp; Farrell 2005 or subsequent amendments in Leach 2007, 2010; Leach &amp; Walker 2011, 2013)</v>
          </cell>
          <cell r="G6825" t="str">
            <v>NBNSYS0000004321</v>
          </cell>
          <cell r="H6825" t="str">
            <v>Galium parisiense</v>
          </cell>
        </row>
        <row r="6826">
          <cell r="A6826" t="str">
            <v>Galium pumilum s.l.</v>
          </cell>
          <cell r="B6826" t="str">
            <v>Vascular plants</v>
          </cell>
          <cell r="C6826" t="str">
            <v>Tracheophyta</v>
          </cell>
          <cell r="D6826" t="str">
            <v>Galium pumilum s.l.</v>
          </cell>
          <cell r="E6826" t="str">
            <v>EN</v>
          </cell>
          <cell r="F6826" t="str">
            <v>in Stroh et al., 2014 (from: Cheffings &amp; Farrell 2005 or subsequent amendments in Leach 2007, 2010; Leach &amp; Walker 2011, 2013)</v>
          </cell>
          <cell r="G6826" t="str">
            <v>NHMSYS0000523328</v>
          </cell>
          <cell r="H6826" t="str">
            <v>Galium pumilum s.l.</v>
          </cell>
        </row>
        <row r="6827">
          <cell r="A6827" t="str">
            <v>Galium saxatile</v>
          </cell>
          <cell r="B6827" t="str">
            <v>Vascular plants</v>
          </cell>
          <cell r="C6827" t="str">
            <v>Tracheophyta</v>
          </cell>
          <cell r="D6827" t="str">
            <v>Galium saxatile</v>
          </cell>
          <cell r="E6827" t="str">
            <v>LC</v>
          </cell>
          <cell r="F6827" t="str">
            <v>in Stroh et al., 2014 (from: Cheffings &amp; Farrell 2005 or subsequent amendments in Leach 2007, 2010; Leach &amp; Walker 2011, 2013)</v>
          </cell>
          <cell r="G6827" t="str">
            <v>NBNSYS0000004310</v>
          </cell>
          <cell r="H6827" t="str">
            <v>Galium saxatile</v>
          </cell>
        </row>
        <row r="6828">
          <cell r="A6828" t="str">
            <v>Galium sterneri</v>
          </cell>
          <cell r="B6828" t="str">
            <v>Vascular plants</v>
          </cell>
          <cell r="C6828" t="str">
            <v>Tracheophyta</v>
          </cell>
          <cell r="D6828" t="str">
            <v>Galium sterneri</v>
          </cell>
          <cell r="E6828" t="str">
            <v>LC</v>
          </cell>
          <cell r="F6828" t="str">
            <v>in Stroh et al., 2014 (from: Cheffings &amp; Farrell 2005 or subsequent amendments in Leach 2007, 2010; Leach &amp; Walker 2011, 2013)</v>
          </cell>
          <cell r="G6828" t="str">
            <v>NBNSYS0000004312</v>
          </cell>
          <cell r="H6828" t="str">
            <v>Galium sterneri</v>
          </cell>
        </row>
        <row r="6829">
          <cell r="A6829" t="str">
            <v>Galium uliginosum</v>
          </cell>
          <cell r="B6829" t="str">
            <v>Vascular plants</v>
          </cell>
          <cell r="C6829" t="str">
            <v>Tracheophyta</v>
          </cell>
          <cell r="D6829" t="str">
            <v>Galium uliginosum</v>
          </cell>
          <cell r="E6829" t="str">
            <v>LC</v>
          </cell>
          <cell r="F6829" t="str">
            <v>in Stroh et al., 2014 (from: Cheffings &amp; Farrell 2005 or subsequent amendments in Leach 2007, 2010; Leach &amp; Walker 2011, 2013)</v>
          </cell>
          <cell r="G6829" t="str">
            <v>NBNSYS0000004317</v>
          </cell>
          <cell r="H6829" t="str">
            <v>Galium uliginosum</v>
          </cell>
        </row>
        <row r="6830">
          <cell r="A6830" t="str">
            <v>Galium verum</v>
          </cell>
          <cell r="B6830" t="str">
            <v>Vascular plants</v>
          </cell>
          <cell r="C6830" t="str">
            <v>Tracheophyta</v>
          </cell>
          <cell r="D6830" t="str">
            <v>Galium verum</v>
          </cell>
          <cell r="E6830" t="str">
            <v>LC</v>
          </cell>
          <cell r="F6830" t="str">
            <v>in Stroh et al., 2014 (from: Cheffings &amp; Farrell 2005 or subsequent amendments in Leach 2007, 2010; Leach &amp; Walker 2011, 2013)</v>
          </cell>
          <cell r="G6830" t="str">
            <v>NBNSYS0000004309</v>
          </cell>
          <cell r="H6830" t="str">
            <v>Galium verum</v>
          </cell>
        </row>
        <row r="6831">
          <cell r="A6831" t="str">
            <v>Gastridium ventricosum</v>
          </cell>
          <cell r="B6831" t="str">
            <v>Vascular plants</v>
          </cell>
          <cell r="C6831" t="str">
            <v>Tracheophyta</v>
          </cell>
          <cell r="D6831" t="str">
            <v>Gastridium ventricosum</v>
          </cell>
          <cell r="E6831" t="str">
            <v>LC</v>
          </cell>
          <cell r="F6831" t="str">
            <v>in Stroh et al., 2014 (from: Cheffings &amp; Farrell 2005 or subsequent amendments in Leach 2007, 2010; Leach &amp; Walker 2011, 2013)</v>
          </cell>
          <cell r="G6831" t="str">
            <v>NBNSYS0000002648</v>
          </cell>
          <cell r="H6831" t="str">
            <v>Gastridium ventricosum</v>
          </cell>
        </row>
        <row r="6832">
          <cell r="A6832" t="str">
            <v>Gaudinia fragilis</v>
          </cell>
          <cell r="B6832" t="str">
            <v>Vascular plants</v>
          </cell>
          <cell r="C6832" t="str">
            <v>Tracheophyta</v>
          </cell>
          <cell r="D6832" t="str">
            <v>Gaudinia fragilis</v>
          </cell>
          <cell r="E6832" t="str">
            <v>LC</v>
          </cell>
          <cell r="F6832" t="str">
            <v>in Stroh et al., 2014 (from: Cheffings &amp; Farrell 2005 or subsequent amendments in Leach 2007, 2010; Leach &amp; Walker 2011, 2013)</v>
          </cell>
          <cell r="G6832" t="str">
            <v>NHMSYS0000458991</v>
          </cell>
          <cell r="H6832" t="str">
            <v>Gaudinia fragilis</v>
          </cell>
        </row>
        <row r="6833">
          <cell r="A6833" t="str">
            <v>Genista anglica</v>
          </cell>
          <cell r="B6833" t="str">
            <v>Vascular plants</v>
          </cell>
          <cell r="C6833" t="str">
            <v>Tracheophyta</v>
          </cell>
          <cell r="D6833" t="str">
            <v>Genista anglica</v>
          </cell>
          <cell r="E6833" t="str">
            <v>NT</v>
          </cell>
          <cell r="F6833" t="str">
            <v>in Stroh et al., 2014 (from: Cheffings &amp; Farrell 2005 or subsequent amendments in Leach 2007, 2010; Leach &amp; Walker 2011, 2013)</v>
          </cell>
          <cell r="G6833" t="str">
            <v>NBNSYS0000003207</v>
          </cell>
          <cell r="H6833" t="str">
            <v>Genista anglica</v>
          </cell>
        </row>
        <row r="6834">
          <cell r="A6834" t="str">
            <v>Genista pilosa</v>
          </cell>
          <cell r="B6834" t="str">
            <v>Vascular plants</v>
          </cell>
          <cell r="C6834" t="str">
            <v>Tracheophyta</v>
          </cell>
          <cell r="D6834" t="str">
            <v>Genista pilosa</v>
          </cell>
          <cell r="E6834" t="str">
            <v>NT</v>
          </cell>
          <cell r="F6834" t="str">
            <v>in Stroh et al., 2014 (from: Cheffings &amp; Farrell 2005 or subsequent amendments in Leach 2007, 2010; Leach &amp; Walker 2011, 2013)</v>
          </cell>
          <cell r="G6834" t="str">
            <v>NBNSYS0000003208</v>
          </cell>
          <cell r="H6834" t="str">
            <v>Genista pilosa</v>
          </cell>
        </row>
        <row r="6835">
          <cell r="A6835" t="str">
            <v>Genista tinctoria</v>
          </cell>
          <cell r="B6835" t="str">
            <v>Vascular plants</v>
          </cell>
          <cell r="C6835" t="str">
            <v>Tracheophyta</v>
          </cell>
          <cell r="D6835" t="str">
            <v>Genista tinctoria</v>
          </cell>
          <cell r="E6835" t="str">
            <v>LC</v>
          </cell>
          <cell r="F6835" t="str">
            <v>in Stroh et al., 2014 (from: Cheffings &amp; Farrell 2005 or subsequent amendments in Leach 2007, 2010; Leach &amp; Walker 2011, 2013)</v>
          </cell>
          <cell r="G6835" t="str">
            <v>NBNSYS0000003206</v>
          </cell>
          <cell r="H6835" t="str">
            <v>Genista tinctoria</v>
          </cell>
        </row>
        <row r="6836">
          <cell r="A6836" t="str">
            <v>Gentiana pneumonanthe</v>
          </cell>
          <cell r="B6836" t="str">
            <v>Vascular plants</v>
          </cell>
          <cell r="C6836" t="str">
            <v>Tracheophyta</v>
          </cell>
          <cell r="D6836" t="str">
            <v>Gentiana pneumonanthe</v>
          </cell>
          <cell r="E6836" t="str">
            <v>LC</v>
          </cell>
          <cell r="F6836" t="str">
            <v>in Stroh et al., 2014 (from: Cheffings &amp; Farrell 2005 or subsequent amendments in Leach 2007, 2010; Leach &amp; Walker 2011, 2013)</v>
          </cell>
          <cell r="G6836" t="str">
            <v>NBNSYS0000003966</v>
          </cell>
          <cell r="H6836" t="str">
            <v>Gentiana pneumonanthe</v>
          </cell>
        </row>
        <row r="6837">
          <cell r="A6837" t="str">
            <v>Gentiana verna</v>
          </cell>
          <cell r="B6837" t="str">
            <v>Vascular plants</v>
          </cell>
          <cell r="C6837" t="str">
            <v>Tracheophyta</v>
          </cell>
          <cell r="D6837" t="str">
            <v>Gentiana verna</v>
          </cell>
          <cell r="E6837" t="str">
            <v>LC</v>
          </cell>
          <cell r="F6837" t="str">
            <v>in Stroh et al., 2014 (from: Cheffings &amp; Farrell 2005 or subsequent amendments in Leach 2007, 2010; Leach &amp; Walker 2011, 2013)</v>
          </cell>
          <cell r="G6837" t="str">
            <v>NBNSYS0000003967</v>
          </cell>
          <cell r="H6837" t="str">
            <v>Gentiana verna</v>
          </cell>
        </row>
        <row r="6838">
          <cell r="A6838" t="str">
            <v>Gentianella amarella</v>
          </cell>
          <cell r="B6838" t="str">
            <v>Vascular plants</v>
          </cell>
          <cell r="C6838" t="str">
            <v>Tracheophyta</v>
          </cell>
          <cell r="D6838" t="str">
            <v>Gentianella amarella</v>
          </cell>
          <cell r="E6838" t="str">
            <v>LC</v>
          </cell>
          <cell r="F6838" t="str">
            <v>in Stroh et al., 2014 (from: Cheffings &amp; Farrell 2005 or subsequent amendments in Leach 2007, 2010; Leach &amp; Walker 2011, 2013)</v>
          </cell>
          <cell r="G6838" t="str">
            <v>NHMSYS0000459016</v>
          </cell>
          <cell r="H6838" t="str">
            <v>Gentianella amarella</v>
          </cell>
        </row>
        <row r="6839">
          <cell r="A6839" t="str">
            <v>Gentianella campestris</v>
          </cell>
          <cell r="B6839" t="str">
            <v>Vascular plants</v>
          </cell>
          <cell r="C6839" t="str">
            <v>Tracheophyta</v>
          </cell>
          <cell r="D6839" t="str">
            <v>Gentianella campestris</v>
          </cell>
          <cell r="E6839" t="str">
            <v>VU</v>
          </cell>
          <cell r="F6839" t="str">
            <v>in Stroh et al., 2014 (from: Cheffings &amp; Farrell 2005 or subsequent amendments in Leach 2007, 2010; Leach &amp; Walker 2011, 2013)</v>
          </cell>
          <cell r="G6839" t="str">
            <v>NHMSYS0000459024</v>
          </cell>
          <cell r="H6839" t="str">
            <v>Gentianella campestris</v>
          </cell>
        </row>
        <row r="6840">
          <cell r="A6840" t="str">
            <v>Gentianella germanica</v>
          </cell>
          <cell r="B6840" t="str">
            <v>Vascular plants</v>
          </cell>
          <cell r="C6840" t="str">
            <v>Tracheophyta</v>
          </cell>
          <cell r="D6840" t="str">
            <v>Gentianella germanica</v>
          </cell>
          <cell r="E6840" t="str">
            <v>VU</v>
          </cell>
          <cell r="F6840" t="str">
            <v>in Stroh et al., 2014 (from: Cheffings &amp; Farrell 2005 or subsequent amendments in Leach 2007, 2010; Leach &amp; Walker 2011, 2013)</v>
          </cell>
          <cell r="G6840" t="str">
            <v>NHMSYS0000459026</v>
          </cell>
          <cell r="H6840" t="str">
            <v>Gentianella germanica</v>
          </cell>
        </row>
        <row r="6841">
          <cell r="A6841" t="str">
            <v>Gentianopsis ciliata</v>
          </cell>
          <cell r="B6841" t="str">
            <v>Vascular plants</v>
          </cell>
          <cell r="C6841" t="str">
            <v>Tracheophyta</v>
          </cell>
          <cell r="D6841" t="str">
            <v>Gentianopsis ciliata</v>
          </cell>
          <cell r="E6841" t="str">
            <v>CR</v>
          </cell>
          <cell r="F6841" t="str">
            <v>in Stroh et al., 2014 (from: Cheffings &amp; Farrell 2005 or subsequent amendments in Leach 2007, 2010; Leach &amp; Walker 2011, 2013)</v>
          </cell>
          <cell r="G6841" t="str">
            <v>NHMSYS0021240694</v>
          </cell>
          <cell r="H6841" t="str">
            <v>Gentianopsis ciliata</v>
          </cell>
        </row>
        <row r="6842">
          <cell r="A6842" t="str">
            <v>Geranium columbinum</v>
          </cell>
          <cell r="B6842" t="str">
            <v>Vascular plants</v>
          </cell>
          <cell r="C6842" t="str">
            <v>Tracheophyta</v>
          </cell>
          <cell r="D6842" t="str">
            <v>Geranium columbinum</v>
          </cell>
          <cell r="E6842" t="str">
            <v>LC</v>
          </cell>
          <cell r="F6842" t="str">
            <v>in Stroh et al., 2014 (from: Cheffings &amp; Farrell 2005 or subsequent amendments in Leach 2007, 2010; Leach &amp; Walker 2011, 2013)</v>
          </cell>
          <cell r="G6842" t="str">
            <v>NBNSYS0000003156</v>
          </cell>
          <cell r="H6842" t="str">
            <v>Geranium columbinum</v>
          </cell>
        </row>
        <row r="6843">
          <cell r="A6843" t="str">
            <v>Geranium lucidum</v>
          </cell>
          <cell r="B6843" t="str">
            <v>Vascular plants</v>
          </cell>
          <cell r="C6843" t="str">
            <v>Tracheophyta</v>
          </cell>
          <cell r="D6843" t="str">
            <v>Geranium lucidum</v>
          </cell>
          <cell r="E6843" t="str">
            <v>LC</v>
          </cell>
          <cell r="F6843" t="str">
            <v>in Stroh et al., 2014 (from: Cheffings &amp; Farrell 2005 or subsequent amendments in Leach 2007, 2010; Leach &amp; Walker 2011, 2013)</v>
          </cell>
          <cell r="G6843" t="str">
            <v>NBNSYS0000003161</v>
          </cell>
          <cell r="H6843" t="str">
            <v>Geranium lucidum</v>
          </cell>
        </row>
        <row r="6844">
          <cell r="A6844" t="str">
            <v>Geranium molle</v>
          </cell>
          <cell r="B6844" t="str">
            <v>Vascular plants</v>
          </cell>
          <cell r="C6844" t="str">
            <v>Tracheophyta</v>
          </cell>
          <cell r="D6844" t="str">
            <v>Geranium molle</v>
          </cell>
          <cell r="E6844" t="str">
            <v>LC</v>
          </cell>
          <cell r="F6844" t="str">
            <v>in Stroh et al., 2014 (from: Cheffings &amp; Farrell 2005 or subsequent amendments in Leach 2007, 2010; Leach &amp; Walker 2011, 2013)</v>
          </cell>
          <cell r="G6844" t="str">
            <v>NBNSYS0000003159</v>
          </cell>
          <cell r="H6844" t="str">
            <v>Geranium molle</v>
          </cell>
        </row>
        <row r="6845">
          <cell r="A6845" t="str">
            <v>Geranium pratense</v>
          </cell>
          <cell r="B6845" t="str">
            <v>Vascular plants</v>
          </cell>
          <cell r="C6845" t="str">
            <v>Tracheophyta</v>
          </cell>
          <cell r="D6845" t="str">
            <v>Geranium pratense</v>
          </cell>
          <cell r="E6845" t="str">
            <v>LC</v>
          </cell>
          <cell r="F6845" t="str">
            <v>in Stroh et al., 2014 (from: Cheffings &amp; Farrell 2005 or subsequent amendments in Leach 2007, 2010; Leach &amp; Walker 2011, 2013)</v>
          </cell>
          <cell r="G6845" t="str">
            <v>NBNSYS0000003147</v>
          </cell>
          <cell r="H6845" t="str">
            <v>Geranium pratense</v>
          </cell>
        </row>
        <row r="6846">
          <cell r="A6846" t="str">
            <v>Geranium purpureum</v>
          </cell>
          <cell r="B6846" t="str">
            <v>Vascular plants</v>
          </cell>
          <cell r="C6846" t="str">
            <v>Tracheophyta</v>
          </cell>
          <cell r="D6846" t="str">
            <v>Geranium purpureum</v>
          </cell>
          <cell r="E6846" t="str">
            <v>LC</v>
          </cell>
          <cell r="F6846" t="str">
            <v>in Stroh et al., 2014 (from: Cheffings &amp; Farrell 2005 or subsequent amendments in Leach 2007, 2010; Leach &amp; Walker 2011, 2013)</v>
          </cell>
          <cell r="G6846" t="str">
            <v>NHMSYS0000459041</v>
          </cell>
          <cell r="H6846" t="str">
            <v>Geranium purpureum</v>
          </cell>
        </row>
        <row r="6847">
          <cell r="A6847" t="str">
            <v>Geranium pusillum</v>
          </cell>
          <cell r="B6847" t="str">
            <v>Vascular plants</v>
          </cell>
          <cell r="C6847" t="str">
            <v>Tracheophyta</v>
          </cell>
          <cell r="D6847" t="str">
            <v>Geranium pusillum</v>
          </cell>
          <cell r="E6847" t="str">
            <v>LC</v>
          </cell>
          <cell r="F6847" t="str">
            <v>in Stroh et al., 2014 (from: Cheffings &amp; Farrell 2005 or subsequent amendments in Leach 2007, 2010; Leach &amp; Walker 2011, 2013)</v>
          </cell>
          <cell r="G6847" t="str">
            <v>NBNSYS0000003160</v>
          </cell>
          <cell r="H6847" t="str">
            <v>Geranium pusillum</v>
          </cell>
        </row>
        <row r="6848">
          <cell r="A6848" t="str">
            <v>Geranium robertianum</v>
          </cell>
          <cell r="B6848" t="str">
            <v>Vascular plants</v>
          </cell>
          <cell r="C6848" t="str">
            <v>Tracheophyta</v>
          </cell>
          <cell r="D6848" t="str">
            <v>Geranium robertianum</v>
          </cell>
          <cell r="E6848" t="str">
            <v>LC</v>
          </cell>
          <cell r="F6848" t="str">
            <v>in Stroh et al., 2014 (from: Cheffings &amp; Farrell 2005 or subsequent amendments in Leach 2007, 2010; Leach &amp; Walker 2011, 2013)</v>
          </cell>
          <cell r="G6848" t="str">
            <v>NBNSYS0000003162</v>
          </cell>
          <cell r="H6848" t="str">
            <v>Geranium robertianum</v>
          </cell>
        </row>
        <row r="6849">
          <cell r="A6849" t="str">
            <v>Geranium rotundifolium</v>
          </cell>
          <cell r="B6849" t="str">
            <v>Vascular plants</v>
          </cell>
          <cell r="C6849" t="str">
            <v>Tracheophyta</v>
          </cell>
          <cell r="D6849" t="str">
            <v>Geranium rotundifolium</v>
          </cell>
          <cell r="E6849" t="str">
            <v>LC</v>
          </cell>
          <cell r="F6849" t="str">
            <v>in Stroh et al., 2014 (from: Cheffings &amp; Farrell 2005 or subsequent amendments in Leach 2007, 2010; Leach &amp; Walker 2011, 2013)</v>
          </cell>
          <cell r="G6849" t="str">
            <v>NBNSYS0000003158</v>
          </cell>
          <cell r="H6849" t="str">
            <v>Geranium rotundifolium</v>
          </cell>
        </row>
        <row r="6850">
          <cell r="A6850" t="str">
            <v>Geranium sanguineum</v>
          </cell>
          <cell r="B6850" t="str">
            <v>Vascular plants</v>
          </cell>
          <cell r="C6850" t="str">
            <v>Tracheophyta</v>
          </cell>
          <cell r="D6850" t="str">
            <v>Geranium sanguineum</v>
          </cell>
          <cell r="E6850" t="str">
            <v>LC</v>
          </cell>
          <cell r="F6850" t="str">
            <v>in Stroh et al., 2014 (from: Cheffings &amp; Farrell 2005 or subsequent amendments in Leach 2007, 2010; Leach &amp; Walker 2011, 2013)</v>
          </cell>
          <cell r="G6850" t="str">
            <v>NBNSYS0000003153</v>
          </cell>
          <cell r="H6850" t="str">
            <v>Geranium sanguineum</v>
          </cell>
        </row>
        <row r="6851">
          <cell r="A6851" t="str">
            <v>Geranium sylvaticum</v>
          </cell>
          <cell r="B6851" t="str">
            <v>Vascular plants</v>
          </cell>
          <cell r="C6851" t="str">
            <v>Tracheophyta</v>
          </cell>
          <cell r="D6851" t="str">
            <v>Geranium sylvaticum</v>
          </cell>
          <cell r="E6851" t="str">
            <v>LC</v>
          </cell>
          <cell r="F6851" t="str">
            <v>in Stroh et al., 2014 (from: Cheffings &amp; Farrell 2005 or subsequent amendments in Leach 2007, 2010; Leach &amp; Walker 2011, 2013)</v>
          </cell>
          <cell r="G6851" t="str">
            <v>NBNSYS0000003148</v>
          </cell>
          <cell r="H6851" t="str">
            <v>Geranium sylvaticum</v>
          </cell>
        </row>
        <row r="6852">
          <cell r="A6852" t="str">
            <v>Geum rivale</v>
          </cell>
          <cell r="B6852" t="str">
            <v>Vascular plants</v>
          </cell>
          <cell r="C6852" t="str">
            <v>Tracheophyta</v>
          </cell>
          <cell r="D6852" t="str">
            <v>Geum rivale</v>
          </cell>
          <cell r="E6852" t="str">
            <v>LC</v>
          </cell>
          <cell r="F6852" t="str">
            <v>in Stroh et al., 2014 (from: Cheffings &amp; Farrell 2005 or subsequent amendments in Leach 2007, 2010; Leach &amp; Walker 2011, 2013)</v>
          </cell>
          <cell r="G6852" t="str">
            <v>NBNSYS0000003363</v>
          </cell>
          <cell r="H6852" t="str">
            <v>Geum rivale</v>
          </cell>
        </row>
        <row r="6853">
          <cell r="A6853" t="str">
            <v>Geum urbanum</v>
          </cell>
          <cell r="B6853" t="str">
            <v>Vascular plants</v>
          </cell>
          <cell r="C6853" t="str">
            <v>Tracheophyta</v>
          </cell>
          <cell r="D6853" t="str">
            <v>Geum urbanum</v>
          </cell>
          <cell r="E6853" t="str">
            <v>LC</v>
          </cell>
          <cell r="F6853" t="str">
            <v>in Stroh et al., 2014 (from: Cheffings &amp; Farrell 2005 or subsequent amendments in Leach 2007, 2010; Leach &amp; Walker 2011, 2013)</v>
          </cell>
          <cell r="G6853" t="str">
            <v>NBNSYS0000003361</v>
          </cell>
          <cell r="H6853" t="str">
            <v>Geum urbanum</v>
          </cell>
        </row>
        <row r="6854">
          <cell r="A6854" t="str">
            <v>Gladiolus illyricus</v>
          </cell>
          <cell r="B6854" t="str">
            <v>Vascular plants</v>
          </cell>
          <cell r="C6854" t="str">
            <v>Tracheophyta</v>
          </cell>
          <cell r="D6854" t="str">
            <v>Gladiolus illyricus</v>
          </cell>
          <cell r="E6854" t="str">
            <v>LC</v>
          </cell>
          <cell r="F6854" t="str">
            <v>in Stroh et al., 2014 (from: Cheffings &amp; Farrell 2005 or subsequent amendments in Leach 2007, 2010; Leach &amp; Walker 2011, 2013)</v>
          </cell>
          <cell r="G6854" t="str">
            <v>NHMSYS0000459073</v>
          </cell>
          <cell r="H6854" t="str">
            <v>Gladiolus illyricus</v>
          </cell>
        </row>
        <row r="6855">
          <cell r="A6855" t="str">
            <v>Glaucium flavum</v>
          </cell>
          <cell r="B6855" t="str">
            <v>Vascular plants</v>
          </cell>
          <cell r="C6855" t="str">
            <v>Tracheophyta</v>
          </cell>
          <cell r="D6855" t="str">
            <v>Glaucium flavum</v>
          </cell>
          <cell r="E6855" t="str">
            <v>LC</v>
          </cell>
          <cell r="F6855" t="str">
            <v>in Stroh et al., 2014 (from: Cheffings &amp; Farrell 2005 or subsequent amendments in Leach 2007, 2010; Leach &amp; Walker 2011, 2013)</v>
          </cell>
          <cell r="G6855" t="str">
            <v>NBNSYS0000002774</v>
          </cell>
          <cell r="H6855" t="str">
            <v>Glaucium flavum</v>
          </cell>
        </row>
        <row r="6856">
          <cell r="A6856" t="str">
            <v>Glaux maritima</v>
          </cell>
          <cell r="B6856" t="str">
            <v>Vascular plants</v>
          </cell>
          <cell r="C6856" t="str">
            <v>Tracheophyta</v>
          </cell>
          <cell r="D6856" t="str">
            <v>Glaux maritima</v>
          </cell>
          <cell r="E6856" t="str">
            <v>LC</v>
          </cell>
          <cell r="F6856" t="str">
            <v>in Stroh et al., 2014 (from: Cheffings &amp; Farrell 2005 or subsequent amendments in Leach 2007, 2010; Leach &amp; Walker 2011, 2013)</v>
          </cell>
          <cell r="G6856" t="str">
            <v>NBNSYS0000003946</v>
          </cell>
          <cell r="H6856" t="str">
            <v>Glaux maritima</v>
          </cell>
        </row>
        <row r="6857">
          <cell r="A6857" t="str">
            <v>Glechoma hederacea</v>
          </cell>
          <cell r="B6857" t="str">
            <v>Vascular plants</v>
          </cell>
          <cell r="C6857" t="str">
            <v>Tracheophyta</v>
          </cell>
          <cell r="D6857" t="str">
            <v>Glechoma hederacea</v>
          </cell>
          <cell r="E6857" t="str">
            <v>LC</v>
          </cell>
          <cell r="F6857" t="str">
            <v>in Stroh et al., 2014 (from: Cheffings &amp; Farrell 2005 or subsequent amendments in Leach 2007, 2010; Leach &amp; Walker 2011, 2013)</v>
          </cell>
          <cell r="G6857" t="str">
            <v>NBNSYS0000004257</v>
          </cell>
          <cell r="H6857" t="str">
            <v>Glechoma hederacea</v>
          </cell>
        </row>
        <row r="6858">
          <cell r="A6858" t="str">
            <v>Glyceria declinata</v>
          </cell>
          <cell r="B6858" t="str">
            <v>Vascular plants</v>
          </cell>
          <cell r="C6858" t="str">
            <v>Tracheophyta</v>
          </cell>
          <cell r="D6858" t="str">
            <v>Glyceria declinata</v>
          </cell>
          <cell r="E6858" t="str">
            <v>LC</v>
          </cell>
          <cell r="F6858" t="str">
            <v>in Stroh et al., 2014 (from: Cheffings &amp; Farrell 2005 or subsequent amendments in Leach 2007, 2010; Leach &amp; Walker 2011, 2013)</v>
          </cell>
          <cell r="G6858" t="str">
            <v>NHMSYS0000459086</v>
          </cell>
          <cell r="H6858" t="str">
            <v>Glyceria declinata</v>
          </cell>
        </row>
        <row r="6859">
          <cell r="A6859" t="str">
            <v>Glyceria fluitans</v>
          </cell>
          <cell r="B6859" t="str">
            <v>Vascular plants</v>
          </cell>
          <cell r="C6859" t="str">
            <v>Tracheophyta</v>
          </cell>
          <cell r="D6859" t="str">
            <v>Glyceria fluitans</v>
          </cell>
          <cell r="E6859" t="str">
            <v>LC</v>
          </cell>
          <cell r="F6859" t="str">
            <v>in Stroh et al., 2014 (from: Cheffings &amp; Farrell 2005 or subsequent amendments in Leach 2007, 2010; Leach &amp; Walker 2011, 2013)</v>
          </cell>
          <cell r="G6859" t="str">
            <v>NHMSYS0000459088</v>
          </cell>
          <cell r="H6859" t="str">
            <v>Glyceria fluitans</v>
          </cell>
        </row>
        <row r="6860">
          <cell r="A6860" t="str">
            <v>Glyceria maxima</v>
          </cell>
          <cell r="B6860" t="str">
            <v>Vascular plants</v>
          </cell>
          <cell r="C6860" t="str">
            <v>Tracheophyta</v>
          </cell>
          <cell r="D6860" t="str">
            <v>Glyceria maxima</v>
          </cell>
          <cell r="E6860" t="str">
            <v>LC</v>
          </cell>
          <cell r="F6860" t="str">
            <v>in Stroh et al., 2014 (from: Cheffings &amp; Farrell 2005 or subsequent amendments in Leach 2007, 2010; Leach &amp; Walker 2011, 2013)</v>
          </cell>
          <cell r="G6860" t="str">
            <v>NHMSYS0000459090</v>
          </cell>
          <cell r="H6860" t="str">
            <v>Glyceria maxima</v>
          </cell>
        </row>
        <row r="6861">
          <cell r="A6861" t="str">
            <v>Glyceria notata</v>
          </cell>
          <cell r="B6861" t="str">
            <v>Vascular plants</v>
          </cell>
          <cell r="C6861" t="str">
            <v>Tracheophyta</v>
          </cell>
          <cell r="D6861" t="str">
            <v>Glyceria notata</v>
          </cell>
          <cell r="E6861" t="str">
            <v>LC</v>
          </cell>
          <cell r="F6861" t="str">
            <v>in Stroh et al., 2014 (from: Cheffings &amp; Farrell 2005 or subsequent amendments in Leach 2007, 2010; Leach &amp; Walker 2011, 2013)</v>
          </cell>
          <cell r="G6861" t="str">
            <v>NBNSYS0000002504</v>
          </cell>
          <cell r="H6861" t="str">
            <v>Glyceria notata</v>
          </cell>
        </row>
        <row r="6862">
          <cell r="A6862" t="str">
            <v>Gnaphalium sylvaticum</v>
          </cell>
          <cell r="B6862" t="str">
            <v>Vascular plants</v>
          </cell>
          <cell r="C6862" t="str">
            <v>Tracheophyta</v>
          </cell>
          <cell r="D6862" t="str">
            <v>Gnaphalium sylvaticum</v>
          </cell>
          <cell r="E6862" t="str">
            <v>EN</v>
          </cell>
          <cell r="F6862" t="str">
            <v>in Stroh et al., 2014 (from: Cheffings &amp; Farrell 2005 or subsequent amendments in Leach 2007, 2010; Leach &amp; Walker 2011, 2013)</v>
          </cell>
          <cell r="G6862" t="str">
            <v>NBNSYS0000004408</v>
          </cell>
          <cell r="H6862" t="str">
            <v>Gnaphalium sylvaticum</v>
          </cell>
        </row>
        <row r="6863">
          <cell r="A6863" t="str">
            <v>Gnaphalium uliginosum</v>
          </cell>
          <cell r="B6863" t="str">
            <v>Vascular plants</v>
          </cell>
          <cell r="C6863" t="str">
            <v>Tracheophyta</v>
          </cell>
          <cell r="D6863" t="str">
            <v>Gnaphalium uliginosum</v>
          </cell>
          <cell r="E6863" t="str">
            <v>LC</v>
          </cell>
          <cell r="F6863" t="str">
            <v>in Stroh et al., 2014 (from: Cheffings &amp; Farrell 2005 or subsequent amendments in Leach 2007, 2010; Leach &amp; Walker 2011, 2013)</v>
          </cell>
          <cell r="G6863" t="str">
            <v>NBNSYS0000004411</v>
          </cell>
          <cell r="H6863" t="str">
            <v>Gnaphalium uliginosum</v>
          </cell>
        </row>
        <row r="6864">
          <cell r="A6864" t="str">
            <v>Goodyera repens</v>
          </cell>
          <cell r="B6864" t="str">
            <v>Vascular plants</v>
          </cell>
          <cell r="C6864" t="str">
            <v>Tracheophyta</v>
          </cell>
          <cell r="D6864" t="str">
            <v>Goodyera repens</v>
          </cell>
          <cell r="E6864" t="str">
            <v>LC</v>
          </cell>
          <cell r="F6864" t="str">
            <v>in Stroh et al., 2014 (from: Cheffings &amp; Farrell 2005 or subsequent amendments in Leach 2007, 2010; Leach &amp; Walker 2011, 2013)</v>
          </cell>
          <cell r="G6864" t="str">
            <v>NHMSYS0000459112</v>
          </cell>
          <cell r="H6864" t="str">
            <v>Goodyera repens</v>
          </cell>
        </row>
        <row r="6865">
          <cell r="A6865" t="str">
            <v>Groenlandia densa</v>
          </cell>
          <cell r="B6865" t="str">
            <v>Vascular plants</v>
          </cell>
          <cell r="C6865" t="str">
            <v>Tracheophyta</v>
          </cell>
          <cell r="D6865" t="str">
            <v>Groenlandia densa</v>
          </cell>
          <cell r="E6865" t="str">
            <v>VU</v>
          </cell>
          <cell r="F6865" t="str">
            <v>in Stroh et al., 2014 (from: Cheffings &amp; Farrell 2005 or subsequent amendments in Leach 2007, 2010; Leach &amp; Walker 2011, 2013)</v>
          </cell>
          <cell r="G6865" t="str">
            <v>NBNSYS0000002147</v>
          </cell>
          <cell r="H6865" t="str">
            <v>Groenlandia densa</v>
          </cell>
        </row>
        <row r="6866">
          <cell r="A6866" t="str">
            <v>Gymnadenia borealis</v>
          </cell>
          <cell r="B6866" t="str">
            <v>Vascular plants</v>
          </cell>
          <cell r="C6866" t="str">
            <v>Tracheophyta</v>
          </cell>
          <cell r="D6866" t="str">
            <v>Gymnadenia borealis</v>
          </cell>
          <cell r="E6866" t="str">
            <v>LC</v>
          </cell>
          <cell r="F6866" t="str">
            <v>in Stroh et al., 2014 (from: Cheffings &amp; Farrell 2005 or subsequent amendments in Leach 2007, 2010; Leach &amp; Walker 2011, 2013)</v>
          </cell>
          <cell r="G6866" t="str">
            <v>NHMSYS0000459167</v>
          </cell>
          <cell r="H6866" t="str">
            <v>Gymnadenia borealis</v>
          </cell>
        </row>
        <row r="6867">
          <cell r="A6867" t="str">
            <v>Gymnadenia conopsea</v>
          </cell>
          <cell r="B6867" t="str">
            <v>Vascular plants</v>
          </cell>
          <cell r="C6867" t="str">
            <v>Tracheophyta</v>
          </cell>
          <cell r="D6867" t="str">
            <v>Gymnadenia conopsea</v>
          </cell>
          <cell r="E6867" t="str">
            <v>LC</v>
          </cell>
          <cell r="F6867" t="str">
            <v>in Stroh et al., 2014 (from: Cheffings &amp; Farrell 2005 or subsequent amendments in Leach 2007, 2010; Leach &amp; Walker 2011, 2013)</v>
          </cell>
          <cell r="G6867" t="str">
            <v>NHMSYS0000459168</v>
          </cell>
          <cell r="H6867" t="str">
            <v>Gymnadenia conopsea</v>
          </cell>
        </row>
        <row r="6868">
          <cell r="A6868" t="str">
            <v>Gymnocarpium dryopteris</v>
          </cell>
          <cell r="B6868" t="str">
            <v>Vascular plants</v>
          </cell>
          <cell r="C6868" t="str">
            <v>Tracheophyta</v>
          </cell>
          <cell r="D6868" t="str">
            <v>Gymnocarpium dryopteris</v>
          </cell>
          <cell r="E6868" t="str">
            <v>LC</v>
          </cell>
          <cell r="F6868" t="str">
            <v>in Stroh et al., 2014 (from: Cheffings &amp; Farrell 2005 or subsequent amendments in Leach 2007, 2010; Leach &amp; Walker 2011, 2013)</v>
          </cell>
          <cell r="G6868" t="str">
            <v>NBNSYS0000002083</v>
          </cell>
          <cell r="H6868" t="str">
            <v>Gymnocarpium dryopteris</v>
          </cell>
        </row>
        <row r="6869">
          <cell r="A6869" t="str">
            <v>Gymnocarpium robertianum</v>
          </cell>
          <cell r="B6869" t="str">
            <v>Vascular plants</v>
          </cell>
          <cell r="C6869" t="str">
            <v>Tracheophyta</v>
          </cell>
          <cell r="D6869" t="str">
            <v>Gymnocarpium robertianum</v>
          </cell>
          <cell r="E6869" t="str">
            <v>LC</v>
          </cell>
          <cell r="F6869" t="str">
            <v>in Stroh et al., 2014 (from: Cheffings &amp; Farrell 2005 or subsequent amendments in Leach 2007, 2010; Leach &amp; Walker 2011, 2013)</v>
          </cell>
          <cell r="G6869" t="str">
            <v>NBNSYS0000002084</v>
          </cell>
          <cell r="H6869" t="str">
            <v>Gymnocarpium robertianum</v>
          </cell>
        </row>
        <row r="6870">
          <cell r="A6870" t="str">
            <v>Hammarbya paludosa</v>
          </cell>
          <cell r="B6870" t="str">
            <v>Vascular plants</v>
          </cell>
          <cell r="C6870" t="str">
            <v>Tracheophyta</v>
          </cell>
          <cell r="D6870" t="str">
            <v>Hammarbya paludosa</v>
          </cell>
          <cell r="E6870" t="str">
            <v>LC</v>
          </cell>
          <cell r="F6870" t="str">
            <v>in Stroh et al., 2014 (from: Cheffings &amp; Farrell 2005 or subsequent amendments in Leach 2007, 2010; Leach &amp; Walker 2011, 2013)</v>
          </cell>
          <cell r="G6870" t="str">
            <v>NBNSYS0000002303</v>
          </cell>
          <cell r="H6870" t="str">
            <v>Hammarbya paludosa</v>
          </cell>
        </row>
        <row r="6871">
          <cell r="A6871" t="str">
            <v>Hedera helix</v>
          </cell>
          <cell r="B6871" t="str">
            <v>Vascular plants</v>
          </cell>
          <cell r="C6871" t="str">
            <v>Tracheophyta</v>
          </cell>
          <cell r="D6871" t="str">
            <v>Hedera helix</v>
          </cell>
          <cell r="E6871" t="str">
            <v>LC</v>
          </cell>
          <cell r="F6871" t="str">
            <v>in Stroh et al., 2014 (from: Cheffings &amp; Farrell 2005 or subsequent amendments in Leach 2007, 2010; Leach &amp; Walker 2011, 2013)</v>
          </cell>
          <cell r="G6871" t="str">
            <v>NBNSYS0000003630</v>
          </cell>
          <cell r="H6871" t="str">
            <v>Hedera helix</v>
          </cell>
        </row>
        <row r="6872">
          <cell r="A6872" t="str">
            <v>Hedera hibernica</v>
          </cell>
          <cell r="B6872" t="str">
            <v>Vascular plants</v>
          </cell>
          <cell r="C6872" t="str">
            <v>Tracheophyta</v>
          </cell>
          <cell r="D6872" t="str">
            <v>Hedera hibernica</v>
          </cell>
          <cell r="E6872" t="str">
            <v>LC</v>
          </cell>
          <cell r="F6872" t="str">
            <v>in Stroh et al., 2014 (from: Cheffings &amp; Farrell 2005 or subsequent amendments in Leach 2007, 2010; Leach &amp; Walker 2011, 2013)</v>
          </cell>
          <cell r="G6872" t="str">
            <v>NHMSYS0000459250</v>
          </cell>
          <cell r="H6872" t="str">
            <v>Hedera hibernica</v>
          </cell>
        </row>
        <row r="6873">
          <cell r="A6873" t="str">
            <v>Helianthemum apenninum</v>
          </cell>
          <cell r="B6873" t="str">
            <v>Vascular plants</v>
          </cell>
          <cell r="C6873" t="str">
            <v>Tracheophyta</v>
          </cell>
          <cell r="D6873" t="str">
            <v>Helianthemum apenninum</v>
          </cell>
          <cell r="E6873" t="str">
            <v>VU</v>
          </cell>
          <cell r="F6873" t="str">
            <v>in Stroh et al., 2014 (from: Cheffings &amp; Farrell 2005 or subsequent amendments in Leach 2007, 2010; Leach &amp; Walker 2011, 2013)</v>
          </cell>
          <cell r="G6873" t="str">
            <v>NHMSYS0000459259</v>
          </cell>
          <cell r="H6873" t="str">
            <v>Helianthemum apenninum</v>
          </cell>
        </row>
        <row r="6874">
          <cell r="A6874" t="str">
            <v>Helianthemum nummularium</v>
          </cell>
          <cell r="B6874" t="str">
            <v>Vascular plants</v>
          </cell>
          <cell r="C6874" t="str">
            <v>Tracheophyta</v>
          </cell>
          <cell r="D6874" t="str">
            <v>Helianthemum nummularium</v>
          </cell>
          <cell r="E6874" t="str">
            <v>LC</v>
          </cell>
          <cell r="F6874" t="str">
            <v>in Stroh et al., 2014 (from: Cheffings &amp; Farrell 2005 or subsequent amendments in Leach 2007, 2010; Leach &amp; Walker 2011, 2013)</v>
          </cell>
          <cell r="G6874" t="str">
            <v>NHMSYS0000459266</v>
          </cell>
          <cell r="H6874" t="str">
            <v>Helianthemum nummularium</v>
          </cell>
        </row>
        <row r="6875">
          <cell r="A6875" t="str">
            <v>Helianthemum oelandicum</v>
          </cell>
          <cell r="B6875" t="str">
            <v>Vascular plants</v>
          </cell>
          <cell r="C6875" t="str">
            <v>Tracheophyta</v>
          </cell>
          <cell r="D6875" t="str">
            <v>Helianthemum oelandicum</v>
          </cell>
          <cell r="E6875" t="str">
            <v>LC</v>
          </cell>
          <cell r="F6875" t="str">
            <v>in Stroh et al., 2014 (from: Cheffings &amp; Farrell 2005 or subsequent amendments in Leach 2007, 2010; Leach &amp; Walker 2011, 2013)</v>
          </cell>
          <cell r="G6875" t="str">
            <v>NHMSYS0000459267</v>
          </cell>
          <cell r="H6875" t="str">
            <v>Helianthemum oelandicum</v>
          </cell>
        </row>
        <row r="6876">
          <cell r="A6876" t="str">
            <v>Helleborus foetidus</v>
          </cell>
          <cell r="B6876" t="str">
            <v>Vascular plants</v>
          </cell>
          <cell r="C6876" t="str">
            <v>Tracheophyta</v>
          </cell>
          <cell r="D6876" t="str">
            <v>Helleborus foetidus</v>
          </cell>
          <cell r="E6876" t="str">
            <v>LC</v>
          </cell>
          <cell r="F6876" t="str">
            <v>in Stroh et al., 2014 (from: Cheffings &amp; Farrell 2005 or subsequent amendments in Leach 2007, 2010; Leach &amp; Walker 2011, 2013)</v>
          </cell>
          <cell r="G6876" t="str">
            <v>NBNSYS0000002693</v>
          </cell>
          <cell r="H6876" t="str">
            <v>Helleborus foetidus</v>
          </cell>
        </row>
        <row r="6877">
          <cell r="A6877" t="str">
            <v>Helleborus viridis</v>
          </cell>
          <cell r="B6877" t="str">
            <v>Vascular plants</v>
          </cell>
          <cell r="C6877" t="str">
            <v>Tracheophyta</v>
          </cell>
          <cell r="D6877" t="str">
            <v>Helleborus viridis</v>
          </cell>
          <cell r="E6877" t="str">
            <v>LC</v>
          </cell>
          <cell r="F6877" t="str">
            <v>in Stroh et al., 2014 (from: Cheffings &amp; Farrell 2005 or subsequent amendments in Leach 2007, 2010; Leach &amp; Walker 2011, 2013)</v>
          </cell>
          <cell r="G6877" t="str">
            <v>NBNSYS0000002694</v>
          </cell>
          <cell r="H6877" t="str">
            <v>Helleborus viridis</v>
          </cell>
        </row>
        <row r="6878">
          <cell r="A6878" t="str">
            <v>Heracleum sphondylium</v>
          </cell>
          <cell r="B6878" t="str">
            <v>Vascular plants</v>
          </cell>
          <cell r="C6878" t="str">
            <v>Tracheophyta</v>
          </cell>
          <cell r="D6878" t="str">
            <v>Heracleum sphondylium</v>
          </cell>
          <cell r="E6878" t="str">
            <v>LC</v>
          </cell>
          <cell r="F6878" t="str">
            <v>in Stroh et al., 2014 (from: Cheffings &amp; Farrell 2005 or subsequent amendments in Leach 2007, 2010; Leach &amp; Walker 2011, 2013)</v>
          </cell>
          <cell r="G6878" t="str">
            <v>NBNSYS0000003710</v>
          </cell>
          <cell r="H6878" t="str">
            <v>Heracleum sphondylium</v>
          </cell>
        </row>
        <row r="6879">
          <cell r="A6879" t="str">
            <v>Herminium monorchis</v>
          </cell>
          <cell r="B6879" t="str">
            <v>Vascular plants</v>
          </cell>
          <cell r="C6879" t="str">
            <v>Tracheophyta</v>
          </cell>
          <cell r="D6879" t="str">
            <v>Herminium monorchis</v>
          </cell>
          <cell r="E6879" t="str">
            <v>VU</v>
          </cell>
          <cell r="F6879" t="str">
            <v>in Stroh et al., 2014 (from: Cheffings &amp; Farrell 2005 or subsequent amendments in Leach 2007, 2010; Leach &amp; Walker 2011, 2013)</v>
          </cell>
          <cell r="G6879" t="str">
            <v>NHMSYS0000459309</v>
          </cell>
          <cell r="H6879" t="str">
            <v>Herminium monorchis</v>
          </cell>
        </row>
        <row r="6880">
          <cell r="A6880" t="str">
            <v>Herniaria ciliolata subsp. ciliolata</v>
          </cell>
          <cell r="B6880" t="str">
            <v>Vascular plants</v>
          </cell>
          <cell r="C6880" t="str">
            <v>Tracheophyta</v>
          </cell>
          <cell r="D6880" t="str">
            <v>Herniaria ciliolata (subsp.) ciliolata</v>
          </cell>
          <cell r="E6880" t="str">
            <v>VU</v>
          </cell>
          <cell r="F6880" t="str">
            <v>in Stroh et al., 2014 (from: Cheffings &amp; Farrell 2005 or subsequent amendments in Leach 2007, 2010; Leach &amp; Walker 2011, 2013)</v>
          </cell>
          <cell r="G6880" t="str">
            <v>NHMSYS0000459315</v>
          </cell>
          <cell r="H6880" t="str">
            <v>Herniaria ciliolata subsp. ciliolata</v>
          </cell>
        </row>
        <row r="6881">
          <cell r="A6881" t="str">
            <v>Herniaria glabra</v>
          </cell>
          <cell r="B6881" t="str">
            <v>Vascular plants</v>
          </cell>
          <cell r="C6881" t="str">
            <v>Tracheophyta</v>
          </cell>
          <cell r="D6881" t="str">
            <v>Herniaria glabra</v>
          </cell>
          <cell r="E6881" t="str">
            <v>LC</v>
          </cell>
          <cell r="F6881" t="str">
            <v>in Stroh et al., 2014 (from: Cheffings &amp; Farrell 2005 or subsequent amendments in Leach 2007, 2010; Leach &amp; Walker 2011, 2013)</v>
          </cell>
          <cell r="G6881" t="str">
            <v>NBNSYS0000004582</v>
          </cell>
          <cell r="H6881" t="str">
            <v>Herniaria glabra</v>
          </cell>
        </row>
        <row r="6882">
          <cell r="A6882" t="str">
            <v>Hieracium acroleucum auct. Angl.</v>
          </cell>
          <cell r="B6882" t="str">
            <v>Vascular plants</v>
          </cell>
          <cell r="C6882" t="str">
            <v>Tracheophyta</v>
          </cell>
          <cell r="D6882" t="str">
            <v>Hieracium acroleucum</v>
          </cell>
          <cell r="E6882" t="str">
            <v>LC</v>
          </cell>
          <cell r="F6882" t="str">
            <v>in Stroh et al., 2014 (from: Cheffings &amp; Farrell 2005 or subsequent amendments in Leach 2007, 2010; Leach &amp; Walker 2011, 2013)</v>
          </cell>
          <cell r="G6882" t="str">
            <v>NHMSYS0021118707</v>
          </cell>
          <cell r="H6882" t="str">
            <v>Hieracium acroleucum auct. Angl.</v>
          </cell>
        </row>
        <row r="6883">
          <cell r="A6883" t="str">
            <v>Hieracium acuminatum </v>
          </cell>
          <cell r="B6883" t="str">
            <v>Vascular plants</v>
          </cell>
          <cell r="C6883" t="str">
            <v>Tracheophyta</v>
          </cell>
          <cell r="D6883" t="str">
            <v>Hieracium acuminatum</v>
          </cell>
          <cell r="E6883" t="str">
            <v>LC</v>
          </cell>
          <cell r="F6883" t="str">
            <v>in Stroh et al., 2014 (from: Cheffings &amp; Farrell 2005 or subsequent amendments in Leach 2007, 2010; Leach &amp; Walker 2011, 2013)</v>
          </cell>
          <cell r="G6883" t="str">
            <v>NHMSYS0000459331</v>
          </cell>
          <cell r="H6883" t="str">
            <v>Hieracium acuminatum </v>
          </cell>
        </row>
        <row r="6884">
          <cell r="A6884" t="str">
            <v>Hieracium aequiserratum</v>
          </cell>
          <cell r="B6884" t="str">
            <v>Vascular plants</v>
          </cell>
          <cell r="C6884" t="str">
            <v>Tracheophyta</v>
          </cell>
          <cell r="D6884" t="str">
            <v>Hieracium aequiserratum</v>
          </cell>
          <cell r="E6884" t="str">
            <v>CR</v>
          </cell>
          <cell r="F6884" t="str">
            <v>in Stroh et al., 2014 (from: Cheffings &amp; Farrell 2005 or subsequent amendments in Leach 2007, 2010; Leach &amp; Walker 2011, 2013)</v>
          </cell>
          <cell r="G6884" t="str">
            <v>NHMSYS0020442344</v>
          </cell>
          <cell r="H6884" t="str">
            <v>Hieracium aequiserratum</v>
          </cell>
        </row>
        <row r="6885">
          <cell r="A6885" t="str">
            <v>Hieracium amnicola</v>
          </cell>
          <cell r="B6885" t="str">
            <v>Vascular plants</v>
          </cell>
          <cell r="C6885" t="str">
            <v>Tracheophyta</v>
          </cell>
          <cell r="D6885" t="str">
            <v>Hieracium amnicola</v>
          </cell>
          <cell r="E6885" t="str">
            <v>VU</v>
          </cell>
          <cell r="F6885" t="str">
            <v>in Stroh et al., 2014 (from: Cheffings &amp; Farrell 2005 or subsequent amendments in Leach 2007, 2010; Leach &amp; Walker 2011, 2013)</v>
          </cell>
          <cell r="G6885" t="str">
            <v>NHMSYS0020442346</v>
          </cell>
          <cell r="H6885" t="str">
            <v>Hieracium amnicola</v>
          </cell>
        </row>
        <row r="6886">
          <cell r="A6886" t="str">
            <v>Hieracium ampliatiforme</v>
          </cell>
          <cell r="B6886" t="str">
            <v>Vascular plants</v>
          </cell>
          <cell r="C6886" t="str">
            <v>Tracheophyta</v>
          </cell>
          <cell r="D6886" t="str">
            <v>Hieracium ampliatiforme</v>
          </cell>
          <cell r="E6886" t="str">
            <v>VU</v>
          </cell>
          <cell r="F6886" t="str">
            <v>in Stroh et al., 2014 (from: Cheffings &amp; Farrell 2005 or subsequent amendments in Leach 2007, 2010; Leach &amp; Walker 2011, 2013)</v>
          </cell>
          <cell r="G6886" t="str">
            <v>NHMSYS0020442347</v>
          </cell>
          <cell r="H6886" t="str">
            <v>Hieracium ampliatiforme</v>
          </cell>
        </row>
        <row r="6887">
          <cell r="A6887" t="str">
            <v>Hieracium ampliatum </v>
          </cell>
          <cell r="B6887" t="str">
            <v>Vascular plants</v>
          </cell>
          <cell r="C6887" t="str">
            <v>Tracheophyta</v>
          </cell>
          <cell r="D6887" t="str">
            <v>Hieracium ampliatum</v>
          </cell>
          <cell r="E6887" t="str">
            <v>LC</v>
          </cell>
          <cell r="F6887" t="str">
            <v>in Stroh et al., 2014 (from: Cheffings &amp; Farrell 2005 or subsequent amendments in Leach 2007, 2010; Leach &amp; Walker 2011, 2013)</v>
          </cell>
          <cell r="G6887" t="str">
            <v>NHMSYS0000459333</v>
          </cell>
          <cell r="H6887" t="str">
            <v>Hieracium ampliatum </v>
          </cell>
        </row>
        <row r="6888">
          <cell r="A6888" t="str">
            <v>Hieracium anglicum </v>
          </cell>
          <cell r="B6888" t="str">
            <v>Vascular plants</v>
          </cell>
          <cell r="C6888" t="str">
            <v>Tracheophyta</v>
          </cell>
          <cell r="D6888" t="str">
            <v>Hieracium anglicum</v>
          </cell>
          <cell r="E6888" t="str">
            <v>LC</v>
          </cell>
          <cell r="F6888" t="str">
            <v>in Stroh et al., 2014 (from: Cheffings &amp; Farrell 2005 or subsequent amendments in Leach 2007, 2010; Leach &amp; Walker 2011, 2013)</v>
          </cell>
          <cell r="G6888" t="str">
            <v>NHMSYS0000459335</v>
          </cell>
          <cell r="H6888" t="str">
            <v>Hieracium anglicum </v>
          </cell>
        </row>
        <row r="6889">
          <cell r="A6889" t="str">
            <v>Hieracium anglorum </v>
          </cell>
          <cell r="B6889" t="str">
            <v>Vascular plants</v>
          </cell>
          <cell r="C6889" t="str">
            <v>Tracheophyta</v>
          </cell>
          <cell r="D6889" t="str">
            <v>Hieracium anglorum</v>
          </cell>
          <cell r="E6889" t="str">
            <v>LC</v>
          </cell>
          <cell r="F6889" t="str">
            <v>in Stroh et al., 2014 (from: Cheffings &amp; Farrell 2005 or subsequent amendments in Leach 2007, 2010; Leach &amp; Walker 2011, 2013)</v>
          </cell>
          <cell r="G6889" t="str">
            <v>NHMSYS0000459407</v>
          </cell>
          <cell r="H6889" t="str">
            <v>Hieracium anglorum </v>
          </cell>
        </row>
        <row r="6890">
          <cell r="A6890" t="str">
            <v>Hieracium anguinum</v>
          </cell>
          <cell r="B6890" t="str">
            <v>Vascular plants</v>
          </cell>
          <cell r="C6890" t="str">
            <v>Tracheophyta</v>
          </cell>
          <cell r="D6890" t="str">
            <v>Hieracium anguinum</v>
          </cell>
          <cell r="E6890" t="str">
            <v>VU</v>
          </cell>
          <cell r="F6890" t="str">
            <v>in Stroh et al., 2014 (from: Cheffings &amp; Farrell 2005 or subsequent amendments in Leach 2007, 2010; Leach &amp; Walker 2011, 2013)</v>
          </cell>
          <cell r="G6890" t="str">
            <v>NHMSYS0000459337</v>
          </cell>
          <cell r="H6890" t="str">
            <v>Hieracium anguinum</v>
          </cell>
        </row>
        <row r="6891">
          <cell r="A6891" t="str">
            <v>Hieracium angustisquamum </v>
          </cell>
          <cell r="B6891" t="str">
            <v>Vascular plants</v>
          </cell>
          <cell r="C6891" t="str">
            <v>Tracheophyta</v>
          </cell>
          <cell r="D6891" t="str">
            <v>Hieracium angustisquamum</v>
          </cell>
          <cell r="E6891" t="str">
            <v>LC</v>
          </cell>
          <cell r="F6891" t="str">
            <v>in Stroh et al., 2014 (from: Cheffings &amp; Farrell 2005 or subsequent amendments in Leach 2007, 2010; Leach &amp; Walker 2011, 2013)</v>
          </cell>
          <cell r="G6891" t="str">
            <v>NHMSYS0000840861</v>
          </cell>
          <cell r="H6891" t="str">
            <v>Hieracium angustisquamum </v>
          </cell>
        </row>
        <row r="6892">
          <cell r="A6892" t="str">
            <v>Hieracium apiculatidens</v>
          </cell>
          <cell r="B6892" t="str">
            <v>Vascular plants</v>
          </cell>
          <cell r="C6892" t="str">
            <v>Tracheophyta</v>
          </cell>
          <cell r="D6892" t="str">
            <v>Hieracium apiculatidens</v>
          </cell>
          <cell r="E6892" t="str">
            <v>VU</v>
          </cell>
          <cell r="F6892" t="str">
            <v>in Stroh et al., 2014 (from: Cheffings &amp; Farrell 2005 or subsequent amendments in Leach 2007, 2010; Leach &amp; Walker 2011, 2013)</v>
          </cell>
          <cell r="G6892" t="str">
            <v>NHMSYS0020442350</v>
          </cell>
          <cell r="H6892" t="str">
            <v>Hieracium apiculatidens</v>
          </cell>
        </row>
        <row r="6893">
          <cell r="A6893" t="str">
            <v>Hieracium argenteum auct. Angl.</v>
          </cell>
          <cell r="B6893" t="str">
            <v>Vascular plants</v>
          </cell>
          <cell r="C6893" t="str">
            <v>Tracheophyta</v>
          </cell>
          <cell r="D6893" t="str">
            <v>Hieracium argenteum</v>
          </cell>
          <cell r="E6893" t="str">
            <v>LC</v>
          </cell>
          <cell r="F6893" t="str">
            <v>in Stroh et al., 2014 (from: Cheffings &amp; Farrell 2005 or subsequent amendments in Leach 2007, 2010; Leach &amp; Walker 2011, 2013)</v>
          </cell>
          <cell r="G6893" t="str">
            <v>NHMSYS0021118677</v>
          </cell>
          <cell r="H6893" t="str">
            <v>Hieracium argenteum auct. Angl.</v>
          </cell>
        </row>
        <row r="6894">
          <cell r="A6894" t="str">
            <v>Hieracium argutifolium</v>
          </cell>
          <cell r="B6894" t="str">
            <v>Vascular plants</v>
          </cell>
          <cell r="C6894" t="str">
            <v>Tracheophyta</v>
          </cell>
          <cell r="D6894" t="str">
            <v>Hieracium argutifolium</v>
          </cell>
          <cell r="E6894" t="str">
            <v>VU</v>
          </cell>
          <cell r="F6894" t="str">
            <v>in Stroh et al., 2014 (from: Cheffings &amp; Farrell 2005 or subsequent amendments in Leach 2007, 2010; Leach &amp; Walker 2011, 2013)</v>
          </cell>
          <cell r="G6894" t="str">
            <v>NHMSYS0000857318</v>
          </cell>
          <cell r="H6894" t="str">
            <v>Hieracium argutifolium</v>
          </cell>
        </row>
        <row r="6895">
          <cell r="A6895" t="str">
            <v>Hieracium auratiflorum </v>
          </cell>
          <cell r="B6895" t="str">
            <v>Vascular plants</v>
          </cell>
          <cell r="C6895" t="str">
            <v>Tracheophyta</v>
          </cell>
          <cell r="D6895" t="str">
            <v>Hieracium auratiflorum</v>
          </cell>
          <cell r="E6895" t="str">
            <v>LC</v>
          </cell>
          <cell r="F6895" t="str">
            <v>in Stroh et al., 2014 (from: Cheffings &amp; Farrell 2005 or subsequent amendments in Leach 2007, 2010; Leach &amp; Walker 2011, 2013)</v>
          </cell>
          <cell r="G6895" t="str">
            <v>NHMSYS0000840910</v>
          </cell>
          <cell r="H6895" t="str">
            <v>Hieracium auratiflorum </v>
          </cell>
        </row>
        <row r="6896">
          <cell r="A6896" t="str">
            <v>Hieracium bakeranum</v>
          </cell>
          <cell r="B6896" t="str">
            <v>Vascular plants</v>
          </cell>
          <cell r="C6896" t="str">
            <v>Tracheophyta</v>
          </cell>
          <cell r="D6896" t="str">
            <v>Hieracium bakeranum</v>
          </cell>
          <cell r="E6896" t="str">
            <v>EN</v>
          </cell>
          <cell r="F6896" t="str">
            <v>in Stroh et al., 2014 (from: Cheffings &amp; Farrell 2005 or subsequent amendments in Leach 2007, 2010; Leach &amp; Walker 2011, 2013)</v>
          </cell>
          <cell r="G6896" t="str">
            <v>NHMSYS0000840921</v>
          </cell>
          <cell r="H6896" t="str">
            <v>Hieracium bakeranum</v>
          </cell>
        </row>
        <row r="6897">
          <cell r="A6897" t="str">
            <v>Hieracium boreoanglicum </v>
          </cell>
          <cell r="B6897" t="str">
            <v>Vascular plants</v>
          </cell>
          <cell r="C6897" t="str">
            <v>Tracheophyta</v>
          </cell>
          <cell r="D6897" t="str">
            <v>Hieracium boreoanglicum</v>
          </cell>
          <cell r="E6897" t="str">
            <v>LC</v>
          </cell>
          <cell r="F6897" t="str">
            <v>in Stroh et al., 2014 (from: Cheffings &amp; Farrell 2005 or subsequent amendments in Leach 2007, 2010; Leach &amp; Walker 2011, 2013)</v>
          </cell>
          <cell r="G6897" t="str">
            <v>NHMSYS0020755105</v>
          </cell>
          <cell r="H6897" t="str">
            <v>Hieracium boreoanglicum </v>
          </cell>
        </row>
        <row r="6898">
          <cell r="A6898" t="str">
            <v>Hieracium boswellii </v>
          </cell>
          <cell r="B6898" t="str">
            <v>Vascular plants</v>
          </cell>
          <cell r="C6898" t="str">
            <v>Tracheophyta</v>
          </cell>
          <cell r="D6898" t="str">
            <v>Hieracium boswellii</v>
          </cell>
          <cell r="E6898" t="str">
            <v>LC</v>
          </cell>
          <cell r="F6898" t="str">
            <v>in Stroh et al., 2014 (from: Cheffings &amp; Farrell 2005 or subsequent amendments in Leach 2007, 2010; Leach &amp; Walker 2011, 2013)</v>
          </cell>
          <cell r="G6898" t="str">
            <v>NHMSYS0000459363</v>
          </cell>
          <cell r="H6898" t="str">
            <v>Hieracium boswellii </v>
          </cell>
        </row>
        <row r="6899">
          <cell r="A6899" t="str">
            <v>Hieracium brigantum</v>
          </cell>
          <cell r="B6899" t="str">
            <v>Vascular plants</v>
          </cell>
          <cell r="C6899" t="str">
            <v>Tracheophyta</v>
          </cell>
          <cell r="D6899" t="str">
            <v>Hieracium brigantum</v>
          </cell>
          <cell r="E6899" t="str">
            <v>VU</v>
          </cell>
          <cell r="F6899" t="str">
            <v>in Stroh et al., 2014 (from: Cheffings &amp; Farrell 2005 or subsequent amendments in Leach 2007, 2010; Leach &amp; Walker 2011, 2013)</v>
          </cell>
          <cell r="G6899" t="str">
            <v>NHMSYS0000459352</v>
          </cell>
          <cell r="H6899" t="str">
            <v>Hieracium brigantum</v>
          </cell>
        </row>
        <row r="6900">
          <cell r="A6900" t="str">
            <v>Hieracium britanniciforme</v>
          </cell>
          <cell r="B6900" t="str">
            <v>Vascular plants</v>
          </cell>
          <cell r="C6900" t="str">
            <v>Tracheophyta</v>
          </cell>
          <cell r="D6900" t="str">
            <v>Hieracium britanniciforme</v>
          </cell>
          <cell r="E6900" t="str">
            <v>EN</v>
          </cell>
          <cell r="F6900" t="str">
            <v>in Stroh et al., 2014 (from: Cheffings &amp; Farrell 2005 or subsequent amendments in Leach 2007, 2010; Leach &amp; Walker 2011, 2013)</v>
          </cell>
          <cell r="G6900" t="str">
            <v>NHMSYS0000840811</v>
          </cell>
          <cell r="H6900" t="str">
            <v>Hieracium britanniciforme</v>
          </cell>
        </row>
        <row r="6901">
          <cell r="A6901" t="str">
            <v>Hieracium britannicum </v>
          </cell>
          <cell r="B6901" t="str">
            <v>Vascular plants</v>
          </cell>
          <cell r="C6901" t="str">
            <v>Tracheophyta</v>
          </cell>
          <cell r="D6901" t="str">
            <v>Hieracium britannicum</v>
          </cell>
          <cell r="E6901" t="str">
            <v>VU</v>
          </cell>
          <cell r="F6901" t="str">
            <v>in Stroh et al., 2014 (from: Cheffings &amp; Farrell 2005 or subsequent amendments in Leach 2007, 2010; Leach &amp; Walker 2011, 2013)</v>
          </cell>
          <cell r="G6901" t="str">
            <v>NHMSYS0000459354</v>
          </cell>
          <cell r="H6901" t="str">
            <v>Hieracium britannicum </v>
          </cell>
        </row>
        <row r="6902">
          <cell r="A6902" t="str">
            <v>Hieracium caesiopilosum </v>
          </cell>
          <cell r="B6902" t="str">
            <v>Vascular plants</v>
          </cell>
          <cell r="C6902" t="str">
            <v>Tracheophyta</v>
          </cell>
          <cell r="D6902" t="str">
            <v>Hieracium caesiopilosum</v>
          </cell>
          <cell r="E6902" t="str">
            <v>LC</v>
          </cell>
          <cell r="F6902" t="str">
            <v>in Stroh et al., 2014 (from: Cheffings &amp; Farrell 2005 or subsequent amendments in Leach 2007, 2010; Leach &amp; Walker 2011, 2013)</v>
          </cell>
          <cell r="G6902" t="str">
            <v>NHMSYS0000459590</v>
          </cell>
          <cell r="H6902" t="str">
            <v>Hieracium caesiopilosum </v>
          </cell>
        </row>
        <row r="6903">
          <cell r="A6903" t="str">
            <v>Hieracium caesitium auct. Angl.</v>
          </cell>
          <cell r="B6903" t="str">
            <v>Vascular plants</v>
          </cell>
          <cell r="C6903" t="str">
            <v>Tracheophyta</v>
          </cell>
          <cell r="D6903" t="str">
            <v>Hieracium caesitium</v>
          </cell>
          <cell r="E6903" t="str">
            <v>VU</v>
          </cell>
          <cell r="F6903" t="str">
            <v>in Stroh et al., 2014 (from: Cheffings &amp; Farrell 2005 or subsequent amendments in Leach 2007, 2010; Leach &amp; Walker 2011, 2013)</v>
          </cell>
          <cell r="G6903" t="str">
            <v>NHMSYS0021118683</v>
          </cell>
          <cell r="H6903" t="str">
            <v>Hieracium caesitium auct. Angl.</v>
          </cell>
        </row>
        <row r="6904">
          <cell r="A6904" t="str">
            <v>Hieracium calcaricola </v>
          </cell>
          <cell r="B6904" t="str">
            <v>Vascular plants</v>
          </cell>
          <cell r="C6904" t="str">
            <v>Tracheophyta</v>
          </cell>
          <cell r="D6904" t="str">
            <v>Hieracium calcaricola</v>
          </cell>
          <cell r="E6904" t="str">
            <v>LC</v>
          </cell>
          <cell r="F6904" t="str">
            <v>in Stroh et al., 2014 (from: Cheffings &amp; Farrell 2005 or subsequent amendments in Leach 2007, 2010; Leach &amp; Walker 2011, 2013)</v>
          </cell>
          <cell r="G6904" t="str">
            <v>NHMSYS0000459362</v>
          </cell>
          <cell r="H6904" t="str">
            <v>Hieracium calcaricola </v>
          </cell>
        </row>
        <row r="6905">
          <cell r="A6905" t="str">
            <v>Hieracium candelabrae</v>
          </cell>
          <cell r="B6905" t="str">
            <v>Vascular plants</v>
          </cell>
          <cell r="C6905" t="str">
            <v>Tracheophyta</v>
          </cell>
          <cell r="D6905" t="str">
            <v>Hieracium candelabrae</v>
          </cell>
          <cell r="E6905" t="str">
            <v>VU</v>
          </cell>
          <cell r="F6905" t="str">
            <v>in Stroh et al., 2014 (from: Cheffings &amp; Farrell 2005 or subsequent amendments in Leach 2007, 2010; Leach &amp; Walker 2011, 2013)</v>
          </cell>
          <cell r="G6905" t="str">
            <v>NHMSYS0000459370</v>
          </cell>
          <cell r="H6905" t="str">
            <v>Hieracium candelabrae</v>
          </cell>
        </row>
        <row r="6906">
          <cell r="A6906" t="str">
            <v>Hieracium cantianum</v>
          </cell>
          <cell r="B6906" t="str">
            <v>Vascular plants</v>
          </cell>
          <cell r="C6906" t="str">
            <v>Tracheophyta</v>
          </cell>
          <cell r="D6906" t="str">
            <v>Hieracium cantianum</v>
          </cell>
          <cell r="E6906" t="str">
            <v>LC</v>
          </cell>
          <cell r="F6906" t="str">
            <v>in Stroh et al., 2014 (from: Cheffings &amp; Farrell 2005 or subsequent amendments in Leach 2007, 2010; Leach &amp; Walker 2011, 2013)</v>
          </cell>
          <cell r="G6906" t="str">
            <v>NHMSYS0000459371</v>
          </cell>
          <cell r="H6906" t="str">
            <v>Hieracium cantianum</v>
          </cell>
        </row>
        <row r="6907">
          <cell r="A6907" t="str">
            <v>Hieracium cerinthiforme </v>
          </cell>
          <cell r="B6907" t="str">
            <v>Vascular plants</v>
          </cell>
          <cell r="C6907" t="str">
            <v>Tracheophyta</v>
          </cell>
          <cell r="D6907" t="str">
            <v>Hieracium cerinthiforme</v>
          </cell>
          <cell r="E6907" t="str">
            <v>LC</v>
          </cell>
          <cell r="F6907" t="str">
            <v>in Stroh et al., 2014 (from: Cheffings &amp; Farrell 2005 or subsequent amendments in Leach 2007, 2010; Leach &amp; Walker 2011, 2013)</v>
          </cell>
          <cell r="G6907" t="str">
            <v>NHMSYS0020755106</v>
          </cell>
          <cell r="H6907" t="str">
            <v>Hieracium cerinthiforme </v>
          </cell>
        </row>
        <row r="6908">
          <cell r="A6908" t="str">
            <v>Hieracium cinderella </v>
          </cell>
          <cell r="B6908" t="str">
            <v>Vascular plants</v>
          </cell>
          <cell r="C6908" t="str">
            <v>Tracheophyta</v>
          </cell>
          <cell r="D6908" t="str">
            <v>Hieracium cinderella</v>
          </cell>
          <cell r="E6908" t="str">
            <v>LC</v>
          </cell>
          <cell r="F6908" t="str">
            <v>in Stroh et al., 2014 (from: Cheffings &amp; Farrell 2005 or subsequent amendments in Leach 2007, 2010; Leach &amp; Walker 2011, 2013)</v>
          </cell>
          <cell r="G6908" t="str">
            <v>NHMSYS0000840926</v>
          </cell>
          <cell r="H6908" t="str">
            <v>Hieracium cinderella </v>
          </cell>
        </row>
        <row r="6909">
          <cell r="A6909" t="str">
            <v>Hieracium clivicola</v>
          </cell>
          <cell r="B6909" t="str">
            <v>Vascular plants</v>
          </cell>
          <cell r="C6909" t="str">
            <v>Tracheophyta</v>
          </cell>
          <cell r="D6909" t="str">
            <v>Hieracium clivicola</v>
          </cell>
          <cell r="E6909" t="str">
            <v>LC</v>
          </cell>
          <cell r="F6909" t="str">
            <v>in Stroh et al., 2014 (from: Cheffings &amp; Farrell 2005 or subsequent amendments in Leach 2007, 2010; Leach &amp; Walker 2011, 2013)</v>
          </cell>
          <cell r="G6909" t="str">
            <v>NHMSYS0000459528</v>
          </cell>
          <cell r="H6909" t="str">
            <v>Hieracium clivicola</v>
          </cell>
        </row>
        <row r="6910">
          <cell r="A6910" t="str">
            <v>Hieracium coniops auct. Angl.</v>
          </cell>
          <cell r="B6910" t="str">
            <v>Vascular plants</v>
          </cell>
          <cell r="C6910" t="str">
            <v>Tracheophyta</v>
          </cell>
          <cell r="D6910" t="str">
            <v>Hieracium coniops</v>
          </cell>
          <cell r="E6910" t="str">
            <v>LC</v>
          </cell>
          <cell r="F6910" t="str">
            <v>in Stroh et al., 2014 (from: Cheffings &amp; Farrell 2005 or subsequent amendments in Leach 2007, 2010; Leach &amp; Walker 2011, 2013)</v>
          </cell>
          <cell r="G6910" t="str">
            <v>NHMSYS0021118713</v>
          </cell>
          <cell r="H6910" t="str">
            <v>Hieracium coniops auct. Angl.</v>
          </cell>
        </row>
        <row r="6911">
          <cell r="A6911" t="str">
            <v>Hieracium consociatum </v>
          </cell>
          <cell r="B6911" t="str">
            <v>Vascular plants</v>
          </cell>
          <cell r="C6911" t="str">
            <v>Tracheophyta</v>
          </cell>
          <cell r="D6911" t="str">
            <v>Hieracium consociatum</v>
          </cell>
          <cell r="E6911" t="str">
            <v>LC</v>
          </cell>
          <cell r="F6911" t="str">
            <v>in Stroh et al., 2014 (from: Cheffings &amp; Farrell 2005 or subsequent amendments in Leach 2007, 2010; Leach &amp; Walker 2011, 2013)</v>
          </cell>
          <cell r="G6911" t="str">
            <v>NHMSYS0020755107</v>
          </cell>
          <cell r="H6911" t="str">
            <v>Hieracium consociatum </v>
          </cell>
        </row>
        <row r="6912">
          <cell r="A6912" t="str">
            <v>Hieracium cravoniense </v>
          </cell>
          <cell r="B6912" t="str">
            <v>Vascular plants</v>
          </cell>
          <cell r="C6912" t="str">
            <v>Tracheophyta</v>
          </cell>
          <cell r="D6912" t="str">
            <v>Hieracium cravoniense</v>
          </cell>
          <cell r="E6912" t="str">
            <v>LC</v>
          </cell>
          <cell r="F6912" t="str">
            <v>in Stroh et al., 2014 (from: Cheffings &amp; Farrell 2005 or subsequent amendments in Leach 2007, 2010; Leach &amp; Walker 2011, 2013)</v>
          </cell>
          <cell r="G6912" t="str">
            <v>NHMSYS0000459392</v>
          </cell>
          <cell r="H6912" t="str">
            <v>Hieracium cravoniense </v>
          </cell>
        </row>
        <row r="6913">
          <cell r="A6913" t="str">
            <v>Hieracium crebridens</v>
          </cell>
          <cell r="B6913" t="str">
            <v>Vascular plants</v>
          </cell>
          <cell r="C6913" t="str">
            <v>Tracheophyta</v>
          </cell>
          <cell r="D6913" t="str">
            <v>Hieracium crebridens</v>
          </cell>
          <cell r="E6913" t="str">
            <v>VU</v>
          </cell>
          <cell r="F6913" t="str">
            <v>in Stroh et al., 2014 (from: Cheffings &amp; Farrell 2005 or subsequent amendments in Leach 2007, 2010; Leach &amp; Walker 2011, 2013)</v>
          </cell>
          <cell r="G6913" t="str">
            <v>NHMSYS0000840914</v>
          </cell>
          <cell r="H6913" t="str">
            <v>Hieracium crebridens</v>
          </cell>
        </row>
        <row r="6914">
          <cell r="A6914" t="str">
            <v>Hieracium crebridentiforme</v>
          </cell>
          <cell r="B6914" t="str">
            <v>Vascular plants</v>
          </cell>
          <cell r="C6914" t="str">
            <v>Tracheophyta</v>
          </cell>
          <cell r="D6914" t="str">
            <v>Hieracium crebridentiforme</v>
          </cell>
          <cell r="E6914" t="str">
            <v>LC</v>
          </cell>
          <cell r="F6914" t="str">
            <v>in Stroh et al., 2014 (from: Cheffings &amp; Farrell 2005 or subsequent amendments in Leach 2007, 2010; Leach &amp; Walker 2011, 2013)</v>
          </cell>
          <cell r="G6914" t="str">
            <v>NHMSYS0000840914</v>
          </cell>
          <cell r="H6914" t="str">
            <v>Hieracium crebridentiforme</v>
          </cell>
        </row>
        <row r="6915">
          <cell r="A6915" t="str">
            <v>Hieracium crinellum </v>
          </cell>
          <cell r="B6915" t="str">
            <v>Vascular plants</v>
          </cell>
          <cell r="C6915" t="str">
            <v>Tracheophyta</v>
          </cell>
          <cell r="D6915" t="str">
            <v>Hieracium crinellum</v>
          </cell>
          <cell r="E6915" t="str">
            <v>LC</v>
          </cell>
          <cell r="F6915" t="str">
            <v>in Stroh et al., 2014 (from: Cheffings &amp; Farrell 2005 or subsequent amendments in Leach 2007, 2010; Leach &amp; Walker 2011, 2013)</v>
          </cell>
          <cell r="G6915" t="str">
            <v>NHMSYS0020755108</v>
          </cell>
          <cell r="H6915" t="str">
            <v>Hieracium crinellum </v>
          </cell>
        </row>
        <row r="6916">
          <cell r="A6916" t="str">
            <v>Hieracium cuneifrons </v>
          </cell>
          <cell r="B6916" t="str">
            <v>Vascular plants</v>
          </cell>
          <cell r="C6916" t="str">
            <v>Tracheophyta</v>
          </cell>
          <cell r="D6916" t="str">
            <v>Hieracium cuneifrons</v>
          </cell>
          <cell r="E6916" t="str">
            <v>EN</v>
          </cell>
          <cell r="F6916" t="str">
            <v>in Stroh et al., 2014 (from: Cheffings &amp; Farrell 2005 or subsequent amendments in Leach 2007, 2010; Leach &amp; Walker 2011, 2013)</v>
          </cell>
          <cell r="G6916" t="str">
            <v>NHMSYS0000459397</v>
          </cell>
          <cell r="H6916" t="str">
            <v>Hieracium cuneifrons </v>
          </cell>
        </row>
        <row r="6917">
          <cell r="A6917" t="str">
            <v>Hieracium cyathis</v>
          </cell>
          <cell r="B6917" t="str">
            <v>Vascular plants</v>
          </cell>
          <cell r="C6917" t="str">
            <v>Tracheophyta</v>
          </cell>
          <cell r="D6917" t="str">
            <v>Hieracium cyathis</v>
          </cell>
          <cell r="E6917" t="str">
            <v>NT</v>
          </cell>
          <cell r="F6917" t="str">
            <v>in Stroh et al., 2014 (from: Cheffings &amp; Farrell 2005 or subsequent amendments in Leach 2007, 2010; Leach &amp; Walker 2011, 2013)</v>
          </cell>
          <cell r="G6917" t="str">
            <v>NHMSYS0000459400</v>
          </cell>
          <cell r="H6917" t="str">
            <v>Hieracium cyathis</v>
          </cell>
        </row>
        <row r="6918">
          <cell r="A6918" t="str">
            <v>Hieracium cymbifolium </v>
          </cell>
          <cell r="B6918" t="str">
            <v>Vascular plants</v>
          </cell>
          <cell r="C6918" t="str">
            <v>Tracheophyta</v>
          </cell>
          <cell r="D6918" t="str">
            <v>Hieracium cymbifolium</v>
          </cell>
          <cell r="E6918" t="str">
            <v>LC</v>
          </cell>
          <cell r="F6918" t="str">
            <v>in Stroh et al., 2014 (from: Cheffings &amp; Farrell 2005 or subsequent amendments in Leach 2007, 2010; Leach &amp; Walker 2011, 2013)</v>
          </cell>
          <cell r="G6918" t="str">
            <v>NHMSYS0000459401</v>
          </cell>
          <cell r="H6918" t="str">
            <v>Hieracium cymbifolium </v>
          </cell>
        </row>
        <row r="6919">
          <cell r="A6919" t="str">
            <v>Hieracium daedalolepioides </v>
          </cell>
          <cell r="B6919" t="str">
            <v>Vascular plants</v>
          </cell>
          <cell r="C6919" t="str">
            <v>Tracheophyta</v>
          </cell>
          <cell r="D6919" t="str">
            <v>Hieracium daedalolepioides</v>
          </cell>
          <cell r="E6919" t="str">
            <v>LC</v>
          </cell>
          <cell r="F6919" t="str">
            <v>in Stroh et al., 2014 (from: Cheffings &amp; Farrell 2005 or subsequent amendments in Leach 2007, 2010; Leach &amp; Walker 2011, 2013)</v>
          </cell>
          <cell r="G6919" t="str">
            <v>NHMSYS0000459407</v>
          </cell>
          <cell r="H6919" t="str">
            <v>Hieracium daedalolepioides </v>
          </cell>
        </row>
        <row r="6920">
          <cell r="A6920" t="str">
            <v>Hieracium decolor</v>
          </cell>
          <cell r="B6920" t="str">
            <v>Vascular plants</v>
          </cell>
          <cell r="C6920" t="str">
            <v>Tracheophyta</v>
          </cell>
          <cell r="D6920" t="str">
            <v>Hieracium decolor</v>
          </cell>
          <cell r="E6920" t="str">
            <v>LC</v>
          </cell>
          <cell r="F6920" t="str">
            <v>in Stroh et al., 2014 (from: Cheffings &amp; Farrell 2005 or subsequent amendments in Leach 2007, 2010; Leach &amp; Walker 2011, 2013)</v>
          </cell>
          <cell r="G6920" t="str">
            <v>NHMSYS0000459403</v>
          </cell>
          <cell r="H6920" t="str">
            <v>Hieracium decolor</v>
          </cell>
        </row>
        <row r="6921">
          <cell r="A6921" t="str">
            <v>Hieracium deganwyense </v>
          </cell>
          <cell r="B6921" t="str">
            <v>Vascular plants</v>
          </cell>
          <cell r="C6921" t="str">
            <v>Tracheophyta</v>
          </cell>
          <cell r="D6921" t="str">
            <v>Hieracium deganwyense</v>
          </cell>
          <cell r="E6921" t="str">
            <v>LC</v>
          </cell>
          <cell r="F6921" t="str">
            <v>in Stroh et al., 2014 (from: Cheffings &amp; Farrell 2005 or subsequent amendments in Leach 2007, 2010; Leach &amp; Walker 2011, 2013)</v>
          </cell>
          <cell r="G6921" t="str">
            <v>NHMSYS0020755110</v>
          </cell>
          <cell r="H6921" t="str">
            <v>Hieracium deganwyense </v>
          </cell>
        </row>
        <row r="6922">
          <cell r="A6922" t="str">
            <v>Hieracium dentulum</v>
          </cell>
          <cell r="B6922" t="str">
            <v>Vascular plants</v>
          </cell>
          <cell r="C6922" t="str">
            <v>Tracheophyta</v>
          </cell>
          <cell r="D6922" t="str">
            <v>Hieracium dentulum</v>
          </cell>
          <cell r="E6922" t="str">
            <v>NT</v>
          </cell>
          <cell r="F6922" t="str">
            <v>in Stroh et al., 2014 (from: Cheffings &amp; Farrell 2005 or subsequent amendments in Leach 2007, 2010; Leach &amp; Walker 2011, 2013)</v>
          </cell>
          <cell r="G6922" t="str">
            <v>NHMSYS0020755111</v>
          </cell>
          <cell r="H6922" t="str">
            <v>Hieracium dentulum</v>
          </cell>
        </row>
        <row r="6923">
          <cell r="A6923" t="str">
            <v>Hieracium diaphanoides </v>
          </cell>
          <cell r="B6923" t="str">
            <v>Vascular plants</v>
          </cell>
          <cell r="C6923" t="str">
            <v>Tracheophyta</v>
          </cell>
          <cell r="D6923" t="str">
            <v>Hieracium diaphanoides</v>
          </cell>
          <cell r="E6923" t="str">
            <v>LC</v>
          </cell>
          <cell r="F6923" t="str">
            <v>in Stroh et al., 2014 (from: Cheffings &amp; Farrell 2005 or subsequent amendments in Leach 2007, 2010; Leach &amp; Walker 2011, 2013)</v>
          </cell>
          <cell r="G6923" t="str">
            <v>NHMSYS0000840856</v>
          </cell>
          <cell r="H6923" t="str">
            <v>Hieracium diaphanoides </v>
          </cell>
        </row>
        <row r="6924">
          <cell r="A6924" t="str">
            <v>Hieracium dicella </v>
          </cell>
          <cell r="B6924" t="str">
            <v>Vascular plants</v>
          </cell>
          <cell r="C6924" t="str">
            <v>Tracheophyta</v>
          </cell>
          <cell r="D6924" t="str">
            <v>Hieracium dicella</v>
          </cell>
          <cell r="E6924" t="str">
            <v>LC</v>
          </cell>
          <cell r="F6924" t="str">
            <v>in Stroh et al., 2014 (from: Cheffings &amp; Farrell 2005 or subsequent amendments in Leach 2007, 2010; Leach &amp; Walker 2011, 2013)</v>
          </cell>
          <cell r="G6924" t="str">
            <v>NHMSYS0000459408</v>
          </cell>
          <cell r="H6924" t="str">
            <v>Hieracium dicella </v>
          </cell>
        </row>
        <row r="6925">
          <cell r="A6925" t="str">
            <v>Hieracium dowardense</v>
          </cell>
          <cell r="B6925" t="str">
            <v>Vascular plants</v>
          </cell>
          <cell r="C6925" t="str">
            <v>Tracheophyta</v>
          </cell>
          <cell r="D6925" t="str">
            <v>Hieracium dowardense</v>
          </cell>
          <cell r="E6925" t="str">
            <v>EN</v>
          </cell>
          <cell r="F6925" t="str">
            <v>in Stroh et al., 2014 (from: Cheffings &amp; Farrell 2005 or subsequent amendments in Leach 2007, 2010; Leach &amp; Walker 2011, 2013)</v>
          </cell>
          <cell r="G6925" t="str">
            <v>NHMSYS0020442365</v>
          </cell>
          <cell r="H6925" t="str">
            <v>Hieracium dowardense</v>
          </cell>
        </row>
        <row r="6926">
          <cell r="A6926" t="str">
            <v>Hieracium duriceps </v>
          </cell>
          <cell r="B6926" t="str">
            <v>Vascular plants</v>
          </cell>
          <cell r="C6926" t="str">
            <v>Tracheophyta</v>
          </cell>
          <cell r="D6926" t="str">
            <v>Hieracium duriceps</v>
          </cell>
          <cell r="E6926" t="str">
            <v>LC</v>
          </cell>
          <cell r="F6926" t="str">
            <v>in Stroh et al., 2014 (from: Cheffings &amp; Farrell 2005 or subsequent amendments in Leach 2007, 2010; Leach &amp; Walker 2011, 2013)</v>
          </cell>
          <cell r="G6926" t="str">
            <v>NHMSYS0000459418</v>
          </cell>
          <cell r="H6926" t="str">
            <v>Hieracium duriceps </v>
          </cell>
        </row>
        <row r="6927">
          <cell r="A6927" t="str">
            <v>Hieracium eboracense </v>
          </cell>
          <cell r="B6927" t="str">
            <v>Vascular plants</v>
          </cell>
          <cell r="C6927" t="str">
            <v>Tracheophyta</v>
          </cell>
          <cell r="D6927" t="str">
            <v>Hieracium eboracense</v>
          </cell>
          <cell r="E6927" t="str">
            <v>LC</v>
          </cell>
          <cell r="F6927" t="str">
            <v>in Stroh et al., 2014 (from: Cheffings &amp; Farrell 2005 or subsequent amendments in Leach 2007, 2010; Leach &amp; Walker 2011, 2013)</v>
          </cell>
          <cell r="G6927" t="str">
            <v>NHMSYS0000840778</v>
          </cell>
          <cell r="H6927" t="str">
            <v>Hieracium eboracense </v>
          </cell>
        </row>
        <row r="6928">
          <cell r="A6928" t="str">
            <v>Hieracium eminentiforme</v>
          </cell>
          <cell r="B6928" t="str">
            <v>Vascular plants</v>
          </cell>
          <cell r="C6928" t="str">
            <v>Tracheophyta</v>
          </cell>
          <cell r="D6928" t="str">
            <v>Hieracium eminentiforme</v>
          </cell>
          <cell r="E6928" t="str">
            <v>EN</v>
          </cell>
          <cell r="F6928" t="str">
            <v>in Stroh et al., 2014 (from: Cheffings &amp; Farrell 2005 or subsequent amendments in Leach 2007, 2010; Leach &amp; Walker 2011, 2013)</v>
          </cell>
          <cell r="G6928" t="str">
            <v>NHMSYS0000857318</v>
          </cell>
          <cell r="H6928" t="str">
            <v>Hieracium eminentiforme</v>
          </cell>
        </row>
        <row r="6929">
          <cell r="A6929" t="str">
            <v>Hieracium eustomon</v>
          </cell>
          <cell r="B6929" t="str">
            <v>Vascular plants</v>
          </cell>
          <cell r="C6929" t="str">
            <v>Tracheophyta</v>
          </cell>
          <cell r="D6929" t="str">
            <v>Hieracium eustomon</v>
          </cell>
          <cell r="E6929" t="str">
            <v>VU</v>
          </cell>
          <cell r="F6929" t="str">
            <v>in Stroh et al., 2014 (from: Cheffings &amp; Farrell 2005 or subsequent amendments in Leach 2007, 2010; Leach &amp; Walker 2011, 2013)</v>
          </cell>
          <cell r="G6929" t="str">
            <v>NHMSYS0000459428</v>
          </cell>
          <cell r="H6929" t="str">
            <v>Hieracium eustomon</v>
          </cell>
        </row>
        <row r="6930">
          <cell r="A6930" t="str">
            <v>Hieracium flocculosum </v>
          </cell>
          <cell r="B6930" t="str">
            <v>Vascular plants</v>
          </cell>
          <cell r="C6930" t="str">
            <v>Tracheophyta</v>
          </cell>
          <cell r="D6930" t="str">
            <v>Hieracium flocculosum</v>
          </cell>
          <cell r="E6930" t="str">
            <v>LC</v>
          </cell>
          <cell r="F6930" t="str">
            <v>in Stroh et al., 2014 (from: Cheffings &amp; Farrell 2005 or subsequent amendments in Leach 2007, 2010; Leach &amp; Walker 2011, 2013)</v>
          </cell>
          <cell r="G6930" t="str">
            <v>NHMSYS0000459436</v>
          </cell>
          <cell r="H6930" t="str">
            <v>Hieracium flocculosum </v>
          </cell>
        </row>
        <row r="6931">
          <cell r="A6931" t="str">
            <v>Hieracium glevense</v>
          </cell>
          <cell r="B6931" t="str">
            <v>Vascular plants</v>
          </cell>
          <cell r="C6931" t="str">
            <v>Tracheophyta</v>
          </cell>
          <cell r="D6931" t="str">
            <v>Hieracium glevense</v>
          </cell>
          <cell r="E6931" t="str">
            <v>LC</v>
          </cell>
          <cell r="F6931" t="str">
            <v>in Stroh et al., 2014 (from: Cheffings &amp; Farrell 2005 or subsequent amendments in Leach 2007, 2010; Leach &amp; Walker 2011, 2013)</v>
          </cell>
          <cell r="G6931" t="str">
            <v>NHMSYS0000459648</v>
          </cell>
          <cell r="H6931" t="str">
            <v>Hieracium glevense</v>
          </cell>
        </row>
        <row r="6932">
          <cell r="A6932" t="str">
            <v>Hieracium holophyllum </v>
          </cell>
          <cell r="B6932" t="str">
            <v>Vascular plants</v>
          </cell>
          <cell r="C6932" t="str">
            <v>Tracheophyta</v>
          </cell>
          <cell r="D6932" t="str">
            <v>Hieracium holophyllum</v>
          </cell>
          <cell r="E6932" t="str">
            <v>NT</v>
          </cell>
          <cell r="F6932" t="str">
            <v>in Stroh et al., 2014 (from: Cheffings &amp; Farrell 2005 or subsequent amendments in Leach 2007, 2010; Leach &amp; Walker 2011, 2013)</v>
          </cell>
          <cell r="G6932" t="str">
            <v>NHMSYS0000459459</v>
          </cell>
          <cell r="H6932" t="str">
            <v>Hieracium holophyllum </v>
          </cell>
        </row>
        <row r="6933">
          <cell r="A6933" t="str">
            <v>Hieracium holosericeum </v>
          </cell>
          <cell r="B6933" t="str">
            <v>Vascular plants</v>
          </cell>
          <cell r="C6933" t="str">
            <v>Tracheophyta</v>
          </cell>
          <cell r="D6933" t="str">
            <v>Hieracium holosericeum</v>
          </cell>
          <cell r="E6933" t="str">
            <v>LC</v>
          </cell>
          <cell r="F6933" t="str">
            <v>in Stroh et al., 2014 (from: Cheffings &amp; Farrell 2005 or subsequent amendments in Leach 2007, 2010; Leach &amp; Walker 2011, 2013)</v>
          </cell>
          <cell r="G6933" t="str">
            <v>NHMSYS0000459460</v>
          </cell>
          <cell r="H6933" t="str">
            <v>Hieracium holosericeum </v>
          </cell>
        </row>
        <row r="6934">
          <cell r="A6934" t="str">
            <v>Hieracium hypochaeroides </v>
          </cell>
          <cell r="B6934" t="str">
            <v>Vascular plants</v>
          </cell>
          <cell r="C6934" t="str">
            <v>Tracheophyta</v>
          </cell>
          <cell r="D6934" t="str">
            <v>Hieracium hypochaeroides</v>
          </cell>
          <cell r="E6934" t="str">
            <v>LC</v>
          </cell>
          <cell r="F6934" t="str">
            <v>in Stroh et al., 2014 (from: Cheffings &amp; Farrell 2005 or subsequent amendments in Leach 2007, 2010; Leach &amp; Walker 2011, 2013)</v>
          </cell>
          <cell r="G6934" t="str">
            <v>NHMSYS0000840909</v>
          </cell>
          <cell r="H6934" t="str">
            <v>Hieracium hypochaeroides </v>
          </cell>
        </row>
        <row r="6935">
          <cell r="A6935" t="str">
            <v>Hieracium inaequilaterum</v>
          </cell>
          <cell r="B6935" t="str">
            <v>Vascular plants</v>
          </cell>
          <cell r="C6935" t="str">
            <v>Tracheophyta</v>
          </cell>
          <cell r="D6935" t="str">
            <v>Hieracium inaequilaterum</v>
          </cell>
          <cell r="E6935" t="str">
            <v>VU</v>
          </cell>
          <cell r="F6935" t="str">
            <v>in Stroh et al., 2014 (from: Cheffings &amp; Farrell 2005 or subsequent amendments in Leach 2007, 2010; Leach &amp; Walker 2011, 2013)</v>
          </cell>
          <cell r="G6935" t="str">
            <v>NHMSYS0020755118</v>
          </cell>
          <cell r="H6935" t="str">
            <v>Hieracium inaequilaterum</v>
          </cell>
        </row>
        <row r="6936">
          <cell r="A6936" t="str">
            <v>Hieracium integratum</v>
          </cell>
          <cell r="B6936" t="str">
            <v>Vascular plants</v>
          </cell>
          <cell r="C6936" t="str">
            <v>Tracheophyta</v>
          </cell>
          <cell r="D6936" t="str">
            <v>Hieracium integratum</v>
          </cell>
          <cell r="E6936" t="str">
            <v>EN</v>
          </cell>
          <cell r="F6936" t="str">
            <v>in Stroh et al., 2014 (from: Cheffings &amp; Farrell 2005 or subsequent amendments in Leach 2007, 2010; Leach &amp; Walker 2011, 2013)</v>
          </cell>
          <cell r="G6936" t="str">
            <v>NHMSYS0000459465</v>
          </cell>
          <cell r="H6936" t="str">
            <v>Hieracium integratum</v>
          </cell>
        </row>
        <row r="6937">
          <cell r="A6937" t="str">
            <v>Hieracium iricum </v>
          </cell>
          <cell r="B6937" t="str">
            <v>Vascular plants</v>
          </cell>
          <cell r="C6937" t="str">
            <v>Tracheophyta</v>
          </cell>
          <cell r="D6937" t="str">
            <v>Hieracium iricum</v>
          </cell>
          <cell r="E6937" t="str">
            <v>LC</v>
          </cell>
          <cell r="F6937" t="str">
            <v>in Stroh et al., 2014 (from: Cheffings &amp; Farrell 2005 or subsequent amendments in Leach 2007, 2010; Leach &amp; Walker 2011, 2013)</v>
          </cell>
          <cell r="G6937" t="str">
            <v>NHMSYS0000459468</v>
          </cell>
          <cell r="H6937" t="str">
            <v>Hieracium iricum </v>
          </cell>
        </row>
        <row r="6938">
          <cell r="A6938" t="str">
            <v>Hieracium itunense</v>
          </cell>
          <cell r="B6938" t="str">
            <v>Vascular plants</v>
          </cell>
          <cell r="C6938" t="str">
            <v>Tracheophyta</v>
          </cell>
          <cell r="D6938" t="str">
            <v>Hieracium itunense</v>
          </cell>
          <cell r="E6938" t="str">
            <v>CR</v>
          </cell>
          <cell r="F6938" t="str">
            <v>in Stroh et al., 2014 (from: Cheffings &amp; Farrell 2005 or subsequent amendments in Leach 2007, 2010; Leach &amp; Walker 2011, 2013)</v>
          </cell>
          <cell r="G6938" t="str">
            <v>NHMSYS0000840708</v>
          </cell>
          <cell r="H6938" t="str">
            <v>Hieracium itunense</v>
          </cell>
        </row>
        <row r="6939">
          <cell r="A6939" t="str">
            <v>Hieracium jaculifolium</v>
          </cell>
          <cell r="B6939" t="str">
            <v>Vascular plants</v>
          </cell>
          <cell r="C6939" t="str">
            <v>Tracheophyta</v>
          </cell>
          <cell r="D6939" t="str">
            <v>Hieracium jaculifolium</v>
          </cell>
          <cell r="E6939" t="str">
            <v>NT</v>
          </cell>
          <cell r="F6939" t="str">
            <v>in Stroh et al., 2014 (from: Cheffings &amp; Farrell 2005 or subsequent amendments in Leach 2007, 2010; Leach &amp; Walker 2011, 2013)</v>
          </cell>
          <cell r="G6939" t="str">
            <v>NHMSYS0020442375</v>
          </cell>
          <cell r="H6939" t="str">
            <v>Hieracium jaculifolium</v>
          </cell>
        </row>
        <row r="6940">
          <cell r="A6940" t="str">
            <v>Hieracium kentii</v>
          </cell>
          <cell r="B6940" t="str">
            <v>Vascular plants</v>
          </cell>
          <cell r="C6940" t="str">
            <v>Tracheophyta</v>
          </cell>
          <cell r="D6940" t="str">
            <v>Hieracium kentii</v>
          </cell>
          <cell r="E6940" t="str">
            <v>LC</v>
          </cell>
          <cell r="F6940" t="str">
            <v>in Stroh et al., 2014 (from: Cheffings &amp; Farrell 2005 or subsequent amendments in Leach 2007, 2010; Leach &amp; Walker 2011, 2013)</v>
          </cell>
          <cell r="G6940" t="str">
            <v>NHMSYS0000459472</v>
          </cell>
          <cell r="H6940" t="str">
            <v>Hieracium kentii</v>
          </cell>
        </row>
        <row r="6941">
          <cell r="A6941" t="str">
            <v>Hieracium lakelandicum</v>
          </cell>
          <cell r="B6941" t="str">
            <v>Vascular plants</v>
          </cell>
          <cell r="C6941" t="str">
            <v>Tracheophyta</v>
          </cell>
          <cell r="D6941" t="str">
            <v>Hieracium lakelandicum</v>
          </cell>
          <cell r="E6941" t="str">
            <v>VU</v>
          </cell>
          <cell r="F6941" t="str">
            <v>in Stroh et al., 2014 (from: Cheffings &amp; Farrell 2005 or subsequent amendments in Leach 2007, 2010; Leach &amp; Walker 2011, 2013)</v>
          </cell>
          <cell r="G6941" t="str">
            <v>NHMSYS0020755120</v>
          </cell>
          <cell r="H6941" t="str">
            <v>Hieracium lakelandicum</v>
          </cell>
        </row>
        <row r="6942">
          <cell r="A6942" t="str">
            <v>Hieracium lasiophyllum </v>
          </cell>
          <cell r="B6942" t="str">
            <v>Vascular plants</v>
          </cell>
          <cell r="C6942" t="str">
            <v>Tracheophyta</v>
          </cell>
          <cell r="D6942" t="str">
            <v>Hieracium lasiophyllum</v>
          </cell>
          <cell r="E6942" t="str">
            <v>LC</v>
          </cell>
          <cell r="F6942" t="str">
            <v>in Stroh et al., 2014 (from: Cheffings &amp; Farrell 2005 or subsequent amendments in Leach 2007, 2010; Leach &amp; Walker 2011, 2013)</v>
          </cell>
          <cell r="G6942" t="str">
            <v>NHMSYS0000459480</v>
          </cell>
          <cell r="H6942" t="str">
            <v>Hieracium lasiophyllum </v>
          </cell>
        </row>
        <row r="6943">
          <cell r="A6943" t="str">
            <v>Hieracium latobrigorum </v>
          </cell>
          <cell r="B6943" t="str">
            <v>Vascular plants</v>
          </cell>
          <cell r="C6943" t="str">
            <v>Tracheophyta</v>
          </cell>
          <cell r="D6943" t="str">
            <v>Hieracium latobrigorum</v>
          </cell>
          <cell r="E6943" t="str">
            <v>LC</v>
          </cell>
          <cell r="F6943" t="str">
            <v>in Stroh et al., 2014 (from: Cheffings &amp; Farrell 2005 or subsequent amendments in Leach 2007, 2010; Leach &amp; Walker 2011, 2013)</v>
          </cell>
          <cell r="G6943" t="str">
            <v>NHMSYS0000840779</v>
          </cell>
          <cell r="H6943" t="str">
            <v>Hieracium latobrigorum </v>
          </cell>
        </row>
        <row r="6944">
          <cell r="A6944" t="str">
            <v>Hieracium leyanum</v>
          </cell>
          <cell r="B6944" t="str">
            <v>Vascular plants</v>
          </cell>
          <cell r="C6944" t="str">
            <v>Tracheophyta</v>
          </cell>
          <cell r="D6944" t="str">
            <v>Hieracium leyanum</v>
          </cell>
          <cell r="E6944" t="str">
            <v>VU</v>
          </cell>
          <cell r="F6944" t="str">
            <v>in Stroh et al., 2014 (from: Cheffings &amp; Farrell 2005 or subsequent amendments in Leach 2007, 2010; Leach &amp; Walker 2011, 2013)</v>
          </cell>
          <cell r="G6944" t="str">
            <v>NHMSYS0000840993</v>
          </cell>
          <cell r="H6944" t="str">
            <v>Hieracium leyanum</v>
          </cell>
        </row>
        <row r="6945">
          <cell r="A6945" t="str">
            <v>Hieracium leyi </v>
          </cell>
          <cell r="B6945" t="str">
            <v>Vascular plants</v>
          </cell>
          <cell r="C6945" t="str">
            <v>Tracheophyta</v>
          </cell>
          <cell r="D6945" t="str">
            <v>Hieracium leyi</v>
          </cell>
          <cell r="E6945" t="str">
            <v>LC</v>
          </cell>
          <cell r="F6945" t="str">
            <v>in Stroh et al., 2014 (from: Cheffings &amp; Farrell 2005 or subsequent amendments in Leach 2007, 2010; Leach &amp; Walker 2011, 2013)</v>
          </cell>
          <cell r="G6945" t="str">
            <v>NHMSYS0000459485</v>
          </cell>
          <cell r="H6945" t="str">
            <v>Hieracium leyi </v>
          </cell>
        </row>
        <row r="6946">
          <cell r="A6946" t="str">
            <v>Hieracium lintonii </v>
          </cell>
          <cell r="B6946" t="str">
            <v>Vascular plants</v>
          </cell>
          <cell r="C6946" t="str">
            <v>Tracheophyta</v>
          </cell>
          <cell r="D6946" t="str">
            <v>Hieracium lintonii</v>
          </cell>
          <cell r="E6946" t="str">
            <v>LC</v>
          </cell>
          <cell r="F6946" t="str">
            <v>in Stroh et al., 2014 (from: Cheffings &amp; Farrell 2005 or subsequent amendments in Leach 2007, 2010; Leach &amp; Walker 2011, 2013)</v>
          </cell>
          <cell r="G6946" t="str">
            <v>NHMSYS0000459590</v>
          </cell>
          <cell r="H6946" t="str">
            <v>Hieracium lintonii </v>
          </cell>
        </row>
        <row r="6947">
          <cell r="A6947" t="str">
            <v>Hieracium lissolepium </v>
          </cell>
          <cell r="B6947" t="str">
            <v>Vascular plants</v>
          </cell>
          <cell r="C6947" t="str">
            <v>Tracheophyta</v>
          </cell>
          <cell r="D6947" t="str">
            <v>Hieracium lissolepium</v>
          </cell>
          <cell r="E6947" t="str">
            <v>LC</v>
          </cell>
          <cell r="F6947" t="str">
            <v>in Stroh et al., 2014 (from: Cheffings &amp; Farrell 2005 or subsequent amendments in Leach 2007, 2010; Leach &amp; Walker 2011, 2013)</v>
          </cell>
          <cell r="G6947" t="str">
            <v>NHMSYS0000840968</v>
          </cell>
          <cell r="H6947" t="str">
            <v>Hieracium lissolepium </v>
          </cell>
        </row>
        <row r="6948">
          <cell r="A6948" t="str">
            <v>Hieracium lortetiae</v>
          </cell>
          <cell r="B6948" t="str">
            <v>Vascular plants</v>
          </cell>
          <cell r="C6948" t="str">
            <v>Tracheophyta</v>
          </cell>
          <cell r="D6948" t="str">
            <v>Hieracium lortetiae</v>
          </cell>
          <cell r="E6948" t="str">
            <v>VU</v>
          </cell>
          <cell r="F6948" t="str">
            <v>in Stroh et al., 2014 (from: Cheffings &amp; Farrell 2005 or subsequent amendments in Leach 2007, 2010; Leach &amp; Walker 2011, 2013)</v>
          </cell>
          <cell r="G6948" t="str">
            <v>NHMSYS0020442380</v>
          </cell>
          <cell r="H6948" t="str">
            <v>Hieracium lortetiae</v>
          </cell>
        </row>
        <row r="6949">
          <cell r="A6949" t="str">
            <v>Hieracium maculoides</v>
          </cell>
          <cell r="B6949" t="str">
            <v>Vascular plants</v>
          </cell>
          <cell r="C6949" t="str">
            <v>Tracheophyta</v>
          </cell>
          <cell r="D6949" t="str">
            <v>Hieracium maculoides</v>
          </cell>
          <cell r="E6949" t="str">
            <v>NT</v>
          </cell>
          <cell r="F6949" t="str">
            <v>in Stroh et al., 2014 (from: Cheffings &amp; Farrell 2005 or subsequent amendments in Leach 2007, 2010; Leach &amp; Walker 2011, 2013)</v>
          </cell>
          <cell r="G6949" t="str">
            <v>NHMSYS0000459492</v>
          </cell>
          <cell r="H6949" t="str">
            <v>Hieracium maculoides</v>
          </cell>
        </row>
        <row r="6950">
          <cell r="A6950" t="str">
            <v>Hieracium mammidens</v>
          </cell>
          <cell r="B6950" t="str">
            <v>Vascular plants</v>
          </cell>
          <cell r="C6950" t="str">
            <v>Tracheophyta</v>
          </cell>
          <cell r="D6950" t="str">
            <v>Hieracium mammidens</v>
          </cell>
          <cell r="E6950" t="str">
            <v>EN</v>
          </cell>
          <cell r="F6950" t="str">
            <v>in Stroh et al., 2014 (from: Cheffings &amp; Farrell 2005 or subsequent amendments in Leach 2007, 2010; Leach &amp; Walker 2011, 2013)</v>
          </cell>
          <cell r="G6950" t="str">
            <v>NHMSYS0020442381</v>
          </cell>
          <cell r="H6950" t="str">
            <v>Hieracium mammidens</v>
          </cell>
        </row>
        <row r="6951">
          <cell r="A6951" t="str">
            <v>Hieracium mirandum </v>
          </cell>
          <cell r="B6951" t="str">
            <v>Vascular plants</v>
          </cell>
          <cell r="C6951" t="str">
            <v>Tracheophyta</v>
          </cell>
          <cell r="D6951" t="str">
            <v>Hieracium mirandum</v>
          </cell>
          <cell r="E6951" t="str">
            <v>CR</v>
          </cell>
          <cell r="F6951" t="str">
            <v>in Stroh et al., 2014 (from: Cheffings &amp; Farrell 2005 or subsequent amendments in Leach 2007, 2010; Leach &amp; Walker 2011, 2013)</v>
          </cell>
          <cell r="G6951" t="str">
            <v>NHMSYS0000459503</v>
          </cell>
          <cell r="H6951" t="str">
            <v>Hieracium mirandum </v>
          </cell>
        </row>
        <row r="6952">
          <cell r="A6952" t="str">
            <v>Hieracium naviense </v>
          </cell>
          <cell r="B6952" t="str">
            <v>Vascular plants</v>
          </cell>
          <cell r="C6952" t="str">
            <v>Tracheophyta</v>
          </cell>
          <cell r="D6952" t="str">
            <v>Hieracium naviense</v>
          </cell>
          <cell r="E6952" t="str">
            <v>CR</v>
          </cell>
          <cell r="F6952" t="str">
            <v>in Stroh et al., 2014 (from: Cheffings &amp; Farrell 2005 or subsequent amendments in Leach 2007, 2010; Leach &amp; Walker 2011, 2013)</v>
          </cell>
          <cell r="G6952" t="str">
            <v>NHMSYS0000459512</v>
          </cell>
          <cell r="H6952" t="str">
            <v>Hieracium naviense </v>
          </cell>
        </row>
        <row r="6953">
          <cell r="A6953" t="str">
            <v>Hieracium nemophilum </v>
          </cell>
          <cell r="B6953" t="str">
            <v>Vascular plants</v>
          </cell>
          <cell r="C6953" t="str">
            <v>Tracheophyta</v>
          </cell>
          <cell r="D6953" t="str">
            <v>Hieracium nemophilum</v>
          </cell>
          <cell r="E6953" t="str">
            <v>LC</v>
          </cell>
          <cell r="F6953" t="str">
            <v>in Stroh et al., 2014 (from: Cheffings &amp; Farrell 2005 or subsequent amendments in Leach 2007, 2010; Leach &amp; Walker 2011, 2013)</v>
          </cell>
          <cell r="G6953" t="str">
            <v>NHMSYS0020755122</v>
          </cell>
          <cell r="H6953" t="str">
            <v>Hieracium nemophilum </v>
          </cell>
        </row>
        <row r="6954">
          <cell r="A6954" t="str">
            <v>Hieracium oistophyllum </v>
          </cell>
          <cell r="B6954" t="str">
            <v>Vascular plants</v>
          </cell>
          <cell r="C6954" t="str">
            <v>Tracheophyta</v>
          </cell>
          <cell r="D6954" t="str">
            <v>Hieracium oistophyllum</v>
          </cell>
          <cell r="E6954" t="str">
            <v>LC</v>
          </cell>
          <cell r="F6954" t="str">
            <v>in Stroh et al., 2014 (from: Cheffings &amp; Farrell 2005 or subsequent amendments in Leach 2007, 2010; Leach &amp; Walker 2011, 2013)</v>
          </cell>
          <cell r="G6954" t="str">
            <v>NHMSYS0000840753</v>
          </cell>
          <cell r="H6954" t="str">
            <v>Hieracium oistophyllum </v>
          </cell>
        </row>
        <row r="6955">
          <cell r="A6955" t="str">
            <v>Hieracium orimeles </v>
          </cell>
          <cell r="B6955" t="str">
            <v>Vascular plants</v>
          </cell>
          <cell r="C6955" t="str">
            <v>Tracheophyta</v>
          </cell>
          <cell r="D6955" t="str">
            <v>Hieracium orimeles</v>
          </cell>
          <cell r="E6955" t="str">
            <v>LC</v>
          </cell>
          <cell r="F6955" t="str">
            <v>in Stroh et al., 2014 (from: Cheffings &amp; Farrell 2005 or subsequent amendments in Leach 2007, 2010; Leach &amp; Walker 2011, 2013)</v>
          </cell>
          <cell r="G6955" t="str">
            <v>NHMSYS0000459529</v>
          </cell>
          <cell r="H6955" t="str">
            <v>Hieracium orimeles </v>
          </cell>
        </row>
        <row r="6956">
          <cell r="A6956" t="str">
            <v>Hieracium ornatilorum</v>
          </cell>
          <cell r="B6956" t="str">
            <v>Vascular plants</v>
          </cell>
          <cell r="C6956" t="str">
            <v>Tracheophyta</v>
          </cell>
          <cell r="D6956" t="str">
            <v>Hieracium ornatilorum</v>
          </cell>
          <cell r="E6956" t="str">
            <v>VU</v>
          </cell>
          <cell r="F6956" t="str">
            <v>in Stroh et al., 2014 (from: Cheffings &amp; Farrell 2005 or subsequent amendments in Leach 2007, 2010; Leach &amp; Walker 2011, 2013)</v>
          </cell>
          <cell r="G6956" t="str">
            <v>NHMSYS0000459532</v>
          </cell>
          <cell r="H6956" t="str">
            <v>Hieracium ornatilorum</v>
          </cell>
        </row>
        <row r="6957">
          <cell r="A6957" t="str">
            <v>Hieracium oxybeles </v>
          </cell>
          <cell r="B6957" t="str">
            <v>Vascular plants</v>
          </cell>
          <cell r="C6957" t="str">
            <v>Tracheophyta</v>
          </cell>
          <cell r="D6957" t="str">
            <v>Hieracium oxybeles</v>
          </cell>
          <cell r="E6957" t="str">
            <v>LC</v>
          </cell>
          <cell r="F6957" t="str">
            <v>in Stroh et al., 2014 (from: Cheffings &amp; Farrell 2005 or subsequent amendments in Leach 2007, 2010; Leach &amp; Walker 2011, 2013)</v>
          </cell>
          <cell r="G6957" t="str">
            <v>NHMSYS0020755123</v>
          </cell>
          <cell r="H6957" t="str">
            <v>Hieracium oxybeles </v>
          </cell>
        </row>
        <row r="6958">
          <cell r="A6958" t="str">
            <v>Hieracium pachyphylloides</v>
          </cell>
          <cell r="B6958" t="str">
            <v>Vascular plants</v>
          </cell>
          <cell r="C6958" t="str">
            <v>Tracheophyta</v>
          </cell>
          <cell r="D6958" t="str">
            <v>Hieracium pachyphylloides</v>
          </cell>
          <cell r="E6958" t="str">
            <v>CR</v>
          </cell>
          <cell r="F6958" t="str">
            <v>in Stroh et al., 2014 (from: Cheffings &amp; Farrell 2005 or subsequent amendments in Leach 2007, 2010; Leach &amp; Walker 2011, 2013)</v>
          </cell>
          <cell r="G6958" t="str">
            <v>NHMSYS0000841004</v>
          </cell>
          <cell r="H6958" t="str">
            <v>Hieracium pachyphylloides</v>
          </cell>
        </row>
        <row r="6959">
          <cell r="A6959" t="str">
            <v>Hieracium peccense</v>
          </cell>
          <cell r="B6959" t="str">
            <v>Vascular plants</v>
          </cell>
          <cell r="C6959" t="str">
            <v>Tracheophyta</v>
          </cell>
          <cell r="D6959" t="str">
            <v>Hieracium peccense</v>
          </cell>
          <cell r="E6959" t="str">
            <v>VU</v>
          </cell>
          <cell r="F6959" t="str">
            <v>in Stroh et al., 2014 (from: Cheffings &amp; Farrell 2005 or subsequent amendments in Leach 2007, 2010; Leach &amp; Walker 2011, 2013)</v>
          </cell>
          <cell r="G6959" t="str">
            <v>NHMSYS0020755124</v>
          </cell>
          <cell r="H6959" t="str">
            <v>Hieracium peccense</v>
          </cell>
        </row>
        <row r="6960">
          <cell r="A6960" t="str">
            <v>Hieracium pellucidum </v>
          </cell>
          <cell r="B6960" t="str">
            <v>Vascular plants</v>
          </cell>
          <cell r="C6960" t="str">
            <v>Tracheophyta</v>
          </cell>
          <cell r="D6960" t="str">
            <v>Hieracium pellucidum</v>
          </cell>
          <cell r="E6960" t="str">
            <v>LC</v>
          </cell>
          <cell r="F6960" t="str">
            <v>in Stroh et al., 2014 (from: Cheffings &amp; Farrell 2005 or subsequent amendments in Leach 2007, 2010; Leach &amp; Walker 2011, 2013)</v>
          </cell>
          <cell r="G6960" t="str">
            <v>NHMSYS0000840719</v>
          </cell>
          <cell r="H6960" t="str">
            <v>Hieracium pellucidum </v>
          </cell>
        </row>
        <row r="6961">
          <cell r="A6961" t="str">
            <v>Hieracium peroblongum</v>
          </cell>
          <cell r="B6961" t="str">
            <v>Vascular plants</v>
          </cell>
          <cell r="C6961" t="str">
            <v>Tracheophyta</v>
          </cell>
          <cell r="D6961" t="str">
            <v>Hieracium peroblongum</v>
          </cell>
          <cell r="E6961" t="str">
            <v>VU</v>
          </cell>
          <cell r="F6961" t="str">
            <v>in Stroh et al., 2014 (from: Cheffings &amp; Farrell 2005 or subsequent amendments in Leach 2007, 2010; Leach &amp; Walker 2011, 2013)</v>
          </cell>
          <cell r="G6961" t="str">
            <v>NHMSYS0020442388</v>
          </cell>
          <cell r="H6961" t="str">
            <v>Hieracium peroblongum</v>
          </cell>
        </row>
        <row r="6962">
          <cell r="A6962" t="str">
            <v>Hieracium piligerum </v>
          </cell>
          <cell r="B6962" t="str">
            <v>Vascular plants</v>
          </cell>
          <cell r="C6962" t="str">
            <v>Tracheophyta</v>
          </cell>
          <cell r="D6962" t="str">
            <v>Hieracium piligerum</v>
          </cell>
          <cell r="E6962" t="str">
            <v>LC</v>
          </cell>
          <cell r="F6962" t="str">
            <v>in Stroh et al., 2014 (from: Cheffings &amp; Farrell 2005 or subsequent amendments in Leach 2007, 2010; Leach &amp; Walker 2011, 2013)</v>
          </cell>
          <cell r="G6962" t="str">
            <v>NHMSYS0000459548</v>
          </cell>
          <cell r="H6962" t="str">
            <v>Hieracium piligerum </v>
          </cell>
        </row>
        <row r="6963">
          <cell r="A6963" t="str">
            <v>Hieracium placerophylloides </v>
          </cell>
          <cell r="B6963" t="str">
            <v>Vascular plants</v>
          </cell>
          <cell r="C6963" t="str">
            <v>Tracheophyta</v>
          </cell>
          <cell r="D6963" t="str">
            <v>Hieracium placerophylloides</v>
          </cell>
          <cell r="E6963" t="str">
            <v>LC</v>
          </cell>
          <cell r="F6963" t="str">
            <v>in Stroh et al., 2014 (from: Cheffings &amp; Farrell 2005 or subsequent amendments in Leach 2007, 2010; Leach &amp; Walker 2011, 2013)</v>
          </cell>
          <cell r="G6963" t="str">
            <v>NHMSYS0000840718</v>
          </cell>
          <cell r="H6963" t="str">
            <v>Hieracium placerophylloides </v>
          </cell>
        </row>
        <row r="6964">
          <cell r="A6964" t="str">
            <v>Hieracium pollichiae</v>
          </cell>
          <cell r="B6964" t="str">
            <v>Vascular plants</v>
          </cell>
          <cell r="C6964" t="str">
            <v>Tracheophyta</v>
          </cell>
          <cell r="D6964" t="str">
            <v>Hieracium pollichiae</v>
          </cell>
          <cell r="E6964" t="str">
            <v>VU</v>
          </cell>
          <cell r="F6964" t="str">
            <v>in Stroh et al., 2014 (from: Cheffings &amp; Farrell 2005 or subsequent amendments in Leach 2007, 2010; Leach &amp; Walker 2011, 2013)</v>
          </cell>
          <cell r="G6964" t="str">
            <v>NHMSYS0000459554</v>
          </cell>
          <cell r="H6964" t="str">
            <v>Hieracium pollichiae</v>
          </cell>
        </row>
        <row r="6965">
          <cell r="A6965" t="str">
            <v>Hieracium portlandicum</v>
          </cell>
          <cell r="B6965" t="str">
            <v>Vascular plants</v>
          </cell>
          <cell r="C6965" t="str">
            <v>Tracheophyta</v>
          </cell>
          <cell r="D6965" t="str">
            <v>Hieracium portlandicum</v>
          </cell>
          <cell r="E6965" t="str">
            <v>EN</v>
          </cell>
          <cell r="F6965" t="str">
            <v>in Stroh et al., 2014 (from: Cheffings &amp; Farrell 2005 or subsequent amendments in Leach 2007, 2010; Leach &amp; Walker 2011, 2013)</v>
          </cell>
          <cell r="G6965" t="str">
            <v>NHMSYS0020704141</v>
          </cell>
          <cell r="H6965" t="str">
            <v>Hieracium portlandicum</v>
          </cell>
        </row>
        <row r="6966">
          <cell r="A6966" t="str">
            <v>Hieracium praesigne </v>
          </cell>
          <cell r="B6966" t="str">
            <v>Vascular plants</v>
          </cell>
          <cell r="C6966" t="str">
            <v>Tracheophyta</v>
          </cell>
          <cell r="D6966" t="str">
            <v>Hieracium praesigne</v>
          </cell>
          <cell r="E6966" t="str">
            <v>LC</v>
          </cell>
          <cell r="F6966" t="str">
            <v>in Stroh et al., 2014 (from: Cheffings &amp; Farrell 2005 or subsequent amendments in Leach 2007, 2010; Leach &amp; Walker 2011, 2013)</v>
          </cell>
          <cell r="G6966" t="str">
            <v>NHMSYS0020755125</v>
          </cell>
          <cell r="H6966" t="str">
            <v>Hieracium praesigne </v>
          </cell>
        </row>
        <row r="6967">
          <cell r="A6967" t="str">
            <v>Hieracium prenanthoides </v>
          </cell>
          <cell r="B6967" t="str">
            <v>Vascular plants</v>
          </cell>
          <cell r="C6967" t="str">
            <v>Tracheophyta</v>
          </cell>
          <cell r="D6967" t="str">
            <v>Hieracium prenanthoides</v>
          </cell>
          <cell r="E6967" t="str">
            <v>LC</v>
          </cell>
          <cell r="F6967" t="str">
            <v>in Stroh et al., 2014 (from: Cheffings &amp; Farrell 2005 or subsequent amendments in Leach 2007, 2010; Leach &amp; Walker 2011, 2013)</v>
          </cell>
          <cell r="G6967" t="str">
            <v>NHMSYS0000459561</v>
          </cell>
          <cell r="H6967" t="str">
            <v>Hieracium prenanthoides </v>
          </cell>
        </row>
        <row r="6968">
          <cell r="A6968" t="str">
            <v>Hieracium prominentidens</v>
          </cell>
          <cell r="B6968" t="str">
            <v>Vascular plants</v>
          </cell>
          <cell r="C6968" t="str">
            <v>Tracheophyta</v>
          </cell>
          <cell r="D6968" t="str">
            <v>Hieracium prominentidens</v>
          </cell>
          <cell r="E6968" t="str">
            <v>VU</v>
          </cell>
          <cell r="F6968" t="str">
            <v>in Stroh et al., 2014 (from: Cheffings &amp; Farrell 2005 or subsequent amendments in Leach 2007, 2010; Leach &amp; Walker 2011, 2013)</v>
          </cell>
          <cell r="G6968" t="str">
            <v>NHMSYS0020442389</v>
          </cell>
          <cell r="H6968" t="str">
            <v>Hieracium prominentidens</v>
          </cell>
        </row>
        <row r="6969">
          <cell r="A6969" t="str">
            <v>Hieracium promontoriale</v>
          </cell>
          <cell r="B6969" t="str">
            <v>Vascular plants</v>
          </cell>
          <cell r="C6969" t="str">
            <v>Tracheophyta</v>
          </cell>
          <cell r="D6969" t="str">
            <v>Hieracium promontoriale</v>
          </cell>
          <cell r="E6969" t="str">
            <v>EN</v>
          </cell>
          <cell r="F6969" t="str">
            <v>in Stroh et al., 2014 (from: Cheffings &amp; Farrell 2005 or subsequent amendments in Leach 2007, 2010; Leach &amp; Walker 2011, 2013)</v>
          </cell>
          <cell r="G6969" t="str">
            <v>NHMSYS0020442390</v>
          </cell>
          <cell r="H6969" t="str">
            <v>Hieracium promontoriale</v>
          </cell>
        </row>
        <row r="6970">
          <cell r="A6970" t="str">
            <v>Hieracium pulchrius</v>
          </cell>
          <cell r="B6970" t="str">
            <v>Vascular plants</v>
          </cell>
          <cell r="C6970" t="str">
            <v>Tracheophyta</v>
          </cell>
          <cell r="D6970" t="str">
            <v>Hieracium pulchrius</v>
          </cell>
          <cell r="E6970" t="str">
            <v>VU</v>
          </cell>
          <cell r="F6970" t="str">
            <v>in Stroh et al., 2014 (from: Cheffings &amp; Farrell 2005 or subsequent amendments in Leach 2007, 2010; Leach &amp; Walker 2011, 2013)</v>
          </cell>
          <cell r="G6970" t="str">
            <v>NHMSYS0000459575</v>
          </cell>
          <cell r="H6970" t="str">
            <v>Hieracium pulchrius</v>
          </cell>
        </row>
        <row r="6971">
          <cell r="A6971" t="str">
            <v>Hieracium reticulatiforme </v>
          </cell>
          <cell r="B6971" t="str">
            <v>Vascular plants</v>
          </cell>
          <cell r="C6971" t="str">
            <v>Tracheophyta</v>
          </cell>
          <cell r="D6971" t="str">
            <v>Hieracium reticulatiforme</v>
          </cell>
          <cell r="E6971" t="str">
            <v>LC</v>
          </cell>
          <cell r="F6971" t="str">
            <v>in Stroh et al., 2014 (from: Cheffings &amp; Farrell 2005 or subsequent amendments in Leach 2007, 2010; Leach &amp; Walker 2011, 2013)</v>
          </cell>
          <cell r="G6971" t="str">
            <v>NHMSYS0020755127</v>
          </cell>
          <cell r="H6971" t="str">
            <v>Hieracium reticulatiforme </v>
          </cell>
        </row>
        <row r="6972">
          <cell r="A6972" t="str">
            <v>Hieracium rhomboides auct. Angl.</v>
          </cell>
          <cell r="B6972" t="str">
            <v>Vascular plants</v>
          </cell>
          <cell r="C6972" t="str">
            <v>Tracheophyta</v>
          </cell>
          <cell r="D6972" t="str">
            <v>Hieracium rhomboides</v>
          </cell>
          <cell r="E6972" t="str">
            <v>NT</v>
          </cell>
          <cell r="F6972" t="str">
            <v>in Stroh et al., 2014 (from: Cheffings &amp; Farrell 2005 or subsequent amendments in Leach 2007, 2010; Leach &amp; Walker 2011, 2013)</v>
          </cell>
          <cell r="G6972" t="str">
            <v>NHMSYS0021118689</v>
          </cell>
          <cell r="H6972" t="str">
            <v>Hieracium rhomboides auct. Angl.</v>
          </cell>
        </row>
        <row r="6973">
          <cell r="A6973" t="str">
            <v>Hieracium rigens </v>
          </cell>
          <cell r="B6973" t="str">
            <v>Vascular plants</v>
          </cell>
          <cell r="C6973" t="str">
            <v>Tracheophyta</v>
          </cell>
          <cell r="D6973" t="str">
            <v>Hieracium rigens</v>
          </cell>
          <cell r="E6973" t="str">
            <v>LC</v>
          </cell>
          <cell r="F6973" t="str">
            <v>in Stroh et al., 2014 (from: Cheffings &amp; Farrell 2005 or subsequent amendments in Leach 2007, 2010; Leach &amp; Walker 2011, 2013)</v>
          </cell>
          <cell r="G6973" t="str">
            <v>NHMSYS0000459583</v>
          </cell>
          <cell r="H6973" t="str">
            <v>Hieracium rigens </v>
          </cell>
        </row>
        <row r="6974">
          <cell r="A6974" t="str">
            <v>Hieracium rubicundiforme </v>
          </cell>
          <cell r="B6974" t="str">
            <v>Vascular plants</v>
          </cell>
          <cell r="C6974" t="str">
            <v>Tracheophyta</v>
          </cell>
          <cell r="D6974" t="str">
            <v>Hieracium rubicundiforme</v>
          </cell>
          <cell r="E6974" t="str">
            <v>LC</v>
          </cell>
          <cell r="F6974" t="str">
            <v>in Stroh et al., 2014 (from: Cheffings &amp; Farrell 2005 or subsequent amendments in Leach 2007, 2010; Leach &amp; Walker 2011, 2013)</v>
          </cell>
          <cell r="G6974" t="str">
            <v>NHMSYS0000459363</v>
          </cell>
          <cell r="H6974" t="str">
            <v>Hieracium rubicundiforme </v>
          </cell>
        </row>
        <row r="6975">
          <cell r="A6975" t="str">
            <v>Hieracium rubiginosum </v>
          </cell>
          <cell r="B6975" t="str">
            <v>Vascular plants</v>
          </cell>
          <cell r="C6975" t="str">
            <v>Tracheophyta</v>
          </cell>
          <cell r="D6975" t="str">
            <v>Hieracium rubiginosum</v>
          </cell>
          <cell r="E6975" t="str">
            <v>LC</v>
          </cell>
          <cell r="F6975" t="str">
            <v>in Stroh et al., 2014 (from: Cheffings &amp; Farrell 2005 or subsequent amendments in Leach 2007, 2010; Leach &amp; Walker 2011, 2013)</v>
          </cell>
          <cell r="G6975" t="str">
            <v>NHMSYS0000459590</v>
          </cell>
          <cell r="H6975" t="str">
            <v>Hieracium rubiginosum </v>
          </cell>
        </row>
        <row r="6976">
          <cell r="A6976" t="str">
            <v>Hieracium sabaudum </v>
          </cell>
          <cell r="B6976" t="str">
            <v>Vascular plants</v>
          </cell>
          <cell r="C6976" t="str">
            <v>Tracheophyta</v>
          </cell>
          <cell r="D6976" t="str">
            <v>Hieracium sabaudum</v>
          </cell>
          <cell r="E6976" t="str">
            <v>LC</v>
          </cell>
          <cell r="F6976" t="str">
            <v>in Stroh et al., 2014 (from: Cheffings &amp; Farrell 2005 or subsequent amendments in Leach 2007, 2010; Leach &amp; Walker 2011, 2013)</v>
          </cell>
          <cell r="G6976" t="str">
            <v>NHMSYS0000857318</v>
          </cell>
          <cell r="H6976" t="str">
            <v>Hieracium sabaudum </v>
          </cell>
        </row>
        <row r="6977">
          <cell r="A6977" t="str">
            <v>Hieracium salticola</v>
          </cell>
          <cell r="B6977" t="str">
            <v>Vascular plants</v>
          </cell>
          <cell r="C6977" t="str">
            <v>Tracheophyta</v>
          </cell>
          <cell r="D6977" t="str">
            <v>Hieracium salticola</v>
          </cell>
          <cell r="E6977" t="str">
            <v>LC</v>
          </cell>
          <cell r="F6977" t="str">
            <v>in Stroh et al., 2014 (from: Cheffings &amp; Farrell 2005 or subsequent amendments in Leach 2007, 2010; Leach &amp; Walker 2011, 2013)</v>
          </cell>
          <cell r="G6977" t="str">
            <v>NHMSYS0000459593</v>
          </cell>
          <cell r="H6977" t="str">
            <v>Hieracium salticola</v>
          </cell>
        </row>
        <row r="6978">
          <cell r="A6978" t="str">
            <v>Hieracium saxorum </v>
          </cell>
          <cell r="B6978" t="str">
            <v>Vascular plants</v>
          </cell>
          <cell r="C6978" t="str">
            <v>Tracheophyta</v>
          </cell>
          <cell r="D6978" t="str">
            <v>Hieracium saxorum</v>
          </cell>
          <cell r="E6978" t="str">
            <v>LC</v>
          </cell>
          <cell r="F6978" t="str">
            <v>in Stroh et al., 2014 (from: Cheffings &amp; Farrell 2005 or subsequent amendments in Leach 2007, 2010; Leach &amp; Walker 2011, 2013)</v>
          </cell>
          <cell r="G6978" t="str">
            <v>NHMSYS0000459597</v>
          </cell>
          <cell r="H6978" t="str">
            <v>Hieracium saxorum </v>
          </cell>
        </row>
        <row r="6979">
          <cell r="A6979" t="str">
            <v>Hieracium scabrisetum </v>
          </cell>
          <cell r="B6979" t="str">
            <v>Vascular plants</v>
          </cell>
          <cell r="C6979" t="str">
            <v>Tracheophyta</v>
          </cell>
          <cell r="D6979" t="str">
            <v>Hieracium scabrisetum</v>
          </cell>
          <cell r="E6979" t="str">
            <v>LC</v>
          </cell>
          <cell r="F6979" t="str">
            <v>in Stroh et al., 2014 (from: Cheffings &amp; Farrell 2005 or subsequent amendments in Leach 2007, 2010; Leach &amp; Walker 2011, 2013)</v>
          </cell>
          <cell r="G6979" t="str">
            <v>NHMSYS0000840822</v>
          </cell>
          <cell r="H6979" t="str">
            <v>Hieracium scabrisetum </v>
          </cell>
        </row>
        <row r="6980">
          <cell r="A6980" t="str">
            <v>Hieracium schmidtii</v>
          </cell>
          <cell r="B6980" t="str">
            <v>Vascular plants</v>
          </cell>
          <cell r="C6980" t="str">
            <v>Tracheophyta</v>
          </cell>
          <cell r="D6980" t="str">
            <v>Hieracium schmidtii</v>
          </cell>
          <cell r="E6980" t="str">
            <v>LC</v>
          </cell>
          <cell r="F6980" t="str">
            <v>in Stroh et al., 2014 (from: Cheffings &amp; Farrell 2005 or subsequent amendments in Leach 2007, 2010; Leach &amp; Walker 2011, 2013)</v>
          </cell>
          <cell r="G6980" t="str">
            <v>NHMSYS0000840867</v>
          </cell>
          <cell r="H6980" t="str">
            <v>Hieracium schmidtii</v>
          </cell>
        </row>
        <row r="6981">
          <cell r="A6981" t="str">
            <v>Hieracium silvaticoides </v>
          </cell>
          <cell r="B6981" t="str">
            <v>Vascular plants</v>
          </cell>
          <cell r="C6981" t="str">
            <v>Tracheophyta</v>
          </cell>
          <cell r="D6981" t="str">
            <v>Hieracium silvaticoides</v>
          </cell>
          <cell r="E6981" t="str">
            <v>LC</v>
          </cell>
          <cell r="F6981" t="str">
            <v>in Stroh et al., 2014 (from: Cheffings &amp; Farrell 2005 or subsequent amendments in Leach 2007, 2010; Leach &amp; Walker 2011, 2013)</v>
          </cell>
          <cell r="G6981" t="str">
            <v>NHMSYS0000840989</v>
          </cell>
          <cell r="H6981" t="str">
            <v>Hieracium silvaticoides </v>
          </cell>
        </row>
        <row r="6982">
          <cell r="A6982" t="str">
            <v>Hieracium sinuolatum</v>
          </cell>
          <cell r="B6982" t="str">
            <v>Vascular plants</v>
          </cell>
          <cell r="C6982" t="str">
            <v>Tracheophyta</v>
          </cell>
          <cell r="D6982" t="str">
            <v>Hieracium sinuolatum</v>
          </cell>
          <cell r="E6982" t="str">
            <v>EN</v>
          </cell>
          <cell r="F6982" t="str">
            <v>in Stroh et al., 2014 (from: Cheffings &amp; Farrell 2005 or subsequent amendments in Leach 2007, 2010; Leach &amp; Walker 2011, 2013)</v>
          </cell>
          <cell r="G6982" t="str">
            <v>NHMSYS0020442400</v>
          </cell>
          <cell r="H6982" t="str">
            <v>Hieracium sinuolatum</v>
          </cell>
        </row>
        <row r="6983">
          <cell r="A6983" t="str">
            <v>Hieracium sparsifolium </v>
          </cell>
          <cell r="B6983" t="str">
            <v>Vascular plants</v>
          </cell>
          <cell r="C6983" t="str">
            <v>Tracheophyta</v>
          </cell>
          <cell r="D6983" t="str">
            <v>Hieracium sparsifolium</v>
          </cell>
          <cell r="E6983" t="str">
            <v>LC</v>
          </cell>
          <cell r="F6983" t="str">
            <v>in Stroh et al., 2014 (from: Cheffings &amp; Farrell 2005 or subsequent amendments in Leach 2007, 2010; Leach &amp; Walker 2011, 2013)</v>
          </cell>
          <cell r="G6983" t="str">
            <v>NHMSYS0000840969</v>
          </cell>
          <cell r="H6983" t="str">
            <v>Hieracium sparsifolium </v>
          </cell>
        </row>
        <row r="6984">
          <cell r="A6984" t="str">
            <v>Hieracium stenolepiforme</v>
          </cell>
          <cell r="B6984" t="str">
            <v>Vascular plants</v>
          </cell>
          <cell r="C6984" t="str">
            <v>Tracheophyta</v>
          </cell>
          <cell r="D6984" t="str">
            <v>Hieracium stenolepiforme</v>
          </cell>
          <cell r="E6984" t="str">
            <v>EN</v>
          </cell>
          <cell r="F6984" t="str">
            <v>in Stroh et al., 2014 (from: Cheffings &amp; Farrell 2005 or subsequent amendments in Leach 2007, 2010; Leach &amp; Walker 2011, 2013)</v>
          </cell>
          <cell r="G6984" t="str">
            <v>NHMSYS0000459642</v>
          </cell>
          <cell r="H6984" t="str">
            <v>Hieracium stenolepiforme</v>
          </cell>
        </row>
        <row r="6985">
          <cell r="A6985" t="str">
            <v>Hieracium stenopholidium </v>
          </cell>
          <cell r="B6985" t="str">
            <v>Vascular plants</v>
          </cell>
          <cell r="C6985" t="str">
            <v>Tracheophyta</v>
          </cell>
          <cell r="D6985" t="str">
            <v>Hieracium stenopholidium</v>
          </cell>
          <cell r="E6985" t="str">
            <v>LC</v>
          </cell>
          <cell r="F6985" t="str">
            <v>in Stroh et al., 2014 (from: Cheffings &amp; Farrell 2005 or subsequent amendments in Leach 2007, 2010; Leach &amp; Walker 2011, 2013)</v>
          </cell>
          <cell r="G6985" t="str">
            <v>NHMSYS0000459644</v>
          </cell>
          <cell r="H6985" t="str">
            <v>Hieracium stenopholidium </v>
          </cell>
        </row>
        <row r="6986">
          <cell r="A6986" t="str">
            <v>Hieracium stenstroemii </v>
          </cell>
          <cell r="B6986" t="str">
            <v>Vascular plants</v>
          </cell>
          <cell r="C6986" t="str">
            <v>Tracheophyta</v>
          </cell>
          <cell r="D6986" t="str">
            <v>Hieracium stenstroemii</v>
          </cell>
          <cell r="E6986" t="str">
            <v>LC</v>
          </cell>
          <cell r="F6986" t="str">
            <v>in Stroh et al., 2014 (from: Cheffings &amp; Farrell 2005 or subsequent amendments in Leach 2007, 2010; Leach &amp; Walker 2011, 2013)</v>
          </cell>
          <cell r="G6986" t="str">
            <v>NHMSYS0000459648</v>
          </cell>
          <cell r="H6986" t="str">
            <v>Hieracium stenstroemii </v>
          </cell>
        </row>
        <row r="6987">
          <cell r="A6987" t="str">
            <v>Hieracium stewartii </v>
          </cell>
          <cell r="B6987" t="str">
            <v>Vascular plants</v>
          </cell>
          <cell r="C6987" t="str">
            <v>Tracheophyta</v>
          </cell>
          <cell r="D6987" t="str">
            <v>Hieracium stewartii</v>
          </cell>
          <cell r="E6987" t="str">
            <v>LC</v>
          </cell>
          <cell r="F6987" t="str">
            <v>in Stroh et al., 2014 (from: Cheffings &amp; Farrell 2005 or subsequent amendments in Leach 2007, 2010; Leach &amp; Walker 2011, 2013)</v>
          </cell>
          <cell r="G6987" t="str">
            <v>NHMSYS0000459649</v>
          </cell>
          <cell r="H6987" t="str">
            <v>Hieracium stewartii </v>
          </cell>
        </row>
        <row r="6988">
          <cell r="A6988" t="str">
            <v>Hieracium stictum</v>
          </cell>
          <cell r="B6988" t="str">
            <v>Vascular plants</v>
          </cell>
          <cell r="C6988" t="str">
            <v>Tracheophyta</v>
          </cell>
          <cell r="D6988" t="str">
            <v>Hieracium stictum</v>
          </cell>
          <cell r="E6988" t="str">
            <v>VU</v>
          </cell>
          <cell r="F6988" t="str">
            <v>in Stroh et al., 2014 (from: Cheffings &amp; Farrell 2005 or subsequent amendments in Leach 2007, 2010; Leach &amp; Walker 2011, 2013)</v>
          </cell>
          <cell r="G6988" t="str">
            <v>NHMSYS0020755129</v>
          </cell>
          <cell r="H6988" t="str">
            <v>Hieracium stictum</v>
          </cell>
        </row>
        <row r="6989">
          <cell r="A6989" t="str">
            <v>Hieracium strictiforme </v>
          </cell>
          <cell r="B6989" t="str">
            <v>Vascular plants</v>
          </cell>
          <cell r="C6989" t="str">
            <v>Tracheophyta</v>
          </cell>
          <cell r="D6989" t="str">
            <v>Hieracium strictiforme</v>
          </cell>
          <cell r="E6989" t="str">
            <v>LC</v>
          </cell>
          <cell r="F6989" t="str">
            <v>in Stroh et al., 2014 (from: Cheffings &amp; Farrell 2005 or subsequent amendments in Leach 2007, 2010; Leach &amp; Walker 2011, 2013)</v>
          </cell>
          <cell r="G6989" t="str">
            <v>NHMSYS0000840943</v>
          </cell>
          <cell r="H6989" t="str">
            <v>Hieracium strictiforme </v>
          </cell>
        </row>
        <row r="6990">
          <cell r="A6990" t="str">
            <v>Hieracium subamplifolium </v>
          </cell>
          <cell r="B6990" t="str">
            <v>Vascular plants</v>
          </cell>
          <cell r="C6990" t="str">
            <v>Tracheophyta</v>
          </cell>
          <cell r="D6990" t="str">
            <v>Hieracium subamplifolium</v>
          </cell>
          <cell r="E6990" t="str">
            <v>LC</v>
          </cell>
          <cell r="F6990" t="str">
            <v>in Stroh et al., 2014 (from: Cheffings &amp; Farrell 2005 or subsequent amendments in Leach 2007, 2010; Leach &amp; Walker 2011, 2013)</v>
          </cell>
          <cell r="G6990" t="str">
            <v>NHMSYS0000840955</v>
          </cell>
          <cell r="H6990" t="str">
            <v>Hieracium subamplifolium </v>
          </cell>
        </row>
        <row r="6991">
          <cell r="A6991" t="str">
            <v>Hieracium subbritannicum</v>
          </cell>
          <cell r="B6991" t="str">
            <v>Vascular plants</v>
          </cell>
          <cell r="C6991" t="str">
            <v>Tracheophyta</v>
          </cell>
          <cell r="D6991" t="str">
            <v>Hieracium subbritannicum</v>
          </cell>
          <cell r="E6991" t="str">
            <v>VU</v>
          </cell>
          <cell r="F6991" t="str">
            <v>in Stroh et al., 2014 (from: Cheffings &amp; Farrell 2005 or subsequent amendments in Leach 2007, 2010; Leach &amp; Walker 2011, 2013)</v>
          </cell>
          <cell r="G6991" t="str">
            <v>NHMSYS0000459656</v>
          </cell>
          <cell r="H6991" t="str">
            <v>Hieracium subbritannicum</v>
          </cell>
        </row>
        <row r="6992">
          <cell r="A6992" t="str">
            <v>Hieracium subcrocatum</v>
          </cell>
          <cell r="B6992" t="str">
            <v>Vascular plants</v>
          </cell>
          <cell r="C6992" t="str">
            <v>Tracheophyta</v>
          </cell>
          <cell r="D6992" t="str">
            <v>Hieracium subcrocatum</v>
          </cell>
          <cell r="E6992" t="str">
            <v>LC</v>
          </cell>
          <cell r="F6992" t="str">
            <v>in Stroh et al., 2014 (from: Cheffings &amp; Farrell 2005 or subsequent amendments in Leach 2007, 2010; Leach &amp; Walker 2011, 2013)</v>
          </cell>
          <cell r="G6992" t="str">
            <v>NHMSYS0000459658</v>
          </cell>
          <cell r="H6992" t="str">
            <v>Hieracium subcrocatum</v>
          </cell>
        </row>
        <row r="6993">
          <cell r="A6993" t="str">
            <v>Hieracium subcyaneum </v>
          </cell>
          <cell r="B6993" t="str">
            <v>Vascular plants</v>
          </cell>
          <cell r="C6993" t="str">
            <v>Tracheophyta</v>
          </cell>
          <cell r="D6993" t="str">
            <v>Hieracium subcyaneum</v>
          </cell>
          <cell r="E6993" t="str">
            <v>LC</v>
          </cell>
          <cell r="F6993" t="str">
            <v>in Stroh et al., 2014 (from: Cheffings &amp; Farrell 2005 or subsequent amendments in Leach 2007, 2010; Leach &amp; Walker 2011, 2013)</v>
          </cell>
          <cell r="G6993" t="str">
            <v>NHMSYS0000459403</v>
          </cell>
          <cell r="H6993" t="str">
            <v>Hieracium subcyaneum </v>
          </cell>
        </row>
        <row r="6994">
          <cell r="A6994" t="str">
            <v>Hieracium subgracilentipes</v>
          </cell>
          <cell r="B6994" t="str">
            <v>Vascular plants</v>
          </cell>
          <cell r="C6994" t="str">
            <v>Tracheophyta</v>
          </cell>
          <cell r="D6994" t="str">
            <v>Hieracium subgracilentipes</v>
          </cell>
          <cell r="E6994" t="str">
            <v>EN</v>
          </cell>
          <cell r="F6994" t="str">
            <v>in Stroh et al., 2014 (from: Cheffings &amp; Farrell 2005 or subsequent amendments in Leach 2007, 2010; Leach &amp; Walker 2011, 2013)</v>
          </cell>
          <cell r="G6994" t="str">
            <v>NHMSYS0000840871</v>
          </cell>
          <cell r="H6994" t="str">
            <v>Hieracium subgracilentipes</v>
          </cell>
        </row>
        <row r="6995">
          <cell r="A6995" t="str">
            <v>Hieracium sublasiophyllum</v>
          </cell>
          <cell r="B6995" t="str">
            <v>Vascular plants</v>
          </cell>
          <cell r="C6995" t="str">
            <v>Tracheophyta</v>
          </cell>
          <cell r="D6995" t="str">
            <v>Hieracium sublasiophyllum</v>
          </cell>
          <cell r="E6995" t="str">
            <v>NT</v>
          </cell>
          <cell r="F6995" t="str">
            <v>in Stroh et al., 2014 (from: Cheffings &amp; Farrell 2005 or subsequent amendments in Leach 2007, 2010; Leach &amp; Walker 2011, 2013)</v>
          </cell>
          <cell r="G6995" t="str">
            <v>NHMSYS0020755130</v>
          </cell>
          <cell r="H6995" t="str">
            <v>Hieracium sublasiophyllum</v>
          </cell>
        </row>
        <row r="6996">
          <cell r="A6996" t="str">
            <v>Hieracium submutabile </v>
          </cell>
          <cell r="B6996" t="str">
            <v>Vascular plants</v>
          </cell>
          <cell r="C6996" t="str">
            <v>Tracheophyta</v>
          </cell>
          <cell r="D6996" t="str">
            <v>Hieracium submutabile</v>
          </cell>
          <cell r="E6996" t="str">
            <v>LC</v>
          </cell>
          <cell r="F6996" t="str">
            <v>in Stroh et al., 2014 (from: Cheffings &amp; Farrell 2005 or subsequent amendments in Leach 2007, 2010; Leach &amp; Walker 2011, 2013)</v>
          </cell>
          <cell r="G6996" t="str">
            <v>NHMSYS0000840918</v>
          </cell>
          <cell r="H6996" t="str">
            <v>Hieracium submutabile </v>
          </cell>
        </row>
        <row r="6997">
          <cell r="A6997" t="str">
            <v>Hieracium subprasinifolium</v>
          </cell>
          <cell r="B6997" t="str">
            <v>Vascular plants</v>
          </cell>
          <cell r="C6997" t="str">
            <v>Tracheophyta</v>
          </cell>
          <cell r="D6997" t="str">
            <v>Hieracium subprasinifolium</v>
          </cell>
          <cell r="E6997" t="str">
            <v>VU</v>
          </cell>
          <cell r="F6997" t="str">
            <v>in Stroh et al., 2014 (from: Cheffings &amp; Farrell 2005 or subsequent amendments in Leach 2007, 2010; Leach &amp; Walker 2011, 2013)</v>
          </cell>
          <cell r="G6997" t="str">
            <v>NHMSYS0000840923</v>
          </cell>
          <cell r="H6997" t="str">
            <v>Hieracium subprasinifolium</v>
          </cell>
        </row>
        <row r="6998">
          <cell r="A6998" t="str">
            <v>Hieracium surrejanum</v>
          </cell>
          <cell r="B6998" t="str">
            <v>Vascular plants</v>
          </cell>
          <cell r="C6998" t="str">
            <v>Tracheophyta</v>
          </cell>
          <cell r="D6998" t="str">
            <v>Hieracium surrejanum</v>
          </cell>
          <cell r="E6998" t="str">
            <v>EN</v>
          </cell>
          <cell r="F6998" t="str">
            <v>in Stroh et al., 2014 (from: Cheffings &amp; Farrell 2005 or subsequent amendments in Leach 2007, 2010; Leach &amp; Walker 2011, 2013)</v>
          </cell>
          <cell r="G6998" t="str">
            <v>NHMSYS0000459676</v>
          </cell>
          <cell r="H6998" t="str">
            <v>Hieracium surrejanum</v>
          </cell>
        </row>
        <row r="6999">
          <cell r="A6999" t="str">
            <v>Hieracium trichocaulon </v>
          </cell>
          <cell r="B6999" t="str">
            <v>Vascular plants</v>
          </cell>
          <cell r="C6999" t="str">
            <v>Tracheophyta</v>
          </cell>
          <cell r="D6999" t="str">
            <v>Hieracium trichocaulon</v>
          </cell>
          <cell r="E6999" t="str">
            <v>LC</v>
          </cell>
          <cell r="F6999" t="str">
            <v>in Stroh et al., 2014 (from: Cheffings &amp; Farrell 2005 or subsequent amendments in Leach 2007, 2010; Leach &amp; Walker 2011, 2013)</v>
          </cell>
          <cell r="G6999" t="str">
            <v>NHMSYS0000459688</v>
          </cell>
          <cell r="H6999" t="str">
            <v>Hieracium trichocaulon </v>
          </cell>
        </row>
        <row r="7000">
          <cell r="A7000" t="str">
            <v>Hieracium tricolorans </v>
          </cell>
          <cell r="B7000" t="str">
            <v>Vascular plants</v>
          </cell>
          <cell r="C7000" t="str">
            <v>Tracheophyta</v>
          </cell>
          <cell r="D7000" t="str">
            <v>Hieracium tricolorans</v>
          </cell>
          <cell r="E7000" t="str">
            <v>LC</v>
          </cell>
          <cell r="F7000" t="str">
            <v>in Stroh et al., 2014 (from: Cheffings &amp; Farrell 2005 or subsequent amendments in Leach 2007, 2010; Leach &amp; Walker 2011, 2013)</v>
          </cell>
          <cell r="G7000" t="str">
            <v>NHMSYS0000459403</v>
          </cell>
          <cell r="H7000" t="str">
            <v>Hieracium tricolorans </v>
          </cell>
        </row>
        <row r="7001">
          <cell r="A7001" t="str">
            <v>Hieracium triviale auct. Angl.</v>
          </cell>
          <cell r="B7001" t="str">
            <v>Vascular plants</v>
          </cell>
          <cell r="C7001" t="str">
            <v>Tracheophyta</v>
          </cell>
          <cell r="D7001" t="str">
            <v>Hieracium triviale</v>
          </cell>
          <cell r="E7001" t="str">
            <v>LC</v>
          </cell>
          <cell r="F7001" t="str">
            <v>in Stroh et al., 2014 (from: Cheffings &amp; Farrell 2005 or subsequent amendments in Leach 2007, 2010; Leach &amp; Walker 2011, 2013)</v>
          </cell>
          <cell r="G7001" t="str">
            <v>NHMSYS0021118695</v>
          </cell>
          <cell r="H7001" t="str">
            <v>Hieracium triviale auct. Angl.</v>
          </cell>
        </row>
        <row r="7002">
          <cell r="A7002" t="str">
            <v>Hieracium uiginskyense </v>
          </cell>
          <cell r="B7002" t="str">
            <v>Vascular plants</v>
          </cell>
          <cell r="C7002" t="str">
            <v>Tracheophyta</v>
          </cell>
          <cell r="D7002" t="str">
            <v>Hieracium uiginskyense</v>
          </cell>
          <cell r="E7002" t="str">
            <v>LC</v>
          </cell>
          <cell r="F7002" t="str">
            <v>in Stroh et al., 2014 (from: Cheffings &amp; Farrell 2005 or subsequent amendments in Leach 2007, 2010; Leach &amp; Walker 2011, 2013)</v>
          </cell>
          <cell r="G7002" t="str">
            <v>NHMSYS0000840743</v>
          </cell>
          <cell r="H7002" t="str">
            <v>Hieracium uiginskyense </v>
          </cell>
        </row>
        <row r="7003">
          <cell r="A7003" t="str">
            <v>Hieracium umbellatum subsp. bichlorophyllum</v>
          </cell>
          <cell r="B7003" t="str">
            <v>Vascular plants</v>
          </cell>
          <cell r="C7003" t="str">
            <v>Tracheophyta</v>
          </cell>
          <cell r="D7003" t="str">
            <v>Hieracium umbellatum (subsp.) bichlorophyllum</v>
          </cell>
          <cell r="E7003" t="str">
            <v>LC</v>
          </cell>
          <cell r="F7003" t="str">
            <v>in Stroh et al., 2014 (from: Cheffings &amp; Farrell 2005 or subsequent amendments in Leach 2007, 2010; Leach &amp; Walker 2011, 2013)</v>
          </cell>
          <cell r="G7003" t="str">
            <v>NHMSYS0000459693</v>
          </cell>
          <cell r="H7003" t="str">
            <v>Hieracium umbellatum subsp. bichlorophyllum</v>
          </cell>
        </row>
        <row r="7004">
          <cell r="A7004" t="str">
            <v>Hieracium umbellatum subsp. umbellatum</v>
          </cell>
          <cell r="B7004" t="str">
            <v>Vascular plants</v>
          </cell>
          <cell r="C7004" t="str">
            <v>Tracheophyta</v>
          </cell>
          <cell r="D7004" t="str">
            <v>Hieracium umbellatum (subsp.) umbellatum</v>
          </cell>
          <cell r="E7004" t="str">
            <v>LC</v>
          </cell>
          <cell r="F7004" t="str">
            <v>in Stroh et al., 2014 (from: Cheffings &amp; Farrell 2005 or subsequent amendments in Leach 2007, 2010; Leach &amp; Walker 2011, 2013)</v>
          </cell>
          <cell r="G7004" t="str">
            <v>NHMSYS0000459694</v>
          </cell>
          <cell r="H7004" t="str">
            <v>Hieracium umbellatum subsp. umbellatum</v>
          </cell>
        </row>
        <row r="7005">
          <cell r="A7005" t="str">
            <v>Hieracium vagense </v>
          </cell>
          <cell r="B7005" t="str">
            <v>Vascular plants</v>
          </cell>
          <cell r="C7005" t="str">
            <v>Tracheophyta</v>
          </cell>
          <cell r="D7005" t="str">
            <v>Hieracium vagense</v>
          </cell>
          <cell r="E7005" t="str">
            <v>LC</v>
          </cell>
          <cell r="F7005" t="str">
            <v>in Stroh et al., 2014 (from: Cheffings &amp; Farrell 2005 or subsequent amendments in Leach 2007, 2010; Leach &amp; Walker 2011, 2013)</v>
          </cell>
          <cell r="G7005" t="str">
            <v>NHMSYS0000459695</v>
          </cell>
          <cell r="H7005" t="str">
            <v>Hieracium vagense </v>
          </cell>
        </row>
        <row r="7006">
          <cell r="A7006" t="str">
            <v>Hieracium vagicola</v>
          </cell>
          <cell r="B7006" t="str">
            <v>Vascular plants</v>
          </cell>
          <cell r="C7006" t="str">
            <v>Tracheophyta</v>
          </cell>
          <cell r="D7006" t="str">
            <v>Hieracium vagicola</v>
          </cell>
          <cell r="E7006" t="str">
            <v>EN</v>
          </cell>
          <cell r="F7006" t="str">
            <v>in Stroh et al., 2014 (from: Cheffings &amp; Farrell 2005 or subsequent amendments in Leach 2007, 2010; Leach &amp; Walker 2011, 2013)</v>
          </cell>
          <cell r="G7006" t="str">
            <v>NHMSYS0020442405</v>
          </cell>
          <cell r="H7006" t="str">
            <v>Hieracium vagicola</v>
          </cell>
        </row>
        <row r="7007">
          <cell r="A7007" t="str">
            <v>Hieracium vagum </v>
          </cell>
          <cell r="B7007" t="str">
            <v>Vascular plants</v>
          </cell>
          <cell r="C7007" t="str">
            <v>Tracheophyta</v>
          </cell>
          <cell r="D7007" t="str">
            <v>Hieracium vagum</v>
          </cell>
          <cell r="E7007" t="str">
            <v>LC</v>
          </cell>
          <cell r="F7007" t="str">
            <v>in Stroh et al., 2014 (from: Cheffings &amp; Farrell 2005 or subsequent amendments in Leach 2007, 2010; Leach &amp; Walker 2011, 2013)</v>
          </cell>
          <cell r="G7007" t="str">
            <v>NHMSYS0000459696</v>
          </cell>
          <cell r="H7007" t="str">
            <v>Hieracium vagum </v>
          </cell>
        </row>
        <row r="7008">
          <cell r="A7008" t="str">
            <v>Hieracium vennicontium </v>
          </cell>
          <cell r="B7008" t="str">
            <v>Vascular plants</v>
          </cell>
          <cell r="C7008" t="str">
            <v>Tracheophyta</v>
          </cell>
          <cell r="D7008" t="str">
            <v>Hieracium vennicontium</v>
          </cell>
          <cell r="E7008" t="str">
            <v>LC</v>
          </cell>
          <cell r="F7008" t="str">
            <v>in Stroh et al., 2014 (from: Cheffings &amp; Farrell 2005 or subsequent amendments in Leach 2007, 2010; Leach &amp; Walker 2011, 2013)</v>
          </cell>
          <cell r="G7008" t="str">
            <v>NHMSYS0000840898</v>
          </cell>
          <cell r="H7008" t="str">
            <v>Hieracium vennicontium </v>
          </cell>
        </row>
        <row r="7009">
          <cell r="A7009" t="str">
            <v>Hieracium virgultorum</v>
          </cell>
          <cell r="B7009" t="str">
            <v>Vascular plants</v>
          </cell>
          <cell r="C7009" t="str">
            <v>Tracheophyta</v>
          </cell>
          <cell r="D7009" t="str">
            <v>Hieracium virgultorum</v>
          </cell>
          <cell r="E7009" t="str">
            <v>LC</v>
          </cell>
          <cell r="F7009" t="str">
            <v>in Stroh et al., 2014 (from: Cheffings &amp; Farrell 2005 or subsequent amendments in Leach 2007, 2010; Leach &amp; Walker 2011, 2013)</v>
          </cell>
          <cell r="G7009" t="str">
            <v>NHMSYS0000459701</v>
          </cell>
          <cell r="H7009" t="str">
            <v>Hieracium virgultorum</v>
          </cell>
        </row>
        <row r="7010">
          <cell r="A7010" t="str">
            <v>Hieracium vulgatum auct. Angl. </v>
          </cell>
          <cell r="B7010" t="str">
            <v>Vascular plants</v>
          </cell>
          <cell r="C7010" t="str">
            <v>Tracheophyta</v>
          </cell>
          <cell r="D7010" t="str">
            <v>Hieracium vulgatum</v>
          </cell>
          <cell r="E7010" t="str">
            <v>LC</v>
          </cell>
          <cell r="F7010" t="str">
            <v>in Stroh et al., 2014 (from: Cheffings &amp; Farrell 2005 or subsequent amendments in Leach 2007, 2010; Leach &amp; Walker 2011, 2013)</v>
          </cell>
          <cell r="G7010" t="str">
            <v>NHMSYS0021118701</v>
          </cell>
          <cell r="H7010" t="str">
            <v>Hieracium vulgatum auct. Angl. </v>
          </cell>
        </row>
        <row r="7011">
          <cell r="A7011" t="str">
            <v>Hierochloe odorata</v>
          </cell>
          <cell r="B7011" t="str">
            <v>Vascular plants</v>
          </cell>
          <cell r="C7011" t="str">
            <v>Tracheophyta</v>
          </cell>
          <cell r="D7011" t="str">
            <v>Hierochloe odorata</v>
          </cell>
          <cell r="E7011" t="str">
            <v>LC</v>
          </cell>
          <cell r="F7011" t="str">
            <v>in Stroh et al., 2014 (from: Cheffings &amp; Farrell 2005 or subsequent amendments in Leach 2007, 2010; Leach &amp; Walker 2011, 2013)</v>
          </cell>
          <cell r="G7011" t="str">
            <v>NHMSYS0000459706</v>
          </cell>
          <cell r="H7011" t="str">
            <v>Hierochloe odorata</v>
          </cell>
        </row>
        <row r="7012">
          <cell r="A7012" t="str">
            <v>Himantoglossum hircinum</v>
          </cell>
          <cell r="B7012" t="str">
            <v>Vascular plants</v>
          </cell>
          <cell r="C7012" t="str">
            <v>Tracheophyta</v>
          </cell>
          <cell r="D7012" t="str">
            <v>Himantoglossum hircinum</v>
          </cell>
          <cell r="E7012" t="str">
            <v>NT</v>
          </cell>
          <cell r="F7012" t="str">
            <v>in Stroh et al., 2014 (from: Cheffings &amp; Farrell 2005 or subsequent amendments in Leach 2007, 2010; Leach &amp; Walker 2011, 2013)</v>
          </cell>
          <cell r="G7012" t="str">
            <v>NHMSYS0000459709</v>
          </cell>
          <cell r="H7012" t="str">
            <v>Himantoglossum hircinum</v>
          </cell>
        </row>
        <row r="7013">
          <cell r="A7013" t="str">
            <v>Hippocrepis comosa</v>
          </cell>
          <cell r="B7013" t="str">
            <v>Vascular plants</v>
          </cell>
          <cell r="C7013" t="str">
            <v>Tracheophyta</v>
          </cell>
          <cell r="D7013" t="str">
            <v>Hippocrepis comosa</v>
          </cell>
          <cell r="E7013" t="str">
            <v>LC</v>
          </cell>
          <cell r="F7013" t="str">
            <v>in Stroh et al., 2014 (from: Cheffings &amp; Farrell 2005 or subsequent amendments in Leach 2007, 2010; Leach &amp; Walker 2011, 2013)</v>
          </cell>
          <cell r="G7013" t="str">
            <v>NBNSYS0000003278</v>
          </cell>
          <cell r="H7013" t="str">
            <v>Hippocrepis comosa</v>
          </cell>
        </row>
        <row r="7014">
          <cell r="A7014" t="str">
            <v>Hippophae rhamnoides</v>
          </cell>
          <cell r="B7014" t="str">
            <v>Vascular plants</v>
          </cell>
          <cell r="C7014" t="str">
            <v>Tracheophyta</v>
          </cell>
          <cell r="D7014" t="str">
            <v>Hippophae rhamnoides</v>
          </cell>
          <cell r="E7014" t="str">
            <v>LC</v>
          </cell>
          <cell r="F7014" t="str">
            <v>in Stroh et al., 2014 (from: Cheffings &amp; Farrell 2005 or subsequent amendments in Leach 2007, 2010; Leach &amp; Walker 2011, 2013)</v>
          </cell>
          <cell r="G7014" t="str">
            <v>NBNSYS0000003533</v>
          </cell>
          <cell r="H7014" t="str">
            <v>Hippophae rhamnoides</v>
          </cell>
        </row>
        <row r="7015">
          <cell r="A7015" t="str">
            <v>Hippuris vulgaris</v>
          </cell>
          <cell r="B7015" t="str">
            <v>Vascular plants</v>
          </cell>
          <cell r="C7015" t="str">
            <v>Tracheophyta</v>
          </cell>
          <cell r="D7015" t="str">
            <v>Hippuris vulgaris</v>
          </cell>
          <cell r="E7015" t="str">
            <v>LC</v>
          </cell>
          <cell r="F7015" t="str">
            <v>in Stroh et al., 2014 (from: Cheffings &amp; Farrell 2005 or subsequent amendments in Leach 2007, 2010; Leach &amp; Walker 2011, 2013)</v>
          </cell>
          <cell r="G7015" t="str">
            <v>NBNSYS0000003614</v>
          </cell>
          <cell r="H7015" t="str">
            <v>Hippuris vulgaris</v>
          </cell>
        </row>
        <row r="7016">
          <cell r="A7016" t="str">
            <v>Holcus lanatus</v>
          </cell>
          <cell r="B7016" t="str">
            <v>Vascular plants</v>
          </cell>
          <cell r="C7016" t="str">
            <v>Tracheophyta</v>
          </cell>
          <cell r="D7016" t="str">
            <v>Holcus lanatus</v>
          </cell>
          <cell r="E7016" t="str">
            <v>LC</v>
          </cell>
          <cell r="F7016" t="str">
            <v>in Stroh et al., 2014 (from: Cheffings &amp; Farrell 2005 or subsequent amendments in Leach 2007, 2010; Leach &amp; Walker 2011, 2013)</v>
          </cell>
          <cell r="G7016" t="str">
            <v>NBNSYS0000002619</v>
          </cell>
          <cell r="H7016" t="str">
            <v>Holcus lanatus</v>
          </cell>
        </row>
        <row r="7017">
          <cell r="A7017" t="str">
            <v>Holcus mollis</v>
          </cell>
          <cell r="B7017" t="str">
            <v>Vascular plants</v>
          </cell>
          <cell r="C7017" t="str">
            <v>Tracheophyta</v>
          </cell>
          <cell r="D7017" t="str">
            <v>Holcus mollis</v>
          </cell>
          <cell r="E7017" t="str">
            <v>LC</v>
          </cell>
          <cell r="F7017" t="str">
            <v>in Stroh et al., 2014 (from: Cheffings &amp; Farrell 2005 or subsequent amendments in Leach 2007, 2010; Leach &amp; Walker 2011, 2013)</v>
          </cell>
          <cell r="G7017" t="str">
            <v>NBNSYS0000002620</v>
          </cell>
          <cell r="H7017" t="str">
            <v>Holcus mollis</v>
          </cell>
        </row>
        <row r="7018">
          <cell r="A7018" t="str">
            <v>Honckenya peploides</v>
          </cell>
          <cell r="B7018" t="str">
            <v>Vascular plants</v>
          </cell>
          <cell r="C7018" t="str">
            <v>Tracheophyta</v>
          </cell>
          <cell r="D7018" t="str">
            <v>Honckenya peploides</v>
          </cell>
          <cell r="E7018" t="str">
            <v>LC</v>
          </cell>
          <cell r="F7018" t="str">
            <v>in Stroh et al., 2014 (from: Cheffings &amp; Farrell 2005 or subsequent amendments in Leach 2007, 2010; Leach &amp; Walker 2011, 2013)</v>
          </cell>
          <cell r="G7018" t="str">
            <v>NBNSYS0000003057</v>
          </cell>
          <cell r="H7018" t="str">
            <v>Honckenya peploides</v>
          </cell>
        </row>
        <row r="7019">
          <cell r="A7019" t="str">
            <v>Hordelymus europaeus</v>
          </cell>
          <cell r="B7019" t="str">
            <v>Vascular plants</v>
          </cell>
          <cell r="C7019" t="str">
            <v>Tracheophyta</v>
          </cell>
          <cell r="D7019" t="str">
            <v>Hordelymus europaeus</v>
          </cell>
          <cell r="E7019" t="str">
            <v>LC</v>
          </cell>
          <cell r="F7019" t="str">
            <v>in Stroh et al., 2014 (from: Cheffings &amp; Farrell 2005 or subsequent amendments in Leach 2007, 2010; Leach &amp; Walker 2011, 2013)</v>
          </cell>
          <cell r="G7019" t="str">
            <v>NHMSYS0000459739</v>
          </cell>
          <cell r="H7019" t="str">
            <v>Hordelymus europaeus</v>
          </cell>
        </row>
        <row r="7020">
          <cell r="A7020" t="str">
            <v>Hordeum marinum</v>
          </cell>
          <cell r="B7020" t="str">
            <v>Vascular plants</v>
          </cell>
          <cell r="C7020" t="str">
            <v>Tracheophyta</v>
          </cell>
          <cell r="D7020" t="str">
            <v>Hordeum marinum</v>
          </cell>
          <cell r="E7020" t="str">
            <v>VU</v>
          </cell>
          <cell r="F7020" t="str">
            <v>in Stroh et al., 2014 (from: Cheffings &amp; Farrell 2005 or subsequent amendments in Leach 2007, 2010; Leach &amp; Walker 2011, 2013)</v>
          </cell>
          <cell r="G7020" t="str">
            <v>NHMSYS0000459748</v>
          </cell>
          <cell r="H7020" t="str">
            <v>Hordeum marinum</v>
          </cell>
        </row>
        <row r="7021">
          <cell r="A7021" t="str">
            <v>Hordeum secalinum</v>
          </cell>
          <cell r="B7021" t="str">
            <v>Vascular plants</v>
          </cell>
          <cell r="C7021" t="str">
            <v>Tracheophyta</v>
          </cell>
          <cell r="D7021" t="str">
            <v>Hordeum secalinum</v>
          </cell>
          <cell r="E7021" t="str">
            <v>LC</v>
          </cell>
          <cell r="F7021" t="str">
            <v>in Stroh et al., 2014 (from: Cheffings &amp; Farrell 2005 or subsequent amendments in Leach 2007, 2010; Leach &amp; Walker 2011, 2013)</v>
          </cell>
          <cell r="G7021" t="str">
            <v>NHMSYS0000459754</v>
          </cell>
          <cell r="H7021" t="str">
            <v>Hordeum secalinum</v>
          </cell>
        </row>
        <row r="7022">
          <cell r="A7022" t="str">
            <v>Hornungia petraea</v>
          </cell>
          <cell r="B7022" t="str">
            <v>Vascular plants</v>
          </cell>
          <cell r="C7022" t="str">
            <v>Tracheophyta</v>
          </cell>
          <cell r="D7022" t="str">
            <v>Hornungia petraea</v>
          </cell>
          <cell r="E7022" t="str">
            <v>LC</v>
          </cell>
          <cell r="F7022" t="str">
            <v>in Stroh et al., 2014 (from: Cheffings &amp; Farrell 2005 or subsequent amendments in Leach 2007, 2010; Leach &amp; Walker 2011, 2013)</v>
          </cell>
          <cell r="G7022" t="str">
            <v>NHMSYS0000459759</v>
          </cell>
          <cell r="H7022" t="str">
            <v>Hornungia petraea</v>
          </cell>
        </row>
        <row r="7023">
          <cell r="A7023" t="str">
            <v>Hottonia palustris</v>
          </cell>
          <cell r="B7023" t="str">
            <v>Vascular plants</v>
          </cell>
          <cell r="C7023" t="str">
            <v>Tracheophyta</v>
          </cell>
          <cell r="D7023" t="str">
            <v>Hottonia palustris</v>
          </cell>
          <cell r="E7023" t="str">
            <v>LC</v>
          </cell>
          <cell r="F7023" t="str">
            <v>in Stroh et al., 2014 (from: Cheffings &amp; Farrell 2005 or subsequent amendments in Leach 2007, 2010; Leach &amp; Walker 2011, 2013)</v>
          </cell>
          <cell r="G7023" t="str">
            <v>NBNSYS0000003932</v>
          </cell>
          <cell r="H7023" t="str">
            <v>Hottonia palustris</v>
          </cell>
        </row>
        <row r="7024">
          <cell r="A7024" t="str">
            <v>Humulus lupulus</v>
          </cell>
          <cell r="B7024" t="str">
            <v>Vascular plants</v>
          </cell>
          <cell r="C7024" t="str">
            <v>Tracheophyta</v>
          </cell>
          <cell r="D7024" t="str">
            <v>Humulus lupulus</v>
          </cell>
          <cell r="E7024" t="str">
            <v>LC</v>
          </cell>
          <cell r="F7024" t="str">
            <v>in Stroh et al., 2014 (from: Cheffings &amp; Farrell 2005 or subsequent amendments in Leach 2007, 2010; Leach &amp; Walker 2011, 2013)</v>
          </cell>
          <cell r="G7024" t="str">
            <v>NBNSYS0000003809</v>
          </cell>
          <cell r="H7024" t="str">
            <v>Humulus lupulus</v>
          </cell>
        </row>
        <row r="7025">
          <cell r="A7025" t="str">
            <v>Huperzia selago</v>
          </cell>
          <cell r="B7025" t="str">
            <v>Vascular plants</v>
          </cell>
          <cell r="C7025" t="str">
            <v>Tracheophyta</v>
          </cell>
          <cell r="D7025" t="str">
            <v>Huperzia selago</v>
          </cell>
          <cell r="E7025" t="str">
            <v>LC</v>
          </cell>
          <cell r="F7025" t="str">
            <v>in Stroh et al., 2014 (from: Cheffings &amp; Farrell 2005 or subsequent amendments in Leach 2007, 2010; Leach &amp; Walker 2011, 2013)</v>
          </cell>
          <cell r="G7025" t="str">
            <v>NHMSYS0000459776</v>
          </cell>
          <cell r="H7025" t="str">
            <v>Huperzia selago</v>
          </cell>
        </row>
        <row r="7026">
          <cell r="A7026" t="str">
            <v>Hyacinthoides non-scripta</v>
          </cell>
          <cell r="B7026" t="str">
            <v>Vascular plants</v>
          </cell>
          <cell r="C7026" t="str">
            <v>Tracheophyta</v>
          </cell>
          <cell r="D7026" t="str">
            <v>Hyacinthoides non-scripta</v>
          </cell>
          <cell r="E7026" t="str">
            <v>LC</v>
          </cell>
          <cell r="F7026" t="str">
            <v>in Stroh et al., 2014 (from: Cheffings &amp; Farrell 2005 or subsequent amendments in Leach 2007, 2010; Leach &amp; Walker 2011, 2013)</v>
          </cell>
          <cell r="G7026" t="str">
            <v>NBNSYS0000002185</v>
          </cell>
          <cell r="H7026" t="str">
            <v>Hyacinthoides non-scripta</v>
          </cell>
        </row>
        <row r="7027">
          <cell r="A7027" t="str">
            <v>Hydrilla verticillata</v>
          </cell>
          <cell r="B7027" t="str">
            <v>Vascular plants</v>
          </cell>
          <cell r="C7027" t="str">
            <v>Tracheophyta</v>
          </cell>
          <cell r="D7027" t="str">
            <v>Hydrilla verticillata</v>
          </cell>
          <cell r="E7027" t="str">
            <v>VU</v>
          </cell>
          <cell r="F7027" t="str">
            <v>in Stroh et al., 2014 (from: Cheffings &amp; Farrell 2005 or subsequent amendments in Leach 2007, 2010; Leach &amp; Walker 2011, 2013)</v>
          </cell>
          <cell r="G7027" t="str">
            <v>NHMSYS0000459804</v>
          </cell>
          <cell r="H7027" t="str">
            <v>Hydrilla verticillata</v>
          </cell>
        </row>
        <row r="7028">
          <cell r="A7028" t="str">
            <v>Hydrocharis morsus-ranae</v>
          </cell>
          <cell r="B7028" t="str">
            <v>Vascular plants</v>
          </cell>
          <cell r="C7028" t="str">
            <v>Tracheophyta</v>
          </cell>
          <cell r="D7028" t="str">
            <v>Hydrocharis morsus-ranae</v>
          </cell>
          <cell r="E7028" t="str">
            <v>VU</v>
          </cell>
          <cell r="F7028" t="str">
            <v>in Stroh et al., 2014 (from: Cheffings &amp; Farrell 2005 or subsequent amendments in Leach 2007, 2010; Leach &amp; Walker 2011, 2013)</v>
          </cell>
          <cell r="G7028" t="str">
            <v>NBNSYS0000002109</v>
          </cell>
          <cell r="H7028" t="str">
            <v>Hydrocharis morsus-ranae</v>
          </cell>
        </row>
        <row r="7029">
          <cell r="A7029" t="str">
            <v>Hydrocotyle vulgaris</v>
          </cell>
          <cell r="B7029" t="str">
            <v>Vascular plants</v>
          </cell>
          <cell r="C7029" t="str">
            <v>Tracheophyta</v>
          </cell>
          <cell r="D7029" t="str">
            <v>Hydrocotyle vulgaris</v>
          </cell>
          <cell r="E7029" t="str">
            <v>LC</v>
          </cell>
          <cell r="F7029" t="str">
            <v>in Stroh et al., 2014 (from: Cheffings &amp; Farrell 2005 or subsequent amendments in Leach 2007, 2010; Leach &amp; Walker 2011, 2013)</v>
          </cell>
          <cell r="G7029" t="str">
            <v>NBNSYS0000003633</v>
          </cell>
          <cell r="H7029" t="str">
            <v>Hydrocotyle vulgaris</v>
          </cell>
        </row>
        <row r="7030">
          <cell r="A7030" t="str">
            <v>Hymenophyllum tunbrigense</v>
          </cell>
          <cell r="B7030" t="str">
            <v>Vascular plants</v>
          </cell>
          <cell r="C7030" t="str">
            <v>Tracheophyta</v>
          </cell>
          <cell r="D7030" t="str">
            <v>Hymenophyllum tunbrigense</v>
          </cell>
          <cell r="E7030" t="str">
            <v>LC</v>
          </cell>
          <cell r="F7030" t="str">
            <v>in Stroh et al., 2014 (from: Cheffings &amp; Farrell 2005 or subsequent amendments in Leach 2007, 2010; Leach &amp; Walker 2011, 2013)</v>
          </cell>
          <cell r="G7030" t="str">
            <v>NHMSYS0000459844</v>
          </cell>
          <cell r="H7030" t="str">
            <v>Hymenophyllum tunbrigense</v>
          </cell>
        </row>
        <row r="7031">
          <cell r="A7031" t="str">
            <v>Hymenophyllum wilsonii</v>
          </cell>
          <cell r="B7031" t="str">
            <v>Vascular plants</v>
          </cell>
          <cell r="C7031" t="str">
            <v>Tracheophyta</v>
          </cell>
          <cell r="D7031" t="str">
            <v>Hymenophyllum wilsonii</v>
          </cell>
          <cell r="E7031" t="str">
            <v>NT</v>
          </cell>
          <cell r="F7031" t="str">
            <v>in Stroh et al., 2014 (from: Cheffings &amp; Farrell 2005 or subsequent amendments in Leach 2007, 2010; Leach &amp; Walker 2011, 2013)</v>
          </cell>
          <cell r="G7031" t="str">
            <v>NBNSYS0000002030</v>
          </cell>
          <cell r="H7031" t="str">
            <v>Hymenophyllum wilsonii</v>
          </cell>
        </row>
        <row r="7032">
          <cell r="A7032" t="str">
            <v>Hypericum androsaemum</v>
          </cell>
          <cell r="B7032" t="str">
            <v>Vascular plants</v>
          </cell>
          <cell r="C7032" t="str">
            <v>Tracheophyta</v>
          </cell>
          <cell r="D7032" t="str">
            <v>Hypericum androsaemum</v>
          </cell>
          <cell r="E7032" t="str">
            <v>LC</v>
          </cell>
          <cell r="F7032" t="str">
            <v>in Stroh et al., 2014 (from: Cheffings &amp; Farrell 2005 or subsequent amendments in Leach 2007, 2010; Leach &amp; Walker 2011, 2013)</v>
          </cell>
          <cell r="G7032" t="str">
            <v>NBNSYS0000002953</v>
          </cell>
          <cell r="H7032" t="str">
            <v>Hypericum androsaemum</v>
          </cell>
        </row>
        <row r="7033">
          <cell r="A7033" t="str">
            <v>Hypericum elodes</v>
          </cell>
          <cell r="B7033" t="str">
            <v>Vascular plants</v>
          </cell>
          <cell r="C7033" t="str">
            <v>Tracheophyta</v>
          </cell>
          <cell r="D7033" t="str">
            <v>Hypericum elodes</v>
          </cell>
          <cell r="E7033" t="str">
            <v>LC</v>
          </cell>
          <cell r="F7033" t="str">
            <v>in Stroh et al., 2014 (from: Cheffings &amp; Farrell 2005 or subsequent amendments in Leach 2007, 2010; Leach &amp; Walker 2011, 2013)</v>
          </cell>
          <cell r="G7033" t="str">
            <v>NBNSYS0000002969</v>
          </cell>
          <cell r="H7033" t="str">
            <v>Hypericum elodes</v>
          </cell>
        </row>
        <row r="7034">
          <cell r="A7034" t="str">
            <v>Hypericum hirsutum</v>
          </cell>
          <cell r="B7034" t="str">
            <v>Vascular plants</v>
          </cell>
          <cell r="C7034" t="str">
            <v>Tracheophyta</v>
          </cell>
          <cell r="D7034" t="str">
            <v>Hypericum hirsutum</v>
          </cell>
          <cell r="E7034" t="str">
            <v>LC</v>
          </cell>
          <cell r="F7034" t="str">
            <v>in Stroh et al., 2014 (from: Cheffings &amp; Farrell 2005 or subsequent amendments in Leach 2007, 2010; Leach &amp; Walker 2011, 2013)</v>
          </cell>
          <cell r="G7034" t="str">
            <v>NBNSYS0000002967</v>
          </cell>
          <cell r="H7034" t="str">
            <v>Hypericum hirsutum</v>
          </cell>
        </row>
        <row r="7035">
          <cell r="A7035" t="str">
            <v>Hypericum humifusum</v>
          </cell>
          <cell r="B7035" t="str">
            <v>Vascular plants</v>
          </cell>
          <cell r="C7035" t="str">
            <v>Tracheophyta</v>
          </cell>
          <cell r="D7035" t="str">
            <v>Hypericum humifusum</v>
          </cell>
          <cell r="E7035" t="str">
            <v>LC</v>
          </cell>
          <cell r="F7035" t="str">
            <v>in Stroh et al., 2014 (from: Cheffings &amp; Farrell 2005 or subsequent amendments in Leach 2007, 2010; Leach &amp; Walker 2011, 2013)</v>
          </cell>
          <cell r="G7035" t="str">
            <v>NBNSYS0000002964</v>
          </cell>
          <cell r="H7035" t="str">
            <v>Hypericum humifusum</v>
          </cell>
        </row>
        <row r="7036">
          <cell r="A7036" t="str">
            <v>Hypericum linariifolium</v>
          </cell>
          <cell r="B7036" t="str">
            <v>Vascular plants</v>
          </cell>
          <cell r="C7036" t="str">
            <v>Tracheophyta</v>
          </cell>
          <cell r="D7036" t="str">
            <v>Hypericum linariifolium</v>
          </cell>
          <cell r="E7036" t="str">
            <v>NT</v>
          </cell>
          <cell r="F7036" t="str">
            <v>in Stroh et al., 2014 (from: Cheffings &amp; Farrell 2005 or subsequent amendments in Leach 2007, 2010; Leach &amp; Walker 2011, 2013)</v>
          </cell>
          <cell r="G7036" t="str">
            <v>NBNSYS0000002965</v>
          </cell>
          <cell r="H7036" t="str">
            <v>Hypericum linariifolium</v>
          </cell>
        </row>
        <row r="7037">
          <cell r="A7037" t="str">
            <v>Hypericum maculatum</v>
          </cell>
          <cell r="B7037" t="str">
            <v>Vascular plants</v>
          </cell>
          <cell r="C7037" t="str">
            <v>Tracheophyta</v>
          </cell>
          <cell r="D7037" t="str">
            <v>Hypericum maculatum</v>
          </cell>
          <cell r="E7037" t="str">
            <v>LC</v>
          </cell>
          <cell r="F7037" t="str">
            <v>in Stroh et al., 2014 (from: Cheffings &amp; Farrell 2005 or subsequent amendments in Leach 2007, 2010; Leach &amp; Walker 2011, 2013)</v>
          </cell>
          <cell r="G7037" t="str">
            <v>NBNSYS0000002958</v>
          </cell>
          <cell r="H7037" t="str">
            <v>Hypericum maculatum</v>
          </cell>
        </row>
        <row r="7038">
          <cell r="A7038" t="str">
            <v>Hypericum montanum</v>
          </cell>
          <cell r="B7038" t="str">
            <v>Vascular plants</v>
          </cell>
          <cell r="C7038" t="str">
            <v>Tracheophyta</v>
          </cell>
          <cell r="D7038" t="str">
            <v>Hypericum montanum</v>
          </cell>
          <cell r="E7038" t="str">
            <v>NT</v>
          </cell>
          <cell r="F7038" t="str">
            <v>in Stroh et al., 2014 (from: Cheffings &amp; Farrell 2005 or subsequent amendments in Leach 2007, 2010; Leach &amp; Walker 2011, 2013)</v>
          </cell>
          <cell r="G7038" t="str">
            <v>NBNSYS0000002968</v>
          </cell>
          <cell r="H7038" t="str">
            <v>Hypericum montanum</v>
          </cell>
        </row>
        <row r="7039">
          <cell r="A7039" t="str">
            <v>Hypericum perforatum</v>
          </cell>
          <cell r="B7039" t="str">
            <v>Vascular plants</v>
          </cell>
          <cell r="C7039" t="str">
            <v>Tracheophyta</v>
          </cell>
          <cell r="D7039" t="str">
            <v>Hypericum perforatum</v>
          </cell>
          <cell r="E7039" t="str">
            <v>LC</v>
          </cell>
          <cell r="F7039" t="str">
            <v>in Stroh et al., 2014 (from: Cheffings &amp; Farrell 2005 or subsequent amendments in Leach 2007, 2010; Leach &amp; Walker 2011, 2013)</v>
          </cell>
          <cell r="G7039" t="str">
            <v>NBNSYS0000002957</v>
          </cell>
          <cell r="H7039" t="str">
            <v>Hypericum perforatum</v>
          </cell>
        </row>
        <row r="7040">
          <cell r="A7040" t="str">
            <v>Hypericum pulchrum</v>
          </cell>
          <cell r="B7040" t="str">
            <v>Vascular plants</v>
          </cell>
          <cell r="C7040" t="str">
            <v>Tracheophyta</v>
          </cell>
          <cell r="D7040" t="str">
            <v>Hypericum pulchrum</v>
          </cell>
          <cell r="E7040" t="str">
            <v>LC</v>
          </cell>
          <cell r="F7040" t="str">
            <v>in Stroh et al., 2014 (from: Cheffings &amp; Farrell 2005 or subsequent amendments in Leach 2007, 2010; Leach &amp; Walker 2011, 2013)</v>
          </cell>
          <cell r="G7040" t="str">
            <v>NBNSYS0000002966</v>
          </cell>
          <cell r="H7040" t="str">
            <v>Hypericum pulchrum</v>
          </cell>
        </row>
        <row r="7041">
          <cell r="A7041" t="str">
            <v>Hypericum tetrapterum</v>
          </cell>
          <cell r="B7041" t="str">
            <v>Vascular plants</v>
          </cell>
          <cell r="C7041" t="str">
            <v>Tracheophyta</v>
          </cell>
          <cell r="D7041" t="str">
            <v>Hypericum tetrapterum</v>
          </cell>
          <cell r="E7041" t="str">
            <v>LC</v>
          </cell>
          <cell r="F7041" t="str">
            <v>in Stroh et al., 2014 (from: Cheffings &amp; Farrell 2005 or subsequent amendments in Leach 2007, 2010; Leach &amp; Walker 2011, 2013)</v>
          </cell>
          <cell r="G7041" t="str">
            <v>NHMSYS0000459860</v>
          </cell>
          <cell r="H7041" t="str">
            <v>Hypericum tetrapterum</v>
          </cell>
        </row>
        <row r="7042">
          <cell r="A7042" t="str">
            <v>Hypericum undulatum</v>
          </cell>
          <cell r="B7042" t="str">
            <v>Vascular plants</v>
          </cell>
          <cell r="C7042" t="str">
            <v>Tracheophyta</v>
          </cell>
          <cell r="D7042" t="str">
            <v>Hypericum undulatum</v>
          </cell>
          <cell r="E7042" t="str">
            <v>LC</v>
          </cell>
          <cell r="F7042" t="str">
            <v>in Stroh et al., 2014 (from: Cheffings &amp; Farrell 2005 or subsequent amendments in Leach 2007, 2010; Leach &amp; Walker 2011, 2013)</v>
          </cell>
          <cell r="G7042" t="str">
            <v>NHMSYS0000459861</v>
          </cell>
          <cell r="H7042" t="str">
            <v>Hypericum undulatum</v>
          </cell>
        </row>
        <row r="7043">
          <cell r="A7043" t="str">
            <v>Hypochaeris glabra</v>
          </cell>
          <cell r="B7043" t="str">
            <v>Vascular plants</v>
          </cell>
          <cell r="C7043" t="str">
            <v>Tracheophyta</v>
          </cell>
          <cell r="D7043" t="str">
            <v>Hypochaeris glabra</v>
          </cell>
          <cell r="E7043" t="str">
            <v>VU</v>
          </cell>
          <cell r="F7043" t="str">
            <v>in Stroh et al., 2014 (from: Cheffings &amp; Farrell 2005 or subsequent amendments in Leach 2007, 2010; Leach &amp; Walker 2011, 2013)</v>
          </cell>
          <cell r="G7043" t="str">
            <v>NBNSYS0000004519</v>
          </cell>
          <cell r="H7043" t="str">
            <v>Hypochaeris glabra</v>
          </cell>
        </row>
        <row r="7044">
          <cell r="A7044" t="str">
            <v>Hypochaeris maculata</v>
          </cell>
          <cell r="B7044" t="str">
            <v>Vascular plants</v>
          </cell>
          <cell r="C7044" t="str">
            <v>Tracheophyta</v>
          </cell>
          <cell r="D7044" t="str">
            <v>Hypochaeris maculata</v>
          </cell>
          <cell r="E7044" t="str">
            <v>NT</v>
          </cell>
          <cell r="F7044" t="str">
            <v>in Stroh et al., 2014 (from: Cheffings &amp; Farrell 2005 or subsequent amendments in Leach 2007, 2010; Leach &amp; Walker 2011, 2013)</v>
          </cell>
          <cell r="G7044" t="str">
            <v>NBNSYS0000004521</v>
          </cell>
          <cell r="H7044" t="str">
            <v>Hypochaeris maculata</v>
          </cell>
        </row>
        <row r="7045">
          <cell r="A7045" t="str">
            <v>Hypochaeris radicata</v>
          </cell>
          <cell r="B7045" t="str">
            <v>Vascular plants</v>
          </cell>
          <cell r="C7045" t="str">
            <v>Tracheophyta</v>
          </cell>
          <cell r="D7045" t="str">
            <v>Hypochaeris radicata</v>
          </cell>
          <cell r="E7045" t="str">
            <v>LC</v>
          </cell>
          <cell r="F7045" t="str">
            <v>in Stroh et al., 2014 (from: Cheffings &amp; Farrell 2005 or subsequent amendments in Leach 2007, 2010; Leach &amp; Walker 2011, 2013)</v>
          </cell>
          <cell r="G7045" t="str">
            <v>NBNSYS0000004518</v>
          </cell>
          <cell r="H7045" t="str">
            <v>Hypochaeris radicata</v>
          </cell>
        </row>
        <row r="7046">
          <cell r="A7046" t="str">
            <v>Hypopitys monotropa</v>
          </cell>
          <cell r="B7046" t="str">
            <v>Vascular plants</v>
          </cell>
          <cell r="C7046" t="str">
            <v>Tracheophyta</v>
          </cell>
          <cell r="D7046" t="str">
            <v>Hypopitys monotropa</v>
          </cell>
          <cell r="E7046" t="str">
            <v>EN</v>
          </cell>
          <cell r="F7046" t="str">
            <v>in Stroh et al., 2014 (from: Cheffings &amp; Farrell 2005 or subsequent amendments in Leach 2007, 2010; Leach &amp; Walker 2011, 2013)</v>
          </cell>
          <cell r="G7046" t="str">
            <v>NHMSYS0021240704</v>
          </cell>
          <cell r="H7046" t="str">
            <v>Hypopitys monotropa</v>
          </cell>
        </row>
        <row r="7047">
          <cell r="A7047" t="str">
            <v>Iberis amara</v>
          </cell>
          <cell r="B7047" t="str">
            <v>Vascular plants</v>
          </cell>
          <cell r="C7047" t="str">
            <v>Tracheophyta</v>
          </cell>
          <cell r="D7047" t="str">
            <v>Iberis amara</v>
          </cell>
          <cell r="E7047" t="str">
            <v>VU</v>
          </cell>
          <cell r="F7047" t="str">
            <v>in Stroh et al., 2014 (from: Cheffings &amp; Farrell 2005 or subsequent amendments in Leach 2007, 2010; Leach &amp; Walker 2011, 2013)</v>
          </cell>
          <cell r="G7047" t="str">
            <v>NBNSYS0000002840</v>
          </cell>
          <cell r="H7047" t="str">
            <v>Iberis amara</v>
          </cell>
        </row>
        <row r="7048">
          <cell r="A7048" t="str">
            <v>Ilex aquifolium</v>
          </cell>
          <cell r="B7048" t="str">
            <v>Vascular plants</v>
          </cell>
          <cell r="C7048" t="str">
            <v>Tracheophyta</v>
          </cell>
          <cell r="D7048" t="str">
            <v>Ilex aquifolium</v>
          </cell>
          <cell r="E7048" t="str">
            <v>LC</v>
          </cell>
          <cell r="F7048" t="str">
            <v>in Stroh et al., 2014 (from: Cheffings &amp; Farrell 2005 or subsequent amendments in Leach 2007, 2010; Leach &amp; Walker 2011, 2013)</v>
          </cell>
          <cell r="G7048" t="str">
            <v>NBNSYS0000003194</v>
          </cell>
          <cell r="H7048" t="str">
            <v>Ilex aquifolium</v>
          </cell>
        </row>
        <row r="7049">
          <cell r="A7049" t="str">
            <v>Illecebrum verticillatum</v>
          </cell>
          <cell r="B7049" t="str">
            <v>Vascular plants</v>
          </cell>
          <cell r="C7049" t="str">
            <v>Tracheophyta</v>
          </cell>
          <cell r="D7049" t="str">
            <v>Illecebrum verticillatum</v>
          </cell>
          <cell r="E7049" t="str">
            <v>EN</v>
          </cell>
          <cell r="F7049" t="str">
            <v>in Stroh et al., 2014 (from: Cheffings &amp; Farrell 2005 or subsequent amendments in Leach 2007, 2010; Leach &amp; Walker 2011, 2013)</v>
          </cell>
          <cell r="G7049" t="str">
            <v>NBNSYS0000004586</v>
          </cell>
          <cell r="H7049" t="str">
            <v>Illecebrum verticillatum</v>
          </cell>
        </row>
        <row r="7050">
          <cell r="A7050" t="str">
            <v>Impatiens noli-tangere</v>
          </cell>
          <cell r="B7050" t="str">
            <v>Vascular plants</v>
          </cell>
          <cell r="C7050" t="str">
            <v>Tracheophyta</v>
          </cell>
          <cell r="D7050" t="str">
            <v>Impatiens noli-tangere</v>
          </cell>
          <cell r="E7050" t="str">
            <v>LC</v>
          </cell>
          <cell r="F7050" t="str">
            <v>in Stroh et al., 2014 (from: Cheffings &amp; Farrell 2005 or subsequent amendments in Leach 2007, 2010; Leach &amp; Walker 2011, 2013)</v>
          </cell>
          <cell r="G7050" t="str">
            <v>NBNSYS0000003186</v>
          </cell>
          <cell r="H7050" t="str">
            <v>Impatiens noli-tangere</v>
          </cell>
        </row>
        <row r="7051">
          <cell r="A7051" t="str">
            <v>Inula conyzae</v>
          </cell>
          <cell r="B7051" t="str">
            <v>Vascular plants</v>
          </cell>
          <cell r="C7051" t="str">
            <v>Tracheophyta</v>
          </cell>
          <cell r="D7051" t="str">
            <v>Inula conyzae</v>
          </cell>
          <cell r="E7051" t="str">
            <v>LC</v>
          </cell>
          <cell r="F7051" t="str">
            <v>in Stroh et al., 2014 (from: Cheffings &amp; Farrell 2005 or subsequent amendments in Leach 2007, 2010; Leach &amp; Walker 2011, 2013)</v>
          </cell>
          <cell r="G7051" t="str">
            <v>NBNSYS0000004397</v>
          </cell>
          <cell r="H7051" t="str">
            <v>Inula conyzae</v>
          </cell>
        </row>
        <row r="7052">
          <cell r="A7052" t="str">
            <v>Inula crithmoides</v>
          </cell>
          <cell r="B7052" t="str">
            <v>Vascular plants</v>
          </cell>
          <cell r="C7052" t="str">
            <v>Tracheophyta</v>
          </cell>
          <cell r="D7052" t="str">
            <v>Inula crithmoides</v>
          </cell>
          <cell r="E7052" t="str">
            <v>LC</v>
          </cell>
          <cell r="F7052" t="str">
            <v>in Stroh et al., 2014 (from: Cheffings &amp; Farrell 2005 or subsequent amendments in Leach 2007, 2010; Leach &amp; Walker 2011, 2013)</v>
          </cell>
          <cell r="G7052" t="str">
            <v>NBNSYS0000004398</v>
          </cell>
          <cell r="H7052" t="str">
            <v>Inula crithmoides</v>
          </cell>
        </row>
        <row r="7053">
          <cell r="A7053" t="str">
            <v>Iris foetidissima</v>
          </cell>
          <cell r="B7053" t="str">
            <v>Vascular plants</v>
          </cell>
          <cell r="C7053" t="str">
            <v>Tracheophyta</v>
          </cell>
          <cell r="D7053" t="str">
            <v>Iris foetidissima</v>
          </cell>
          <cell r="E7053" t="str">
            <v>LC</v>
          </cell>
          <cell r="F7053" t="str">
            <v>in Stroh et al., 2014 (from: Cheffings &amp; Farrell 2005 or subsequent amendments in Leach 2007, 2010; Leach &amp; Walker 2011, 2013)</v>
          </cell>
          <cell r="G7053" t="str">
            <v>NBNSYS0000002268</v>
          </cell>
          <cell r="H7053" t="str">
            <v>Iris foetidissima</v>
          </cell>
        </row>
        <row r="7054">
          <cell r="A7054" t="str">
            <v>Iris pseudacorus</v>
          </cell>
          <cell r="B7054" t="str">
            <v>Vascular plants</v>
          </cell>
          <cell r="C7054" t="str">
            <v>Tracheophyta</v>
          </cell>
          <cell r="D7054" t="str">
            <v>Iris pseudacorus</v>
          </cell>
          <cell r="E7054" t="str">
            <v>LC</v>
          </cell>
          <cell r="F7054" t="str">
            <v>in Stroh et al., 2014 (from: Cheffings &amp; Farrell 2005 or subsequent amendments in Leach 2007, 2010; Leach &amp; Walker 2011, 2013)</v>
          </cell>
          <cell r="G7054" t="str">
            <v>NBNSYS0000002269</v>
          </cell>
          <cell r="H7054" t="str">
            <v>Iris pseudacorus</v>
          </cell>
        </row>
        <row r="7055">
          <cell r="A7055" t="str">
            <v>Isoetes echinospora</v>
          </cell>
          <cell r="B7055" t="str">
            <v>Vascular plants</v>
          </cell>
          <cell r="C7055" t="str">
            <v>Tracheophyta</v>
          </cell>
          <cell r="D7055" t="str">
            <v>Isoetes echinospora</v>
          </cell>
          <cell r="E7055" t="str">
            <v>LC</v>
          </cell>
          <cell r="F7055" t="str">
            <v>in Stroh et al., 2014 (from: Cheffings &amp; Farrell 2005 or subsequent amendments in Leach 2007, 2010; Leach &amp; Walker 2011, 2013)</v>
          </cell>
          <cell r="G7055" t="str">
            <v>NBNSYS0000002009</v>
          </cell>
          <cell r="H7055" t="str">
            <v>Isoetes echinospora</v>
          </cell>
        </row>
        <row r="7056">
          <cell r="A7056" t="str">
            <v>Isoetes histrix</v>
          </cell>
          <cell r="B7056" t="str">
            <v>Vascular plants</v>
          </cell>
          <cell r="C7056" t="str">
            <v>Tracheophyta</v>
          </cell>
          <cell r="D7056" t="str">
            <v>Isoetes histrix</v>
          </cell>
          <cell r="E7056" t="str">
            <v>VU</v>
          </cell>
          <cell r="F7056" t="str">
            <v>in Stroh et al., 2014 (from: Cheffings &amp; Farrell 2005 or subsequent amendments in Leach 2007, 2010; Leach &amp; Walker 2011, 2013)</v>
          </cell>
          <cell r="G7056" t="str">
            <v>NBNSYS0000002010</v>
          </cell>
          <cell r="H7056" t="str">
            <v>Isoetes histrix</v>
          </cell>
        </row>
        <row r="7057">
          <cell r="A7057" t="str">
            <v>Isoetes lacustris</v>
          </cell>
          <cell r="B7057" t="str">
            <v>Vascular plants</v>
          </cell>
          <cell r="C7057" t="str">
            <v>Tracheophyta</v>
          </cell>
          <cell r="D7057" t="str">
            <v>Isoetes lacustris</v>
          </cell>
          <cell r="E7057" t="str">
            <v>LC</v>
          </cell>
          <cell r="F7057" t="str">
            <v>in Stroh et al., 2014 (from: Cheffings &amp; Farrell 2005 or subsequent amendments in Leach 2007, 2010; Leach &amp; Walker 2011, 2013)</v>
          </cell>
          <cell r="G7057" t="str">
            <v>NBNSYS0000002008</v>
          </cell>
          <cell r="H7057" t="str">
            <v>Isoetes lacustris</v>
          </cell>
        </row>
        <row r="7058">
          <cell r="A7058" t="str">
            <v>Isolepis cernua</v>
          </cell>
          <cell r="B7058" t="str">
            <v>Vascular plants</v>
          </cell>
          <cell r="C7058" t="str">
            <v>Tracheophyta</v>
          </cell>
          <cell r="D7058" t="str">
            <v>Isolepis cernua</v>
          </cell>
          <cell r="E7058" t="str">
            <v>LC</v>
          </cell>
          <cell r="F7058" t="str">
            <v>in Stroh et al., 2014 (from: Cheffings &amp; Farrell 2005 or subsequent amendments in Leach 2007, 2010; Leach &amp; Walker 2011, 2013)</v>
          </cell>
          <cell r="G7058" t="str">
            <v>NHMSYS0000459922</v>
          </cell>
          <cell r="H7058" t="str">
            <v>Isolepis cernua</v>
          </cell>
        </row>
        <row r="7059">
          <cell r="A7059" t="str">
            <v>Isolepis setacea</v>
          </cell>
          <cell r="B7059" t="str">
            <v>Vascular plants</v>
          </cell>
          <cell r="C7059" t="str">
            <v>Tracheophyta</v>
          </cell>
          <cell r="D7059" t="str">
            <v>Isolepis setacea</v>
          </cell>
          <cell r="E7059" t="str">
            <v>LC</v>
          </cell>
          <cell r="F7059" t="str">
            <v>in Stroh et al., 2014 (from: Cheffings &amp; Farrell 2005 or subsequent amendments in Leach 2007, 2010; Leach &amp; Walker 2011, 2013)</v>
          </cell>
          <cell r="G7059" t="str">
            <v>NHMSYS0000459924</v>
          </cell>
          <cell r="H7059" t="str">
            <v>Isolepis setacea</v>
          </cell>
        </row>
        <row r="7060">
          <cell r="A7060" t="str">
            <v>Jasione montana</v>
          </cell>
          <cell r="B7060" t="str">
            <v>Vascular plants</v>
          </cell>
          <cell r="C7060" t="str">
            <v>Tracheophyta</v>
          </cell>
          <cell r="D7060" t="str">
            <v>Jasione montana</v>
          </cell>
          <cell r="E7060" t="str">
            <v>LC</v>
          </cell>
          <cell r="F7060" t="str">
            <v>in Stroh et al., 2014 (from: Cheffings &amp; Farrell 2005 or subsequent amendments in Leach 2007, 2010; Leach &amp; Walker 2011, 2013)</v>
          </cell>
          <cell r="G7060" t="str">
            <v>NBNSYS0000004297</v>
          </cell>
          <cell r="H7060" t="str">
            <v>Jasione montana</v>
          </cell>
        </row>
        <row r="7061">
          <cell r="A7061" t="str">
            <v>Juncus acutiflorus</v>
          </cell>
          <cell r="B7061" t="str">
            <v>Vascular plants</v>
          </cell>
          <cell r="C7061" t="str">
            <v>Tracheophyta</v>
          </cell>
          <cell r="D7061" t="str">
            <v>Juncus acutiflorus</v>
          </cell>
          <cell r="E7061" t="str">
            <v>LC</v>
          </cell>
          <cell r="F7061" t="str">
            <v>in Stroh et al., 2014 (from: Cheffings &amp; Farrell 2005 or subsequent amendments in Leach 2007, 2010; Leach &amp; Walker 2011, 2013)</v>
          </cell>
          <cell r="G7061" t="str">
            <v>NBNSYS0000002230</v>
          </cell>
          <cell r="H7061" t="str">
            <v>Juncus acutiflorus</v>
          </cell>
        </row>
        <row r="7062">
          <cell r="A7062" t="str">
            <v>Juncus acutus</v>
          </cell>
          <cell r="B7062" t="str">
            <v>Vascular plants</v>
          </cell>
          <cell r="C7062" t="str">
            <v>Tracheophyta</v>
          </cell>
          <cell r="D7062" t="str">
            <v>Juncus acutus</v>
          </cell>
          <cell r="E7062" t="str">
            <v>LC</v>
          </cell>
          <cell r="F7062" t="str">
            <v>in Stroh et al., 2014 (from: Cheffings &amp; Farrell 2005 or subsequent amendments in Leach 2007, 2010; Leach &amp; Walker 2011, 2013)</v>
          </cell>
          <cell r="G7062" t="str">
            <v>NBNSYS0000002227</v>
          </cell>
          <cell r="H7062" t="str">
            <v>Juncus acutus</v>
          </cell>
        </row>
        <row r="7063">
          <cell r="A7063" t="str">
            <v>Juncus alpinoarticulatus</v>
          </cell>
          <cell r="B7063" t="str">
            <v>Vascular plants</v>
          </cell>
          <cell r="C7063" t="str">
            <v>Tracheophyta</v>
          </cell>
          <cell r="D7063" t="str">
            <v>Juncus alpinoarticulatus</v>
          </cell>
          <cell r="E7063" t="str">
            <v>LC</v>
          </cell>
          <cell r="F7063" t="str">
            <v>in Stroh et al., 2014 (from: Cheffings &amp; Farrell 2005 or subsequent amendments in Leach 2007, 2010; Leach &amp; Walker 2011, 2013)</v>
          </cell>
          <cell r="G7063" t="str">
            <v>NBNSYS0000002232</v>
          </cell>
          <cell r="H7063" t="str">
            <v>Juncus alpinoarticulatus</v>
          </cell>
        </row>
        <row r="7064">
          <cell r="A7064" t="str">
            <v>Juncus articulatus</v>
          </cell>
          <cell r="B7064" t="str">
            <v>Vascular plants</v>
          </cell>
          <cell r="C7064" t="str">
            <v>Tracheophyta</v>
          </cell>
          <cell r="D7064" t="str">
            <v>Juncus articulatus</v>
          </cell>
          <cell r="E7064" t="str">
            <v>LC</v>
          </cell>
          <cell r="F7064" t="str">
            <v>in Stroh et al., 2014 (from: Cheffings &amp; Farrell 2005 or subsequent amendments in Leach 2007, 2010; Leach &amp; Walker 2011, 2013)</v>
          </cell>
          <cell r="G7064" t="str">
            <v>NBNSYS0000002231</v>
          </cell>
          <cell r="H7064" t="str">
            <v>Juncus articulatus</v>
          </cell>
        </row>
        <row r="7065">
          <cell r="A7065" t="str">
            <v>Juncus balticus</v>
          </cell>
          <cell r="B7065" t="str">
            <v>Vascular plants</v>
          </cell>
          <cell r="C7065" t="str">
            <v>Tracheophyta</v>
          </cell>
          <cell r="D7065" t="str">
            <v>Juncus balticus</v>
          </cell>
          <cell r="E7065" t="str">
            <v>LC</v>
          </cell>
          <cell r="F7065" t="str">
            <v>in Stroh et al., 2014 (from: Cheffings &amp; Farrell 2005 or subsequent amendments in Leach 2007, 2010; Leach &amp; Walker 2011, 2013)</v>
          </cell>
          <cell r="G7065" t="str">
            <v>NBNSYS0000002225</v>
          </cell>
          <cell r="H7065" t="str">
            <v>Juncus balticus</v>
          </cell>
        </row>
        <row r="7066">
          <cell r="A7066" t="str">
            <v>Juncus bufonius s.l.</v>
          </cell>
          <cell r="B7066" t="str">
            <v>Vascular plants</v>
          </cell>
          <cell r="C7066" t="str">
            <v>Tracheophyta</v>
          </cell>
          <cell r="D7066" t="str">
            <v>Juncus bufonius s.l.</v>
          </cell>
          <cell r="E7066" t="str">
            <v>LC</v>
          </cell>
          <cell r="F7066" t="str">
            <v>in Stroh et al., 2014 (from: Cheffings &amp; Farrell 2005 or subsequent amendments in Leach 2007, 2010; Leach &amp; Walker 2011, 2013)</v>
          </cell>
          <cell r="G7066" t="str">
            <v>NHMSYS0000352722</v>
          </cell>
          <cell r="H7066" t="str">
            <v>Juncus bufonius s.l.</v>
          </cell>
        </row>
        <row r="7067">
          <cell r="A7067" t="str">
            <v>Juncus bulbosus</v>
          </cell>
          <cell r="B7067" t="str">
            <v>Vascular plants</v>
          </cell>
          <cell r="C7067" t="str">
            <v>Tracheophyta</v>
          </cell>
          <cell r="D7067" t="str">
            <v>Juncus bulbosus</v>
          </cell>
          <cell r="E7067" t="str">
            <v>LC</v>
          </cell>
          <cell r="F7067" t="str">
            <v>in Stroh et al., 2014 (from: Cheffings &amp; Farrell 2005 or subsequent amendments in Leach 2007, 2010; Leach &amp; Walker 2011, 2013)</v>
          </cell>
          <cell r="G7067" t="str">
            <v>NBNSYS0000002234</v>
          </cell>
          <cell r="H7067" t="str">
            <v>Juncus bulbosus</v>
          </cell>
        </row>
        <row r="7068">
          <cell r="A7068" t="str">
            <v>Juncus capitatus</v>
          </cell>
          <cell r="B7068" t="str">
            <v>Vascular plants</v>
          </cell>
          <cell r="C7068" t="str">
            <v>Tracheophyta</v>
          </cell>
          <cell r="D7068" t="str">
            <v>Juncus capitatus</v>
          </cell>
          <cell r="E7068" t="str">
            <v>VU</v>
          </cell>
          <cell r="F7068" t="str">
            <v>in Stroh et al., 2014 (from: Cheffings &amp; Farrell 2005 or subsequent amendments in Leach 2007, 2010; Leach &amp; Walker 2011, 2013)</v>
          </cell>
          <cell r="G7068" t="str">
            <v>NBNSYS0000002228</v>
          </cell>
          <cell r="H7068" t="str">
            <v>Juncus capitatus</v>
          </cell>
        </row>
        <row r="7069">
          <cell r="A7069" t="str">
            <v>Juncus compressus</v>
          </cell>
          <cell r="B7069" t="str">
            <v>Vascular plants</v>
          </cell>
          <cell r="C7069" t="str">
            <v>Tracheophyta</v>
          </cell>
          <cell r="D7069" t="str">
            <v>Juncus compressus</v>
          </cell>
          <cell r="E7069" t="str">
            <v>NT</v>
          </cell>
          <cell r="F7069" t="str">
            <v>in Stroh et al., 2014 (from: Cheffings &amp; Farrell 2005 or subsequent amendments in Leach 2007, 2010; Leach &amp; Walker 2011, 2013)</v>
          </cell>
          <cell r="G7069" t="str">
            <v>NBNSYS0000002213</v>
          </cell>
          <cell r="H7069" t="str">
            <v>Juncus compressus</v>
          </cell>
        </row>
        <row r="7070">
          <cell r="A7070" t="str">
            <v>Juncus conglomeratus</v>
          </cell>
          <cell r="B7070" t="str">
            <v>Vascular plants</v>
          </cell>
          <cell r="C7070" t="str">
            <v>Tracheophyta</v>
          </cell>
          <cell r="D7070" t="str">
            <v>Juncus conglomeratus</v>
          </cell>
          <cell r="E7070" t="str">
            <v>LC</v>
          </cell>
          <cell r="F7070" t="str">
            <v>in Stroh et al., 2014 (from: Cheffings &amp; Farrell 2005 or subsequent amendments in Leach 2007, 2010; Leach &amp; Walker 2011, 2013)</v>
          </cell>
          <cell r="G7070" t="str">
            <v>NBNSYS0000002222</v>
          </cell>
          <cell r="H7070" t="str">
            <v>Juncus conglomeratus</v>
          </cell>
        </row>
        <row r="7071">
          <cell r="A7071" t="str">
            <v>Juncus effusus</v>
          </cell>
          <cell r="B7071" t="str">
            <v>Vascular plants</v>
          </cell>
          <cell r="C7071" t="str">
            <v>Tracheophyta</v>
          </cell>
          <cell r="D7071" t="str">
            <v>Juncus effusus</v>
          </cell>
          <cell r="E7071" t="str">
            <v>LC</v>
          </cell>
          <cell r="F7071" t="str">
            <v>in Stroh et al., 2014 (from: Cheffings &amp; Farrell 2005 or subsequent amendments in Leach 2007, 2010; Leach &amp; Walker 2011, 2013)</v>
          </cell>
          <cell r="G7071" t="str">
            <v>NBNSYS0000002221</v>
          </cell>
          <cell r="H7071" t="str">
            <v>Juncus effusus</v>
          </cell>
        </row>
        <row r="7072">
          <cell r="A7072" t="str">
            <v>Juncus filiformis</v>
          </cell>
          <cell r="B7072" t="str">
            <v>Vascular plants</v>
          </cell>
          <cell r="C7072" t="str">
            <v>Tracheophyta</v>
          </cell>
          <cell r="D7072" t="str">
            <v>Juncus filiformis</v>
          </cell>
          <cell r="E7072" t="str">
            <v>LC</v>
          </cell>
          <cell r="F7072" t="str">
            <v>in Stroh et al., 2014 (from: Cheffings &amp; Farrell 2005 or subsequent amendments in Leach 2007, 2010; Leach &amp; Walker 2011, 2013)</v>
          </cell>
          <cell r="G7072" t="str">
            <v>NBNSYS0000002224</v>
          </cell>
          <cell r="H7072" t="str">
            <v>Juncus filiformis</v>
          </cell>
        </row>
        <row r="7073">
          <cell r="A7073" t="str">
            <v>Juncus foliosus</v>
          </cell>
          <cell r="B7073" t="str">
            <v>Vascular plants</v>
          </cell>
          <cell r="C7073" t="str">
            <v>Tracheophyta</v>
          </cell>
          <cell r="D7073" t="str">
            <v>Juncus foliosus</v>
          </cell>
          <cell r="E7073" t="str">
            <v>LC</v>
          </cell>
          <cell r="F7073" t="str">
            <v>in Stroh et al., 2014 (from: Cheffings &amp; Farrell 2005 or subsequent amendments in Leach 2007, 2010; Leach &amp; Walker 2011, 2013)</v>
          </cell>
          <cell r="G7073" t="str">
            <v>NBNSYS0000002219</v>
          </cell>
          <cell r="H7073" t="str">
            <v>Juncus foliosus</v>
          </cell>
        </row>
        <row r="7074">
          <cell r="A7074" t="str">
            <v>Juncus gerardii</v>
          </cell>
          <cell r="B7074" t="str">
            <v>Vascular plants</v>
          </cell>
          <cell r="C7074" t="str">
            <v>Tracheophyta</v>
          </cell>
          <cell r="D7074" t="str">
            <v>Juncus gerardii</v>
          </cell>
          <cell r="E7074" t="str">
            <v>LC</v>
          </cell>
          <cell r="F7074" t="str">
            <v>in Stroh et al., 2014 (from: Cheffings &amp; Farrell 2005 or subsequent amendments in Leach 2007, 2010; Leach &amp; Walker 2011, 2013)</v>
          </cell>
          <cell r="G7074" t="str">
            <v>NBNSYS0000002214</v>
          </cell>
          <cell r="H7074" t="str">
            <v>Juncus gerardii</v>
          </cell>
        </row>
        <row r="7075">
          <cell r="A7075" t="str">
            <v>Juncus inflexus</v>
          </cell>
          <cell r="B7075" t="str">
            <v>Vascular plants</v>
          </cell>
          <cell r="C7075" t="str">
            <v>Tracheophyta</v>
          </cell>
          <cell r="D7075" t="str">
            <v>Juncus inflexus</v>
          </cell>
          <cell r="E7075" t="str">
            <v>LC</v>
          </cell>
          <cell r="F7075" t="str">
            <v>in Stroh et al., 2014 (from: Cheffings &amp; Farrell 2005 or subsequent amendments in Leach 2007, 2010; Leach &amp; Walker 2011, 2013)</v>
          </cell>
          <cell r="G7075" t="str">
            <v>NBNSYS0000002220</v>
          </cell>
          <cell r="H7075" t="str">
            <v>Juncus inflexus</v>
          </cell>
        </row>
        <row r="7076">
          <cell r="A7076" t="str">
            <v>Juncus maritimus</v>
          </cell>
          <cell r="B7076" t="str">
            <v>Vascular plants</v>
          </cell>
          <cell r="C7076" t="str">
            <v>Tracheophyta</v>
          </cell>
          <cell r="D7076" t="str">
            <v>Juncus maritimus</v>
          </cell>
          <cell r="E7076" t="str">
            <v>LC</v>
          </cell>
          <cell r="F7076" t="str">
            <v>in Stroh et al., 2014 (from: Cheffings &amp; Farrell 2005 or subsequent amendments in Leach 2007, 2010; Leach &amp; Walker 2011, 2013)</v>
          </cell>
          <cell r="G7076" t="str">
            <v>NBNSYS0000002226</v>
          </cell>
          <cell r="H7076" t="str">
            <v>Juncus maritimus</v>
          </cell>
        </row>
        <row r="7077">
          <cell r="A7077" t="str">
            <v>Juncus pygmaeus</v>
          </cell>
          <cell r="B7077" t="str">
            <v>Vascular plants</v>
          </cell>
          <cell r="C7077" t="str">
            <v>Tracheophyta</v>
          </cell>
          <cell r="D7077" t="str">
            <v>Juncus pygmaeus</v>
          </cell>
          <cell r="E7077" t="str">
            <v>EN</v>
          </cell>
          <cell r="F7077" t="str">
            <v>in Stroh et al., 2014 (from: Cheffings &amp; Farrell 2005 or subsequent amendments in Leach 2007, 2010; Leach &amp; Walker 2011, 2013)</v>
          </cell>
          <cell r="G7077" t="str">
            <v>NHMSYS0000459987</v>
          </cell>
          <cell r="H7077" t="str">
            <v>Juncus pygmaeus</v>
          </cell>
        </row>
        <row r="7078">
          <cell r="A7078" t="str">
            <v>Juncus ranarius</v>
          </cell>
          <cell r="B7078" t="str">
            <v>Vascular plants</v>
          </cell>
          <cell r="C7078" t="str">
            <v>Tracheophyta</v>
          </cell>
          <cell r="D7078" t="str">
            <v>Juncus ranarius</v>
          </cell>
          <cell r="E7078" t="str">
            <v>LC</v>
          </cell>
          <cell r="F7078" t="str">
            <v>in Stroh et al., 2014 (from: Cheffings &amp; Farrell 2005 or subsequent amendments in Leach 2007, 2010; Leach &amp; Walker 2011, 2013)</v>
          </cell>
          <cell r="G7078" t="str">
            <v>NBNSYS0000002218</v>
          </cell>
          <cell r="H7078" t="str">
            <v>Juncus ranarius</v>
          </cell>
        </row>
        <row r="7079">
          <cell r="A7079" t="str">
            <v>Juncus squarrosus</v>
          </cell>
          <cell r="B7079" t="str">
            <v>Vascular plants</v>
          </cell>
          <cell r="C7079" t="str">
            <v>Tracheophyta</v>
          </cell>
          <cell r="D7079" t="str">
            <v>Juncus squarrosus</v>
          </cell>
          <cell r="E7079" t="str">
            <v>LC</v>
          </cell>
          <cell r="F7079" t="str">
            <v>in Stroh et al., 2014 (from: Cheffings &amp; Farrell 2005 or subsequent amendments in Leach 2007, 2010; Leach &amp; Walker 2011, 2013)</v>
          </cell>
          <cell r="G7079" t="str">
            <v>NBNSYS0000002210</v>
          </cell>
          <cell r="H7079" t="str">
            <v>Juncus squarrosus</v>
          </cell>
        </row>
        <row r="7080">
          <cell r="A7080" t="str">
            <v>Juncus subnodulosus</v>
          </cell>
          <cell r="B7080" t="str">
            <v>Vascular plants</v>
          </cell>
          <cell r="C7080" t="str">
            <v>Tracheophyta</v>
          </cell>
          <cell r="D7080" t="str">
            <v>Juncus subnodulosus</v>
          </cell>
          <cell r="E7080" t="str">
            <v>LC</v>
          </cell>
          <cell r="F7080" t="str">
            <v>in Stroh et al., 2014 (from: Cheffings &amp; Farrell 2005 or subsequent amendments in Leach 2007, 2010; Leach &amp; Walker 2011, 2013)</v>
          </cell>
          <cell r="G7080" t="str">
            <v>NBNSYS0000002229</v>
          </cell>
          <cell r="H7080" t="str">
            <v>Juncus subnodulosus</v>
          </cell>
        </row>
        <row r="7081">
          <cell r="A7081" t="str">
            <v>Juncus triglumis</v>
          </cell>
          <cell r="B7081" t="str">
            <v>Vascular plants</v>
          </cell>
          <cell r="C7081" t="str">
            <v>Tracheophyta</v>
          </cell>
          <cell r="D7081" t="str">
            <v>Juncus triglumis</v>
          </cell>
          <cell r="E7081" t="str">
            <v>LC</v>
          </cell>
          <cell r="F7081" t="str">
            <v>in Stroh et al., 2014 (from: Cheffings &amp; Farrell 2005 or subsequent amendments in Leach 2007, 2010; Leach &amp; Walker 2011, 2013)</v>
          </cell>
          <cell r="G7081" t="str">
            <v>NBNSYS0000002238</v>
          </cell>
          <cell r="H7081" t="str">
            <v>Juncus triglumis</v>
          </cell>
        </row>
        <row r="7082">
          <cell r="A7082" t="str">
            <v>Juniperus communis</v>
          </cell>
          <cell r="B7082" t="str">
            <v>Vascular plants</v>
          </cell>
          <cell r="C7082" t="str">
            <v>Tracheophyta</v>
          </cell>
          <cell r="D7082" t="str">
            <v>Juniperus communis</v>
          </cell>
          <cell r="E7082" t="str">
            <v>LC</v>
          </cell>
          <cell r="F7082" t="str">
            <v>in Stroh et al., 2014 (from: Cheffings &amp; Farrell 2005 or subsequent amendments in Leach 2007, 2010; Leach &amp; Walker 2011, 2013)</v>
          </cell>
          <cell r="G7082" t="str">
            <v>NBNSYS0000004634</v>
          </cell>
          <cell r="H7082" t="str">
            <v>Juniperus communis</v>
          </cell>
        </row>
        <row r="7083">
          <cell r="A7083" t="str">
            <v>Knautia arvensis</v>
          </cell>
          <cell r="B7083" t="str">
            <v>Vascular plants</v>
          </cell>
          <cell r="C7083" t="str">
            <v>Tracheophyta</v>
          </cell>
          <cell r="D7083" t="str">
            <v>Knautia arvensis</v>
          </cell>
          <cell r="E7083" t="str">
            <v>LC</v>
          </cell>
          <cell r="F7083" t="str">
            <v>in Stroh et al., 2014 (from: Cheffings &amp; Farrell 2005 or subsequent amendments in Leach 2007, 2010; Leach &amp; Walker 2011, 2013)</v>
          </cell>
          <cell r="G7083" t="str">
            <v>NHMSYS0000460024</v>
          </cell>
          <cell r="H7083" t="str">
            <v>Knautia arvensis</v>
          </cell>
        </row>
        <row r="7084">
          <cell r="A7084" t="str">
            <v>Kobresia simpliciuscula</v>
          </cell>
          <cell r="B7084" t="str">
            <v>Vascular plants</v>
          </cell>
          <cell r="C7084" t="str">
            <v>Tracheophyta</v>
          </cell>
          <cell r="D7084" t="str">
            <v>Kobresia simpliciuscula</v>
          </cell>
          <cell r="E7084" t="str">
            <v>LC</v>
          </cell>
          <cell r="F7084" t="str">
            <v>in Stroh et al., 2014 (from: Cheffings &amp; Farrell 2005 or subsequent amendments in Leach 2007, 2010; Leach &amp; Walker 2011, 2013)</v>
          </cell>
          <cell r="G7084" t="str">
            <v>NHMSYS0000460031</v>
          </cell>
          <cell r="H7084" t="str">
            <v>Kobresia simpliciuscula</v>
          </cell>
        </row>
        <row r="7085">
          <cell r="A7085" t="str">
            <v>Koeleria macrantha</v>
          </cell>
          <cell r="B7085" t="str">
            <v>Vascular plants</v>
          </cell>
          <cell r="C7085" t="str">
            <v>Tracheophyta</v>
          </cell>
          <cell r="D7085" t="str">
            <v>Koeleria macrantha</v>
          </cell>
          <cell r="E7085" t="str">
            <v>LC</v>
          </cell>
          <cell r="F7085" t="str">
            <v>in Stroh et al., 2014 (from: Cheffings &amp; Farrell 2005 or subsequent amendments in Leach 2007, 2010; Leach &amp; Walker 2011, 2013)</v>
          </cell>
          <cell r="G7085" t="str">
            <v>NHMSYS0000460038</v>
          </cell>
          <cell r="H7085" t="str">
            <v>Koeleria macrantha</v>
          </cell>
        </row>
        <row r="7086">
          <cell r="A7086" t="str">
            <v>Koeleria vallesiana</v>
          </cell>
          <cell r="B7086" t="str">
            <v>Vascular plants</v>
          </cell>
          <cell r="C7086" t="str">
            <v>Tracheophyta</v>
          </cell>
          <cell r="D7086" t="str">
            <v>Koeleria vallesiana</v>
          </cell>
          <cell r="E7086" t="str">
            <v>VU</v>
          </cell>
          <cell r="F7086" t="str">
            <v>in Stroh et al., 2014 (from: Cheffings &amp; Farrell 2005 or subsequent amendments in Leach 2007, 2010; Leach &amp; Walker 2011, 2013)</v>
          </cell>
          <cell r="G7086" t="str">
            <v>NBNSYS0000002609</v>
          </cell>
          <cell r="H7086" t="str">
            <v>Koeleria vallesiana</v>
          </cell>
        </row>
        <row r="7087">
          <cell r="A7087" t="str">
            <v>Lactuca saligna</v>
          </cell>
          <cell r="B7087" t="str">
            <v>Vascular plants</v>
          </cell>
          <cell r="C7087" t="str">
            <v>Tracheophyta</v>
          </cell>
          <cell r="D7087" t="str">
            <v>Lactuca saligna</v>
          </cell>
          <cell r="E7087" t="str">
            <v>EN</v>
          </cell>
          <cell r="F7087" t="str">
            <v>in Stroh et al., 2014 (from: Cheffings &amp; Farrell 2005 or subsequent amendments in Leach 2007, 2010; Leach &amp; Walker 2011, 2013)</v>
          </cell>
          <cell r="G7087" t="str">
            <v>NBNSYS0000004536</v>
          </cell>
          <cell r="H7087" t="str">
            <v>Lactuca saligna</v>
          </cell>
        </row>
        <row r="7088">
          <cell r="A7088" t="str">
            <v>Lactuca virosa</v>
          </cell>
          <cell r="B7088" t="str">
            <v>Vascular plants</v>
          </cell>
          <cell r="C7088" t="str">
            <v>Tracheophyta</v>
          </cell>
          <cell r="D7088" t="str">
            <v>Lactuca virosa</v>
          </cell>
          <cell r="E7088" t="str">
            <v>LC</v>
          </cell>
          <cell r="F7088" t="str">
            <v>in Stroh et al., 2014 (from: Cheffings &amp; Farrell 2005 or subsequent amendments in Leach 2007, 2010; Leach &amp; Walker 2011, 2013)</v>
          </cell>
          <cell r="G7088" t="str">
            <v>NBNSYS0000004535</v>
          </cell>
          <cell r="H7088" t="str">
            <v>Lactuca virosa</v>
          </cell>
        </row>
        <row r="7089">
          <cell r="A7089" t="str">
            <v>Lamiastrum galeobdolon</v>
          </cell>
          <cell r="B7089" t="str">
            <v>Vascular plants</v>
          </cell>
          <cell r="C7089" t="str">
            <v>Tracheophyta</v>
          </cell>
          <cell r="D7089" t="str">
            <v>Lamiastrum galeobdolon</v>
          </cell>
          <cell r="E7089" t="str">
            <v>LC</v>
          </cell>
          <cell r="F7089" t="str">
            <v>in Stroh et al., 2014 (from: Cheffings &amp; Farrell 2005 or subsequent amendments in Leach 2007, 2010; Leach &amp; Walker 2011, 2013)</v>
          </cell>
          <cell r="G7089" t="str">
            <v>NBNSYS0000004239</v>
          </cell>
          <cell r="H7089" t="str">
            <v>Lamiastrum galeobdolon</v>
          </cell>
        </row>
        <row r="7090">
          <cell r="A7090" t="str">
            <v>Lapsana communis</v>
          </cell>
          <cell r="B7090" t="str">
            <v>Vascular plants</v>
          </cell>
          <cell r="C7090" t="str">
            <v>Tracheophyta</v>
          </cell>
          <cell r="D7090" t="str">
            <v>Lapsana communis</v>
          </cell>
          <cell r="E7090" t="str">
            <v>LC</v>
          </cell>
          <cell r="F7090" t="str">
            <v>in Stroh et al., 2014 (from: Cheffings &amp; Farrell 2005 or subsequent amendments in Leach 2007, 2010; Leach &amp; Walker 2011, 2013)</v>
          </cell>
          <cell r="G7090" t="str">
            <v>NBNSYS0000004515</v>
          </cell>
          <cell r="H7090" t="str">
            <v>Lapsana communis</v>
          </cell>
        </row>
        <row r="7091">
          <cell r="A7091" t="str">
            <v>Lathraea squamaria</v>
          </cell>
          <cell r="B7091" t="str">
            <v>Vascular plants</v>
          </cell>
          <cell r="C7091" t="str">
            <v>Tracheophyta</v>
          </cell>
          <cell r="D7091" t="str">
            <v>Lathraea squamaria</v>
          </cell>
          <cell r="E7091" t="str">
            <v>LC</v>
          </cell>
          <cell r="F7091" t="str">
            <v>in Stroh et al., 2014 (from: Cheffings &amp; Farrell 2005 or subsequent amendments in Leach 2007, 2010; Leach &amp; Walker 2011, 2013)</v>
          </cell>
          <cell r="G7091" t="str">
            <v>NBNSYS0000004169</v>
          </cell>
          <cell r="H7091" t="str">
            <v>Lathraea squamaria</v>
          </cell>
        </row>
        <row r="7092">
          <cell r="A7092" t="str">
            <v>Lathyrus aphaca</v>
          </cell>
          <cell r="B7092" t="str">
            <v>Vascular plants</v>
          </cell>
          <cell r="C7092" t="str">
            <v>Tracheophyta</v>
          </cell>
          <cell r="D7092" t="str">
            <v>Lathyrus aphaca</v>
          </cell>
          <cell r="E7092" t="str">
            <v>VU</v>
          </cell>
          <cell r="F7092" t="str">
            <v>in Stroh et al., 2014 (from: Cheffings &amp; Farrell 2005 or subsequent amendments in Leach 2007, 2010; Leach &amp; Walker 2011, 2013)</v>
          </cell>
          <cell r="G7092" t="str">
            <v>NBNSYS0000003298</v>
          </cell>
          <cell r="H7092" t="str">
            <v>Lathyrus aphaca</v>
          </cell>
        </row>
        <row r="7093">
          <cell r="A7093" t="str">
            <v>Lathyrus japonicus</v>
          </cell>
          <cell r="B7093" t="str">
            <v>Vascular plants</v>
          </cell>
          <cell r="C7093" t="str">
            <v>Tracheophyta</v>
          </cell>
          <cell r="D7093" t="str">
            <v>Lathyrus japonicus</v>
          </cell>
          <cell r="E7093" t="str">
            <v>LC</v>
          </cell>
          <cell r="F7093" t="str">
            <v>in Stroh et al., 2014 (from: Cheffings &amp; Farrell 2005 or subsequent amendments in Leach 2007, 2010; Leach &amp; Walker 2011, 2013)</v>
          </cell>
          <cell r="G7093" t="str">
            <v>NBNSYS0000003307</v>
          </cell>
          <cell r="H7093" t="str">
            <v>Lathyrus japonicus</v>
          </cell>
        </row>
        <row r="7094">
          <cell r="A7094" t="str">
            <v>Lathyrus linifolius</v>
          </cell>
          <cell r="B7094" t="str">
            <v>Vascular plants</v>
          </cell>
          <cell r="C7094" t="str">
            <v>Tracheophyta</v>
          </cell>
          <cell r="D7094" t="str">
            <v>Lathyrus linifolius</v>
          </cell>
          <cell r="E7094" t="str">
            <v>LC</v>
          </cell>
          <cell r="F7094" t="str">
            <v>in Stroh et al., 2014 (from: Cheffings &amp; Farrell 2005 or subsequent amendments in Leach 2007, 2010; Leach &amp; Walker 2011, 2013)</v>
          </cell>
          <cell r="G7094" t="str">
            <v>NHMSYS0000460181</v>
          </cell>
          <cell r="H7094" t="str">
            <v>Lathyrus linifolius</v>
          </cell>
        </row>
        <row r="7095">
          <cell r="A7095" t="str">
            <v>Lathyrus nissolia</v>
          </cell>
          <cell r="B7095" t="str">
            <v>Vascular plants</v>
          </cell>
          <cell r="C7095" t="str">
            <v>Tracheophyta</v>
          </cell>
          <cell r="D7095" t="str">
            <v>Lathyrus nissolia</v>
          </cell>
          <cell r="E7095" t="str">
            <v>LC</v>
          </cell>
          <cell r="F7095" t="str">
            <v>in Stroh et al., 2014 (from: Cheffings &amp; Farrell 2005 or subsequent amendments in Leach 2007, 2010; Leach &amp; Walker 2011, 2013)</v>
          </cell>
          <cell r="G7095" t="str">
            <v>NBNSYS0000003299</v>
          </cell>
          <cell r="H7095" t="str">
            <v>Lathyrus nissolia</v>
          </cell>
        </row>
        <row r="7096">
          <cell r="A7096" t="str">
            <v>Lathyrus palustris</v>
          </cell>
          <cell r="B7096" t="str">
            <v>Vascular plants</v>
          </cell>
          <cell r="C7096" t="str">
            <v>Tracheophyta</v>
          </cell>
          <cell r="D7096" t="str">
            <v>Lathyrus palustris</v>
          </cell>
          <cell r="E7096" t="str">
            <v>NT</v>
          </cell>
          <cell r="F7096" t="str">
            <v>in Stroh et al., 2014 (from: Cheffings &amp; Farrell 2005 or subsequent amendments in Leach 2007, 2010; Leach &amp; Walker 2011, 2013)</v>
          </cell>
          <cell r="G7096" t="str">
            <v>NBNSYS0000003306</v>
          </cell>
          <cell r="H7096" t="str">
            <v>Lathyrus palustris</v>
          </cell>
        </row>
        <row r="7097">
          <cell r="A7097" t="str">
            <v>Lathyrus pratensis</v>
          </cell>
          <cell r="B7097" t="str">
            <v>Vascular plants</v>
          </cell>
          <cell r="C7097" t="str">
            <v>Tracheophyta</v>
          </cell>
          <cell r="D7097" t="str">
            <v>Lathyrus pratensis</v>
          </cell>
          <cell r="E7097" t="str">
            <v>LC</v>
          </cell>
          <cell r="F7097" t="str">
            <v>in Stroh et al., 2014 (from: Cheffings &amp; Farrell 2005 or subsequent amendments in Leach 2007, 2010; Leach &amp; Walker 2011, 2013)</v>
          </cell>
          <cell r="G7097" t="str">
            <v>NBNSYS0000003301</v>
          </cell>
          <cell r="H7097" t="str">
            <v>Lathyrus pratensis</v>
          </cell>
        </row>
        <row r="7098">
          <cell r="A7098" t="str">
            <v>Lathyrus sylvestris</v>
          </cell>
          <cell r="B7098" t="str">
            <v>Vascular plants</v>
          </cell>
          <cell r="C7098" t="str">
            <v>Tracheophyta</v>
          </cell>
          <cell r="D7098" t="str">
            <v>Lathyrus sylvestris</v>
          </cell>
          <cell r="E7098" t="str">
            <v>LC</v>
          </cell>
          <cell r="F7098" t="str">
            <v>in Stroh et al., 2014 (from: Cheffings &amp; Farrell 2005 or subsequent amendments in Leach 2007, 2010; Leach &amp; Walker 2011, 2013)</v>
          </cell>
          <cell r="G7098" t="str">
            <v>NBNSYS0000003303</v>
          </cell>
          <cell r="H7098" t="str">
            <v>Lathyrus sylvestris</v>
          </cell>
        </row>
        <row r="7099">
          <cell r="A7099" t="str">
            <v>Leersia oryzoides</v>
          </cell>
          <cell r="B7099" t="str">
            <v>Vascular plants</v>
          </cell>
          <cell r="C7099" t="str">
            <v>Tracheophyta</v>
          </cell>
          <cell r="D7099" t="str">
            <v>Leersia oryzoides</v>
          </cell>
          <cell r="E7099" t="str">
            <v>EN</v>
          </cell>
          <cell r="F7099" t="str">
            <v>in Stroh et al., 2014 (from: Cheffings &amp; Farrell 2005 or subsequent amendments in Leach 2007, 2010; Leach &amp; Walker 2011, 2013)</v>
          </cell>
          <cell r="G7099" t="str">
            <v>NBNSYS0000002496</v>
          </cell>
          <cell r="H7099" t="str">
            <v>Leersia oryzoides</v>
          </cell>
        </row>
        <row r="7100">
          <cell r="A7100" t="str">
            <v>Lemna gibba</v>
          </cell>
          <cell r="B7100" t="str">
            <v>Vascular plants</v>
          </cell>
          <cell r="C7100" t="str">
            <v>Tracheophyta</v>
          </cell>
          <cell r="D7100" t="str">
            <v>Lemna gibba</v>
          </cell>
          <cell r="E7100" t="str">
            <v>LC</v>
          </cell>
          <cell r="F7100" t="str">
            <v>in Stroh et al., 2014 (from: Cheffings &amp; Farrell 2005 or subsequent amendments in Leach 2007, 2010; Leach &amp; Walker 2011, 2013)</v>
          </cell>
          <cell r="G7100" t="str">
            <v>NBNSYS0000002359</v>
          </cell>
          <cell r="H7100" t="str">
            <v>Lemna gibba</v>
          </cell>
        </row>
        <row r="7101">
          <cell r="A7101" t="str">
            <v>Lemna minor</v>
          </cell>
          <cell r="B7101" t="str">
            <v>Vascular plants</v>
          </cell>
          <cell r="C7101" t="str">
            <v>Tracheophyta</v>
          </cell>
          <cell r="D7101" t="str">
            <v>Lemna minor</v>
          </cell>
          <cell r="E7101" t="str">
            <v>LC</v>
          </cell>
          <cell r="F7101" t="str">
            <v>in Stroh et al., 2014 (from: Cheffings &amp; Farrell 2005 or subsequent amendments in Leach 2007, 2010; Leach &amp; Walker 2011, 2013)</v>
          </cell>
          <cell r="G7101" t="str">
            <v>NBNSYS0000002358</v>
          </cell>
          <cell r="H7101" t="str">
            <v>Lemna minor</v>
          </cell>
        </row>
        <row r="7102">
          <cell r="A7102" t="str">
            <v>Lemna trisulca</v>
          </cell>
          <cell r="B7102" t="str">
            <v>Vascular plants</v>
          </cell>
          <cell r="C7102" t="str">
            <v>Tracheophyta</v>
          </cell>
          <cell r="D7102" t="str">
            <v>Lemna trisulca</v>
          </cell>
          <cell r="E7102" t="str">
            <v>LC</v>
          </cell>
          <cell r="F7102" t="str">
            <v>in Stroh et al., 2014 (from: Cheffings &amp; Farrell 2005 or subsequent amendments in Leach 2007, 2010; Leach &amp; Walker 2011, 2013)</v>
          </cell>
          <cell r="G7102" t="str">
            <v>NBNSYS0000002357</v>
          </cell>
          <cell r="H7102" t="str">
            <v>Lemna trisulca</v>
          </cell>
        </row>
        <row r="7103">
          <cell r="A7103" t="str">
            <v>Lemna turionifera</v>
          </cell>
          <cell r="B7103" t="str">
            <v>Vascular plants</v>
          </cell>
          <cell r="C7103" t="str">
            <v>Tracheophyta</v>
          </cell>
          <cell r="D7103" t="str">
            <v>Lemna turionifera</v>
          </cell>
          <cell r="E7103" t="str">
            <v>LC</v>
          </cell>
          <cell r="F7103" t="str">
            <v>in Stroh et al., 2014 (from: Cheffings &amp; Farrell 2005 or subsequent amendments in Leach 2007, 2010; Leach &amp; Walker 2011, 2013)</v>
          </cell>
          <cell r="G7103" t="str">
            <v>NHMSYS0021003249</v>
          </cell>
          <cell r="H7103" t="str">
            <v>Lemna turionifera</v>
          </cell>
        </row>
        <row r="7104">
          <cell r="A7104" t="str">
            <v>Leontodon hispidus</v>
          </cell>
          <cell r="B7104" t="str">
            <v>Vascular plants</v>
          </cell>
          <cell r="C7104" t="str">
            <v>Tracheophyta</v>
          </cell>
          <cell r="D7104" t="str">
            <v>Leontodon hispidus</v>
          </cell>
          <cell r="E7104" t="str">
            <v>LC</v>
          </cell>
          <cell r="F7104" t="str">
            <v>in Stroh et al., 2014 (from: Cheffings &amp; Farrell 2005 or subsequent amendments in Leach 2007, 2010; Leach &amp; Walker 2011, 2013)</v>
          </cell>
          <cell r="G7104" t="str">
            <v>NBNSYS0000004523</v>
          </cell>
          <cell r="H7104" t="str">
            <v>Leontodon hispidus</v>
          </cell>
        </row>
        <row r="7105">
          <cell r="A7105" t="str">
            <v>Leontodon saxatilis</v>
          </cell>
          <cell r="B7105" t="str">
            <v>Vascular plants</v>
          </cell>
          <cell r="C7105" t="str">
            <v>Tracheophyta</v>
          </cell>
          <cell r="D7105" t="str">
            <v>Leontodon saxatilis</v>
          </cell>
          <cell r="E7105" t="str">
            <v>LC</v>
          </cell>
          <cell r="F7105" t="str">
            <v>in Stroh et al., 2014 (from: Cheffings &amp; Farrell 2005 or subsequent amendments in Leach 2007, 2010; Leach &amp; Walker 2011, 2013)</v>
          </cell>
          <cell r="G7105" t="str">
            <v>NBNSYS0000004524</v>
          </cell>
          <cell r="H7105" t="str">
            <v>Leontodon saxatilis</v>
          </cell>
        </row>
        <row r="7106">
          <cell r="A7106" t="str">
            <v>Lepidium heterophyllum</v>
          </cell>
          <cell r="B7106" t="str">
            <v>Vascular plants</v>
          </cell>
          <cell r="C7106" t="str">
            <v>Tracheophyta</v>
          </cell>
          <cell r="D7106" t="str">
            <v>Lepidium heterophyllum</v>
          </cell>
          <cell r="E7106" t="str">
            <v>LC</v>
          </cell>
          <cell r="F7106" t="str">
            <v>in Stroh et al., 2014 (from: Cheffings &amp; Farrell 2005 or subsequent amendments in Leach 2007, 2010; Leach &amp; Walker 2011, 2013)</v>
          </cell>
          <cell r="G7106" t="str">
            <v>NBNSYS0000002830</v>
          </cell>
          <cell r="H7106" t="str">
            <v>Lepidium heterophyllum</v>
          </cell>
        </row>
        <row r="7107">
          <cell r="A7107" t="str">
            <v>Lepidium latifolium</v>
          </cell>
          <cell r="B7107" t="str">
            <v>Vascular plants</v>
          </cell>
          <cell r="C7107" t="str">
            <v>Tracheophyta</v>
          </cell>
          <cell r="D7107" t="str">
            <v>Lepidium latifolium</v>
          </cell>
          <cell r="E7107" t="str">
            <v>LC</v>
          </cell>
          <cell r="F7107" t="str">
            <v>in Stroh et al., 2014 (from: Cheffings &amp; Farrell 2005 or subsequent amendments in Leach 2007, 2010; Leach &amp; Walker 2011, 2013)</v>
          </cell>
          <cell r="G7107" t="str">
            <v>NBNSYS0000002833</v>
          </cell>
          <cell r="H7107" t="str">
            <v>Lepidium latifolium</v>
          </cell>
        </row>
        <row r="7108">
          <cell r="A7108" t="str">
            <v>Leucanthemum vulgare</v>
          </cell>
          <cell r="B7108" t="str">
            <v>Vascular plants</v>
          </cell>
          <cell r="C7108" t="str">
            <v>Tracheophyta</v>
          </cell>
          <cell r="D7108" t="str">
            <v>Leucanthemum vulgare</v>
          </cell>
          <cell r="E7108" t="str">
            <v>LC</v>
          </cell>
          <cell r="F7108" t="str">
            <v>in Stroh et al., 2014 (from: Cheffings &amp; Farrell 2005 or subsequent amendments in Leach 2007, 2010; Leach &amp; Walker 2011, 2013)</v>
          </cell>
          <cell r="G7108" t="str">
            <v>NBNSYS0000004464</v>
          </cell>
          <cell r="H7108" t="str">
            <v>Leucanthemum vulgare</v>
          </cell>
        </row>
        <row r="7109">
          <cell r="A7109" t="str">
            <v>Leucojum aestivum</v>
          </cell>
          <cell r="B7109" t="str">
            <v>Vascular plants</v>
          </cell>
          <cell r="C7109" t="str">
            <v>Tracheophyta</v>
          </cell>
          <cell r="D7109" t="str">
            <v>Leucojum aestivum</v>
          </cell>
          <cell r="E7109" t="str">
            <v>LC</v>
          </cell>
          <cell r="F7109" t="str">
            <v>in Stroh et al., 2014 (from: Cheffings &amp; Farrell 2005 or subsequent amendments in Leach 2007, 2010; Leach &amp; Walker 2011, 2013)</v>
          </cell>
          <cell r="G7109" t="str">
            <v>NBNSYS0000002252</v>
          </cell>
          <cell r="H7109" t="str">
            <v>Leucojum aestivum</v>
          </cell>
        </row>
        <row r="7110">
          <cell r="A7110" t="str">
            <v>Leymus arenarius</v>
          </cell>
          <cell r="B7110" t="str">
            <v>Vascular plants</v>
          </cell>
          <cell r="C7110" t="str">
            <v>Tracheophyta</v>
          </cell>
          <cell r="D7110" t="str">
            <v>Leymus arenarius</v>
          </cell>
          <cell r="E7110" t="str">
            <v>LC</v>
          </cell>
          <cell r="F7110" t="str">
            <v>in Stroh et al., 2014 (from: Cheffings &amp; Farrell 2005 or subsequent amendments in Leach 2007, 2010; Leach &amp; Walker 2011, 2013)</v>
          </cell>
          <cell r="G7110" t="str">
            <v>NBNSYS0000002598</v>
          </cell>
          <cell r="H7110" t="str">
            <v>Leymus arenarius</v>
          </cell>
        </row>
        <row r="7111">
          <cell r="A7111" t="str">
            <v>Ligusticum scoticum</v>
          </cell>
          <cell r="B7111" t="str">
            <v>Vascular plants</v>
          </cell>
          <cell r="C7111" t="str">
            <v>Tracheophyta</v>
          </cell>
          <cell r="D7111" t="str">
            <v>Ligusticum scoticum</v>
          </cell>
          <cell r="E7111" t="str">
            <v>LC</v>
          </cell>
          <cell r="F7111" t="str">
            <v>in Stroh et al., 2014 (from: Cheffings &amp; Farrell 2005 or subsequent amendments in Leach 2007, 2010; Leach &amp; Walker 2011, 2013)</v>
          </cell>
          <cell r="G7111" t="str">
            <v>NBNSYS0000003702</v>
          </cell>
          <cell r="H7111" t="str">
            <v>Ligusticum scoticum</v>
          </cell>
        </row>
        <row r="7112">
          <cell r="A7112" t="str">
            <v>Ligustrum vulgare</v>
          </cell>
          <cell r="B7112" t="str">
            <v>Vascular plants</v>
          </cell>
          <cell r="C7112" t="str">
            <v>Tracheophyta</v>
          </cell>
          <cell r="D7112" t="str">
            <v>Ligustrum vulgare</v>
          </cell>
          <cell r="E7112" t="str">
            <v>LC</v>
          </cell>
          <cell r="F7112" t="str">
            <v>in Stroh et al., 2014 (from: Cheffings &amp; Farrell 2005 or subsequent amendments in Leach 2007, 2010; Leach &amp; Walker 2011, 2013)</v>
          </cell>
          <cell r="G7112" t="str">
            <v>NBNSYS0000003951</v>
          </cell>
          <cell r="H7112" t="str">
            <v>Ligustrum vulgare</v>
          </cell>
        </row>
        <row r="7113">
          <cell r="A7113" t="str">
            <v>Limonium bellidifolium</v>
          </cell>
          <cell r="B7113" t="str">
            <v>Vascular plants</v>
          </cell>
          <cell r="C7113" t="str">
            <v>Tracheophyta</v>
          </cell>
          <cell r="D7113" t="str">
            <v>Limonium bellidifolium</v>
          </cell>
          <cell r="E7113" t="str">
            <v>LC</v>
          </cell>
          <cell r="F7113" t="str">
            <v>in Stroh et al., 2014 (from: Cheffings &amp; Farrell 2005 or subsequent amendments in Leach 2007, 2010; Leach &amp; Walker 2011, 2013)</v>
          </cell>
          <cell r="G7113" t="str">
            <v>NHMSYS0000460352</v>
          </cell>
          <cell r="H7113" t="str">
            <v>Limonium bellidifolium</v>
          </cell>
        </row>
        <row r="7114">
          <cell r="A7114" t="str">
            <v>Limonium binervosum agg.</v>
          </cell>
          <cell r="B7114" t="str">
            <v>Vascular plants</v>
          </cell>
          <cell r="C7114" t="str">
            <v>Tracheophyta</v>
          </cell>
          <cell r="D7114" t="str">
            <v>Limonium binervosum agg.</v>
          </cell>
          <cell r="E7114" t="str">
            <v>LC</v>
          </cell>
          <cell r="F7114" t="str">
            <v>in Stroh et al., 2014 (from: Cheffings &amp; Farrell 2005 or subsequent amendments in Leach 2007, 2010; Leach &amp; Walker 2011, 2013)</v>
          </cell>
          <cell r="G7114" t="str">
            <v>NHMSYS0000523253</v>
          </cell>
          <cell r="H7114" t="str">
            <v>Limonium binervosum agg.</v>
          </cell>
        </row>
        <row r="7115">
          <cell r="A7115" t="str">
            <v>Limonium humile</v>
          </cell>
          <cell r="B7115" t="str">
            <v>Vascular plants</v>
          </cell>
          <cell r="C7115" t="str">
            <v>Tracheophyta</v>
          </cell>
          <cell r="D7115" t="str">
            <v>Limonium humile</v>
          </cell>
          <cell r="E7115" t="str">
            <v>LC</v>
          </cell>
          <cell r="F7115" t="str">
            <v>in Stroh et al., 2014 (from: Cheffings &amp; Farrell 2005 or subsequent amendments in Leach 2007, 2010; Leach &amp; Walker 2011, 2013)</v>
          </cell>
          <cell r="G7115" t="str">
            <v>NHMSYS0000459827</v>
          </cell>
          <cell r="H7115" t="str">
            <v>Limonium humile</v>
          </cell>
        </row>
        <row r="7116">
          <cell r="A7116" t="str">
            <v>Limonium recurvum</v>
          </cell>
          <cell r="B7116" t="str">
            <v>Vascular plants</v>
          </cell>
          <cell r="C7116" t="str">
            <v>Tracheophyta</v>
          </cell>
          <cell r="D7116" t="str">
            <v>Limonium recurvum</v>
          </cell>
          <cell r="E7116" t="str">
            <v>VU</v>
          </cell>
          <cell r="F7116" t="str">
            <v>in Stroh et al., 2014 (from: Cheffings &amp; Farrell 2005 or subsequent amendments in Leach 2007, 2010; Leach &amp; Walker 2011, 2013)</v>
          </cell>
          <cell r="G7116" t="str">
            <v>NHMSYS0000460358</v>
          </cell>
          <cell r="H7116" t="str">
            <v>Limonium recurvum</v>
          </cell>
        </row>
        <row r="7117">
          <cell r="A7117" t="str">
            <v>Limonium vulgare</v>
          </cell>
          <cell r="B7117" t="str">
            <v>Vascular plants</v>
          </cell>
          <cell r="C7117" t="str">
            <v>Tracheophyta</v>
          </cell>
          <cell r="D7117" t="str">
            <v>Limonium vulgare</v>
          </cell>
          <cell r="E7117" t="str">
            <v>LC</v>
          </cell>
          <cell r="F7117" t="str">
            <v>in Stroh et al., 2014 (from: Cheffings &amp; Farrell 2005 or subsequent amendments in Leach 2007, 2010; Leach &amp; Walker 2011, 2013)</v>
          </cell>
          <cell r="G7117" t="str">
            <v>NHMSYS0000460364</v>
          </cell>
          <cell r="H7117" t="str">
            <v>Limonium vulgare</v>
          </cell>
        </row>
        <row r="7118">
          <cell r="A7118" t="str">
            <v>Limosella aquatica</v>
          </cell>
          <cell r="B7118" t="str">
            <v>Vascular plants</v>
          </cell>
          <cell r="C7118" t="str">
            <v>Tracheophyta</v>
          </cell>
          <cell r="D7118" t="str">
            <v>Limosella aquatica</v>
          </cell>
          <cell r="E7118" t="str">
            <v>LC</v>
          </cell>
          <cell r="F7118" t="str">
            <v>in Stroh et al., 2014 (from: Cheffings &amp; Farrell 2005 or subsequent amendments in Leach 2007, 2010; Leach &amp; Walker 2011, 2013)</v>
          </cell>
          <cell r="G7118" t="str">
            <v>NBNSYS0000004089</v>
          </cell>
          <cell r="H7118" t="str">
            <v>Limosella aquatica</v>
          </cell>
        </row>
        <row r="7119">
          <cell r="A7119" t="str">
            <v>Linaria vulgaris</v>
          </cell>
          <cell r="B7119" t="str">
            <v>Vascular plants</v>
          </cell>
          <cell r="C7119" t="str">
            <v>Tracheophyta</v>
          </cell>
          <cell r="D7119" t="str">
            <v>Linaria vulgaris</v>
          </cell>
          <cell r="E7119" t="str">
            <v>LC</v>
          </cell>
          <cell r="F7119" t="str">
            <v>in Stroh et al., 2014 (from: Cheffings &amp; Farrell 2005 or subsequent amendments in Leach 2007, 2010; Leach &amp; Walker 2011, 2013)</v>
          </cell>
          <cell r="G7119" t="str">
            <v>NHMSYS0000460394</v>
          </cell>
          <cell r="H7119" t="str">
            <v>Linaria vulgaris</v>
          </cell>
        </row>
        <row r="7120">
          <cell r="A7120" t="str">
            <v>Linum bienne</v>
          </cell>
          <cell r="B7120" t="str">
            <v>Vascular plants</v>
          </cell>
          <cell r="C7120" t="str">
            <v>Tracheophyta</v>
          </cell>
          <cell r="D7120" t="str">
            <v>Linum bienne</v>
          </cell>
          <cell r="E7120" t="str">
            <v>LC</v>
          </cell>
          <cell r="F7120" t="str">
            <v>in Stroh et al., 2014 (from: Cheffings &amp; Farrell 2005 or subsequent amendments in Leach 2007, 2010; Leach &amp; Walker 2011, 2013)</v>
          </cell>
          <cell r="G7120" t="str">
            <v>NHMSYS0000460399</v>
          </cell>
          <cell r="H7120" t="str">
            <v>Linum bienne</v>
          </cell>
        </row>
        <row r="7121">
          <cell r="A7121" t="str">
            <v>Linum catharticum</v>
          </cell>
          <cell r="B7121" t="str">
            <v>Vascular plants</v>
          </cell>
          <cell r="C7121" t="str">
            <v>Tracheophyta</v>
          </cell>
          <cell r="D7121" t="str">
            <v>Linum catharticum</v>
          </cell>
          <cell r="E7121" t="str">
            <v>LC</v>
          </cell>
          <cell r="F7121" t="str">
            <v>in Stroh et al., 2014 (from: Cheffings &amp; Farrell 2005 or subsequent amendments in Leach 2007, 2010; Leach &amp; Walker 2011, 2013)</v>
          </cell>
          <cell r="G7121" t="str">
            <v>NBNSYS0000003145</v>
          </cell>
          <cell r="H7121" t="str">
            <v>Linum catharticum</v>
          </cell>
        </row>
        <row r="7122">
          <cell r="A7122" t="str">
            <v>Linum perenne</v>
          </cell>
          <cell r="B7122" t="str">
            <v>Vascular plants</v>
          </cell>
          <cell r="C7122" t="str">
            <v>Tracheophyta</v>
          </cell>
          <cell r="D7122" t="str">
            <v>Linum perenne</v>
          </cell>
          <cell r="E7122" t="str">
            <v>LC</v>
          </cell>
          <cell r="F7122" t="str">
            <v>in Stroh et al., 2014 (from: Cheffings &amp; Farrell 2005 or subsequent amendments in Leach 2007, 2010; Leach &amp; Walker 2011, 2013)</v>
          </cell>
          <cell r="G7122" t="str">
            <v>NBNSYS0000003144</v>
          </cell>
          <cell r="H7122" t="str">
            <v>Linum perenne</v>
          </cell>
        </row>
        <row r="7123">
          <cell r="A7123" t="str">
            <v>Liparis loeselii</v>
          </cell>
          <cell r="B7123" t="str">
            <v>Vascular plants</v>
          </cell>
          <cell r="C7123" t="str">
            <v>Tracheophyta</v>
          </cell>
          <cell r="D7123" t="str">
            <v>Liparis loeselii</v>
          </cell>
          <cell r="E7123" t="str">
            <v>EN</v>
          </cell>
          <cell r="F7123" t="str">
            <v>in Stroh et al., 2014 (from: Cheffings &amp; Farrell 2005 or subsequent amendments in Leach 2007, 2010; Leach &amp; Walker 2011, 2013)</v>
          </cell>
          <cell r="G7123" t="str">
            <v>NHMSYS0000460402</v>
          </cell>
          <cell r="H7123" t="str">
            <v>Liparis loeselii</v>
          </cell>
        </row>
        <row r="7124">
          <cell r="A7124" t="str">
            <v>Lithospermum officinale</v>
          </cell>
          <cell r="B7124" t="str">
            <v>Vascular plants</v>
          </cell>
          <cell r="C7124" t="str">
            <v>Tracheophyta</v>
          </cell>
          <cell r="D7124" t="str">
            <v>Lithospermum officinale</v>
          </cell>
          <cell r="E7124" t="str">
            <v>LC</v>
          </cell>
          <cell r="F7124" t="str">
            <v>in Stroh et al., 2014 (from: Cheffings &amp; Farrell 2005 or subsequent amendments in Leach 2007, 2010; Leach &amp; Walker 2011, 2013)</v>
          </cell>
          <cell r="G7124" t="str">
            <v>NBNSYS0000004016</v>
          </cell>
          <cell r="H7124" t="str">
            <v>Lithospermum officinale</v>
          </cell>
        </row>
        <row r="7125">
          <cell r="A7125" t="str">
            <v>Lithospermum purpureocaeruleum</v>
          </cell>
          <cell r="B7125" t="str">
            <v>Vascular plants</v>
          </cell>
          <cell r="C7125" t="str">
            <v>Tracheophyta</v>
          </cell>
          <cell r="D7125" t="str">
            <v>Lithospermum purpureocaeruleum</v>
          </cell>
          <cell r="E7125" t="str">
            <v>LC</v>
          </cell>
          <cell r="F7125" t="str">
            <v>in Stroh et al., 2014 (from: Cheffings &amp; Farrell 2005 or subsequent amendments in Leach 2007, 2010; Leach &amp; Walker 2011, 2013)</v>
          </cell>
          <cell r="G7125" t="str">
            <v>NBNSYS0000004015</v>
          </cell>
          <cell r="H7125" t="str">
            <v>Lithospermum purpureocaeruleum</v>
          </cell>
        </row>
        <row r="7126">
          <cell r="A7126" t="str">
            <v>Littorella uniflora</v>
          </cell>
          <cell r="B7126" t="str">
            <v>Vascular plants</v>
          </cell>
          <cell r="C7126" t="str">
            <v>Tracheophyta</v>
          </cell>
          <cell r="D7126" t="str">
            <v>Littorella uniflora</v>
          </cell>
          <cell r="E7126" t="str">
            <v>LC</v>
          </cell>
          <cell r="F7126" t="str">
            <v>in Stroh et al., 2014 (from: Cheffings &amp; Farrell 2005 or subsequent amendments in Leach 2007, 2010; Leach &amp; Walker 2011, 2013)</v>
          </cell>
          <cell r="G7126" t="str">
            <v>NBNSYS0000004280</v>
          </cell>
          <cell r="H7126" t="str">
            <v>Littorella uniflora</v>
          </cell>
        </row>
        <row r="7127">
          <cell r="A7127" t="str">
            <v>Lobelia dortmanna</v>
          </cell>
          <cell r="B7127" t="str">
            <v>Vascular plants</v>
          </cell>
          <cell r="C7127" t="str">
            <v>Tracheophyta</v>
          </cell>
          <cell r="D7127" t="str">
            <v>Lobelia dortmanna</v>
          </cell>
          <cell r="E7127" t="str">
            <v>LC</v>
          </cell>
          <cell r="F7127" t="str">
            <v>in Stroh et al., 2014 (from: Cheffings &amp; Farrell 2005 or subsequent amendments in Leach 2007, 2010; Leach &amp; Walker 2011, 2013)</v>
          </cell>
          <cell r="G7127" t="str">
            <v>NBNSYS0000004299</v>
          </cell>
          <cell r="H7127" t="str">
            <v>Lobelia dortmanna</v>
          </cell>
        </row>
        <row r="7128">
          <cell r="A7128" t="str">
            <v>Lobelia urens</v>
          </cell>
          <cell r="B7128" t="str">
            <v>Vascular plants</v>
          </cell>
          <cell r="C7128" t="str">
            <v>Tracheophyta</v>
          </cell>
          <cell r="D7128" t="str">
            <v>Lobelia urens</v>
          </cell>
          <cell r="E7128" t="str">
            <v>VU</v>
          </cell>
          <cell r="F7128" t="str">
            <v>in Stroh et al., 2014 (from: Cheffings &amp; Farrell 2005 or subsequent amendments in Leach 2007, 2010; Leach &amp; Walker 2011, 2013)</v>
          </cell>
          <cell r="G7128" t="str">
            <v>NBNSYS0000004298</v>
          </cell>
          <cell r="H7128" t="str">
            <v>Lobelia urens</v>
          </cell>
        </row>
        <row r="7129">
          <cell r="A7129" t="str">
            <v>Lolium perenne</v>
          </cell>
          <cell r="B7129" t="str">
            <v>Vascular plants</v>
          </cell>
          <cell r="C7129" t="str">
            <v>Tracheophyta</v>
          </cell>
          <cell r="D7129" t="str">
            <v>Lolium perenne</v>
          </cell>
          <cell r="E7129" t="str">
            <v>LC</v>
          </cell>
          <cell r="F7129" t="str">
            <v>in Stroh et al., 2014 (from: Cheffings &amp; Farrell 2005 or subsequent amendments in Leach 2007, 2010; Leach &amp; Walker 2011, 2013)</v>
          </cell>
          <cell r="G7129" t="str">
            <v>NBNSYS0000002527</v>
          </cell>
          <cell r="H7129" t="str">
            <v>Lolium perenne</v>
          </cell>
        </row>
        <row r="7130">
          <cell r="A7130" t="str">
            <v>Lonicera periclymenum</v>
          </cell>
          <cell r="B7130" t="str">
            <v>Vascular plants</v>
          </cell>
          <cell r="C7130" t="str">
            <v>Tracheophyta</v>
          </cell>
          <cell r="D7130" t="str">
            <v>Lonicera periclymenum</v>
          </cell>
          <cell r="E7130" t="str">
            <v>LC</v>
          </cell>
          <cell r="F7130" t="str">
            <v>in Stroh et al., 2014 (from: Cheffings &amp; Farrell 2005 or subsequent amendments in Leach 2007, 2010; Leach &amp; Walker 2011, 2013)</v>
          </cell>
          <cell r="G7130" t="str">
            <v>NBNSYS0000004333</v>
          </cell>
          <cell r="H7130" t="str">
            <v>Lonicera periclymenum</v>
          </cell>
        </row>
        <row r="7131">
          <cell r="A7131" t="str">
            <v>Lotus angustissimus</v>
          </cell>
          <cell r="B7131" t="str">
            <v>Vascular plants</v>
          </cell>
          <cell r="C7131" t="str">
            <v>Tracheophyta</v>
          </cell>
          <cell r="D7131" t="str">
            <v>Lotus angustissimus</v>
          </cell>
          <cell r="E7131" t="str">
            <v>NT</v>
          </cell>
          <cell r="F7131" t="str">
            <v>in Stroh et al., 2014 (from: Cheffings &amp; Farrell 2005 or subsequent amendments in Leach 2007, 2010; Leach &amp; Walker 2011, 2013)</v>
          </cell>
          <cell r="G7131" t="str">
            <v>NBNSYS0000003262</v>
          </cell>
          <cell r="H7131" t="str">
            <v>Lotus angustissimus</v>
          </cell>
        </row>
        <row r="7132">
          <cell r="A7132" t="str">
            <v>Lotus corniculatus</v>
          </cell>
          <cell r="B7132" t="str">
            <v>Vascular plants</v>
          </cell>
          <cell r="C7132" t="str">
            <v>Tracheophyta</v>
          </cell>
          <cell r="D7132" t="str">
            <v>Lotus corniculatus</v>
          </cell>
          <cell r="E7132" t="str">
            <v>LC</v>
          </cell>
          <cell r="F7132" t="str">
            <v>in Stroh et al., 2014 (from: Cheffings &amp; Farrell 2005 or subsequent amendments in Leach 2007, 2010; Leach &amp; Walker 2011, 2013)</v>
          </cell>
          <cell r="G7132" t="str">
            <v>NBNSYS0000003258</v>
          </cell>
          <cell r="H7132" t="str">
            <v>Lotus corniculatus</v>
          </cell>
        </row>
        <row r="7133">
          <cell r="A7133" t="str">
            <v>Lotus pedunculatus</v>
          </cell>
          <cell r="B7133" t="str">
            <v>Vascular plants</v>
          </cell>
          <cell r="C7133" t="str">
            <v>Tracheophyta</v>
          </cell>
          <cell r="D7133" t="str">
            <v>Lotus pedunculatus</v>
          </cell>
          <cell r="E7133" t="str">
            <v>LC</v>
          </cell>
          <cell r="F7133" t="str">
            <v>in Stroh et al., 2014 (from: Cheffings &amp; Farrell 2005 or subsequent amendments in Leach 2007, 2010; Leach &amp; Walker 2011, 2013)</v>
          </cell>
          <cell r="G7133" t="str">
            <v>NBNSYS0000003260</v>
          </cell>
          <cell r="H7133" t="str">
            <v>Lotus pedunculatus</v>
          </cell>
        </row>
        <row r="7134">
          <cell r="A7134" t="str">
            <v>Lotus subbiflorus</v>
          </cell>
          <cell r="B7134" t="str">
            <v>Vascular plants</v>
          </cell>
          <cell r="C7134" t="str">
            <v>Tracheophyta</v>
          </cell>
          <cell r="D7134" t="str">
            <v>Lotus subbiflorus</v>
          </cell>
          <cell r="E7134" t="str">
            <v>LC</v>
          </cell>
          <cell r="F7134" t="str">
            <v>in Stroh et al., 2014 (from: Cheffings &amp; Farrell 2005 or subsequent amendments in Leach 2007, 2010; Leach &amp; Walker 2011, 2013)</v>
          </cell>
          <cell r="G7134" t="str">
            <v>NBNSYS0000003261</v>
          </cell>
          <cell r="H7134" t="str">
            <v>Lotus subbiflorus</v>
          </cell>
        </row>
        <row r="7135">
          <cell r="A7135" t="str">
            <v>Lotus tenuis</v>
          </cell>
          <cell r="B7135" t="str">
            <v>Vascular plants</v>
          </cell>
          <cell r="C7135" t="str">
            <v>Tracheophyta</v>
          </cell>
          <cell r="D7135" t="str">
            <v>Lotus tenuis</v>
          </cell>
          <cell r="E7135" t="str">
            <v>LC</v>
          </cell>
          <cell r="F7135" t="str">
            <v>in Stroh et al., 2014 (from: Cheffings &amp; Farrell 2005 or subsequent amendments in Leach 2007, 2010; Leach &amp; Walker 2011, 2013)</v>
          </cell>
          <cell r="G7135" t="str">
            <v>NHMSYS0000460472</v>
          </cell>
          <cell r="H7135" t="str">
            <v>Lotus tenuis</v>
          </cell>
        </row>
        <row r="7136">
          <cell r="A7136" t="str">
            <v>Ludwigia palustris</v>
          </cell>
          <cell r="B7136" t="str">
            <v>Vascular plants</v>
          </cell>
          <cell r="C7136" t="str">
            <v>Tracheophyta</v>
          </cell>
          <cell r="D7136" t="str">
            <v>Ludwigia palustris</v>
          </cell>
          <cell r="E7136" t="str">
            <v>LC</v>
          </cell>
          <cell r="F7136" t="str">
            <v>in Stroh et al., 2014 (from: Cheffings &amp; Farrell 2005 or subsequent amendments in Leach 2007, 2010; Leach &amp; Walker 2011, 2013)</v>
          </cell>
          <cell r="G7136" t="str">
            <v>NBNSYS0000003534</v>
          </cell>
          <cell r="H7136" t="str">
            <v>Ludwigia palustris</v>
          </cell>
        </row>
        <row r="7137">
          <cell r="A7137" t="str">
            <v>Luronium natans</v>
          </cell>
          <cell r="B7137" t="str">
            <v>Vascular plants</v>
          </cell>
          <cell r="C7137" t="str">
            <v>Tracheophyta</v>
          </cell>
          <cell r="D7137" t="str">
            <v>Luronium natans</v>
          </cell>
          <cell r="E7137" t="str">
            <v>LC</v>
          </cell>
          <cell r="F7137" t="str">
            <v>in Stroh et al., 2014 (from: Cheffings &amp; Farrell 2005 or subsequent amendments in Leach 2007, 2010; Leach &amp; Walker 2011, 2013)</v>
          </cell>
          <cell r="G7137" t="str">
            <v>NBNSYS0000002100</v>
          </cell>
          <cell r="H7137" t="str">
            <v>Luronium natans</v>
          </cell>
        </row>
        <row r="7138">
          <cell r="A7138" t="str">
            <v>Luzula campestris</v>
          </cell>
          <cell r="B7138" t="str">
            <v>Vascular plants</v>
          </cell>
          <cell r="C7138" t="str">
            <v>Tracheophyta</v>
          </cell>
          <cell r="D7138" t="str">
            <v>Luzula campestris</v>
          </cell>
          <cell r="E7138" t="str">
            <v>LC</v>
          </cell>
          <cell r="F7138" t="str">
            <v>in Stroh et al., 2014 (from: Cheffings &amp; Farrell 2005 or subsequent amendments in Leach 2007, 2010; Leach &amp; Walker 2011, 2013)</v>
          </cell>
          <cell r="G7138" t="str">
            <v>NBNSYS0000002246</v>
          </cell>
          <cell r="H7138" t="str">
            <v>Luzula campestris</v>
          </cell>
        </row>
        <row r="7139">
          <cell r="A7139" t="str">
            <v>Luzula forsteri</v>
          </cell>
          <cell r="B7139" t="str">
            <v>Vascular plants</v>
          </cell>
          <cell r="C7139" t="str">
            <v>Tracheophyta</v>
          </cell>
          <cell r="D7139" t="str">
            <v>Luzula forsteri</v>
          </cell>
          <cell r="E7139" t="str">
            <v>LC</v>
          </cell>
          <cell r="F7139" t="str">
            <v>in Stroh et al., 2014 (from: Cheffings &amp; Farrell 2005 or subsequent amendments in Leach 2007, 2010; Leach &amp; Walker 2011, 2013)</v>
          </cell>
          <cell r="G7139" t="str">
            <v>NHMSYS0000460493</v>
          </cell>
          <cell r="H7139" t="str">
            <v>Luzula forsteri</v>
          </cell>
        </row>
        <row r="7140">
          <cell r="A7140" t="str">
            <v>Luzula multiflora</v>
          </cell>
          <cell r="B7140" t="str">
            <v>Vascular plants</v>
          </cell>
          <cell r="C7140" t="str">
            <v>Tracheophyta</v>
          </cell>
          <cell r="D7140" t="str">
            <v>Luzula multiflora</v>
          </cell>
          <cell r="E7140" t="str">
            <v>LC</v>
          </cell>
          <cell r="F7140" t="str">
            <v>in Stroh et al., 2014 (from: Cheffings &amp; Farrell 2005 or subsequent amendments in Leach 2007, 2010; Leach &amp; Walker 2011, 2013)</v>
          </cell>
          <cell r="G7140" t="str">
            <v>NBNSYS0000002247</v>
          </cell>
          <cell r="H7140" t="str">
            <v>Luzula multiflora</v>
          </cell>
        </row>
        <row r="7141">
          <cell r="A7141" t="str">
            <v>Luzula pallescens</v>
          </cell>
          <cell r="B7141" t="str">
            <v>Vascular plants</v>
          </cell>
          <cell r="C7141" t="str">
            <v>Tracheophyta</v>
          </cell>
          <cell r="D7141" t="str">
            <v>Luzula pallescens</v>
          </cell>
          <cell r="E7141" t="str">
            <v>CR</v>
          </cell>
          <cell r="F7141" t="str">
            <v>in Stroh et al., 2014 (from: Cheffings &amp; Farrell 2005 or subsequent amendments in Leach 2007, 2010; Leach &amp; Walker 2011, 2013)</v>
          </cell>
          <cell r="G7141" t="str">
            <v>NHMSYS0021128433</v>
          </cell>
          <cell r="H7141" t="str">
            <v>Luzula pallescens</v>
          </cell>
        </row>
        <row r="7142">
          <cell r="A7142" t="str">
            <v>Luzula pilosa</v>
          </cell>
          <cell r="B7142" t="str">
            <v>Vascular plants</v>
          </cell>
          <cell r="C7142" t="str">
            <v>Tracheophyta</v>
          </cell>
          <cell r="D7142" t="str">
            <v>Luzula pilosa</v>
          </cell>
          <cell r="E7142" t="str">
            <v>LC</v>
          </cell>
          <cell r="F7142" t="str">
            <v>in Stroh et al., 2014 (from: Cheffings &amp; Farrell 2005 or subsequent amendments in Leach 2007, 2010; Leach &amp; Walker 2011, 2013)</v>
          </cell>
          <cell r="G7142" t="str">
            <v>NBNSYS0000002239</v>
          </cell>
          <cell r="H7142" t="str">
            <v>Luzula pilosa</v>
          </cell>
        </row>
        <row r="7143">
          <cell r="A7143" t="str">
            <v>Luzula sylvatica</v>
          </cell>
          <cell r="B7143" t="str">
            <v>Vascular plants</v>
          </cell>
          <cell r="C7143" t="str">
            <v>Tracheophyta</v>
          </cell>
          <cell r="D7143" t="str">
            <v>Luzula sylvatica</v>
          </cell>
          <cell r="E7143" t="str">
            <v>LC</v>
          </cell>
          <cell r="F7143" t="str">
            <v>in Stroh et al., 2014 (from: Cheffings &amp; Farrell 2005 or subsequent amendments in Leach 2007, 2010; Leach &amp; Walker 2011, 2013)</v>
          </cell>
          <cell r="G7143" t="str">
            <v>NHMSYS0000460501</v>
          </cell>
          <cell r="H7143" t="str">
            <v>Luzula sylvatica</v>
          </cell>
        </row>
        <row r="7144">
          <cell r="A7144" t="str">
            <v>Lycopodiella inundata</v>
          </cell>
          <cell r="B7144" t="str">
            <v>Vascular plants</v>
          </cell>
          <cell r="C7144" t="str">
            <v>Tracheophyta</v>
          </cell>
          <cell r="D7144" t="str">
            <v>Lycopodiella inundata</v>
          </cell>
          <cell r="E7144" t="str">
            <v>EN</v>
          </cell>
          <cell r="F7144" t="str">
            <v>in Stroh et al., 2014 (from: Cheffings &amp; Farrell 2005 or subsequent amendments in Leach 2007, 2010; Leach &amp; Walker 2011, 2013)</v>
          </cell>
          <cell r="G7144" t="str">
            <v>NBNSYS0000002001</v>
          </cell>
          <cell r="H7144" t="str">
            <v>Lycopodiella inundata</v>
          </cell>
        </row>
        <row r="7145">
          <cell r="A7145" t="str">
            <v>Lycopodium annotinum</v>
          </cell>
          <cell r="B7145" t="str">
            <v>Vascular plants</v>
          </cell>
          <cell r="C7145" t="str">
            <v>Tracheophyta</v>
          </cell>
          <cell r="D7145" t="str">
            <v>Lycopodium annotinum</v>
          </cell>
          <cell r="E7145" t="str">
            <v>LC</v>
          </cell>
          <cell r="F7145" t="str">
            <v>in Stroh et al., 2014 (from: Cheffings &amp; Farrell 2005 or subsequent amendments in Leach 2007, 2010; Leach &amp; Walker 2011, 2013)</v>
          </cell>
          <cell r="G7145" t="str">
            <v>NBNSYS0000002002</v>
          </cell>
          <cell r="H7145" t="str">
            <v>Lycopodium annotinum</v>
          </cell>
        </row>
        <row r="7146">
          <cell r="A7146" t="str">
            <v>Lycopodium clavatum</v>
          </cell>
          <cell r="B7146" t="str">
            <v>Vascular plants</v>
          </cell>
          <cell r="C7146" t="str">
            <v>Tracheophyta</v>
          </cell>
          <cell r="D7146" t="str">
            <v>Lycopodium clavatum</v>
          </cell>
          <cell r="E7146" t="str">
            <v>LC</v>
          </cell>
          <cell r="F7146" t="str">
            <v>in Stroh et al., 2014 (from: Cheffings &amp; Farrell 2005 or subsequent amendments in Leach 2007, 2010; Leach &amp; Walker 2011, 2013)</v>
          </cell>
          <cell r="G7146" t="str">
            <v>NBNSYS0000002003</v>
          </cell>
          <cell r="H7146" t="str">
            <v>Lycopodium clavatum</v>
          </cell>
        </row>
        <row r="7147">
          <cell r="A7147" t="str">
            <v>Lycopus europaeus</v>
          </cell>
          <cell r="B7147" t="str">
            <v>Vascular plants</v>
          </cell>
          <cell r="C7147" t="str">
            <v>Tracheophyta</v>
          </cell>
          <cell r="D7147" t="str">
            <v>Lycopus europaeus</v>
          </cell>
          <cell r="E7147" t="str">
            <v>LC</v>
          </cell>
          <cell r="F7147" t="str">
            <v>in Stroh et al., 2014 (from: Cheffings &amp; Farrell 2005 or subsequent amendments in Leach 2007, 2010; Leach &amp; Walker 2011, 2013)</v>
          </cell>
          <cell r="G7147" t="str">
            <v>NBNSYS0000004206</v>
          </cell>
          <cell r="H7147" t="str">
            <v>Lycopus europaeus</v>
          </cell>
        </row>
        <row r="7148">
          <cell r="A7148" t="str">
            <v>Lysimachia nemorum</v>
          </cell>
          <cell r="B7148" t="str">
            <v>Vascular plants</v>
          </cell>
          <cell r="C7148" t="str">
            <v>Tracheophyta</v>
          </cell>
          <cell r="D7148" t="str">
            <v>Lysimachia nemorum</v>
          </cell>
          <cell r="E7148" t="str">
            <v>LC</v>
          </cell>
          <cell r="F7148" t="str">
            <v>in Stroh et al., 2014 (from: Cheffings &amp; Farrell 2005 or subsequent amendments in Leach 2007, 2010; Leach &amp; Walker 2011, 2013)</v>
          </cell>
          <cell r="G7148" t="str">
            <v>NBNSYS0000003934</v>
          </cell>
          <cell r="H7148" t="str">
            <v>Lysimachia nemorum</v>
          </cell>
        </row>
        <row r="7149">
          <cell r="A7149" t="str">
            <v>Lysimachia nummularia</v>
          </cell>
          <cell r="B7149" t="str">
            <v>Vascular plants</v>
          </cell>
          <cell r="C7149" t="str">
            <v>Tracheophyta</v>
          </cell>
          <cell r="D7149" t="str">
            <v>Lysimachia nummularia</v>
          </cell>
          <cell r="E7149" t="str">
            <v>LC</v>
          </cell>
          <cell r="F7149" t="str">
            <v>in Stroh et al., 2014 (from: Cheffings &amp; Farrell 2005 or subsequent amendments in Leach 2007, 2010; Leach &amp; Walker 2011, 2013)</v>
          </cell>
          <cell r="G7149" t="str">
            <v>NBNSYS0000003935</v>
          </cell>
          <cell r="H7149" t="str">
            <v>Lysimachia nummularia</v>
          </cell>
        </row>
        <row r="7150">
          <cell r="A7150" t="str">
            <v>Lysimachia thyrsiflora</v>
          </cell>
          <cell r="B7150" t="str">
            <v>Vascular plants</v>
          </cell>
          <cell r="C7150" t="str">
            <v>Tracheophyta</v>
          </cell>
          <cell r="D7150" t="str">
            <v>Lysimachia thyrsiflora</v>
          </cell>
          <cell r="E7150" t="str">
            <v>LC</v>
          </cell>
          <cell r="F7150" t="str">
            <v>in Stroh et al., 2014 (from: Cheffings &amp; Farrell 2005 or subsequent amendments in Leach 2007, 2010; Leach &amp; Walker 2011, 2013)</v>
          </cell>
          <cell r="G7150" t="str">
            <v>NBNSYS0000003940</v>
          </cell>
          <cell r="H7150" t="str">
            <v>Lysimachia thyrsiflora</v>
          </cell>
        </row>
        <row r="7151">
          <cell r="A7151" t="str">
            <v>Lysimachia vulgaris</v>
          </cell>
          <cell r="B7151" t="str">
            <v>Vascular plants</v>
          </cell>
          <cell r="C7151" t="str">
            <v>Tracheophyta</v>
          </cell>
          <cell r="D7151" t="str">
            <v>Lysimachia vulgaris</v>
          </cell>
          <cell r="E7151" t="str">
            <v>LC</v>
          </cell>
          <cell r="F7151" t="str">
            <v>in Stroh et al., 2014 (from: Cheffings &amp; Farrell 2005 or subsequent amendments in Leach 2007, 2010; Leach &amp; Walker 2011, 2013)</v>
          </cell>
          <cell r="G7151" t="str">
            <v>NBNSYS0000003936</v>
          </cell>
          <cell r="H7151" t="str">
            <v>Lysimachia vulgaris</v>
          </cell>
        </row>
        <row r="7152">
          <cell r="A7152" t="str">
            <v>Lythrum portula</v>
          </cell>
          <cell r="B7152" t="str">
            <v>Vascular plants</v>
          </cell>
          <cell r="C7152" t="str">
            <v>Tracheophyta</v>
          </cell>
          <cell r="D7152" t="str">
            <v>Lythrum portula</v>
          </cell>
          <cell r="E7152" t="str">
            <v>LC</v>
          </cell>
          <cell r="F7152" t="str">
            <v>in Stroh et al., 2014 (from: Cheffings &amp; Farrell 2005 or subsequent amendments in Leach 2007, 2010; Leach &amp; Walker 2011, 2013)</v>
          </cell>
          <cell r="G7152" t="str">
            <v>NHMSYS0000460546</v>
          </cell>
          <cell r="H7152" t="str">
            <v>Lythrum portula</v>
          </cell>
        </row>
        <row r="7153">
          <cell r="A7153" t="str">
            <v>Lythrum salicaria</v>
          </cell>
          <cell r="B7153" t="str">
            <v>Vascular plants</v>
          </cell>
          <cell r="C7153" t="str">
            <v>Tracheophyta</v>
          </cell>
          <cell r="D7153" t="str">
            <v>Lythrum salicaria</v>
          </cell>
          <cell r="E7153" t="str">
            <v>LC</v>
          </cell>
          <cell r="F7153" t="str">
            <v>in Stroh et al., 2014 (from: Cheffings &amp; Farrell 2005 or subsequent amendments in Leach 2007, 2010; Leach &amp; Walker 2011, 2013)</v>
          </cell>
          <cell r="G7153" t="str">
            <v>NBNSYS0000003524</v>
          </cell>
          <cell r="H7153" t="str">
            <v>Lythrum salicaria</v>
          </cell>
        </row>
        <row r="7154">
          <cell r="A7154" t="str">
            <v>Maianthemum bifolium</v>
          </cell>
          <cell r="B7154" t="str">
            <v>Vascular plants</v>
          </cell>
          <cell r="C7154" t="str">
            <v>Tracheophyta</v>
          </cell>
          <cell r="D7154" t="str">
            <v>Maianthemum bifolium</v>
          </cell>
          <cell r="E7154" t="str">
            <v>VU</v>
          </cell>
          <cell r="F7154" t="str">
            <v>in Stroh et al., 2014 (from: Cheffings &amp; Farrell 2005 or subsequent amendments in Leach 2007, 2010; Leach &amp; Walker 2011, 2013)</v>
          </cell>
          <cell r="G7154" t="str">
            <v>NHMSYS0000460559</v>
          </cell>
          <cell r="H7154" t="str">
            <v>Maianthemum bifolium</v>
          </cell>
        </row>
        <row r="7155">
          <cell r="A7155" t="str">
            <v>Malus sylvestris s.s.</v>
          </cell>
          <cell r="B7155" t="str">
            <v>Vascular plants</v>
          </cell>
          <cell r="C7155" t="str">
            <v>Tracheophyta</v>
          </cell>
          <cell r="D7155" t="str">
            <v>Malus sylvestris s.s.</v>
          </cell>
          <cell r="E7155" t="str">
            <v>LC</v>
          </cell>
          <cell r="F7155" t="str">
            <v>in Stroh et al., 2014 (from: Cheffings &amp; Farrell 2005 or subsequent amendments in Leach 2007, 2010; Leach &amp; Walker 2011, 2013)</v>
          </cell>
          <cell r="G7155" t="str">
            <v>NHMSYS0000460572</v>
          </cell>
          <cell r="H7155" t="str">
            <v>Malus sylvestris s.s.</v>
          </cell>
        </row>
        <row r="7156">
          <cell r="A7156" t="str">
            <v>Malva arborea</v>
          </cell>
          <cell r="B7156" t="str">
            <v>Vascular plants</v>
          </cell>
          <cell r="C7156" t="str">
            <v>Tracheophyta</v>
          </cell>
          <cell r="D7156" t="str">
            <v>Malva arborea</v>
          </cell>
          <cell r="E7156" t="str">
            <v>LC</v>
          </cell>
          <cell r="F7156" t="str">
            <v>in Stroh et al., 2014 (from: Cheffings &amp; Farrell 2005 or subsequent amendments in Leach 2007, 2010; Leach &amp; Walker 2011, 2013)</v>
          </cell>
          <cell r="G7156" t="str">
            <v>NHMSYS0021126272</v>
          </cell>
          <cell r="H7156" t="str">
            <v>Malva arborea</v>
          </cell>
        </row>
        <row r="7157">
          <cell r="A7157" t="str">
            <v>Malva moschata</v>
          </cell>
          <cell r="B7157" t="str">
            <v>Vascular plants</v>
          </cell>
          <cell r="C7157" t="str">
            <v>Tracheophyta</v>
          </cell>
          <cell r="D7157" t="str">
            <v>Malva moschata</v>
          </cell>
          <cell r="E7157" t="str">
            <v>LC</v>
          </cell>
          <cell r="F7157" t="str">
            <v>in Stroh et al., 2014 (from: Cheffings &amp; Farrell 2005 or subsequent amendments in Leach 2007, 2010; Leach &amp; Walker 2011, 2013)</v>
          </cell>
          <cell r="G7157" t="str">
            <v>NBNSYS0000003130</v>
          </cell>
          <cell r="H7157" t="str">
            <v>Malva moschata</v>
          </cell>
        </row>
        <row r="7158">
          <cell r="A7158" t="str">
            <v>Marrubium vulgare</v>
          </cell>
          <cell r="B7158" t="str">
            <v>Vascular plants</v>
          </cell>
          <cell r="C7158" t="str">
            <v>Tracheophyta</v>
          </cell>
          <cell r="D7158" t="str">
            <v>Marrubium vulgare</v>
          </cell>
          <cell r="E7158" t="str">
            <v>LC</v>
          </cell>
          <cell r="F7158" t="str">
            <v>in Stroh et al., 2014 (from: Cheffings &amp; Farrell 2005 or subsequent amendments in Leach 2007, 2010; Leach &amp; Walker 2011, 2013)</v>
          </cell>
          <cell r="G7158" t="str">
            <v>NBNSYS0000004258</v>
          </cell>
          <cell r="H7158" t="str">
            <v>Marrubium vulgare</v>
          </cell>
        </row>
        <row r="7159">
          <cell r="A7159" t="str">
            <v>Matthiola sinuata</v>
          </cell>
          <cell r="B7159" t="str">
            <v>Vascular plants</v>
          </cell>
          <cell r="C7159" t="str">
            <v>Tracheophyta</v>
          </cell>
          <cell r="D7159" t="str">
            <v>Matthiola sinuata</v>
          </cell>
          <cell r="E7159" t="str">
            <v>VU</v>
          </cell>
          <cell r="F7159" t="str">
            <v>in Stroh et al., 2014 (from: Cheffings &amp; Farrell 2005 or subsequent amendments in Leach 2007, 2010; Leach &amp; Walker 2011, 2013)</v>
          </cell>
          <cell r="G7159" t="str">
            <v>NHMSYS0000460621</v>
          </cell>
          <cell r="H7159" t="str">
            <v>Matthiola sinuata</v>
          </cell>
        </row>
        <row r="7160">
          <cell r="A7160" t="str">
            <v>Meconopsis cambrica</v>
          </cell>
          <cell r="B7160" t="str">
            <v>Vascular plants</v>
          </cell>
          <cell r="C7160" t="str">
            <v>Tracheophyta</v>
          </cell>
          <cell r="D7160" t="str">
            <v>Meconopsis cambrica</v>
          </cell>
          <cell r="E7160" t="str">
            <v>LC</v>
          </cell>
          <cell r="F7160" t="str">
            <v>in Stroh et al., 2014 (from: Cheffings &amp; Farrell 2005 or subsequent amendments in Leach 2007, 2010; Leach &amp; Walker 2011, 2013)</v>
          </cell>
          <cell r="G7160" t="str">
            <v>NHMSYS0000460627</v>
          </cell>
          <cell r="H7160" t="str">
            <v>Meconopsis cambrica</v>
          </cell>
        </row>
        <row r="7161">
          <cell r="A7161" t="str">
            <v>Medicago arabica</v>
          </cell>
          <cell r="B7161" t="str">
            <v>Vascular plants</v>
          </cell>
          <cell r="C7161" t="str">
            <v>Tracheophyta</v>
          </cell>
          <cell r="D7161" t="str">
            <v>Medicago arabica</v>
          </cell>
          <cell r="E7161" t="str">
            <v>LC</v>
          </cell>
          <cell r="F7161" t="str">
            <v>in Stroh et al., 2014 (from: Cheffings &amp; Farrell 2005 or subsequent amendments in Leach 2007, 2010; Leach &amp; Walker 2011, 2013)</v>
          </cell>
          <cell r="G7161" t="str">
            <v>NHMSYS0000460629</v>
          </cell>
          <cell r="H7161" t="str">
            <v>Medicago arabica</v>
          </cell>
        </row>
        <row r="7162">
          <cell r="A7162" t="str">
            <v>Medicago lupulina</v>
          </cell>
          <cell r="B7162" t="str">
            <v>Vascular plants</v>
          </cell>
          <cell r="C7162" t="str">
            <v>Tracheophyta</v>
          </cell>
          <cell r="D7162" t="str">
            <v>Medicago lupulina</v>
          </cell>
          <cell r="E7162" t="str">
            <v>LC</v>
          </cell>
          <cell r="F7162" t="str">
            <v>in Stroh et al., 2014 (from: Cheffings &amp; Farrell 2005 or subsequent amendments in Leach 2007, 2010; Leach &amp; Walker 2011, 2013)</v>
          </cell>
          <cell r="G7162" t="str">
            <v>NBNSYS0000003222</v>
          </cell>
          <cell r="H7162" t="str">
            <v>Medicago lupulina</v>
          </cell>
        </row>
        <row r="7163">
          <cell r="A7163" t="str">
            <v>Medicago minima</v>
          </cell>
          <cell r="B7163" t="str">
            <v>Vascular plants</v>
          </cell>
          <cell r="C7163" t="str">
            <v>Tracheophyta</v>
          </cell>
          <cell r="D7163" t="str">
            <v>Medicago minima</v>
          </cell>
          <cell r="E7163" t="str">
            <v>VU</v>
          </cell>
          <cell r="F7163" t="str">
            <v>in Stroh et al., 2014 (from: Cheffings &amp; Farrell 2005 or subsequent amendments in Leach 2007, 2010; Leach &amp; Walker 2011, 2013)</v>
          </cell>
          <cell r="G7163" t="str">
            <v>NHMSYS0000460638</v>
          </cell>
          <cell r="H7163" t="str">
            <v>Medicago minima</v>
          </cell>
        </row>
        <row r="7164">
          <cell r="A7164" t="str">
            <v>Medicago polymorpha</v>
          </cell>
          <cell r="B7164" t="str">
            <v>Vascular plants</v>
          </cell>
          <cell r="C7164" t="str">
            <v>Tracheophyta</v>
          </cell>
          <cell r="D7164" t="str">
            <v>Medicago polymorpha</v>
          </cell>
          <cell r="E7164" t="str">
            <v>LC</v>
          </cell>
          <cell r="F7164" t="str">
            <v>in Stroh et al., 2014 (from: Cheffings &amp; Farrell 2005 or subsequent amendments in Leach 2007, 2010; Leach &amp; Walker 2011, 2013)</v>
          </cell>
          <cell r="G7164" t="str">
            <v>NBNSYS0000003224</v>
          </cell>
          <cell r="H7164" t="str">
            <v>Medicago polymorpha</v>
          </cell>
        </row>
        <row r="7165">
          <cell r="A7165" t="str">
            <v>Medicago sativa </v>
          </cell>
          <cell r="B7165" t="str">
            <v>Vascular plants</v>
          </cell>
          <cell r="C7165" t="str">
            <v>Tracheophyta</v>
          </cell>
          <cell r="D7165" t="str">
            <v>Medicago sativa</v>
          </cell>
          <cell r="E7165" t="str">
            <v>LC</v>
          </cell>
          <cell r="F7165" t="str">
            <v>in Stroh et al., 2014 (from: Cheffings &amp; Farrell 2005 or subsequent amendments in Leach 2007, 2010; Leach &amp; Walker 2011, 2013)</v>
          </cell>
          <cell r="G7165" t="str">
            <v>NBNSYS0000013971</v>
          </cell>
          <cell r="H7165" t="str">
            <v>Medicago sativa </v>
          </cell>
        </row>
        <row r="7166">
          <cell r="A7166" t="str">
            <v>Melampyrum cristatum</v>
          </cell>
          <cell r="B7166" t="str">
            <v>Vascular plants</v>
          </cell>
          <cell r="C7166" t="str">
            <v>Tracheophyta</v>
          </cell>
          <cell r="D7166" t="str">
            <v>Melampyrum cristatum</v>
          </cell>
          <cell r="E7166" t="str">
            <v>VU</v>
          </cell>
          <cell r="F7166" t="str">
            <v>in Stroh et al., 2014 (from: Cheffings &amp; Farrell 2005 or subsequent amendments in Leach 2007, 2010; Leach &amp; Walker 2011, 2013)</v>
          </cell>
          <cell r="G7166" t="str">
            <v>NBNSYS0000004136</v>
          </cell>
          <cell r="H7166" t="str">
            <v>Melampyrum cristatum</v>
          </cell>
        </row>
        <row r="7167">
          <cell r="A7167" t="str">
            <v>Melampyrum pratense</v>
          </cell>
          <cell r="B7167" t="str">
            <v>Vascular plants</v>
          </cell>
          <cell r="C7167" t="str">
            <v>Tracheophyta</v>
          </cell>
          <cell r="D7167" t="str">
            <v>Melampyrum pratense</v>
          </cell>
          <cell r="E7167" t="str">
            <v>LC</v>
          </cell>
          <cell r="F7167" t="str">
            <v>in Stroh et al., 2014 (from: Cheffings &amp; Farrell 2005 or subsequent amendments in Leach 2007, 2010; Leach &amp; Walker 2011, 2013)</v>
          </cell>
          <cell r="G7167" t="str">
            <v>NBNSYS0000004138</v>
          </cell>
          <cell r="H7167" t="str">
            <v>Melampyrum pratense</v>
          </cell>
        </row>
        <row r="7168">
          <cell r="A7168" t="str">
            <v>Melampyrum sylvaticum</v>
          </cell>
          <cell r="B7168" t="str">
            <v>Vascular plants</v>
          </cell>
          <cell r="C7168" t="str">
            <v>Tracheophyta</v>
          </cell>
          <cell r="D7168" t="str">
            <v>Melampyrum sylvaticum</v>
          </cell>
          <cell r="E7168" t="str">
            <v>EN</v>
          </cell>
          <cell r="F7168" t="str">
            <v>in Stroh et al., 2014 (from: Cheffings &amp; Farrell 2005 or subsequent amendments in Leach 2007, 2010; Leach &amp; Walker 2011, 2013)</v>
          </cell>
          <cell r="G7168" t="str">
            <v>NBNSYS0000004139</v>
          </cell>
          <cell r="H7168" t="str">
            <v>Melampyrum sylvaticum</v>
          </cell>
        </row>
        <row r="7169">
          <cell r="A7169" t="str">
            <v>Melica nutans</v>
          </cell>
          <cell r="B7169" t="str">
            <v>Vascular plants</v>
          </cell>
          <cell r="C7169" t="str">
            <v>Tracheophyta</v>
          </cell>
          <cell r="D7169" t="str">
            <v>Melica nutans</v>
          </cell>
          <cell r="E7169" t="str">
            <v>LC</v>
          </cell>
          <cell r="F7169" t="str">
            <v>in Stroh et al., 2014 (from: Cheffings &amp; Farrell 2005 or subsequent amendments in Leach 2007, 2010; Leach &amp; Walker 2011, 2013)</v>
          </cell>
          <cell r="G7169" t="str">
            <v>NBNSYS0000002569</v>
          </cell>
          <cell r="H7169" t="str">
            <v>Melica nutans</v>
          </cell>
        </row>
        <row r="7170">
          <cell r="A7170" t="str">
            <v>Melica uniflora</v>
          </cell>
          <cell r="B7170" t="str">
            <v>Vascular plants</v>
          </cell>
          <cell r="C7170" t="str">
            <v>Tracheophyta</v>
          </cell>
          <cell r="D7170" t="str">
            <v>Melica uniflora</v>
          </cell>
          <cell r="E7170" t="str">
            <v>LC</v>
          </cell>
          <cell r="F7170" t="str">
            <v>in Stroh et al., 2014 (from: Cheffings &amp; Farrell 2005 or subsequent amendments in Leach 2007, 2010; Leach &amp; Walker 2011, 2013)</v>
          </cell>
          <cell r="G7170" t="str">
            <v>NBNSYS0000002568</v>
          </cell>
          <cell r="H7170" t="str">
            <v>Melica uniflora</v>
          </cell>
        </row>
        <row r="7171">
          <cell r="A7171" t="str">
            <v>Melittis melissophyllum</v>
          </cell>
          <cell r="B7171" t="str">
            <v>Vascular plants</v>
          </cell>
          <cell r="C7171" t="str">
            <v>Tracheophyta</v>
          </cell>
          <cell r="D7171" t="str">
            <v>Melittis melissophyllum</v>
          </cell>
          <cell r="E7171" t="str">
            <v>VU</v>
          </cell>
          <cell r="F7171" t="str">
            <v>in Stroh et al., 2014 (from: Cheffings &amp; Farrell 2005 or subsequent amendments in Leach 2007, 2010; Leach &amp; Walker 2011, 2013)</v>
          </cell>
          <cell r="G7171" t="str">
            <v>NBNSYS0000004224</v>
          </cell>
          <cell r="H7171" t="str">
            <v>Melittis melissophyllum</v>
          </cell>
        </row>
        <row r="7172">
          <cell r="A7172" t="str">
            <v>Mentha aquatica</v>
          </cell>
          <cell r="B7172" t="str">
            <v>Vascular plants</v>
          </cell>
          <cell r="C7172" t="str">
            <v>Tracheophyta</v>
          </cell>
          <cell r="D7172" t="str">
            <v>Mentha aquatica</v>
          </cell>
          <cell r="E7172" t="str">
            <v>LC</v>
          </cell>
          <cell r="F7172" t="str">
            <v>in Stroh et al., 2014 (from: Cheffings &amp; Farrell 2005 or subsequent amendments in Leach 2007, 2010; Leach &amp; Walker 2011, 2013)</v>
          </cell>
          <cell r="G7172" t="str">
            <v>NBNSYS0000004198</v>
          </cell>
          <cell r="H7172" t="str">
            <v>Mentha aquatica</v>
          </cell>
        </row>
        <row r="7173">
          <cell r="A7173" t="str">
            <v>Mentha arvensis</v>
          </cell>
          <cell r="B7173" t="str">
            <v>Vascular plants</v>
          </cell>
          <cell r="C7173" t="str">
            <v>Tracheophyta</v>
          </cell>
          <cell r="D7173" t="str">
            <v>Mentha arvensis</v>
          </cell>
          <cell r="E7173" t="str">
            <v>LC</v>
          </cell>
          <cell r="F7173" t="str">
            <v>in Stroh et al., 2014 (from: Cheffings &amp; Farrell 2005 or subsequent amendments in Leach 2007, 2010; Leach &amp; Walker 2011, 2013)</v>
          </cell>
          <cell r="G7173" t="str">
            <v>NBNSYS0000004195</v>
          </cell>
          <cell r="H7173" t="str">
            <v>Mentha arvensis</v>
          </cell>
        </row>
        <row r="7174">
          <cell r="A7174" t="str">
            <v>Mentha pulegium</v>
          </cell>
          <cell r="B7174" t="str">
            <v>Vascular plants</v>
          </cell>
          <cell r="C7174" t="str">
            <v>Tracheophyta</v>
          </cell>
          <cell r="D7174" t="str">
            <v>Mentha pulegium</v>
          </cell>
          <cell r="E7174" t="str">
            <v>EN</v>
          </cell>
          <cell r="F7174" t="str">
            <v>in Stroh et al., 2014 (from: Cheffings &amp; Farrell 2005 or subsequent amendments in Leach 2007, 2010; Leach &amp; Walker 2011, 2013)</v>
          </cell>
          <cell r="G7174" t="str">
            <v>NBNSYS0000004194</v>
          </cell>
          <cell r="H7174" t="str">
            <v>Mentha pulegium</v>
          </cell>
        </row>
        <row r="7175">
          <cell r="A7175" t="str">
            <v>Menyanthes trifoliata</v>
          </cell>
          <cell r="B7175" t="str">
            <v>Vascular plants</v>
          </cell>
          <cell r="C7175" t="str">
            <v>Tracheophyta</v>
          </cell>
          <cell r="D7175" t="str">
            <v>Menyanthes trifoliata</v>
          </cell>
          <cell r="E7175" t="str">
            <v>LC</v>
          </cell>
          <cell r="F7175" t="str">
            <v>in Stroh et al., 2014 (from: Cheffings &amp; Farrell 2005 or subsequent amendments in Leach 2007, 2010; Leach &amp; Walker 2011, 2013)</v>
          </cell>
          <cell r="G7175" t="str">
            <v>NBNSYS0000003976</v>
          </cell>
          <cell r="H7175" t="str">
            <v>Menyanthes trifoliata</v>
          </cell>
        </row>
        <row r="7176">
          <cell r="A7176" t="str">
            <v>Mercurialis perennis</v>
          </cell>
          <cell r="B7176" t="str">
            <v>Vascular plants</v>
          </cell>
          <cell r="C7176" t="str">
            <v>Tracheophyta</v>
          </cell>
          <cell r="D7176" t="str">
            <v>Mercurialis perennis</v>
          </cell>
          <cell r="E7176" t="str">
            <v>LC</v>
          </cell>
          <cell r="F7176" t="str">
            <v>in Stroh et al., 2014 (from: Cheffings &amp; Farrell 2005 or subsequent amendments in Leach 2007, 2010; Leach &amp; Walker 2011, 2013)</v>
          </cell>
          <cell r="G7176" t="str">
            <v>NBNSYS0000003721</v>
          </cell>
          <cell r="H7176" t="str">
            <v>Mercurialis perennis</v>
          </cell>
        </row>
        <row r="7177">
          <cell r="A7177" t="str">
            <v>Mertensia maritima</v>
          </cell>
          <cell r="B7177" t="str">
            <v>Vascular plants</v>
          </cell>
          <cell r="C7177" t="str">
            <v>Tracheophyta</v>
          </cell>
          <cell r="D7177" t="str">
            <v>Mertensia maritima</v>
          </cell>
          <cell r="E7177" t="str">
            <v>NT</v>
          </cell>
          <cell r="F7177" t="str">
            <v>in Stroh et al., 2014 (from: Cheffings &amp; Farrell 2005 or subsequent amendments in Leach 2007, 2010; Leach &amp; Walker 2011, 2013)</v>
          </cell>
          <cell r="G7177" t="str">
            <v>NBNSYS0000004018</v>
          </cell>
          <cell r="H7177" t="str">
            <v>Mertensia maritima</v>
          </cell>
        </row>
        <row r="7178">
          <cell r="A7178" t="str">
            <v>Meum athamanticum</v>
          </cell>
          <cell r="B7178" t="str">
            <v>Vascular plants</v>
          </cell>
          <cell r="C7178" t="str">
            <v>Tracheophyta</v>
          </cell>
          <cell r="D7178" t="str">
            <v>Meum athamanticum</v>
          </cell>
          <cell r="E7178" t="str">
            <v>NT</v>
          </cell>
          <cell r="F7178" t="str">
            <v>in Stroh et al., 2014 (from: Cheffings &amp; Farrell 2005 or subsequent amendments in Leach 2007, 2010; Leach &amp; Walker 2011, 2013)</v>
          </cell>
          <cell r="G7178" t="str">
            <v>NBNSYS0000003700</v>
          </cell>
          <cell r="H7178" t="str">
            <v>Meum athamanticum</v>
          </cell>
        </row>
        <row r="7179">
          <cell r="A7179" t="str">
            <v>Mibora minima</v>
          </cell>
          <cell r="B7179" t="str">
            <v>Vascular plants</v>
          </cell>
          <cell r="C7179" t="str">
            <v>Tracheophyta</v>
          </cell>
          <cell r="D7179" t="str">
            <v>Mibora minima</v>
          </cell>
          <cell r="E7179" t="str">
            <v>LC</v>
          </cell>
          <cell r="F7179" t="str">
            <v>in Stroh et al., 2014 (from: Cheffings &amp; Farrell 2005 or subsequent amendments in Leach 2007, 2010; Leach &amp; Walker 2011, 2013)</v>
          </cell>
          <cell r="G7179" t="str">
            <v>NBNSYS0000002647</v>
          </cell>
          <cell r="H7179" t="str">
            <v>Mibora minima</v>
          </cell>
        </row>
        <row r="7180">
          <cell r="A7180" t="str">
            <v>Microthlaspi perfoliatum</v>
          </cell>
          <cell r="B7180" t="str">
            <v>Vascular plants</v>
          </cell>
          <cell r="C7180" t="str">
            <v>Tracheophyta</v>
          </cell>
          <cell r="D7180" t="str">
            <v>Microthlaspi perfoliatum</v>
          </cell>
          <cell r="E7180" t="str">
            <v>VU</v>
          </cell>
          <cell r="F7180" t="str">
            <v>in Stroh et al., 2014 (from: Cheffings &amp; Farrell 2005 or subsequent amendments in Leach 2007, 2010; Leach &amp; Walker 2011, 2013)</v>
          </cell>
          <cell r="G7180" t="str">
            <v>NBNSYS0000002843</v>
          </cell>
          <cell r="H7180" t="str">
            <v>Microthlaspi perfoliatum</v>
          </cell>
        </row>
        <row r="7181">
          <cell r="A7181" t="str">
            <v>Milium effusum</v>
          </cell>
          <cell r="B7181" t="str">
            <v>Vascular plants</v>
          </cell>
          <cell r="C7181" t="str">
            <v>Tracheophyta</v>
          </cell>
          <cell r="D7181" t="str">
            <v>Milium effusum</v>
          </cell>
          <cell r="E7181" t="str">
            <v>LC</v>
          </cell>
          <cell r="F7181" t="str">
            <v>in Stroh et al., 2014 (from: Cheffings &amp; Farrell 2005 or subsequent amendments in Leach 2007, 2010; Leach &amp; Walker 2011, 2013)</v>
          </cell>
          <cell r="G7181" t="str">
            <v>NBNSYS0000002663</v>
          </cell>
          <cell r="H7181" t="str">
            <v>Milium effusum</v>
          </cell>
        </row>
        <row r="7182">
          <cell r="A7182" t="str">
            <v>Minuartia hybrida</v>
          </cell>
          <cell r="B7182" t="str">
            <v>Vascular plants</v>
          </cell>
          <cell r="C7182" t="str">
            <v>Tracheophyta</v>
          </cell>
          <cell r="D7182" t="str">
            <v>Minuartia hybrida</v>
          </cell>
          <cell r="E7182" t="str">
            <v>EN</v>
          </cell>
          <cell r="F7182" t="str">
            <v>in Stroh et al., 2014 (from: Cheffings &amp; Farrell 2005 or subsequent amendments in Leach 2007, 2010; Leach &amp; Walker 2011, 2013)</v>
          </cell>
          <cell r="G7182" t="str">
            <v>NHMSYS0000460730</v>
          </cell>
          <cell r="H7182" t="str">
            <v>Minuartia hybrida</v>
          </cell>
        </row>
        <row r="7183">
          <cell r="A7183" t="str">
            <v>Minuartia stricta</v>
          </cell>
          <cell r="B7183" t="str">
            <v>Vascular plants</v>
          </cell>
          <cell r="C7183" t="str">
            <v>Tracheophyta</v>
          </cell>
          <cell r="D7183" t="str">
            <v>Minuartia stricta</v>
          </cell>
          <cell r="E7183" t="str">
            <v>VU</v>
          </cell>
          <cell r="F7183" t="str">
            <v>in Stroh et al., 2014 (from: Cheffings &amp; Farrell 2005 or subsequent amendments in Leach 2007, 2010; Leach &amp; Walker 2011, 2013)</v>
          </cell>
          <cell r="G7183" t="str">
            <v>NBNSYS0000003054</v>
          </cell>
          <cell r="H7183" t="str">
            <v>Minuartia stricta</v>
          </cell>
        </row>
        <row r="7184">
          <cell r="A7184" t="str">
            <v>Minuartia verna</v>
          </cell>
          <cell r="B7184" t="str">
            <v>Vascular plants</v>
          </cell>
          <cell r="C7184" t="str">
            <v>Tracheophyta</v>
          </cell>
          <cell r="D7184" t="str">
            <v>Minuartia verna</v>
          </cell>
          <cell r="E7184" t="str">
            <v>NT</v>
          </cell>
          <cell r="F7184" t="str">
            <v>in Stroh et al., 2014 (from: Cheffings &amp; Farrell 2005 or subsequent amendments in Leach 2007, 2010; Leach &amp; Walker 2011, 2013)</v>
          </cell>
          <cell r="G7184" t="str">
            <v>NBNSYS0000003052</v>
          </cell>
          <cell r="H7184" t="str">
            <v>Minuartia verna</v>
          </cell>
        </row>
        <row r="7185">
          <cell r="A7185" t="str">
            <v>Moehringia trinervia</v>
          </cell>
          <cell r="B7185" t="str">
            <v>Vascular plants</v>
          </cell>
          <cell r="C7185" t="str">
            <v>Tracheophyta</v>
          </cell>
          <cell r="D7185" t="str">
            <v>Moehringia trinervia</v>
          </cell>
          <cell r="E7185" t="str">
            <v>LC</v>
          </cell>
          <cell r="F7185" t="str">
            <v>in Stroh et al., 2014 (from: Cheffings &amp; Farrell 2005 or subsequent amendments in Leach 2007, 2010; Leach &amp; Walker 2011, 2013)</v>
          </cell>
          <cell r="G7185" t="str">
            <v>NBNSYS0000003058</v>
          </cell>
          <cell r="H7185" t="str">
            <v>Moehringia trinervia</v>
          </cell>
        </row>
        <row r="7186">
          <cell r="A7186" t="str">
            <v>Moenchia erecta</v>
          </cell>
          <cell r="B7186" t="str">
            <v>Vascular plants</v>
          </cell>
          <cell r="C7186" t="str">
            <v>Tracheophyta</v>
          </cell>
          <cell r="D7186" t="str">
            <v>Moenchia erecta</v>
          </cell>
          <cell r="E7186" t="str">
            <v>LC</v>
          </cell>
          <cell r="F7186" t="str">
            <v>in Stroh et al., 2014 (from: Cheffings &amp; Farrell 2005 or subsequent amendments in Leach 2007, 2010; Leach &amp; Walker 2011, 2013)</v>
          </cell>
          <cell r="G7186" t="str">
            <v>NHMSYS0000460745</v>
          </cell>
          <cell r="H7186" t="str">
            <v>Moenchia erecta</v>
          </cell>
        </row>
        <row r="7187">
          <cell r="A7187" t="str">
            <v>Molinia caerulea</v>
          </cell>
          <cell r="B7187" t="str">
            <v>Vascular plants</v>
          </cell>
          <cell r="C7187" t="str">
            <v>Tracheophyta</v>
          </cell>
          <cell r="D7187" t="str">
            <v>Molinia caerulea</v>
          </cell>
          <cell r="E7187" t="str">
            <v>LC</v>
          </cell>
          <cell r="F7187" t="str">
            <v>in Stroh et al., 2014 (from: Cheffings &amp; Farrell 2005 or subsequent amendments in Leach 2007, 2010; Leach &amp; Walker 2011, 2013)</v>
          </cell>
          <cell r="G7187" t="str">
            <v>NBNSYS0000002499</v>
          </cell>
          <cell r="H7187" t="str">
            <v>Molinia caerulea</v>
          </cell>
        </row>
        <row r="7188">
          <cell r="A7188" t="str">
            <v>Montia fontana</v>
          </cell>
          <cell r="B7188" t="str">
            <v>Vascular plants</v>
          </cell>
          <cell r="C7188" t="str">
            <v>Tracheophyta</v>
          </cell>
          <cell r="D7188" t="str">
            <v>Montia fontana</v>
          </cell>
          <cell r="E7188" t="str">
            <v>LC</v>
          </cell>
          <cell r="F7188" t="str">
            <v>in Stroh et al., 2014 (from: Cheffings &amp; Farrell 2005 or subsequent amendments in Leach 2007, 2010; Leach &amp; Walker 2011, 2013)</v>
          </cell>
          <cell r="G7188" t="str">
            <v>NBNSYS0000003074</v>
          </cell>
          <cell r="H7188" t="str">
            <v>Montia fontana</v>
          </cell>
        </row>
        <row r="7189">
          <cell r="A7189" t="str">
            <v>Muscari neglectum</v>
          </cell>
          <cell r="B7189" t="str">
            <v>Vascular plants</v>
          </cell>
          <cell r="C7189" t="str">
            <v>Tracheophyta</v>
          </cell>
          <cell r="D7189" t="str">
            <v>Muscari neglectum</v>
          </cell>
          <cell r="E7189" t="str">
            <v>VU</v>
          </cell>
          <cell r="F7189" t="str">
            <v>in Stroh et al., 2014 (from: Cheffings &amp; Farrell 2005 or subsequent amendments in Leach 2007, 2010; Leach &amp; Walker 2011, 2013)</v>
          </cell>
          <cell r="G7189" t="str">
            <v>NBNSYS0000002187</v>
          </cell>
          <cell r="H7189" t="str">
            <v>Muscari neglectum</v>
          </cell>
        </row>
        <row r="7190">
          <cell r="A7190" t="str">
            <v>Mycelis muralis</v>
          </cell>
          <cell r="B7190" t="str">
            <v>Vascular plants</v>
          </cell>
          <cell r="C7190" t="str">
            <v>Tracheophyta</v>
          </cell>
          <cell r="D7190" t="str">
            <v>Mycelis muralis</v>
          </cell>
          <cell r="E7190" t="str">
            <v>LC</v>
          </cell>
          <cell r="F7190" t="str">
            <v>in Stroh et al., 2014 (from: Cheffings &amp; Farrell 2005 or subsequent amendments in Leach 2007, 2010; Leach &amp; Walker 2011, 2013)</v>
          </cell>
          <cell r="G7190" t="str">
            <v>NBNSYS0000004539</v>
          </cell>
          <cell r="H7190" t="str">
            <v>Mycelis muralis</v>
          </cell>
        </row>
        <row r="7191">
          <cell r="A7191" t="str">
            <v>Myosotis alpestris</v>
          </cell>
          <cell r="B7191" t="str">
            <v>Vascular plants</v>
          </cell>
          <cell r="C7191" t="str">
            <v>Tracheophyta</v>
          </cell>
          <cell r="D7191" t="str">
            <v>Myosotis alpestris</v>
          </cell>
          <cell r="E7191" t="str">
            <v>NT</v>
          </cell>
          <cell r="F7191" t="str">
            <v>in Stroh et al., 2014 (from: Cheffings &amp; Farrell 2005 or subsequent amendments in Leach 2007, 2010; Leach &amp; Walker 2011, 2013)</v>
          </cell>
          <cell r="G7191" t="str">
            <v>NHMSYS0000460810</v>
          </cell>
          <cell r="H7191" t="str">
            <v>Myosotis alpestris</v>
          </cell>
        </row>
        <row r="7192">
          <cell r="A7192" t="str">
            <v>Myosotis discolor</v>
          </cell>
          <cell r="B7192" t="str">
            <v>Vascular plants</v>
          </cell>
          <cell r="C7192" t="str">
            <v>Tracheophyta</v>
          </cell>
          <cell r="D7192" t="str">
            <v>Myosotis discolor</v>
          </cell>
          <cell r="E7192" t="str">
            <v>LC</v>
          </cell>
          <cell r="F7192" t="str">
            <v>in Stroh et al., 2014 (from: Cheffings &amp; Farrell 2005 or subsequent amendments in Leach 2007, 2010; Leach &amp; Walker 2011, 2013)</v>
          </cell>
          <cell r="G7192" t="str">
            <v>NBNSYS0000004013</v>
          </cell>
          <cell r="H7192" t="str">
            <v>Myosotis discolor</v>
          </cell>
        </row>
        <row r="7193">
          <cell r="A7193" t="str">
            <v>Myosotis laxa</v>
          </cell>
          <cell r="B7193" t="str">
            <v>Vascular plants</v>
          </cell>
          <cell r="C7193" t="str">
            <v>Tracheophyta</v>
          </cell>
          <cell r="D7193" t="str">
            <v>Myosotis laxa</v>
          </cell>
          <cell r="E7193" t="str">
            <v>LC</v>
          </cell>
          <cell r="F7193" t="str">
            <v>in Stroh et al., 2014 (from: Cheffings &amp; Farrell 2005 or subsequent amendments in Leach 2007, 2010; Leach &amp; Walker 2011, 2013)</v>
          </cell>
          <cell r="G7193" t="str">
            <v>NHMSYS0000460816</v>
          </cell>
          <cell r="H7193" t="str">
            <v>Myosotis laxa</v>
          </cell>
        </row>
        <row r="7194">
          <cell r="A7194" t="str">
            <v>Myosotis ramosissima</v>
          </cell>
          <cell r="B7194" t="str">
            <v>Vascular plants</v>
          </cell>
          <cell r="C7194" t="str">
            <v>Tracheophyta</v>
          </cell>
          <cell r="D7194" t="str">
            <v>Myosotis ramosissima</v>
          </cell>
          <cell r="E7194" t="str">
            <v>LC</v>
          </cell>
          <cell r="F7194" t="str">
            <v>in Stroh et al., 2014 (from: Cheffings &amp; Farrell 2005 or subsequent amendments in Leach 2007, 2010; Leach &amp; Walker 2011, 2013)</v>
          </cell>
          <cell r="G7194" t="str">
            <v>NBNSYS0000004014</v>
          </cell>
          <cell r="H7194" t="str">
            <v>Myosotis ramosissima</v>
          </cell>
        </row>
        <row r="7195">
          <cell r="A7195" t="str">
            <v>Myosotis scorpioides</v>
          </cell>
          <cell r="B7195" t="str">
            <v>Vascular plants</v>
          </cell>
          <cell r="C7195" t="str">
            <v>Tracheophyta</v>
          </cell>
          <cell r="D7195" t="str">
            <v>Myosotis scorpioides</v>
          </cell>
          <cell r="E7195" t="str">
            <v>LC</v>
          </cell>
          <cell r="F7195" t="str">
            <v>in Stroh et al., 2014 (from: Cheffings &amp; Farrell 2005 or subsequent amendments in Leach 2007, 2010; Leach &amp; Walker 2011, 2013)</v>
          </cell>
          <cell r="G7195" t="str">
            <v>NBNSYS0000004005</v>
          </cell>
          <cell r="H7195" t="str">
            <v>Myosotis scorpioides</v>
          </cell>
        </row>
        <row r="7196">
          <cell r="A7196" t="str">
            <v>Myosotis secunda</v>
          </cell>
          <cell r="B7196" t="str">
            <v>Vascular plants</v>
          </cell>
          <cell r="C7196" t="str">
            <v>Tracheophyta</v>
          </cell>
          <cell r="D7196" t="str">
            <v>Myosotis secunda</v>
          </cell>
          <cell r="E7196" t="str">
            <v>LC</v>
          </cell>
          <cell r="F7196" t="str">
            <v>in Stroh et al., 2014 (from: Cheffings &amp; Farrell 2005 or subsequent amendments in Leach 2007, 2010; Leach &amp; Walker 2011, 2013)</v>
          </cell>
          <cell r="G7196" t="str">
            <v>NHMSYS0000460819</v>
          </cell>
          <cell r="H7196" t="str">
            <v>Myosotis secunda</v>
          </cell>
        </row>
        <row r="7197">
          <cell r="A7197" t="str">
            <v>Myosotis stolonifera</v>
          </cell>
          <cell r="B7197" t="str">
            <v>Vascular plants</v>
          </cell>
          <cell r="C7197" t="str">
            <v>Tracheophyta</v>
          </cell>
          <cell r="D7197" t="str">
            <v>Myosotis stolonifera</v>
          </cell>
          <cell r="E7197" t="str">
            <v>LC</v>
          </cell>
          <cell r="F7197" t="str">
            <v>in Stroh et al., 2014 (from: Cheffings &amp; Farrell 2005 or subsequent amendments in Leach 2007, 2010; Leach &amp; Walker 2011, 2013)</v>
          </cell>
          <cell r="G7197" t="str">
            <v>NHMSYS0000460821</v>
          </cell>
          <cell r="H7197" t="str">
            <v>Myosotis stolonifera</v>
          </cell>
        </row>
        <row r="7198">
          <cell r="A7198" t="str">
            <v>Myosotis sylvatica</v>
          </cell>
          <cell r="B7198" t="str">
            <v>Vascular plants</v>
          </cell>
          <cell r="C7198" t="str">
            <v>Tracheophyta</v>
          </cell>
          <cell r="D7198" t="str">
            <v>Myosotis sylvatica</v>
          </cell>
          <cell r="E7198" t="str">
            <v>LC</v>
          </cell>
          <cell r="F7198" t="str">
            <v>in Stroh et al., 2014 (from: Cheffings &amp; Farrell 2005 or subsequent amendments in Leach 2007, 2010; Leach &amp; Walker 2011, 2013)</v>
          </cell>
          <cell r="G7198" t="str">
            <v>NHMSYS0000460822</v>
          </cell>
          <cell r="H7198" t="str">
            <v>Myosotis sylvatica</v>
          </cell>
        </row>
        <row r="7199">
          <cell r="A7199" t="str">
            <v>Myosoton aquaticum</v>
          </cell>
          <cell r="B7199" t="str">
            <v>Vascular plants</v>
          </cell>
          <cell r="C7199" t="str">
            <v>Tracheophyta</v>
          </cell>
          <cell r="D7199" t="str">
            <v>Myosoton aquaticum</v>
          </cell>
          <cell r="E7199" t="str">
            <v>LC</v>
          </cell>
          <cell r="F7199" t="str">
            <v>in Stroh et al., 2014 (from: Cheffings &amp; Farrell 2005 or subsequent amendments in Leach 2007, 2010; Leach &amp; Walker 2011, 2013)</v>
          </cell>
          <cell r="G7199" t="str">
            <v>NBNSYS0000003028</v>
          </cell>
          <cell r="H7199" t="str">
            <v>Myosoton aquaticum</v>
          </cell>
        </row>
        <row r="7200">
          <cell r="A7200" t="str">
            <v>Myosurus minimus</v>
          </cell>
          <cell r="B7200" t="str">
            <v>Vascular plants</v>
          </cell>
          <cell r="C7200" t="str">
            <v>Tracheophyta</v>
          </cell>
          <cell r="D7200" t="str">
            <v>Myosurus minimus</v>
          </cell>
          <cell r="E7200" t="str">
            <v>VU</v>
          </cell>
          <cell r="F7200" t="str">
            <v>in Stroh et al., 2014 (from: Cheffings &amp; Farrell 2005 or subsequent amendments in Leach 2007, 2010; Leach &amp; Walker 2011, 2013)</v>
          </cell>
          <cell r="G7200" t="str">
            <v>NBNSYS0000002740</v>
          </cell>
          <cell r="H7200" t="str">
            <v>Myosurus minimus</v>
          </cell>
        </row>
        <row r="7201">
          <cell r="A7201" t="str">
            <v>Myrica gale</v>
          </cell>
          <cell r="B7201" t="str">
            <v>Vascular plants</v>
          </cell>
          <cell r="C7201" t="str">
            <v>Tracheophyta</v>
          </cell>
          <cell r="D7201" t="str">
            <v>Myrica gale</v>
          </cell>
          <cell r="E7201" t="str">
            <v>LC</v>
          </cell>
          <cell r="F7201" t="str">
            <v>in Stroh et al., 2014 (from: Cheffings &amp; Farrell 2005 or subsequent amendments in Leach 2007, 2010; Leach &amp; Walker 2011, 2013)</v>
          </cell>
          <cell r="G7201" t="str">
            <v>NBNSYS0000003631</v>
          </cell>
          <cell r="H7201" t="str">
            <v>Myrica gale</v>
          </cell>
        </row>
        <row r="7202">
          <cell r="A7202" t="str">
            <v>Myriophyllum alterniflorum</v>
          </cell>
          <cell r="B7202" t="str">
            <v>Vascular plants</v>
          </cell>
          <cell r="C7202" t="str">
            <v>Tracheophyta</v>
          </cell>
          <cell r="D7202" t="str">
            <v>Myriophyllum alterniflorum</v>
          </cell>
          <cell r="E7202" t="str">
            <v>LC</v>
          </cell>
          <cell r="F7202" t="str">
            <v>in Stroh et al., 2014 (from: Cheffings &amp; Farrell 2005 or subsequent amendments in Leach 2007, 2010; Leach &amp; Walker 2011, 2013)</v>
          </cell>
          <cell r="G7202" t="str">
            <v>NBNSYS0000003610</v>
          </cell>
          <cell r="H7202" t="str">
            <v>Myriophyllum alterniflorum</v>
          </cell>
        </row>
        <row r="7203">
          <cell r="A7203" t="str">
            <v>Myriophyllum spicatum</v>
          </cell>
          <cell r="B7203" t="str">
            <v>Vascular plants</v>
          </cell>
          <cell r="C7203" t="str">
            <v>Tracheophyta</v>
          </cell>
          <cell r="D7203" t="str">
            <v>Myriophyllum spicatum</v>
          </cell>
          <cell r="E7203" t="str">
            <v>LC</v>
          </cell>
          <cell r="F7203" t="str">
            <v>in Stroh et al., 2014 (from: Cheffings &amp; Farrell 2005 or subsequent amendments in Leach 2007, 2010; Leach &amp; Walker 2011, 2013)</v>
          </cell>
          <cell r="G7203" t="str">
            <v>NBNSYS0000003608</v>
          </cell>
          <cell r="H7203" t="str">
            <v>Myriophyllum spicatum</v>
          </cell>
        </row>
        <row r="7204">
          <cell r="A7204" t="str">
            <v>Myriophyllum verticillatum</v>
          </cell>
          <cell r="B7204" t="str">
            <v>Vascular plants</v>
          </cell>
          <cell r="C7204" t="str">
            <v>Tracheophyta</v>
          </cell>
          <cell r="D7204" t="str">
            <v>Myriophyllum verticillatum</v>
          </cell>
          <cell r="E7204" t="str">
            <v>VU</v>
          </cell>
          <cell r="F7204" t="str">
            <v>in Stroh et al., 2014 (from: Cheffings &amp; Farrell 2005 or subsequent amendments in Leach 2007, 2010; Leach &amp; Walker 2011, 2013)</v>
          </cell>
          <cell r="G7204" t="str">
            <v>NBNSYS0000003607</v>
          </cell>
          <cell r="H7204" t="str">
            <v>Myriophyllum verticillatum</v>
          </cell>
        </row>
        <row r="7205">
          <cell r="A7205" t="str">
            <v>Najas flexilis</v>
          </cell>
          <cell r="B7205" t="str">
            <v>Vascular plants</v>
          </cell>
          <cell r="C7205" t="str">
            <v>Tracheophyta</v>
          </cell>
          <cell r="D7205" t="str">
            <v>Najas flexilis</v>
          </cell>
          <cell r="E7205" t="str">
            <v>LC</v>
          </cell>
          <cell r="F7205" t="str">
            <v>in Stroh et al., 2014 (from: Cheffings &amp; Farrell 2005 or subsequent amendments in Leach 2007, 2010; Leach &amp; Walker 2011, 2013)</v>
          </cell>
          <cell r="G7205" t="str">
            <v>NHMSYS0000460842</v>
          </cell>
          <cell r="H7205" t="str">
            <v>Najas flexilis</v>
          </cell>
        </row>
        <row r="7206">
          <cell r="A7206" t="str">
            <v>Najas marina</v>
          </cell>
          <cell r="B7206" t="str">
            <v>Vascular plants</v>
          </cell>
          <cell r="C7206" t="str">
            <v>Tracheophyta</v>
          </cell>
          <cell r="D7206" t="str">
            <v>Najas marina</v>
          </cell>
          <cell r="E7206" t="str">
            <v>VU</v>
          </cell>
          <cell r="F7206" t="str">
            <v>in Stroh et al., 2014 (from: Cheffings &amp; Farrell 2005 or subsequent amendments in Leach 2007, 2010; Leach &amp; Walker 2011, 2013)</v>
          </cell>
          <cell r="G7206" t="str">
            <v>NBNSYS0000002153</v>
          </cell>
          <cell r="H7206" t="str">
            <v>Najas marina</v>
          </cell>
        </row>
        <row r="7207">
          <cell r="A7207" t="str">
            <v>Narcissus pseudonarcissus</v>
          </cell>
          <cell r="B7207" t="str">
            <v>Vascular plants</v>
          </cell>
          <cell r="C7207" t="str">
            <v>Tracheophyta</v>
          </cell>
          <cell r="D7207" t="str">
            <v>Narcissus pseudonarcissus</v>
          </cell>
          <cell r="E7207" t="str">
            <v>LC</v>
          </cell>
          <cell r="F7207" t="str">
            <v>in Stroh et al., 2014 (from: Cheffings &amp; Farrell 2005 or subsequent amendments in Leach 2007, 2010; Leach &amp; Walker 2011, 2013)</v>
          </cell>
          <cell r="G7207" t="str">
            <v>NBNSYS0000014596</v>
          </cell>
          <cell r="H7207" t="str">
            <v>Narcissus pseudonarcissus</v>
          </cell>
        </row>
        <row r="7208">
          <cell r="A7208" t="str">
            <v>Nardus stricta</v>
          </cell>
          <cell r="B7208" t="str">
            <v>Vascular plants</v>
          </cell>
          <cell r="C7208" t="str">
            <v>Tracheophyta</v>
          </cell>
          <cell r="D7208" t="str">
            <v>Nardus stricta</v>
          </cell>
          <cell r="E7208" t="str">
            <v>LC</v>
          </cell>
          <cell r="F7208" t="str">
            <v>in Stroh et al., 2014 (from: Cheffings &amp; Farrell 2005 or subsequent amendments in Leach 2007, 2010; Leach &amp; Walker 2011, 2013)</v>
          </cell>
          <cell r="G7208" t="str">
            <v>NBNSYS0000002676</v>
          </cell>
          <cell r="H7208" t="str">
            <v>Nardus stricta</v>
          </cell>
        </row>
        <row r="7209">
          <cell r="A7209" t="str">
            <v>Narthecium ossifragum</v>
          </cell>
          <cell r="B7209" t="str">
            <v>Vascular plants</v>
          </cell>
          <cell r="C7209" t="str">
            <v>Tracheophyta</v>
          </cell>
          <cell r="D7209" t="str">
            <v>Narthecium ossifragum</v>
          </cell>
          <cell r="E7209" t="str">
            <v>LC</v>
          </cell>
          <cell r="F7209" t="str">
            <v>in Stroh et al., 2014 (from: Cheffings &amp; Farrell 2005 or subsequent amendments in Leach 2007, 2010; Leach &amp; Walker 2011, 2013)</v>
          </cell>
          <cell r="G7209" t="str">
            <v>NHMSYS0000460927</v>
          </cell>
          <cell r="H7209" t="str">
            <v>Narthecium ossifragum</v>
          </cell>
        </row>
        <row r="7210">
          <cell r="A7210" t="str">
            <v>Nasturtium microphyllum</v>
          </cell>
          <cell r="B7210" t="str">
            <v>Vascular plants</v>
          </cell>
          <cell r="C7210" t="str">
            <v>Tracheophyta</v>
          </cell>
          <cell r="D7210" t="str">
            <v>Nasturtium microphyllum</v>
          </cell>
          <cell r="E7210" t="str">
            <v>LC</v>
          </cell>
          <cell r="F7210" t="str">
            <v>in Stroh et al., 2014 (from: Cheffings &amp; Farrell 2005 or subsequent amendments in Leach 2007, 2010; Leach &amp; Walker 2011, 2013)</v>
          </cell>
          <cell r="G7210" t="str">
            <v>NHMSYS0000462434</v>
          </cell>
          <cell r="H7210" t="str">
            <v>Nasturtium microphyllum</v>
          </cell>
        </row>
        <row r="7211">
          <cell r="A7211" t="str">
            <v>Nasturtium officinale</v>
          </cell>
          <cell r="B7211" t="str">
            <v>Vascular plants</v>
          </cell>
          <cell r="C7211" t="str">
            <v>Tracheophyta</v>
          </cell>
          <cell r="D7211" t="str">
            <v>Nasturtium officinale</v>
          </cell>
          <cell r="E7211" t="str">
            <v>LC</v>
          </cell>
          <cell r="F7211" t="str">
            <v>in Stroh et al., 2014 (from: Cheffings &amp; Farrell 2005 or subsequent amendments in Leach 2007, 2010; Leach &amp; Walker 2011, 2013)</v>
          </cell>
          <cell r="G7211" t="str">
            <v>NBNSYS0000002894</v>
          </cell>
          <cell r="H7211" t="str">
            <v>Nasturtium officinale</v>
          </cell>
        </row>
        <row r="7212">
          <cell r="A7212" t="str">
            <v>Neotinea ustulata</v>
          </cell>
          <cell r="B7212" t="str">
            <v>Vascular plants</v>
          </cell>
          <cell r="C7212" t="str">
            <v>Tracheophyta</v>
          </cell>
          <cell r="D7212" t="str">
            <v>Neotinea ustulata</v>
          </cell>
          <cell r="E7212" t="str">
            <v>EN</v>
          </cell>
          <cell r="F7212" t="str">
            <v>in Stroh et al., 2014 (from: Cheffings &amp; Farrell 2005 or subsequent amendments in Leach 2007, 2010; Leach &amp; Walker 2011, 2013)</v>
          </cell>
          <cell r="G7212" t="str">
            <v>NHMSYS0000460957</v>
          </cell>
          <cell r="H7212" t="str">
            <v>Neotinea ustulata</v>
          </cell>
        </row>
        <row r="7213">
          <cell r="A7213" t="str">
            <v>Neottia cordata</v>
          </cell>
          <cell r="B7213" t="str">
            <v>Vascular plants</v>
          </cell>
          <cell r="C7213" t="str">
            <v>Tracheophyta</v>
          </cell>
          <cell r="D7213" t="str">
            <v>Neottia cordata</v>
          </cell>
          <cell r="E7213" t="str">
            <v>LC</v>
          </cell>
          <cell r="F7213" t="str">
            <v>in Stroh et al., 2014 (from: Cheffings &amp; Farrell 2005 or subsequent amendments in Leach 2007, 2010; Leach &amp; Walker 2011, 2013)</v>
          </cell>
          <cell r="G7213" t="str">
            <v>NHMSYS0021123729</v>
          </cell>
          <cell r="H7213" t="str">
            <v>Neottia cordata</v>
          </cell>
        </row>
        <row r="7214">
          <cell r="A7214" t="str">
            <v>Neottia nidus-avis</v>
          </cell>
          <cell r="B7214" t="str">
            <v>Vascular plants</v>
          </cell>
          <cell r="C7214" t="str">
            <v>Tracheophyta</v>
          </cell>
          <cell r="D7214" t="str">
            <v>Neottia nidus-avis</v>
          </cell>
          <cell r="E7214" t="str">
            <v>NT</v>
          </cell>
          <cell r="F7214" t="str">
            <v>in Stroh et al., 2014 (from: Cheffings &amp; Farrell 2005 or subsequent amendments in Leach 2007, 2010; Leach &amp; Walker 2011, 2013)</v>
          </cell>
          <cell r="G7214" t="str">
            <v>NBNSYS0000002301</v>
          </cell>
          <cell r="H7214" t="str">
            <v>Neottia nidus-avis</v>
          </cell>
        </row>
        <row r="7215">
          <cell r="A7215" t="str">
            <v>Neottia ovata</v>
          </cell>
          <cell r="B7215" t="str">
            <v>Vascular plants</v>
          </cell>
          <cell r="C7215" t="str">
            <v>Tracheophyta</v>
          </cell>
          <cell r="D7215" t="str">
            <v>Neottia ovata</v>
          </cell>
          <cell r="E7215" t="str">
            <v>LC</v>
          </cell>
          <cell r="F7215" t="str">
            <v>in Stroh et al., 2014 (from: Cheffings &amp; Farrell 2005 or subsequent amendments in Leach 2007, 2010; Leach &amp; Walker 2011, 2013)</v>
          </cell>
          <cell r="G7215" t="str">
            <v>NHMSYS0021005429</v>
          </cell>
          <cell r="H7215" t="str">
            <v>Neottia ovata</v>
          </cell>
        </row>
        <row r="7216">
          <cell r="A7216" t="str">
            <v>Noccaea caerulescens</v>
          </cell>
          <cell r="B7216" t="str">
            <v>Vascular plants</v>
          </cell>
          <cell r="C7216" t="str">
            <v>Tracheophyta</v>
          </cell>
          <cell r="D7216" t="str">
            <v>Noccaea caerulescens</v>
          </cell>
          <cell r="E7216" t="str">
            <v>LC</v>
          </cell>
          <cell r="F7216" t="str">
            <v>in Stroh et al., 2014 (from: Cheffings &amp; Farrell 2005 or subsequent amendments in Leach 2007, 2010; Leach &amp; Walker 2011, 2013)</v>
          </cell>
          <cell r="G7216" t="str">
            <v>NHMSYS0000464422</v>
          </cell>
          <cell r="H7216" t="str">
            <v>Noccaea caerulescens</v>
          </cell>
        </row>
        <row r="7217">
          <cell r="A7217" t="str">
            <v>Nuphar lutea</v>
          </cell>
          <cell r="B7217" t="str">
            <v>Vascular plants</v>
          </cell>
          <cell r="C7217" t="str">
            <v>Tracheophyta</v>
          </cell>
          <cell r="D7217" t="str">
            <v>Nuphar lutea</v>
          </cell>
          <cell r="E7217" t="str">
            <v>LC</v>
          </cell>
          <cell r="F7217" t="str">
            <v>in Stroh et al., 2014 (from: Cheffings &amp; Farrell 2005 or subsequent amendments in Leach 2007, 2010; Leach &amp; Walker 2011, 2013)</v>
          </cell>
          <cell r="G7217" t="str">
            <v>NHMSYS0000461107</v>
          </cell>
          <cell r="H7217" t="str">
            <v>Nuphar lutea</v>
          </cell>
        </row>
        <row r="7218">
          <cell r="A7218" t="str">
            <v>Nuphar pumila</v>
          </cell>
          <cell r="B7218" t="str">
            <v>Vascular plants</v>
          </cell>
          <cell r="C7218" t="str">
            <v>Tracheophyta</v>
          </cell>
          <cell r="D7218" t="str">
            <v>Nuphar pumila</v>
          </cell>
          <cell r="E7218" t="str">
            <v>LC</v>
          </cell>
          <cell r="F7218" t="str">
            <v>in Stroh et al., 2014 (from: Cheffings &amp; Farrell 2005 or subsequent amendments in Leach 2007, 2010; Leach &amp; Walker 2011, 2013)</v>
          </cell>
          <cell r="G7218" t="str">
            <v>NBNSYS0000002759</v>
          </cell>
          <cell r="H7218" t="str">
            <v>Nuphar pumila</v>
          </cell>
        </row>
        <row r="7219">
          <cell r="A7219" t="str">
            <v>Nymphaea alba</v>
          </cell>
          <cell r="B7219" t="str">
            <v>Vascular plants</v>
          </cell>
          <cell r="C7219" t="str">
            <v>Tracheophyta</v>
          </cell>
          <cell r="D7219" t="str">
            <v>Nymphaea alba</v>
          </cell>
          <cell r="E7219" t="str">
            <v>LC</v>
          </cell>
          <cell r="F7219" t="str">
            <v>in Stroh et al., 2014 (from: Cheffings &amp; Farrell 2005 or subsequent amendments in Leach 2007, 2010; Leach &amp; Walker 2011, 2013)</v>
          </cell>
          <cell r="G7219" t="str">
            <v>NBNSYS0000002757</v>
          </cell>
          <cell r="H7219" t="str">
            <v>Nymphaea alba</v>
          </cell>
        </row>
        <row r="7220">
          <cell r="A7220" t="str">
            <v>Nymphoides peltata</v>
          </cell>
          <cell r="B7220" t="str">
            <v>Vascular plants</v>
          </cell>
          <cell r="C7220" t="str">
            <v>Tracheophyta</v>
          </cell>
          <cell r="D7220" t="str">
            <v>Nymphoides peltata</v>
          </cell>
          <cell r="E7220" t="str">
            <v>LC</v>
          </cell>
          <cell r="F7220" t="str">
            <v>in Stroh et al., 2014 (from: Cheffings &amp; Farrell 2005 or subsequent amendments in Leach 2007, 2010; Leach &amp; Walker 2011, 2013)</v>
          </cell>
          <cell r="G7220" t="str">
            <v>NBNSYS0000003977</v>
          </cell>
          <cell r="H7220" t="str">
            <v>Nymphoides peltata</v>
          </cell>
        </row>
        <row r="7221">
          <cell r="A7221" t="str">
            <v>Odontites vernus</v>
          </cell>
          <cell r="B7221" t="str">
            <v>Vascular plants</v>
          </cell>
          <cell r="C7221" t="str">
            <v>Tracheophyta</v>
          </cell>
          <cell r="D7221" t="str">
            <v>Odontites vernus</v>
          </cell>
          <cell r="E7221" t="str">
            <v>LC</v>
          </cell>
          <cell r="F7221" t="str">
            <v>in Stroh et al., 2014 (from: Cheffings &amp; Farrell 2005 or subsequent amendments in Leach 2007, 2010; Leach &amp; Walker 2011, 2013)</v>
          </cell>
          <cell r="G7221" t="str">
            <v>NBNSYS0000004164</v>
          </cell>
          <cell r="H7221" t="str">
            <v>Odontites vernus</v>
          </cell>
        </row>
        <row r="7222">
          <cell r="A7222" t="str">
            <v>Oenanthe aquatica</v>
          </cell>
          <cell r="B7222" t="str">
            <v>Vascular plants</v>
          </cell>
          <cell r="C7222" t="str">
            <v>Tracheophyta</v>
          </cell>
          <cell r="D7222" t="str">
            <v>Oenanthe aquatica</v>
          </cell>
          <cell r="E7222" t="str">
            <v>LC</v>
          </cell>
          <cell r="F7222" t="str">
            <v>in Stroh et al., 2014 (from: Cheffings &amp; Farrell 2005 or subsequent amendments in Leach 2007, 2010; Leach &amp; Walker 2011, 2013)</v>
          </cell>
          <cell r="G7222" t="str">
            <v>NHMSYS0000461142</v>
          </cell>
          <cell r="H7222" t="str">
            <v>Oenanthe aquatica</v>
          </cell>
        </row>
        <row r="7223">
          <cell r="A7223" t="str">
            <v>Oenanthe crocata</v>
          </cell>
          <cell r="B7223" t="str">
            <v>Vascular plants</v>
          </cell>
          <cell r="C7223" t="str">
            <v>Tracheophyta</v>
          </cell>
          <cell r="D7223" t="str">
            <v>Oenanthe crocata</v>
          </cell>
          <cell r="E7223" t="str">
            <v>LC</v>
          </cell>
          <cell r="F7223" t="str">
            <v>in Stroh et al., 2014 (from: Cheffings &amp; Farrell 2005 or subsequent amendments in Leach 2007, 2010; Leach &amp; Walker 2011, 2013)</v>
          </cell>
          <cell r="G7223" t="str">
            <v>NBNSYS0000003693</v>
          </cell>
          <cell r="H7223" t="str">
            <v>Oenanthe crocata</v>
          </cell>
        </row>
        <row r="7224">
          <cell r="A7224" t="str">
            <v>Oenanthe fistulosa</v>
          </cell>
          <cell r="B7224" t="str">
            <v>Vascular plants</v>
          </cell>
          <cell r="C7224" t="str">
            <v>Tracheophyta</v>
          </cell>
          <cell r="D7224" t="str">
            <v>Oenanthe fistulosa</v>
          </cell>
          <cell r="E7224" t="str">
            <v>LC</v>
          </cell>
          <cell r="F7224" t="str">
            <v>in Stroh et al., 2014 (from: Cheffings &amp; Farrell 2005 or subsequent amendments in Leach 2007, 2010; Leach &amp; Walker 2011, 2013)</v>
          </cell>
          <cell r="G7224" t="str">
            <v>NBNSYS0000003689</v>
          </cell>
          <cell r="H7224" t="str">
            <v>Oenanthe fistulosa</v>
          </cell>
        </row>
        <row r="7225">
          <cell r="A7225" t="str">
            <v>Oenanthe fluviatilis</v>
          </cell>
          <cell r="B7225" t="str">
            <v>Vascular plants</v>
          </cell>
          <cell r="C7225" t="str">
            <v>Tracheophyta</v>
          </cell>
          <cell r="D7225" t="str">
            <v>Oenanthe fluviatilis</v>
          </cell>
          <cell r="E7225" t="str">
            <v>LC</v>
          </cell>
          <cell r="F7225" t="str">
            <v>in Stroh et al., 2014 (from: Cheffings &amp; Farrell 2005 or subsequent amendments in Leach 2007, 2010; Leach &amp; Walker 2011, 2013)</v>
          </cell>
          <cell r="G7225" t="str">
            <v>NBNSYS0000003695</v>
          </cell>
          <cell r="H7225" t="str">
            <v>Oenanthe fluviatilis</v>
          </cell>
        </row>
        <row r="7226">
          <cell r="A7226" t="str">
            <v>Oenanthe lachenalii</v>
          </cell>
          <cell r="B7226" t="str">
            <v>Vascular plants</v>
          </cell>
          <cell r="C7226" t="str">
            <v>Tracheophyta</v>
          </cell>
          <cell r="D7226" t="str">
            <v>Oenanthe lachenalii</v>
          </cell>
          <cell r="E7226" t="str">
            <v>LC</v>
          </cell>
          <cell r="F7226" t="str">
            <v>in Stroh et al., 2014 (from: Cheffings &amp; Farrell 2005 or subsequent amendments in Leach 2007, 2010; Leach &amp; Walker 2011, 2013)</v>
          </cell>
          <cell r="G7226" t="str">
            <v>NHMSYS0000461143</v>
          </cell>
          <cell r="H7226" t="str">
            <v>Oenanthe lachenalii</v>
          </cell>
        </row>
        <row r="7227">
          <cell r="A7227" t="str">
            <v>Oenanthe pimpinelloides</v>
          </cell>
          <cell r="B7227" t="str">
            <v>Vascular plants</v>
          </cell>
          <cell r="C7227" t="str">
            <v>Tracheophyta</v>
          </cell>
          <cell r="D7227" t="str">
            <v>Oenanthe pimpinelloides</v>
          </cell>
          <cell r="E7227" t="str">
            <v>LC</v>
          </cell>
          <cell r="F7227" t="str">
            <v>in Stroh et al., 2014 (from: Cheffings &amp; Farrell 2005 or subsequent amendments in Leach 2007, 2010; Leach &amp; Walker 2011, 2013)</v>
          </cell>
          <cell r="G7227" t="str">
            <v>NBNSYS0000003690</v>
          </cell>
          <cell r="H7227" t="str">
            <v>Oenanthe pimpinelloides</v>
          </cell>
        </row>
        <row r="7228">
          <cell r="A7228" t="str">
            <v>Oenanthe silaifolia</v>
          </cell>
          <cell r="B7228" t="str">
            <v>Vascular plants</v>
          </cell>
          <cell r="C7228" t="str">
            <v>Tracheophyta</v>
          </cell>
          <cell r="D7228" t="str">
            <v>Oenanthe silaifolia</v>
          </cell>
          <cell r="E7228" t="str">
            <v>NT</v>
          </cell>
          <cell r="F7228" t="str">
            <v>in Stroh et al., 2014 (from: Cheffings &amp; Farrell 2005 or subsequent amendments in Leach 2007, 2010; Leach &amp; Walker 2011, 2013)</v>
          </cell>
          <cell r="G7228" t="str">
            <v>NHMSYS0000461144</v>
          </cell>
          <cell r="H7228" t="str">
            <v>Oenanthe silaifolia</v>
          </cell>
        </row>
        <row r="7229">
          <cell r="A7229" t="str">
            <v>Onobrychis viciifolia</v>
          </cell>
          <cell r="B7229" t="str">
            <v>Vascular plants</v>
          </cell>
          <cell r="C7229" t="str">
            <v>Tracheophyta</v>
          </cell>
          <cell r="D7229" t="str">
            <v>Onobrychis viciifolia</v>
          </cell>
          <cell r="E7229" t="str">
            <v>NT</v>
          </cell>
          <cell r="F7229" t="str">
            <v>in Stroh et al., 2014 (from: Cheffings &amp; Farrell 2005 or subsequent amendments in Leach 2007, 2010; Leach &amp; Walker 2011, 2013)</v>
          </cell>
          <cell r="G7229" t="str">
            <v>NBNSYS0000003279</v>
          </cell>
          <cell r="H7229" t="str">
            <v>Onobrychis viciifolia</v>
          </cell>
        </row>
        <row r="7230">
          <cell r="A7230" t="str">
            <v>Ononis reclinata</v>
          </cell>
          <cell r="B7230" t="str">
            <v>Vascular plants</v>
          </cell>
          <cell r="C7230" t="str">
            <v>Tracheophyta</v>
          </cell>
          <cell r="D7230" t="str">
            <v>Ononis reclinata</v>
          </cell>
          <cell r="E7230" t="str">
            <v>LC</v>
          </cell>
          <cell r="F7230" t="str">
            <v>in Stroh et al., 2014 (from: Cheffings &amp; Farrell 2005 or subsequent amendments in Leach 2007, 2010; Leach &amp; Walker 2011, 2013)</v>
          </cell>
          <cell r="G7230" t="str">
            <v>NBNSYS0000003218</v>
          </cell>
          <cell r="H7230" t="str">
            <v>Ononis reclinata</v>
          </cell>
        </row>
        <row r="7231">
          <cell r="A7231" t="str">
            <v>Ononis repens</v>
          </cell>
          <cell r="B7231" t="str">
            <v>Vascular plants</v>
          </cell>
          <cell r="C7231" t="str">
            <v>Tracheophyta</v>
          </cell>
          <cell r="D7231" t="str">
            <v>Ononis repens</v>
          </cell>
          <cell r="E7231" t="str">
            <v>LC</v>
          </cell>
          <cell r="F7231" t="str">
            <v>in Stroh et al., 2014 (from: Cheffings &amp; Farrell 2005 or subsequent amendments in Leach 2007, 2010; Leach &amp; Walker 2011, 2013)</v>
          </cell>
          <cell r="G7231" t="str">
            <v>NBNSYS0000003215</v>
          </cell>
          <cell r="H7231" t="str">
            <v>Ononis repens</v>
          </cell>
        </row>
        <row r="7232">
          <cell r="A7232" t="str">
            <v>Ononis spinosa</v>
          </cell>
          <cell r="B7232" t="str">
            <v>Vascular plants</v>
          </cell>
          <cell r="C7232" t="str">
            <v>Tracheophyta</v>
          </cell>
          <cell r="D7232" t="str">
            <v>Ononis spinosa</v>
          </cell>
          <cell r="E7232" t="str">
            <v>LC</v>
          </cell>
          <cell r="F7232" t="str">
            <v>in Stroh et al., 2014 (from: Cheffings &amp; Farrell 2005 or subsequent amendments in Leach 2007, 2010; Leach &amp; Walker 2011, 2013)</v>
          </cell>
          <cell r="G7232" t="str">
            <v>NBNSYS0000003217</v>
          </cell>
          <cell r="H7232" t="str">
            <v>Ononis spinosa</v>
          </cell>
        </row>
        <row r="7233">
          <cell r="A7233" t="str">
            <v>Ophioglossum azoricum</v>
          </cell>
          <cell r="B7233" t="str">
            <v>Vascular plants</v>
          </cell>
          <cell r="C7233" t="str">
            <v>Tracheophyta</v>
          </cell>
          <cell r="D7233" t="str">
            <v>Ophioglossum azoricum</v>
          </cell>
          <cell r="E7233" t="str">
            <v>LC</v>
          </cell>
          <cell r="F7233" t="str">
            <v>in Stroh et al., 2014 (from: Cheffings &amp; Farrell 2005 or subsequent amendments in Leach 2007, 2010; Leach &amp; Walker 2011, 2013)</v>
          </cell>
          <cell r="G7233" t="str">
            <v>NHMSYS0000461283</v>
          </cell>
          <cell r="H7233" t="str">
            <v>Ophioglossum azoricum</v>
          </cell>
        </row>
        <row r="7234">
          <cell r="A7234" t="str">
            <v>Ophioglossum lusitanicum</v>
          </cell>
          <cell r="B7234" t="str">
            <v>Vascular plants</v>
          </cell>
          <cell r="C7234" t="str">
            <v>Tracheophyta</v>
          </cell>
          <cell r="D7234" t="str">
            <v>Ophioglossum lusitanicum</v>
          </cell>
          <cell r="E7234" t="str">
            <v>VU</v>
          </cell>
          <cell r="F7234" t="str">
            <v>in Stroh et al., 2014 (from: Cheffings &amp; Farrell 2005 or subsequent amendments in Leach 2007, 2010; Leach &amp; Walker 2011, 2013)</v>
          </cell>
          <cell r="G7234" t="str">
            <v>NBNSYS0000002098</v>
          </cell>
          <cell r="H7234" t="str">
            <v>Ophioglossum lusitanicum</v>
          </cell>
        </row>
        <row r="7235">
          <cell r="A7235" t="str">
            <v>Ophioglossum vulgatum</v>
          </cell>
          <cell r="B7235" t="str">
            <v>Vascular plants</v>
          </cell>
          <cell r="C7235" t="str">
            <v>Tracheophyta</v>
          </cell>
          <cell r="D7235" t="str">
            <v>Ophioglossum vulgatum</v>
          </cell>
          <cell r="E7235" t="str">
            <v>LC</v>
          </cell>
          <cell r="F7235" t="str">
            <v>in Stroh et al., 2014 (from: Cheffings &amp; Farrell 2005 or subsequent amendments in Leach 2007, 2010; Leach &amp; Walker 2011, 2013)</v>
          </cell>
          <cell r="G7235" t="str">
            <v>NBNSYS0000002097</v>
          </cell>
          <cell r="H7235" t="str">
            <v>Ophioglossum vulgatum</v>
          </cell>
        </row>
        <row r="7236">
          <cell r="A7236" t="str">
            <v>Ophrys apifera</v>
          </cell>
          <cell r="B7236" t="str">
            <v>Vascular plants</v>
          </cell>
          <cell r="C7236" t="str">
            <v>Tracheophyta</v>
          </cell>
          <cell r="D7236" t="str">
            <v>Ophrys apifera</v>
          </cell>
          <cell r="E7236" t="str">
            <v>LC</v>
          </cell>
          <cell r="F7236" t="str">
            <v>in Stroh et al., 2014 (from: Cheffings &amp; Farrell 2005 or subsequent amendments in Leach 2007, 2010; Leach &amp; Walker 2011, 2013)</v>
          </cell>
          <cell r="G7236" t="str">
            <v>NHMSYS0000461294</v>
          </cell>
          <cell r="H7236" t="str">
            <v>Ophrys apifera</v>
          </cell>
        </row>
        <row r="7237">
          <cell r="A7237" t="str">
            <v>Ophrys fuciflora</v>
          </cell>
          <cell r="B7237" t="str">
            <v>Vascular plants</v>
          </cell>
          <cell r="C7237" t="str">
            <v>Tracheophyta</v>
          </cell>
          <cell r="D7237" t="str">
            <v>Ophrys fuciflora</v>
          </cell>
          <cell r="E7237" t="str">
            <v>VU</v>
          </cell>
          <cell r="F7237" t="str">
            <v>in Stroh et al., 2014 (from: Cheffings &amp; Farrell 2005 or subsequent amendments in Leach 2007, 2010; Leach &amp; Walker 2011, 2013)</v>
          </cell>
          <cell r="G7237" t="str">
            <v>NBNSYS0000002316</v>
          </cell>
          <cell r="H7237" t="str">
            <v>Ophrys fuciflora</v>
          </cell>
        </row>
        <row r="7238">
          <cell r="A7238" t="str">
            <v>Ophrys insectifera</v>
          </cell>
          <cell r="B7238" t="str">
            <v>Vascular plants</v>
          </cell>
          <cell r="C7238" t="str">
            <v>Tracheophyta</v>
          </cell>
          <cell r="D7238" t="str">
            <v>Ophrys insectifera</v>
          </cell>
          <cell r="E7238" t="str">
            <v>VU</v>
          </cell>
          <cell r="F7238" t="str">
            <v>in Stroh et al., 2014 (from: Cheffings &amp; Farrell 2005 or subsequent amendments in Leach 2007, 2010; Leach &amp; Walker 2011, 2013)</v>
          </cell>
          <cell r="G7238" t="str">
            <v>NBNSYS0000002318</v>
          </cell>
          <cell r="H7238" t="str">
            <v>Ophrys insectifera</v>
          </cell>
        </row>
        <row r="7239">
          <cell r="A7239" t="str">
            <v>Ophrys sphegodes</v>
          </cell>
          <cell r="B7239" t="str">
            <v>Vascular plants</v>
          </cell>
          <cell r="C7239" t="str">
            <v>Tracheophyta</v>
          </cell>
          <cell r="D7239" t="str">
            <v>Ophrys sphegodes</v>
          </cell>
          <cell r="E7239" t="str">
            <v>LC</v>
          </cell>
          <cell r="F7239" t="str">
            <v>in Stroh et al., 2014 (from: Cheffings &amp; Farrell 2005 or subsequent amendments in Leach 2007, 2010; Leach &amp; Walker 2011, 2013)</v>
          </cell>
          <cell r="G7239" t="str">
            <v>NHMSYS0000461300</v>
          </cell>
          <cell r="H7239" t="str">
            <v>Ophrys sphegodes</v>
          </cell>
        </row>
        <row r="7240">
          <cell r="A7240" t="str">
            <v>Orchis anthropophora</v>
          </cell>
          <cell r="B7240" t="str">
            <v>Vascular plants</v>
          </cell>
          <cell r="C7240" t="str">
            <v>Tracheophyta</v>
          </cell>
          <cell r="D7240" t="str">
            <v>Orchis anthropophora</v>
          </cell>
          <cell r="E7240" t="str">
            <v>EN</v>
          </cell>
          <cell r="F7240" t="str">
            <v>in Stroh et al., 2014 (from: Cheffings &amp; Farrell 2005 or subsequent amendments in Leach 2007, 2010; Leach &amp; Walker 2011, 2013)</v>
          </cell>
          <cell r="G7240" t="str">
            <v>NHMSYS0000461315</v>
          </cell>
          <cell r="H7240" t="str">
            <v>Orchis anthropophora</v>
          </cell>
        </row>
        <row r="7241">
          <cell r="A7241" t="str">
            <v>Orchis mascula</v>
          </cell>
          <cell r="B7241" t="str">
            <v>Vascular plants</v>
          </cell>
          <cell r="C7241" t="str">
            <v>Tracheophyta</v>
          </cell>
          <cell r="D7241" t="str">
            <v>Orchis mascula</v>
          </cell>
          <cell r="E7241" t="str">
            <v>LC</v>
          </cell>
          <cell r="F7241" t="str">
            <v>in Stroh et al., 2014 (from: Cheffings &amp; Farrell 2005 or subsequent amendments in Leach 2007, 2010; Leach &amp; Walker 2011, 2013)</v>
          </cell>
          <cell r="G7241" t="str">
            <v>NBNSYS0000002326</v>
          </cell>
          <cell r="H7241" t="str">
            <v>Orchis mascula</v>
          </cell>
        </row>
        <row r="7242">
          <cell r="A7242" t="str">
            <v>Orchis militaris</v>
          </cell>
          <cell r="B7242" t="str">
            <v>Vascular plants</v>
          </cell>
          <cell r="C7242" t="str">
            <v>Tracheophyta</v>
          </cell>
          <cell r="D7242" t="str">
            <v>Orchis militaris</v>
          </cell>
          <cell r="E7242" t="str">
            <v>VU</v>
          </cell>
          <cell r="F7242" t="str">
            <v>in Stroh et al., 2014 (from: Cheffings &amp; Farrell 2005 or subsequent amendments in Leach 2007, 2010; Leach &amp; Walker 2011, 2013)</v>
          </cell>
          <cell r="G7242" t="str">
            <v>NBNSYS0000002321</v>
          </cell>
          <cell r="H7242" t="str">
            <v>Orchis militaris</v>
          </cell>
        </row>
        <row r="7243">
          <cell r="A7243" t="str">
            <v>Orchis purpurea</v>
          </cell>
          <cell r="B7243" t="str">
            <v>Vascular plants</v>
          </cell>
          <cell r="C7243" t="str">
            <v>Tracheophyta</v>
          </cell>
          <cell r="D7243" t="str">
            <v>Orchis purpurea</v>
          </cell>
          <cell r="E7243" t="str">
            <v>EN</v>
          </cell>
          <cell r="F7243" t="str">
            <v>in Stroh et al., 2014 (from: Cheffings &amp; Farrell 2005 or subsequent amendments in Leach 2007, 2010; Leach &amp; Walker 2011, 2013)</v>
          </cell>
          <cell r="G7243" t="str">
            <v>NHMSYS0000461332</v>
          </cell>
          <cell r="H7243" t="str">
            <v>Orchis purpurea</v>
          </cell>
        </row>
        <row r="7244">
          <cell r="A7244" t="str">
            <v>Orchis simia</v>
          </cell>
          <cell r="B7244" t="str">
            <v>Vascular plants</v>
          </cell>
          <cell r="C7244" t="str">
            <v>Tracheophyta</v>
          </cell>
          <cell r="D7244" t="str">
            <v>Orchis simia</v>
          </cell>
          <cell r="E7244" t="str">
            <v>VU</v>
          </cell>
          <cell r="F7244" t="str">
            <v>in Stroh et al., 2014 (from: Cheffings &amp; Farrell 2005 or subsequent amendments in Leach 2007, 2010; Leach &amp; Walker 2011, 2013)</v>
          </cell>
          <cell r="G7244" t="str">
            <v>NBNSYS0000002322</v>
          </cell>
          <cell r="H7244" t="str">
            <v>Orchis simia</v>
          </cell>
        </row>
        <row r="7245">
          <cell r="A7245" t="str">
            <v>Oreopteris limbosperma</v>
          </cell>
          <cell r="B7245" t="str">
            <v>Vascular plants</v>
          </cell>
          <cell r="C7245" t="str">
            <v>Tracheophyta</v>
          </cell>
          <cell r="D7245" t="str">
            <v>Oreopteris limbosperma</v>
          </cell>
          <cell r="E7245" t="str">
            <v>LC</v>
          </cell>
          <cell r="F7245" t="str">
            <v>in Stroh et al., 2014 (from: Cheffings &amp; Farrell 2005 or subsequent amendments in Leach 2007, 2010; Leach &amp; Walker 2011, 2013)</v>
          </cell>
          <cell r="G7245" t="str">
            <v>NHMSYS0000461356</v>
          </cell>
          <cell r="H7245" t="str">
            <v>Oreopteris limbosperma</v>
          </cell>
        </row>
        <row r="7246">
          <cell r="A7246" t="str">
            <v>Origanum vulgare</v>
          </cell>
          <cell r="B7246" t="str">
            <v>Vascular plants</v>
          </cell>
          <cell r="C7246" t="str">
            <v>Tracheophyta</v>
          </cell>
          <cell r="D7246" t="str">
            <v>Origanum vulgare</v>
          </cell>
          <cell r="E7246" t="str">
            <v>LC</v>
          </cell>
          <cell r="F7246" t="str">
            <v>in Stroh et al., 2014 (from: Cheffings &amp; Farrell 2005 or subsequent amendments in Leach 2007, 2010; Leach &amp; Walker 2011, 2013)</v>
          </cell>
          <cell r="G7246" t="str">
            <v>NBNSYS0000004207</v>
          </cell>
          <cell r="H7246" t="str">
            <v>Origanum vulgare</v>
          </cell>
        </row>
        <row r="7247">
          <cell r="A7247" t="str">
            <v>Ornithogalum pyrenaicum</v>
          </cell>
          <cell r="B7247" t="str">
            <v>Vascular plants</v>
          </cell>
          <cell r="C7247" t="str">
            <v>Tracheophyta</v>
          </cell>
          <cell r="D7247" t="str">
            <v>Ornithogalum pyrenaicum</v>
          </cell>
          <cell r="E7247" t="str">
            <v>LC</v>
          </cell>
          <cell r="F7247" t="str">
            <v>in Stroh et al., 2014 (from: Cheffings &amp; Farrell 2005 or subsequent amendments in Leach 2007, 2010; Leach &amp; Walker 2011, 2013)</v>
          </cell>
          <cell r="G7247" t="str">
            <v>NBNSYS0000002181</v>
          </cell>
          <cell r="H7247" t="str">
            <v>Ornithogalum pyrenaicum</v>
          </cell>
        </row>
        <row r="7248">
          <cell r="A7248" t="str">
            <v>Ornithogalum umbellatum</v>
          </cell>
          <cell r="B7248" t="str">
            <v>Vascular plants</v>
          </cell>
          <cell r="C7248" t="str">
            <v>Tracheophyta</v>
          </cell>
          <cell r="D7248" t="str">
            <v>Ornithogalum umbellatum</v>
          </cell>
          <cell r="E7248" t="str">
            <v>LC</v>
          </cell>
          <cell r="F7248" t="str">
            <v>in Stroh et al., 2014 (from: Cheffings &amp; Farrell 2005 or subsequent amendments in Leach 2007, 2010; Leach &amp; Walker 2011, 2013)</v>
          </cell>
          <cell r="G7248" t="str">
            <v>NHMSYS0000461367</v>
          </cell>
          <cell r="H7248" t="str">
            <v>Ornithogalum umbellatum</v>
          </cell>
        </row>
        <row r="7249">
          <cell r="A7249" t="str">
            <v>Ornithopus perpusillus</v>
          </cell>
          <cell r="B7249" t="str">
            <v>Vascular plants</v>
          </cell>
          <cell r="C7249" t="str">
            <v>Tracheophyta</v>
          </cell>
          <cell r="D7249" t="str">
            <v>Ornithopus perpusillus</v>
          </cell>
          <cell r="E7249" t="str">
            <v>LC</v>
          </cell>
          <cell r="F7249" t="str">
            <v>in Stroh et al., 2014 (from: Cheffings &amp; Farrell 2005 or subsequent amendments in Leach 2007, 2010; Leach &amp; Walker 2011, 2013)</v>
          </cell>
          <cell r="G7249" t="str">
            <v>NBNSYS0000003274</v>
          </cell>
          <cell r="H7249" t="str">
            <v>Ornithopus perpusillus</v>
          </cell>
        </row>
        <row r="7250">
          <cell r="A7250" t="str">
            <v>Ornithopus pinnatus</v>
          </cell>
          <cell r="B7250" t="str">
            <v>Vascular plants</v>
          </cell>
          <cell r="C7250" t="str">
            <v>Tracheophyta</v>
          </cell>
          <cell r="D7250" t="str">
            <v>Ornithopus pinnatus</v>
          </cell>
          <cell r="E7250" t="str">
            <v>LC</v>
          </cell>
          <cell r="F7250" t="str">
            <v>in Stroh et al., 2014 (from: Cheffings &amp; Farrell 2005 or subsequent amendments in Leach 2007, 2010; Leach &amp; Walker 2011, 2013)</v>
          </cell>
          <cell r="G7250" t="str">
            <v>NHMSYS0000461372</v>
          </cell>
          <cell r="H7250" t="str">
            <v>Ornithopus pinnatus</v>
          </cell>
        </row>
        <row r="7251">
          <cell r="A7251" t="str">
            <v>Orobanche alba</v>
          </cell>
          <cell r="B7251" t="str">
            <v>Vascular plants</v>
          </cell>
          <cell r="C7251" t="str">
            <v>Tracheophyta</v>
          </cell>
          <cell r="D7251" t="str">
            <v>Orobanche alba</v>
          </cell>
          <cell r="E7251" t="str">
            <v>LC</v>
          </cell>
          <cell r="F7251" t="str">
            <v>in Stroh et al., 2014 (from: Cheffings &amp; Farrell 2005 or subsequent amendments in Leach 2007, 2010; Leach &amp; Walker 2011, 2013)</v>
          </cell>
          <cell r="G7251" t="str">
            <v>NBNSYS0000004174</v>
          </cell>
          <cell r="H7251" t="str">
            <v>Orobanche alba</v>
          </cell>
        </row>
        <row r="7252">
          <cell r="A7252" t="str">
            <v>Orobanche caryophyllacea</v>
          </cell>
          <cell r="B7252" t="str">
            <v>Vascular plants</v>
          </cell>
          <cell r="C7252" t="str">
            <v>Tracheophyta</v>
          </cell>
          <cell r="D7252" t="str">
            <v>Orobanche caryophyllacea</v>
          </cell>
          <cell r="E7252" t="str">
            <v>NT</v>
          </cell>
          <cell r="F7252" t="str">
            <v>in Stroh et al., 2014 (from: Cheffings &amp; Farrell 2005 or subsequent amendments in Leach 2007, 2010; Leach &amp; Walker 2011, 2013)</v>
          </cell>
          <cell r="G7252" t="str">
            <v>NHMSYS0000461377</v>
          </cell>
          <cell r="H7252" t="str">
            <v>Orobanche caryophyllacea</v>
          </cell>
        </row>
        <row r="7253">
          <cell r="A7253" t="str">
            <v>Orobanche elatior</v>
          </cell>
          <cell r="B7253" t="str">
            <v>Vascular plants</v>
          </cell>
          <cell r="C7253" t="str">
            <v>Tracheophyta</v>
          </cell>
          <cell r="D7253" t="str">
            <v>Orobanche elatior</v>
          </cell>
          <cell r="E7253" t="str">
            <v>LC</v>
          </cell>
          <cell r="F7253" t="str">
            <v>in Stroh et al., 2014 (from: Cheffings &amp; Farrell 2005 or subsequent amendments in Leach 2007, 2010; Leach &amp; Walker 2011, 2013)</v>
          </cell>
          <cell r="G7253" t="str">
            <v>NBNSYS0000004176</v>
          </cell>
          <cell r="H7253" t="str">
            <v>Orobanche elatior</v>
          </cell>
        </row>
        <row r="7254">
          <cell r="A7254" t="str">
            <v>Orobanche hederae</v>
          </cell>
          <cell r="B7254" t="str">
            <v>Vascular plants</v>
          </cell>
          <cell r="C7254" t="str">
            <v>Tracheophyta</v>
          </cell>
          <cell r="D7254" t="str">
            <v>Orobanche hederae</v>
          </cell>
          <cell r="E7254" t="str">
            <v>LC</v>
          </cell>
          <cell r="F7254" t="str">
            <v>in Stroh et al., 2014 (from: Cheffings &amp; Farrell 2005 or subsequent amendments in Leach 2007, 2010; Leach &amp; Walker 2011, 2013)</v>
          </cell>
          <cell r="G7254" t="str">
            <v>NBNSYS0000004180</v>
          </cell>
          <cell r="H7254" t="str">
            <v>Orobanche hederae</v>
          </cell>
        </row>
        <row r="7255">
          <cell r="A7255" t="str">
            <v>Orobanche minor</v>
          </cell>
          <cell r="B7255" t="str">
            <v>Vascular plants</v>
          </cell>
          <cell r="C7255" t="str">
            <v>Tracheophyta</v>
          </cell>
          <cell r="D7255" t="str">
            <v>Orobanche minor</v>
          </cell>
          <cell r="E7255" t="str">
            <v>LC</v>
          </cell>
          <cell r="F7255" t="str">
            <v>in Stroh et al., 2014 (from: Cheffings &amp; Farrell 2005 or subsequent amendments in Leach 2007, 2010; Leach &amp; Walker 2011, 2013)</v>
          </cell>
          <cell r="G7255" t="str">
            <v>NHMSYS0000461381</v>
          </cell>
          <cell r="H7255" t="str">
            <v>Orobanche minor</v>
          </cell>
        </row>
        <row r="7256">
          <cell r="A7256" t="str">
            <v>Orobanche picridis</v>
          </cell>
          <cell r="B7256" t="str">
            <v>Vascular plants</v>
          </cell>
          <cell r="C7256" t="str">
            <v>Tracheophyta</v>
          </cell>
          <cell r="D7256" t="str">
            <v>Orobanche picridis</v>
          </cell>
          <cell r="E7256" t="str">
            <v>EN</v>
          </cell>
          <cell r="F7256" t="str">
            <v>in Stroh et al., 2014 (from: Cheffings &amp; Farrell 2005 or subsequent amendments in Leach 2007, 2010; Leach &amp; Walker 2011, 2013)</v>
          </cell>
          <cell r="G7256" t="str">
            <v>NHMSYS0000461383</v>
          </cell>
          <cell r="H7256" t="str">
            <v>Orobanche picridis</v>
          </cell>
        </row>
        <row r="7257">
          <cell r="A7257" t="str">
            <v>Orobanche purpurea</v>
          </cell>
          <cell r="B7257" t="str">
            <v>Vascular plants</v>
          </cell>
          <cell r="C7257" t="str">
            <v>Tracheophyta</v>
          </cell>
          <cell r="D7257" t="str">
            <v>Orobanche purpurea</v>
          </cell>
          <cell r="E7257" t="str">
            <v>VU</v>
          </cell>
          <cell r="F7257" t="str">
            <v>in Stroh et al., 2014 (from: Cheffings &amp; Farrell 2005 or subsequent amendments in Leach 2007, 2010; Leach &amp; Walker 2011, 2013)</v>
          </cell>
          <cell r="G7257" t="str">
            <v>NBNSYS0000004172</v>
          </cell>
          <cell r="H7257" t="str">
            <v>Orobanche purpurea</v>
          </cell>
        </row>
        <row r="7258">
          <cell r="A7258" t="str">
            <v>Orobanche rapum-genistae</v>
          </cell>
          <cell r="B7258" t="str">
            <v>Vascular plants</v>
          </cell>
          <cell r="C7258" t="str">
            <v>Tracheophyta</v>
          </cell>
          <cell r="D7258" t="str">
            <v>Orobanche rapum-genistae</v>
          </cell>
          <cell r="E7258" t="str">
            <v>NT</v>
          </cell>
          <cell r="F7258" t="str">
            <v>in Stroh et al., 2014 (from: Cheffings &amp; Farrell 2005 or subsequent amendments in Leach 2007, 2010; Leach &amp; Walker 2011, 2013)</v>
          </cell>
          <cell r="G7258" t="str">
            <v>NBNSYS0000004173</v>
          </cell>
          <cell r="H7258" t="str">
            <v>Orobanche rapum-genistae</v>
          </cell>
        </row>
        <row r="7259">
          <cell r="A7259" t="str">
            <v>Orobanche reticulata</v>
          </cell>
          <cell r="B7259" t="str">
            <v>Vascular plants</v>
          </cell>
          <cell r="C7259" t="str">
            <v>Tracheophyta</v>
          </cell>
          <cell r="D7259" t="str">
            <v>Orobanche reticulata</v>
          </cell>
          <cell r="E7259" t="str">
            <v>NT</v>
          </cell>
          <cell r="F7259" t="str">
            <v>in Stroh et al., 2014 (from: Cheffings &amp; Farrell 2005 or subsequent amendments in Leach 2007, 2010; Leach &amp; Walker 2011, 2013)</v>
          </cell>
          <cell r="G7259" t="str">
            <v>NBNSYS0000004177</v>
          </cell>
          <cell r="H7259" t="str">
            <v>Orobanche reticulata</v>
          </cell>
        </row>
        <row r="7260">
          <cell r="A7260" t="str">
            <v>Orthilia secunda</v>
          </cell>
          <cell r="B7260" t="str">
            <v>Vascular plants</v>
          </cell>
          <cell r="C7260" t="str">
            <v>Tracheophyta</v>
          </cell>
          <cell r="D7260" t="str">
            <v>Orthilia secunda</v>
          </cell>
          <cell r="E7260" t="str">
            <v>LC</v>
          </cell>
          <cell r="F7260" t="str">
            <v>in Stroh et al., 2014 (from: Cheffings &amp; Farrell 2005 or subsequent amendments in Leach 2007, 2010; Leach &amp; Walker 2011, 2013)</v>
          </cell>
          <cell r="G7260" t="str">
            <v>NBNSYS0000004595</v>
          </cell>
          <cell r="H7260" t="str">
            <v>Orthilia secunda</v>
          </cell>
        </row>
        <row r="7261">
          <cell r="A7261" t="str">
            <v>Osmunda regalis</v>
          </cell>
          <cell r="B7261" t="str">
            <v>Vascular plants</v>
          </cell>
          <cell r="C7261" t="str">
            <v>Tracheophyta</v>
          </cell>
          <cell r="D7261" t="str">
            <v>Osmunda regalis</v>
          </cell>
          <cell r="E7261" t="str">
            <v>LC</v>
          </cell>
          <cell r="F7261" t="str">
            <v>in Stroh et al., 2014 (from: Cheffings &amp; Farrell 2005 or subsequent amendments in Leach 2007, 2010; Leach &amp; Walker 2011, 2013)</v>
          </cell>
          <cell r="G7261" t="str">
            <v>NBNSYS0000002027</v>
          </cell>
          <cell r="H7261" t="str">
            <v>Osmunda regalis</v>
          </cell>
        </row>
        <row r="7262">
          <cell r="A7262" t="str">
            <v>Oxalis acetosella</v>
          </cell>
          <cell r="B7262" t="str">
            <v>Vascular plants</v>
          </cell>
          <cell r="C7262" t="str">
            <v>Tracheophyta</v>
          </cell>
          <cell r="D7262" t="str">
            <v>Oxalis acetosella</v>
          </cell>
          <cell r="E7262" t="str">
            <v>LC</v>
          </cell>
          <cell r="F7262" t="str">
            <v>in Stroh et al., 2014 (from: Cheffings &amp; Farrell 2005 or subsequent amendments in Leach 2007, 2010; Leach &amp; Walker 2011, 2013)</v>
          </cell>
          <cell r="G7262" t="str">
            <v>NBNSYS0000003175</v>
          </cell>
          <cell r="H7262" t="str">
            <v>Oxalis acetosella</v>
          </cell>
        </row>
        <row r="7263">
          <cell r="A7263" t="str">
            <v>Oxyria digyna</v>
          </cell>
          <cell r="B7263" t="str">
            <v>Vascular plants</v>
          </cell>
          <cell r="C7263" t="str">
            <v>Tracheophyta</v>
          </cell>
          <cell r="D7263" t="str">
            <v>Oxyria digyna</v>
          </cell>
          <cell r="E7263" t="str">
            <v>LC</v>
          </cell>
          <cell r="F7263" t="str">
            <v>in Stroh et al., 2014 (from: Cheffings &amp; Farrell 2005 or subsequent amendments in Leach 2007, 2010; Leach &amp; Walker 2011, 2013)</v>
          </cell>
          <cell r="G7263" t="str">
            <v>NBNSYS0000003772</v>
          </cell>
          <cell r="H7263" t="str">
            <v>Oxyria digyna</v>
          </cell>
        </row>
        <row r="7264">
          <cell r="A7264" t="str">
            <v>Parapholis incurva</v>
          </cell>
          <cell r="B7264" t="str">
            <v>Vascular plants</v>
          </cell>
          <cell r="C7264" t="str">
            <v>Tracheophyta</v>
          </cell>
          <cell r="D7264" t="str">
            <v>Parapholis incurva</v>
          </cell>
          <cell r="E7264" t="str">
            <v>LC</v>
          </cell>
          <cell r="F7264" t="str">
            <v>in Stroh et al., 2014 (from: Cheffings &amp; Farrell 2005 or subsequent amendments in Leach 2007, 2010; Leach &amp; Walker 2011, 2013)</v>
          </cell>
          <cell r="G7264" t="str">
            <v>NHMSYS0000461501</v>
          </cell>
          <cell r="H7264" t="str">
            <v>Parapholis incurva</v>
          </cell>
        </row>
        <row r="7265">
          <cell r="A7265" t="str">
            <v>Parapholis strigosa</v>
          </cell>
          <cell r="B7265" t="str">
            <v>Vascular plants</v>
          </cell>
          <cell r="C7265" t="str">
            <v>Tracheophyta</v>
          </cell>
          <cell r="D7265" t="str">
            <v>Parapholis strigosa</v>
          </cell>
          <cell r="E7265" t="str">
            <v>LC</v>
          </cell>
          <cell r="F7265" t="str">
            <v>in Stroh et al., 2014 (from: Cheffings &amp; Farrell 2005 or subsequent amendments in Leach 2007, 2010; Leach &amp; Walker 2011, 2013)</v>
          </cell>
          <cell r="G7265" t="str">
            <v>NHMSYS0000461503</v>
          </cell>
          <cell r="H7265" t="str">
            <v>Parapholis strigosa</v>
          </cell>
        </row>
        <row r="7266">
          <cell r="A7266" t="str">
            <v>Parentucellia viscosa</v>
          </cell>
          <cell r="B7266" t="str">
            <v>Vascular plants</v>
          </cell>
          <cell r="C7266" t="str">
            <v>Tracheophyta</v>
          </cell>
          <cell r="D7266" t="str">
            <v>Parentucellia viscosa</v>
          </cell>
          <cell r="E7266" t="str">
            <v>LC</v>
          </cell>
          <cell r="F7266" t="str">
            <v>in Stroh et al., 2014 (from: Cheffings &amp; Farrell 2005 or subsequent amendments in Leach 2007, 2010; Leach &amp; Walker 2011, 2013)</v>
          </cell>
          <cell r="G7266" t="str">
            <v>NBNSYS0000004167</v>
          </cell>
          <cell r="H7266" t="str">
            <v>Parentucellia viscosa</v>
          </cell>
        </row>
        <row r="7267">
          <cell r="A7267" t="str">
            <v>Parietaria judaica</v>
          </cell>
          <cell r="B7267" t="str">
            <v>Vascular plants</v>
          </cell>
          <cell r="C7267" t="str">
            <v>Tracheophyta</v>
          </cell>
          <cell r="D7267" t="str">
            <v>Parietaria judaica</v>
          </cell>
          <cell r="E7267" t="str">
            <v>LC</v>
          </cell>
          <cell r="F7267" t="str">
            <v>in Stroh et al., 2014 (from: Cheffings &amp; Farrell 2005 or subsequent amendments in Leach 2007, 2010; Leach &amp; Walker 2011, 2013)</v>
          </cell>
          <cell r="G7267" t="str">
            <v>NBNSYS0000003804</v>
          </cell>
          <cell r="H7267" t="str">
            <v>Parietaria judaica</v>
          </cell>
        </row>
        <row r="7268">
          <cell r="A7268" t="str">
            <v>Paris quadrifolia</v>
          </cell>
          <cell r="B7268" t="str">
            <v>Vascular plants</v>
          </cell>
          <cell r="C7268" t="str">
            <v>Tracheophyta</v>
          </cell>
          <cell r="D7268" t="str">
            <v>Paris quadrifolia</v>
          </cell>
          <cell r="E7268" t="str">
            <v>LC</v>
          </cell>
          <cell r="F7268" t="str">
            <v>in Stroh et al., 2014 (from: Cheffings &amp; Farrell 2005 or subsequent amendments in Leach 2007, 2010; Leach &amp; Walker 2011, 2013)</v>
          </cell>
          <cell r="G7268" t="str">
            <v>NBNSYS0000002190</v>
          </cell>
          <cell r="H7268" t="str">
            <v>Paris quadrifolia</v>
          </cell>
        </row>
        <row r="7269">
          <cell r="A7269" t="str">
            <v>Parnassia palustris</v>
          </cell>
          <cell r="B7269" t="str">
            <v>Vascular plants</v>
          </cell>
          <cell r="C7269" t="str">
            <v>Tracheophyta</v>
          </cell>
          <cell r="D7269" t="str">
            <v>Parnassia palustris</v>
          </cell>
          <cell r="E7269" t="str">
            <v>LC</v>
          </cell>
          <cell r="F7269" t="str">
            <v>in Stroh et al., 2014 (from: Cheffings &amp; Farrell 2005 or subsequent amendments in Leach 2007, 2010; Leach &amp; Walker 2011, 2013)</v>
          </cell>
          <cell r="G7269" t="str">
            <v>NBNSYS0000003512</v>
          </cell>
          <cell r="H7269" t="str">
            <v>Parnassia palustris</v>
          </cell>
        </row>
        <row r="7270">
          <cell r="A7270" t="str">
            <v>Pastinaca sativa</v>
          </cell>
          <cell r="B7270" t="str">
            <v>Vascular plants</v>
          </cell>
          <cell r="C7270" t="str">
            <v>Tracheophyta</v>
          </cell>
          <cell r="D7270" t="str">
            <v>Pastinaca sativa</v>
          </cell>
          <cell r="E7270" t="str">
            <v>LC</v>
          </cell>
          <cell r="F7270" t="str">
            <v>in Stroh et al., 2014 (from: Cheffings &amp; Farrell 2005 or subsequent amendments in Leach 2007, 2010; Leach &amp; Walker 2011, 2013)</v>
          </cell>
          <cell r="G7270" t="str">
            <v>NBNSYS0000003709</v>
          </cell>
          <cell r="H7270" t="str">
            <v>Pastinaca sativa</v>
          </cell>
        </row>
        <row r="7271">
          <cell r="A7271" t="str">
            <v>Pedicularis palustris</v>
          </cell>
          <cell r="B7271" t="str">
            <v>Vascular plants</v>
          </cell>
          <cell r="C7271" t="str">
            <v>Tracheophyta</v>
          </cell>
          <cell r="D7271" t="str">
            <v>Pedicularis palustris</v>
          </cell>
          <cell r="E7271" t="str">
            <v>LC</v>
          </cell>
          <cell r="F7271" t="str">
            <v>in Stroh et al., 2014 (from: Cheffings &amp; Farrell 2005 or subsequent amendments in Leach 2007, 2010; Leach &amp; Walker 2011, 2013)</v>
          </cell>
          <cell r="G7271" t="str">
            <v>NBNSYS0000004130</v>
          </cell>
          <cell r="H7271" t="str">
            <v>Pedicularis palustris</v>
          </cell>
        </row>
        <row r="7272">
          <cell r="A7272" t="str">
            <v>Pedicularis sylvatica</v>
          </cell>
          <cell r="B7272" t="str">
            <v>Vascular plants</v>
          </cell>
          <cell r="C7272" t="str">
            <v>Tracheophyta</v>
          </cell>
          <cell r="D7272" t="str">
            <v>Pedicularis sylvatica</v>
          </cell>
          <cell r="E7272" t="str">
            <v>LC</v>
          </cell>
          <cell r="F7272" t="str">
            <v>in Stroh et al., 2014 (from: Cheffings &amp; Farrell 2005 or subsequent amendments in Leach 2007, 2010; Leach &amp; Walker 2011, 2013)</v>
          </cell>
          <cell r="G7272" t="str">
            <v>NBNSYS0000004131</v>
          </cell>
          <cell r="H7272" t="str">
            <v>Pedicularis sylvatica</v>
          </cell>
        </row>
        <row r="7273">
          <cell r="A7273" t="str">
            <v>Persicaria amphibia</v>
          </cell>
          <cell r="B7273" t="str">
            <v>Vascular plants</v>
          </cell>
          <cell r="C7273" t="str">
            <v>Tracheophyta</v>
          </cell>
          <cell r="D7273" t="str">
            <v>Persicaria amphibia</v>
          </cell>
          <cell r="E7273" t="str">
            <v>LC</v>
          </cell>
          <cell r="F7273" t="str">
            <v>in Stroh et al., 2014 (from: Cheffings &amp; Farrell 2005 or subsequent amendments in Leach 2007, 2010; Leach &amp; Walker 2011, 2013)</v>
          </cell>
          <cell r="G7273" t="str">
            <v>NHMSYS0000461597</v>
          </cell>
          <cell r="H7273" t="str">
            <v>Persicaria amphibia</v>
          </cell>
        </row>
        <row r="7274">
          <cell r="A7274" t="str">
            <v>Persicaria bistorta</v>
          </cell>
          <cell r="B7274" t="str">
            <v>Vascular plants</v>
          </cell>
          <cell r="C7274" t="str">
            <v>Tracheophyta</v>
          </cell>
          <cell r="D7274" t="str">
            <v>Persicaria bistorta</v>
          </cell>
          <cell r="E7274" t="str">
            <v>LC</v>
          </cell>
          <cell r="F7274" t="str">
            <v>in Stroh et al., 2014 (from: Cheffings &amp; Farrell 2005 or subsequent amendments in Leach 2007, 2010; Leach &amp; Walker 2011, 2013)</v>
          </cell>
          <cell r="G7274" t="str">
            <v>NBNSYS0000003750</v>
          </cell>
          <cell r="H7274" t="str">
            <v>Persicaria bistorta</v>
          </cell>
        </row>
        <row r="7275">
          <cell r="A7275" t="str">
            <v>Persicaria hydropiper</v>
          </cell>
          <cell r="B7275" t="str">
            <v>Vascular plants</v>
          </cell>
          <cell r="C7275" t="str">
            <v>Tracheophyta</v>
          </cell>
          <cell r="D7275" t="str">
            <v>Persicaria hydropiper</v>
          </cell>
          <cell r="E7275" t="str">
            <v>LC</v>
          </cell>
          <cell r="F7275" t="str">
            <v>in Stroh et al., 2014 (from: Cheffings &amp; Farrell 2005 or subsequent amendments in Leach 2007, 2010; Leach &amp; Walker 2011, 2013)</v>
          </cell>
          <cell r="G7275" t="str">
            <v>NHMSYS0000461603</v>
          </cell>
          <cell r="H7275" t="str">
            <v>Persicaria hydropiper</v>
          </cell>
        </row>
        <row r="7276">
          <cell r="A7276" t="str">
            <v>Persicaria lapathifolia</v>
          </cell>
          <cell r="B7276" t="str">
            <v>Vascular plants</v>
          </cell>
          <cell r="C7276" t="str">
            <v>Tracheophyta</v>
          </cell>
          <cell r="D7276" t="str">
            <v>Persicaria lapathifolia</v>
          </cell>
          <cell r="E7276" t="str">
            <v>LC</v>
          </cell>
          <cell r="F7276" t="str">
            <v>in Stroh et al., 2014 (from: Cheffings &amp; Farrell 2005 or subsequent amendments in Leach 2007, 2010; Leach &amp; Walker 2011, 2013)</v>
          </cell>
          <cell r="G7276" t="str">
            <v>NHMSYS0000461604</v>
          </cell>
          <cell r="H7276" t="str">
            <v>Persicaria lapathifolia</v>
          </cell>
        </row>
        <row r="7277">
          <cell r="A7277" t="str">
            <v>Persicaria maculosa</v>
          </cell>
          <cell r="B7277" t="str">
            <v>Vascular plants</v>
          </cell>
          <cell r="C7277" t="str">
            <v>Tracheophyta</v>
          </cell>
          <cell r="D7277" t="str">
            <v>Persicaria maculosa</v>
          </cell>
          <cell r="E7277" t="str">
            <v>LC</v>
          </cell>
          <cell r="F7277" t="str">
            <v>in Stroh et al., 2014 (from: Cheffings &amp; Farrell 2005 or subsequent amendments in Leach 2007, 2010; Leach &amp; Walker 2011, 2013)</v>
          </cell>
          <cell r="G7277" t="str">
            <v>NBNSYS0000003753</v>
          </cell>
          <cell r="H7277" t="str">
            <v>Persicaria maculosa</v>
          </cell>
        </row>
        <row r="7278">
          <cell r="A7278" t="str">
            <v>Persicaria minor</v>
          </cell>
          <cell r="B7278" t="str">
            <v>Vascular plants</v>
          </cell>
          <cell r="C7278" t="str">
            <v>Tracheophyta</v>
          </cell>
          <cell r="D7278" t="str">
            <v>Persicaria minor</v>
          </cell>
          <cell r="E7278" t="str">
            <v>VU</v>
          </cell>
          <cell r="F7278" t="str">
            <v>in Stroh et al., 2014 (from: Cheffings &amp; Farrell 2005 or subsequent amendments in Leach 2007, 2010; Leach &amp; Walker 2011, 2013)</v>
          </cell>
          <cell r="G7278" t="str">
            <v>NHMSYS0000461606</v>
          </cell>
          <cell r="H7278" t="str">
            <v>Persicaria minor</v>
          </cell>
        </row>
        <row r="7279">
          <cell r="A7279" t="str">
            <v>Persicaria mitis</v>
          </cell>
          <cell r="B7279" t="str">
            <v>Vascular plants</v>
          </cell>
          <cell r="C7279" t="str">
            <v>Tracheophyta</v>
          </cell>
          <cell r="D7279" t="str">
            <v>Persicaria mitis</v>
          </cell>
          <cell r="E7279" t="str">
            <v>VU</v>
          </cell>
          <cell r="F7279" t="str">
            <v>in Stroh et al., 2014 (from: Cheffings &amp; Farrell 2005 or subsequent amendments in Leach 2007, 2010; Leach &amp; Walker 2011, 2013)</v>
          </cell>
          <cell r="G7279" t="str">
            <v>NHMSYS0000461607</v>
          </cell>
          <cell r="H7279" t="str">
            <v>Persicaria mitis</v>
          </cell>
        </row>
        <row r="7280">
          <cell r="A7280" t="str">
            <v>Persicaria vivipara</v>
          </cell>
          <cell r="B7280" t="str">
            <v>Vascular plants</v>
          </cell>
          <cell r="C7280" t="str">
            <v>Tracheophyta</v>
          </cell>
          <cell r="D7280" t="str">
            <v>Persicaria vivipara</v>
          </cell>
          <cell r="E7280" t="str">
            <v>LC</v>
          </cell>
          <cell r="F7280" t="str">
            <v>in Stroh et al., 2014 (from: Cheffings &amp; Farrell 2005 or subsequent amendments in Leach 2007, 2010; Leach &amp; Walker 2011, 2013)</v>
          </cell>
          <cell r="G7280" t="str">
            <v>NHMSYS0000461615</v>
          </cell>
          <cell r="H7280" t="str">
            <v>Persicaria vivipara</v>
          </cell>
        </row>
        <row r="7281">
          <cell r="A7281" t="str">
            <v>Petasites hybridus</v>
          </cell>
          <cell r="B7281" t="str">
            <v>Vascular plants</v>
          </cell>
          <cell r="C7281" t="str">
            <v>Tracheophyta</v>
          </cell>
          <cell r="D7281" t="str">
            <v>Petasites hybridus</v>
          </cell>
          <cell r="E7281" t="str">
            <v>LC</v>
          </cell>
          <cell r="F7281" t="str">
            <v>in Stroh et al., 2014 (from: Cheffings &amp; Farrell 2005 or subsequent amendments in Leach 2007, 2010; Leach &amp; Walker 2011, 2013)</v>
          </cell>
          <cell r="G7281" t="str">
            <v>NHMSYS0000461631</v>
          </cell>
          <cell r="H7281" t="str">
            <v>Petasites hybridus</v>
          </cell>
        </row>
        <row r="7282">
          <cell r="A7282" t="str">
            <v>Petrorhagia nanteuilii</v>
          </cell>
          <cell r="B7282" t="str">
            <v>Vascular plants</v>
          </cell>
          <cell r="C7282" t="str">
            <v>Tracheophyta</v>
          </cell>
          <cell r="D7282" t="str">
            <v>Petrorhagia nanteuilii</v>
          </cell>
          <cell r="E7282" t="str">
            <v>VU</v>
          </cell>
          <cell r="F7282" t="str">
            <v>in Stroh et al., 2014 (from: Cheffings &amp; Farrell 2005 or subsequent amendments in Leach 2007, 2010; Leach &amp; Walker 2011, 2013)</v>
          </cell>
          <cell r="G7282" t="str">
            <v>NHMSYS0000461635</v>
          </cell>
          <cell r="H7282" t="str">
            <v>Petrorhagia nanteuilii</v>
          </cell>
        </row>
        <row r="7283">
          <cell r="A7283" t="str">
            <v>Petrorhagia prolifera</v>
          </cell>
          <cell r="B7283" t="str">
            <v>Vascular plants</v>
          </cell>
          <cell r="C7283" t="str">
            <v>Tracheophyta</v>
          </cell>
          <cell r="D7283" t="str">
            <v>Petrorhagia prolifera</v>
          </cell>
          <cell r="E7283" t="str">
            <v>EN</v>
          </cell>
          <cell r="F7283" t="str">
            <v>in Stroh et al., 2014 (from: Cheffings &amp; Farrell 2005 or subsequent amendments in Leach 2007, 2010; Leach &amp; Walker 2011, 2013)</v>
          </cell>
          <cell r="G7283" t="str">
            <v>NHMSYS0000461636</v>
          </cell>
          <cell r="H7283" t="str">
            <v>Petrorhagia prolifera</v>
          </cell>
        </row>
        <row r="7284">
          <cell r="A7284" t="str">
            <v>Petroselinum segetum</v>
          </cell>
          <cell r="B7284" t="str">
            <v>Vascular plants</v>
          </cell>
          <cell r="C7284" t="str">
            <v>Tracheophyta</v>
          </cell>
          <cell r="D7284" t="str">
            <v>Petroselinum segetum</v>
          </cell>
          <cell r="E7284" t="str">
            <v>LC</v>
          </cell>
          <cell r="F7284" t="str">
            <v>in Stroh et al., 2014 (from: Cheffings &amp; Farrell 2005 or subsequent amendments in Leach 2007, 2010; Leach &amp; Walker 2011, 2013)</v>
          </cell>
          <cell r="G7284" t="str">
            <v>NHMSYS0000461643</v>
          </cell>
          <cell r="H7284" t="str">
            <v>Petroselinum segetum</v>
          </cell>
        </row>
        <row r="7285">
          <cell r="A7285" t="str">
            <v>Peucedanum officinale</v>
          </cell>
          <cell r="B7285" t="str">
            <v>Vascular plants</v>
          </cell>
          <cell r="C7285" t="str">
            <v>Tracheophyta</v>
          </cell>
          <cell r="D7285" t="str">
            <v>Peucedanum officinale</v>
          </cell>
          <cell r="E7285" t="str">
            <v>LC</v>
          </cell>
          <cell r="F7285" t="str">
            <v>in Stroh et al., 2014 (from: Cheffings &amp; Farrell 2005 or subsequent amendments in Leach 2007, 2010; Leach &amp; Walker 2011, 2013)</v>
          </cell>
          <cell r="G7285" t="str">
            <v>NBNSYS0000003706</v>
          </cell>
          <cell r="H7285" t="str">
            <v>Peucedanum officinale</v>
          </cell>
        </row>
        <row r="7286">
          <cell r="A7286" t="str">
            <v>Phalaris arundinacea</v>
          </cell>
          <cell r="B7286" t="str">
            <v>Vascular plants</v>
          </cell>
          <cell r="C7286" t="str">
            <v>Tracheophyta</v>
          </cell>
          <cell r="D7286" t="str">
            <v>Phalaris arundinacea</v>
          </cell>
          <cell r="E7286" t="str">
            <v>LC</v>
          </cell>
          <cell r="F7286" t="str">
            <v>in Stroh et al., 2014 (from: Cheffings &amp; Farrell 2005 or subsequent amendments in Leach 2007, 2010; Leach &amp; Walker 2011, 2013)</v>
          </cell>
          <cell r="G7286" t="str">
            <v>NBNSYS0000002669</v>
          </cell>
          <cell r="H7286" t="str">
            <v>Phalaris arundinacea</v>
          </cell>
        </row>
        <row r="7287">
          <cell r="A7287" t="str">
            <v>Phegopteris connectilis</v>
          </cell>
          <cell r="B7287" t="str">
            <v>Vascular plants</v>
          </cell>
          <cell r="C7287" t="str">
            <v>Tracheophyta</v>
          </cell>
          <cell r="D7287" t="str">
            <v>Phegopteris connectilis</v>
          </cell>
          <cell r="E7287" t="str">
            <v>LC</v>
          </cell>
          <cell r="F7287" t="str">
            <v>in Stroh et al., 2014 (from: Cheffings &amp; Farrell 2005 or subsequent amendments in Leach 2007, 2010; Leach &amp; Walker 2011, 2013)</v>
          </cell>
          <cell r="G7287" t="str">
            <v>NHMSYS0000461665</v>
          </cell>
          <cell r="H7287" t="str">
            <v>Phegopteris connectilis</v>
          </cell>
        </row>
        <row r="7288">
          <cell r="A7288" t="str">
            <v>Phleum alpinum</v>
          </cell>
          <cell r="B7288" t="str">
            <v>Vascular plants</v>
          </cell>
          <cell r="C7288" t="str">
            <v>Tracheophyta</v>
          </cell>
          <cell r="D7288" t="str">
            <v>Phleum alpinum</v>
          </cell>
          <cell r="E7288" t="str">
            <v>LC</v>
          </cell>
          <cell r="F7288" t="str">
            <v>in Stroh et al., 2014 (from: Cheffings &amp; Farrell 2005 or subsequent amendments in Leach 2007, 2010; Leach &amp; Walker 2011, 2013)</v>
          </cell>
          <cell r="G7288" t="str">
            <v>NBNSYS0000002652</v>
          </cell>
          <cell r="H7288" t="str">
            <v>Phleum alpinum</v>
          </cell>
        </row>
        <row r="7289">
          <cell r="A7289" t="str">
            <v>Phleum arenarium</v>
          </cell>
          <cell r="B7289" t="str">
            <v>Vascular plants</v>
          </cell>
          <cell r="C7289" t="str">
            <v>Tracheophyta</v>
          </cell>
          <cell r="D7289" t="str">
            <v>Phleum arenarium</v>
          </cell>
          <cell r="E7289" t="str">
            <v>LC</v>
          </cell>
          <cell r="F7289" t="str">
            <v>in Stroh et al., 2014 (from: Cheffings &amp; Farrell 2005 or subsequent amendments in Leach 2007, 2010; Leach &amp; Walker 2011, 2013)</v>
          </cell>
          <cell r="G7289" t="str">
            <v>NBNSYS0000002654</v>
          </cell>
          <cell r="H7289" t="str">
            <v>Phleum arenarium</v>
          </cell>
        </row>
        <row r="7290">
          <cell r="A7290" t="str">
            <v>Phleum bertolonii</v>
          </cell>
          <cell r="B7290" t="str">
            <v>Vascular plants</v>
          </cell>
          <cell r="C7290" t="str">
            <v>Tracheophyta</v>
          </cell>
          <cell r="D7290" t="str">
            <v>Phleum bertolonii</v>
          </cell>
          <cell r="E7290" t="str">
            <v>LC</v>
          </cell>
          <cell r="F7290" t="str">
            <v>in Stroh et al., 2014 (from: Cheffings &amp; Farrell 2005 or subsequent amendments in Leach 2007, 2010; Leach &amp; Walker 2011, 2013)</v>
          </cell>
          <cell r="G7290" t="str">
            <v>NBNSYS0000002650</v>
          </cell>
          <cell r="H7290" t="str">
            <v>Phleum bertolonii</v>
          </cell>
        </row>
        <row r="7291">
          <cell r="A7291" t="str">
            <v>Phleum phleoides</v>
          </cell>
          <cell r="B7291" t="str">
            <v>Vascular plants</v>
          </cell>
          <cell r="C7291" t="str">
            <v>Tracheophyta</v>
          </cell>
          <cell r="D7291" t="str">
            <v>Phleum phleoides</v>
          </cell>
          <cell r="E7291" t="str">
            <v>LC</v>
          </cell>
          <cell r="F7291" t="str">
            <v>in Stroh et al., 2014 (from: Cheffings &amp; Farrell 2005 or subsequent amendments in Leach 2007, 2010; Leach &amp; Walker 2011, 2013)</v>
          </cell>
          <cell r="G7291" t="str">
            <v>NHMSYS0000461023</v>
          </cell>
          <cell r="H7291" t="str">
            <v>Phleum phleoides</v>
          </cell>
        </row>
        <row r="7292">
          <cell r="A7292" t="str">
            <v>Phleum pratense</v>
          </cell>
          <cell r="B7292" t="str">
            <v>Vascular plants</v>
          </cell>
          <cell r="C7292" t="str">
            <v>Tracheophyta</v>
          </cell>
          <cell r="D7292" t="str">
            <v>Phleum pratense</v>
          </cell>
          <cell r="E7292" t="str">
            <v>LC</v>
          </cell>
          <cell r="F7292" t="str">
            <v>in Stroh et al., 2014 (from: Cheffings &amp; Farrell 2005 or subsequent amendments in Leach 2007, 2010; Leach &amp; Walker 2011, 2013)</v>
          </cell>
          <cell r="G7292" t="str">
            <v>NHMSYS0000461024</v>
          </cell>
          <cell r="H7292" t="str">
            <v>Phleum pratense</v>
          </cell>
        </row>
        <row r="7293">
          <cell r="A7293" t="str">
            <v>Phragmites australis</v>
          </cell>
          <cell r="B7293" t="str">
            <v>Vascular plants</v>
          </cell>
          <cell r="C7293" t="str">
            <v>Tracheophyta</v>
          </cell>
          <cell r="D7293" t="str">
            <v>Phragmites australis</v>
          </cell>
          <cell r="E7293" t="str">
            <v>LC</v>
          </cell>
          <cell r="F7293" t="str">
            <v>in Stroh et al., 2014 (from: Cheffings &amp; Farrell 2005 or subsequent amendments in Leach 2007, 2010; Leach &amp; Walker 2011, 2013)</v>
          </cell>
          <cell r="G7293" t="str">
            <v>NHMSYS0000461214</v>
          </cell>
          <cell r="H7293" t="str">
            <v>Phragmites australis</v>
          </cell>
        </row>
        <row r="7294">
          <cell r="A7294" t="str">
            <v>Physospermum cornubiense</v>
          </cell>
          <cell r="B7294" t="str">
            <v>Vascular plants</v>
          </cell>
          <cell r="C7294" t="str">
            <v>Tracheophyta</v>
          </cell>
          <cell r="D7294" t="str">
            <v>Physospermum cornubiense</v>
          </cell>
          <cell r="E7294" t="str">
            <v>LC</v>
          </cell>
          <cell r="F7294" t="str">
            <v>in Stroh et al., 2014 (from: Cheffings &amp; Farrell 2005 or subsequent amendments in Leach 2007, 2010; Leach &amp; Walker 2011, 2013)</v>
          </cell>
          <cell r="G7294" t="str">
            <v>NBNSYS0000003654</v>
          </cell>
          <cell r="H7294" t="str">
            <v>Physospermum cornubiense</v>
          </cell>
        </row>
        <row r="7295">
          <cell r="A7295" t="str">
            <v>Phyteuma orbiculare</v>
          </cell>
          <cell r="B7295" t="str">
            <v>Vascular plants</v>
          </cell>
          <cell r="C7295" t="str">
            <v>Tracheophyta</v>
          </cell>
          <cell r="D7295" t="str">
            <v>Phyteuma orbiculare</v>
          </cell>
          <cell r="E7295" t="str">
            <v>LC</v>
          </cell>
          <cell r="F7295" t="str">
            <v>in Stroh et al., 2014 (from: Cheffings &amp; Farrell 2005 or subsequent amendments in Leach 2007, 2010; Leach &amp; Walker 2011, 2013)</v>
          </cell>
          <cell r="G7295" t="str">
            <v>NBNSYS0000004295</v>
          </cell>
          <cell r="H7295" t="str">
            <v>Phyteuma orbiculare</v>
          </cell>
        </row>
        <row r="7296">
          <cell r="A7296" t="str">
            <v>Phyteuma spicatum</v>
          </cell>
          <cell r="B7296" t="str">
            <v>Vascular plants</v>
          </cell>
          <cell r="C7296" t="str">
            <v>Tracheophyta</v>
          </cell>
          <cell r="D7296" t="str">
            <v>Phyteuma spicatum</v>
          </cell>
          <cell r="E7296" t="str">
            <v>EN</v>
          </cell>
          <cell r="F7296" t="str">
            <v>in Stroh et al., 2014 (from: Cheffings &amp; Farrell 2005 or subsequent amendments in Leach 2007, 2010; Leach &amp; Walker 2011, 2013)</v>
          </cell>
          <cell r="G7296" t="str">
            <v>NBNSYS0000004296</v>
          </cell>
          <cell r="H7296" t="str">
            <v>Phyteuma spicatum</v>
          </cell>
        </row>
        <row r="7297">
          <cell r="A7297" t="str">
            <v>Pilosella officinarum</v>
          </cell>
          <cell r="B7297" t="str">
            <v>Vascular plants</v>
          </cell>
          <cell r="C7297" t="str">
            <v>Tracheophyta</v>
          </cell>
          <cell r="D7297" t="str">
            <v>Pilosella officinarum</v>
          </cell>
          <cell r="E7297" t="str">
            <v>LC</v>
          </cell>
          <cell r="F7297" t="str">
            <v>in Stroh et al., 2014 (from: Cheffings &amp; Farrell 2005 or subsequent amendments in Leach 2007, 2010; Leach &amp; Walker 2011, 2013)</v>
          </cell>
          <cell r="G7297" t="str">
            <v>NHMSYS0000461280</v>
          </cell>
          <cell r="H7297" t="str">
            <v>Pilosella officinarum</v>
          </cell>
        </row>
        <row r="7298">
          <cell r="A7298" t="str">
            <v>Pilosella peleteriana</v>
          </cell>
          <cell r="B7298" t="str">
            <v>Vascular plants</v>
          </cell>
          <cell r="C7298" t="str">
            <v>Tracheophyta</v>
          </cell>
          <cell r="D7298" t="str">
            <v>Pilosella peleteriana</v>
          </cell>
          <cell r="E7298" t="str">
            <v>NT</v>
          </cell>
          <cell r="F7298" t="str">
            <v>in Stroh et al., 2014 (from: Cheffings &amp; Farrell 2005 or subsequent amendments in Leach 2007, 2010; Leach &amp; Walker 2011, 2013)</v>
          </cell>
          <cell r="G7298" t="str">
            <v>NHMSYS0000461676</v>
          </cell>
          <cell r="H7298" t="str">
            <v>Pilosella peleteriana</v>
          </cell>
        </row>
        <row r="7299">
          <cell r="A7299" t="str">
            <v>Pilularia globulifera</v>
          </cell>
          <cell r="B7299" t="str">
            <v>Vascular plants</v>
          </cell>
          <cell r="C7299" t="str">
            <v>Tracheophyta</v>
          </cell>
          <cell r="D7299" t="str">
            <v>Pilularia globulifera</v>
          </cell>
          <cell r="E7299" t="str">
            <v>NT</v>
          </cell>
          <cell r="F7299" t="str">
            <v>in Stroh et al., 2014 (from: Cheffings &amp; Farrell 2005 or subsequent amendments in Leach 2007, 2010; Leach &amp; Walker 2011, 2013)</v>
          </cell>
          <cell r="G7299" t="str">
            <v>NBNSYS0000002089</v>
          </cell>
          <cell r="H7299" t="str">
            <v>Pilularia globulifera</v>
          </cell>
        </row>
        <row r="7300">
          <cell r="A7300" t="str">
            <v>Pimpinella major</v>
          </cell>
          <cell r="B7300" t="str">
            <v>Vascular plants</v>
          </cell>
          <cell r="C7300" t="str">
            <v>Tracheophyta</v>
          </cell>
          <cell r="D7300" t="str">
            <v>Pimpinella major</v>
          </cell>
          <cell r="E7300" t="str">
            <v>LC</v>
          </cell>
          <cell r="F7300" t="str">
            <v>in Stroh et al., 2014 (from: Cheffings &amp; Farrell 2005 or subsequent amendments in Leach 2007, 2010; Leach &amp; Walker 2011, 2013)</v>
          </cell>
          <cell r="G7300" t="str">
            <v>NHMSYS0000461691</v>
          </cell>
          <cell r="H7300" t="str">
            <v>Pimpinella major</v>
          </cell>
        </row>
        <row r="7301">
          <cell r="A7301" t="str">
            <v>Pimpinella saxifraga</v>
          </cell>
          <cell r="B7301" t="str">
            <v>Vascular plants</v>
          </cell>
          <cell r="C7301" t="str">
            <v>Tracheophyta</v>
          </cell>
          <cell r="D7301" t="str">
            <v>Pimpinella saxifraga</v>
          </cell>
          <cell r="E7301" t="str">
            <v>LC</v>
          </cell>
          <cell r="F7301" t="str">
            <v>in Stroh et al., 2014 (from: Cheffings &amp; Farrell 2005 or subsequent amendments in Leach 2007, 2010; Leach &amp; Walker 2011, 2013)</v>
          </cell>
          <cell r="G7301" t="str">
            <v>NBNSYS0000003682</v>
          </cell>
          <cell r="H7301" t="str">
            <v>Pimpinella saxifraga</v>
          </cell>
        </row>
        <row r="7302">
          <cell r="A7302" t="str">
            <v>Pinguicula lusitanica</v>
          </cell>
          <cell r="B7302" t="str">
            <v>Vascular plants</v>
          </cell>
          <cell r="C7302" t="str">
            <v>Tracheophyta</v>
          </cell>
          <cell r="D7302" t="str">
            <v>Pinguicula lusitanica</v>
          </cell>
          <cell r="E7302" t="str">
            <v>LC</v>
          </cell>
          <cell r="F7302" t="str">
            <v>in Stroh et al., 2014 (from: Cheffings &amp; Farrell 2005 or subsequent amendments in Leach 2007, 2010; Leach &amp; Walker 2011, 2013)</v>
          </cell>
          <cell r="G7302" t="str">
            <v>NBNSYS0000004182</v>
          </cell>
          <cell r="H7302" t="str">
            <v>Pinguicula lusitanica</v>
          </cell>
        </row>
        <row r="7303">
          <cell r="A7303" t="str">
            <v>Pinguicula vulgaris</v>
          </cell>
          <cell r="B7303" t="str">
            <v>Vascular plants</v>
          </cell>
          <cell r="C7303" t="str">
            <v>Tracheophyta</v>
          </cell>
          <cell r="D7303" t="str">
            <v>Pinguicula vulgaris</v>
          </cell>
          <cell r="E7303" t="str">
            <v>LC</v>
          </cell>
          <cell r="F7303" t="str">
            <v>in Stroh et al., 2014 (from: Cheffings &amp; Farrell 2005 or subsequent amendments in Leach 2007, 2010; Leach &amp; Walker 2011, 2013)</v>
          </cell>
          <cell r="G7303" t="str">
            <v>NBNSYS0000004184</v>
          </cell>
          <cell r="H7303" t="str">
            <v>Pinguicula vulgaris</v>
          </cell>
        </row>
        <row r="7304">
          <cell r="A7304" t="str">
            <v>Pinus sylvestris</v>
          </cell>
          <cell r="B7304" t="str">
            <v>Vascular plants</v>
          </cell>
          <cell r="C7304" t="str">
            <v>Tracheophyta</v>
          </cell>
          <cell r="D7304" t="str">
            <v>Pinus sylvestris</v>
          </cell>
          <cell r="E7304" t="str">
            <v>LC</v>
          </cell>
          <cell r="F7304" t="str">
            <v>in Stroh et al., 2014 (from: Cheffings &amp; Farrell 2005 or subsequent amendments in Leach 2007, 2010; Leach &amp; Walker 2011, 2013)</v>
          </cell>
          <cell r="G7304" t="str">
            <v>NBNSYS0000004629</v>
          </cell>
          <cell r="H7304" t="str">
            <v>Pinus sylvestris</v>
          </cell>
        </row>
        <row r="7305">
          <cell r="A7305" t="str">
            <v>Plantago coronopus</v>
          </cell>
          <cell r="B7305" t="str">
            <v>Vascular plants</v>
          </cell>
          <cell r="C7305" t="str">
            <v>Tracheophyta</v>
          </cell>
          <cell r="D7305" t="str">
            <v>Plantago coronopus</v>
          </cell>
          <cell r="E7305" t="str">
            <v>LC</v>
          </cell>
          <cell r="F7305" t="str">
            <v>in Stroh et al., 2014 (from: Cheffings &amp; Farrell 2005 or subsequent amendments in Leach 2007, 2010; Leach &amp; Walker 2011, 2013)</v>
          </cell>
          <cell r="G7305" t="str">
            <v>NBNSYS0000004277</v>
          </cell>
          <cell r="H7305" t="str">
            <v>Plantago coronopus</v>
          </cell>
        </row>
        <row r="7306">
          <cell r="A7306" t="str">
            <v>Plantago lanceolata</v>
          </cell>
          <cell r="B7306" t="str">
            <v>Vascular plants</v>
          </cell>
          <cell r="C7306" t="str">
            <v>Tracheophyta</v>
          </cell>
          <cell r="D7306" t="str">
            <v>Plantago lanceolata</v>
          </cell>
          <cell r="E7306" t="str">
            <v>LC</v>
          </cell>
          <cell r="F7306" t="str">
            <v>in Stroh et al., 2014 (from: Cheffings &amp; Farrell 2005 or subsequent amendments in Leach 2007, 2010; Leach &amp; Walker 2011, 2013)</v>
          </cell>
          <cell r="G7306" t="str">
            <v>NBNSYS0000004275</v>
          </cell>
          <cell r="H7306" t="str">
            <v>Plantago lanceolata</v>
          </cell>
        </row>
        <row r="7307">
          <cell r="A7307" t="str">
            <v>Plantago major</v>
          </cell>
          <cell r="B7307" t="str">
            <v>Vascular plants</v>
          </cell>
          <cell r="C7307" t="str">
            <v>Tracheophyta</v>
          </cell>
          <cell r="D7307" t="str">
            <v>Plantago major</v>
          </cell>
          <cell r="E7307" t="str">
            <v>LC</v>
          </cell>
          <cell r="F7307" t="str">
            <v>in Stroh et al., 2014 (from: Cheffings &amp; Farrell 2005 or subsequent amendments in Leach 2007, 2010; Leach &amp; Walker 2011, 2013)</v>
          </cell>
          <cell r="G7307" t="str">
            <v>NBNSYS0000004273</v>
          </cell>
          <cell r="H7307" t="str">
            <v>Plantago major</v>
          </cell>
        </row>
        <row r="7308">
          <cell r="A7308" t="str">
            <v>Plantago maritima</v>
          </cell>
          <cell r="B7308" t="str">
            <v>Vascular plants</v>
          </cell>
          <cell r="C7308" t="str">
            <v>Tracheophyta</v>
          </cell>
          <cell r="D7308" t="str">
            <v>Plantago maritima</v>
          </cell>
          <cell r="E7308" t="str">
            <v>LC</v>
          </cell>
          <cell r="F7308" t="str">
            <v>in Stroh et al., 2014 (from: Cheffings &amp; Farrell 2005 or subsequent amendments in Leach 2007, 2010; Leach &amp; Walker 2011, 2013)</v>
          </cell>
          <cell r="G7308" t="str">
            <v>NBNSYS0000004276</v>
          </cell>
          <cell r="H7308" t="str">
            <v>Plantago maritima</v>
          </cell>
        </row>
        <row r="7309">
          <cell r="A7309" t="str">
            <v>Plantago media</v>
          </cell>
          <cell r="B7309" t="str">
            <v>Vascular plants</v>
          </cell>
          <cell r="C7309" t="str">
            <v>Tracheophyta</v>
          </cell>
          <cell r="D7309" t="str">
            <v>Plantago media</v>
          </cell>
          <cell r="E7309" t="str">
            <v>LC</v>
          </cell>
          <cell r="F7309" t="str">
            <v>in Stroh et al., 2014 (from: Cheffings &amp; Farrell 2005 or subsequent amendments in Leach 2007, 2010; Leach &amp; Walker 2011, 2013)</v>
          </cell>
          <cell r="G7309" t="str">
            <v>NBNSYS0000004274</v>
          </cell>
          <cell r="H7309" t="str">
            <v>Plantago media</v>
          </cell>
        </row>
        <row r="7310">
          <cell r="A7310" t="str">
            <v>Platanthera bifolia</v>
          </cell>
          <cell r="B7310" t="str">
            <v>Vascular plants</v>
          </cell>
          <cell r="C7310" t="str">
            <v>Tracheophyta</v>
          </cell>
          <cell r="D7310" t="str">
            <v>Platanthera bifolia</v>
          </cell>
          <cell r="E7310" t="str">
            <v>VU</v>
          </cell>
          <cell r="F7310" t="str">
            <v>in Stroh et al., 2014 (from: Cheffings &amp; Farrell 2005 or subsequent amendments in Leach 2007, 2010; Leach &amp; Walker 2011, 2013)</v>
          </cell>
          <cell r="G7310" t="str">
            <v>NBNSYS0000002313</v>
          </cell>
          <cell r="H7310" t="str">
            <v>Platanthera bifolia</v>
          </cell>
        </row>
        <row r="7311">
          <cell r="A7311" t="str">
            <v>Platanthera chlorantha</v>
          </cell>
          <cell r="B7311" t="str">
            <v>Vascular plants</v>
          </cell>
          <cell r="C7311" t="str">
            <v>Tracheophyta</v>
          </cell>
          <cell r="D7311" t="str">
            <v>Platanthera chlorantha</v>
          </cell>
          <cell r="E7311" t="str">
            <v>NT</v>
          </cell>
          <cell r="F7311" t="str">
            <v>in Stroh et al., 2014 (from: Cheffings &amp; Farrell 2005 or subsequent amendments in Leach 2007, 2010; Leach &amp; Walker 2011, 2013)</v>
          </cell>
          <cell r="G7311" t="str">
            <v>NHMSYS0000461774</v>
          </cell>
          <cell r="H7311" t="str">
            <v>Platanthera chlorantha</v>
          </cell>
        </row>
        <row r="7312">
          <cell r="A7312" t="str">
            <v>Poa alpina</v>
          </cell>
          <cell r="B7312" t="str">
            <v>Vascular plants</v>
          </cell>
          <cell r="C7312" t="str">
            <v>Tracheophyta</v>
          </cell>
          <cell r="D7312" t="str">
            <v>Poa alpina</v>
          </cell>
          <cell r="E7312" t="str">
            <v>LC</v>
          </cell>
          <cell r="F7312" t="str">
            <v>in Stroh et al., 2014 (from: Cheffings &amp; Farrell 2005 or subsequent amendments in Leach 2007, 2010; Leach &amp; Walker 2011, 2013)</v>
          </cell>
          <cell r="G7312" t="str">
            <v>NBNSYS0000002547</v>
          </cell>
          <cell r="H7312" t="str">
            <v>Poa alpina</v>
          </cell>
        </row>
        <row r="7313">
          <cell r="A7313" t="str">
            <v>Poa angustifolia</v>
          </cell>
          <cell r="B7313" t="str">
            <v>Vascular plants</v>
          </cell>
          <cell r="C7313" t="str">
            <v>Tracheophyta</v>
          </cell>
          <cell r="D7313" t="str">
            <v>Poa angustifolia</v>
          </cell>
          <cell r="E7313" t="str">
            <v>LC</v>
          </cell>
          <cell r="F7313" t="str">
            <v>in Stroh et al., 2014 (from: Cheffings &amp; Farrell 2005 or subsequent amendments in Leach 2007, 2010; Leach &amp; Walker 2011, 2013)</v>
          </cell>
          <cell r="G7313" t="str">
            <v>NBNSYS0000002555</v>
          </cell>
          <cell r="H7313" t="str">
            <v>Poa angustifolia</v>
          </cell>
        </row>
        <row r="7314">
          <cell r="A7314" t="str">
            <v>Poa annua</v>
          </cell>
          <cell r="B7314" t="str">
            <v>Vascular plants</v>
          </cell>
          <cell r="C7314" t="str">
            <v>Tracheophyta</v>
          </cell>
          <cell r="D7314" t="str">
            <v>Poa annua</v>
          </cell>
          <cell r="E7314" t="str">
            <v>LC</v>
          </cell>
          <cell r="F7314" t="str">
            <v>in Stroh et al., 2014 (from: Cheffings &amp; Farrell 2005 or subsequent amendments in Leach 2007, 2010; Leach &amp; Walker 2011, 2013)</v>
          </cell>
          <cell r="G7314" t="str">
            <v>NBNSYS0000002544</v>
          </cell>
          <cell r="H7314" t="str">
            <v>Poa annua</v>
          </cell>
        </row>
        <row r="7315">
          <cell r="A7315" t="str">
            <v>Poa bulbosa</v>
          </cell>
          <cell r="B7315" t="str">
            <v>Vascular plants</v>
          </cell>
          <cell r="C7315" t="str">
            <v>Tracheophyta</v>
          </cell>
          <cell r="D7315" t="str">
            <v>Poa bulbosa</v>
          </cell>
          <cell r="E7315" t="str">
            <v>LC</v>
          </cell>
          <cell r="F7315" t="str">
            <v>in Stroh et al., 2014 (from: Cheffings &amp; Farrell 2005 or subsequent amendments in Leach 2007, 2010; Leach &amp; Walker 2011, 2013)</v>
          </cell>
          <cell r="G7315" t="str">
            <v>NBNSYS0000002546</v>
          </cell>
          <cell r="H7315" t="str">
            <v>Poa bulbosa</v>
          </cell>
        </row>
        <row r="7316">
          <cell r="A7316" t="str">
            <v>Poa compressa</v>
          </cell>
          <cell r="B7316" t="str">
            <v>Vascular plants</v>
          </cell>
          <cell r="C7316" t="str">
            <v>Tracheophyta</v>
          </cell>
          <cell r="D7316" t="str">
            <v>Poa compressa</v>
          </cell>
          <cell r="E7316" t="str">
            <v>LC</v>
          </cell>
          <cell r="F7316" t="str">
            <v>in Stroh et al., 2014 (from: Cheffings &amp; Farrell 2005 or subsequent amendments in Leach 2007, 2010; Leach &amp; Walker 2011, 2013)</v>
          </cell>
          <cell r="G7316" t="str">
            <v>NBNSYS0000002553</v>
          </cell>
          <cell r="H7316" t="str">
            <v>Poa compressa</v>
          </cell>
        </row>
        <row r="7317">
          <cell r="A7317" t="str">
            <v>Poa glauca</v>
          </cell>
          <cell r="B7317" t="str">
            <v>Vascular plants</v>
          </cell>
          <cell r="C7317" t="str">
            <v>Tracheophyta</v>
          </cell>
          <cell r="D7317" t="str">
            <v>Poa glauca</v>
          </cell>
          <cell r="E7317" t="str">
            <v>VU</v>
          </cell>
          <cell r="F7317" t="str">
            <v>in Stroh et al., 2014 (from: Cheffings &amp; Farrell 2005 or subsequent amendments in Leach 2007, 2010; Leach &amp; Walker 2011, 2013)</v>
          </cell>
          <cell r="G7317" t="str">
            <v>NBNSYS0000002551</v>
          </cell>
          <cell r="H7317" t="str">
            <v>Poa glauca</v>
          </cell>
        </row>
        <row r="7318">
          <cell r="A7318" t="str">
            <v>Poa humilis</v>
          </cell>
          <cell r="B7318" t="str">
            <v>Vascular plants</v>
          </cell>
          <cell r="C7318" t="str">
            <v>Tracheophyta</v>
          </cell>
          <cell r="D7318" t="str">
            <v>Poa humilis</v>
          </cell>
          <cell r="E7318" t="str">
            <v>LC</v>
          </cell>
          <cell r="F7318" t="str">
            <v>in Stroh et al., 2014 (from: Cheffings &amp; Farrell 2005 or subsequent amendments in Leach 2007, 2010; Leach &amp; Walker 2011, 2013)</v>
          </cell>
          <cell r="G7318" t="str">
            <v>NBNSYS0000002556</v>
          </cell>
          <cell r="H7318" t="str">
            <v>Poa humilis</v>
          </cell>
        </row>
        <row r="7319">
          <cell r="A7319" t="str">
            <v>Poa infirma</v>
          </cell>
          <cell r="B7319" t="str">
            <v>Vascular plants</v>
          </cell>
          <cell r="C7319" t="str">
            <v>Tracheophyta</v>
          </cell>
          <cell r="D7319" t="str">
            <v>Poa infirma</v>
          </cell>
          <cell r="E7319" t="str">
            <v>LC</v>
          </cell>
          <cell r="F7319" t="str">
            <v>in Stroh et al., 2014 (from: Cheffings &amp; Farrell 2005 or subsequent amendments in Leach 2007, 2010; Leach &amp; Walker 2011, 2013)</v>
          </cell>
          <cell r="G7319" t="str">
            <v>NBNSYS0000002545</v>
          </cell>
          <cell r="H7319" t="str">
            <v>Poa infirma</v>
          </cell>
        </row>
        <row r="7320">
          <cell r="A7320" t="str">
            <v>Poa nemoralis</v>
          </cell>
          <cell r="B7320" t="str">
            <v>Vascular plants</v>
          </cell>
          <cell r="C7320" t="str">
            <v>Tracheophyta</v>
          </cell>
          <cell r="D7320" t="str">
            <v>Poa nemoralis</v>
          </cell>
          <cell r="E7320" t="str">
            <v>LC</v>
          </cell>
          <cell r="F7320" t="str">
            <v>in Stroh et al., 2014 (from: Cheffings &amp; Farrell 2005 or subsequent amendments in Leach 2007, 2010; Leach &amp; Walker 2011, 2013)</v>
          </cell>
          <cell r="G7320" t="str">
            <v>NBNSYS0000002550</v>
          </cell>
          <cell r="H7320" t="str">
            <v>Poa nemoralis</v>
          </cell>
        </row>
        <row r="7321">
          <cell r="A7321" t="str">
            <v>Poa pratensis s.s.</v>
          </cell>
          <cell r="B7321" t="str">
            <v>Vascular plants</v>
          </cell>
          <cell r="C7321" t="str">
            <v>Tracheophyta</v>
          </cell>
          <cell r="D7321" t="str">
            <v>Poa pratensis s.s.</v>
          </cell>
          <cell r="E7321" t="str">
            <v>LC</v>
          </cell>
          <cell r="F7321" t="str">
            <v>in Stroh et al., 2014 (from: Cheffings &amp; Farrell 2005 or subsequent amendments in Leach 2007, 2010; Leach &amp; Walker 2011, 2013)</v>
          </cell>
          <cell r="G7321" t="str">
            <v>NHMSYS0000461810</v>
          </cell>
          <cell r="H7321" t="str">
            <v>Poa pratensis s.s.</v>
          </cell>
        </row>
        <row r="7322">
          <cell r="A7322" t="str">
            <v>Poa trivialis</v>
          </cell>
          <cell r="B7322" t="str">
            <v>Vascular plants</v>
          </cell>
          <cell r="C7322" t="str">
            <v>Tracheophyta</v>
          </cell>
          <cell r="D7322" t="str">
            <v>Poa trivialis</v>
          </cell>
          <cell r="E7322" t="str">
            <v>LC</v>
          </cell>
          <cell r="F7322" t="str">
            <v>in Stroh et al., 2014 (from: Cheffings &amp; Farrell 2005 or subsequent amendments in Leach 2007, 2010; Leach &amp; Walker 2011, 2013)</v>
          </cell>
          <cell r="G7322" t="str">
            <v>NBNSYS0000002557</v>
          </cell>
          <cell r="H7322" t="str">
            <v>Poa trivialis</v>
          </cell>
        </row>
        <row r="7323">
          <cell r="A7323" t="str">
            <v>Polemonium caeruleum</v>
          </cell>
          <cell r="B7323" t="str">
            <v>Vascular plants</v>
          </cell>
          <cell r="C7323" t="str">
            <v>Tracheophyta</v>
          </cell>
          <cell r="D7323" t="str">
            <v>Polemonium caeruleum</v>
          </cell>
          <cell r="E7323" t="str">
            <v>LC</v>
          </cell>
          <cell r="F7323" t="str">
            <v>in Stroh et al., 2014 (from: Cheffings &amp; Farrell 2005 or subsequent amendments in Leach 2007, 2010; Leach &amp; Walker 2011, 2013)</v>
          </cell>
          <cell r="G7323" t="str">
            <v>NBNSYS0000003978</v>
          </cell>
          <cell r="H7323" t="str">
            <v>Polemonium caeruleum</v>
          </cell>
        </row>
        <row r="7324">
          <cell r="A7324" t="str">
            <v>Polycarpon tetraphyllum</v>
          </cell>
          <cell r="B7324" t="str">
            <v>Vascular plants</v>
          </cell>
          <cell r="C7324" t="str">
            <v>Tracheophyta</v>
          </cell>
          <cell r="D7324" t="str">
            <v>Polycarpon tetraphyllum</v>
          </cell>
          <cell r="E7324" t="str">
            <v>LC</v>
          </cell>
          <cell r="F7324" t="str">
            <v>in Stroh et al., 2014 (from: Cheffings &amp; Farrell 2005 or subsequent amendments in Leach 2007, 2010; Leach &amp; Walker 2011, 2013)</v>
          </cell>
          <cell r="G7324" t="str">
            <v>NBNSYS0000003073</v>
          </cell>
          <cell r="H7324" t="str">
            <v>Polycarpon tetraphyllum</v>
          </cell>
        </row>
        <row r="7325">
          <cell r="A7325" t="str">
            <v>Polygala amarella</v>
          </cell>
          <cell r="B7325" t="str">
            <v>Vascular plants</v>
          </cell>
          <cell r="C7325" t="str">
            <v>Tracheophyta</v>
          </cell>
          <cell r="D7325" t="str">
            <v>Polygala amarella</v>
          </cell>
          <cell r="E7325" t="str">
            <v>EN</v>
          </cell>
          <cell r="F7325" t="str">
            <v>in Stroh et al., 2014 (from: Cheffings &amp; Farrell 2005 or subsequent amendments in Leach 2007, 2010; Leach &amp; Walker 2011, 2013)</v>
          </cell>
          <cell r="G7325" t="str">
            <v>NBNSYS0000002952</v>
          </cell>
          <cell r="H7325" t="str">
            <v>Polygala amarella</v>
          </cell>
        </row>
        <row r="7326">
          <cell r="A7326" t="str">
            <v>Polygala calcarea</v>
          </cell>
          <cell r="B7326" t="str">
            <v>Vascular plants</v>
          </cell>
          <cell r="C7326" t="str">
            <v>Tracheophyta</v>
          </cell>
          <cell r="D7326" t="str">
            <v>Polygala calcarea</v>
          </cell>
          <cell r="E7326" t="str">
            <v>LC</v>
          </cell>
          <cell r="F7326" t="str">
            <v>in Stroh et al., 2014 (from: Cheffings &amp; Farrell 2005 or subsequent amendments in Leach 2007, 2010; Leach &amp; Walker 2011, 2013)</v>
          </cell>
          <cell r="G7326" t="str">
            <v>NHMSYS0000461830</v>
          </cell>
          <cell r="H7326" t="str">
            <v>Polygala calcarea</v>
          </cell>
        </row>
        <row r="7327">
          <cell r="A7327" t="str">
            <v>Polygala serpyllifolia</v>
          </cell>
          <cell r="B7327" t="str">
            <v>Vascular plants</v>
          </cell>
          <cell r="C7327" t="str">
            <v>Tracheophyta</v>
          </cell>
          <cell r="D7327" t="str">
            <v>Polygala serpyllifolia</v>
          </cell>
          <cell r="E7327" t="str">
            <v>LC</v>
          </cell>
          <cell r="F7327" t="str">
            <v>in Stroh et al., 2014 (from: Cheffings &amp; Farrell 2005 or subsequent amendments in Leach 2007, 2010; Leach &amp; Walker 2011, 2013)</v>
          </cell>
          <cell r="G7327" t="str">
            <v>NHMSYS0000461832</v>
          </cell>
          <cell r="H7327" t="str">
            <v>Polygala serpyllifolia</v>
          </cell>
        </row>
        <row r="7328">
          <cell r="A7328" t="str">
            <v>Polygala vulgaris</v>
          </cell>
          <cell r="B7328" t="str">
            <v>Vascular plants</v>
          </cell>
          <cell r="C7328" t="str">
            <v>Tracheophyta</v>
          </cell>
          <cell r="D7328" t="str">
            <v>Polygala vulgaris</v>
          </cell>
          <cell r="E7328" t="str">
            <v>LC</v>
          </cell>
          <cell r="F7328" t="str">
            <v>in Stroh et al., 2014 (from: Cheffings &amp; Farrell 2005 or subsequent amendments in Leach 2007, 2010; Leach &amp; Walker 2011, 2013)</v>
          </cell>
          <cell r="G7328" t="str">
            <v>NBNSYS0000002949</v>
          </cell>
          <cell r="H7328" t="str">
            <v>Polygala vulgaris</v>
          </cell>
        </row>
        <row r="7329">
          <cell r="A7329" t="str">
            <v>Polygonatum multiflorum</v>
          </cell>
          <cell r="B7329" t="str">
            <v>Vascular plants</v>
          </cell>
          <cell r="C7329" t="str">
            <v>Tracheophyta</v>
          </cell>
          <cell r="D7329" t="str">
            <v>Polygonatum multiflorum</v>
          </cell>
          <cell r="E7329" t="str">
            <v>LC</v>
          </cell>
          <cell r="F7329" t="str">
            <v>in Stroh et al., 2014 (from: Cheffings &amp; Farrell 2005 or subsequent amendments in Leach 2007, 2010; Leach &amp; Walker 2011, 2013)</v>
          </cell>
          <cell r="G7329" t="str">
            <v>NBNSYS0000002164</v>
          </cell>
          <cell r="H7329" t="str">
            <v>Polygonatum multiflorum</v>
          </cell>
        </row>
        <row r="7330">
          <cell r="A7330" t="str">
            <v>Polygonatum odoratum</v>
          </cell>
          <cell r="B7330" t="str">
            <v>Vascular plants</v>
          </cell>
          <cell r="C7330" t="str">
            <v>Tracheophyta</v>
          </cell>
          <cell r="D7330" t="str">
            <v>Polygonatum odoratum</v>
          </cell>
          <cell r="E7330" t="str">
            <v>LC</v>
          </cell>
          <cell r="F7330" t="str">
            <v>in Stroh et al., 2014 (from: Cheffings &amp; Farrell 2005 or subsequent amendments in Leach 2007, 2010; Leach &amp; Walker 2011, 2013)</v>
          </cell>
          <cell r="G7330" t="str">
            <v>NHMSYS0000461838</v>
          </cell>
          <cell r="H7330" t="str">
            <v>Polygonatum odoratum</v>
          </cell>
        </row>
        <row r="7331">
          <cell r="A7331" t="str">
            <v>Polygonatum verticillatum</v>
          </cell>
          <cell r="B7331" t="str">
            <v>Vascular plants</v>
          </cell>
          <cell r="C7331" t="str">
            <v>Tracheophyta</v>
          </cell>
          <cell r="D7331" t="str">
            <v>Polygonatum verticillatum</v>
          </cell>
          <cell r="E7331" t="str">
            <v>VU</v>
          </cell>
          <cell r="F7331" t="str">
            <v>in Stroh et al., 2014 (from: Cheffings &amp; Farrell 2005 or subsequent amendments in Leach 2007, 2010; Leach &amp; Walker 2011, 2013)</v>
          </cell>
          <cell r="G7331" t="str">
            <v>NBNSYS0000002162</v>
          </cell>
          <cell r="H7331" t="str">
            <v>Polygonatum verticillatum</v>
          </cell>
        </row>
        <row r="7332">
          <cell r="A7332" t="str">
            <v>Polygonum aviculare</v>
          </cell>
          <cell r="B7332" t="str">
            <v>Vascular plants</v>
          </cell>
          <cell r="C7332" t="str">
            <v>Tracheophyta</v>
          </cell>
          <cell r="D7332" t="str">
            <v>Polygonum aviculare</v>
          </cell>
          <cell r="E7332" t="str">
            <v>LC</v>
          </cell>
          <cell r="F7332" t="str">
            <v>in Stroh et al., 2014 (from: Cheffings &amp; Farrell 2005 or subsequent amendments in Leach 2007, 2010; Leach &amp; Walker 2011, 2013)</v>
          </cell>
          <cell r="G7332" t="str">
            <v>NHMSYS0000455480</v>
          </cell>
          <cell r="H7332" t="str">
            <v>Polygonum aviculare</v>
          </cell>
        </row>
        <row r="7333">
          <cell r="A7333" t="str">
            <v>Polygonum maritimum</v>
          </cell>
          <cell r="B7333" t="str">
            <v>Vascular plants</v>
          </cell>
          <cell r="C7333" t="str">
            <v>Tracheophyta</v>
          </cell>
          <cell r="D7333" t="str">
            <v>Polygonum maritimum</v>
          </cell>
          <cell r="E7333" t="str">
            <v>VU</v>
          </cell>
          <cell r="F7333" t="str">
            <v>in Stroh et al., 2014 (from: Cheffings &amp; Farrell 2005 or subsequent amendments in Leach 2007, 2010; Leach &amp; Walker 2011, 2013)</v>
          </cell>
          <cell r="G7333" t="str">
            <v>NBNSYS0000003747</v>
          </cell>
          <cell r="H7333" t="str">
            <v>Polygonum maritimum</v>
          </cell>
        </row>
        <row r="7334">
          <cell r="A7334" t="str">
            <v>Polygonum oxyspermum</v>
          </cell>
          <cell r="B7334" t="str">
            <v>Vascular plants</v>
          </cell>
          <cell r="C7334" t="str">
            <v>Tracheophyta</v>
          </cell>
          <cell r="D7334" t="str">
            <v>Polygonum oxyspermum</v>
          </cell>
          <cell r="E7334" t="str">
            <v>LC</v>
          </cell>
          <cell r="F7334" t="str">
            <v>in Stroh et al., 2014 (from: Cheffings &amp; Farrell 2005 or subsequent amendments in Leach 2007, 2010; Leach &amp; Walker 2011, 2013)</v>
          </cell>
          <cell r="G7334" t="str">
            <v>NHMSYS0000461871</v>
          </cell>
          <cell r="H7334" t="str">
            <v>Polygonum oxyspermum</v>
          </cell>
        </row>
        <row r="7335">
          <cell r="A7335" t="str">
            <v>Polypodium cambricum</v>
          </cell>
          <cell r="B7335" t="str">
            <v>Vascular plants</v>
          </cell>
          <cell r="C7335" t="str">
            <v>Tracheophyta</v>
          </cell>
          <cell r="D7335" t="str">
            <v>Polypodium cambricum</v>
          </cell>
          <cell r="E7335" t="str">
            <v>LC</v>
          </cell>
          <cell r="F7335" t="str">
            <v>in Stroh et al., 2014 (from: Cheffings &amp; Farrell 2005 or subsequent amendments in Leach 2007, 2010; Leach &amp; Walker 2011, 2013)</v>
          </cell>
          <cell r="G7335" t="str">
            <v>NBNSYS0000002086</v>
          </cell>
          <cell r="H7335" t="str">
            <v>Polypodium cambricum</v>
          </cell>
        </row>
        <row r="7336">
          <cell r="A7336" t="str">
            <v>Polypodium interjectum</v>
          </cell>
          <cell r="B7336" t="str">
            <v>Vascular plants</v>
          </cell>
          <cell r="C7336" t="str">
            <v>Tracheophyta</v>
          </cell>
          <cell r="D7336" t="str">
            <v>Polypodium interjectum</v>
          </cell>
          <cell r="E7336" t="str">
            <v>LC</v>
          </cell>
          <cell r="F7336" t="str">
            <v>in Stroh et al., 2014 (from: Cheffings &amp; Farrell 2005 or subsequent amendments in Leach 2007, 2010; Leach &amp; Walker 2011, 2013)</v>
          </cell>
          <cell r="G7336" t="str">
            <v>NBNSYS0000002088</v>
          </cell>
          <cell r="H7336" t="str">
            <v>Polypodium interjectum</v>
          </cell>
        </row>
        <row r="7337">
          <cell r="A7337" t="str">
            <v>Polypodium vulgare</v>
          </cell>
          <cell r="B7337" t="str">
            <v>Vascular plants</v>
          </cell>
          <cell r="C7337" t="str">
            <v>Tracheophyta</v>
          </cell>
          <cell r="D7337" t="str">
            <v>Polypodium vulgare</v>
          </cell>
          <cell r="E7337" t="str">
            <v>LC</v>
          </cell>
          <cell r="F7337" t="str">
            <v>in Stroh et al., 2014 (from: Cheffings &amp; Farrell 2005 or subsequent amendments in Leach 2007, 2010; Leach &amp; Walker 2011, 2013)</v>
          </cell>
          <cell r="G7337" t="str">
            <v>NBNSYS0000002087</v>
          </cell>
          <cell r="H7337" t="str">
            <v>Polypodium vulgare</v>
          </cell>
        </row>
        <row r="7338">
          <cell r="A7338" t="str">
            <v>Polypogon monspeliensis</v>
          </cell>
          <cell r="B7338" t="str">
            <v>Vascular plants</v>
          </cell>
          <cell r="C7338" t="str">
            <v>Tracheophyta</v>
          </cell>
          <cell r="D7338" t="str">
            <v>Polypogon monspeliensis</v>
          </cell>
          <cell r="E7338" t="str">
            <v>LC</v>
          </cell>
          <cell r="F7338" t="str">
            <v>in Stroh et al., 2014 (from: Cheffings &amp; Farrell 2005 or subsequent amendments in Leach 2007, 2010; Leach &amp; Walker 2011, 2013)</v>
          </cell>
          <cell r="G7338" t="str">
            <v>NHMSYS0000461936</v>
          </cell>
          <cell r="H7338" t="str">
            <v>Polypogon monspeliensis</v>
          </cell>
        </row>
        <row r="7339">
          <cell r="A7339" t="str">
            <v>Polystichum aculeatum</v>
          </cell>
          <cell r="B7339" t="str">
            <v>Vascular plants</v>
          </cell>
          <cell r="C7339" t="str">
            <v>Tracheophyta</v>
          </cell>
          <cell r="D7339" t="str">
            <v>Polystichum aculeatum</v>
          </cell>
          <cell r="E7339" t="str">
            <v>LC</v>
          </cell>
          <cell r="F7339" t="str">
            <v>in Stroh et al., 2014 (from: Cheffings &amp; Farrell 2005 or subsequent amendments in Leach 2007, 2010; Leach &amp; Walker 2011, 2013)</v>
          </cell>
          <cell r="G7339" t="str">
            <v>NBNSYS0000002074</v>
          </cell>
          <cell r="H7339" t="str">
            <v>Polystichum aculeatum</v>
          </cell>
        </row>
        <row r="7340">
          <cell r="A7340" t="str">
            <v>Polystichum lonchitis</v>
          </cell>
          <cell r="B7340" t="str">
            <v>Vascular plants</v>
          </cell>
          <cell r="C7340" t="str">
            <v>Tracheophyta</v>
          </cell>
          <cell r="D7340" t="str">
            <v>Polystichum lonchitis</v>
          </cell>
          <cell r="E7340" t="str">
            <v>VU</v>
          </cell>
          <cell r="F7340" t="str">
            <v>in Stroh et al., 2014 (from: Cheffings &amp; Farrell 2005 or subsequent amendments in Leach 2007, 2010; Leach &amp; Walker 2011, 2013)</v>
          </cell>
          <cell r="G7340" t="str">
            <v>NBNSYS0000002077</v>
          </cell>
          <cell r="H7340" t="str">
            <v>Polystichum lonchitis</v>
          </cell>
        </row>
        <row r="7341">
          <cell r="A7341" t="str">
            <v>Polystichum setiferum</v>
          </cell>
          <cell r="B7341" t="str">
            <v>Vascular plants</v>
          </cell>
          <cell r="C7341" t="str">
            <v>Tracheophyta</v>
          </cell>
          <cell r="D7341" t="str">
            <v>Polystichum setiferum</v>
          </cell>
          <cell r="E7341" t="str">
            <v>LC</v>
          </cell>
          <cell r="F7341" t="str">
            <v>in Stroh et al., 2014 (from: Cheffings &amp; Farrell 2005 or subsequent amendments in Leach 2007, 2010; Leach &amp; Walker 2011, 2013)</v>
          </cell>
          <cell r="G7341" t="str">
            <v>NHMSYS0000461949</v>
          </cell>
          <cell r="H7341" t="str">
            <v>Polystichum setiferum</v>
          </cell>
        </row>
        <row r="7342">
          <cell r="A7342" t="str">
            <v>Populus nigra </v>
          </cell>
          <cell r="B7342" t="str">
            <v>Vascular plants</v>
          </cell>
          <cell r="C7342" t="str">
            <v>Tracheophyta</v>
          </cell>
          <cell r="D7342" t="str">
            <v>Populus nigra</v>
          </cell>
          <cell r="E7342" t="str">
            <v>LC</v>
          </cell>
          <cell r="F7342" t="str">
            <v>in Stroh et al., 2014 (from: Cheffings &amp; Farrell 2005 or subsequent amendments in Leach 2007, 2010; Leach &amp; Walker 2011, 2013)</v>
          </cell>
          <cell r="G7342" t="str">
            <v>NHMSYS0000345555</v>
          </cell>
          <cell r="H7342" t="str">
            <v>Populus nigra </v>
          </cell>
        </row>
        <row r="7343">
          <cell r="A7343" t="str">
            <v>Populus tremula</v>
          </cell>
          <cell r="B7343" t="str">
            <v>Vascular plants</v>
          </cell>
          <cell r="C7343" t="str">
            <v>Tracheophyta</v>
          </cell>
          <cell r="D7343" t="str">
            <v>Populus tremula</v>
          </cell>
          <cell r="E7343" t="str">
            <v>LC</v>
          </cell>
          <cell r="F7343" t="str">
            <v>in Stroh et al., 2014 (from: Cheffings &amp; Farrell 2005 or subsequent amendments in Leach 2007, 2010; Leach &amp; Walker 2011, 2013)</v>
          </cell>
          <cell r="G7343" t="str">
            <v>NBNSYS0000003851</v>
          </cell>
          <cell r="H7343" t="str">
            <v>Populus tremula</v>
          </cell>
        </row>
        <row r="7344">
          <cell r="A7344" t="str">
            <v>Potamogeton acutifolius</v>
          </cell>
          <cell r="B7344" t="str">
            <v>Vascular plants</v>
          </cell>
          <cell r="C7344" t="str">
            <v>Tracheophyta</v>
          </cell>
          <cell r="D7344" t="str">
            <v>Potamogeton acutifolius</v>
          </cell>
          <cell r="E7344" t="str">
            <v>CR</v>
          </cell>
          <cell r="F7344" t="str">
            <v>in Stroh et al., 2014 (from: Cheffings &amp; Farrell 2005 or subsequent amendments in Leach 2007, 2010; Leach &amp; Walker 2011, 2013)</v>
          </cell>
          <cell r="G7344" t="str">
            <v>NBNSYS0000002143</v>
          </cell>
          <cell r="H7344" t="str">
            <v>Potamogeton acutifolius</v>
          </cell>
        </row>
        <row r="7345">
          <cell r="A7345" t="str">
            <v>Potamogeton alpinus</v>
          </cell>
          <cell r="B7345" t="str">
            <v>Vascular plants</v>
          </cell>
          <cell r="C7345" t="str">
            <v>Tracheophyta</v>
          </cell>
          <cell r="D7345" t="str">
            <v>Potamogeton alpinus</v>
          </cell>
          <cell r="E7345" t="str">
            <v>LC</v>
          </cell>
          <cell r="F7345" t="str">
            <v>in Stroh et al., 2014 (from: Cheffings &amp; Farrell 2005 or subsequent amendments in Leach 2007, 2010; Leach &amp; Walker 2011, 2013)</v>
          </cell>
          <cell r="G7345" t="str">
            <v>NHMSYS0000461993</v>
          </cell>
          <cell r="H7345" t="str">
            <v>Potamogeton alpinus</v>
          </cell>
        </row>
        <row r="7346">
          <cell r="A7346" t="str">
            <v>Potamogeton berchtoldii</v>
          </cell>
          <cell r="B7346" t="str">
            <v>Vascular plants</v>
          </cell>
          <cell r="C7346" t="str">
            <v>Tracheophyta</v>
          </cell>
          <cell r="D7346" t="str">
            <v>Potamogeton berchtoldii</v>
          </cell>
          <cell r="E7346" t="str">
            <v>LC</v>
          </cell>
          <cell r="F7346" t="str">
            <v>in Stroh et al., 2014 (from: Cheffings &amp; Farrell 2005 or subsequent amendments in Leach 2007, 2010; Leach &amp; Walker 2011, 2013)</v>
          </cell>
          <cell r="G7346" t="str">
            <v>NBNSYS0000002140</v>
          </cell>
          <cell r="H7346" t="str">
            <v>Potamogeton berchtoldii</v>
          </cell>
        </row>
        <row r="7347">
          <cell r="A7347" t="str">
            <v>Potamogeton coloratus</v>
          </cell>
          <cell r="B7347" t="str">
            <v>Vascular plants</v>
          </cell>
          <cell r="C7347" t="str">
            <v>Tracheophyta</v>
          </cell>
          <cell r="D7347" t="str">
            <v>Potamogeton coloratus</v>
          </cell>
          <cell r="E7347" t="str">
            <v>LC</v>
          </cell>
          <cell r="F7347" t="str">
            <v>in Stroh et al., 2014 (from: Cheffings &amp; Farrell 2005 or subsequent amendments in Leach 2007, 2010; Leach &amp; Walker 2011, 2013)</v>
          </cell>
          <cell r="G7347" t="str">
            <v>NBNSYS0000002128</v>
          </cell>
          <cell r="H7347" t="str">
            <v>Potamogeton coloratus</v>
          </cell>
        </row>
        <row r="7348">
          <cell r="A7348" t="str">
            <v>Potamogeton compressus</v>
          </cell>
          <cell r="B7348" t="str">
            <v>Vascular plants</v>
          </cell>
          <cell r="C7348" t="str">
            <v>Tracheophyta</v>
          </cell>
          <cell r="D7348" t="str">
            <v>Potamogeton compressus</v>
          </cell>
          <cell r="E7348" t="str">
            <v>EN</v>
          </cell>
          <cell r="F7348" t="str">
            <v>in Stroh et al., 2014 (from: Cheffings &amp; Farrell 2005 or subsequent amendments in Leach 2007, 2010; Leach &amp; Walker 2011, 2013)</v>
          </cell>
          <cell r="G7348" t="str">
            <v>NBNSYS0000002142</v>
          </cell>
          <cell r="H7348" t="str">
            <v>Potamogeton compressus</v>
          </cell>
        </row>
        <row r="7349">
          <cell r="A7349" t="str">
            <v>Potamogeton crispus</v>
          </cell>
          <cell r="B7349" t="str">
            <v>Vascular plants</v>
          </cell>
          <cell r="C7349" t="str">
            <v>Tracheophyta</v>
          </cell>
          <cell r="D7349" t="str">
            <v>Potamogeton crispus</v>
          </cell>
          <cell r="E7349" t="str">
            <v>LC</v>
          </cell>
          <cell r="F7349" t="str">
            <v>in Stroh et al., 2014 (from: Cheffings &amp; Farrell 2005 or subsequent amendments in Leach 2007, 2010; Leach &amp; Walker 2011, 2013)</v>
          </cell>
          <cell r="G7349" t="str">
            <v>NBNSYS0000002144</v>
          </cell>
          <cell r="H7349" t="str">
            <v>Potamogeton crispus</v>
          </cell>
        </row>
        <row r="7350">
          <cell r="A7350" t="str">
            <v>Potamogeton filiformis</v>
          </cell>
          <cell r="B7350" t="str">
            <v>Vascular plants</v>
          </cell>
          <cell r="C7350" t="str">
            <v>Tracheophyta</v>
          </cell>
          <cell r="D7350" t="str">
            <v>Potamogeton filiformis</v>
          </cell>
          <cell r="E7350" t="str">
            <v>LC</v>
          </cell>
          <cell r="F7350" t="str">
            <v>in Stroh et al., 2014 (from: Cheffings &amp; Farrell 2005 or subsequent amendments in Leach 2007, 2010; Leach &amp; Walker 2011, 2013)</v>
          </cell>
          <cell r="G7350" t="str">
            <v>NBNSYS0000002145</v>
          </cell>
          <cell r="H7350" t="str">
            <v>Potamogeton filiformis</v>
          </cell>
        </row>
        <row r="7351">
          <cell r="A7351" t="str">
            <v>Potamogeton friesii</v>
          </cell>
          <cell r="B7351" t="str">
            <v>Vascular plants</v>
          </cell>
          <cell r="C7351" t="str">
            <v>Tracheophyta</v>
          </cell>
          <cell r="D7351" t="str">
            <v>Potamogeton friesii</v>
          </cell>
          <cell r="E7351" t="str">
            <v>NT</v>
          </cell>
          <cell r="F7351" t="str">
            <v>in Stroh et al., 2014 (from: Cheffings &amp; Farrell 2005 or subsequent amendments in Leach 2007, 2010; Leach &amp; Walker 2011, 2013)</v>
          </cell>
          <cell r="G7351" t="str">
            <v>NBNSYS0000002136</v>
          </cell>
          <cell r="H7351" t="str">
            <v>Potamogeton friesii</v>
          </cell>
        </row>
        <row r="7352">
          <cell r="A7352" t="str">
            <v>Potamogeton gramineus</v>
          </cell>
          <cell r="B7352" t="str">
            <v>Vascular plants</v>
          </cell>
          <cell r="C7352" t="str">
            <v>Tracheophyta</v>
          </cell>
          <cell r="D7352" t="str">
            <v>Potamogeton gramineus</v>
          </cell>
          <cell r="E7352" t="str">
            <v>LC</v>
          </cell>
          <cell r="F7352" t="str">
            <v>in Stroh et al., 2014 (from: Cheffings &amp; Farrell 2005 or subsequent amendments in Leach 2007, 2010; Leach &amp; Walker 2011, 2013)</v>
          </cell>
          <cell r="G7352" t="str">
            <v>NBNSYS0000002131</v>
          </cell>
          <cell r="H7352" t="str">
            <v>Potamogeton gramineus</v>
          </cell>
        </row>
        <row r="7353">
          <cell r="A7353" t="str">
            <v>Potamogeton lucens</v>
          </cell>
          <cell r="B7353" t="str">
            <v>Vascular plants</v>
          </cell>
          <cell r="C7353" t="str">
            <v>Tracheophyta</v>
          </cell>
          <cell r="D7353" t="str">
            <v>Potamogeton lucens</v>
          </cell>
          <cell r="E7353" t="str">
            <v>LC</v>
          </cell>
          <cell r="F7353" t="str">
            <v>in Stroh et al., 2014 (from: Cheffings &amp; Farrell 2005 or subsequent amendments in Leach 2007, 2010; Leach &amp; Walker 2011, 2013)</v>
          </cell>
          <cell r="G7353" t="str">
            <v>NBNSYS0000002130</v>
          </cell>
          <cell r="H7353" t="str">
            <v>Potamogeton lucens</v>
          </cell>
        </row>
        <row r="7354">
          <cell r="A7354" t="str">
            <v>Potamogeton natans</v>
          </cell>
          <cell r="B7354" t="str">
            <v>Vascular plants</v>
          </cell>
          <cell r="C7354" t="str">
            <v>Tracheophyta</v>
          </cell>
          <cell r="D7354" t="str">
            <v>Potamogeton natans</v>
          </cell>
          <cell r="E7354" t="str">
            <v>LC</v>
          </cell>
          <cell r="F7354" t="str">
            <v>in Stroh et al., 2014 (from: Cheffings &amp; Farrell 2005 or subsequent amendments in Leach 2007, 2010; Leach &amp; Walker 2011, 2013)</v>
          </cell>
          <cell r="G7354" t="str">
            <v>NBNSYS0000002126</v>
          </cell>
          <cell r="H7354" t="str">
            <v>Potamogeton natans</v>
          </cell>
        </row>
        <row r="7355">
          <cell r="A7355" t="str">
            <v>Potamogeton nodosus</v>
          </cell>
          <cell r="B7355" t="str">
            <v>Vascular plants</v>
          </cell>
          <cell r="C7355" t="str">
            <v>Tracheophyta</v>
          </cell>
          <cell r="D7355" t="str">
            <v>Potamogeton nodosus</v>
          </cell>
          <cell r="E7355" t="str">
            <v>VU</v>
          </cell>
          <cell r="F7355" t="str">
            <v>in Stroh et al., 2014 (from: Cheffings &amp; Farrell 2005 or subsequent amendments in Leach 2007, 2010; Leach &amp; Walker 2011, 2013)</v>
          </cell>
          <cell r="G7355" t="str">
            <v>NHMSYS0000461996</v>
          </cell>
          <cell r="H7355" t="str">
            <v>Potamogeton nodosus</v>
          </cell>
        </row>
        <row r="7356">
          <cell r="A7356" t="str">
            <v>Potamogeton obtusifolius</v>
          </cell>
          <cell r="B7356" t="str">
            <v>Vascular plants</v>
          </cell>
          <cell r="C7356" t="str">
            <v>Tracheophyta</v>
          </cell>
          <cell r="D7356" t="str">
            <v>Potamogeton obtusifolius</v>
          </cell>
          <cell r="E7356" t="str">
            <v>LC</v>
          </cell>
          <cell r="F7356" t="str">
            <v>in Stroh et al., 2014 (from: Cheffings &amp; Farrell 2005 or subsequent amendments in Leach 2007, 2010; Leach &amp; Walker 2011, 2013)</v>
          </cell>
          <cell r="G7356" t="str">
            <v>NHMSYS0000461997</v>
          </cell>
          <cell r="H7356" t="str">
            <v>Potamogeton obtusifolius</v>
          </cell>
        </row>
        <row r="7357">
          <cell r="A7357" t="str">
            <v>Potamogeton pectinatus</v>
          </cell>
          <cell r="B7357" t="str">
            <v>Vascular plants</v>
          </cell>
          <cell r="C7357" t="str">
            <v>Tracheophyta</v>
          </cell>
          <cell r="D7357" t="str">
            <v>Potamogeton pectinatus</v>
          </cell>
          <cell r="E7357" t="str">
            <v>LC</v>
          </cell>
          <cell r="F7357" t="str">
            <v>in Stroh et al., 2014 (from: Cheffings &amp; Farrell 2005 or subsequent amendments in Leach 2007, 2010; Leach &amp; Walker 2011, 2013)</v>
          </cell>
          <cell r="G7357" t="str">
            <v>NBNSYS0000002146</v>
          </cell>
          <cell r="H7357" t="str">
            <v>Potamogeton pectinatus</v>
          </cell>
        </row>
        <row r="7358">
          <cell r="A7358" t="str">
            <v>Potamogeton perfoliatus</v>
          </cell>
          <cell r="B7358" t="str">
            <v>Vascular plants</v>
          </cell>
          <cell r="C7358" t="str">
            <v>Tracheophyta</v>
          </cell>
          <cell r="D7358" t="str">
            <v>Potamogeton perfoliatus</v>
          </cell>
          <cell r="E7358" t="str">
            <v>LC</v>
          </cell>
          <cell r="F7358" t="str">
            <v>in Stroh et al., 2014 (from: Cheffings &amp; Farrell 2005 or subsequent amendments in Leach 2007, 2010; Leach &amp; Walker 2011, 2013)</v>
          </cell>
          <cell r="G7358" t="str">
            <v>NBNSYS0000002134</v>
          </cell>
          <cell r="H7358" t="str">
            <v>Potamogeton perfoliatus</v>
          </cell>
        </row>
        <row r="7359">
          <cell r="A7359" t="str">
            <v>Potamogeton polygonifolius</v>
          </cell>
          <cell r="B7359" t="str">
            <v>Vascular plants</v>
          </cell>
          <cell r="C7359" t="str">
            <v>Tracheophyta</v>
          </cell>
          <cell r="D7359" t="str">
            <v>Potamogeton polygonifolius</v>
          </cell>
          <cell r="E7359" t="str">
            <v>LC</v>
          </cell>
          <cell r="F7359" t="str">
            <v>in Stroh et al., 2014 (from: Cheffings &amp; Farrell 2005 or subsequent amendments in Leach 2007, 2010; Leach &amp; Walker 2011, 2013)</v>
          </cell>
          <cell r="G7359" t="str">
            <v>NHMSYS0000461999</v>
          </cell>
          <cell r="H7359" t="str">
            <v>Potamogeton polygonifolius</v>
          </cell>
        </row>
        <row r="7360">
          <cell r="A7360" t="str">
            <v>Potamogeton praelongus</v>
          </cell>
          <cell r="B7360" t="str">
            <v>Vascular plants</v>
          </cell>
          <cell r="C7360" t="str">
            <v>Tracheophyta</v>
          </cell>
          <cell r="D7360" t="str">
            <v>Potamogeton praelongus</v>
          </cell>
          <cell r="E7360" t="str">
            <v>NT</v>
          </cell>
          <cell r="F7360" t="str">
            <v>in Stroh et al., 2014 (from: Cheffings &amp; Farrell 2005 or subsequent amendments in Leach 2007, 2010; Leach &amp; Walker 2011, 2013)</v>
          </cell>
          <cell r="G7360" t="str">
            <v>NBNSYS0000002133</v>
          </cell>
          <cell r="H7360" t="str">
            <v>Potamogeton praelongus</v>
          </cell>
        </row>
        <row r="7361">
          <cell r="A7361" t="str">
            <v>Potamogeton pusillus</v>
          </cell>
          <cell r="B7361" t="str">
            <v>Vascular plants</v>
          </cell>
          <cell r="C7361" t="str">
            <v>Tracheophyta</v>
          </cell>
          <cell r="D7361" t="str">
            <v>Potamogeton pusillus</v>
          </cell>
          <cell r="E7361" t="str">
            <v>LC</v>
          </cell>
          <cell r="F7361" t="str">
            <v>in Stroh et al., 2014 (from: Cheffings &amp; Farrell 2005 or subsequent amendments in Leach 2007, 2010; Leach &amp; Walker 2011, 2013)</v>
          </cell>
          <cell r="G7361" t="str">
            <v>NBNSYS0000002138</v>
          </cell>
          <cell r="H7361" t="str">
            <v>Potamogeton pusillus</v>
          </cell>
        </row>
        <row r="7362">
          <cell r="A7362" t="str">
            <v>Potamogeton trichoides</v>
          </cell>
          <cell r="B7362" t="str">
            <v>Vascular plants</v>
          </cell>
          <cell r="C7362" t="str">
            <v>Tracheophyta</v>
          </cell>
          <cell r="D7362" t="str">
            <v>Potamogeton trichoides</v>
          </cell>
          <cell r="E7362" t="str">
            <v>LC</v>
          </cell>
          <cell r="F7362" t="str">
            <v>in Stroh et al., 2014 (from: Cheffings &amp; Farrell 2005 or subsequent amendments in Leach 2007, 2010; Leach &amp; Walker 2011, 2013)</v>
          </cell>
          <cell r="G7362" t="str">
            <v>NHMSYS0000462003</v>
          </cell>
          <cell r="H7362" t="str">
            <v>Potamogeton trichoides</v>
          </cell>
        </row>
        <row r="7363">
          <cell r="A7363" t="str">
            <v>Potentilla anglica</v>
          </cell>
          <cell r="B7363" t="str">
            <v>Vascular plants</v>
          </cell>
          <cell r="C7363" t="str">
            <v>Tracheophyta</v>
          </cell>
          <cell r="D7363" t="str">
            <v>Potentilla anglica</v>
          </cell>
          <cell r="E7363" t="str">
            <v>LC</v>
          </cell>
          <cell r="F7363" t="str">
            <v>in Stroh et al., 2014 (from: Cheffings &amp; Farrell 2005 or subsequent amendments in Leach 2007, 2010; Leach &amp; Walker 2011, 2013)</v>
          </cell>
          <cell r="G7363" t="str">
            <v>NHMSYS0000462026</v>
          </cell>
          <cell r="H7363" t="str">
            <v>Potentilla anglica</v>
          </cell>
        </row>
        <row r="7364">
          <cell r="A7364" t="str">
            <v>Potentilla anserina</v>
          </cell>
          <cell r="B7364" t="str">
            <v>Vascular plants</v>
          </cell>
          <cell r="C7364" t="str">
            <v>Tracheophyta</v>
          </cell>
          <cell r="D7364" t="str">
            <v>Potentilla anserina</v>
          </cell>
          <cell r="E7364" t="str">
            <v>LC</v>
          </cell>
          <cell r="F7364" t="str">
            <v>in Stroh et al., 2014 (from: Cheffings &amp; Farrell 2005 or subsequent amendments in Leach 2007, 2010; Leach &amp; Walker 2011, 2013)</v>
          </cell>
          <cell r="G7364" t="str">
            <v>NHMSYS0021060392</v>
          </cell>
          <cell r="H7364" t="str">
            <v>Potentilla anserina</v>
          </cell>
        </row>
        <row r="7365">
          <cell r="A7365" t="str">
            <v>Potentilla argentea</v>
          </cell>
          <cell r="B7365" t="str">
            <v>Vascular plants</v>
          </cell>
          <cell r="C7365" t="str">
            <v>Tracheophyta</v>
          </cell>
          <cell r="D7365" t="str">
            <v>Potentilla argentea</v>
          </cell>
          <cell r="E7365" t="str">
            <v>NT</v>
          </cell>
          <cell r="F7365" t="str">
            <v>in Stroh et al., 2014 (from: Cheffings &amp; Farrell 2005 or subsequent amendments in Leach 2007, 2010; Leach &amp; Walker 2011, 2013)</v>
          </cell>
          <cell r="G7365" t="str">
            <v>NBNSYS0000003342</v>
          </cell>
          <cell r="H7365" t="str">
            <v>Potentilla argentea</v>
          </cell>
        </row>
        <row r="7366">
          <cell r="A7366" t="str">
            <v>Potentilla crantzii</v>
          </cell>
          <cell r="B7366" t="str">
            <v>Vascular plants</v>
          </cell>
          <cell r="C7366" t="str">
            <v>Tracheophyta</v>
          </cell>
          <cell r="D7366" t="str">
            <v>Potentilla crantzii</v>
          </cell>
          <cell r="E7366" t="str">
            <v>LC</v>
          </cell>
          <cell r="F7366" t="str">
            <v>in Stroh et al., 2014 (from: Cheffings &amp; Farrell 2005 or subsequent amendments in Leach 2007, 2010; Leach &amp; Walker 2011, 2013)</v>
          </cell>
          <cell r="G7366" t="str">
            <v>NHMSYS0000462029</v>
          </cell>
          <cell r="H7366" t="str">
            <v>Potentilla crantzii</v>
          </cell>
        </row>
        <row r="7367">
          <cell r="A7367" t="str">
            <v>Potentilla erecta</v>
          </cell>
          <cell r="B7367" t="str">
            <v>Vascular plants</v>
          </cell>
          <cell r="C7367" t="str">
            <v>Tracheophyta</v>
          </cell>
          <cell r="D7367" t="str">
            <v>Potentilla erecta</v>
          </cell>
          <cell r="E7367" t="str">
            <v>LC</v>
          </cell>
          <cell r="F7367" t="str">
            <v>in Stroh et al., 2014 (from: Cheffings &amp; Farrell 2005 or subsequent amendments in Leach 2007, 2010; Leach &amp; Walker 2011, 2013)</v>
          </cell>
          <cell r="G7367" t="str">
            <v>NBNSYS0000003349</v>
          </cell>
          <cell r="H7367" t="str">
            <v>Potentilla erecta</v>
          </cell>
        </row>
        <row r="7368">
          <cell r="A7368" t="str">
            <v>Potentilla fruticosa</v>
          </cell>
          <cell r="B7368" t="str">
            <v>Vascular plants</v>
          </cell>
          <cell r="C7368" t="str">
            <v>Tracheophyta</v>
          </cell>
          <cell r="D7368" t="str">
            <v>Potentilla fruticosa</v>
          </cell>
          <cell r="E7368" t="str">
            <v>NT</v>
          </cell>
          <cell r="F7368" t="str">
            <v>in Stroh et al., 2014 (from: Cheffings &amp; Farrell 2005 or subsequent amendments in Leach 2007, 2010; Leach &amp; Walker 2011, 2013)</v>
          </cell>
          <cell r="G7368" t="str">
            <v>NBNSYS0000003337</v>
          </cell>
          <cell r="H7368" t="str">
            <v>Potentilla fruticosa</v>
          </cell>
        </row>
        <row r="7369">
          <cell r="A7369" t="str">
            <v>Potentilla reptans</v>
          </cell>
          <cell r="B7369" t="str">
            <v>Vascular plants</v>
          </cell>
          <cell r="C7369" t="str">
            <v>Tracheophyta</v>
          </cell>
          <cell r="D7369" t="str">
            <v>Potentilla reptans</v>
          </cell>
          <cell r="E7369" t="str">
            <v>LC</v>
          </cell>
          <cell r="F7369" t="str">
            <v>in Stroh et al., 2014 (from: Cheffings &amp; Farrell 2005 or subsequent amendments in Leach 2007, 2010; Leach &amp; Walker 2011, 2013)</v>
          </cell>
          <cell r="G7369" t="str">
            <v>NBNSYS0000003354</v>
          </cell>
          <cell r="H7369" t="str">
            <v>Potentilla reptans</v>
          </cell>
        </row>
        <row r="7370">
          <cell r="A7370" t="str">
            <v>Potentilla sterilis</v>
          </cell>
          <cell r="B7370" t="str">
            <v>Vascular plants</v>
          </cell>
          <cell r="C7370" t="str">
            <v>Tracheophyta</v>
          </cell>
          <cell r="D7370" t="str">
            <v>Potentilla sterilis</v>
          </cell>
          <cell r="E7370" t="str">
            <v>LC</v>
          </cell>
          <cell r="F7370" t="str">
            <v>in Stroh et al., 2014 (from: Cheffings &amp; Farrell 2005 or subsequent amendments in Leach 2007, 2010; Leach &amp; Walker 2011, 2013)</v>
          </cell>
          <cell r="G7370" t="str">
            <v>NBNSYS0000003339</v>
          </cell>
          <cell r="H7370" t="str">
            <v>Potentilla sterilis</v>
          </cell>
        </row>
        <row r="7371">
          <cell r="A7371" t="str">
            <v>Potentilla tabernaemontani</v>
          </cell>
          <cell r="B7371" t="str">
            <v>Vascular plants</v>
          </cell>
          <cell r="C7371" t="str">
            <v>Tracheophyta</v>
          </cell>
          <cell r="D7371" t="str">
            <v>Potentilla tabernaemontani</v>
          </cell>
          <cell r="E7371" t="str">
            <v>LC</v>
          </cell>
          <cell r="F7371" t="str">
            <v>in Stroh et al., 2014 (from: Cheffings &amp; Farrell 2005 or subsequent amendments in Leach 2007, 2010; Leach &amp; Walker 2011, 2013)</v>
          </cell>
          <cell r="G7371" t="str">
            <v>NHMSYS0000455482</v>
          </cell>
          <cell r="H7371" t="str">
            <v>Potentilla tabernaemontani</v>
          </cell>
        </row>
        <row r="7372">
          <cell r="A7372" t="str">
            <v>Poterium sanguisorba</v>
          </cell>
          <cell r="B7372" t="str">
            <v>Vascular plants</v>
          </cell>
          <cell r="C7372" t="str">
            <v>Tracheophyta</v>
          </cell>
          <cell r="D7372" t="str">
            <v>Poterium sanguisorba</v>
          </cell>
          <cell r="E7372" t="str">
            <v>LC</v>
          </cell>
          <cell r="F7372" t="str">
            <v>in Stroh et al., 2014 (from: Cheffings &amp; Farrell 2005 or subsequent amendments in Leach 2007, 2010; Leach &amp; Walker 2011, 2013)</v>
          </cell>
          <cell r="G7372" t="str">
            <v>NHMSYS0000462046</v>
          </cell>
          <cell r="H7372" t="str">
            <v>Poterium sanguisorba</v>
          </cell>
        </row>
        <row r="7373">
          <cell r="A7373" t="str">
            <v>Primula elatior</v>
          </cell>
          <cell r="B7373" t="str">
            <v>Vascular plants</v>
          </cell>
          <cell r="C7373" t="str">
            <v>Tracheophyta</v>
          </cell>
          <cell r="D7373" t="str">
            <v>Primula elatior</v>
          </cell>
          <cell r="E7373" t="str">
            <v>NT</v>
          </cell>
          <cell r="F7373" t="str">
            <v>in Stroh et al., 2014 (from: Cheffings &amp; Farrell 2005 or subsequent amendments in Leach 2007, 2010; Leach &amp; Walker 2011, 2013)</v>
          </cell>
          <cell r="G7373" t="str">
            <v>NBNSYS0000003928</v>
          </cell>
          <cell r="H7373" t="str">
            <v>Primula elatior</v>
          </cell>
        </row>
        <row r="7374">
          <cell r="A7374" t="str">
            <v>Primula farinosa</v>
          </cell>
          <cell r="B7374" t="str">
            <v>Vascular plants</v>
          </cell>
          <cell r="C7374" t="str">
            <v>Tracheophyta</v>
          </cell>
          <cell r="D7374" t="str">
            <v>Primula farinosa</v>
          </cell>
          <cell r="E7374" t="str">
            <v>VU</v>
          </cell>
          <cell r="F7374" t="str">
            <v>in Stroh et al., 2014 (from: Cheffings &amp; Farrell 2005 or subsequent amendments in Leach 2007, 2010; Leach &amp; Walker 2011, 2013)</v>
          </cell>
          <cell r="G7374" t="str">
            <v>NBNSYS0000003924</v>
          </cell>
          <cell r="H7374" t="str">
            <v>Primula farinosa</v>
          </cell>
        </row>
        <row r="7375">
          <cell r="A7375" t="str">
            <v>Primula veris</v>
          </cell>
          <cell r="B7375" t="str">
            <v>Vascular plants</v>
          </cell>
          <cell r="C7375" t="str">
            <v>Tracheophyta</v>
          </cell>
          <cell r="D7375" t="str">
            <v>Primula veris</v>
          </cell>
          <cell r="E7375" t="str">
            <v>LC</v>
          </cell>
          <cell r="F7375" t="str">
            <v>in Stroh et al., 2014 (from: Cheffings &amp; Farrell 2005 or subsequent amendments in Leach 2007, 2010; Leach &amp; Walker 2011, 2013)</v>
          </cell>
          <cell r="G7375" t="str">
            <v>NBNSYS0000003926</v>
          </cell>
          <cell r="H7375" t="str">
            <v>Primula veris</v>
          </cell>
        </row>
        <row r="7376">
          <cell r="A7376" t="str">
            <v>Primula vulgaris</v>
          </cell>
          <cell r="B7376" t="str">
            <v>Vascular plants</v>
          </cell>
          <cell r="C7376" t="str">
            <v>Tracheophyta</v>
          </cell>
          <cell r="D7376" t="str">
            <v>Primula vulgaris</v>
          </cell>
          <cell r="E7376" t="str">
            <v>LC</v>
          </cell>
          <cell r="F7376" t="str">
            <v>in Stroh et al., 2014 (from: Cheffings &amp; Farrell 2005 or subsequent amendments in Leach 2007, 2010; Leach &amp; Walker 2011, 2013)</v>
          </cell>
          <cell r="G7376" t="str">
            <v>NHMSYS0000462067</v>
          </cell>
          <cell r="H7376" t="str">
            <v>Primula vulgaris</v>
          </cell>
        </row>
        <row r="7377">
          <cell r="A7377" t="str">
            <v>Prunella vulgaris</v>
          </cell>
          <cell r="B7377" t="str">
            <v>Vascular plants</v>
          </cell>
          <cell r="C7377" t="str">
            <v>Tracheophyta</v>
          </cell>
          <cell r="D7377" t="str">
            <v>Prunella vulgaris</v>
          </cell>
          <cell r="E7377" t="str">
            <v>LC</v>
          </cell>
          <cell r="F7377" t="str">
            <v>in Stroh et al., 2014 (from: Cheffings &amp; Farrell 2005 or subsequent amendments in Leach 2007, 2010; Leach &amp; Walker 2011, 2013)</v>
          </cell>
          <cell r="G7377" t="str">
            <v>NBNSYS0000004225</v>
          </cell>
          <cell r="H7377" t="str">
            <v>Prunella vulgaris</v>
          </cell>
        </row>
        <row r="7378">
          <cell r="A7378" t="str">
            <v>Prunus avium</v>
          </cell>
          <cell r="B7378" t="str">
            <v>Vascular plants</v>
          </cell>
          <cell r="C7378" t="str">
            <v>Tracheophyta</v>
          </cell>
          <cell r="D7378" t="str">
            <v>Prunus avium</v>
          </cell>
          <cell r="E7378" t="str">
            <v>LC</v>
          </cell>
          <cell r="F7378" t="str">
            <v>in Stroh et al., 2014 (from: Cheffings &amp; Farrell 2005 or subsequent amendments in Leach 2007, 2010; Leach &amp; Walker 2011, 2013)</v>
          </cell>
          <cell r="G7378" t="str">
            <v>NBNSYS0000003417</v>
          </cell>
          <cell r="H7378" t="str">
            <v>Prunus avium</v>
          </cell>
        </row>
        <row r="7379">
          <cell r="A7379" t="str">
            <v>Prunus padus</v>
          </cell>
          <cell r="B7379" t="str">
            <v>Vascular plants</v>
          </cell>
          <cell r="C7379" t="str">
            <v>Tracheophyta</v>
          </cell>
          <cell r="D7379" t="str">
            <v>Prunus padus</v>
          </cell>
          <cell r="E7379" t="str">
            <v>LC</v>
          </cell>
          <cell r="F7379" t="str">
            <v>in Stroh et al., 2014 (from: Cheffings &amp; Farrell 2005 or subsequent amendments in Leach 2007, 2010; Leach &amp; Walker 2011, 2013)</v>
          </cell>
          <cell r="G7379" t="str">
            <v>NBNSYS0000003419</v>
          </cell>
          <cell r="H7379" t="str">
            <v>Prunus padus</v>
          </cell>
        </row>
        <row r="7380">
          <cell r="A7380" t="str">
            <v>Prunus spinosa</v>
          </cell>
          <cell r="B7380" t="str">
            <v>Vascular plants</v>
          </cell>
          <cell r="C7380" t="str">
            <v>Tracheophyta</v>
          </cell>
          <cell r="D7380" t="str">
            <v>Prunus spinosa</v>
          </cell>
          <cell r="E7380" t="str">
            <v>LC</v>
          </cell>
          <cell r="F7380" t="str">
            <v>in Stroh et al., 2014 (from: Cheffings &amp; Farrell 2005 or subsequent amendments in Leach 2007, 2010; Leach &amp; Walker 2011, 2013)</v>
          </cell>
          <cell r="G7380" t="str">
            <v>NBNSYS0000003412</v>
          </cell>
          <cell r="H7380" t="str">
            <v>Prunus spinosa</v>
          </cell>
        </row>
        <row r="7381">
          <cell r="A7381" t="str">
            <v>Pseudorchis albida</v>
          </cell>
          <cell r="B7381" t="str">
            <v>Vascular plants</v>
          </cell>
          <cell r="C7381" t="str">
            <v>Tracheophyta</v>
          </cell>
          <cell r="D7381" t="str">
            <v>Pseudorchis albida</v>
          </cell>
          <cell r="E7381" t="str">
            <v>VU</v>
          </cell>
          <cell r="F7381" t="str">
            <v>in Stroh et al., 2014 (from: Cheffings &amp; Farrell 2005 or subsequent amendments in Leach 2007, 2010; Leach &amp; Walker 2011, 2013)</v>
          </cell>
          <cell r="G7381" t="str">
            <v>NHMSYS0000462098</v>
          </cell>
          <cell r="H7381" t="str">
            <v>Pseudorchis albida</v>
          </cell>
        </row>
        <row r="7382">
          <cell r="A7382" t="str">
            <v>Pteridium aquilinum</v>
          </cell>
          <cell r="B7382" t="str">
            <v>Vascular plants</v>
          </cell>
          <cell r="C7382" t="str">
            <v>Tracheophyta</v>
          </cell>
          <cell r="D7382" t="str">
            <v>Pteridium aquilinum</v>
          </cell>
          <cell r="E7382" t="str">
            <v>LC</v>
          </cell>
          <cell r="F7382" t="str">
            <v>in Stroh et al., 2014 (from: Cheffings &amp; Farrell 2005 or subsequent amendments in Leach 2007, 2010; Leach &amp; Walker 2011, 2013)</v>
          </cell>
          <cell r="G7382" t="str">
            <v>NBNSYS0000002031</v>
          </cell>
          <cell r="H7382" t="str">
            <v>Pteridium aquilinum</v>
          </cell>
        </row>
        <row r="7383">
          <cell r="A7383" t="str">
            <v>Puccinellia distans</v>
          </cell>
          <cell r="B7383" t="str">
            <v>Vascular plants</v>
          </cell>
          <cell r="C7383" t="str">
            <v>Tracheophyta</v>
          </cell>
          <cell r="D7383" t="str">
            <v>Puccinellia distans</v>
          </cell>
          <cell r="E7383" t="str">
            <v>LC</v>
          </cell>
          <cell r="F7383" t="str">
            <v>in Stroh et al., 2014 (from: Cheffings &amp; Farrell 2005 or subsequent amendments in Leach 2007, 2010; Leach &amp; Walker 2011, 2013)</v>
          </cell>
          <cell r="G7383" t="str">
            <v>NBNSYS0000002538</v>
          </cell>
          <cell r="H7383" t="str">
            <v>Puccinellia distans</v>
          </cell>
        </row>
        <row r="7384">
          <cell r="A7384" t="str">
            <v>Puccinellia fasciculata</v>
          </cell>
          <cell r="B7384" t="str">
            <v>Vascular plants</v>
          </cell>
          <cell r="C7384" t="str">
            <v>Tracheophyta</v>
          </cell>
          <cell r="D7384" t="str">
            <v>Puccinellia fasciculata</v>
          </cell>
          <cell r="E7384" t="str">
            <v>VU</v>
          </cell>
          <cell r="F7384" t="str">
            <v>in Stroh et al., 2014 (from: Cheffings &amp; Farrell 2005 or subsequent amendments in Leach 2007, 2010; Leach &amp; Walker 2011, 2013)</v>
          </cell>
          <cell r="G7384" t="str">
            <v>NHMSYS0000462134</v>
          </cell>
          <cell r="H7384" t="str">
            <v>Puccinellia fasciculata</v>
          </cell>
        </row>
        <row r="7385">
          <cell r="A7385" t="str">
            <v>Puccinellia maritima</v>
          </cell>
          <cell r="B7385" t="str">
            <v>Vascular plants</v>
          </cell>
          <cell r="C7385" t="str">
            <v>Tracheophyta</v>
          </cell>
          <cell r="D7385" t="str">
            <v>Puccinellia maritima</v>
          </cell>
          <cell r="E7385" t="str">
            <v>LC</v>
          </cell>
          <cell r="F7385" t="str">
            <v>in Stroh et al., 2014 (from: Cheffings &amp; Farrell 2005 or subsequent amendments in Leach 2007, 2010; Leach &amp; Walker 2011, 2013)</v>
          </cell>
          <cell r="G7385" t="str">
            <v>NHMSYS0000462136</v>
          </cell>
          <cell r="H7385" t="str">
            <v>Puccinellia maritima</v>
          </cell>
        </row>
        <row r="7386">
          <cell r="A7386" t="str">
            <v>Puccinellia rupestris</v>
          </cell>
          <cell r="B7386" t="str">
            <v>Vascular plants</v>
          </cell>
          <cell r="C7386" t="str">
            <v>Tracheophyta</v>
          </cell>
          <cell r="D7386" t="str">
            <v>Puccinellia rupestris</v>
          </cell>
          <cell r="E7386" t="str">
            <v>LC</v>
          </cell>
          <cell r="F7386" t="str">
            <v>in Stroh et al., 2014 (from: Cheffings &amp; Farrell 2005 or subsequent amendments in Leach 2007, 2010; Leach &amp; Walker 2011, 2013)</v>
          </cell>
          <cell r="G7386" t="str">
            <v>NHMSYS0000462138</v>
          </cell>
          <cell r="H7386" t="str">
            <v>Puccinellia rupestris</v>
          </cell>
        </row>
        <row r="7387">
          <cell r="A7387" t="str">
            <v>Pulicaria dysenterica</v>
          </cell>
          <cell r="B7387" t="str">
            <v>Vascular plants</v>
          </cell>
          <cell r="C7387" t="str">
            <v>Tracheophyta</v>
          </cell>
          <cell r="D7387" t="str">
            <v>Pulicaria dysenterica</v>
          </cell>
          <cell r="E7387" t="str">
            <v>LC</v>
          </cell>
          <cell r="F7387" t="str">
            <v>in Stroh et al., 2014 (from: Cheffings &amp; Farrell 2005 or subsequent amendments in Leach 2007, 2010; Leach &amp; Walker 2011, 2013)</v>
          </cell>
          <cell r="G7387" t="str">
            <v>NBNSYS0000004401</v>
          </cell>
          <cell r="H7387" t="str">
            <v>Pulicaria dysenterica</v>
          </cell>
        </row>
        <row r="7388">
          <cell r="A7388" t="str">
            <v>Pulicaria vulgaris</v>
          </cell>
          <cell r="B7388" t="str">
            <v>Vascular plants</v>
          </cell>
          <cell r="C7388" t="str">
            <v>Tracheophyta</v>
          </cell>
          <cell r="D7388" t="str">
            <v>Pulicaria vulgaris</v>
          </cell>
          <cell r="E7388" t="str">
            <v>CR</v>
          </cell>
          <cell r="F7388" t="str">
            <v>in Stroh et al., 2014 (from: Cheffings &amp; Farrell 2005 or subsequent amendments in Leach 2007, 2010; Leach &amp; Walker 2011, 2013)</v>
          </cell>
          <cell r="G7388" t="str">
            <v>NHMSYS0000462144</v>
          </cell>
          <cell r="H7388" t="str">
            <v>Pulicaria vulgaris</v>
          </cell>
        </row>
        <row r="7389">
          <cell r="A7389" t="str">
            <v>Pulmonaria longifolia</v>
          </cell>
          <cell r="B7389" t="str">
            <v>Vascular plants</v>
          </cell>
          <cell r="C7389" t="str">
            <v>Tracheophyta</v>
          </cell>
          <cell r="D7389" t="str">
            <v>Pulmonaria longifolia</v>
          </cell>
          <cell r="E7389" t="str">
            <v>LC</v>
          </cell>
          <cell r="F7389" t="str">
            <v>in Stroh et al., 2014 (from: Cheffings &amp; Farrell 2005 or subsequent amendments in Leach 2007, 2010; Leach &amp; Walker 2011, 2013)</v>
          </cell>
          <cell r="G7389" t="str">
            <v>NHMSYS0000462149</v>
          </cell>
          <cell r="H7389" t="str">
            <v>Pulmonaria longifolia</v>
          </cell>
        </row>
        <row r="7390">
          <cell r="A7390" t="str">
            <v>Pulmonaria obscura</v>
          </cell>
          <cell r="B7390" t="str">
            <v>Vascular plants</v>
          </cell>
          <cell r="C7390" t="str">
            <v>Tracheophyta</v>
          </cell>
          <cell r="D7390" t="str">
            <v>Pulmonaria obscura</v>
          </cell>
          <cell r="E7390" t="str">
            <v>EN</v>
          </cell>
          <cell r="F7390" t="str">
            <v>in Stroh et al., 2014 (from: Cheffings &amp; Farrell 2005 or subsequent amendments in Leach 2007, 2010; Leach &amp; Walker 2011, 2013)</v>
          </cell>
          <cell r="G7390" t="str">
            <v>NBNSYS0000039918</v>
          </cell>
          <cell r="H7390" t="str">
            <v>Pulmonaria obscura</v>
          </cell>
        </row>
        <row r="7391">
          <cell r="A7391" t="str">
            <v>Pulsatilla vulgaris</v>
          </cell>
          <cell r="B7391" t="str">
            <v>Vascular plants</v>
          </cell>
          <cell r="C7391" t="str">
            <v>Tracheophyta</v>
          </cell>
          <cell r="D7391" t="str">
            <v>Pulsatilla vulgaris</v>
          </cell>
          <cell r="E7391" t="str">
            <v>VU</v>
          </cell>
          <cell r="F7391" t="str">
            <v>in Stroh et al., 2014 (from: Cheffings &amp; Farrell 2005 or subsequent amendments in Leach 2007, 2010; Leach &amp; Walker 2011, 2013)</v>
          </cell>
          <cell r="G7391" t="str">
            <v>NHMSYS0000462153</v>
          </cell>
          <cell r="H7391" t="str">
            <v>Pulsatilla vulgaris</v>
          </cell>
        </row>
        <row r="7392">
          <cell r="A7392" t="str">
            <v>Pyrola media</v>
          </cell>
          <cell r="B7392" t="str">
            <v>Vascular plants</v>
          </cell>
          <cell r="C7392" t="str">
            <v>Tracheophyta</v>
          </cell>
          <cell r="D7392" t="str">
            <v>Pyrola media</v>
          </cell>
          <cell r="E7392" t="str">
            <v>VU</v>
          </cell>
          <cell r="F7392" t="str">
            <v>in Stroh et al., 2014 (from: Cheffings &amp; Farrell 2005 or subsequent amendments in Leach 2007, 2010; Leach &amp; Walker 2011, 2013)</v>
          </cell>
          <cell r="G7392" t="str">
            <v>NBNSYS0000004591</v>
          </cell>
          <cell r="H7392" t="str">
            <v>Pyrola media</v>
          </cell>
        </row>
        <row r="7393">
          <cell r="A7393" t="str">
            <v>Pyrola minor</v>
          </cell>
          <cell r="B7393" t="str">
            <v>Vascular plants</v>
          </cell>
          <cell r="C7393" t="str">
            <v>Tracheophyta</v>
          </cell>
          <cell r="D7393" t="str">
            <v>Pyrola minor</v>
          </cell>
          <cell r="E7393" t="str">
            <v>LC</v>
          </cell>
          <cell r="F7393" t="str">
            <v>in Stroh et al., 2014 (from: Cheffings &amp; Farrell 2005 or subsequent amendments in Leach 2007, 2010; Leach &amp; Walker 2011, 2013)</v>
          </cell>
          <cell r="G7393" t="str">
            <v>NBNSYS0000004590</v>
          </cell>
          <cell r="H7393" t="str">
            <v>Pyrola minor</v>
          </cell>
        </row>
        <row r="7394">
          <cell r="A7394" t="str">
            <v>Pyrola rotundifolia</v>
          </cell>
          <cell r="B7394" t="str">
            <v>Vascular plants</v>
          </cell>
          <cell r="C7394" t="str">
            <v>Tracheophyta</v>
          </cell>
          <cell r="D7394" t="str">
            <v>Pyrola rotundifolia</v>
          </cell>
          <cell r="E7394" t="str">
            <v>LC</v>
          </cell>
          <cell r="F7394" t="str">
            <v>in Stroh et al., 2014 (from: Cheffings &amp; Farrell 2005 or subsequent amendments in Leach 2007, 2010; Leach &amp; Walker 2011, 2013)</v>
          </cell>
          <cell r="G7394" t="str">
            <v>NBNSYS0000004592</v>
          </cell>
          <cell r="H7394" t="str">
            <v>Pyrola rotundifolia</v>
          </cell>
        </row>
        <row r="7395">
          <cell r="A7395" t="str">
            <v>Pyrus cordata</v>
          </cell>
          <cell r="B7395" t="str">
            <v>Vascular plants</v>
          </cell>
          <cell r="C7395" t="str">
            <v>Tracheophyta</v>
          </cell>
          <cell r="D7395" t="str">
            <v>Pyrus cordata</v>
          </cell>
          <cell r="E7395" t="str">
            <v>VU</v>
          </cell>
          <cell r="F7395" t="str">
            <v>in Stroh et al., 2014 (from: Cheffings &amp; Farrell 2005 or subsequent amendments in Leach 2007, 2010; Leach &amp; Walker 2011, 2013)</v>
          </cell>
          <cell r="G7395" t="str">
            <v>NBNSYS0000003462</v>
          </cell>
          <cell r="H7395" t="str">
            <v>Pyrus cordata</v>
          </cell>
        </row>
        <row r="7396">
          <cell r="A7396" t="str">
            <v>Quercus petraea</v>
          </cell>
          <cell r="B7396" t="str">
            <v>Vascular plants</v>
          </cell>
          <cell r="C7396" t="str">
            <v>Tracheophyta</v>
          </cell>
          <cell r="D7396" t="str">
            <v>Quercus petraea</v>
          </cell>
          <cell r="E7396" t="str">
            <v>LC</v>
          </cell>
          <cell r="F7396" t="str">
            <v>in Stroh et al., 2014 (from: Cheffings &amp; Farrell 2005 or subsequent amendments in Leach 2007, 2010; Leach &amp; Walker 2011, 2013)</v>
          </cell>
          <cell r="G7396" t="str">
            <v>NHMSYS0000462217</v>
          </cell>
          <cell r="H7396" t="str">
            <v>Quercus petraea</v>
          </cell>
        </row>
        <row r="7397">
          <cell r="A7397" t="str">
            <v>Quercus robur</v>
          </cell>
          <cell r="B7397" t="str">
            <v>Vascular plants</v>
          </cell>
          <cell r="C7397" t="str">
            <v>Tracheophyta</v>
          </cell>
          <cell r="D7397" t="str">
            <v>Quercus robur</v>
          </cell>
          <cell r="E7397" t="str">
            <v>LC</v>
          </cell>
          <cell r="F7397" t="str">
            <v>in Stroh et al., 2014 (from: Cheffings &amp; Farrell 2005 or subsequent amendments in Leach 2007, 2010; Leach &amp; Walker 2011, 2013)</v>
          </cell>
          <cell r="G7397" t="str">
            <v>NBNSYS0000003845</v>
          </cell>
          <cell r="H7397" t="str">
            <v>Quercus robur</v>
          </cell>
        </row>
        <row r="7398">
          <cell r="A7398" t="str">
            <v>Radiola linoides</v>
          </cell>
          <cell r="B7398" t="str">
            <v>Vascular plants</v>
          </cell>
          <cell r="C7398" t="str">
            <v>Tracheophyta</v>
          </cell>
          <cell r="D7398" t="str">
            <v>Radiola linoides</v>
          </cell>
          <cell r="E7398" t="str">
            <v>NT</v>
          </cell>
          <cell r="F7398" t="str">
            <v>in Stroh et al., 2014 (from: Cheffings &amp; Farrell 2005 or subsequent amendments in Leach 2007, 2010; Leach &amp; Walker 2011, 2013)</v>
          </cell>
          <cell r="G7398" t="str">
            <v>NBNSYS0000003146</v>
          </cell>
          <cell r="H7398" t="str">
            <v>Radiola linoides</v>
          </cell>
        </row>
        <row r="7399">
          <cell r="A7399" t="str">
            <v>Ranunculus acris</v>
          </cell>
          <cell r="B7399" t="str">
            <v>Vascular plants</v>
          </cell>
          <cell r="C7399" t="str">
            <v>Tracheophyta</v>
          </cell>
          <cell r="D7399" t="str">
            <v>Ranunculus acris</v>
          </cell>
          <cell r="E7399" t="str">
            <v>LC</v>
          </cell>
          <cell r="F7399" t="str">
            <v>in Stroh et al., 2014 (from: Cheffings &amp; Farrell 2005 or subsequent amendments in Leach 2007, 2010; Leach &amp; Walker 2011, 2013)</v>
          </cell>
          <cell r="G7399" t="str">
            <v>NBNSYS0000002708</v>
          </cell>
          <cell r="H7399" t="str">
            <v>Ranunculus acris</v>
          </cell>
        </row>
        <row r="7400">
          <cell r="A7400" t="str">
            <v>Ranunculus aquatilis</v>
          </cell>
          <cell r="B7400" t="str">
            <v>Vascular plants</v>
          </cell>
          <cell r="C7400" t="str">
            <v>Tracheophyta</v>
          </cell>
          <cell r="D7400" t="str">
            <v>Ranunculus aquatilis</v>
          </cell>
          <cell r="E7400" t="str">
            <v>LC</v>
          </cell>
          <cell r="F7400" t="str">
            <v>in Stroh et al., 2014 (from: Cheffings &amp; Farrell 2005 or subsequent amendments in Leach 2007, 2010; Leach &amp; Walker 2011, 2013)</v>
          </cell>
          <cell r="G7400" t="str">
            <v>NBNSYS0000002731</v>
          </cell>
          <cell r="H7400" t="str">
            <v>Ranunculus aquatilis</v>
          </cell>
        </row>
        <row r="7401">
          <cell r="A7401" t="str">
            <v>Ranunculus auricomus</v>
          </cell>
          <cell r="B7401" t="str">
            <v>Vascular plants</v>
          </cell>
          <cell r="C7401" t="str">
            <v>Tracheophyta</v>
          </cell>
          <cell r="D7401" t="str">
            <v>Ranunculus auricomus</v>
          </cell>
          <cell r="E7401" t="str">
            <v>LC</v>
          </cell>
          <cell r="F7401" t="str">
            <v>in Stroh et al., 2014 (from: Cheffings &amp; Farrell 2005 or subsequent amendments in Leach 2007, 2010; Leach &amp; Walker 2011, 2013)</v>
          </cell>
          <cell r="G7401" t="str">
            <v>NBNSYS0000002716</v>
          </cell>
          <cell r="H7401" t="str">
            <v>Ranunculus auricomus</v>
          </cell>
        </row>
        <row r="7402">
          <cell r="A7402" t="str">
            <v>Ranunculus baudotii</v>
          </cell>
          <cell r="B7402" t="str">
            <v>Vascular plants</v>
          </cell>
          <cell r="C7402" t="str">
            <v>Tracheophyta</v>
          </cell>
          <cell r="D7402" t="str">
            <v>Ranunculus baudotii</v>
          </cell>
          <cell r="E7402" t="str">
            <v>LC</v>
          </cell>
          <cell r="F7402" t="str">
            <v>in Stroh et al., 2014 (from: Cheffings &amp; Farrell 2005 or subsequent amendments in Leach 2007, 2010; Leach &amp; Walker 2011, 2013)</v>
          </cell>
          <cell r="G7402" t="str">
            <v>NHMSYS0000462237</v>
          </cell>
          <cell r="H7402" t="str">
            <v>Ranunculus baudotii</v>
          </cell>
        </row>
        <row r="7403">
          <cell r="A7403" t="str">
            <v>Ranunculus bulbosus</v>
          </cell>
          <cell r="B7403" t="str">
            <v>Vascular plants</v>
          </cell>
          <cell r="C7403" t="str">
            <v>Tracheophyta</v>
          </cell>
          <cell r="D7403" t="str">
            <v>Ranunculus bulbosus</v>
          </cell>
          <cell r="E7403" t="str">
            <v>LC</v>
          </cell>
          <cell r="F7403" t="str">
            <v>in Stroh et al., 2014 (from: Cheffings &amp; Farrell 2005 or subsequent amendments in Leach 2007, 2010; Leach &amp; Walker 2011, 2013)</v>
          </cell>
          <cell r="G7403" t="str">
            <v>NBNSYS0000002710</v>
          </cell>
          <cell r="H7403" t="str">
            <v>Ranunculus bulbosus</v>
          </cell>
        </row>
        <row r="7404">
          <cell r="A7404" t="str">
            <v>Ranunculus circinatus</v>
          </cell>
          <cell r="B7404" t="str">
            <v>Vascular plants</v>
          </cell>
          <cell r="C7404" t="str">
            <v>Tracheophyta</v>
          </cell>
          <cell r="D7404" t="str">
            <v>Ranunculus circinatus</v>
          </cell>
          <cell r="E7404" t="str">
            <v>LC</v>
          </cell>
          <cell r="F7404" t="str">
            <v>in Stroh et al., 2014 (from: Cheffings &amp; Farrell 2005 or subsequent amendments in Leach 2007, 2010; Leach &amp; Walker 2011, 2013)</v>
          </cell>
          <cell r="G7404" t="str">
            <v>NBNSYS0000002726</v>
          </cell>
          <cell r="H7404" t="str">
            <v>Ranunculus circinatus</v>
          </cell>
        </row>
        <row r="7405">
          <cell r="A7405" t="str">
            <v>Ranunculus flammula</v>
          </cell>
          <cell r="B7405" t="str">
            <v>Vascular plants</v>
          </cell>
          <cell r="C7405" t="str">
            <v>Tracheophyta</v>
          </cell>
          <cell r="D7405" t="str">
            <v>Ranunculus flammula</v>
          </cell>
          <cell r="E7405" t="str">
            <v>LC</v>
          </cell>
          <cell r="F7405" t="str">
            <v>in Stroh et al., 2014 (from: Cheffings &amp; Farrell 2005 or subsequent amendments in Leach 2007, 2010; Leach &amp; Walker 2011, 2013)</v>
          </cell>
          <cell r="G7405" t="str">
            <v>NBNSYS0000002718</v>
          </cell>
          <cell r="H7405" t="str">
            <v>Ranunculus flammula</v>
          </cell>
        </row>
        <row r="7406">
          <cell r="A7406" t="str">
            <v>Ranunculus fluitans</v>
          </cell>
          <cell r="B7406" t="str">
            <v>Vascular plants</v>
          </cell>
          <cell r="C7406" t="str">
            <v>Tracheophyta</v>
          </cell>
          <cell r="D7406" t="str">
            <v>Ranunculus fluitans</v>
          </cell>
          <cell r="E7406" t="str">
            <v>LC</v>
          </cell>
          <cell r="F7406" t="str">
            <v>in Stroh et al., 2014 (from: Cheffings &amp; Farrell 2005 or subsequent amendments in Leach 2007, 2010; Leach &amp; Walker 2011, 2013)</v>
          </cell>
          <cell r="G7406" t="str">
            <v>NBNSYS0000002725</v>
          </cell>
          <cell r="H7406" t="str">
            <v>Ranunculus fluitans</v>
          </cell>
        </row>
        <row r="7407">
          <cell r="A7407" t="str">
            <v>Ranunculus hederaceus</v>
          </cell>
          <cell r="B7407" t="str">
            <v>Vascular plants</v>
          </cell>
          <cell r="C7407" t="str">
            <v>Tracheophyta</v>
          </cell>
          <cell r="D7407" t="str">
            <v>Ranunculus hederaceus</v>
          </cell>
          <cell r="E7407" t="str">
            <v>LC</v>
          </cell>
          <cell r="F7407" t="str">
            <v>in Stroh et al., 2014 (from: Cheffings &amp; Farrell 2005 or subsequent amendments in Leach 2007, 2010; Leach &amp; Walker 2011, 2013)</v>
          </cell>
          <cell r="G7407" t="str">
            <v>NBNSYS0000002722</v>
          </cell>
          <cell r="H7407" t="str">
            <v>Ranunculus hederaceus</v>
          </cell>
        </row>
        <row r="7408">
          <cell r="A7408" t="str">
            <v>Ranunculus lingua</v>
          </cell>
          <cell r="B7408" t="str">
            <v>Vascular plants</v>
          </cell>
          <cell r="C7408" t="str">
            <v>Tracheophyta</v>
          </cell>
          <cell r="D7408" t="str">
            <v>Ranunculus lingua</v>
          </cell>
          <cell r="E7408" t="str">
            <v>LC</v>
          </cell>
          <cell r="F7408" t="str">
            <v>in Stroh et al., 2014 (from: Cheffings &amp; Farrell 2005 or subsequent amendments in Leach 2007, 2010; Leach &amp; Walker 2011, 2013)</v>
          </cell>
          <cell r="G7408" t="str">
            <v>NBNSYS0000002717</v>
          </cell>
          <cell r="H7408" t="str">
            <v>Ranunculus lingua</v>
          </cell>
        </row>
        <row r="7409">
          <cell r="A7409" t="str">
            <v>Ranunculus omiophyllus</v>
          </cell>
          <cell r="B7409" t="str">
            <v>Vascular plants</v>
          </cell>
          <cell r="C7409" t="str">
            <v>Tracheophyta</v>
          </cell>
          <cell r="D7409" t="str">
            <v>Ranunculus omiophyllus</v>
          </cell>
          <cell r="E7409" t="str">
            <v>LC</v>
          </cell>
          <cell r="F7409" t="str">
            <v>in Stroh et al., 2014 (from: Cheffings &amp; Farrell 2005 or subsequent amendments in Leach 2007, 2010; Leach &amp; Walker 2011, 2013)</v>
          </cell>
          <cell r="G7409" t="str">
            <v>NBNSYS0000002723</v>
          </cell>
          <cell r="H7409" t="str">
            <v>Ranunculus omiophyllus</v>
          </cell>
        </row>
        <row r="7410">
          <cell r="A7410" t="str">
            <v>Ranunculus ophioglossifolius</v>
          </cell>
          <cell r="B7410" t="str">
            <v>Vascular plants</v>
          </cell>
          <cell r="C7410" t="str">
            <v>Tracheophyta</v>
          </cell>
          <cell r="D7410" t="str">
            <v>Ranunculus ophioglossifolius</v>
          </cell>
          <cell r="E7410" t="str">
            <v>VU</v>
          </cell>
          <cell r="F7410" t="str">
            <v>in Stroh et al., 2014 (from: Cheffings &amp; Farrell 2005 or subsequent amendments in Leach 2007, 2010; Leach &amp; Walker 2011, 2013)</v>
          </cell>
          <cell r="G7410" t="str">
            <v>NHMSYS0000462256</v>
          </cell>
          <cell r="H7410" t="str">
            <v>Ranunculus ophioglossifolius</v>
          </cell>
        </row>
        <row r="7411">
          <cell r="A7411" t="str">
            <v>Ranunculus parviflorus</v>
          </cell>
          <cell r="B7411" t="str">
            <v>Vascular plants</v>
          </cell>
          <cell r="C7411" t="str">
            <v>Tracheophyta</v>
          </cell>
          <cell r="D7411" t="str">
            <v>Ranunculus parviflorus</v>
          </cell>
          <cell r="E7411" t="str">
            <v>LC</v>
          </cell>
          <cell r="F7411" t="str">
            <v>in Stroh et al., 2014 (from: Cheffings &amp; Farrell 2005 or subsequent amendments in Leach 2007, 2010; Leach &amp; Walker 2011, 2013)</v>
          </cell>
          <cell r="G7411" t="str">
            <v>NBNSYS0000002715</v>
          </cell>
          <cell r="H7411" t="str">
            <v>Ranunculus parviflorus</v>
          </cell>
        </row>
        <row r="7412">
          <cell r="A7412" t="str">
            <v>Ranunculus peltatus</v>
          </cell>
          <cell r="B7412" t="str">
            <v>Vascular plants</v>
          </cell>
          <cell r="C7412" t="str">
            <v>Tracheophyta</v>
          </cell>
          <cell r="D7412" t="str">
            <v>Ranunculus peltatus</v>
          </cell>
          <cell r="E7412" t="str">
            <v>LC</v>
          </cell>
          <cell r="F7412" t="str">
            <v>in Stroh et al., 2014 (from: Cheffings &amp; Farrell 2005 or subsequent amendments in Leach 2007, 2010; Leach &amp; Walker 2011, 2013)</v>
          </cell>
          <cell r="G7412" t="str">
            <v>NBNSYS0000002732</v>
          </cell>
          <cell r="H7412" t="str">
            <v>Ranunculus peltatus</v>
          </cell>
        </row>
        <row r="7413">
          <cell r="A7413" t="str">
            <v>Ranunculus penicillatus</v>
          </cell>
          <cell r="B7413" t="str">
            <v>Vascular plants</v>
          </cell>
          <cell r="C7413" t="str">
            <v>Tracheophyta</v>
          </cell>
          <cell r="D7413" t="str">
            <v>Ranunculus penicillatus</v>
          </cell>
          <cell r="E7413" t="str">
            <v>LC</v>
          </cell>
          <cell r="F7413" t="str">
            <v>in Stroh et al., 2014 (from: Cheffings &amp; Farrell 2005 or subsequent amendments in Leach 2007, 2010; Leach &amp; Walker 2011, 2013)</v>
          </cell>
          <cell r="G7413" t="str">
            <v>NBNSYS0000002733</v>
          </cell>
          <cell r="H7413" t="str">
            <v>Ranunculus penicillatus</v>
          </cell>
        </row>
        <row r="7414">
          <cell r="A7414" t="str">
            <v>Ranunculus repens</v>
          </cell>
          <cell r="B7414" t="str">
            <v>Vascular plants</v>
          </cell>
          <cell r="C7414" t="str">
            <v>Tracheophyta</v>
          </cell>
          <cell r="D7414" t="str">
            <v>Ranunculus repens</v>
          </cell>
          <cell r="E7414" t="str">
            <v>LC</v>
          </cell>
          <cell r="F7414" t="str">
            <v>in Stroh et al., 2014 (from: Cheffings &amp; Farrell 2005 or subsequent amendments in Leach 2007, 2010; Leach &amp; Walker 2011, 2013)</v>
          </cell>
          <cell r="G7414" t="str">
            <v>NBNSYS0000002709</v>
          </cell>
          <cell r="H7414" t="str">
            <v>Ranunculus repens</v>
          </cell>
        </row>
        <row r="7415">
          <cell r="A7415" t="str">
            <v>Ranunculus reptans</v>
          </cell>
          <cell r="B7415" t="str">
            <v>Vascular plants</v>
          </cell>
          <cell r="C7415" t="str">
            <v>Tracheophyta</v>
          </cell>
          <cell r="D7415" t="str">
            <v>Ranunculus reptans</v>
          </cell>
          <cell r="E7415" t="str">
            <v>VU</v>
          </cell>
          <cell r="F7415" t="str">
            <v>in Stroh et al., 2014 (from: Cheffings &amp; Farrell 2005 or subsequent amendments in Leach 2007, 2010; Leach &amp; Walker 2011, 2013)</v>
          </cell>
          <cell r="G7415" t="str">
            <v>NBNSYS0000002719</v>
          </cell>
          <cell r="H7415" t="str">
            <v>Ranunculus reptans</v>
          </cell>
        </row>
        <row r="7416">
          <cell r="A7416" t="str">
            <v>Ranunculus sardous</v>
          </cell>
          <cell r="B7416" t="str">
            <v>Vascular plants</v>
          </cell>
          <cell r="C7416" t="str">
            <v>Tracheophyta</v>
          </cell>
          <cell r="D7416" t="str">
            <v>Ranunculus sardous</v>
          </cell>
          <cell r="E7416" t="str">
            <v>LC</v>
          </cell>
          <cell r="F7416" t="str">
            <v>in Stroh et al., 2014 (from: Cheffings &amp; Farrell 2005 or subsequent amendments in Leach 2007, 2010; Leach &amp; Walker 2011, 2013)</v>
          </cell>
          <cell r="G7416" t="str">
            <v>NBNSYS0000002714</v>
          </cell>
          <cell r="H7416" t="str">
            <v>Ranunculus sardous</v>
          </cell>
        </row>
        <row r="7417">
          <cell r="A7417" t="str">
            <v>Ranunculus sceleratus</v>
          </cell>
          <cell r="B7417" t="str">
            <v>Vascular plants</v>
          </cell>
          <cell r="C7417" t="str">
            <v>Tracheophyta</v>
          </cell>
          <cell r="D7417" t="str">
            <v>Ranunculus sceleratus</v>
          </cell>
          <cell r="E7417" t="str">
            <v>LC</v>
          </cell>
          <cell r="F7417" t="str">
            <v>in Stroh et al., 2014 (from: Cheffings &amp; Farrell 2005 or subsequent amendments in Leach 2007, 2010; Leach &amp; Walker 2011, 2013)</v>
          </cell>
          <cell r="G7417" t="str">
            <v>NBNSYS0000002721</v>
          </cell>
          <cell r="H7417" t="str">
            <v>Ranunculus sceleratus</v>
          </cell>
        </row>
        <row r="7418">
          <cell r="A7418" t="str">
            <v>Ranunculus trichophyllus</v>
          </cell>
          <cell r="B7418" t="str">
            <v>Vascular plants</v>
          </cell>
          <cell r="C7418" t="str">
            <v>Tracheophyta</v>
          </cell>
          <cell r="D7418" t="str">
            <v>Ranunculus trichophyllus</v>
          </cell>
          <cell r="E7418" t="str">
            <v>LC</v>
          </cell>
          <cell r="F7418" t="str">
            <v>in Stroh et al., 2014 (from: Cheffings &amp; Farrell 2005 or subsequent amendments in Leach 2007, 2010; Leach &amp; Walker 2011, 2013)</v>
          </cell>
          <cell r="G7418" t="str">
            <v>NBNSYS0000002727</v>
          </cell>
          <cell r="H7418" t="str">
            <v>Ranunculus trichophyllus</v>
          </cell>
        </row>
        <row r="7419">
          <cell r="A7419" t="str">
            <v>Ranunculus tripartitus</v>
          </cell>
          <cell r="B7419" t="str">
            <v>Vascular plants</v>
          </cell>
          <cell r="C7419" t="str">
            <v>Tracheophyta</v>
          </cell>
          <cell r="D7419" t="str">
            <v>Ranunculus tripartitus</v>
          </cell>
          <cell r="E7419" t="str">
            <v>EN</v>
          </cell>
          <cell r="F7419" t="str">
            <v>in Stroh et al., 2014 (from: Cheffings &amp; Farrell 2005 or subsequent amendments in Leach 2007, 2010; Leach &amp; Walker 2011, 2013)</v>
          </cell>
          <cell r="G7419" t="str">
            <v>NBNSYS0000002724</v>
          </cell>
          <cell r="H7419" t="str">
            <v>Ranunculus tripartitus</v>
          </cell>
        </row>
        <row r="7420">
          <cell r="A7420" t="str">
            <v>Raphanus raphanistrum</v>
          </cell>
          <cell r="B7420" t="str">
            <v>Vascular plants</v>
          </cell>
          <cell r="C7420" t="str">
            <v>Tracheophyta</v>
          </cell>
          <cell r="D7420" t="str">
            <v>Raphanus raphanistrum</v>
          </cell>
          <cell r="E7420" t="str">
            <v>LC</v>
          </cell>
          <cell r="F7420" t="str">
            <v>in Stroh et al., 2014 (from: Cheffings &amp; Farrell 2005 or subsequent amendments in Leach 2007, 2010; Leach &amp; Walker 2011, 2013)</v>
          </cell>
          <cell r="G7420" t="str">
            <v>NBNSYS0000002815</v>
          </cell>
          <cell r="H7420" t="str">
            <v>Raphanus raphanistrum</v>
          </cell>
        </row>
        <row r="7421">
          <cell r="A7421" t="str">
            <v>Reseda lutea</v>
          </cell>
          <cell r="B7421" t="str">
            <v>Vascular plants</v>
          </cell>
          <cell r="C7421" t="str">
            <v>Tracheophyta</v>
          </cell>
          <cell r="D7421" t="str">
            <v>Reseda lutea</v>
          </cell>
          <cell r="E7421" t="str">
            <v>LC</v>
          </cell>
          <cell r="F7421" t="str">
            <v>in Stroh et al., 2014 (from: Cheffings &amp; Farrell 2005 or subsequent amendments in Leach 2007, 2010; Leach &amp; Walker 2011, 2013)</v>
          </cell>
          <cell r="G7421" t="str">
            <v>NBNSYS0000002920</v>
          </cell>
          <cell r="H7421" t="str">
            <v>Reseda lutea</v>
          </cell>
        </row>
        <row r="7422">
          <cell r="A7422" t="str">
            <v>Rhamnus cathartica</v>
          </cell>
          <cell r="B7422" t="str">
            <v>Vascular plants</v>
          </cell>
          <cell r="C7422" t="str">
            <v>Tracheophyta</v>
          </cell>
          <cell r="D7422" t="str">
            <v>Rhamnus cathartica</v>
          </cell>
          <cell r="E7422" t="str">
            <v>LC</v>
          </cell>
          <cell r="F7422" t="str">
            <v>in Stroh et al., 2014 (from: Cheffings &amp; Farrell 2005 or subsequent amendments in Leach 2007, 2010; Leach &amp; Walker 2011, 2013)</v>
          </cell>
          <cell r="G7422" t="str">
            <v>NBNSYS0000003198</v>
          </cell>
          <cell r="H7422" t="str">
            <v>Rhamnus cathartica</v>
          </cell>
        </row>
        <row r="7423">
          <cell r="A7423" t="str">
            <v>Rhinanthus minor</v>
          </cell>
          <cell r="B7423" t="str">
            <v>Vascular plants</v>
          </cell>
          <cell r="C7423" t="str">
            <v>Tracheophyta</v>
          </cell>
          <cell r="D7423" t="str">
            <v>Rhinanthus minor</v>
          </cell>
          <cell r="E7423" t="str">
            <v>LC</v>
          </cell>
          <cell r="F7423" t="str">
            <v>in Stroh et al., 2014 (from: Cheffings &amp; Farrell 2005 or subsequent amendments in Leach 2007, 2010; Leach &amp; Walker 2011, 2013)</v>
          </cell>
          <cell r="G7423" t="str">
            <v>NBNSYS0000004135</v>
          </cell>
          <cell r="H7423" t="str">
            <v>Rhinanthus minor</v>
          </cell>
        </row>
        <row r="7424">
          <cell r="A7424" t="str">
            <v>Rhynchospora alba</v>
          </cell>
          <cell r="B7424" t="str">
            <v>Vascular plants</v>
          </cell>
          <cell r="C7424" t="str">
            <v>Tracheophyta</v>
          </cell>
          <cell r="D7424" t="str">
            <v>Rhynchospora alba</v>
          </cell>
          <cell r="E7424" t="str">
            <v>LC</v>
          </cell>
          <cell r="F7424" t="str">
            <v>in Stroh et al., 2014 (from: Cheffings &amp; Farrell 2005 or subsequent amendments in Leach 2007, 2010; Leach &amp; Walker 2011, 2013)</v>
          </cell>
          <cell r="G7424" t="str">
            <v>NBNSYS0000002407</v>
          </cell>
          <cell r="H7424" t="str">
            <v>Rhynchospora alba</v>
          </cell>
        </row>
        <row r="7425">
          <cell r="A7425" t="str">
            <v>Rhynchospora fusca</v>
          </cell>
          <cell r="B7425" t="str">
            <v>Vascular plants</v>
          </cell>
          <cell r="C7425" t="str">
            <v>Tracheophyta</v>
          </cell>
          <cell r="D7425" t="str">
            <v>Rhynchospora fusca</v>
          </cell>
          <cell r="E7425" t="str">
            <v>LC</v>
          </cell>
          <cell r="F7425" t="str">
            <v>in Stroh et al., 2014 (from: Cheffings &amp; Farrell 2005 or subsequent amendments in Leach 2007, 2010; Leach &amp; Walker 2011, 2013)</v>
          </cell>
          <cell r="G7425" t="str">
            <v>NHMSYS0000462390</v>
          </cell>
          <cell r="H7425" t="str">
            <v>Rhynchospora fusca</v>
          </cell>
        </row>
        <row r="7426">
          <cell r="A7426" t="str">
            <v>Ribes alpinum</v>
          </cell>
          <cell r="B7426" t="str">
            <v>Vascular plants</v>
          </cell>
          <cell r="C7426" t="str">
            <v>Tracheophyta</v>
          </cell>
          <cell r="D7426" t="str">
            <v>Ribes alpinum</v>
          </cell>
          <cell r="E7426" t="str">
            <v>LC</v>
          </cell>
          <cell r="F7426" t="str">
            <v>in Stroh et al., 2014 (from: Cheffings &amp; Farrell 2005 or subsequent amendments in Leach 2007, 2010; Leach &amp; Walker 2011, 2013)</v>
          </cell>
          <cell r="G7426" t="str">
            <v>NBNSYS0000003517</v>
          </cell>
          <cell r="H7426" t="str">
            <v>Ribes alpinum</v>
          </cell>
        </row>
        <row r="7427">
          <cell r="A7427" t="str">
            <v>Ribes rubrum</v>
          </cell>
          <cell r="B7427" t="str">
            <v>Vascular plants</v>
          </cell>
          <cell r="C7427" t="str">
            <v>Tracheophyta</v>
          </cell>
          <cell r="D7427" t="str">
            <v>Ribes rubrum</v>
          </cell>
          <cell r="E7427" t="str">
            <v>LC</v>
          </cell>
          <cell r="F7427" t="str">
            <v>in Stroh et al., 2014 (from: Cheffings &amp; Farrell 2005 or subsequent amendments in Leach 2007, 2010; Leach &amp; Walker 2011, 2013)</v>
          </cell>
          <cell r="G7427" t="str">
            <v>NBNSYS0000003513</v>
          </cell>
          <cell r="H7427" t="str">
            <v>Ribes rubrum</v>
          </cell>
        </row>
        <row r="7428">
          <cell r="A7428" t="str">
            <v>Ribes spicatum</v>
          </cell>
          <cell r="B7428" t="str">
            <v>Vascular plants</v>
          </cell>
          <cell r="C7428" t="str">
            <v>Tracheophyta</v>
          </cell>
          <cell r="D7428" t="str">
            <v>Ribes spicatum</v>
          </cell>
          <cell r="E7428" t="str">
            <v>LC</v>
          </cell>
          <cell r="F7428" t="str">
            <v>in Stroh et al., 2014 (from: Cheffings &amp; Farrell 2005 or subsequent amendments in Leach 2007, 2010; Leach &amp; Walker 2011, 2013)</v>
          </cell>
          <cell r="G7428" t="str">
            <v>NHMSYS0000462398</v>
          </cell>
          <cell r="H7428" t="str">
            <v>Ribes spicatum</v>
          </cell>
        </row>
        <row r="7429">
          <cell r="A7429" t="str">
            <v>Romulea columnae</v>
          </cell>
          <cell r="B7429" t="str">
            <v>Vascular plants</v>
          </cell>
          <cell r="C7429" t="str">
            <v>Tracheophyta</v>
          </cell>
          <cell r="D7429" t="str">
            <v>Romulea columnae</v>
          </cell>
          <cell r="E7429" t="str">
            <v>VU</v>
          </cell>
          <cell r="F7429" t="str">
            <v>in Stroh et al., 2014 (from: Cheffings &amp; Farrell 2005 or subsequent amendments in Leach 2007, 2010; Leach &amp; Walker 2011, 2013)</v>
          </cell>
          <cell r="G7429" t="str">
            <v>NBNSYS0000002277</v>
          </cell>
          <cell r="H7429" t="str">
            <v>Romulea columnae</v>
          </cell>
        </row>
        <row r="7430">
          <cell r="A7430" t="str">
            <v>Rorippa amphibia</v>
          </cell>
          <cell r="B7430" t="str">
            <v>Vascular plants</v>
          </cell>
          <cell r="C7430" t="str">
            <v>Tracheophyta</v>
          </cell>
          <cell r="D7430" t="str">
            <v>Rorippa amphibia</v>
          </cell>
          <cell r="E7430" t="str">
            <v>LC</v>
          </cell>
          <cell r="F7430" t="str">
            <v>in Stroh et al., 2014 (from: Cheffings &amp; Farrell 2005 or subsequent amendments in Leach 2007, 2010; Leach &amp; Walker 2011, 2013)</v>
          </cell>
          <cell r="G7430" t="str">
            <v>NBNSYS0000002898</v>
          </cell>
          <cell r="H7430" t="str">
            <v>Rorippa amphibia</v>
          </cell>
        </row>
        <row r="7431">
          <cell r="A7431" t="str">
            <v>Rorippa palustris</v>
          </cell>
          <cell r="B7431" t="str">
            <v>Vascular plants</v>
          </cell>
          <cell r="C7431" t="str">
            <v>Tracheophyta</v>
          </cell>
          <cell r="D7431" t="str">
            <v>Rorippa palustris</v>
          </cell>
          <cell r="E7431" t="str">
            <v>LC</v>
          </cell>
          <cell r="F7431" t="str">
            <v>in Stroh et al., 2014 (from: Cheffings &amp; Farrell 2005 or subsequent amendments in Leach 2007, 2010; Leach &amp; Walker 2011, 2013)</v>
          </cell>
          <cell r="G7431" t="str">
            <v>NBNSYS0000002897</v>
          </cell>
          <cell r="H7431" t="str">
            <v>Rorippa palustris</v>
          </cell>
        </row>
        <row r="7432">
          <cell r="A7432" t="str">
            <v>Rorippa sylvestris</v>
          </cell>
          <cell r="B7432" t="str">
            <v>Vascular plants</v>
          </cell>
          <cell r="C7432" t="str">
            <v>Tracheophyta</v>
          </cell>
          <cell r="D7432" t="str">
            <v>Rorippa sylvestris</v>
          </cell>
          <cell r="E7432" t="str">
            <v>LC</v>
          </cell>
          <cell r="F7432" t="str">
            <v>in Stroh et al., 2014 (from: Cheffings &amp; Farrell 2005 or subsequent amendments in Leach 2007, 2010; Leach &amp; Walker 2011, 2013)</v>
          </cell>
          <cell r="G7432" t="str">
            <v>NBNSYS0000002896</v>
          </cell>
          <cell r="H7432" t="str">
            <v>Rorippa sylvestris</v>
          </cell>
        </row>
        <row r="7433">
          <cell r="A7433" t="str">
            <v>Rosa agrestis</v>
          </cell>
          <cell r="B7433" t="str">
            <v>Vascular plants</v>
          </cell>
          <cell r="C7433" t="str">
            <v>Tracheophyta</v>
          </cell>
          <cell r="D7433" t="str">
            <v>Rosa agrestis</v>
          </cell>
          <cell r="E7433" t="str">
            <v>NT</v>
          </cell>
          <cell r="F7433" t="str">
            <v>in Stroh et al., 2014 (from: Cheffings &amp; Farrell 2005 or subsequent amendments in Leach 2007, 2010; Leach &amp; Walker 2011, 2013)</v>
          </cell>
          <cell r="G7433" t="str">
            <v>NBNSYS0000003410</v>
          </cell>
          <cell r="H7433" t="str">
            <v>Rosa agrestis</v>
          </cell>
        </row>
        <row r="7434">
          <cell r="A7434" t="str">
            <v>Rosa arvensis</v>
          </cell>
          <cell r="B7434" t="str">
            <v>Vascular plants</v>
          </cell>
          <cell r="C7434" t="str">
            <v>Tracheophyta</v>
          </cell>
          <cell r="D7434" t="str">
            <v>Rosa arvensis</v>
          </cell>
          <cell r="E7434" t="str">
            <v>LC</v>
          </cell>
          <cell r="F7434" t="str">
            <v>in Stroh et al., 2014 (from: Cheffings &amp; Farrell 2005 or subsequent amendments in Leach 2007, 2010; Leach &amp; Walker 2011, 2013)</v>
          </cell>
          <cell r="G7434" t="str">
            <v>NHMSYS0000462445</v>
          </cell>
          <cell r="H7434" t="str">
            <v>Rosa arvensis</v>
          </cell>
        </row>
        <row r="7435">
          <cell r="A7435" t="str">
            <v>Rosa caesia</v>
          </cell>
          <cell r="B7435" t="str">
            <v>Vascular plants</v>
          </cell>
          <cell r="C7435" t="str">
            <v>Tracheophyta</v>
          </cell>
          <cell r="D7435" t="str">
            <v>Rosa caesia</v>
          </cell>
          <cell r="E7435" t="str">
            <v>LC</v>
          </cell>
          <cell r="F7435" t="str">
            <v>in Stroh et al., 2014 (from: Cheffings &amp; Farrell 2005 or subsequent amendments in Leach 2007, 2010; Leach &amp; Walker 2011, 2013)</v>
          </cell>
          <cell r="G7435" t="str">
            <v>NHMSYS0000462446</v>
          </cell>
          <cell r="H7435" t="str">
            <v>Rosa caesia</v>
          </cell>
        </row>
        <row r="7436">
          <cell r="A7436" t="str">
            <v>Rosa canina s.s.</v>
          </cell>
          <cell r="B7436" t="str">
            <v>Vascular plants</v>
          </cell>
          <cell r="C7436" t="str">
            <v>Tracheophyta</v>
          </cell>
          <cell r="D7436" t="str">
            <v>Rosa canina s.s.</v>
          </cell>
          <cell r="E7436" t="str">
            <v>LC</v>
          </cell>
          <cell r="F7436" t="str">
            <v>in Stroh et al., 2014 (from: Cheffings &amp; Farrell 2005 or subsequent amendments in Leach 2007, 2010; Leach &amp; Walker 2011, 2013)</v>
          </cell>
          <cell r="G7436" t="str">
            <v>NHMSYS0000455486</v>
          </cell>
          <cell r="H7436" t="str">
            <v>Rosa canina s.s.</v>
          </cell>
        </row>
        <row r="7437">
          <cell r="A7437" t="str">
            <v>Rosa micrantha</v>
          </cell>
          <cell r="B7437" t="str">
            <v>Vascular plants</v>
          </cell>
          <cell r="C7437" t="str">
            <v>Tracheophyta</v>
          </cell>
          <cell r="D7437" t="str">
            <v>Rosa micrantha</v>
          </cell>
          <cell r="E7437" t="str">
            <v>LC</v>
          </cell>
          <cell r="F7437" t="str">
            <v>in Stroh et al., 2014 (from: Cheffings &amp; Farrell 2005 or subsequent amendments in Leach 2007, 2010; Leach &amp; Walker 2011, 2013)</v>
          </cell>
          <cell r="G7437" t="str">
            <v>NHMSYS0000462468</v>
          </cell>
          <cell r="H7437" t="str">
            <v>Rosa micrantha</v>
          </cell>
        </row>
        <row r="7438">
          <cell r="A7438" t="str">
            <v>Rosa mollis</v>
          </cell>
          <cell r="B7438" t="str">
            <v>Vascular plants</v>
          </cell>
          <cell r="C7438" t="str">
            <v>Tracheophyta</v>
          </cell>
          <cell r="D7438" t="str">
            <v>Rosa mollis</v>
          </cell>
          <cell r="E7438" t="str">
            <v>LC</v>
          </cell>
          <cell r="F7438" t="str">
            <v>in Stroh et al., 2014 (from: Cheffings &amp; Farrell 2005 or subsequent amendments in Leach 2007, 2010; Leach &amp; Walker 2011, 2013)</v>
          </cell>
          <cell r="G7438" t="str">
            <v>NHMSYS0000462469</v>
          </cell>
          <cell r="H7438" t="str">
            <v>Rosa mollis</v>
          </cell>
        </row>
        <row r="7439">
          <cell r="A7439" t="str">
            <v>Rosa obtusifolia</v>
          </cell>
          <cell r="B7439" t="str">
            <v>Vascular plants</v>
          </cell>
          <cell r="C7439" t="str">
            <v>Tracheophyta</v>
          </cell>
          <cell r="D7439" t="str">
            <v>Rosa obtusifolia</v>
          </cell>
          <cell r="E7439" t="str">
            <v>LC</v>
          </cell>
          <cell r="F7439" t="str">
            <v>in Stroh et al., 2014 (from: Cheffings &amp; Farrell 2005 or subsequent amendments in Leach 2007, 2010; Leach &amp; Walker 2011, 2013)</v>
          </cell>
          <cell r="G7439" t="str">
            <v>NBNSYS0000003404</v>
          </cell>
          <cell r="H7439" t="str">
            <v>Rosa obtusifolia</v>
          </cell>
        </row>
        <row r="7440">
          <cell r="A7440" t="str">
            <v>Rosa rubiginosa</v>
          </cell>
          <cell r="B7440" t="str">
            <v>Vascular plants</v>
          </cell>
          <cell r="C7440" t="str">
            <v>Tracheophyta</v>
          </cell>
          <cell r="D7440" t="str">
            <v>Rosa rubiginosa</v>
          </cell>
          <cell r="E7440" t="str">
            <v>LC</v>
          </cell>
          <cell r="F7440" t="str">
            <v>in Stroh et al., 2014 (from: Cheffings &amp; Farrell 2005 or subsequent amendments in Leach 2007, 2010; Leach &amp; Walker 2011, 2013)</v>
          </cell>
          <cell r="G7440" t="str">
            <v>NHMSYS0000345661</v>
          </cell>
          <cell r="H7440" t="str">
            <v>Rosa rubiginosa</v>
          </cell>
        </row>
        <row r="7441">
          <cell r="A7441" t="str">
            <v>Rosa sherardii</v>
          </cell>
          <cell r="B7441" t="str">
            <v>Vascular plants</v>
          </cell>
          <cell r="C7441" t="str">
            <v>Tracheophyta</v>
          </cell>
          <cell r="D7441" t="str">
            <v>Rosa sherardii</v>
          </cell>
          <cell r="E7441" t="str">
            <v>LC</v>
          </cell>
          <cell r="F7441" t="str">
            <v>in Stroh et al., 2014 (from: Cheffings &amp; Farrell 2005 or subsequent amendments in Leach 2007, 2010; Leach &amp; Walker 2011, 2013)</v>
          </cell>
          <cell r="G7441" t="str">
            <v>NBNSYS0000003406</v>
          </cell>
          <cell r="H7441" t="str">
            <v>Rosa sherardii</v>
          </cell>
        </row>
        <row r="7442">
          <cell r="A7442" t="str">
            <v>Rosa spinosissima</v>
          </cell>
          <cell r="B7442" t="str">
            <v>Vascular plants</v>
          </cell>
          <cell r="C7442" t="str">
            <v>Tracheophyta</v>
          </cell>
          <cell r="D7442" t="str">
            <v>Rosa spinosissima</v>
          </cell>
          <cell r="E7442" t="str">
            <v>LC</v>
          </cell>
          <cell r="F7442" t="str">
            <v>in Stroh et al., 2014 (from: Cheffings &amp; Farrell 2005 or subsequent amendments in Leach 2007, 2010; Leach &amp; Walker 2011, 2013)</v>
          </cell>
          <cell r="G7442" t="str">
            <v>NHMSYS0000462483</v>
          </cell>
          <cell r="H7442" t="str">
            <v>Rosa spinosissima</v>
          </cell>
        </row>
        <row r="7443">
          <cell r="A7443" t="str">
            <v>Rosa stylosa</v>
          </cell>
          <cell r="B7443" t="str">
            <v>Vascular plants</v>
          </cell>
          <cell r="C7443" t="str">
            <v>Tracheophyta</v>
          </cell>
          <cell r="D7443" t="str">
            <v>Rosa stylosa</v>
          </cell>
          <cell r="E7443" t="str">
            <v>LC</v>
          </cell>
          <cell r="F7443" t="str">
            <v>in Stroh et al., 2014 (from: Cheffings &amp; Farrell 2005 or subsequent amendments in Leach 2007, 2010; Leach &amp; Walker 2011, 2013)</v>
          </cell>
          <cell r="G7443" t="str">
            <v>NBNSYS0000003400</v>
          </cell>
          <cell r="H7443" t="str">
            <v>Rosa stylosa</v>
          </cell>
        </row>
        <row r="7444">
          <cell r="A7444" t="str">
            <v>Rosa tomentosa</v>
          </cell>
          <cell r="B7444" t="str">
            <v>Vascular plants</v>
          </cell>
          <cell r="C7444" t="str">
            <v>Tracheophyta</v>
          </cell>
          <cell r="D7444" t="str">
            <v>Rosa tomentosa</v>
          </cell>
          <cell r="E7444" t="str">
            <v>LC</v>
          </cell>
          <cell r="F7444" t="str">
            <v>in Stroh et al., 2014 (from: Cheffings &amp; Farrell 2005 or subsequent amendments in Leach 2007, 2010; Leach &amp; Walker 2011, 2013)</v>
          </cell>
          <cell r="G7444" t="str">
            <v>NHMSYS0000462487</v>
          </cell>
          <cell r="H7444" t="str">
            <v>Rosa tomentosa</v>
          </cell>
        </row>
        <row r="7445">
          <cell r="A7445" t="str">
            <v>Rubia peregrina</v>
          </cell>
          <cell r="B7445" t="str">
            <v>Vascular plants</v>
          </cell>
          <cell r="C7445" t="str">
            <v>Tracheophyta</v>
          </cell>
          <cell r="D7445" t="str">
            <v>Rubia peregrina</v>
          </cell>
          <cell r="E7445" t="str">
            <v>LC</v>
          </cell>
          <cell r="F7445" t="str">
            <v>in Stroh et al., 2014 (from: Cheffings &amp; Farrell 2005 or subsequent amendments in Leach 2007, 2010; Leach &amp; Walker 2011, 2013)</v>
          </cell>
          <cell r="G7445" t="str">
            <v>NBNSYS0000004322</v>
          </cell>
          <cell r="H7445" t="str">
            <v>Rubia peregrina</v>
          </cell>
        </row>
        <row r="7446">
          <cell r="A7446" t="str">
            <v>Rubus caesius</v>
          </cell>
          <cell r="B7446" t="str">
            <v>Vascular plants</v>
          </cell>
          <cell r="C7446" t="str">
            <v>Tracheophyta</v>
          </cell>
          <cell r="D7446" t="str">
            <v>Rubus caesius</v>
          </cell>
          <cell r="E7446" t="str">
            <v>LC</v>
          </cell>
          <cell r="F7446" t="str">
            <v>in Stroh et al., 2014 (from: Cheffings &amp; Farrell 2005 or subsequent amendments in Leach 2007, 2010; Leach &amp; Walker 2011, 2013)</v>
          </cell>
          <cell r="G7446" t="str">
            <v>NBNSYS0000003325</v>
          </cell>
          <cell r="H7446" t="str">
            <v>Rubus caesius</v>
          </cell>
        </row>
        <row r="7447">
          <cell r="A7447" t="str">
            <v>Rubus chamaemorus</v>
          </cell>
          <cell r="B7447" t="str">
            <v>Vascular plants</v>
          </cell>
          <cell r="C7447" t="str">
            <v>Tracheophyta</v>
          </cell>
          <cell r="D7447" t="str">
            <v>Rubus chamaemorus</v>
          </cell>
          <cell r="E7447" t="str">
            <v>LC</v>
          </cell>
          <cell r="F7447" t="str">
            <v>in Stroh et al., 2014 (from: Cheffings &amp; Farrell 2005 or subsequent amendments in Leach 2007, 2010; Leach &amp; Walker 2011, 2013)</v>
          </cell>
          <cell r="G7447" t="str">
            <v>NBNSYS0000003317</v>
          </cell>
          <cell r="H7447" t="str">
            <v>Rubus chamaemorus</v>
          </cell>
        </row>
        <row r="7448">
          <cell r="A7448" t="str">
            <v>Rubus fruticosus agg.</v>
          </cell>
          <cell r="B7448" t="str">
            <v>Vascular plants</v>
          </cell>
          <cell r="C7448" t="str">
            <v>Tracheophyta</v>
          </cell>
          <cell r="D7448" t="str">
            <v>Rubus fruticosus agg.</v>
          </cell>
          <cell r="E7448" t="str">
            <v>LC</v>
          </cell>
          <cell r="F7448" t="str">
            <v>in Stroh et al., 2014 (from: Cheffings &amp; Farrell 2005 or subsequent amendments in Leach 2007, 2010; Leach &amp; Walker 2011, 2013)</v>
          </cell>
          <cell r="G7448" t="str">
            <v>NBNSYS0000003328</v>
          </cell>
          <cell r="H7448" t="str">
            <v>Rubus fruticosus agg.</v>
          </cell>
        </row>
        <row r="7449">
          <cell r="A7449" t="str">
            <v>Rubus idaeus</v>
          </cell>
          <cell r="B7449" t="str">
            <v>Vascular plants</v>
          </cell>
          <cell r="C7449" t="str">
            <v>Tracheophyta</v>
          </cell>
          <cell r="D7449" t="str">
            <v>Rubus idaeus</v>
          </cell>
          <cell r="E7449" t="str">
            <v>LC</v>
          </cell>
          <cell r="F7449" t="str">
            <v>in Stroh et al., 2014 (from: Cheffings &amp; Farrell 2005 or subsequent amendments in Leach 2007, 2010; Leach &amp; Walker 2011, 2013)</v>
          </cell>
          <cell r="G7449" t="str">
            <v>NBNSYS0000003322</v>
          </cell>
          <cell r="H7449" t="str">
            <v>Rubus idaeus</v>
          </cell>
        </row>
        <row r="7450">
          <cell r="A7450" t="str">
            <v>Rubus saxatilis</v>
          </cell>
          <cell r="B7450" t="str">
            <v>Vascular plants</v>
          </cell>
          <cell r="C7450" t="str">
            <v>Tracheophyta</v>
          </cell>
          <cell r="D7450" t="str">
            <v>Rubus saxatilis</v>
          </cell>
          <cell r="E7450" t="str">
            <v>LC</v>
          </cell>
          <cell r="F7450" t="str">
            <v>in Stroh et al., 2014 (from: Cheffings &amp; Farrell 2005 or subsequent amendments in Leach 2007, 2010; Leach &amp; Walker 2011, 2013)</v>
          </cell>
          <cell r="G7450" t="str">
            <v>NBNSYS0000003318</v>
          </cell>
          <cell r="H7450" t="str">
            <v>Rubus saxatilis</v>
          </cell>
        </row>
        <row r="7451">
          <cell r="A7451" t="str">
            <v>Rumex acetosa</v>
          </cell>
          <cell r="B7451" t="str">
            <v>Vascular plants</v>
          </cell>
          <cell r="C7451" t="str">
            <v>Tracheophyta</v>
          </cell>
          <cell r="D7451" t="str">
            <v>Rumex acetosa</v>
          </cell>
          <cell r="E7451" t="str">
            <v>LC</v>
          </cell>
          <cell r="F7451" t="str">
            <v>in Stroh et al., 2014 (from: Cheffings &amp; Farrell 2005 or subsequent amendments in Leach 2007, 2010; Leach &amp; Walker 2011, 2013)</v>
          </cell>
          <cell r="G7451" t="str">
            <v>NBNSYS0000003778</v>
          </cell>
          <cell r="H7451" t="str">
            <v>Rumex acetosa</v>
          </cell>
        </row>
        <row r="7452">
          <cell r="A7452" t="str">
            <v>Rumex acetosella</v>
          </cell>
          <cell r="B7452" t="str">
            <v>Vascular plants</v>
          </cell>
          <cell r="C7452" t="str">
            <v>Tracheophyta</v>
          </cell>
          <cell r="D7452" t="str">
            <v>Rumex acetosella</v>
          </cell>
          <cell r="E7452" t="str">
            <v>LC</v>
          </cell>
          <cell r="F7452" t="str">
            <v>in Stroh et al., 2014 (from: Cheffings &amp; Farrell 2005 or subsequent amendments in Leach 2007, 2010; Leach &amp; Walker 2011, 2013)</v>
          </cell>
          <cell r="G7452" t="str">
            <v>NBNSYS0000003774</v>
          </cell>
          <cell r="H7452" t="str">
            <v>Rumex acetosella</v>
          </cell>
        </row>
        <row r="7453">
          <cell r="A7453" t="str">
            <v>Rumex conglomeratus</v>
          </cell>
          <cell r="B7453" t="str">
            <v>Vascular plants</v>
          </cell>
          <cell r="C7453" t="str">
            <v>Tracheophyta</v>
          </cell>
          <cell r="D7453" t="str">
            <v>Rumex conglomeratus</v>
          </cell>
          <cell r="E7453" t="str">
            <v>LC</v>
          </cell>
          <cell r="F7453" t="str">
            <v>in Stroh et al., 2014 (from: Cheffings &amp; Farrell 2005 or subsequent amendments in Leach 2007, 2010; Leach &amp; Walker 2011, 2013)</v>
          </cell>
          <cell r="G7453" t="str">
            <v>NBNSYS0000003797</v>
          </cell>
          <cell r="H7453" t="str">
            <v>Rumex conglomeratus</v>
          </cell>
        </row>
        <row r="7454">
          <cell r="A7454" t="str">
            <v>Rumex crispus</v>
          </cell>
          <cell r="B7454" t="str">
            <v>Vascular plants</v>
          </cell>
          <cell r="C7454" t="str">
            <v>Tracheophyta</v>
          </cell>
          <cell r="D7454" t="str">
            <v>Rumex crispus</v>
          </cell>
          <cell r="E7454" t="str">
            <v>LC</v>
          </cell>
          <cell r="F7454" t="str">
            <v>in Stroh et al., 2014 (from: Cheffings &amp; Farrell 2005 or subsequent amendments in Leach 2007, 2010; Leach &amp; Walker 2011, 2013)</v>
          </cell>
          <cell r="G7454" t="str">
            <v>NBNSYS0000003789</v>
          </cell>
          <cell r="H7454" t="str">
            <v>Rumex crispus</v>
          </cell>
        </row>
        <row r="7455">
          <cell r="A7455" t="str">
            <v>Rumex hydrolapathum</v>
          </cell>
          <cell r="B7455" t="str">
            <v>Vascular plants</v>
          </cell>
          <cell r="C7455" t="str">
            <v>Tracheophyta</v>
          </cell>
          <cell r="D7455" t="str">
            <v>Rumex hydrolapathum</v>
          </cell>
          <cell r="E7455" t="str">
            <v>LC</v>
          </cell>
          <cell r="F7455" t="str">
            <v>in Stroh et al., 2014 (from: Cheffings &amp; Farrell 2005 or subsequent amendments in Leach 2007, 2010; Leach &amp; Walker 2011, 2013)</v>
          </cell>
          <cell r="G7455" t="str">
            <v>NHMSYS0000462978</v>
          </cell>
          <cell r="H7455" t="str">
            <v>Rumex hydrolapathum</v>
          </cell>
        </row>
        <row r="7456">
          <cell r="A7456" t="str">
            <v>Rumex longifolius</v>
          </cell>
          <cell r="B7456" t="str">
            <v>Vascular plants</v>
          </cell>
          <cell r="C7456" t="str">
            <v>Tracheophyta</v>
          </cell>
          <cell r="D7456" t="str">
            <v>Rumex longifolius</v>
          </cell>
          <cell r="E7456" t="str">
            <v>LC</v>
          </cell>
          <cell r="F7456" t="str">
            <v>in Stroh et al., 2014 (from: Cheffings &amp; Farrell 2005 or subsequent amendments in Leach 2007, 2010; Leach &amp; Walker 2011, 2013)</v>
          </cell>
          <cell r="G7456" t="str">
            <v>NBNSYS0000003784</v>
          </cell>
          <cell r="H7456" t="str">
            <v>Rumex longifolius</v>
          </cell>
        </row>
        <row r="7457">
          <cell r="A7457" t="str">
            <v>Rumex maritimus</v>
          </cell>
          <cell r="B7457" t="str">
            <v>Vascular plants</v>
          </cell>
          <cell r="C7457" t="str">
            <v>Tracheophyta</v>
          </cell>
          <cell r="D7457" t="str">
            <v>Rumex maritimus</v>
          </cell>
          <cell r="E7457" t="str">
            <v>LC</v>
          </cell>
          <cell r="F7457" t="str">
            <v>in Stroh et al., 2014 (from: Cheffings &amp; Farrell 2005 or subsequent amendments in Leach 2007, 2010; Leach &amp; Walker 2011, 2013)</v>
          </cell>
          <cell r="G7457" t="str">
            <v>NBNSYS0000003800</v>
          </cell>
          <cell r="H7457" t="str">
            <v>Rumex maritimus</v>
          </cell>
        </row>
        <row r="7458">
          <cell r="A7458" t="str">
            <v>Rumex obtusifolius</v>
          </cell>
          <cell r="B7458" t="str">
            <v>Vascular plants</v>
          </cell>
          <cell r="C7458" t="str">
            <v>Tracheophyta</v>
          </cell>
          <cell r="D7458" t="str">
            <v>Rumex obtusifolius</v>
          </cell>
          <cell r="E7458" t="str">
            <v>LC</v>
          </cell>
          <cell r="F7458" t="str">
            <v>in Stroh et al., 2014 (from: Cheffings &amp; Farrell 2005 or subsequent amendments in Leach 2007, 2010; Leach &amp; Walker 2011, 2013)</v>
          </cell>
          <cell r="G7458" t="str">
            <v>NBNSYS0000003791</v>
          </cell>
          <cell r="H7458" t="str">
            <v>Rumex obtusifolius</v>
          </cell>
        </row>
        <row r="7459">
          <cell r="A7459" t="str">
            <v>Rumex palustris</v>
          </cell>
          <cell r="B7459" t="str">
            <v>Vascular plants</v>
          </cell>
          <cell r="C7459" t="str">
            <v>Tracheophyta</v>
          </cell>
          <cell r="D7459" t="str">
            <v>Rumex palustris</v>
          </cell>
          <cell r="E7459" t="str">
            <v>LC</v>
          </cell>
          <cell r="F7459" t="str">
            <v>in Stroh et al., 2014 (from: Cheffings &amp; Farrell 2005 or subsequent amendments in Leach 2007, 2010; Leach &amp; Walker 2011, 2013)</v>
          </cell>
          <cell r="G7459" t="str">
            <v>NHMSYS0000462984</v>
          </cell>
          <cell r="H7459" t="str">
            <v>Rumex palustris</v>
          </cell>
        </row>
        <row r="7460">
          <cell r="A7460" t="str">
            <v>Rumex pulcher</v>
          </cell>
          <cell r="B7460" t="str">
            <v>Vascular plants</v>
          </cell>
          <cell r="C7460" t="str">
            <v>Tracheophyta</v>
          </cell>
          <cell r="D7460" t="str">
            <v>Rumex pulcher</v>
          </cell>
          <cell r="E7460" t="str">
            <v>LC</v>
          </cell>
          <cell r="F7460" t="str">
            <v>in Stroh et al., 2014 (from: Cheffings &amp; Farrell 2005 or subsequent amendments in Leach 2007, 2010; Leach &amp; Walker 2011, 2013)</v>
          </cell>
          <cell r="G7460" t="str">
            <v>NBNSYS0000003795</v>
          </cell>
          <cell r="H7460" t="str">
            <v>Rumex pulcher</v>
          </cell>
        </row>
        <row r="7461">
          <cell r="A7461" t="str">
            <v>Rumex rupestris</v>
          </cell>
          <cell r="B7461" t="str">
            <v>Vascular plants</v>
          </cell>
          <cell r="C7461" t="str">
            <v>Tracheophyta</v>
          </cell>
          <cell r="D7461" t="str">
            <v>Rumex rupestris</v>
          </cell>
          <cell r="E7461" t="str">
            <v>EN</v>
          </cell>
          <cell r="F7461" t="str">
            <v>in Stroh et al., 2014 (from: Cheffings &amp; Farrell 2005 or subsequent amendments in Leach 2007, 2010; Leach &amp; Walker 2011, 2013)</v>
          </cell>
          <cell r="G7461" t="str">
            <v>NBNSYS0000003798</v>
          </cell>
          <cell r="H7461" t="str">
            <v>Rumex rupestris</v>
          </cell>
        </row>
        <row r="7462">
          <cell r="A7462" t="str">
            <v>Rumex sanguineus</v>
          </cell>
          <cell r="B7462" t="str">
            <v>Vascular plants</v>
          </cell>
          <cell r="C7462" t="str">
            <v>Tracheophyta</v>
          </cell>
          <cell r="D7462" t="str">
            <v>Rumex sanguineus</v>
          </cell>
          <cell r="E7462" t="str">
            <v>LC</v>
          </cell>
          <cell r="F7462" t="str">
            <v>in Stroh et al., 2014 (from: Cheffings &amp; Farrell 2005 or subsequent amendments in Leach 2007, 2010; Leach &amp; Walker 2011, 2013)</v>
          </cell>
          <cell r="G7462" t="str">
            <v>NBNSYS0000003796</v>
          </cell>
          <cell r="H7462" t="str">
            <v>Rumex sanguineus</v>
          </cell>
        </row>
        <row r="7463">
          <cell r="A7463" t="str">
            <v>Ruppia cirrhosa</v>
          </cell>
          <cell r="B7463" t="str">
            <v>Vascular plants</v>
          </cell>
          <cell r="C7463" t="str">
            <v>Tracheophyta</v>
          </cell>
          <cell r="D7463" t="str">
            <v>Ruppia cirrhosa</v>
          </cell>
          <cell r="E7463" t="str">
            <v>NT</v>
          </cell>
          <cell r="F7463" t="str">
            <v>in Stroh et al., 2014 (from: Cheffings &amp; Farrell 2005 or subsequent amendments in Leach 2007, 2010; Leach &amp; Walker 2011, 2013)</v>
          </cell>
          <cell r="G7463" t="str">
            <v>NHMSYS0021060369</v>
          </cell>
          <cell r="H7463" t="str">
            <v>Ruppia cirrhosa</v>
          </cell>
        </row>
        <row r="7464">
          <cell r="A7464" t="str">
            <v>Ruppia maritima</v>
          </cell>
          <cell r="B7464" t="str">
            <v>Vascular plants</v>
          </cell>
          <cell r="C7464" t="str">
            <v>Tracheophyta</v>
          </cell>
          <cell r="D7464" t="str">
            <v>Ruppia maritima</v>
          </cell>
          <cell r="E7464" t="str">
            <v>LC</v>
          </cell>
          <cell r="F7464" t="str">
            <v>in Stroh et al., 2014 (from: Cheffings &amp; Farrell 2005 or subsequent amendments in Leach 2007, 2010; Leach &amp; Walker 2011, 2013)</v>
          </cell>
          <cell r="G7464" t="str">
            <v>NHMSYS0021060370</v>
          </cell>
          <cell r="H7464" t="str">
            <v>Ruppia maritima</v>
          </cell>
        </row>
        <row r="7465">
          <cell r="A7465" t="str">
            <v>Ruscus aculeatus</v>
          </cell>
          <cell r="B7465" t="str">
            <v>Vascular plants</v>
          </cell>
          <cell r="C7465" t="str">
            <v>Tracheophyta</v>
          </cell>
          <cell r="D7465" t="str">
            <v>Ruscus aculeatus</v>
          </cell>
          <cell r="E7465" t="str">
            <v>LC</v>
          </cell>
          <cell r="F7465" t="str">
            <v>in Stroh et al., 2014 (from: Cheffings &amp; Farrell 2005 or subsequent amendments in Leach 2007, 2010; Leach &amp; Walker 2011, 2013)</v>
          </cell>
          <cell r="G7465" t="str">
            <v>NBNSYS0000002170</v>
          </cell>
          <cell r="H7465" t="str">
            <v>Ruscus aculeatus</v>
          </cell>
        </row>
        <row r="7466">
          <cell r="A7466" t="str">
            <v>Sagina apetala</v>
          </cell>
          <cell r="B7466" t="str">
            <v>Vascular plants</v>
          </cell>
          <cell r="C7466" t="str">
            <v>Tracheophyta</v>
          </cell>
          <cell r="D7466" t="str">
            <v>Sagina apetala</v>
          </cell>
          <cell r="E7466" t="str">
            <v>LC</v>
          </cell>
          <cell r="F7466" t="str">
            <v>in Stroh et al., 2014 (from: Cheffings &amp; Farrell 2005 or subsequent amendments in Leach 2007, 2010; Leach &amp; Walker 2011, 2013)</v>
          </cell>
          <cell r="G7466" t="str">
            <v>NBNSYS0000004655</v>
          </cell>
          <cell r="H7466" t="str">
            <v>Sagina apetala</v>
          </cell>
        </row>
        <row r="7467">
          <cell r="A7467" t="str">
            <v>Sagina filicaulis</v>
          </cell>
          <cell r="B7467" t="str">
            <v>Vascular plants</v>
          </cell>
          <cell r="C7467" t="str">
            <v>Tracheophyta</v>
          </cell>
          <cell r="D7467" t="str">
            <v>Sagina filicaulis</v>
          </cell>
          <cell r="E7467" t="str">
            <v>LC</v>
          </cell>
          <cell r="F7467" t="str">
            <v>in Stroh et al., 2014 (from: Cheffings &amp; Farrell 2005 or subsequent amendments in Leach 2007, 2010; Leach &amp; Walker 2011, 2013)</v>
          </cell>
          <cell r="G7467" t="str">
            <v>NHMSYS0000463045</v>
          </cell>
          <cell r="H7467" t="str">
            <v>Sagina filicaulis</v>
          </cell>
        </row>
        <row r="7468">
          <cell r="A7468" t="str">
            <v>Sagina maritima</v>
          </cell>
          <cell r="B7468" t="str">
            <v>Vascular plants</v>
          </cell>
          <cell r="C7468" t="str">
            <v>Tracheophyta</v>
          </cell>
          <cell r="D7468" t="str">
            <v>Sagina maritima</v>
          </cell>
          <cell r="E7468" t="str">
            <v>LC</v>
          </cell>
          <cell r="F7468" t="str">
            <v>in Stroh et al., 2014 (from: Cheffings &amp; Farrell 2005 or subsequent amendments in Leach 2007, 2010; Leach &amp; Walker 2011, 2013)</v>
          </cell>
          <cell r="G7468" t="str">
            <v>NHMSYS0000463050</v>
          </cell>
          <cell r="H7468" t="str">
            <v>Sagina maritima</v>
          </cell>
        </row>
        <row r="7469">
          <cell r="A7469" t="str">
            <v>Sagina nodosa</v>
          </cell>
          <cell r="B7469" t="str">
            <v>Vascular plants</v>
          </cell>
          <cell r="C7469" t="str">
            <v>Tracheophyta</v>
          </cell>
          <cell r="D7469" t="str">
            <v>Sagina nodosa</v>
          </cell>
          <cell r="E7469" t="str">
            <v>LC</v>
          </cell>
          <cell r="F7469" t="str">
            <v>in Stroh et al., 2014 (from: Cheffings &amp; Farrell 2005 or subsequent amendments in Leach 2007, 2010; Leach &amp; Walker 2011, 2013)</v>
          </cell>
          <cell r="G7469" t="str">
            <v>NBNSYS0000003051</v>
          </cell>
          <cell r="H7469" t="str">
            <v>Sagina nodosa</v>
          </cell>
        </row>
        <row r="7470">
          <cell r="A7470" t="str">
            <v>Sagina procumbens</v>
          </cell>
          <cell r="B7470" t="str">
            <v>Vascular plants</v>
          </cell>
          <cell r="C7470" t="str">
            <v>Tracheophyta</v>
          </cell>
          <cell r="D7470" t="str">
            <v>Sagina procumbens</v>
          </cell>
          <cell r="E7470" t="str">
            <v>LC</v>
          </cell>
          <cell r="F7470" t="str">
            <v>in Stroh et al., 2014 (from: Cheffings &amp; Farrell 2005 or subsequent amendments in Leach 2007, 2010; Leach &amp; Walker 2011, 2013)</v>
          </cell>
          <cell r="G7470" t="str">
            <v>NBNSYS0000003044</v>
          </cell>
          <cell r="H7470" t="str">
            <v>Sagina procumbens</v>
          </cell>
        </row>
        <row r="7471">
          <cell r="A7471" t="str">
            <v>Sagina subulata</v>
          </cell>
          <cell r="B7471" t="str">
            <v>Vascular plants</v>
          </cell>
          <cell r="C7471" t="str">
            <v>Tracheophyta</v>
          </cell>
          <cell r="D7471" t="str">
            <v>Sagina subulata</v>
          </cell>
          <cell r="E7471" t="str">
            <v>LC</v>
          </cell>
          <cell r="F7471" t="str">
            <v>in Stroh et al., 2014 (from: Cheffings &amp; Farrell 2005 or subsequent amendments in Leach 2007, 2010; Leach &amp; Walker 2011, 2013)</v>
          </cell>
          <cell r="G7471" t="str">
            <v>NHMSYS0000463057</v>
          </cell>
          <cell r="H7471" t="str">
            <v>Sagina subulata</v>
          </cell>
        </row>
        <row r="7472">
          <cell r="A7472" t="str">
            <v>Sagittaria sagittifolia</v>
          </cell>
          <cell r="B7472" t="str">
            <v>Vascular plants</v>
          </cell>
          <cell r="C7472" t="str">
            <v>Tracheophyta</v>
          </cell>
          <cell r="D7472" t="str">
            <v>Sagittaria sagittifolia</v>
          </cell>
          <cell r="E7472" t="str">
            <v>LC</v>
          </cell>
          <cell r="F7472" t="str">
            <v>in Stroh et al., 2014 (from: Cheffings &amp; Farrell 2005 or subsequent amendments in Leach 2007, 2010; Leach &amp; Walker 2011, 2013)</v>
          </cell>
          <cell r="G7472" t="str">
            <v>NBNSYS0000002105</v>
          </cell>
          <cell r="H7472" t="str">
            <v>Sagittaria sagittifolia</v>
          </cell>
        </row>
        <row r="7473">
          <cell r="A7473" t="str">
            <v>Salicornia dolichostachya</v>
          </cell>
          <cell r="B7473" t="str">
            <v>Vascular plants</v>
          </cell>
          <cell r="C7473" t="str">
            <v>Tracheophyta</v>
          </cell>
          <cell r="D7473" t="str">
            <v>Salicornia dolichostachya</v>
          </cell>
          <cell r="E7473" t="str">
            <v>LC</v>
          </cell>
          <cell r="F7473" t="str">
            <v>in Stroh et al., 2014 (from: Cheffings &amp; Farrell 2005 or subsequent amendments in Leach 2007, 2010; Leach &amp; Walker 2011, 2013)</v>
          </cell>
          <cell r="G7473" t="str">
            <v>NBNSYS0000033992</v>
          </cell>
          <cell r="H7473" t="str">
            <v>Salicornia dolichostachya</v>
          </cell>
        </row>
        <row r="7474">
          <cell r="A7474" t="str">
            <v>Salicornia europaea</v>
          </cell>
          <cell r="B7474" t="str">
            <v>Vascular plants</v>
          </cell>
          <cell r="C7474" t="str">
            <v>Tracheophyta</v>
          </cell>
          <cell r="D7474" t="str">
            <v>Salicornia europaea</v>
          </cell>
          <cell r="E7474" t="str">
            <v>LC</v>
          </cell>
          <cell r="F7474" t="str">
            <v>in Stroh et al., 2014 (from: Cheffings &amp; Farrell 2005 or subsequent amendments in Leach 2007, 2010; Leach &amp; Walker 2011, 2013)</v>
          </cell>
          <cell r="G7474" t="str">
            <v>NBNSYS0000156223</v>
          </cell>
          <cell r="H7474" t="str">
            <v>Salicornia europaea</v>
          </cell>
        </row>
        <row r="7475">
          <cell r="A7475" t="str">
            <v>Salicornia fragilis</v>
          </cell>
          <cell r="B7475" t="str">
            <v>Vascular plants</v>
          </cell>
          <cell r="C7475" t="str">
            <v>Tracheophyta</v>
          </cell>
          <cell r="D7475" t="str">
            <v>Salicornia fragilis</v>
          </cell>
          <cell r="E7475" t="str">
            <v>LC</v>
          </cell>
          <cell r="F7475" t="str">
            <v>in Stroh et al., 2014 (from: Cheffings &amp; Farrell 2005 or subsequent amendments in Leach 2007, 2010; Leach &amp; Walker 2011, 2013)</v>
          </cell>
          <cell r="G7475" t="str">
            <v>NHMSYS0000463065</v>
          </cell>
          <cell r="H7475" t="str">
            <v>Salicornia fragilis</v>
          </cell>
        </row>
        <row r="7476">
          <cell r="A7476" t="str">
            <v>Salicornia pusilla</v>
          </cell>
          <cell r="B7476" t="str">
            <v>Vascular plants</v>
          </cell>
          <cell r="C7476" t="str">
            <v>Tracheophyta</v>
          </cell>
          <cell r="D7476" t="str">
            <v>Salicornia pusilla</v>
          </cell>
          <cell r="E7476" t="str">
            <v>LC</v>
          </cell>
          <cell r="F7476" t="str">
            <v>in Stroh et al., 2014 (from: Cheffings &amp; Farrell 2005 or subsequent amendments in Leach 2007, 2010; Leach &amp; Walker 2011, 2013)</v>
          </cell>
          <cell r="G7476" t="str">
            <v>NHMSYS0000463075</v>
          </cell>
          <cell r="H7476" t="str">
            <v>Salicornia pusilla</v>
          </cell>
        </row>
        <row r="7477">
          <cell r="A7477" t="str">
            <v>Salicornia ramosissima</v>
          </cell>
          <cell r="B7477" t="str">
            <v>Vascular plants</v>
          </cell>
          <cell r="C7477" t="str">
            <v>Tracheophyta</v>
          </cell>
          <cell r="D7477" t="str">
            <v>Salicornia ramosissima</v>
          </cell>
          <cell r="E7477" t="str">
            <v>LC</v>
          </cell>
          <cell r="F7477" t="str">
            <v>in Stroh et al., 2014 (from: Cheffings &amp; Farrell 2005 or subsequent amendments in Leach 2007, 2010; Leach &amp; Walker 2011, 2013)</v>
          </cell>
          <cell r="G7477" t="str">
            <v>NHMSYS0000463076</v>
          </cell>
          <cell r="H7477" t="str">
            <v>Salicornia ramosissima</v>
          </cell>
        </row>
        <row r="7478">
          <cell r="A7478" t="str">
            <v>Salix aurita</v>
          </cell>
          <cell r="B7478" t="str">
            <v>Vascular plants</v>
          </cell>
          <cell r="C7478" t="str">
            <v>Tracheophyta</v>
          </cell>
          <cell r="D7478" t="str">
            <v>Salix aurita</v>
          </cell>
          <cell r="E7478" t="str">
            <v>LC</v>
          </cell>
          <cell r="F7478" t="str">
            <v>in Stroh et al., 2014 (from: Cheffings &amp; Farrell 2005 or subsequent amendments in Leach 2007, 2010; Leach &amp; Walker 2011, 2013)</v>
          </cell>
          <cell r="G7478" t="str">
            <v>NBNSYS0000003874</v>
          </cell>
          <cell r="H7478" t="str">
            <v>Salix aurita</v>
          </cell>
        </row>
        <row r="7479">
          <cell r="A7479" t="str">
            <v>Salix caprea</v>
          </cell>
          <cell r="B7479" t="str">
            <v>Vascular plants</v>
          </cell>
          <cell r="C7479" t="str">
            <v>Tracheophyta</v>
          </cell>
          <cell r="D7479" t="str">
            <v>Salix caprea</v>
          </cell>
          <cell r="E7479" t="str">
            <v>LC</v>
          </cell>
          <cell r="F7479" t="str">
            <v>in Stroh et al., 2014 (from: Cheffings &amp; Farrell 2005 or subsequent amendments in Leach 2007, 2010; Leach &amp; Walker 2011, 2013)</v>
          </cell>
          <cell r="G7479" t="str">
            <v>NBNSYS0000003868</v>
          </cell>
          <cell r="H7479" t="str">
            <v>Salix caprea</v>
          </cell>
        </row>
        <row r="7480">
          <cell r="A7480" t="str">
            <v>Salix cinerea</v>
          </cell>
          <cell r="B7480" t="str">
            <v>Vascular plants</v>
          </cell>
          <cell r="C7480" t="str">
            <v>Tracheophyta</v>
          </cell>
          <cell r="D7480" t="str">
            <v>Salix cinerea</v>
          </cell>
          <cell r="E7480" t="str">
            <v>LC</v>
          </cell>
          <cell r="F7480" t="str">
            <v>in Stroh et al., 2014 (from: Cheffings &amp; Farrell 2005 or subsequent amendments in Leach 2007, 2010; Leach &amp; Walker 2011, 2013)</v>
          </cell>
          <cell r="G7480" t="str">
            <v>NBNSYS0000003871</v>
          </cell>
          <cell r="H7480" t="str">
            <v>Salix cinerea</v>
          </cell>
        </row>
        <row r="7481">
          <cell r="A7481" t="str">
            <v>Salix herbacea</v>
          </cell>
          <cell r="B7481" t="str">
            <v>Vascular plants</v>
          </cell>
          <cell r="C7481" t="str">
            <v>Tracheophyta</v>
          </cell>
          <cell r="D7481" t="str">
            <v>Salix herbacea</v>
          </cell>
          <cell r="E7481" t="str">
            <v>LC</v>
          </cell>
          <cell r="F7481" t="str">
            <v>in Stroh et al., 2014 (from: Cheffings &amp; Farrell 2005 or subsequent amendments in Leach 2007, 2010; Leach &amp; Walker 2011, 2013)</v>
          </cell>
          <cell r="G7481" t="str">
            <v>NBNSYS0000003884</v>
          </cell>
          <cell r="H7481" t="str">
            <v>Salix herbacea</v>
          </cell>
        </row>
        <row r="7482">
          <cell r="A7482" t="str">
            <v>Salix lapponum</v>
          </cell>
          <cell r="B7482" t="str">
            <v>Vascular plants</v>
          </cell>
          <cell r="C7482" t="str">
            <v>Tracheophyta</v>
          </cell>
          <cell r="D7482" t="str">
            <v>Salix lapponum</v>
          </cell>
          <cell r="E7482" t="str">
            <v>VU</v>
          </cell>
          <cell r="F7482" t="str">
            <v>in Stroh et al., 2014 (from: Cheffings &amp; Farrell 2005 or subsequent amendments in Leach 2007, 2010; Leach &amp; Walker 2011, 2013)</v>
          </cell>
          <cell r="G7482" t="str">
            <v>NBNSYS0000003880</v>
          </cell>
          <cell r="H7482" t="str">
            <v>Salix lapponum</v>
          </cell>
        </row>
        <row r="7483">
          <cell r="A7483" t="str">
            <v>Salix myrsinifolia</v>
          </cell>
          <cell r="B7483" t="str">
            <v>Vascular plants</v>
          </cell>
          <cell r="C7483" t="str">
            <v>Tracheophyta</v>
          </cell>
          <cell r="D7483" t="str">
            <v>Salix myrsinifolia</v>
          </cell>
          <cell r="E7483" t="str">
            <v>LC</v>
          </cell>
          <cell r="F7483" t="str">
            <v>in Stroh et al., 2014 (from: Cheffings &amp; Farrell 2005 or subsequent amendments in Leach 2007, 2010; Leach &amp; Walker 2011, 2013)</v>
          </cell>
          <cell r="G7483" t="str">
            <v>NBNSYS0000003875</v>
          </cell>
          <cell r="H7483" t="str">
            <v>Salix myrsinifolia</v>
          </cell>
        </row>
        <row r="7484">
          <cell r="A7484" t="str">
            <v>Salix pentandra</v>
          </cell>
          <cell r="B7484" t="str">
            <v>Vascular plants</v>
          </cell>
          <cell r="C7484" t="str">
            <v>Tracheophyta</v>
          </cell>
          <cell r="D7484" t="str">
            <v>Salix pentandra</v>
          </cell>
          <cell r="E7484" t="str">
            <v>LC</v>
          </cell>
          <cell r="F7484" t="str">
            <v>in Stroh et al., 2014 (from: Cheffings &amp; Farrell 2005 or subsequent amendments in Leach 2007, 2010; Leach &amp; Walker 2011, 2013)</v>
          </cell>
          <cell r="G7484" t="str">
            <v>NBNSYS0000003858</v>
          </cell>
          <cell r="H7484" t="str">
            <v>Salix pentandra</v>
          </cell>
        </row>
        <row r="7485">
          <cell r="A7485" t="str">
            <v>Salix phylicifolia</v>
          </cell>
          <cell r="B7485" t="str">
            <v>Vascular plants</v>
          </cell>
          <cell r="C7485" t="str">
            <v>Tracheophyta</v>
          </cell>
          <cell r="D7485" t="str">
            <v>Salix phylicifolia</v>
          </cell>
          <cell r="E7485" t="str">
            <v>LC</v>
          </cell>
          <cell r="F7485" t="str">
            <v>in Stroh et al., 2014 (from: Cheffings &amp; Farrell 2005 or subsequent amendments in Leach 2007, 2010; Leach &amp; Walker 2011, 2013)</v>
          </cell>
          <cell r="G7485" t="str">
            <v>NBNSYS0000003876</v>
          </cell>
          <cell r="H7485" t="str">
            <v>Salix phylicifolia</v>
          </cell>
        </row>
        <row r="7486">
          <cell r="A7486" t="str">
            <v>Salix purpurea</v>
          </cell>
          <cell r="B7486" t="str">
            <v>Vascular plants</v>
          </cell>
          <cell r="C7486" t="str">
            <v>Tracheophyta</v>
          </cell>
          <cell r="D7486" t="str">
            <v>Salix purpurea</v>
          </cell>
          <cell r="E7486" t="str">
            <v>LC</v>
          </cell>
          <cell r="F7486" t="str">
            <v>in Stroh et al., 2014 (from: Cheffings &amp; Farrell 2005 or subsequent amendments in Leach 2007, 2010; Leach &amp; Walker 2011, 2013)</v>
          </cell>
          <cell r="G7486" t="str">
            <v>NBNSYS0000003863</v>
          </cell>
          <cell r="H7486" t="str">
            <v>Salix purpurea</v>
          </cell>
        </row>
        <row r="7487">
          <cell r="A7487" t="str">
            <v>Salix repens</v>
          </cell>
          <cell r="B7487" t="str">
            <v>Vascular plants</v>
          </cell>
          <cell r="C7487" t="str">
            <v>Tracheophyta</v>
          </cell>
          <cell r="D7487" t="str">
            <v>Salix repens</v>
          </cell>
          <cell r="E7487" t="str">
            <v>LC</v>
          </cell>
          <cell r="F7487" t="str">
            <v>in Stroh et al., 2014 (from: Cheffings &amp; Farrell 2005 or subsequent amendments in Leach 2007, 2010; Leach &amp; Walker 2011, 2013)</v>
          </cell>
          <cell r="G7487" t="str">
            <v>NBNSYS0000003877</v>
          </cell>
          <cell r="H7487" t="str">
            <v>Salix repens</v>
          </cell>
        </row>
        <row r="7488">
          <cell r="A7488" t="str">
            <v>Salsola kali</v>
          </cell>
          <cell r="B7488" t="str">
            <v>Vascular plants</v>
          </cell>
          <cell r="C7488" t="str">
            <v>Tracheophyta</v>
          </cell>
          <cell r="D7488" t="str">
            <v>Salsola kali</v>
          </cell>
          <cell r="E7488" t="str">
            <v>VU</v>
          </cell>
          <cell r="F7488" t="str">
            <v>in Stroh et al., 2014 (from: Cheffings &amp; Farrell 2005 or subsequent amendments in Leach 2007, 2010; Leach &amp; Walker 2011, 2013)</v>
          </cell>
          <cell r="G7488" t="str">
            <v>NBNSYS0000014348</v>
          </cell>
          <cell r="H7488" t="str">
            <v>Salsola kali</v>
          </cell>
        </row>
        <row r="7489">
          <cell r="A7489" t="str">
            <v>Salvia pratensis</v>
          </cell>
          <cell r="B7489" t="str">
            <v>Vascular plants</v>
          </cell>
          <cell r="C7489" t="str">
            <v>Tracheophyta</v>
          </cell>
          <cell r="D7489" t="str">
            <v>Salvia pratensis</v>
          </cell>
          <cell r="E7489" t="str">
            <v>NT</v>
          </cell>
          <cell r="F7489" t="str">
            <v>in Stroh et al., 2014 (from: Cheffings &amp; Farrell 2005 or subsequent amendments in Leach 2007, 2010; Leach &amp; Walker 2011, 2013)</v>
          </cell>
          <cell r="G7489" t="str">
            <v>NBNSYS0000004220</v>
          </cell>
          <cell r="H7489" t="str">
            <v>Salvia pratensis</v>
          </cell>
        </row>
        <row r="7490">
          <cell r="A7490" t="str">
            <v>Salvia verbenaca</v>
          </cell>
          <cell r="B7490" t="str">
            <v>Vascular plants</v>
          </cell>
          <cell r="C7490" t="str">
            <v>Tracheophyta</v>
          </cell>
          <cell r="D7490" t="str">
            <v>Salvia verbenaca</v>
          </cell>
          <cell r="E7490" t="str">
            <v>LC</v>
          </cell>
          <cell r="F7490" t="str">
            <v>in Stroh et al., 2014 (from: Cheffings &amp; Farrell 2005 or subsequent amendments in Leach 2007, 2010; Leach &amp; Walker 2011, 2013)</v>
          </cell>
          <cell r="G7490" t="str">
            <v>NBNSYS0000004222</v>
          </cell>
          <cell r="H7490" t="str">
            <v>Salvia verbenaca</v>
          </cell>
        </row>
        <row r="7491">
          <cell r="A7491" t="str">
            <v>Sambucus nigra</v>
          </cell>
          <cell r="B7491" t="str">
            <v>Vascular plants</v>
          </cell>
          <cell r="C7491" t="str">
            <v>Tracheophyta</v>
          </cell>
          <cell r="D7491" t="str">
            <v>Sambucus nigra</v>
          </cell>
          <cell r="E7491" t="str">
            <v>LC</v>
          </cell>
          <cell r="F7491" t="str">
            <v>in Stroh et al., 2014 (from: Cheffings &amp; Farrell 2005 or subsequent amendments in Leach 2007, 2010; Leach &amp; Walker 2011, 2013)</v>
          </cell>
          <cell r="G7491" t="str">
            <v>NBNSYS0000004324</v>
          </cell>
          <cell r="H7491" t="str">
            <v>Sambucus nigra</v>
          </cell>
        </row>
        <row r="7492">
          <cell r="A7492" t="str">
            <v>Samolus valerandi</v>
          </cell>
          <cell r="B7492" t="str">
            <v>Vascular plants</v>
          </cell>
          <cell r="C7492" t="str">
            <v>Tracheophyta</v>
          </cell>
          <cell r="D7492" t="str">
            <v>Samolus valerandi</v>
          </cell>
          <cell r="E7492" t="str">
            <v>LC</v>
          </cell>
          <cell r="F7492" t="str">
            <v>in Stroh et al., 2014 (from: Cheffings &amp; Farrell 2005 or subsequent amendments in Leach 2007, 2010; Leach &amp; Walker 2011, 2013)</v>
          </cell>
          <cell r="G7492" t="str">
            <v>NBNSYS0000003947</v>
          </cell>
          <cell r="H7492" t="str">
            <v>Samolus valerandi</v>
          </cell>
        </row>
        <row r="7493">
          <cell r="A7493" t="str">
            <v>Sanguisorba officinalis</v>
          </cell>
          <cell r="B7493" t="str">
            <v>Vascular plants</v>
          </cell>
          <cell r="C7493" t="str">
            <v>Tracheophyta</v>
          </cell>
          <cell r="D7493" t="str">
            <v>Sanguisorba officinalis</v>
          </cell>
          <cell r="E7493" t="str">
            <v>LC</v>
          </cell>
          <cell r="F7493" t="str">
            <v>in Stroh et al., 2014 (from: Cheffings &amp; Farrell 2005 or subsequent amendments in Leach 2007, 2010; Leach &amp; Walker 2011, 2013)</v>
          </cell>
          <cell r="G7493" t="str">
            <v>NBNSYS0000003387</v>
          </cell>
          <cell r="H7493" t="str">
            <v>Sanguisorba officinalis</v>
          </cell>
        </row>
        <row r="7494">
          <cell r="A7494" t="str">
            <v>Sanicula europaea</v>
          </cell>
          <cell r="B7494" t="str">
            <v>Vascular plants</v>
          </cell>
          <cell r="C7494" t="str">
            <v>Tracheophyta</v>
          </cell>
          <cell r="D7494" t="str">
            <v>Sanicula europaea</v>
          </cell>
          <cell r="E7494" t="str">
            <v>LC</v>
          </cell>
          <cell r="F7494" t="str">
            <v>in Stroh et al., 2014 (from: Cheffings &amp; Farrell 2005 or subsequent amendments in Leach 2007, 2010; Leach &amp; Walker 2011, 2013)</v>
          </cell>
          <cell r="G7494" t="str">
            <v>NBNSYS0000003634</v>
          </cell>
          <cell r="H7494" t="str">
            <v>Sanicula europaea</v>
          </cell>
        </row>
        <row r="7495">
          <cell r="A7495" t="str">
            <v>Sarcocornia perennis</v>
          </cell>
          <cell r="B7495" t="str">
            <v>Vascular plants</v>
          </cell>
          <cell r="C7495" t="str">
            <v>Tracheophyta</v>
          </cell>
          <cell r="D7495" t="str">
            <v>Sarcocornia perennis</v>
          </cell>
          <cell r="E7495" t="str">
            <v>LC</v>
          </cell>
          <cell r="F7495" t="str">
            <v>in Stroh et al., 2014 (from: Cheffings &amp; Farrell 2005 or subsequent amendments in Leach 2007, 2010; Leach &amp; Walker 2011, 2013)</v>
          </cell>
          <cell r="G7495" t="str">
            <v>NHMSYS0000463218</v>
          </cell>
          <cell r="H7495" t="str">
            <v>Sarcocornia perennis</v>
          </cell>
        </row>
        <row r="7496">
          <cell r="A7496" t="str">
            <v>Saussurea alpina</v>
          </cell>
          <cell r="B7496" t="str">
            <v>Vascular plants</v>
          </cell>
          <cell r="C7496" t="str">
            <v>Tracheophyta</v>
          </cell>
          <cell r="D7496" t="str">
            <v>Saussurea alpina</v>
          </cell>
          <cell r="E7496" t="str">
            <v>LC</v>
          </cell>
          <cell r="F7496" t="str">
            <v>in Stroh et al., 2014 (from: Cheffings &amp; Farrell 2005 or subsequent amendments in Leach 2007, 2010; Leach &amp; Walker 2011, 2013)</v>
          </cell>
          <cell r="G7496" t="str">
            <v>NBNSYS0000004500</v>
          </cell>
          <cell r="H7496" t="str">
            <v>Saussurea alpina</v>
          </cell>
        </row>
        <row r="7497">
          <cell r="A7497" t="str">
            <v>Saxifraga aizoides</v>
          </cell>
          <cell r="B7497" t="str">
            <v>Vascular plants</v>
          </cell>
          <cell r="C7497" t="str">
            <v>Tracheophyta</v>
          </cell>
          <cell r="D7497" t="str">
            <v>Saxifraga aizoides</v>
          </cell>
          <cell r="E7497" t="str">
            <v>LC</v>
          </cell>
          <cell r="F7497" t="str">
            <v>in Stroh et al., 2014 (from: Cheffings &amp; Farrell 2005 or subsequent amendments in Leach 2007, 2010; Leach &amp; Walker 2011, 2013)</v>
          </cell>
          <cell r="G7497" t="str">
            <v>NBNSYS0000003506</v>
          </cell>
          <cell r="H7497" t="str">
            <v>Saxifraga aizoides</v>
          </cell>
        </row>
        <row r="7498">
          <cell r="A7498" t="str">
            <v>Saxifraga granulata</v>
          </cell>
          <cell r="B7498" t="str">
            <v>Vascular plants</v>
          </cell>
          <cell r="C7498" t="str">
            <v>Tracheophyta</v>
          </cell>
          <cell r="D7498" t="str">
            <v>Saxifraga granulata</v>
          </cell>
          <cell r="E7498" t="str">
            <v>LC</v>
          </cell>
          <cell r="F7498" t="str">
            <v>in Stroh et al., 2014 (from: Cheffings &amp; Farrell 2005 or subsequent amendments in Leach 2007, 2010; Leach &amp; Walker 2011, 2013)</v>
          </cell>
          <cell r="G7498" t="str">
            <v>NBNSYS0000003499</v>
          </cell>
          <cell r="H7498" t="str">
            <v>Saxifraga granulata</v>
          </cell>
        </row>
        <row r="7499">
          <cell r="A7499" t="str">
            <v>Saxifraga hirculus</v>
          </cell>
          <cell r="B7499" t="str">
            <v>Vascular plants</v>
          </cell>
          <cell r="C7499" t="str">
            <v>Tracheophyta</v>
          </cell>
          <cell r="D7499" t="str">
            <v>Saxifraga hirculus</v>
          </cell>
          <cell r="E7499" t="str">
            <v>VU</v>
          </cell>
          <cell r="F7499" t="str">
            <v>in Stroh et al., 2014 (from: Cheffings &amp; Farrell 2005 or subsequent amendments in Leach 2007, 2010; Leach &amp; Walker 2011, 2013)</v>
          </cell>
          <cell r="G7499" t="str">
            <v>NBNSYS0000003491</v>
          </cell>
          <cell r="H7499" t="str">
            <v>Saxifraga hirculus</v>
          </cell>
        </row>
        <row r="7500">
          <cell r="A7500" t="str">
            <v>Saxifraga hypnoides</v>
          </cell>
          <cell r="B7500" t="str">
            <v>Vascular plants</v>
          </cell>
          <cell r="C7500" t="str">
            <v>Tracheophyta</v>
          </cell>
          <cell r="D7500" t="str">
            <v>Saxifraga hypnoides</v>
          </cell>
          <cell r="E7500" t="str">
            <v>VU</v>
          </cell>
          <cell r="F7500" t="str">
            <v>in Stroh et al., 2014 (from: Cheffings &amp; Farrell 2005 or subsequent amendments in Leach 2007, 2010; Leach &amp; Walker 2011, 2013)</v>
          </cell>
          <cell r="G7500" t="str">
            <v>NBNSYS0000003505</v>
          </cell>
          <cell r="H7500" t="str">
            <v>Saxifraga hypnoides</v>
          </cell>
        </row>
        <row r="7501">
          <cell r="A7501" t="str">
            <v>Saxifraga nivalis</v>
          </cell>
          <cell r="B7501" t="str">
            <v>Vascular plants</v>
          </cell>
          <cell r="C7501" t="str">
            <v>Tracheophyta</v>
          </cell>
          <cell r="D7501" t="str">
            <v>Saxifraga nivalis</v>
          </cell>
          <cell r="E7501" t="str">
            <v>LC</v>
          </cell>
          <cell r="F7501" t="str">
            <v>in Stroh et al., 2014 (from: Cheffings &amp; Farrell 2005 or subsequent amendments in Leach 2007, 2010; Leach &amp; Walker 2011, 2013)</v>
          </cell>
          <cell r="G7501" t="str">
            <v>NBNSYS0000003489</v>
          </cell>
          <cell r="H7501" t="str">
            <v>Saxifraga nivalis</v>
          </cell>
        </row>
        <row r="7502">
          <cell r="A7502" t="str">
            <v>Saxifraga oppositifolia</v>
          </cell>
          <cell r="B7502" t="str">
            <v>Vascular plants</v>
          </cell>
          <cell r="C7502" t="str">
            <v>Tracheophyta</v>
          </cell>
          <cell r="D7502" t="str">
            <v>Saxifraga oppositifolia</v>
          </cell>
          <cell r="E7502" t="str">
            <v>LC</v>
          </cell>
          <cell r="F7502" t="str">
            <v>in Stroh et al., 2014 (from: Cheffings &amp; Farrell 2005 or subsequent amendments in Leach 2007, 2010; Leach &amp; Walker 2011, 2013)</v>
          </cell>
          <cell r="G7502" t="str">
            <v>NBNSYS0000003507</v>
          </cell>
          <cell r="H7502" t="str">
            <v>Saxifraga oppositifolia</v>
          </cell>
        </row>
        <row r="7503">
          <cell r="A7503" t="str">
            <v>Saxifraga stellaris</v>
          </cell>
          <cell r="B7503" t="str">
            <v>Vascular plants</v>
          </cell>
          <cell r="C7503" t="str">
            <v>Tracheophyta</v>
          </cell>
          <cell r="D7503" t="str">
            <v>Saxifraga stellaris</v>
          </cell>
          <cell r="E7503" t="str">
            <v>LC</v>
          </cell>
          <cell r="F7503" t="str">
            <v>in Stroh et al., 2014 (from: Cheffings &amp; Farrell 2005 or subsequent amendments in Leach 2007, 2010; Leach &amp; Walker 2011, 2013)</v>
          </cell>
          <cell r="G7503" t="str">
            <v>NBNSYS0000003490</v>
          </cell>
          <cell r="H7503" t="str">
            <v>Saxifraga stellaris</v>
          </cell>
        </row>
        <row r="7504">
          <cell r="A7504" t="str">
            <v>Saxifraga tridactylites</v>
          </cell>
          <cell r="B7504" t="str">
            <v>Vascular plants</v>
          </cell>
          <cell r="C7504" t="str">
            <v>Tracheophyta</v>
          </cell>
          <cell r="D7504" t="str">
            <v>Saxifraga tridactylites</v>
          </cell>
          <cell r="E7504" t="str">
            <v>LC</v>
          </cell>
          <cell r="F7504" t="str">
            <v>in Stroh et al., 2014 (from: Cheffings &amp; Farrell 2005 or subsequent amendments in Leach 2007, 2010; Leach &amp; Walker 2011, 2013)</v>
          </cell>
          <cell r="G7504" t="str">
            <v>NBNSYS0000003498</v>
          </cell>
          <cell r="H7504" t="str">
            <v>Saxifraga tridactylites</v>
          </cell>
        </row>
        <row r="7505">
          <cell r="A7505" t="str">
            <v>Scabiosa columbaria</v>
          </cell>
          <cell r="B7505" t="str">
            <v>Vascular plants</v>
          </cell>
          <cell r="C7505" t="str">
            <v>Tracheophyta</v>
          </cell>
          <cell r="D7505" t="str">
            <v>Scabiosa columbaria</v>
          </cell>
          <cell r="E7505" t="str">
            <v>LC</v>
          </cell>
          <cell r="F7505" t="str">
            <v>in Stroh et al., 2014 (from: Cheffings &amp; Farrell 2005 or subsequent amendments in Leach 2007, 2010; Leach &amp; Walker 2011, 2013)</v>
          </cell>
          <cell r="G7505" t="str">
            <v>NBNSYS0000004350</v>
          </cell>
          <cell r="H7505" t="str">
            <v>Scabiosa columbaria</v>
          </cell>
        </row>
        <row r="7506">
          <cell r="A7506" t="str">
            <v>Schedonorus arundinaceus</v>
          </cell>
          <cell r="B7506" t="str">
            <v>Vascular plants</v>
          </cell>
          <cell r="C7506" t="str">
            <v>Tracheophyta</v>
          </cell>
          <cell r="D7506" t="str">
            <v>Schedonorus arundinaceus</v>
          </cell>
          <cell r="E7506" t="str">
            <v>LC</v>
          </cell>
          <cell r="F7506" t="str">
            <v>in Stroh et al., 2014 (from: Cheffings &amp; Farrell 2005 or subsequent amendments in Leach 2007, 2010; Leach &amp; Walker 2011, 2013)</v>
          </cell>
          <cell r="G7506" t="str">
            <v>NHMSYS0000458758</v>
          </cell>
          <cell r="H7506" t="str">
            <v>Schedonorus arundinaceus</v>
          </cell>
        </row>
        <row r="7507">
          <cell r="A7507" t="str">
            <v>Schedonorus giganteus</v>
          </cell>
          <cell r="B7507" t="str">
            <v>Vascular plants</v>
          </cell>
          <cell r="C7507" t="str">
            <v>Tracheophyta</v>
          </cell>
          <cell r="D7507" t="str">
            <v>Schedonorus giganteus</v>
          </cell>
          <cell r="E7507" t="str">
            <v>LC</v>
          </cell>
          <cell r="F7507" t="str">
            <v>in Stroh et al., 2014 (from: Cheffings &amp; Farrell 2005 or subsequent amendments in Leach 2007, 2010; Leach &amp; Walker 2011, 2013)</v>
          </cell>
          <cell r="G7507" t="str">
            <v>NHMSYS0000458771</v>
          </cell>
          <cell r="H7507" t="str">
            <v>Schedonorus giganteus</v>
          </cell>
        </row>
        <row r="7508">
          <cell r="A7508" t="str">
            <v>Schedonorus pratensis</v>
          </cell>
          <cell r="B7508" t="str">
            <v>Vascular plants</v>
          </cell>
          <cell r="C7508" t="str">
            <v>Tracheophyta</v>
          </cell>
          <cell r="D7508" t="str">
            <v>Schedonorus pratensis</v>
          </cell>
          <cell r="E7508" t="str">
            <v>LC</v>
          </cell>
          <cell r="F7508" t="str">
            <v>in Stroh et al., 2014 (from: Cheffings &amp; Farrell 2005 or subsequent amendments in Leach 2007, 2010; Leach &amp; Walker 2011, 2013)</v>
          </cell>
          <cell r="G7508" t="str">
            <v>NHMSYS0000458788</v>
          </cell>
          <cell r="H7508" t="str">
            <v>Schedonorus pratensis</v>
          </cell>
        </row>
        <row r="7509">
          <cell r="A7509" t="str">
            <v>Scheuchzeria palustris</v>
          </cell>
          <cell r="B7509" t="str">
            <v>Vascular plants</v>
          </cell>
          <cell r="C7509" t="str">
            <v>Tracheophyta</v>
          </cell>
          <cell r="D7509" t="str">
            <v>Scheuchzeria palustris</v>
          </cell>
          <cell r="E7509" t="str">
            <v>LC</v>
          </cell>
          <cell r="F7509" t="str">
            <v>in Stroh et al., 2014 (from: Cheffings &amp; Farrell 2005 or subsequent amendments in Leach 2007, 2010; Leach &amp; Walker 2011, 2013)</v>
          </cell>
          <cell r="G7509" t="str">
            <v>NBNSYS0000002119</v>
          </cell>
          <cell r="H7509" t="str">
            <v>Scheuchzeria palustris</v>
          </cell>
        </row>
        <row r="7510">
          <cell r="A7510" t="str">
            <v>Schoenoplectus lacustris</v>
          </cell>
          <cell r="B7510" t="str">
            <v>Vascular plants</v>
          </cell>
          <cell r="C7510" t="str">
            <v>Tracheophyta</v>
          </cell>
          <cell r="D7510" t="str">
            <v>Schoenoplectus lacustris</v>
          </cell>
          <cell r="E7510" t="str">
            <v>LC</v>
          </cell>
          <cell r="F7510" t="str">
            <v>in Stroh et al., 2014 (from: Cheffings &amp; Farrell 2005 or subsequent amendments in Leach 2007, 2010; Leach &amp; Walker 2011, 2013)</v>
          </cell>
          <cell r="G7510" t="str">
            <v>NBNSYS0000002386</v>
          </cell>
          <cell r="H7510" t="str">
            <v>Schoenoplectus lacustris</v>
          </cell>
        </row>
        <row r="7511">
          <cell r="A7511" t="str">
            <v>Schoenoplectus tabernaemontani</v>
          </cell>
          <cell r="B7511" t="str">
            <v>Vascular plants</v>
          </cell>
          <cell r="C7511" t="str">
            <v>Tracheophyta</v>
          </cell>
          <cell r="D7511" t="str">
            <v>Schoenoplectus tabernaemontani</v>
          </cell>
          <cell r="E7511" t="str">
            <v>LC</v>
          </cell>
          <cell r="F7511" t="str">
            <v>in Stroh et al., 2014 (from: Cheffings &amp; Farrell 2005 or subsequent amendments in Leach 2007, 2010; Leach &amp; Walker 2011, 2013)</v>
          </cell>
          <cell r="G7511" t="str">
            <v>NHMSYS0000463294</v>
          </cell>
          <cell r="H7511" t="str">
            <v>Schoenoplectus tabernaemontani</v>
          </cell>
        </row>
        <row r="7512">
          <cell r="A7512" t="str">
            <v>Schoenoplectus triqueter</v>
          </cell>
          <cell r="B7512" t="str">
            <v>Vascular plants</v>
          </cell>
          <cell r="C7512" t="str">
            <v>Tracheophyta</v>
          </cell>
          <cell r="D7512" t="str">
            <v>Schoenoplectus triqueter</v>
          </cell>
          <cell r="E7512" t="str">
            <v>CR</v>
          </cell>
          <cell r="F7512" t="str">
            <v>in Stroh et al., 2014 (from: Cheffings &amp; Farrell 2005 or subsequent amendments in Leach 2007, 2010; Leach &amp; Walker 2011, 2013)</v>
          </cell>
          <cell r="G7512" t="str">
            <v>NBNSYS0000002384</v>
          </cell>
          <cell r="H7512" t="str">
            <v>Schoenoplectus triqueter</v>
          </cell>
        </row>
        <row r="7513">
          <cell r="A7513" t="str">
            <v>Schoenus nigricans</v>
          </cell>
          <cell r="B7513" t="str">
            <v>Vascular plants</v>
          </cell>
          <cell r="C7513" t="str">
            <v>Tracheophyta</v>
          </cell>
          <cell r="D7513" t="str">
            <v>Schoenus nigricans</v>
          </cell>
          <cell r="E7513" t="str">
            <v>LC</v>
          </cell>
          <cell r="F7513" t="str">
            <v>in Stroh et al., 2014 (from: Cheffings &amp; Farrell 2005 or subsequent amendments in Leach 2007, 2010; Leach &amp; Walker 2011, 2013)</v>
          </cell>
          <cell r="G7513" t="str">
            <v>NBNSYS0000002405</v>
          </cell>
          <cell r="H7513" t="str">
            <v>Schoenus nigricans</v>
          </cell>
        </row>
        <row r="7514">
          <cell r="A7514" t="str">
            <v>Scilla autumnalis</v>
          </cell>
          <cell r="B7514" t="str">
            <v>Vascular plants</v>
          </cell>
          <cell r="C7514" t="str">
            <v>Tracheophyta</v>
          </cell>
          <cell r="D7514" t="str">
            <v>Scilla autumnalis</v>
          </cell>
          <cell r="E7514" t="str">
            <v>LC</v>
          </cell>
          <cell r="F7514" t="str">
            <v>in Stroh et al., 2014 (from: Cheffings &amp; Farrell 2005 or subsequent amendments in Leach 2007, 2010; Leach &amp; Walker 2011, 2013)</v>
          </cell>
          <cell r="G7514" t="str">
            <v>NBNSYS0000002183</v>
          </cell>
          <cell r="H7514" t="str">
            <v>Scilla autumnalis</v>
          </cell>
        </row>
        <row r="7515">
          <cell r="A7515" t="str">
            <v>Scilla verna</v>
          </cell>
          <cell r="B7515" t="str">
            <v>Vascular plants</v>
          </cell>
          <cell r="C7515" t="str">
            <v>Tracheophyta</v>
          </cell>
          <cell r="D7515" t="str">
            <v>Scilla verna</v>
          </cell>
          <cell r="E7515" t="str">
            <v>LC</v>
          </cell>
          <cell r="F7515" t="str">
            <v>in Stroh et al., 2014 (from: Cheffings &amp; Farrell 2005 or subsequent amendments in Leach 2007, 2010; Leach &amp; Walker 2011, 2013)</v>
          </cell>
          <cell r="G7515" t="str">
            <v>NHMSYS0000463306</v>
          </cell>
          <cell r="H7515" t="str">
            <v>Scilla verna</v>
          </cell>
        </row>
        <row r="7516">
          <cell r="A7516" t="str">
            <v>Scirpoides holoschoenus</v>
          </cell>
          <cell r="B7516" t="str">
            <v>Vascular plants</v>
          </cell>
          <cell r="C7516" t="str">
            <v>Tracheophyta</v>
          </cell>
          <cell r="D7516" t="str">
            <v>Scirpoides holoschoenus</v>
          </cell>
          <cell r="E7516" t="str">
            <v>EN</v>
          </cell>
          <cell r="F7516" t="str">
            <v>in Stroh et al., 2014 (from: Cheffings &amp; Farrell 2005 or subsequent amendments in Leach 2007, 2010; Leach &amp; Walker 2011, 2013)</v>
          </cell>
          <cell r="G7516" t="str">
            <v>NHMSYS0000463308</v>
          </cell>
          <cell r="H7516" t="str">
            <v>Scirpoides holoschoenus</v>
          </cell>
        </row>
        <row r="7517">
          <cell r="A7517" t="str">
            <v>Scirpus sylvaticus</v>
          </cell>
          <cell r="B7517" t="str">
            <v>Vascular plants</v>
          </cell>
          <cell r="C7517" t="str">
            <v>Tracheophyta</v>
          </cell>
          <cell r="D7517" t="str">
            <v>Scirpus sylvaticus</v>
          </cell>
          <cell r="E7517" t="str">
            <v>LC</v>
          </cell>
          <cell r="F7517" t="str">
            <v>in Stroh et al., 2014 (from: Cheffings &amp; Farrell 2005 or subsequent amendments in Leach 2007, 2010; Leach &amp; Walker 2011, 2013)</v>
          </cell>
          <cell r="G7517" t="str">
            <v>NBNSYS0000002382</v>
          </cell>
          <cell r="H7517" t="str">
            <v>Scirpus sylvaticus</v>
          </cell>
        </row>
        <row r="7518">
          <cell r="A7518" t="str">
            <v>Scleranthus annuus</v>
          </cell>
          <cell r="B7518" t="str">
            <v>Vascular plants</v>
          </cell>
          <cell r="C7518" t="str">
            <v>Tracheophyta</v>
          </cell>
          <cell r="D7518" t="str">
            <v>Scleranthus annuus</v>
          </cell>
          <cell r="E7518" t="str">
            <v>EN</v>
          </cell>
          <cell r="F7518" t="str">
            <v>in Stroh et al., 2014 (from: Cheffings &amp; Farrell 2005 or subsequent amendments in Leach 2007, 2010; Leach &amp; Walker 2011, 2013)</v>
          </cell>
          <cell r="G7518" t="str">
            <v>NBNSYS0000004587</v>
          </cell>
          <cell r="H7518" t="str">
            <v>Scleranthus annuus</v>
          </cell>
        </row>
        <row r="7519">
          <cell r="A7519" t="str">
            <v>Scleranthus perennis subsp. prostratus </v>
          </cell>
          <cell r="B7519" t="str">
            <v>Vascular plants</v>
          </cell>
          <cell r="C7519" t="str">
            <v>Tracheophyta</v>
          </cell>
          <cell r="D7519" t="str">
            <v>Scleranthus perennis (subsp.) prostratus</v>
          </cell>
          <cell r="E7519" t="str">
            <v>EN</v>
          </cell>
          <cell r="F7519" t="str">
            <v>in Stroh et al., 2014 (from: Cheffings &amp; Farrell 2005 or subsequent amendments in Leach 2007, 2010; Leach &amp; Walker 2011, 2013)</v>
          </cell>
          <cell r="G7519" t="str">
            <v>NHMSYS0000463331</v>
          </cell>
          <cell r="H7519" t="str">
            <v>Scleranthus perennis subsp. prostratus </v>
          </cell>
        </row>
        <row r="7520">
          <cell r="A7520" t="str">
            <v>Scorzonera humilis</v>
          </cell>
          <cell r="B7520" t="str">
            <v>Vascular plants</v>
          </cell>
          <cell r="C7520" t="str">
            <v>Tracheophyta</v>
          </cell>
          <cell r="D7520" t="str">
            <v>Scorzonera humilis</v>
          </cell>
          <cell r="E7520" t="str">
            <v>VU</v>
          </cell>
          <cell r="F7520" t="str">
            <v>in Stroh et al., 2014 (from: Cheffings &amp; Farrell 2005 or subsequent amendments in Leach 2007, 2010; Leach &amp; Walker 2011, 2013)</v>
          </cell>
          <cell r="G7520" t="str">
            <v>NBNSYS0000004533</v>
          </cell>
          <cell r="H7520" t="str">
            <v>Scorzonera humilis</v>
          </cell>
        </row>
        <row r="7521">
          <cell r="A7521" t="str">
            <v>Scorzoneroides autumnalis</v>
          </cell>
          <cell r="B7521" t="str">
            <v>Vascular plants</v>
          </cell>
          <cell r="C7521" t="str">
            <v>Tracheophyta</v>
          </cell>
          <cell r="D7521" t="str">
            <v>Scorzoneroides autumnalis</v>
          </cell>
          <cell r="E7521" t="str">
            <v>LC</v>
          </cell>
          <cell r="F7521" t="str">
            <v>in Stroh et al., 2014 (from: Cheffings &amp; Farrell 2005 or subsequent amendments in Leach 2007, 2010; Leach &amp; Walker 2011, 2013)</v>
          </cell>
          <cell r="G7521" t="str">
            <v>NHMSYS0021126374</v>
          </cell>
          <cell r="H7521" t="str">
            <v>Scorzoneroides autumnalis</v>
          </cell>
        </row>
        <row r="7522">
          <cell r="A7522" t="str">
            <v>Scrophularia auriculata</v>
          </cell>
          <cell r="B7522" t="str">
            <v>Vascular plants</v>
          </cell>
          <cell r="C7522" t="str">
            <v>Tracheophyta</v>
          </cell>
          <cell r="D7522" t="str">
            <v>Scrophularia auriculata</v>
          </cell>
          <cell r="E7522" t="str">
            <v>LC</v>
          </cell>
          <cell r="F7522" t="str">
            <v>in Stroh et al., 2014 (from: Cheffings &amp; Farrell 2005 or subsequent amendments in Leach 2007, 2010; Leach &amp; Walker 2011, 2013)</v>
          </cell>
          <cell r="G7522" t="str">
            <v>NBNSYS0000004079</v>
          </cell>
          <cell r="H7522" t="str">
            <v>Scrophularia auriculata</v>
          </cell>
        </row>
        <row r="7523">
          <cell r="A7523" t="str">
            <v>Scrophularia nodosa</v>
          </cell>
          <cell r="B7523" t="str">
            <v>Vascular plants</v>
          </cell>
          <cell r="C7523" t="str">
            <v>Tracheophyta</v>
          </cell>
          <cell r="D7523" t="str">
            <v>Scrophularia nodosa</v>
          </cell>
          <cell r="E7523" t="str">
            <v>LC</v>
          </cell>
          <cell r="F7523" t="str">
            <v>in Stroh et al., 2014 (from: Cheffings &amp; Farrell 2005 or subsequent amendments in Leach 2007, 2010; Leach &amp; Walker 2011, 2013)</v>
          </cell>
          <cell r="G7523" t="str">
            <v>NBNSYS0000004078</v>
          </cell>
          <cell r="H7523" t="str">
            <v>Scrophularia nodosa</v>
          </cell>
        </row>
        <row r="7524">
          <cell r="A7524" t="str">
            <v>Scrophularia umbrosa</v>
          </cell>
          <cell r="B7524" t="str">
            <v>Vascular plants</v>
          </cell>
          <cell r="C7524" t="str">
            <v>Tracheophyta</v>
          </cell>
          <cell r="D7524" t="str">
            <v>Scrophularia umbrosa</v>
          </cell>
          <cell r="E7524" t="str">
            <v>LC</v>
          </cell>
          <cell r="F7524" t="str">
            <v>in Stroh et al., 2014 (from: Cheffings &amp; Farrell 2005 or subsequent amendments in Leach 2007, 2010; Leach &amp; Walker 2011, 2013)</v>
          </cell>
          <cell r="G7524" t="str">
            <v>NBNSYS0000004080</v>
          </cell>
          <cell r="H7524" t="str">
            <v>Scrophularia umbrosa</v>
          </cell>
        </row>
        <row r="7525">
          <cell r="A7525" t="str">
            <v>Scutellaria galericulata</v>
          </cell>
          <cell r="B7525" t="str">
            <v>Vascular plants</v>
          </cell>
          <cell r="C7525" t="str">
            <v>Tracheophyta</v>
          </cell>
          <cell r="D7525" t="str">
            <v>Scutellaria galericulata</v>
          </cell>
          <cell r="E7525" t="str">
            <v>LC</v>
          </cell>
          <cell r="F7525" t="str">
            <v>in Stroh et al., 2014 (from: Cheffings &amp; Farrell 2005 or subsequent amendments in Leach 2007, 2010; Leach &amp; Walker 2011, 2013)</v>
          </cell>
          <cell r="G7525" t="str">
            <v>NBNSYS0000004259</v>
          </cell>
          <cell r="H7525" t="str">
            <v>Scutellaria galericulata</v>
          </cell>
        </row>
        <row r="7526">
          <cell r="A7526" t="str">
            <v>Scutellaria minor</v>
          </cell>
          <cell r="B7526" t="str">
            <v>Vascular plants</v>
          </cell>
          <cell r="C7526" t="str">
            <v>Tracheophyta</v>
          </cell>
          <cell r="D7526" t="str">
            <v>Scutellaria minor</v>
          </cell>
          <cell r="E7526" t="str">
            <v>LC</v>
          </cell>
          <cell r="F7526" t="str">
            <v>in Stroh et al., 2014 (from: Cheffings &amp; Farrell 2005 or subsequent amendments in Leach 2007, 2010; Leach &amp; Walker 2011, 2013)</v>
          </cell>
          <cell r="G7526" t="str">
            <v>NHMSYS0000463361</v>
          </cell>
          <cell r="H7526" t="str">
            <v>Scutellaria minor</v>
          </cell>
        </row>
        <row r="7527">
          <cell r="A7527" t="str">
            <v>Sedum acre</v>
          </cell>
          <cell r="B7527" t="str">
            <v>Vascular plants</v>
          </cell>
          <cell r="C7527" t="str">
            <v>Tracheophyta</v>
          </cell>
          <cell r="D7527" t="str">
            <v>Sedum acre</v>
          </cell>
          <cell r="E7527" t="str">
            <v>LC</v>
          </cell>
          <cell r="F7527" t="str">
            <v>in Stroh et al., 2014 (from: Cheffings &amp; Farrell 2005 or subsequent amendments in Leach 2007, 2010; Leach &amp; Walker 2011, 2013)</v>
          </cell>
          <cell r="G7527" t="str">
            <v>NBNSYS0000003477</v>
          </cell>
          <cell r="H7527" t="str">
            <v>Sedum acre</v>
          </cell>
        </row>
        <row r="7528">
          <cell r="A7528" t="str">
            <v>Sedum anglicum</v>
          </cell>
          <cell r="B7528" t="str">
            <v>Vascular plants</v>
          </cell>
          <cell r="C7528" t="str">
            <v>Tracheophyta</v>
          </cell>
          <cell r="D7528" t="str">
            <v>Sedum anglicum</v>
          </cell>
          <cell r="E7528" t="str">
            <v>LC</v>
          </cell>
          <cell r="F7528" t="str">
            <v>in Stroh et al., 2014 (from: Cheffings &amp; Farrell 2005 or subsequent amendments in Leach 2007, 2010; Leach &amp; Walker 2011, 2013)</v>
          </cell>
          <cell r="G7528" t="str">
            <v>NHMSYS0000463381</v>
          </cell>
          <cell r="H7528" t="str">
            <v>Sedum anglicum</v>
          </cell>
        </row>
        <row r="7529">
          <cell r="A7529" t="str">
            <v>Sedum forsterianum</v>
          </cell>
          <cell r="B7529" t="str">
            <v>Vascular plants</v>
          </cell>
          <cell r="C7529" t="str">
            <v>Tracheophyta</v>
          </cell>
          <cell r="D7529" t="str">
            <v>Sedum forsterianum</v>
          </cell>
          <cell r="E7529" t="str">
            <v>LC</v>
          </cell>
          <cell r="F7529" t="str">
            <v>in Stroh et al., 2014 (from: Cheffings &amp; Farrell 2005 or subsequent amendments in Leach 2007, 2010; Leach &amp; Walker 2011, 2013)</v>
          </cell>
          <cell r="G7529" t="str">
            <v>NHMSYS0000463386</v>
          </cell>
          <cell r="H7529" t="str">
            <v>Sedum forsterianum</v>
          </cell>
        </row>
        <row r="7530">
          <cell r="A7530" t="str">
            <v>Sedum rosea</v>
          </cell>
          <cell r="B7530" t="str">
            <v>Vascular plants</v>
          </cell>
          <cell r="C7530" t="str">
            <v>Tracheophyta</v>
          </cell>
          <cell r="D7530" t="str">
            <v>Sedum rosea</v>
          </cell>
          <cell r="E7530" t="str">
            <v>LC</v>
          </cell>
          <cell r="F7530" t="str">
            <v>in Stroh et al., 2014 (from: Cheffings &amp; Farrell 2005 or subsequent amendments in Leach 2007, 2010; Leach &amp; Walker 2011, 2013)</v>
          </cell>
          <cell r="G7530" t="str">
            <v>NBNSYS0000003466</v>
          </cell>
          <cell r="H7530" t="str">
            <v>Sedum rosea</v>
          </cell>
        </row>
        <row r="7531">
          <cell r="A7531" t="str">
            <v>Sedum telephium</v>
          </cell>
          <cell r="B7531" t="str">
            <v>Vascular plants</v>
          </cell>
          <cell r="C7531" t="str">
            <v>Tracheophyta</v>
          </cell>
          <cell r="D7531" t="str">
            <v>Sedum telephium</v>
          </cell>
          <cell r="E7531" t="str">
            <v>LC</v>
          </cell>
          <cell r="F7531" t="str">
            <v>in Stroh et al., 2014 (from: Cheffings &amp; Farrell 2005 or subsequent amendments in Leach 2007, 2010; Leach &amp; Walker 2011, 2013)</v>
          </cell>
          <cell r="G7531" t="str">
            <v>NBNSYS0000003467</v>
          </cell>
          <cell r="H7531" t="str">
            <v>Sedum telephium</v>
          </cell>
        </row>
        <row r="7532">
          <cell r="A7532" t="str">
            <v>Sedum villosum</v>
          </cell>
          <cell r="B7532" t="str">
            <v>Vascular plants</v>
          </cell>
          <cell r="C7532" t="str">
            <v>Tracheophyta</v>
          </cell>
          <cell r="D7532" t="str">
            <v>Sedum villosum</v>
          </cell>
          <cell r="E7532" t="str">
            <v>NT</v>
          </cell>
          <cell r="F7532" t="str">
            <v>in Stroh et al., 2014 (from: Cheffings &amp; Farrell 2005 or subsequent amendments in Leach 2007, 2010; Leach &amp; Walker 2011, 2013)</v>
          </cell>
          <cell r="G7532" t="str">
            <v>NBNSYS0000003483</v>
          </cell>
          <cell r="H7532" t="str">
            <v>Sedum villosum</v>
          </cell>
        </row>
        <row r="7533">
          <cell r="A7533" t="str">
            <v>Selaginella selaginoides</v>
          </cell>
          <cell r="B7533" t="str">
            <v>Vascular plants</v>
          </cell>
          <cell r="C7533" t="str">
            <v>Tracheophyta</v>
          </cell>
          <cell r="D7533" t="str">
            <v>Selaginella selaginoides</v>
          </cell>
          <cell r="E7533" t="str">
            <v>LC</v>
          </cell>
          <cell r="F7533" t="str">
            <v>in Stroh et al., 2014 (from: Cheffings &amp; Farrell 2005 or subsequent amendments in Leach 2007, 2010; Leach &amp; Walker 2011, 2013)</v>
          </cell>
          <cell r="G7533" t="str">
            <v>NHMSYS0000463411</v>
          </cell>
          <cell r="H7533" t="str">
            <v>Selaginella selaginoides</v>
          </cell>
        </row>
        <row r="7534">
          <cell r="A7534" t="str">
            <v>Selinum carvifolia</v>
          </cell>
          <cell r="B7534" t="str">
            <v>Vascular plants</v>
          </cell>
          <cell r="C7534" t="str">
            <v>Tracheophyta</v>
          </cell>
          <cell r="D7534" t="str">
            <v>Selinum carvifolia</v>
          </cell>
          <cell r="E7534" t="str">
            <v>VU</v>
          </cell>
          <cell r="F7534" t="str">
            <v>in Stroh et al., 2014 (from: Cheffings &amp; Farrell 2005 or subsequent amendments in Leach 2007, 2010; Leach &amp; Walker 2011, 2013)</v>
          </cell>
          <cell r="G7534" t="str">
            <v>NBNSYS0000003701</v>
          </cell>
          <cell r="H7534" t="str">
            <v>Selinum carvifolia</v>
          </cell>
        </row>
        <row r="7535">
          <cell r="A7535" t="str">
            <v>Senecio aquaticus</v>
          </cell>
          <cell r="B7535" t="str">
            <v>Vascular plants</v>
          </cell>
          <cell r="C7535" t="str">
            <v>Tracheophyta</v>
          </cell>
          <cell r="D7535" t="str">
            <v>Senecio aquaticus</v>
          </cell>
          <cell r="E7535" t="str">
            <v>LC</v>
          </cell>
          <cell r="F7535" t="str">
            <v>in Stroh et al., 2014 (from: Cheffings &amp; Farrell 2005 or subsequent amendments in Leach 2007, 2010; Leach &amp; Walker 2011, 2013)</v>
          </cell>
          <cell r="G7535" t="str">
            <v>NHMSYS0021241532</v>
          </cell>
          <cell r="H7535" t="str">
            <v>Senecio aquaticus</v>
          </cell>
        </row>
        <row r="7536">
          <cell r="A7536" t="str">
            <v>Senecio eboracensis</v>
          </cell>
          <cell r="B7536" t="str">
            <v>Vascular plants</v>
          </cell>
          <cell r="C7536" t="str">
            <v>Tracheophyta</v>
          </cell>
          <cell r="D7536" t="str">
            <v>Senecio eboracensis</v>
          </cell>
          <cell r="E7536" t="str">
            <v>EW</v>
          </cell>
          <cell r="F7536" t="str">
            <v>in Stroh et al., 2014 (from: Cheffings &amp; Farrell 2005 or subsequent amendments in Leach 2007, 2010; Leach &amp; Walker 2011, 2013)</v>
          </cell>
          <cell r="G7536" t="str">
            <v>NHMSYS0020110586</v>
          </cell>
          <cell r="H7536" t="str">
            <v>Senecio eboracensis</v>
          </cell>
        </row>
        <row r="7537">
          <cell r="A7537" t="str">
            <v>Senecio erucifolius</v>
          </cell>
          <cell r="B7537" t="str">
            <v>Vascular plants</v>
          </cell>
          <cell r="C7537" t="str">
            <v>Tracheophyta</v>
          </cell>
          <cell r="D7537" t="str">
            <v>Senecio erucifolius</v>
          </cell>
          <cell r="E7537" t="str">
            <v>LC</v>
          </cell>
          <cell r="F7537" t="str">
            <v>in Stroh et al., 2014 (from: Cheffings &amp; Farrell 2005 or subsequent amendments in Leach 2007, 2010; Leach &amp; Walker 2011, 2013)</v>
          </cell>
          <cell r="G7537" t="str">
            <v>NHMSYS0021241547</v>
          </cell>
          <cell r="H7537" t="str">
            <v>Senecio erucifolius</v>
          </cell>
        </row>
        <row r="7538">
          <cell r="A7538" t="str">
            <v>Senecio jacobaea</v>
          </cell>
          <cell r="B7538" t="str">
            <v>Vascular plants</v>
          </cell>
          <cell r="C7538" t="str">
            <v>Tracheophyta</v>
          </cell>
          <cell r="D7538" t="str">
            <v>Senecio jacobaea</v>
          </cell>
          <cell r="E7538" t="str">
            <v>LC</v>
          </cell>
          <cell r="F7538" t="str">
            <v>in Stroh et al., 2014 (from: Cheffings &amp; Farrell 2005 or subsequent amendments in Leach 2007, 2010; Leach &amp; Walker 2011, 2013)</v>
          </cell>
          <cell r="G7538" t="str">
            <v>NHMSYS0021241522</v>
          </cell>
          <cell r="H7538" t="str">
            <v>Senecio jacobaea</v>
          </cell>
        </row>
        <row r="7539">
          <cell r="A7539" t="str">
            <v>Senecio paludosus</v>
          </cell>
          <cell r="B7539" t="str">
            <v>Vascular plants</v>
          </cell>
          <cell r="C7539" t="str">
            <v>Tracheophyta</v>
          </cell>
          <cell r="D7539" t="str">
            <v>Senecio paludosus</v>
          </cell>
          <cell r="E7539" t="str">
            <v>CR</v>
          </cell>
          <cell r="F7539" t="str">
            <v>in Stroh et al., 2014 (from: Cheffings &amp; Farrell 2005 or subsequent amendments in Leach 2007, 2010; Leach &amp; Walker 2011, 2013)</v>
          </cell>
          <cell r="G7539" t="str">
            <v>NHMSYS0021241552</v>
          </cell>
          <cell r="H7539" t="str">
            <v>Senecio paludosus</v>
          </cell>
        </row>
        <row r="7540">
          <cell r="A7540" t="str">
            <v>Senecio sylvaticus</v>
          </cell>
          <cell r="B7540" t="str">
            <v>Vascular plants</v>
          </cell>
          <cell r="C7540" t="str">
            <v>Tracheophyta</v>
          </cell>
          <cell r="D7540" t="str">
            <v>Senecio sylvaticus</v>
          </cell>
          <cell r="E7540" t="str">
            <v>LC</v>
          </cell>
          <cell r="F7540" t="str">
            <v>in Stroh et al., 2014 (from: Cheffings &amp; Farrell 2005 or subsequent amendments in Leach 2007, 2010; Leach &amp; Walker 2011, 2013)</v>
          </cell>
          <cell r="G7540" t="str">
            <v>NBNSYS0000004369</v>
          </cell>
          <cell r="H7540" t="str">
            <v>Senecio sylvaticus</v>
          </cell>
        </row>
        <row r="7541">
          <cell r="A7541" t="str">
            <v>Senecio vulgaris</v>
          </cell>
          <cell r="B7541" t="str">
            <v>Vascular plants</v>
          </cell>
          <cell r="C7541" t="str">
            <v>Tracheophyta</v>
          </cell>
          <cell r="D7541" t="str">
            <v>Senecio vulgaris</v>
          </cell>
          <cell r="E7541" t="str">
            <v>LC</v>
          </cell>
          <cell r="F7541" t="str">
            <v>in Stroh et al., 2014 (from: Cheffings &amp; Farrell 2005 or subsequent amendments in Leach 2007, 2010; Leach &amp; Walker 2011, 2013)</v>
          </cell>
          <cell r="G7541" t="str">
            <v>NBNSYS0000004371</v>
          </cell>
          <cell r="H7541" t="str">
            <v>Senecio vulgaris</v>
          </cell>
        </row>
        <row r="7542">
          <cell r="A7542" t="str">
            <v>Serratula tinctoria</v>
          </cell>
          <cell r="B7542" t="str">
            <v>Vascular plants</v>
          </cell>
          <cell r="C7542" t="str">
            <v>Tracheophyta</v>
          </cell>
          <cell r="D7542" t="str">
            <v>Serratula tinctoria</v>
          </cell>
          <cell r="E7542" t="str">
            <v>LC</v>
          </cell>
          <cell r="F7542" t="str">
            <v>in Stroh et al., 2014 (from: Cheffings &amp; Farrell 2005 or subsequent amendments in Leach 2007, 2010; Leach &amp; Walker 2011, 2013)</v>
          </cell>
          <cell r="G7542" t="str">
            <v>NBNSYS0000004513</v>
          </cell>
          <cell r="H7542" t="str">
            <v>Serratula tinctoria</v>
          </cell>
        </row>
        <row r="7543">
          <cell r="A7543" t="str">
            <v>Seseli libanotis</v>
          </cell>
          <cell r="B7543" t="str">
            <v>Vascular plants</v>
          </cell>
          <cell r="C7543" t="str">
            <v>Tracheophyta</v>
          </cell>
          <cell r="D7543" t="str">
            <v>Seseli libanotis</v>
          </cell>
          <cell r="E7543" t="str">
            <v>NT</v>
          </cell>
          <cell r="F7543" t="str">
            <v>in Stroh et al., 2014 (from: Cheffings &amp; Farrell 2005 or subsequent amendments in Leach 2007, 2010; Leach &amp; Walker 2011, 2013)</v>
          </cell>
          <cell r="G7543" t="str">
            <v>NHMSYS0000463473</v>
          </cell>
          <cell r="H7543" t="str">
            <v>Seseli libanotis</v>
          </cell>
        </row>
        <row r="7544">
          <cell r="A7544" t="str">
            <v>Sesleria caerulea</v>
          </cell>
          <cell r="B7544" t="str">
            <v>Vascular plants</v>
          </cell>
          <cell r="C7544" t="str">
            <v>Tracheophyta</v>
          </cell>
          <cell r="D7544" t="str">
            <v>Sesleria caerulea</v>
          </cell>
          <cell r="E7544" t="str">
            <v>LC</v>
          </cell>
          <cell r="F7544" t="str">
            <v>in Stroh et al., 2014 (from: Cheffings &amp; Farrell 2005 or subsequent amendments in Leach 2007, 2010; Leach &amp; Walker 2011, 2013)</v>
          </cell>
          <cell r="G7544" t="str">
            <v>NBNSYS0000002570</v>
          </cell>
          <cell r="H7544" t="str">
            <v>Sesleria caerulea</v>
          </cell>
        </row>
        <row r="7545">
          <cell r="A7545" t="str">
            <v>Sherardia arvensis</v>
          </cell>
          <cell r="B7545" t="str">
            <v>Vascular plants</v>
          </cell>
          <cell r="C7545" t="str">
            <v>Tracheophyta</v>
          </cell>
          <cell r="D7545" t="str">
            <v>Sherardia arvensis</v>
          </cell>
          <cell r="E7545" t="str">
            <v>LC</v>
          </cell>
          <cell r="F7545" t="str">
            <v>in Stroh et al., 2014 (from: Cheffings &amp; Farrell 2005 or subsequent amendments in Leach 2007, 2010; Leach &amp; Walker 2011, 2013)</v>
          </cell>
          <cell r="G7545" t="str">
            <v>NBNSYS0000004300</v>
          </cell>
          <cell r="H7545" t="str">
            <v>Sherardia arvensis</v>
          </cell>
        </row>
        <row r="7546">
          <cell r="A7546" t="str">
            <v>Sibthorpia europaea</v>
          </cell>
          <cell r="B7546" t="str">
            <v>Vascular plants</v>
          </cell>
          <cell r="C7546" t="str">
            <v>Tracheophyta</v>
          </cell>
          <cell r="D7546" t="str">
            <v>Sibthorpia europaea</v>
          </cell>
          <cell r="E7546" t="str">
            <v>LC</v>
          </cell>
          <cell r="F7546" t="str">
            <v>in Stroh et al., 2014 (from: Cheffings &amp; Farrell 2005 or subsequent amendments in Leach 2007, 2010; Leach &amp; Walker 2011, 2013)</v>
          </cell>
          <cell r="G7546" t="str">
            <v>NBNSYS0000004092</v>
          </cell>
          <cell r="H7546" t="str">
            <v>Sibthorpia europaea</v>
          </cell>
        </row>
        <row r="7547">
          <cell r="A7547" t="str">
            <v>Silaum silaus</v>
          </cell>
          <cell r="B7547" t="str">
            <v>Vascular plants</v>
          </cell>
          <cell r="C7547" t="str">
            <v>Tracheophyta</v>
          </cell>
          <cell r="D7547" t="str">
            <v>Silaum silaus</v>
          </cell>
          <cell r="E7547" t="str">
            <v>LC</v>
          </cell>
          <cell r="F7547" t="str">
            <v>in Stroh et al., 2014 (from: Cheffings &amp; Farrell 2005 or subsequent amendments in Leach 2007, 2010; Leach &amp; Walker 2011, 2013)</v>
          </cell>
          <cell r="G7547" t="str">
            <v>NBNSYS0000003699</v>
          </cell>
          <cell r="H7547" t="str">
            <v>Silaum silaus</v>
          </cell>
        </row>
        <row r="7548">
          <cell r="A7548" t="str">
            <v>Silene acaulis</v>
          </cell>
          <cell r="B7548" t="str">
            <v>Vascular plants</v>
          </cell>
          <cell r="C7548" t="str">
            <v>Tracheophyta</v>
          </cell>
          <cell r="D7548" t="str">
            <v>Silene acaulis</v>
          </cell>
          <cell r="E7548" t="str">
            <v>LC</v>
          </cell>
          <cell r="F7548" t="str">
            <v>in Stroh et al., 2014 (from: Cheffings &amp; Farrell 2005 or subsequent amendments in Leach 2007, 2010; Leach &amp; Walker 2011, 2013)</v>
          </cell>
          <cell r="G7548" t="str">
            <v>NBNSYS0000002992</v>
          </cell>
          <cell r="H7548" t="str">
            <v>Silene acaulis</v>
          </cell>
        </row>
        <row r="7549">
          <cell r="A7549" t="str">
            <v>Silene conica</v>
          </cell>
          <cell r="B7549" t="str">
            <v>Vascular plants</v>
          </cell>
          <cell r="C7549" t="str">
            <v>Tracheophyta</v>
          </cell>
          <cell r="D7549" t="str">
            <v>Silene conica</v>
          </cell>
          <cell r="E7549" t="str">
            <v>VU</v>
          </cell>
          <cell r="F7549" t="str">
            <v>in Stroh et al., 2014 (from: Cheffings &amp; Farrell 2005 or subsequent amendments in Leach 2007, 2010; Leach &amp; Walker 2011, 2013)</v>
          </cell>
          <cell r="G7549" t="str">
            <v>NBNSYS0000002988</v>
          </cell>
          <cell r="H7549" t="str">
            <v>Silene conica</v>
          </cell>
        </row>
        <row r="7550">
          <cell r="A7550" t="str">
            <v>Silene dioica</v>
          </cell>
          <cell r="B7550" t="str">
            <v>Vascular plants</v>
          </cell>
          <cell r="C7550" t="str">
            <v>Tracheophyta</v>
          </cell>
          <cell r="D7550" t="str">
            <v>Silene dioica</v>
          </cell>
          <cell r="E7550" t="str">
            <v>LC</v>
          </cell>
          <cell r="F7550" t="str">
            <v>in Stroh et al., 2014 (from: Cheffings &amp; Farrell 2005 or subsequent amendments in Leach 2007, 2010; Leach &amp; Walker 2011, 2013)</v>
          </cell>
          <cell r="G7550" t="str">
            <v>NBNSYS0000002998</v>
          </cell>
          <cell r="H7550" t="str">
            <v>Silene dioica</v>
          </cell>
        </row>
        <row r="7551">
          <cell r="A7551" t="str">
            <v>Silene flos-cuculi</v>
          </cell>
          <cell r="B7551" t="str">
            <v>Vascular plants</v>
          </cell>
          <cell r="C7551" t="str">
            <v>Tracheophyta</v>
          </cell>
          <cell r="D7551" t="str">
            <v>Silene flos-cuculi</v>
          </cell>
          <cell r="E7551" t="str">
            <v>LC</v>
          </cell>
          <cell r="F7551" t="str">
            <v>in Stroh et al., 2014 (from: Cheffings &amp; Farrell 2005 or subsequent amendments in Leach 2007, 2010; Leach &amp; Walker 2011, 2013)</v>
          </cell>
          <cell r="G7551" t="str">
            <v>NBNSYS0000156751</v>
          </cell>
          <cell r="H7551" t="str">
            <v>Silene flos-cuculi</v>
          </cell>
        </row>
        <row r="7552">
          <cell r="A7552" t="str">
            <v>Silene nutans</v>
          </cell>
          <cell r="B7552" t="str">
            <v>Vascular plants</v>
          </cell>
          <cell r="C7552" t="str">
            <v>Tracheophyta</v>
          </cell>
          <cell r="D7552" t="str">
            <v>Silene nutans</v>
          </cell>
          <cell r="E7552" t="str">
            <v>NT</v>
          </cell>
          <cell r="F7552" t="str">
            <v>in Stroh et al., 2014 (from: Cheffings &amp; Farrell 2005 or subsequent amendments in Leach 2007, 2010; Leach &amp; Walker 2011, 2013)</v>
          </cell>
          <cell r="G7552" t="str">
            <v>NBNSYS0000002995</v>
          </cell>
          <cell r="H7552" t="str">
            <v>Silene nutans</v>
          </cell>
        </row>
        <row r="7553">
          <cell r="A7553" t="str">
            <v>Silene otites</v>
          </cell>
          <cell r="B7553" t="str">
            <v>Vascular plants</v>
          </cell>
          <cell r="C7553" t="str">
            <v>Tracheophyta</v>
          </cell>
          <cell r="D7553" t="str">
            <v>Silene otites</v>
          </cell>
          <cell r="E7553" t="str">
            <v>EN</v>
          </cell>
          <cell r="F7553" t="str">
            <v>in Stroh et al., 2014 (from: Cheffings &amp; Farrell 2005 or subsequent amendments in Leach 2007, 2010; Leach &amp; Walker 2011, 2013)</v>
          </cell>
          <cell r="G7553" t="str">
            <v>NBNSYS0000002994</v>
          </cell>
          <cell r="H7553" t="str">
            <v>Silene otites</v>
          </cell>
        </row>
        <row r="7554">
          <cell r="A7554" t="str">
            <v>Silene suecica</v>
          </cell>
          <cell r="B7554" t="str">
            <v>Vascular plants</v>
          </cell>
          <cell r="C7554" t="str">
            <v>Tracheophyta</v>
          </cell>
          <cell r="D7554" t="str">
            <v>Silene suecica</v>
          </cell>
          <cell r="E7554" t="str">
            <v>VU</v>
          </cell>
          <cell r="F7554" t="str">
            <v>in Stroh et al., 2014 (from: Cheffings &amp; Farrell 2005 or subsequent amendments in Leach 2007, 2010; Leach &amp; Walker 2011, 2013)</v>
          </cell>
          <cell r="G7554" t="str">
            <v>NHMSYS0100002977</v>
          </cell>
          <cell r="H7554" t="str">
            <v>Silene suecica</v>
          </cell>
        </row>
        <row r="7555">
          <cell r="A7555" t="str">
            <v>Silene uniflora</v>
          </cell>
          <cell r="B7555" t="str">
            <v>Vascular plants</v>
          </cell>
          <cell r="C7555" t="str">
            <v>Tracheophyta</v>
          </cell>
          <cell r="D7555" t="str">
            <v>Silene uniflora</v>
          </cell>
          <cell r="E7555" t="str">
            <v>LC</v>
          </cell>
          <cell r="F7555" t="str">
            <v>in Stroh et al., 2014 (from: Cheffings &amp; Farrell 2005 or subsequent amendments in Leach 2007, 2010; Leach &amp; Walker 2011, 2013)</v>
          </cell>
          <cell r="G7555" t="str">
            <v>NBNSYS0000002987</v>
          </cell>
          <cell r="H7555" t="str">
            <v>Silene uniflora</v>
          </cell>
        </row>
        <row r="7556">
          <cell r="A7556" t="str">
            <v>Silene vulgaris</v>
          </cell>
          <cell r="B7556" t="str">
            <v>Vascular plants</v>
          </cell>
          <cell r="C7556" t="str">
            <v>Tracheophyta</v>
          </cell>
          <cell r="D7556" t="str">
            <v>Silene vulgaris</v>
          </cell>
          <cell r="E7556" t="str">
            <v>LC</v>
          </cell>
          <cell r="F7556" t="str">
            <v>in Stroh et al., 2014 (from: Cheffings &amp; Farrell 2005 or subsequent amendments in Leach 2007, 2010; Leach &amp; Walker 2011, 2013)</v>
          </cell>
          <cell r="G7556" t="str">
            <v>NHMSYS0000463584</v>
          </cell>
          <cell r="H7556" t="str">
            <v>Silene vulgaris</v>
          </cell>
        </row>
        <row r="7557">
          <cell r="A7557" t="str">
            <v>Sison amomum</v>
          </cell>
          <cell r="B7557" t="str">
            <v>Vascular plants</v>
          </cell>
          <cell r="C7557" t="str">
            <v>Tracheophyta</v>
          </cell>
          <cell r="D7557" t="str">
            <v>Sison amomum</v>
          </cell>
          <cell r="E7557" t="str">
            <v>LC</v>
          </cell>
          <cell r="F7557" t="str">
            <v>in Stroh et al., 2014 (from: Cheffings &amp; Farrell 2005 or subsequent amendments in Leach 2007, 2010; Leach &amp; Walker 2011, 2013)</v>
          </cell>
          <cell r="G7557" t="str">
            <v>NBNSYS0000003673</v>
          </cell>
          <cell r="H7557" t="str">
            <v>Sison amomum</v>
          </cell>
        </row>
        <row r="7558">
          <cell r="A7558" t="str">
            <v>Sium latifolium</v>
          </cell>
          <cell r="B7558" t="str">
            <v>Vascular plants</v>
          </cell>
          <cell r="C7558" t="str">
            <v>Tracheophyta</v>
          </cell>
          <cell r="D7558" t="str">
            <v>Sium latifolium</v>
          </cell>
          <cell r="E7558" t="str">
            <v>EN</v>
          </cell>
          <cell r="F7558" t="str">
            <v>in Stroh et al., 2014 (from: Cheffings &amp; Farrell 2005 or subsequent amendments in Leach 2007, 2010; Leach &amp; Walker 2011, 2013)</v>
          </cell>
          <cell r="G7558" t="str">
            <v>NBNSYS0000003685</v>
          </cell>
          <cell r="H7558" t="str">
            <v>Sium latifolium</v>
          </cell>
        </row>
        <row r="7559">
          <cell r="A7559" t="str">
            <v>Solanum dulcamara</v>
          </cell>
          <cell r="B7559" t="str">
            <v>Vascular plants</v>
          </cell>
          <cell r="C7559" t="str">
            <v>Tracheophyta</v>
          </cell>
          <cell r="D7559" t="str">
            <v>Solanum dulcamara</v>
          </cell>
          <cell r="E7559" t="str">
            <v>LC</v>
          </cell>
          <cell r="F7559" t="str">
            <v>in Stroh et al., 2014 (from: Cheffings &amp; Farrell 2005 or subsequent amendments in Leach 2007, 2010; Leach &amp; Walker 2011, 2013)</v>
          </cell>
          <cell r="G7559" t="str">
            <v>NBNSYS0000004037</v>
          </cell>
          <cell r="H7559" t="str">
            <v>Solanum dulcamara</v>
          </cell>
        </row>
        <row r="7560">
          <cell r="A7560" t="str">
            <v>Solanum nigrum</v>
          </cell>
          <cell r="B7560" t="str">
            <v>Vascular plants</v>
          </cell>
          <cell r="C7560" t="str">
            <v>Tracheophyta</v>
          </cell>
          <cell r="D7560" t="str">
            <v>Solanum nigrum</v>
          </cell>
          <cell r="E7560" t="str">
            <v>LC</v>
          </cell>
          <cell r="F7560" t="str">
            <v>in Stroh et al., 2014 (from: Cheffings &amp; Farrell 2005 or subsequent amendments in Leach 2007, 2010; Leach &amp; Walker 2011, 2013)</v>
          </cell>
          <cell r="G7560" t="str">
            <v>NBNSYS0000004039</v>
          </cell>
          <cell r="H7560" t="str">
            <v>Solanum nigrum</v>
          </cell>
        </row>
        <row r="7561">
          <cell r="A7561" t="str">
            <v>Solidago virgaurea</v>
          </cell>
          <cell r="B7561" t="str">
            <v>Vascular plants</v>
          </cell>
          <cell r="C7561" t="str">
            <v>Tracheophyta</v>
          </cell>
          <cell r="D7561" t="str">
            <v>Solidago virgaurea</v>
          </cell>
          <cell r="E7561" t="str">
            <v>LC</v>
          </cell>
          <cell r="F7561" t="str">
            <v>in Stroh et al., 2014 (from: Cheffings &amp; Farrell 2005 or subsequent amendments in Leach 2007, 2010; Leach &amp; Walker 2011, 2013)</v>
          </cell>
          <cell r="G7561" t="str">
            <v>NBNSYS0000004417</v>
          </cell>
          <cell r="H7561" t="str">
            <v>Solidago virgaurea</v>
          </cell>
        </row>
        <row r="7562">
          <cell r="A7562" t="str">
            <v>Sonchus arvensis</v>
          </cell>
          <cell r="B7562" t="str">
            <v>Vascular plants</v>
          </cell>
          <cell r="C7562" t="str">
            <v>Tracheophyta</v>
          </cell>
          <cell r="D7562" t="str">
            <v>Sonchus arvensis</v>
          </cell>
          <cell r="E7562" t="str">
            <v>LC</v>
          </cell>
          <cell r="F7562" t="str">
            <v>in Stroh et al., 2014 (from: Cheffings &amp; Farrell 2005 or subsequent amendments in Leach 2007, 2010; Leach &amp; Walker 2011, 2013)</v>
          </cell>
          <cell r="G7562" t="str">
            <v>NBNSYS0000004542</v>
          </cell>
          <cell r="H7562" t="str">
            <v>Sonchus arvensis</v>
          </cell>
        </row>
        <row r="7563">
          <cell r="A7563" t="str">
            <v>Sonchus asper</v>
          </cell>
          <cell r="B7563" t="str">
            <v>Vascular plants</v>
          </cell>
          <cell r="C7563" t="str">
            <v>Tracheophyta</v>
          </cell>
          <cell r="D7563" t="str">
            <v>Sonchus asper</v>
          </cell>
          <cell r="E7563" t="str">
            <v>LC</v>
          </cell>
          <cell r="F7563" t="str">
            <v>in Stroh et al., 2014 (from: Cheffings &amp; Farrell 2005 or subsequent amendments in Leach 2007, 2010; Leach &amp; Walker 2011, 2013)</v>
          </cell>
          <cell r="G7563" t="str">
            <v>NBNSYS0000004544</v>
          </cell>
          <cell r="H7563" t="str">
            <v>Sonchus asper</v>
          </cell>
        </row>
        <row r="7564">
          <cell r="A7564" t="str">
            <v>Sonchus oleraceus</v>
          </cell>
          <cell r="B7564" t="str">
            <v>Vascular plants</v>
          </cell>
          <cell r="C7564" t="str">
            <v>Tracheophyta</v>
          </cell>
          <cell r="D7564" t="str">
            <v>Sonchus oleraceus</v>
          </cell>
          <cell r="E7564" t="str">
            <v>LC</v>
          </cell>
          <cell r="F7564" t="str">
            <v>in Stroh et al., 2014 (from: Cheffings &amp; Farrell 2005 or subsequent amendments in Leach 2007, 2010; Leach &amp; Walker 2011, 2013)</v>
          </cell>
          <cell r="G7564" t="str">
            <v>NBNSYS0000004543</v>
          </cell>
          <cell r="H7564" t="str">
            <v>Sonchus oleraceus</v>
          </cell>
        </row>
        <row r="7565">
          <cell r="A7565" t="str">
            <v>Sonchus palustris</v>
          </cell>
          <cell r="B7565" t="str">
            <v>Vascular plants</v>
          </cell>
          <cell r="C7565" t="str">
            <v>Tracheophyta</v>
          </cell>
          <cell r="D7565" t="str">
            <v>Sonchus palustris</v>
          </cell>
          <cell r="E7565" t="str">
            <v>LC</v>
          </cell>
          <cell r="F7565" t="str">
            <v>in Stroh et al., 2014 (from: Cheffings &amp; Farrell 2005 or subsequent amendments in Leach 2007, 2010; Leach &amp; Walker 2011, 2013)</v>
          </cell>
          <cell r="G7565" t="str">
            <v>NBNSYS0000004541</v>
          </cell>
          <cell r="H7565" t="str">
            <v>Sonchus palustris</v>
          </cell>
        </row>
        <row r="7566">
          <cell r="A7566" t="str">
            <v>Sorbus admonitor</v>
          </cell>
          <cell r="B7566" t="str">
            <v>Vascular plants</v>
          </cell>
          <cell r="C7566" t="str">
            <v>Tracheophyta</v>
          </cell>
          <cell r="D7566" t="str">
            <v>Sorbus admonitor</v>
          </cell>
          <cell r="E7566" t="str">
            <v>EN</v>
          </cell>
          <cell r="F7566" t="str">
            <v>in Stroh et al., 2014 (from: Cheffings &amp; Farrell 2005 or subsequent amendments in Leach 2007, 2010; Leach &amp; Walker 2011, 2013)</v>
          </cell>
          <cell r="G7566" t="str">
            <v>NHMSYS0021118770</v>
          </cell>
          <cell r="H7566" t="str">
            <v>Sorbus admonitor</v>
          </cell>
        </row>
        <row r="7567">
          <cell r="A7567" t="str">
            <v>Sorbus anglica</v>
          </cell>
          <cell r="B7567" t="str">
            <v>Vascular plants</v>
          </cell>
          <cell r="C7567" t="str">
            <v>Tracheophyta</v>
          </cell>
          <cell r="D7567" t="str">
            <v>Sorbus anglica</v>
          </cell>
          <cell r="E7567" t="str">
            <v>NT</v>
          </cell>
          <cell r="F7567" t="str">
            <v>in Stroh et al., 2014 (from: Cheffings &amp; Farrell 2005 or subsequent amendments in Leach 2007, 2010; Leach &amp; Walker 2011, 2013)</v>
          </cell>
          <cell r="G7567" t="str">
            <v>NHMSYS0000463794</v>
          </cell>
          <cell r="H7567" t="str">
            <v>Sorbus anglica</v>
          </cell>
        </row>
        <row r="7568">
          <cell r="A7568" t="str">
            <v>Sorbus aria</v>
          </cell>
          <cell r="B7568" t="str">
            <v>Vascular plants</v>
          </cell>
          <cell r="C7568" t="str">
            <v>Tracheophyta</v>
          </cell>
          <cell r="D7568" t="str">
            <v>Sorbus aria</v>
          </cell>
          <cell r="E7568" t="str">
            <v>LC</v>
          </cell>
          <cell r="F7568" t="str">
            <v>in Stroh et al., 2014 (from: Cheffings &amp; Farrell 2005 or subsequent amendments in Leach 2007, 2010; Leach &amp; Walker 2011, 2013)</v>
          </cell>
          <cell r="G7568" t="str">
            <v>NBNSYS0000003448</v>
          </cell>
          <cell r="H7568" t="str">
            <v>Sorbus aria</v>
          </cell>
        </row>
        <row r="7569">
          <cell r="A7569" t="str">
            <v>Sorbus aucuparia</v>
          </cell>
          <cell r="B7569" t="str">
            <v>Vascular plants</v>
          </cell>
          <cell r="C7569" t="str">
            <v>Tracheophyta</v>
          </cell>
          <cell r="D7569" t="str">
            <v>Sorbus aucuparia</v>
          </cell>
          <cell r="E7569" t="str">
            <v>LC</v>
          </cell>
          <cell r="F7569" t="str">
            <v>in Stroh et al., 2014 (from: Cheffings &amp; Farrell 2005 or subsequent amendments in Leach 2007, 2010; Leach &amp; Walker 2011, 2013)</v>
          </cell>
          <cell r="G7569" t="str">
            <v>NBNSYS0000003438</v>
          </cell>
          <cell r="H7569" t="str">
            <v>Sorbus aucuparia</v>
          </cell>
        </row>
        <row r="7570">
          <cell r="A7570" t="str">
            <v>Sorbus bristoliensis</v>
          </cell>
          <cell r="B7570" t="str">
            <v>Vascular plants</v>
          </cell>
          <cell r="C7570" t="str">
            <v>Tracheophyta</v>
          </cell>
          <cell r="D7570" t="str">
            <v>Sorbus bristoliensis</v>
          </cell>
          <cell r="E7570" t="str">
            <v>VU</v>
          </cell>
          <cell r="F7570" t="str">
            <v>in Stroh et al., 2014 (from: Cheffings &amp; Farrell 2005 or subsequent amendments in Leach 2007, 2010; Leach &amp; Walker 2011, 2013)</v>
          </cell>
          <cell r="G7570" t="str">
            <v>NHMSYS0000463797</v>
          </cell>
          <cell r="H7570" t="str">
            <v>Sorbus bristoliensis</v>
          </cell>
        </row>
        <row r="7571">
          <cell r="A7571" t="str">
            <v>Sorbus cheddarensis</v>
          </cell>
          <cell r="B7571" t="str">
            <v>Vascular plants</v>
          </cell>
          <cell r="C7571" t="str">
            <v>Tracheophyta</v>
          </cell>
          <cell r="D7571" t="str">
            <v>Sorbus cheddarensis</v>
          </cell>
          <cell r="E7571" t="str">
            <v>CR</v>
          </cell>
          <cell r="F7571" t="str">
            <v>in Stroh et al., 2014 (from: Cheffings &amp; Farrell 2005 or subsequent amendments in Leach 2007, 2010; Leach &amp; Walker 2011, 2013)</v>
          </cell>
          <cell r="G7571" t="str">
            <v>NHMSYS0021118776</v>
          </cell>
          <cell r="H7571" t="str">
            <v>Sorbus cheddarensis</v>
          </cell>
        </row>
        <row r="7572">
          <cell r="A7572" t="str">
            <v>Sorbus devoniensis</v>
          </cell>
          <cell r="B7572" t="str">
            <v>Vascular plants</v>
          </cell>
          <cell r="C7572" t="str">
            <v>Tracheophyta</v>
          </cell>
          <cell r="D7572" t="str">
            <v>Sorbus devoniensis</v>
          </cell>
          <cell r="E7572" t="str">
            <v>LC</v>
          </cell>
          <cell r="F7572" t="str">
            <v>in Stroh et al., 2014 (from: Cheffings &amp; Farrell 2005 or subsequent amendments in Leach 2007, 2010; Leach &amp; Walker 2011, 2013)</v>
          </cell>
          <cell r="G7572" t="str">
            <v>NHMSYS0000463799</v>
          </cell>
          <cell r="H7572" t="str">
            <v>Sorbus devoniensis</v>
          </cell>
        </row>
        <row r="7573">
          <cell r="A7573" t="str">
            <v>Sorbus domestica</v>
          </cell>
          <cell r="B7573" t="str">
            <v>Vascular plants</v>
          </cell>
          <cell r="C7573" t="str">
            <v>Tracheophyta</v>
          </cell>
          <cell r="D7573" t="str">
            <v>Sorbus domestica</v>
          </cell>
          <cell r="E7573" t="str">
            <v>CR</v>
          </cell>
          <cell r="F7573" t="str">
            <v>in Stroh et al., 2014 (from: Cheffings &amp; Farrell 2005 or subsequent amendments in Leach 2007, 2010; Leach &amp; Walker 2011, 2013)</v>
          </cell>
          <cell r="G7573" t="str">
            <v>NBNSYS0000003439</v>
          </cell>
          <cell r="H7573" t="str">
            <v>Sorbus domestica</v>
          </cell>
        </row>
        <row r="7574">
          <cell r="A7574" t="str">
            <v>Sorbus eminens</v>
          </cell>
          <cell r="B7574" t="str">
            <v>Vascular plants</v>
          </cell>
          <cell r="C7574" t="str">
            <v>Tracheophyta</v>
          </cell>
          <cell r="D7574" t="str">
            <v>Sorbus eminens</v>
          </cell>
          <cell r="E7574" t="str">
            <v>VU</v>
          </cell>
          <cell r="F7574" t="str">
            <v>in Stroh et al., 2014 (from: Cheffings &amp; Farrell 2005 or subsequent amendments in Leach 2007, 2010; Leach &amp; Walker 2011, 2013)</v>
          </cell>
          <cell r="G7574" t="str">
            <v>NHMSYS0000463801</v>
          </cell>
          <cell r="H7574" t="str">
            <v>Sorbus eminens</v>
          </cell>
        </row>
        <row r="7575">
          <cell r="A7575" t="str">
            <v>Sorbus eminentiformis</v>
          </cell>
          <cell r="B7575" t="str">
            <v>Vascular plants</v>
          </cell>
          <cell r="C7575" t="str">
            <v>Tracheophyta</v>
          </cell>
          <cell r="D7575" t="str">
            <v>Sorbus eminentiformis</v>
          </cell>
          <cell r="E7575" t="str">
            <v>EN</v>
          </cell>
          <cell r="F7575" t="str">
            <v>in Stroh et al., 2014 (from: Cheffings &amp; Farrell 2005 or subsequent amendments in Leach 2007, 2010; Leach &amp; Walker 2011, 2013)</v>
          </cell>
          <cell r="G7575" t="str">
            <v>NHMSYS0021118782</v>
          </cell>
          <cell r="H7575" t="str">
            <v>Sorbus eminentiformis</v>
          </cell>
        </row>
        <row r="7576">
          <cell r="A7576" t="str">
            <v>Sorbus eminentoides</v>
          </cell>
          <cell r="B7576" t="str">
            <v>Vascular plants</v>
          </cell>
          <cell r="C7576" t="str">
            <v>Tracheophyta</v>
          </cell>
          <cell r="D7576" t="str">
            <v>Sorbus eminentoides</v>
          </cell>
          <cell r="E7576" t="str">
            <v>CR</v>
          </cell>
          <cell r="F7576" t="str">
            <v>in Stroh et al., 2014 (from: Cheffings &amp; Farrell 2005 or subsequent amendments in Leach 2007, 2010; Leach &amp; Walker 2011, 2013)</v>
          </cell>
          <cell r="G7576" t="str">
            <v>NHMSYS0021118788</v>
          </cell>
          <cell r="H7576" t="str">
            <v>Sorbus eminentoides</v>
          </cell>
        </row>
        <row r="7577">
          <cell r="A7577" t="str">
            <v>Sorbus lancastriensis</v>
          </cell>
          <cell r="B7577" t="str">
            <v>Vascular plants</v>
          </cell>
          <cell r="C7577" t="str">
            <v>Tracheophyta</v>
          </cell>
          <cell r="D7577" t="str">
            <v>Sorbus lancastriensis</v>
          </cell>
          <cell r="E7577" t="str">
            <v>NT</v>
          </cell>
          <cell r="F7577" t="str">
            <v>in Stroh et al., 2014 (from: Cheffings &amp; Farrell 2005 or subsequent amendments in Leach 2007, 2010; Leach &amp; Walker 2011, 2013)</v>
          </cell>
          <cell r="G7577" t="str">
            <v>NHMSYS0000463807</v>
          </cell>
          <cell r="H7577" t="str">
            <v>Sorbus lancastriensis</v>
          </cell>
        </row>
        <row r="7578">
          <cell r="A7578" t="str">
            <v>Sorbus leighensis</v>
          </cell>
          <cell r="B7578" t="str">
            <v>Vascular plants</v>
          </cell>
          <cell r="C7578" t="str">
            <v>Tracheophyta</v>
          </cell>
          <cell r="D7578" t="str">
            <v>Sorbus leighensis</v>
          </cell>
          <cell r="E7578" t="str">
            <v>EN</v>
          </cell>
          <cell r="F7578" t="str">
            <v>in Stroh et al., 2014 (from: Cheffings &amp; Farrell 2005 or subsequent amendments in Leach 2007, 2010; Leach &amp; Walker 2011, 2013)</v>
          </cell>
          <cell r="G7578" t="str">
            <v>NHMSYS0021118812</v>
          </cell>
          <cell r="H7578" t="str">
            <v>Sorbus leighensis</v>
          </cell>
        </row>
        <row r="7579">
          <cell r="A7579" t="str">
            <v>Sorbus margaretae</v>
          </cell>
          <cell r="B7579" t="str">
            <v>Vascular plants</v>
          </cell>
          <cell r="C7579" t="str">
            <v>Tracheophyta</v>
          </cell>
          <cell r="D7579" t="str">
            <v>Sorbus margaretae</v>
          </cell>
          <cell r="E7579" t="str">
            <v>EN</v>
          </cell>
          <cell r="F7579" t="str">
            <v>in Stroh et al., 2014 (from: Cheffings &amp; Farrell 2005 or subsequent amendments in Leach 2007, 2010; Leach &amp; Walker 2011, 2013)</v>
          </cell>
          <cell r="G7579" t="str">
            <v>NHMSYS0021118818</v>
          </cell>
          <cell r="H7579" t="str">
            <v>Sorbus margaretae</v>
          </cell>
        </row>
        <row r="7580">
          <cell r="A7580" t="str">
            <v>Sorbus parviloba</v>
          </cell>
          <cell r="B7580" t="str">
            <v>Vascular plants</v>
          </cell>
          <cell r="C7580" t="str">
            <v>Tracheophyta</v>
          </cell>
          <cell r="D7580" t="str">
            <v>Sorbus parviloba</v>
          </cell>
          <cell r="E7580" t="str">
            <v>CR</v>
          </cell>
          <cell r="F7580" t="str">
            <v>in Stroh et al., 2014 (from: Cheffings &amp; Farrell 2005 or subsequent amendments in Leach 2007, 2010; Leach &amp; Walker 2011, 2013)</v>
          </cell>
          <cell r="G7580" t="str">
            <v>NHMSYS0021118824</v>
          </cell>
          <cell r="H7580" t="str">
            <v>Sorbus parviloba</v>
          </cell>
        </row>
        <row r="7581">
          <cell r="A7581" t="str">
            <v>Sorbus porrigentiformis</v>
          </cell>
          <cell r="B7581" t="str">
            <v>Vascular plants</v>
          </cell>
          <cell r="C7581" t="str">
            <v>Tracheophyta</v>
          </cell>
          <cell r="D7581" t="str">
            <v>Sorbus porrigentiformis</v>
          </cell>
          <cell r="E7581" t="str">
            <v>LC</v>
          </cell>
          <cell r="F7581" t="str">
            <v>in Stroh et al., 2014 (from: Cheffings &amp; Farrell 2005 or subsequent amendments in Leach 2007, 2010; Leach &amp; Walker 2011, 2013)</v>
          </cell>
          <cell r="G7581" t="str">
            <v>NHMSYS0000463813</v>
          </cell>
          <cell r="H7581" t="str">
            <v>Sorbus porrigentiformis</v>
          </cell>
        </row>
        <row r="7582">
          <cell r="A7582" t="str">
            <v>Sorbus rupicola</v>
          </cell>
          <cell r="B7582" t="str">
            <v>Vascular plants</v>
          </cell>
          <cell r="C7582" t="str">
            <v>Tracheophyta</v>
          </cell>
          <cell r="D7582" t="str">
            <v>Sorbus rupicola</v>
          </cell>
          <cell r="E7582" t="str">
            <v>LC</v>
          </cell>
          <cell r="F7582" t="str">
            <v>in Stroh et al., 2014 (from: Cheffings &amp; Farrell 2005 or subsequent amendments in Leach 2007, 2010; Leach &amp; Walker 2011, 2013)</v>
          </cell>
          <cell r="G7582" t="str">
            <v>NHMSYS0000463815</v>
          </cell>
          <cell r="H7582" t="str">
            <v>Sorbus rupicola</v>
          </cell>
        </row>
        <row r="7583">
          <cell r="A7583" t="str">
            <v>Sorbus rupicoloides</v>
          </cell>
          <cell r="B7583" t="str">
            <v>Vascular plants</v>
          </cell>
          <cell r="C7583" t="str">
            <v>Tracheophyta</v>
          </cell>
          <cell r="D7583" t="str">
            <v>Sorbus rupicoloides</v>
          </cell>
          <cell r="E7583" t="str">
            <v>CR</v>
          </cell>
          <cell r="F7583" t="str">
            <v>in Stroh et al., 2014 (from: Cheffings &amp; Farrell 2005 or subsequent amendments in Leach 2007, 2010; Leach &amp; Walker 2011, 2013)</v>
          </cell>
          <cell r="G7583" t="str">
            <v>NHMSYS0021118836</v>
          </cell>
          <cell r="H7583" t="str">
            <v>Sorbus rupicoloides</v>
          </cell>
        </row>
        <row r="7584">
          <cell r="A7584" t="str">
            <v>Sorbus saxicola</v>
          </cell>
          <cell r="B7584" t="str">
            <v>Vascular plants</v>
          </cell>
          <cell r="C7584" t="str">
            <v>Tracheophyta</v>
          </cell>
          <cell r="D7584" t="str">
            <v>Sorbus saxicola</v>
          </cell>
          <cell r="E7584" t="str">
            <v>CR</v>
          </cell>
          <cell r="F7584" t="str">
            <v>in Stroh et al., 2014 (from: Cheffings &amp; Farrell 2005 or subsequent amendments in Leach 2007, 2010; Leach &amp; Walker 2011, 2013)</v>
          </cell>
          <cell r="G7584" t="str">
            <v>NHMSYS0021118842</v>
          </cell>
          <cell r="H7584" t="str">
            <v>Sorbus saxicola</v>
          </cell>
        </row>
        <row r="7585">
          <cell r="A7585" t="str">
            <v>Sorbus subcuneata</v>
          </cell>
          <cell r="B7585" t="str">
            <v>Vascular plants</v>
          </cell>
          <cell r="C7585" t="str">
            <v>Tracheophyta</v>
          </cell>
          <cell r="D7585" t="str">
            <v>Sorbus subcuneata</v>
          </cell>
          <cell r="E7585" t="str">
            <v>VU</v>
          </cell>
          <cell r="F7585" t="str">
            <v>in Stroh et al., 2014 (from: Cheffings &amp; Farrell 2005 or subsequent amendments in Leach 2007, 2010; Leach &amp; Walker 2011, 2013)</v>
          </cell>
          <cell r="G7585" t="str">
            <v>NHMSYS0000463816</v>
          </cell>
          <cell r="H7585" t="str">
            <v>Sorbus subcuneata</v>
          </cell>
        </row>
        <row r="7586">
          <cell r="A7586" t="str">
            <v>Sorbus torminalis</v>
          </cell>
          <cell r="B7586" t="str">
            <v>Vascular plants</v>
          </cell>
          <cell r="C7586" t="str">
            <v>Tracheophyta</v>
          </cell>
          <cell r="D7586" t="str">
            <v>Sorbus torminalis</v>
          </cell>
          <cell r="E7586" t="str">
            <v>LC</v>
          </cell>
          <cell r="F7586" t="str">
            <v>in Stroh et al., 2014 (from: Cheffings &amp; Farrell 2005 or subsequent amendments in Leach 2007, 2010; Leach &amp; Walker 2011, 2013)</v>
          </cell>
          <cell r="G7586" t="str">
            <v>NBNSYS0000003460</v>
          </cell>
          <cell r="H7586" t="str">
            <v>Sorbus torminalis</v>
          </cell>
        </row>
        <row r="7587">
          <cell r="A7587" t="str">
            <v>Sorbus vexans</v>
          </cell>
          <cell r="B7587" t="str">
            <v>Vascular plants</v>
          </cell>
          <cell r="C7587" t="str">
            <v>Tracheophyta</v>
          </cell>
          <cell r="D7587" t="str">
            <v>Sorbus vexans</v>
          </cell>
          <cell r="E7587" t="str">
            <v>EN</v>
          </cell>
          <cell r="F7587" t="str">
            <v>in Stroh et al., 2014 (from: Cheffings &amp; Farrell 2005 or subsequent amendments in Leach 2007, 2010; Leach &amp; Walker 2011, 2013)</v>
          </cell>
          <cell r="G7587" t="str">
            <v>NHMSYS0000463817</v>
          </cell>
          <cell r="H7587" t="str">
            <v>Sorbus vexans</v>
          </cell>
        </row>
        <row r="7588">
          <cell r="A7588" t="str">
            <v>Sorbus whiteana</v>
          </cell>
          <cell r="B7588" t="str">
            <v>Vascular plants</v>
          </cell>
          <cell r="C7588" t="str">
            <v>Tracheophyta</v>
          </cell>
          <cell r="D7588" t="str">
            <v>Sorbus whiteana</v>
          </cell>
          <cell r="E7588" t="str">
            <v>EN</v>
          </cell>
          <cell r="F7588" t="str">
            <v>in Stroh et al., 2014 (from: Cheffings &amp; Farrell 2005 or subsequent amendments in Leach 2007, 2010; Leach &amp; Walker 2011, 2013)</v>
          </cell>
          <cell r="G7588" t="str">
            <v>NHMSYS0020110588</v>
          </cell>
          <cell r="H7588" t="str">
            <v>Sorbus whiteana</v>
          </cell>
        </row>
        <row r="7589">
          <cell r="A7589" t="str">
            <v>Sorbus wilmottiana</v>
          </cell>
          <cell r="B7589" t="str">
            <v>Vascular plants</v>
          </cell>
          <cell r="C7589" t="str">
            <v>Tracheophyta</v>
          </cell>
          <cell r="D7589" t="str">
            <v>Sorbus wilmottiana</v>
          </cell>
          <cell r="E7589" t="str">
            <v>EN</v>
          </cell>
          <cell r="F7589" t="str">
            <v>in Stroh et al., 2014 (from: Cheffings &amp; Farrell 2005 or subsequent amendments in Leach 2007, 2010; Leach &amp; Walker 2011, 2013)</v>
          </cell>
          <cell r="G7589" t="str">
            <v>NHMSYS0000463819</v>
          </cell>
          <cell r="H7589" t="str">
            <v>Sorbus wilmottiana</v>
          </cell>
        </row>
        <row r="7590">
          <cell r="A7590" t="str">
            <v>Sparganium angustifolium</v>
          </cell>
          <cell r="B7590" t="str">
            <v>Vascular plants</v>
          </cell>
          <cell r="C7590" t="str">
            <v>Tracheophyta</v>
          </cell>
          <cell r="D7590" t="str">
            <v>Sparganium angustifolium</v>
          </cell>
          <cell r="E7590" t="str">
            <v>LC</v>
          </cell>
          <cell r="F7590" t="str">
            <v>in Stroh et al., 2014 (from: Cheffings &amp; Farrell 2005 or subsequent amendments in Leach 2007, 2010; Leach &amp; Walker 2011, 2013)</v>
          </cell>
          <cell r="G7590" t="str">
            <v>NHMSYS0000463841</v>
          </cell>
          <cell r="H7590" t="str">
            <v>Sparganium angustifolium</v>
          </cell>
        </row>
        <row r="7591">
          <cell r="A7591" t="str">
            <v>Sparganium emersum</v>
          </cell>
          <cell r="B7591" t="str">
            <v>Vascular plants</v>
          </cell>
          <cell r="C7591" t="str">
            <v>Tracheophyta</v>
          </cell>
          <cell r="D7591" t="str">
            <v>Sparganium emersum</v>
          </cell>
          <cell r="E7591" t="str">
            <v>LC</v>
          </cell>
          <cell r="F7591" t="str">
            <v>in Stroh et al., 2014 (from: Cheffings &amp; Farrell 2005 or subsequent amendments in Leach 2007, 2010; Leach &amp; Walker 2011, 2013)</v>
          </cell>
          <cell r="G7591" t="str">
            <v>NBNSYS0000002366</v>
          </cell>
          <cell r="H7591" t="str">
            <v>Sparganium emersum</v>
          </cell>
        </row>
        <row r="7592">
          <cell r="A7592" t="str">
            <v>Sparganium erectum</v>
          </cell>
          <cell r="B7592" t="str">
            <v>Vascular plants</v>
          </cell>
          <cell r="C7592" t="str">
            <v>Tracheophyta</v>
          </cell>
          <cell r="D7592" t="str">
            <v>Sparganium erectum</v>
          </cell>
          <cell r="E7592" t="str">
            <v>LC</v>
          </cell>
          <cell r="F7592" t="str">
            <v>in Stroh et al., 2014 (from: Cheffings &amp; Farrell 2005 or subsequent amendments in Leach 2007, 2010; Leach &amp; Walker 2011, 2013)</v>
          </cell>
          <cell r="G7592" t="str">
            <v>NBNSYS0000002361</v>
          </cell>
          <cell r="H7592" t="str">
            <v>Sparganium erectum</v>
          </cell>
        </row>
        <row r="7593">
          <cell r="A7593" t="str">
            <v>Sparganium natans</v>
          </cell>
          <cell r="B7593" t="str">
            <v>Vascular plants</v>
          </cell>
          <cell r="C7593" t="str">
            <v>Tracheophyta</v>
          </cell>
          <cell r="D7593" t="str">
            <v>Sparganium natans</v>
          </cell>
          <cell r="E7593" t="str">
            <v>LC</v>
          </cell>
          <cell r="F7593" t="str">
            <v>in Stroh et al., 2014 (from: Cheffings &amp; Farrell 2005 or subsequent amendments in Leach 2007, 2010; Leach &amp; Walker 2011, 2013)</v>
          </cell>
          <cell r="G7593" t="str">
            <v>NBNSYS0000002368</v>
          </cell>
          <cell r="H7593" t="str">
            <v>Sparganium natans</v>
          </cell>
        </row>
        <row r="7594">
          <cell r="A7594" t="str">
            <v>Spartina anglica</v>
          </cell>
          <cell r="B7594" t="str">
            <v>Vascular plants</v>
          </cell>
          <cell r="C7594" t="str">
            <v>Tracheophyta</v>
          </cell>
          <cell r="D7594" t="str">
            <v>Spartina anglica</v>
          </cell>
          <cell r="E7594" t="str">
            <v>LC</v>
          </cell>
          <cell r="F7594" t="str">
            <v>in Stroh et al., 2014 (from: Cheffings &amp; Farrell 2005 or subsequent amendments in Leach 2007, 2010; Leach &amp; Walker 2011, 2013)</v>
          </cell>
          <cell r="G7594" t="str">
            <v>NHMSYS0000463855</v>
          </cell>
          <cell r="H7594" t="str">
            <v>Spartina anglica</v>
          </cell>
        </row>
        <row r="7595">
          <cell r="A7595" t="str">
            <v>Spartina maritima</v>
          </cell>
          <cell r="B7595" t="str">
            <v>Vascular plants</v>
          </cell>
          <cell r="C7595" t="str">
            <v>Tracheophyta</v>
          </cell>
          <cell r="D7595" t="str">
            <v>Spartina maritima</v>
          </cell>
          <cell r="E7595" t="str">
            <v>EN</v>
          </cell>
          <cell r="F7595" t="str">
            <v>in Stroh et al., 2014 (from: Cheffings &amp; Farrell 2005 or subsequent amendments in Leach 2007, 2010; Leach &amp; Walker 2011, 2013)</v>
          </cell>
          <cell r="G7595" t="str">
            <v>NHMSYS0000463857</v>
          </cell>
          <cell r="H7595" t="str">
            <v>Spartina maritima</v>
          </cell>
        </row>
        <row r="7596">
          <cell r="A7596" t="str">
            <v>Spergula arvensis</v>
          </cell>
          <cell r="B7596" t="str">
            <v>Vascular plants</v>
          </cell>
          <cell r="C7596" t="str">
            <v>Tracheophyta</v>
          </cell>
          <cell r="D7596" t="str">
            <v>Spergula arvensis</v>
          </cell>
          <cell r="E7596" t="str">
            <v>VU</v>
          </cell>
          <cell r="F7596" t="str">
            <v>in Stroh et al., 2014 (from: Cheffings &amp; Farrell 2005 or subsequent amendments in Leach 2007, 2010; Leach &amp; Walker 2011, 2013)</v>
          </cell>
          <cell r="G7596" t="str">
            <v>NBNSYS0000003066</v>
          </cell>
          <cell r="H7596" t="str">
            <v>Spergula arvensis</v>
          </cell>
        </row>
        <row r="7597">
          <cell r="A7597" t="str">
            <v>Spergularia marina</v>
          </cell>
          <cell r="B7597" t="str">
            <v>Vascular plants</v>
          </cell>
          <cell r="C7597" t="str">
            <v>Tracheophyta</v>
          </cell>
          <cell r="D7597" t="str">
            <v>Spergularia marina</v>
          </cell>
          <cell r="E7597" t="str">
            <v>LC</v>
          </cell>
          <cell r="F7597" t="str">
            <v>in Stroh et al., 2014 (from: Cheffings &amp; Farrell 2005 or subsequent amendments in Leach 2007, 2010; Leach &amp; Walker 2011, 2013)</v>
          </cell>
          <cell r="G7597" t="str">
            <v>NBNSYS0000003072</v>
          </cell>
          <cell r="H7597" t="str">
            <v>Spergularia marina</v>
          </cell>
        </row>
        <row r="7598">
          <cell r="A7598" t="str">
            <v>Spergularia media</v>
          </cell>
          <cell r="B7598" t="str">
            <v>Vascular plants</v>
          </cell>
          <cell r="C7598" t="str">
            <v>Tracheophyta</v>
          </cell>
          <cell r="D7598" t="str">
            <v>Spergularia media</v>
          </cell>
          <cell r="E7598" t="str">
            <v>LC</v>
          </cell>
          <cell r="F7598" t="str">
            <v>in Stroh et al., 2014 (from: Cheffings &amp; Farrell 2005 or subsequent amendments in Leach 2007, 2010; Leach &amp; Walker 2011, 2013)</v>
          </cell>
          <cell r="G7598" t="str">
            <v>NHMSYS0000463881</v>
          </cell>
          <cell r="H7598" t="str">
            <v>Spergularia media</v>
          </cell>
        </row>
        <row r="7599">
          <cell r="A7599" t="str">
            <v>Spergularia rubra</v>
          </cell>
          <cell r="B7599" t="str">
            <v>Vascular plants</v>
          </cell>
          <cell r="C7599" t="str">
            <v>Tracheophyta</v>
          </cell>
          <cell r="D7599" t="str">
            <v>Spergularia rubra</v>
          </cell>
          <cell r="E7599" t="str">
            <v>LC</v>
          </cell>
          <cell r="F7599" t="str">
            <v>in Stroh et al., 2014 (from: Cheffings &amp; Farrell 2005 or subsequent amendments in Leach 2007, 2010; Leach &amp; Walker 2011, 2013)</v>
          </cell>
          <cell r="G7599" t="str">
            <v>NHMSYS0000463883</v>
          </cell>
          <cell r="H7599" t="str">
            <v>Spergularia rubra</v>
          </cell>
        </row>
        <row r="7600">
          <cell r="A7600" t="str">
            <v>Spergularia rupicola</v>
          </cell>
          <cell r="B7600" t="str">
            <v>Vascular plants</v>
          </cell>
          <cell r="C7600" t="str">
            <v>Tracheophyta</v>
          </cell>
          <cell r="D7600" t="str">
            <v>Spergularia rupicola</v>
          </cell>
          <cell r="E7600" t="str">
            <v>LC</v>
          </cell>
          <cell r="F7600" t="str">
            <v>in Stroh et al., 2014 (from: Cheffings &amp; Farrell 2005 or subsequent amendments in Leach 2007, 2010; Leach &amp; Walker 2011, 2013)</v>
          </cell>
          <cell r="G7600" t="str">
            <v>NHMSYS0000463885</v>
          </cell>
          <cell r="H7600" t="str">
            <v>Spergularia rupicola</v>
          </cell>
        </row>
        <row r="7601">
          <cell r="A7601" t="str">
            <v>Spiranthes aestivalis</v>
          </cell>
          <cell r="B7601" t="str">
            <v>Vascular plants</v>
          </cell>
          <cell r="C7601" t="str">
            <v>Tracheophyta</v>
          </cell>
          <cell r="D7601" t="str">
            <v>Spiranthes aestivalis</v>
          </cell>
          <cell r="E7601" t="str">
            <v>EX</v>
          </cell>
          <cell r="F7601" t="str">
            <v>in Stroh et al., 2014 (from: Cheffings &amp; Farrell 2005 or subsequent amendments in Leach 2007, 2010; Leach &amp; Walker 2011, 2013)</v>
          </cell>
          <cell r="G7601" t="str">
            <v>NHMSYS0000463929</v>
          </cell>
          <cell r="H7601" t="str">
            <v>Spiranthes aestivalis</v>
          </cell>
        </row>
        <row r="7602">
          <cell r="A7602" t="str">
            <v>Spiranthes romanzoffiana</v>
          </cell>
          <cell r="B7602" t="str">
            <v>Vascular plants</v>
          </cell>
          <cell r="C7602" t="str">
            <v>Tracheophyta</v>
          </cell>
          <cell r="D7602" t="str">
            <v>Spiranthes romanzoffiana</v>
          </cell>
          <cell r="E7602" t="str">
            <v>LC</v>
          </cell>
          <cell r="F7602" t="str">
            <v>in Stroh et al., 2014 (from: Cheffings &amp; Farrell 2005 or subsequent amendments in Leach 2007, 2010; Leach &amp; Walker 2011, 2013)</v>
          </cell>
          <cell r="G7602" t="str">
            <v>NBNSYS0000002298</v>
          </cell>
          <cell r="H7602" t="str">
            <v>Spiranthes romanzoffiana</v>
          </cell>
        </row>
        <row r="7603">
          <cell r="A7603" t="str">
            <v>Spiranthes spiralis</v>
          </cell>
          <cell r="B7603" t="str">
            <v>Vascular plants</v>
          </cell>
          <cell r="C7603" t="str">
            <v>Tracheophyta</v>
          </cell>
          <cell r="D7603" t="str">
            <v>Spiranthes spiralis</v>
          </cell>
          <cell r="E7603" t="str">
            <v>NT</v>
          </cell>
          <cell r="F7603" t="str">
            <v>in Stroh et al., 2014 (from: Cheffings &amp; Farrell 2005 or subsequent amendments in Leach 2007, 2010; Leach &amp; Walker 2011, 2013)</v>
          </cell>
          <cell r="G7603" t="str">
            <v>NHMSYS0000463932</v>
          </cell>
          <cell r="H7603" t="str">
            <v>Spiranthes spiralis</v>
          </cell>
        </row>
        <row r="7604">
          <cell r="A7604" t="str">
            <v>Spirodela polyrhiza</v>
          </cell>
          <cell r="B7604" t="str">
            <v>Vascular plants</v>
          </cell>
          <cell r="C7604" t="str">
            <v>Tracheophyta</v>
          </cell>
          <cell r="D7604" t="str">
            <v>Spirodela polyrhiza</v>
          </cell>
          <cell r="E7604" t="str">
            <v>LC</v>
          </cell>
          <cell r="F7604" t="str">
            <v>in Stroh et al., 2014 (from: Cheffings &amp; Farrell 2005 or subsequent amendments in Leach 2007, 2010; Leach &amp; Walker 2011, 2013)</v>
          </cell>
          <cell r="G7604" t="str">
            <v>NHMSYS0000463934</v>
          </cell>
          <cell r="H7604" t="str">
            <v>Spirodela polyrhiza</v>
          </cell>
        </row>
        <row r="7605">
          <cell r="A7605" t="str">
            <v>Stachys alpina</v>
          </cell>
          <cell r="B7605" t="str">
            <v>Vascular plants</v>
          </cell>
          <cell r="C7605" t="str">
            <v>Tracheophyta</v>
          </cell>
          <cell r="D7605" t="str">
            <v>Stachys alpina</v>
          </cell>
          <cell r="E7605" t="str">
            <v>LC</v>
          </cell>
          <cell r="F7605" t="str">
            <v>in Stroh et al., 2014 (from: Cheffings &amp; Farrell 2005 or subsequent amendments in Leach 2007, 2010; Leach &amp; Walker 2011, 2013)</v>
          </cell>
          <cell r="G7605" t="str">
            <v>NBNSYS0000004233</v>
          </cell>
          <cell r="H7605" t="str">
            <v>Stachys alpina</v>
          </cell>
        </row>
        <row r="7606">
          <cell r="A7606" t="str">
            <v>Stachys germanica</v>
          </cell>
          <cell r="B7606" t="str">
            <v>Vascular plants</v>
          </cell>
          <cell r="C7606" t="str">
            <v>Tracheophyta</v>
          </cell>
          <cell r="D7606" t="str">
            <v>Stachys germanica</v>
          </cell>
          <cell r="E7606" t="str">
            <v>VU</v>
          </cell>
          <cell r="F7606" t="str">
            <v>in Stroh et al., 2014 (from: Cheffings &amp; Farrell 2005 or subsequent amendments in Leach 2007, 2010; Leach &amp; Walker 2011, 2013)</v>
          </cell>
          <cell r="G7606" t="str">
            <v>NBNSYS0000004232</v>
          </cell>
          <cell r="H7606" t="str">
            <v>Stachys germanica</v>
          </cell>
        </row>
        <row r="7607">
          <cell r="A7607" t="str">
            <v>Stachys palustris</v>
          </cell>
          <cell r="B7607" t="str">
            <v>Vascular plants</v>
          </cell>
          <cell r="C7607" t="str">
            <v>Tracheophyta</v>
          </cell>
          <cell r="D7607" t="str">
            <v>Stachys palustris</v>
          </cell>
          <cell r="E7607" t="str">
            <v>LC</v>
          </cell>
          <cell r="F7607" t="str">
            <v>in Stroh et al., 2014 (from: Cheffings &amp; Farrell 2005 or subsequent amendments in Leach 2007, 2010; Leach &amp; Walker 2011, 2013)</v>
          </cell>
          <cell r="G7607" t="str">
            <v>NBNSYS0000004234</v>
          </cell>
          <cell r="H7607" t="str">
            <v>Stachys palustris</v>
          </cell>
        </row>
        <row r="7608">
          <cell r="A7608" t="str">
            <v>Stachys sylvatica</v>
          </cell>
          <cell r="B7608" t="str">
            <v>Vascular plants</v>
          </cell>
          <cell r="C7608" t="str">
            <v>Tracheophyta</v>
          </cell>
          <cell r="D7608" t="str">
            <v>Stachys sylvatica</v>
          </cell>
          <cell r="E7608" t="str">
            <v>LC</v>
          </cell>
          <cell r="F7608" t="str">
            <v>in Stroh et al., 2014 (from: Cheffings &amp; Farrell 2005 or subsequent amendments in Leach 2007, 2010; Leach &amp; Walker 2011, 2013)</v>
          </cell>
          <cell r="G7608" t="str">
            <v>NBNSYS0000004236</v>
          </cell>
          <cell r="H7608" t="str">
            <v>Stachys sylvatica</v>
          </cell>
        </row>
        <row r="7609">
          <cell r="A7609" t="str">
            <v>Stellaria alsine</v>
          </cell>
          <cell r="B7609" t="str">
            <v>Vascular plants</v>
          </cell>
          <cell r="C7609" t="str">
            <v>Tracheophyta</v>
          </cell>
          <cell r="D7609" t="str">
            <v>Stellaria alsine</v>
          </cell>
          <cell r="E7609" t="str">
            <v>LC</v>
          </cell>
          <cell r="F7609" t="str">
            <v>in Stroh et al., 2014 (from: Cheffings &amp; Farrell 2005 or subsequent amendments in Leach 2007, 2010; Leach &amp; Walker 2011, 2013)</v>
          </cell>
          <cell r="G7609" t="str">
            <v>NHMSYS0000464004</v>
          </cell>
          <cell r="H7609" t="str">
            <v>Stellaria alsine</v>
          </cell>
        </row>
        <row r="7610">
          <cell r="A7610" t="str">
            <v>Stellaria graminea</v>
          </cell>
          <cell r="B7610" t="str">
            <v>Vascular plants</v>
          </cell>
          <cell r="C7610" t="str">
            <v>Tracheophyta</v>
          </cell>
          <cell r="D7610" t="str">
            <v>Stellaria graminea</v>
          </cell>
          <cell r="E7610" t="str">
            <v>LC</v>
          </cell>
          <cell r="F7610" t="str">
            <v>in Stroh et al., 2014 (from: Cheffings &amp; Farrell 2005 or subsequent amendments in Leach 2007, 2010; Leach &amp; Walker 2011, 2013)</v>
          </cell>
          <cell r="G7610" t="str">
            <v>NBNSYS0000003037</v>
          </cell>
          <cell r="H7610" t="str">
            <v>Stellaria graminea</v>
          </cell>
        </row>
        <row r="7611">
          <cell r="A7611" t="str">
            <v>Stellaria holostea</v>
          </cell>
          <cell r="B7611" t="str">
            <v>Vascular plants</v>
          </cell>
          <cell r="C7611" t="str">
            <v>Tracheophyta</v>
          </cell>
          <cell r="D7611" t="str">
            <v>Stellaria holostea</v>
          </cell>
          <cell r="E7611" t="str">
            <v>LC</v>
          </cell>
          <cell r="F7611" t="str">
            <v>in Stroh et al., 2014 (from: Cheffings &amp; Farrell 2005 or subsequent amendments in Leach 2007, 2010; Leach &amp; Walker 2011, 2013)</v>
          </cell>
          <cell r="G7611" t="str">
            <v>NBNSYS0000003035</v>
          </cell>
          <cell r="H7611" t="str">
            <v>Stellaria holostea</v>
          </cell>
        </row>
        <row r="7612">
          <cell r="A7612" t="str">
            <v>Stellaria media</v>
          </cell>
          <cell r="B7612" t="str">
            <v>Vascular plants</v>
          </cell>
          <cell r="C7612" t="str">
            <v>Tracheophyta</v>
          </cell>
          <cell r="D7612" t="str">
            <v>Stellaria media</v>
          </cell>
          <cell r="E7612" t="str">
            <v>LC</v>
          </cell>
          <cell r="F7612" t="str">
            <v>in Stroh et al., 2014 (from: Cheffings &amp; Farrell 2005 or subsequent amendments in Leach 2007, 2010; Leach &amp; Walker 2011, 2013)</v>
          </cell>
          <cell r="G7612" t="str">
            <v>NHMSYS0000464009</v>
          </cell>
          <cell r="H7612" t="str">
            <v>Stellaria media</v>
          </cell>
        </row>
        <row r="7613">
          <cell r="A7613" t="str">
            <v>Stellaria neglecta</v>
          </cell>
          <cell r="B7613" t="str">
            <v>Vascular plants</v>
          </cell>
          <cell r="C7613" t="str">
            <v>Tracheophyta</v>
          </cell>
          <cell r="D7613" t="str">
            <v>Stellaria neglecta</v>
          </cell>
          <cell r="E7613" t="str">
            <v>LC</v>
          </cell>
          <cell r="F7613" t="str">
            <v>in Stroh et al., 2014 (from: Cheffings &amp; Farrell 2005 or subsequent amendments in Leach 2007, 2010; Leach &amp; Walker 2011, 2013)</v>
          </cell>
          <cell r="G7613" t="str">
            <v>NBNSYS0000003034</v>
          </cell>
          <cell r="H7613" t="str">
            <v>Stellaria neglecta</v>
          </cell>
        </row>
        <row r="7614">
          <cell r="A7614" t="str">
            <v>Stellaria nemorum</v>
          </cell>
          <cell r="B7614" t="str">
            <v>Vascular plants</v>
          </cell>
          <cell r="C7614" t="str">
            <v>Tracheophyta</v>
          </cell>
          <cell r="D7614" t="str">
            <v>Stellaria nemorum</v>
          </cell>
          <cell r="E7614" t="str">
            <v>LC</v>
          </cell>
          <cell r="F7614" t="str">
            <v>in Stroh et al., 2014 (from: Cheffings &amp; Farrell 2005 or subsequent amendments in Leach 2007, 2010; Leach &amp; Walker 2011, 2013)</v>
          </cell>
          <cell r="G7614" t="str">
            <v>NBNSYS0000003029</v>
          </cell>
          <cell r="H7614" t="str">
            <v>Stellaria nemorum</v>
          </cell>
        </row>
        <row r="7615">
          <cell r="A7615" t="str">
            <v>Stellaria pallida</v>
          </cell>
          <cell r="B7615" t="str">
            <v>Vascular plants</v>
          </cell>
          <cell r="C7615" t="str">
            <v>Tracheophyta</v>
          </cell>
          <cell r="D7615" t="str">
            <v>Stellaria pallida</v>
          </cell>
          <cell r="E7615" t="str">
            <v>LC</v>
          </cell>
          <cell r="F7615" t="str">
            <v>in Stroh et al., 2014 (from: Cheffings &amp; Farrell 2005 or subsequent amendments in Leach 2007, 2010; Leach &amp; Walker 2011, 2013)</v>
          </cell>
          <cell r="G7615" t="str">
            <v>NHMSYS0000464011</v>
          </cell>
          <cell r="H7615" t="str">
            <v>Stellaria pallida</v>
          </cell>
        </row>
        <row r="7616">
          <cell r="A7616" t="str">
            <v>Stellaria palustris</v>
          </cell>
          <cell r="B7616" t="str">
            <v>Vascular plants</v>
          </cell>
          <cell r="C7616" t="str">
            <v>Tracheophyta</v>
          </cell>
          <cell r="D7616" t="str">
            <v>Stellaria palustris</v>
          </cell>
          <cell r="E7616" t="str">
            <v>VU</v>
          </cell>
          <cell r="F7616" t="str">
            <v>in Stroh et al., 2014 (from: Cheffings &amp; Farrell 2005 or subsequent amendments in Leach 2007, 2010; Leach &amp; Walker 2011, 2013)</v>
          </cell>
          <cell r="G7616" t="str">
            <v>NHMSYS0000464012</v>
          </cell>
          <cell r="H7616" t="str">
            <v>Stellaria palustris</v>
          </cell>
        </row>
        <row r="7617">
          <cell r="A7617" t="str">
            <v>Stratiotes aloides</v>
          </cell>
          <cell r="B7617" t="str">
            <v>Vascular plants</v>
          </cell>
          <cell r="C7617" t="str">
            <v>Tracheophyta</v>
          </cell>
          <cell r="D7617" t="str">
            <v>Stratiotes aloides</v>
          </cell>
          <cell r="E7617" t="str">
            <v>NT</v>
          </cell>
          <cell r="F7617" t="str">
            <v>in Stroh et al., 2014 (from: Cheffings &amp; Farrell 2005 or subsequent amendments in Leach 2007, 2010; Leach &amp; Walker 2011, 2013)</v>
          </cell>
          <cell r="G7617" t="str">
            <v>NBNSYS0000002110</v>
          </cell>
          <cell r="H7617" t="str">
            <v>Stratiotes aloides</v>
          </cell>
        </row>
        <row r="7618">
          <cell r="A7618" t="str">
            <v>Suaeda maritima</v>
          </cell>
          <cell r="B7618" t="str">
            <v>Vascular plants</v>
          </cell>
          <cell r="C7618" t="str">
            <v>Tracheophyta</v>
          </cell>
          <cell r="D7618" t="str">
            <v>Suaeda maritima</v>
          </cell>
          <cell r="E7618" t="str">
            <v>LC</v>
          </cell>
          <cell r="F7618" t="str">
            <v>in Stroh et al., 2014 (from: Cheffings &amp; Farrell 2005 or subsequent amendments in Leach 2007, 2010; Leach &amp; Walker 2011, 2013)</v>
          </cell>
          <cell r="G7618" t="str">
            <v>NBNSYS0000003121</v>
          </cell>
          <cell r="H7618" t="str">
            <v>Suaeda maritima</v>
          </cell>
        </row>
        <row r="7619">
          <cell r="A7619" t="str">
            <v>Suaeda vera</v>
          </cell>
          <cell r="B7619" t="str">
            <v>Vascular plants</v>
          </cell>
          <cell r="C7619" t="str">
            <v>Tracheophyta</v>
          </cell>
          <cell r="D7619" t="str">
            <v>Suaeda vera</v>
          </cell>
          <cell r="E7619" t="str">
            <v>LC</v>
          </cell>
          <cell r="F7619" t="str">
            <v>in Stroh et al., 2014 (from: Cheffings &amp; Farrell 2005 or subsequent amendments in Leach 2007, 2010; Leach &amp; Walker 2011, 2013)</v>
          </cell>
          <cell r="G7619" t="str">
            <v>NHMSYS0000464067</v>
          </cell>
          <cell r="H7619" t="str">
            <v>Suaeda vera</v>
          </cell>
        </row>
        <row r="7620">
          <cell r="A7620" t="str">
            <v>Subularia aquatica</v>
          </cell>
          <cell r="B7620" t="str">
            <v>Vascular plants</v>
          </cell>
          <cell r="C7620" t="str">
            <v>Tracheophyta</v>
          </cell>
          <cell r="D7620" t="str">
            <v>Subularia aquatica</v>
          </cell>
          <cell r="E7620" t="str">
            <v>LC</v>
          </cell>
          <cell r="F7620" t="str">
            <v>in Stroh et al., 2014 (from: Cheffings &amp; Farrell 2005 or subsequent amendments in Leach 2007, 2010; Leach &amp; Walker 2011, 2013)</v>
          </cell>
          <cell r="G7620" t="str">
            <v>NBNSYS0000002856</v>
          </cell>
          <cell r="H7620" t="str">
            <v>Subularia aquatica</v>
          </cell>
        </row>
        <row r="7621">
          <cell r="A7621" t="str">
            <v>Succisa pratensis</v>
          </cell>
          <cell r="B7621" t="str">
            <v>Vascular plants</v>
          </cell>
          <cell r="C7621" t="str">
            <v>Tracheophyta</v>
          </cell>
          <cell r="D7621" t="str">
            <v>Succisa pratensis</v>
          </cell>
          <cell r="E7621" t="str">
            <v>LC</v>
          </cell>
          <cell r="F7621" t="str">
            <v>in Stroh et al., 2014 (from: Cheffings &amp; Farrell 2005 or subsequent amendments in Leach 2007, 2010; Leach &amp; Walker 2011, 2013)</v>
          </cell>
          <cell r="G7621" t="str">
            <v>NBNSYS0000004352</v>
          </cell>
          <cell r="H7621" t="str">
            <v>Succisa pratensis</v>
          </cell>
        </row>
        <row r="7622">
          <cell r="A7622" t="str">
            <v>Symphytum officinale</v>
          </cell>
          <cell r="B7622" t="str">
            <v>Vascular plants</v>
          </cell>
          <cell r="C7622" t="str">
            <v>Tracheophyta</v>
          </cell>
          <cell r="D7622" t="str">
            <v>Symphytum officinale</v>
          </cell>
          <cell r="E7622" t="str">
            <v>LC</v>
          </cell>
          <cell r="F7622" t="str">
            <v>in Stroh et al., 2014 (from: Cheffings &amp; Farrell 2005 or subsequent amendments in Leach 2007, 2010; Leach &amp; Walker 2011, 2013)</v>
          </cell>
          <cell r="G7622" t="str">
            <v>NBNSYS0000003984</v>
          </cell>
          <cell r="H7622" t="str">
            <v>Symphytum officinale</v>
          </cell>
        </row>
        <row r="7623">
          <cell r="A7623" t="str">
            <v>Tamus communis</v>
          </cell>
          <cell r="B7623" t="str">
            <v>Vascular plants</v>
          </cell>
          <cell r="C7623" t="str">
            <v>Tracheophyta</v>
          </cell>
          <cell r="D7623" t="str">
            <v>Tamus communis</v>
          </cell>
          <cell r="E7623" t="str">
            <v>LC</v>
          </cell>
          <cell r="F7623" t="str">
            <v>in Stroh et al., 2014 (from: Cheffings &amp; Farrell 2005 or subsequent amendments in Leach 2007, 2010; Leach &amp; Walker 2011, 2013)</v>
          </cell>
          <cell r="G7623" t="str">
            <v>NHMSYS0020823747</v>
          </cell>
          <cell r="H7623" t="str">
            <v>Tamus communis</v>
          </cell>
        </row>
        <row r="7624">
          <cell r="A7624" t="str">
            <v>Tanacetum vulgare</v>
          </cell>
          <cell r="B7624" t="str">
            <v>Vascular plants</v>
          </cell>
          <cell r="C7624" t="str">
            <v>Tracheophyta</v>
          </cell>
          <cell r="D7624" t="str">
            <v>Tanacetum vulgare</v>
          </cell>
          <cell r="E7624" t="str">
            <v>LC</v>
          </cell>
          <cell r="F7624" t="str">
            <v>in Stroh et al., 2014 (from: Cheffings &amp; Farrell 2005 or subsequent amendments in Leach 2007, 2010; Leach &amp; Walker 2011, 2013)</v>
          </cell>
          <cell r="G7624" t="str">
            <v>NBNSYS0000004467</v>
          </cell>
          <cell r="H7624" t="str">
            <v>Tanacetum vulgare</v>
          </cell>
        </row>
        <row r="7625">
          <cell r="A7625" t="str">
            <v>Taraxacum acutum</v>
          </cell>
          <cell r="B7625" t="str">
            <v>Vascular plants</v>
          </cell>
          <cell r="C7625" t="str">
            <v>Tracheophyta</v>
          </cell>
          <cell r="D7625" t="str">
            <v>Taraxacum acutum</v>
          </cell>
          <cell r="E7625" t="str">
            <v>LC</v>
          </cell>
          <cell r="F7625" t="str">
            <v>in Stroh et al., 2014 (from: Cheffings &amp; Farrell 2005 or subsequent amendments in Leach 2007, 2010; Leach &amp; Walker 2011, 2013)</v>
          </cell>
          <cell r="G7625" t="str">
            <v>NHMSYS0000464165</v>
          </cell>
          <cell r="H7625" t="str">
            <v>Taraxacum acutum</v>
          </cell>
        </row>
        <row r="7626">
          <cell r="A7626" t="str">
            <v>Taraxacum akteum</v>
          </cell>
          <cell r="B7626" t="str">
            <v>Vascular plants</v>
          </cell>
          <cell r="C7626" t="str">
            <v>Tracheophyta</v>
          </cell>
          <cell r="D7626" t="str">
            <v>Taraxacum akteum</v>
          </cell>
          <cell r="E7626" t="str">
            <v>VU</v>
          </cell>
          <cell r="F7626" t="str">
            <v>in Stroh et al., 2014 (from: Cheffings &amp; Farrell 2005 or subsequent amendments in Leach 2007, 2010; Leach &amp; Walker 2011, 2013)</v>
          </cell>
          <cell r="G7626" t="str">
            <v>NHMSYS0000464169</v>
          </cell>
          <cell r="H7626" t="str">
            <v>Taraxacum akteum</v>
          </cell>
        </row>
        <row r="7627">
          <cell r="A7627" t="str">
            <v>Taraxacum alatum</v>
          </cell>
          <cell r="B7627" t="str">
            <v>Vascular plants</v>
          </cell>
          <cell r="C7627" t="str">
            <v>Tracheophyta</v>
          </cell>
          <cell r="D7627" t="str">
            <v>Taraxacum alatum</v>
          </cell>
          <cell r="E7627" t="str">
            <v>LC</v>
          </cell>
          <cell r="F7627" t="str">
            <v>in Stroh et al., 2014 (from: Cheffings &amp; Farrell 2005 or subsequent amendments in Leach 2007, 2010; Leach &amp; Walker 2011, 2013)</v>
          </cell>
          <cell r="G7627" t="str">
            <v>NHMSYS0000464170</v>
          </cell>
          <cell r="H7627" t="str">
            <v>Taraxacum alatum</v>
          </cell>
        </row>
        <row r="7628">
          <cell r="A7628" t="str">
            <v>Taraxacum ancistrolobum</v>
          </cell>
          <cell r="B7628" t="str">
            <v>Vascular plants</v>
          </cell>
          <cell r="C7628" t="str">
            <v>Tracheophyta</v>
          </cell>
          <cell r="D7628" t="str">
            <v>Taraxacum ancistrolobum</v>
          </cell>
          <cell r="E7628" t="str">
            <v>LC</v>
          </cell>
          <cell r="F7628" t="str">
            <v>in Stroh et al., 2014 (from: Cheffings &amp; Farrell 2005 or subsequent amendments in Leach 2007, 2010; Leach &amp; Walker 2011, 2013)</v>
          </cell>
          <cell r="G7628" t="str">
            <v>NHMSYS0000840831</v>
          </cell>
          <cell r="H7628" t="str">
            <v>Taraxacum ancistrolobum</v>
          </cell>
        </row>
        <row r="7629">
          <cell r="A7629" t="str">
            <v>Taraxacum anglicum</v>
          </cell>
          <cell r="B7629" t="str">
            <v>Vascular plants</v>
          </cell>
          <cell r="C7629" t="str">
            <v>Tracheophyta</v>
          </cell>
          <cell r="D7629" t="str">
            <v>Taraxacum anglicum</v>
          </cell>
          <cell r="E7629" t="str">
            <v>LC</v>
          </cell>
          <cell r="F7629" t="str">
            <v>in Stroh et al., 2014 (from: Cheffings &amp; Farrell 2005 or subsequent amendments in Leach 2007, 2010; Leach &amp; Walker 2011, 2013)</v>
          </cell>
          <cell r="G7629" t="str">
            <v>NHMSYS0000840880</v>
          </cell>
          <cell r="H7629" t="str">
            <v>Taraxacum anglicum</v>
          </cell>
        </row>
        <row r="7630">
          <cell r="A7630" t="str">
            <v>Taraxacum arenastrum</v>
          </cell>
          <cell r="B7630" t="str">
            <v>Vascular plants</v>
          </cell>
          <cell r="C7630" t="str">
            <v>Tracheophyta</v>
          </cell>
          <cell r="D7630" t="str">
            <v>Taraxacum arenastrum</v>
          </cell>
          <cell r="E7630" t="str">
            <v>LC</v>
          </cell>
          <cell r="F7630" t="str">
            <v>in Stroh et al., 2014 (from: Cheffings &amp; Farrell 2005 or subsequent amendments in Leach 2007, 2010; Leach &amp; Walker 2011, 2013)</v>
          </cell>
          <cell r="G7630" t="str">
            <v>NHMSYS0000464175</v>
          </cell>
          <cell r="H7630" t="str">
            <v>Taraxacum arenastrum</v>
          </cell>
        </row>
        <row r="7631">
          <cell r="A7631" t="str">
            <v>Taraxacum argutum</v>
          </cell>
          <cell r="B7631" t="str">
            <v>Vascular plants</v>
          </cell>
          <cell r="C7631" t="str">
            <v>Tracheophyta</v>
          </cell>
          <cell r="D7631" t="str">
            <v>Taraxacum argutum</v>
          </cell>
          <cell r="E7631" t="str">
            <v>LC</v>
          </cell>
          <cell r="F7631" t="str">
            <v>in Stroh et al., 2014 (from: Cheffings &amp; Farrell 2005 or subsequent amendments in Leach 2007, 2010; Leach &amp; Walker 2011, 2013)</v>
          </cell>
          <cell r="G7631" t="str">
            <v>NHMSYS0000840806</v>
          </cell>
          <cell r="H7631" t="str">
            <v>Taraxacum argutum</v>
          </cell>
        </row>
        <row r="7632">
          <cell r="A7632" t="str">
            <v>Taraxacum berthae</v>
          </cell>
          <cell r="B7632" t="str">
            <v>Vascular plants</v>
          </cell>
          <cell r="C7632" t="str">
            <v>Tracheophyta</v>
          </cell>
          <cell r="D7632" t="str">
            <v>Taraxacum berthae</v>
          </cell>
          <cell r="E7632" t="str">
            <v>LC</v>
          </cell>
          <cell r="F7632" t="str">
            <v>in Stroh et al., 2014 (from: Cheffings &amp; Farrell 2005 or subsequent amendments in Leach 2007, 2010; Leach &amp; Walker 2011, 2013)</v>
          </cell>
          <cell r="G7632" t="str">
            <v>NHMSYS0000464179</v>
          </cell>
          <cell r="H7632" t="str">
            <v>Taraxacum berthae</v>
          </cell>
        </row>
        <row r="7633">
          <cell r="A7633" t="str">
            <v>Taraxacum brachyglossum</v>
          </cell>
          <cell r="B7633" t="str">
            <v>Vascular plants</v>
          </cell>
          <cell r="C7633" t="str">
            <v>Tracheophyta</v>
          </cell>
          <cell r="D7633" t="str">
            <v>Taraxacum brachyglossum</v>
          </cell>
          <cell r="E7633" t="str">
            <v>LC</v>
          </cell>
          <cell r="F7633" t="str">
            <v>in Stroh et al., 2014 (from: Cheffings &amp; Farrell 2005 or subsequent amendments in Leach 2007, 2010; Leach &amp; Walker 2011, 2013)</v>
          </cell>
          <cell r="G7633" t="str">
            <v>NHMSYS0000464181</v>
          </cell>
          <cell r="H7633" t="str">
            <v>Taraxacum brachyglossum</v>
          </cell>
        </row>
        <row r="7634">
          <cell r="A7634" t="str">
            <v>Taraxacum bracteatum</v>
          </cell>
          <cell r="B7634" t="str">
            <v>Vascular plants</v>
          </cell>
          <cell r="C7634" t="str">
            <v>Tracheophyta</v>
          </cell>
          <cell r="D7634" t="str">
            <v>Taraxacum bracteatum</v>
          </cell>
          <cell r="E7634" t="str">
            <v>LC</v>
          </cell>
          <cell r="F7634" t="str">
            <v>in Stroh et al., 2014 (from: Cheffings &amp; Farrell 2005 or subsequent amendments in Leach 2007, 2010; Leach &amp; Walker 2011, 2013)</v>
          </cell>
          <cell r="G7634" t="str">
            <v>NHMSYS0000841000</v>
          </cell>
          <cell r="H7634" t="str">
            <v>Taraxacum bracteatum</v>
          </cell>
        </row>
        <row r="7635">
          <cell r="A7635" t="str">
            <v>Taraxacum britannicum</v>
          </cell>
          <cell r="B7635" t="str">
            <v>Vascular plants</v>
          </cell>
          <cell r="C7635" t="str">
            <v>Tracheophyta</v>
          </cell>
          <cell r="D7635" t="str">
            <v>Taraxacum britannicum</v>
          </cell>
          <cell r="E7635" t="str">
            <v>LC</v>
          </cell>
          <cell r="F7635" t="str">
            <v>in Stroh et al., 2014 (from: Cheffings &amp; Farrell 2005 or subsequent amendments in Leach 2007, 2010; Leach &amp; Walker 2011, 2013)</v>
          </cell>
          <cell r="G7635" t="str">
            <v>NHMSYS0000840760</v>
          </cell>
          <cell r="H7635" t="str">
            <v>Taraxacum britannicum</v>
          </cell>
        </row>
        <row r="7636">
          <cell r="A7636" t="str">
            <v>Taraxacum cambricum</v>
          </cell>
          <cell r="B7636" t="str">
            <v>Vascular plants</v>
          </cell>
          <cell r="C7636" t="str">
            <v>Tracheophyta</v>
          </cell>
          <cell r="D7636" t="str">
            <v>Taraxacum cambricum</v>
          </cell>
          <cell r="E7636" t="str">
            <v>LC</v>
          </cell>
          <cell r="F7636" t="str">
            <v>in Stroh et al., 2014 (from: Cheffings &amp; Farrell 2005 or subsequent amendments in Leach 2007, 2010; Leach &amp; Walker 2011, 2013)</v>
          </cell>
          <cell r="G7636" t="str">
            <v>NHMSYS0000464184</v>
          </cell>
          <cell r="H7636" t="str">
            <v>Taraxacum cambricum</v>
          </cell>
        </row>
        <row r="7637">
          <cell r="A7637" t="str">
            <v>Taraxacum celticum</v>
          </cell>
          <cell r="B7637" t="str">
            <v>Vascular plants</v>
          </cell>
          <cell r="C7637" t="str">
            <v>Tracheophyta</v>
          </cell>
          <cell r="D7637" t="str">
            <v>Taraxacum celticum</v>
          </cell>
          <cell r="E7637" t="str">
            <v>LC</v>
          </cell>
          <cell r="F7637" t="str">
            <v>in Stroh et al., 2014 (from: Cheffings &amp; Farrell 2005 or subsequent amendments in Leach 2007, 2010; Leach &amp; Walker 2011, 2013)</v>
          </cell>
          <cell r="G7637" t="str">
            <v>NHMSYS0000464187</v>
          </cell>
          <cell r="H7637" t="str">
            <v>Taraxacum celticum</v>
          </cell>
        </row>
        <row r="7638">
          <cell r="A7638" t="str">
            <v>Taraxacum cenabense</v>
          </cell>
          <cell r="B7638" t="str">
            <v>Vascular plants</v>
          </cell>
          <cell r="C7638" t="str">
            <v>Tracheophyta</v>
          </cell>
          <cell r="D7638" t="str">
            <v>Taraxacum cenabense</v>
          </cell>
          <cell r="E7638" t="str">
            <v>LC</v>
          </cell>
          <cell r="F7638" t="str">
            <v>in Stroh et al., 2014 (from: Cheffings &amp; Farrell 2005 or subsequent amendments in Leach 2007, 2010; Leach &amp; Walker 2011, 2013)</v>
          </cell>
          <cell r="G7638" t="str">
            <v>NHMSYS0000840915</v>
          </cell>
          <cell r="H7638" t="str">
            <v>Taraxacum cenabense</v>
          </cell>
        </row>
        <row r="7639">
          <cell r="A7639" t="str">
            <v>Taraxacum cherwellense</v>
          </cell>
          <cell r="B7639" t="str">
            <v>Vascular plants</v>
          </cell>
          <cell r="C7639" t="str">
            <v>Tracheophyta</v>
          </cell>
          <cell r="D7639" t="str">
            <v>Taraxacum cherwellense</v>
          </cell>
          <cell r="E7639" t="str">
            <v>LC</v>
          </cell>
          <cell r="F7639" t="str">
            <v>in Stroh et al., 2014 (from: Cheffings &amp; Farrell 2005 or subsequent amendments in Leach 2007, 2010; Leach &amp; Walker 2011, 2013)</v>
          </cell>
          <cell r="G7639" t="str">
            <v>NHMSYS0000464188</v>
          </cell>
          <cell r="H7639" t="str">
            <v>Taraxacum cherwellense</v>
          </cell>
        </row>
        <row r="7640">
          <cell r="A7640" t="str">
            <v>Taraxacum commixtum</v>
          </cell>
          <cell r="B7640" t="str">
            <v>Vascular plants</v>
          </cell>
          <cell r="C7640" t="str">
            <v>Tracheophyta</v>
          </cell>
          <cell r="D7640" t="str">
            <v>Taraxacum commixtum</v>
          </cell>
          <cell r="E7640" t="str">
            <v>LC</v>
          </cell>
          <cell r="F7640" t="str">
            <v>in Stroh et al., 2014 (from: Cheffings &amp; Farrell 2005 or subsequent amendments in Leach 2007, 2010; Leach &amp; Walker 2011, 2013)</v>
          </cell>
          <cell r="G7640" t="str">
            <v>NHMSYS0000464193</v>
          </cell>
          <cell r="H7640" t="str">
            <v>Taraxacum commixtum</v>
          </cell>
        </row>
        <row r="7641">
          <cell r="A7641" t="str">
            <v>Taraxacum cophocentrum</v>
          </cell>
          <cell r="B7641" t="str">
            <v>Vascular plants</v>
          </cell>
          <cell r="C7641" t="str">
            <v>Tracheophyta</v>
          </cell>
          <cell r="D7641" t="str">
            <v>Taraxacum cophocentrum</v>
          </cell>
          <cell r="E7641" t="str">
            <v>LC</v>
          </cell>
          <cell r="F7641" t="str">
            <v>in Stroh et al., 2014 (from: Cheffings &amp; Farrell 2005 or subsequent amendments in Leach 2007, 2010; Leach &amp; Walker 2011, 2013)</v>
          </cell>
          <cell r="G7641" t="str">
            <v>NHMSYS0000840966</v>
          </cell>
          <cell r="H7641" t="str">
            <v>Taraxacum cophocentrum</v>
          </cell>
        </row>
        <row r="7642">
          <cell r="A7642" t="str">
            <v>Taraxacum cordatum</v>
          </cell>
          <cell r="B7642" t="str">
            <v>Vascular plants</v>
          </cell>
          <cell r="C7642" t="str">
            <v>Tracheophyta</v>
          </cell>
          <cell r="D7642" t="str">
            <v>Taraxacum cordatum</v>
          </cell>
          <cell r="E7642" t="str">
            <v>LC</v>
          </cell>
          <cell r="F7642" t="str">
            <v>in Stroh et al., 2014 (from: Cheffings &amp; Farrell 2005 or subsequent amendments in Leach 2007, 2010; Leach &amp; Walker 2011, 2013)</v>
          </cell>
          <cell r="G7642" t="str">
            <v>NHMSYS0000464194</v>
          </cell>
          <cell r="H7642" t="str">
            <v>Taraxacum cordatum</v>
          </cell>
        </row>
        <row r="7643">
          <cell r="A7643" t="str">
            <v>Taraxacum cornubiense</v>
          </cell>
          <cell r="B7643" t="str">
            <v>Vascular plants</v>
          </cell>
          <cell r="C7643" t="str">
            <v>Tracheophyta</v>
          </cell>
          <cell r="D7643" t="str">
            <v>Taraxacum cornubiense</v>
          </cell>
          <cell r="E7643" t="str">
            <v>LC</v>
          </cell>
          <cell r="F7643" t="str">
            <v>in Stroh et al., 2014 (from: Cheffings &amp; Farrell 2005 or subsequent amendments in Leach 2007, 2010; Leach &amp; Walker 2011, 2013)</v>
          </cell>
          <cell r="G7643" t="str">
            <v>NHMSYS0000464195</v>
          </cell>
          <cell r="H7643" t="str">
            <v>Taraxacum cornubiense</v>
          </cell>
        </row>
        <row r="7644">
          <cell r="A7644" t="str">
            <v>Taraxacum degelii</v>
          </cell>
          <cell r="B7644" t="str">
            <v>Vascular plants</v>
          </cell>
          <cell r="C7644" t="str">
            <v>Tracheophyta</v>
          </cell>
          <cell r="D7644" t="str">
            <v>Taraxacum degelii</v>
          </cell>
          <cell r="E7644" t="str">
            <v>LC</v>
          </cell>
          <cell r="F7644" t="str">
            <v>in Stroh et al., 2014 (from: Cheffings &amp; Farrell 2005 or subsequent amendments in Leach 2007, 2010; Leach &amp; Walker 2011, 2013)</v>
          </cell>
          <cell r="G7644" t="str">
            <v>NHMSYS0000464202</v>
          </cell>
          <cell r="H7644" t="str">
            <v>Taraxacum degelii</v>
          </cell>
        </row>
        <row r="7645">
          <cell r="A7645" t="str">
            <v>Taraxacum dilatatum</v>
          </cell>
          <cell r="B7645" t="str">
            <v>Vascular plants</v>
          </cell>
          <cell r="C7645" t="str">
            <v>Tracheophyta</v>
          </cell>
          <cell r="D7645" t="str">
            <v>Taraxacum dilatatum</v>
          </cell>
          <cell r="E7645" t="str">
            <v>LC</v>
          </cell>
          <cell r="F7645" t="str">
            <v>in Stroh et al., 2014 (from: Cheffings &amp; Farrell 2005 or subsequent amendments in Leach 2007, 2010; Leach &amp; Walker 2011, 2013)</v>
          </cell>
          <cell r="G7645" t="str">
            <v>NHMSYS0000464204</v>
          </cell>
          <cell r="H7645" t="str">
            <v>Taraxacum dilatatum</v>
          </cell>
        </row>
        <row r="7646">
          <cell r="A7646" t="str">
            <v>Taraxacum drucei</v>
          </cell>
          <cell r="B7646" t="str">
            <v>Vascular plants</v>
          </cell>
          <cell r="C7646" t="str">
            <v>Tracheophyta</v>
          </cell>
          <cell r="D7646" t="str">
            <v>Taraxacum drucei</v>
          </cell>
          <cell r="E7646" t="str">
            <v>LC</v>
          </cell>
          <cell r="F7646" t="str">
            <v>in Stroh et al., 2014 (from: Cheffings &amp; Farrell 2005 or subsequent amendments in Leach 2007, 2010; Leach &amp; Walker 2011, 2013)</v>
          </cell>
          <cell r="G7646" t="str">
            <v>NHMSYS0000840741</v>
          </cell>
          <cell r="H7646" t="str">
            <v>Taraxacum drucei</v>
          </cell>
        </row>
        <row r="7647">
          <cell r="A7647" t="str">
            <v>Taraxacum dunense</v>
          </cell>
          <cell r="B7647" t="str">
            <v>Vascular plants</v>
          </cell>
          <cell r="C7647" t="str">
            <v>Tracheophyta</v>
          </cell>
          <cell r="D7647" t="str">
            <v>Taraxacum dunense</v>
          </cell>
          <cell r="E7647" t="str">
            <v>LC</v>
          </cell>
          <cell r="F7647" t="str">
            <v>in Stroh et al., 2014 (from: Cheffings &amp; Farrell 2005 or subsequent amendments in Leach 2007, 2010; Leach &amp; Walker 2011, 2013)</v>
          </cell>
          <cell r="G7647" t="str">
            <v>NHMSYS0000464206</v>
          </cell>
          <cell r="H7647" t="str">
            <v>Taraxacum dunense</v>
          </cell>
        </row>
        <row r="7648">
          <cell r="A7648" t="str">
            <v>Taraxacum duplidentifrons</v>
          </cell>
          <cell r="B7648" t="str">
            <v>Vascular plants</v>
          </cell>
          <cell r="C7648" t="str">
            <v>Tracheophyta</v>
          </cell>
          <cell r="D7648" t="str">
            <v>Taraxacum duplidentifrons</v>
          </cell>
          <cell r="E7648" t="str">
            <v>LC</v>
          </cell>
          <cell r="F7648" t="str">
            <v>in Stroh et al., 2014 (from: Cheffings &amp; Farrell 2005 or subsequent amendments in Leach 2007, 2010; Leach &amp; Walker 2011, 2013)</v>
          </cell>
          <cell r="G7648" t="str">
            <v>NHMSYS0000464208</v>
          </cell>
          <cell r="H7648" t="str">
            <v>Taraxacum duplidentifrons</v>
          </cell>
        </row>
        <row r="7649">
          <cell r="A7649" t="str">
            <v>Taraxacum edmondsonianum</v>
          </cell>
          <cell r="B7649" t="str">
            <v>Vascular plants</v>
          </cell>
          <cell r="C7649" t="str">
            <v>Tracheophyta</v>
          </cell>
          <cell r="D7649" t="str">
            <v>Taraxacum edmondsonianum</v>
          </cell>
          <cell r="E7649" t="str">
            <v>LC</v>
          </cell>
          <cell r="F7649" t="str">
            <v>in Stroh et al., 2014 (from: Cheffings &amp; Farrell 2005 or subsequent amendments in Leach 2007, 2010; Leach &amp; Walker 2011, 2013)</v>
          </cell>
          <cell r="G7649" t="str">
            <v>NHMSYS0000464209</v>
          </cell>
          <cell r="H7649" t="str">
            <v>Taraxacum edmondsonianum</v>
          </cell>
        </row>
        <row r="7650">
          <cell r="A7650" t="str">
            <v>Taraxacum euryphyllum</v>
          </cell>
          <cell r="B7650" t="str">
            <v>Vascular plants</v>
          </cell>
          <cell r="C7650" t="str">
            <v>Tracheophyta</v>
          </cell>
          <cell r="D7650" t="str">
            <v>Taraxacum euryphyllum</v>
          </cell>
          <cell r="E7650" t="str">
            <v>LC</v>
          </cell>
          <cell r="F7650" t="str">
            <v>in Stroh et al., 2014 (from: Cheffings &amp; Farrell 2005 or subsequent amendments in Leach 2007, 2010; Leach &amp; Walker 2011, 2013)</v>
          </cell>
          <cell r="G7650" t="str">
            <v>NHMSYS0000464215</v>
          </cell>
          <cell r="H7650" t="str">
            <v>Taraxacum euryphyllum</v>
          </cell>
        </row>
        <row r="7651">
          <cell r="A7651" t="str">
            <v>Taraxacum excellens</v>
          </cell>
          <cell r="B7651" t="str">
            <v>Vascular plants</v>
          </cell>
          <cell r="C7651" t="str">
            <v>Tracheophyta</v>
          </cell>
          <cell r="D7651" t="str">
            <v>Taraxacum excellens</v>
          </cell>
          <cell r="E7651" t="str">
            <v>LC</v>
          </cell>
          <cell r="F7651" t="str">
            <v>in Stroh et al., 2014 (from: Cheffings &amp; Farrell 2005 or subsequent amendments in Leach 2007, 2010; Leach &amp; Walker 2011, 2013)</v>
          </cell>
          <cell r="G7651" t="str">
            <v>NHMSYS0000840835</v>
          </cell>
          <cell r="H7651" t="str">
            <v>Taraxacum excellens</v>
          </cell>
        </row>
        <row r="7652">
          <cell r="A7652" t="str">
            <v>Taraxacum faeroense</v>
          </cell>
          <cell r="B7652" t="str">
            <v>Vascular plants</v>
          </cell>
          <cell r="C7652" t="str">
            <v>Tracheophyta</v>
          </cell>
          <cell r="D7652" t="str">
            <v>Taraxacum faeroense</v>
          </cell>
          <cell r="E7652" t="str">
            <v>LC</v>
          </cell>
          <cell r="F7652" t="str">
            <v>in Stroh et al., 2014 (from: Cheffings &amp; Farrell 2005 or subsequent amendments in Leach 2007, 2010; Leach &amp; Walker 2011, 2013)</v>
          </cell>
          <cell r="G7652" t="str">
            <v>NHMSYS0000840690</v>
          </cell>
          <cell r="H7652" t="str">
            <v>Taraxacum faeroense</v>
          </cell>
        </row>
        <row r="7653">
          <cell r="A7653" t="str">
            <v>Taraxacum fulgidum</v>
          </cell>
          <cell r="B7653" t="str">
            <v>Vascular plants</v>
          </cell>
          <cell r="C7653" t="str">
            <v>Tracheophyta</v>
          </cell>
          <cell r="D7653" t="str">
            <v>Taraxacum fulgidum</v>
          </cell>
          <cell r="E7653" t="str">
            <v>LC</v>
          </cell>
          <cell r="F7653" t="str">
            <v>in Stroh et al., 2014 (from: Cheffings &amp; Farrell 2005 or subsequent amendments in Leach 2007, 2010; Leach &amp; Walker 2011, 2013)</v>
          </cell>
          <cell r="G7653" t="str">
            <v>NHMSYS0000464218</v>
          </cell>
          <cell r="H7653" t="str">
            <v>Taraxacum fulgidum</v>
          </cell>
        </row>
        <row r="7654">
          <cell r="A7654" t="str">
            <v>Taraxacum fulvicarpum </v>
          </cell>
          <cell r="B7654" t="str">
            <v>Vascular plants</v>
          </cell>
          <cell r="C7654" t="str">
            <v>Tracheophyta</v>
          </cell>
          <cell r="D7654" t="str">
            <v>Taraxacum fulvicarpum</v>
          </cell>
          <cell r="E7654" t="str">
            <v>LC</v>
          </cell>
          <cell r="F7654" t="str">
            <v>in Stroh et al., 2014 (from: Cheffings &amp; Farrell 2005 or subsequent amendments in Leach 2007, 2010; Leach &amp; Walker 2011, 2013)</v>
          </cell>
          <cell r="G7654" t="str">
            <v>NHMSYS0000840893</v>
          </cell>
          <cell r="H7654" t="str">
            <v>Taraxacum fulvicarpum </v>
          </cell>
        </row>
        <row r="7655">
          <cell r="A7655" t="str">
            <v>Taraxacum fulviforme</v>
          </cell>
          <cell r="B7655" t="str">
            <v>Vascular plants</v>
          </cell>
          <cell r="C7655" t="str">
            <v>Tracheophyta</v>
          </cell>
          <cell r="D7655" t="str">
            <v>Taraxacum fulviforme</v>
          </cell>
          <cell r="E7655" t="str">
            <v>LC</v>
          </cell>
          <cell r="F7655" t="str">
            <v>in Stroh et al., 2014 (from: Cheffings &amp; Farrell 2005 or subsequent amendments in Leach 2007, 2010; Leach &amp; Walker 2011, 2013)</v>
          </cell>
          <cell r="G7655" t="str">
            <v>NHMSYS0000840788</v>
          </cell>
          <cell r="H7655" t="str">
            <v>Taraxacum fulviforme</v>
          </cell>
        </row>
        <row r="7656">
          <cell r="A7656" t="str">
            <v>Taraxacum fulvum</v>
          </cell>
          <cell r="B7656" t="str">
            <v>Vascular plants</v>
          </cell>
          <cell r="C7656" t="str">
            <v>Tracheophyta</v>
          </cell>
          <cell r="D7656" t="str">
            <v>Taraxacum fulvum</v>
          </cell>
          <cell r="E7656" t="str">
            <v>LC</v>
          </cell>
          <cell r="F7656" t="str">
            <v>in Stroh et al., 2014 (from: Cheffings &amp; Farrell 2005 or subsequent amendments in Leach 2007, 2010; Leach &amp; Walker 2011, 2013)</v>
          </cell>
          <cell r="G7656" t="str">
            <v>NHMSYS0000840974</v>
          </cell>
          <cell r="H7656" t="str">
            <v>Taraxacum fulvum</v>
          </cell>
        </row>
        <row r="7657">
          <cell r="A7657" t="str">
            <v>Taraxacum gelertii</v>
          </cell>
          <cell r="B7657" t="str">
            <v>Vascular plants</v>
          </cell>
          <cell r="C7657" t="str">
            <v>Tracheophyta</v>
          </cell>
          <cell r="D7657" t="str">
            <v>Taraxacum gelertii</v>
          </cell>
          <cell r="E7657" t="str">
            <v>LC</v>
          </cell>
          <cell r="F7657" t="str">
            <v>in Stroh et al., 2014 (from: Cheffings &amp; Farrell 2005 or subsequent amendments in Leach 2007, 2010; Leach &amp; Walker 2011, 2013)</v>
          </cell>
          <cell r="G7657" t="str">
            <v>NHMSYS0000841001</v>
          </cell>
          <cell r="H7657" t="str">
            <v>Taraxacum gelertii</v>
          </cell>
        </row>
        <row r="7658">
          <cell r="A7658" t="str">
            <v>Taraxacum glauciniforme</v>
          </cell>
          <cell r="B7658" t="str">
            <v>Vascular plants</v>
          </cell>
          <cell r="C7658" t="str">
            <v>Tracheophyta</v>
          </cell>
          <cell r="D7658" t="str">
            <v>Taraxacum glauciniforme</v>
          </cell>
          <cell r="E7658" t="str">
            <v>LC</v>
          </cell>
          <cell r="F7658" t="str">
            <v>in Stroh et al., 2014 (from: Cheffings &amp; Farrell 2005 or subsequent amendments in Leach 2007, 2010; Leach &amp; Walker 2011, 2013)</v>
          </cell>
          <cell r="G7658" t="str">
            <v>NHMSYS0000841044</v>
          </cell>
          <cell r="H7658" t="str">
            <v>Taraxacum glauciniforme</v>
          </cell>
        </row>
        <row r="7659">
          <cell r="A7659" t="str">
            <v>Taraxacum haematicum</v>
          </cell>
          <cell r="B7659" t="str">
            <v>Vascular plants</v>
          </cell>
          <cell r="C7659" t="str">
            <v>Tracheophyta</v>
          </cell>
          <cell r="D7659" t="str">
            <v>Taraxacum haematicum</v>
          </cell>
          <cell r="E7659" t="str">
            <v>LC</v>
          </cell>
          <cell r="F7659" t="str">
            <v>in Stroh et al., 2014 (from: Cheffings &amp; Farrell 2005 or subsequent amendments in Leach 2007, 2010; Leach &amp; Walker 2011, 2013)</v>
          </cell>
          <cell r="G7659" t="str">
            <v>NHMSYS0000464223</v>
          </cell>
          <cell r="H7659" t="str">
            <v>Taraxacum haematicum</v>
          </cell>
        </row>
        <row r="7660">
          <cell r="A7660" t="str">
            <v>Taraxacum hamatiforme</v>
          </cell>
          <cell r="B7660" t="str">
            <v>Vascular plants</v>
          </cell>
          <cell r="C7660" t="str">
            <v>Tracheophyta</v>
          </cell>
          <cell r="D7660" t="str">
            <v>Taraxacum hamatiforme</v>
          </cell>
          <cell r="E7660" t="str">
            <v>LC</v>
          </cell>
          <cell r="F7660" t="str">
            <v>in Stroh et al., 2014 (from: Cheffings &amp; Farrell 2005 or subsequent amendments in Leach 2007, 2010; Leach &amp; Walker 2011, 2013)</v>
          </cell>
          <cell r="G7660" t="str">
            <v>NHMSYS0000840729</v>
          </cell>
          <cell r="H7660" t="str">
            <v>Taraxacum hamatiforme</v>
          </cell>
        </row>
        <row r="7661">
          <cell r="A7661" t="str">
            <v>Taraxacum hamatulum</v>
          </cell>
          <cell r="B7661" t="str">
            <v>Vascular plants</v>
          </cell>
          <cell r="C7661" t="str">
            <v>Tracheophyta</v>
          </cell>
          <cell r="D7661" t="str">
            <v>Taraxacum hamatulum</v>
          </cell>
          <cell r="E7661" t="str">
            <v>LC</v>
          </cell>
          <cell r="F7661" t="str">
            <v>in Stroh et al., 2014 (from: Cheffings &amp; Farrell 2005 or subsequent amendments in Leach 2007, 2010; Leach &amp; Walker 2011, 2013)</v>
          </cell>
          <cell r="G7661" t="str">
            <v>NHMSYS0000840713</v>
          </cell>
          <cell r="H7661" t="str">
            <v>Taraxacum hamatulum</v>
          </cell>
        </row>
        <row r="7662">
          <cell r="A7662" t="str">
            <v>Taraxacum hamatum</v>
          </cell>
          <cell r="B7662" t="str">
            <v>Vascular plants</v>
          </cell>
          <cell r="C7662" t="str">
            <v>Tracheophyta</v>
          </cell>
          <cell r="D7662" t="str">
            <v>Taraxacum hamatum</v>
          </cell>
          <cell r="E7662" t="str">
            <v>LC</v>
          </cell>
          <cell r="F7662" t="str">
            <v>in Stroh et al., 2014 (from: Cheffings &amp; Farrell 2005 or subsequent amendments in Leach 2007, 2010; Leach &amp; Walker 2011, 2013)</v>
          </cell>
          <cell r="G7662" t="str">
            <v>NHMSYS0000840714</v>
          </cell>
          <cell r="H7662" t="str">
            <v>Taraxacum hamatum</v>
          </cell>
        </row>
        <row r="7663">
          <cell r="A7663" t="str">
            <v>Taraxacum haworthianum</v>
          </cell>
          <cell r="B7663" t="str">
            <v>Vascular plants</v>
          </cell>
          <cell r="C7663" t="str">
            <v>Tracheophyta</v>
          </cell>
          <cell r="D7663" t="str">
            <v>Taraxacum haworthianum</v>
          </cell>
          <cell r="E7663" t="str">
            <v>LC</v>
          </cell>
          <cell r="F7663" t="str">
            <v>in Stroh et al., 2014 (from: Cheffings &amp; Farrell 2005 or subsequent amendments in Leach 2007, 2010; Leach &amp; Walker 2011, 2013)</v>
          </cell>
          <cell r="G7663" t="str">
            <v>NHMSYS0000464225</v>
          </cell>
          <cell r="H7663" t="str">
            <v>Taraxacum haworthianum</v>
          </cell>
        </row>
        <row r="7664">
          <cell r="A7664" t="str">
            <v>Taraxacum hesperium</v>
          </cell>
          <cell r="B7664" t="str">
            <v>Vascular plants</v>
          </cell>
          <cell r="C7664" t="str">
            <v>Tracheophyta</v>
          </cell>
          <cell r="D7664" t="str">
            <v>Taraxacum hesperium</v>
          </cell>
          <cell r="E7664" t="str">
            <v>LC</v>
          </cell>
          <cell r="F7664" t="str">
            <v>in Stroh et al., 2014 (from: Cheffings &amp; Farrell 2005 or subsequent amendments in Leach 2007, 2010; Leach &amp; Walker 2011, 2013)</v>
          </cell>
          <cell r="G7664" t="str">
            <v>NHMSYS0000464228</v>
          </cell>
          <cell r="H7664" t="str">
            <v>Taraxacum hesperium</v>
          </cell>
        </row>
        <row r="7665">
          <cell r="A7665" t="str">
            <v>Taraxacum hexhamense</v>
          </cell>
          <cell r="B7665" t="str">
            <v>Vascular plants</v>
          </cell>
          <cell r="C7665" t="str">
            <v>Tracheophyta</v>
          </cell>
          <cell r="D7665" t="str">
            <v>Taraxacum hexhamense</v>
          </cell>
          <cell r="E7665" t="str">
            <v>LC</v>
          </cell>
          <cell r="F7665" t="str">
            <v>in Stroh et al., 2014 (from: Cheffings &amp; Farrell 2005 or subsequent amendments in Leach 2007, 2010; Leach &amp; Walker 2011, 2013)</v>
          </cell>
          <cell r="G7665" t="str">
            <v>NHMSYS0000464229</v>
          </cell>
          <cell r="H7665" t="str">
            <v>Taraxacum hexhamense</v>
          </cell>
        </row>
        <row r="7666">
          <cell r="A7666" t="str">
            <v>Taraxacum hygrophilum</v>
          </cell>
          <cell r="B7666" t="str">
            <v>Vascular plants</v>
          </cell>
          <cell r="C7666" t="str">
            <v>Tracheophyta</v>
          </cell>
          <cell r="D7666" t="str">
            <v>Taraxacum hygrophilum</v>
          </cell>
          <cell r="E7666" t="str">
            <v>VU</v>
          </cell>
          <cell r="F7666" t="str">
            <v>in Stroh et al., 2014 (from: Cheffings &amp; Farrell 2005 or subsequent amendments in Leach 2007, 2010; Leach &amp; Walker 2011, 2013)</v>
          </cell>
          <cell r="G7666" t="str">
            <v>NHMSYS0000841045</v>
          </cell>
          <cell r="H7666" t="str">
            <v>Taraxacum hygrophilum</v>
          </cell>
        </row>
        <row r="7667">
          <cell r="A7667" t="str">
            <v>Taraxacum inane</v>
          </cell>
          <cell r="B7667" t="str">
            <v>Vascular plants</v>
          </cell>
          <cell r="C7667" t="str">
            <v>Tracheophyta</v>
          </cell>
          <cell r="D7667" t="str">
            <v>Taraxacum inane</v>
          </cell>
          <cell r="E7667" t="str">
            <v>LC</v>
          </cell>
          <cell r="F7667" t="str">
            <v>in Stroh et al., 2014 (from: Cheffings &amp; Farrell 2005 or subsequent amendments in Leach 2007, 2010; Leach &amp; Walker 2011, 2013)</v>
          </cell>
          <cell r="G7667" t="str">
            <v>NHMSYS0000464234</v>
          </cell>
          <cell r="H7667" t="str">
            <v>Taraxacum inane</v>
          </cell>
        </row>
        <row r="7668">
          <cell r="A7668" t="str">
            <v>Taraxacum inopinatum</v>
          </cell>
          <cell r="B7668" t="str">
            <v>Vascular plants</v>
          </cell>
          <cell r="C7668" t="str">
            <v>Tracheophyta</v>
          </cell>
          <cell r="D7668" t="str">
            <v>Taraxacum inopinatum</v>
          </cell>
          <cell r="E7668" t="str">
            <v>LC</v>
          </cell>
          <cell r="F7668" t="str">
            <v>in Stroh et al., 2014 (from: Cheffings &amp; Farrell 2005 or subsequent amendments in Leach 2007, 2010; Leach &amp; Walker 2011, 2013)</v>
          </cell>
          <cell r="G7668" t="str">
            <v>NHMSYS0000464236</v>
          </cell>
          <cell r="H7668" t="str">
            <v>Taraxacum inopinatum</v>
          </cell>
        </row>
        <row r="7669">
          <cell r="A7669" t="str">
            <v>Taraxacum lacistophyllum</v>
          </cell>
          <cell r="B7669" t="str">
            <v>Vascular plants</v>
          </cell>
          <cell r="C7669" t="str">
            <v>Tracheophyta</v>
          </cell>
          <cell r="D7669" t="str">
            <v>Taraxacum lacistophyllum</v>
          </cell>
          <cell r="E7669" t="str">
            <v>LC</v>
          </cell>
          <cell r="F7669" t="str">
            <v>in Stroh et al., 2014 (from: Cheffings &amp; Farrell 2005 or subsequent amendments in Leach 2007, 2010; Leach &amp; Walker 2011, 2013)</v>
          </cell>
          <cell r="G7669" t="str">
            <v>NHMSYS0000840771</v>
          </cell>
          <cell r="H7669" t="str">
            <v>Taraxacum lacistophyllum</v>
          </cell>
        </row>
        <row r="7670">
          <cell r="A7670" t="str">
            <v>Taraxacum lancastriense</v>
          </cell>
          <cell r="B7670" t="str">
            <v>Vascular plants</v>
          </cell>
          <cell r="C7670" t="str">
            <v>Tracheophyta</v>
          </cell>
          <cell r="D7670" t="str">
            <v>Taraxacum lancastriense</v>
          </cell>
          <cell r="E7670" t="str">
            <v>LC</v>
          </cell>
          <cell r="F7670" t="str">
            <v>in Stroh et al., 2014 (from: Cheffings &amp; Farrell 2005 or subsequent amendments in Leach 2007, 2010; Leach &amp; Walker 2011, 2013)</v>
          </cell>
          <cell r="G7670" t="str">
            <v>NHMSYS0000464244</v>
          </cell>
          <cell r="H7670" t="str">
            <v>Taraxacum lancastriense</v>
          </cell>
        </row>
        <row r="7671">
          <cell r="A7671" t="str">
            <v>Taraxacum landmarkii</v>
          </cell>
          <cell r="B7671" t="str">
            <v>Vascular plants</v>
          </cell>
          <cell r="C7671" t="str">
            <v>Tracheophyta</v>
          </cell>
          <cell r="D7671" t="str">
            <v>Taraxacum landmarkii</v>
          </cell>
          <cell r="E7671" t="str">
            <v>LC</v>
          </cell>
          <cell r="F7671" t="str">
            <v>in Stroh et al., 2014 (from: Cheffings &amp; Farrell 2005 or subsequent amendments in Leach 2007, 2010; Leach &amp; Walker 2011, 2013)</v>
          </cell>
          <cell r="G7671" t="str">
            <v>NHMSYS0000840728</v>
          </cell>
          <cell r="H7671" t="str">
            <v>Taraxacum landmarkii</v>
          </cell>
        </row>
        <row r="7672">
          <cell r="A7672" t="str">
            <v>Taraxacum laticordatum</v>
          </cell>
          <cell r="B7672" t="str">
            <v>Vascular plants</v>
          </cell>
          <cell r="C7672" t="str">
            <v>Tracheophyta</v>
          </cell>
          <cell r="D7672" t="str">
            <v>Taraxacum laticordatum</v>
          </cell>
          <cell r="E7672" t="str">
            <v>LC</v>
          </cell>
          <cell r="F7672" t="str">
            <v>in Stroh et al., 2014 (from: Cheffings &amp; Farrell 2005 or subsequent amendments in Leach 2007, 2010; Leach &amp; Walker 2011, 2013)</v>
          </cell>
          <cell r="G7672" t="str">
            <v>NHMSYS0000840802</v>
          </cell>
          <cell r="H7672" t="str">
            <v>Taraxacum laticordatum</v>
          </cell>
        </row>
        <row r="7673">
          <cell r="A7673" t="str">
            <v>Taraxacum luteum</v>
          </cell>
          <cell r="B7673" t="str">
            <v>Vascular plants</v>
          </cell>
          <cell r="C7673" t="str">
            <v>Tracheophyta</v>
          </cell>
          <cell r="D7673" t="str">
            <v>Taraxacum luteum</v>
          </cell>
          <cell r="E7673" t="str">
            <v>LC</v>
          </cell>
          <cell r="F7673" t="str">
            <v>in Stroh et al., 2014 (from: Cheffings &amp; Farrell 2005 or subsequent amendments in Leach 2007, 2010; Leach &amp; Walker 2011, 2013)</v>
          </cell>
          <cell r="G7673" t="str">
            <v>NHMSYS0000464254</v>
          </cell>
          <cell r="H7673" t="str">
            <v>Taraxacum luteum</v>
          </cell>
        </row>
        <row r="7674">
          <cell r="A7674" t="str">
            <v>Taraxacum maculosum</v>
          </cell>
          <cell r="B7674" t="str">
            <v>Vascular plants</v>
          </cell>
          <cell r="C7674" t="str">
            <v>Tracheophyta</v>
          </cell>
          <cell r="D7674" t="str">
            <v>Taraxacum maculosum</v>
          </cell>
          <cell r="E7674" t="str">
            <v>LC</v>
          </cell>
          <cell r="F7674" t="str">
            <v>in Stroh et al., 2014 (from: Cheffings &amp; Farrell 2005 or subsequent amendments in Leach 2007, 2010; Leach &amp; Walker 2011, 2013)</v>
          </cell>
          <cell r="G7674" t="str">
            <v>NHMSYS0000464258</v>
          </cell>
          <cell r="H7674" t="str">
            <v>Taraxacum maculosum</v>
          </cell>
        </row>
        <row r="7675">
          <cell r="A7675" t="str">
            <v>Taraxacum marklundii</v>
          </cell>
          <cell r="B7675" t="str">
            <v>Vascular plants</v>
          </cell>
          <cell r="C7675" t="str">
            <v>Tracheophyta</v>
          </cell>
          <cell r="D7675" t="str">
            <v>Taraxacum marklundii</v>
          </cell>
          <cell r="E7675" t="str">
            <v>LC</v>
          </cell>
          <cell r="F7675" t="str">
            <v>in Stroh et al., 2014 (from: Cheffings &amp; Farrell 2005 or subsequent amendments in Leach 2007, 2010; Leach &amp; Walker 2011, 2013)</v>
          </cell>
          <cell r="G7675" t="str">
            <v>NHMSYS0000464260</v>
          </cell>
          <cell r="H7675" t="str">
            <v>Taraxacum marklundii</v>
          </cell>
        </row>
        <row r="7676">
          <cell r="A7676" t="str">
            <v>Taraxacum melanthoides</v>
          </cell>
          <cell r="B7676" t="str">
            <v>Vascular plants</v>
          </cell>
          <cell r="C7676" t="str">
            <v>Tracheophyta</v>
          </cell>
          <cell r="D7676" t="str">
            <v>Taraxacum melanthoides</v>
          </cell>
          <cell r="E7676" t="str">
            <v>LC</v>
          </cell>
          <cell r="F7676" t="str">
            <v>in Stroh et al., 2014 (from: Cheffings &amp; Farrell 2005 or subsequent amendments in Leach 2007, 2010; Leach &amp; Walker 2011, 2013)</v>
          </cell>
          <cell r="G7676" t="str">
            <v>NHMSYS0000464261</v>
          </cell>
          <cell r="H7676" t="str">
            <v>Taraxacum melanthoides</v>
          </cell>
        </row>
        <row r="7677">
          <cell r="A7677" t="str">
            <v>Taraxacum naevosum</v>
          </cell>
          <cell r="B7677" t="str">
            <v>Vascular plants</v>
          </cell>
          <cell r="C7677" t="str">
            <v>Tracheophyta</v>
          </cell>
          <cell r="D7677" t="str">
            <v>Taraxacum naevosum</v>
          </cell>
          <cell r="E7677" t="str">
            <v>LC</v>
          </cell>
          <cell r="F7677" t="str">
            <v>in Stroh et al., 2014 (from: Cheffings &amp; Farrell 2005 or subsequent amendments in Leach 2007, 2010; Leach &amp; Walker 2011, 2013)</v>
          </cell>
          <cell r="G7677" t="str">
            <v>NHMSYS0000840996</v>
          </cell>
          <cell r="H7677" t="str">
            <v>Taraxacum naevosum</v>
          </cell>
        </row>
        <row r="7678">
          <cell r="A7678" t="str">
            <v>Taraxacum nigridentatum</v>
          </cell>
          <cell r="B7678" t="str">
            <v>Vascular plants</v>
          </cell>
          <cell r="C7678" t="str">
            <v>Tracheophyta</v>
          </cell>
          <cell r="D7678" t="str">
            <v>Taraxacum nigridentatum</v>
          </cell>
          <cell r="E7678" t="str">
            <v>LC</v>
          </cell>
          <cell r="F7678" t="str">
            <v>in Stroh et al., 2014 (from: Cheffings &amp; Farrell 2005 or subsequent amendments in Leach 2007, 2010; Leach &amp; Walker 2011, 2013)</v>
          </cell>
          <cell r="G7678" t="str">
            <v>NHMSYS0000464266</v>
          </cell>
          <cell r="H7678" t="str">
            <v>Taraxacum nigridentatum</v>
          </cell>
        </row>
        <row r="7679">
          <cell r="A7679" t="str">
            <v>Taraxacum nordstedtii</v>
          </cell>
          <cell r="B7679" t="str">
            <v>Vascular plants</v>
          </cell>
          <cell r="C7679" t="str">
            <v>Tracheophyta</v>
          </cell>
          <cell r="D7679" t="str">
            <v>Taraxacum nordstedtii</v>
          </cell>
          <cell r="E7679" t="str">
            <v>LC</v>
          </cell>
          <cell r="F7679" t="str">
            <v>in Stroh et al., 2014 (from: Cheffings &amp; Farrell 2005 or subsequent amendments in Leach 2007, 2010; Leach &amp; Walker 2011, 2013)</v>
          </cell>
          <cell r="G7679" t="str">
            <v>NHMSYS0000840750</v>
          </cell>
          <cell r="H7679" t="str">
            <v>Taraxacum nordstedtii</v>
          </cell>
        </row>
        <row r="7680">
          <cell r="A7680" t="str">
            <v>Taraxacum obliquum</v>
          </cell>
          <cell r="B7680" t="str">
            <v>Vascular plants</v>
          </cell>
          <cell r="C7680" t="str">
            <v>Tracheophyta</v>
          </cell>
          <cell r="D7680" t="str">
            <v>Taraxacum obliquum</v>
          </cell>
          <cell r="E7680" t="str">
            <v>LC</v>
          </cell>
          <cell r="F7680" t="str">
            <v>in Stroh et al., 2014 (from: Cheffings &amp; Farrell 2005 or subsequent amendments in Leach 2007, 2010; Leach &amp; Walker 2011, 2013)</v>
          </cell>
          <cell r="G7680" t="str">
            <v>NHMSYS0000464267</v>
          </cell>
          <cell r="H7680" t="str">
            <v>Taraxacum obliquum</v>
          </cell>
        </row>
        <row r="7681">
          <cell r="A7681" t="str">
            <v>Taraxacum oblongatum</v>
          </cell>
          <cell r="B7681" t="str">
            <v>Vascular plants</v>
          </cell>
          <cell r="C7681" t="str">
            <v>Tracheophyta</v>
          </cell>
          <cell r="D7681" t="str">
            <v>Taraxacum oblongatum</v>
          </cell>
          <cell r="E7681" t="str">
            <v>LC</v>
          </cell>
          <cell r="F7681" t="str">
            <v>in Stroh et al., 2014 (from: Cheffings &amp; Farrell 2005 or subsequent amendments in Leach 2007, 2010; Leach &amp; Walker 2011, 2013)</v>
          </cell>
          <cell r="G7681" t="str">
            <v>NHMSYS0000840883</v>
          </cell>
          <cell r="H7681" t="str">
            <v>Taraxacum oblongatum</v>
          </cell>
        </row>
        <row r="7682">
          <cell r="A7682" t="str">
            <v>Taraxacum oellgaardii</v>
          </cell>
          <cell r="B7682" t="str">
            <v>Vascular plants</v>
          </cell>
          <cell r="C7682" t="str">
            <v>Tracheophyta</v>
          </cell>
          <cell r="D7682" t="str">
            <v>Taraxacum oellgaardii</v>
          </cell>
          <cell r="E7682" t="str">
            <v>LC</v>
          </cell>
          <cell r="F7682" t="str">
            <v>in Stroh et al., 2014 (from: Cheffings &amp; Farrell 2005 or subsequent amendments in Leach 2007, 2010; Leach &amp; Walker 2011, 2013)</v>
          </cell>
          <cell r="G7682" t="str">
            <v>NHMSYS0000464271</v>
          </cell>
          <cell r="H7682" t="str">
            <v>Taraxacum oellgaardii</v>
          </cell>
        </row>
        <row r="7683">
          <cell r="A7683" t="str">
            <v>Taraxacum olgae</v>
          </cell>
          <cell r="B7683" t="str">
            <v>Vascular plants</v>
          </cell>
          <cell r="C7683" t="str">
            <v>Tracheophyta</v>
          </cell>
          <cell r="D7683" t="str">
            <v>Taraxacum olgae</v>
          </cell>
          <cell r="E7683" t="str">
            <v>LC</v>
          </cell>
          <cell r="F7683" t="str">
            <v>in Stroh et al., 2014 (from: Cheffings &amp; Farrell 2005 or subsequent amendments in Leach 2007, 2010; Leach &amp; Walker 2011, 2013)</v>
          </cell>
          <cell r="G7683" t="str">
            <v>NHMSYS0000464273</v>
          </cell>
          <cell r="H7683" t="str">
            <v>Taraxacum olgae</v>
          </cell>
        </row>
        <row r="7684">
          <cell r="A7684" t="str">
            <v>Taraxacum oxoniense</v>
          </cell>
          <cell r="B7684" t="str">
            <v>Vascular plants</v>
          </cell>
          <cell r="C7684" t="str">
            <v>Tracheophyta</v>
          </cell>
          <cell r="D7684" t="str">
            <v>Taraxacum oxoniense</v>
          </cell>
          <cell r="E7684" t="str">
            <v>LC</v>
          </cell>
          <cell r="F7684" t="str">
            <v>in Stroh et al., 2014 (from: Cheffings &amp; Farrell 2005 or subsequent amendments in Leach 2007, 2010; Leach &amp; Walker 2011, 2013)</v>
          </cell>
          <cell r="G7684" t="str">
            <v>NHMSYS0000840970</v>
          </cell>
          <cell r="H7684" t="str">
            <v>Taraxacum oxoniense</v>
          </cell>
        </row>
        <row r="7685">
          <cell r="A7685" t="str">
            <v>Taraxacum palustre</v>
          </cell>
          <cell r="B7685" t="str">
            <v>Vascular plants</v>
          </cell>
          <cell r="C7685" t="str">
            <v>Tracheophyta</v>
          </cell>
          <cell r="D7685" t="str">
            <v>Taraxacum palustre</v>
          </cell>
          <cell r="E7685" t="str">
            <v>LC</v>
          </cell>
          <cell r="F7685" t="str">
            <v>in Stroh et al., 2014 (from: Cheffings &amp; Farrell 2005 or subsequent amendments in Leach 2007, 2010; Leach &amp; Walker 2011, 2013)</v>
          </cell>
          <cell r="G7685" t="str">
            <v>NHMSYS0000840903</v>
          </cell>
          <cell r="H7685" t="str">
            <v>Taraxacum palustre</v>
          </cell>
        </row>
        <row r="7686">
          <cell r="A7686" t="str">
            <v>Taraxacum palustrisquameum</v>
          </cell>
          <cell r="B7686" t="str">
            <v>Vascular plants</v>
          </cell>
          <cell r="C7686" t="str">
            <v>Tracheophyta</v>
          </cell>
          <cell r="D7686" t="str">
            <v>Taraxacum palustrisquameum</v>
          </cell>
          <cell r="E7686" t="str">
            <v>LC</v>
          </cell>
          <cell r="F7686" t="str">
            <v>in Stroh et al., 2014 (from: Cheffings &amp; Farrell 2005 or subsequent amendments in Leach 2007, 2010; Leach &amp; Walker 2011, 2013)</v>
          </cell>
          <cell r="G7686" t="str">
            <v>NHMSYS0000464276</v>
          </cell>
          <cell r="H7686" t="str">
            <v>Taraxacum palustrisquameum</v>
          </cell>
        </row>
        <row r="7687">
          <cell r="A7687" t="str">
            <v>Taraxacum parnassicum</v>
          </cell>
          <cell r="B7687" t="str">
            <v>Vascular plants</v>
          </cell>
          <cell r="C7687" t="str">
            <v>Tracheophyta</v>
          </cell>
          <cell r="D7687" t="str">
            <v>Taraxacum parnassicum</v>
          </cell>
          <cell r="E7687" t="str">
            <v>LC</v>
          </cell>
          <cell r="F7687" t="str">
            <v>in Stroh et al., 2014 (from: Cheffings &amp; Farrell 2005 or subsequent amendments in Leach 2007, 2010; Leach &amp; Walker 2011, 2013)</v>
          </cell>
          <cell r="G7687" t="str">
            <v>NHMSYS0000464277</v>
          </cell>
          <cell r="H7687" t="str">
            <v>Taraxacum parnassicum</v>
          </cell>
        </row>
        <row r="7688">
          <cell r="A7688" t="str">
            <v>Taraxacum platyglossum</v>
          </cell>
          <cell r="B7688" t="str">
            <v>Vascular plants</v>
          </cell>
          <cell r="C7688" t="str">
            <v>Tracheophyta</v>
          </cell>
          <cell r="D7688" t="str">
            <v>Taraxacum platyglossum</v>
          </cell>
          <cell r="E7688" t="str">
            <v>LC</v>
          </cell>
          <cell r="F7688" t="str">
            <v>in Stroh et al., 2014 (from: Cheffings &amp; Farrell 2005 or subsequent amendments in Leach 2007, 2010; Leach &amp; Walker 2011, 2013)</v>
          </cell>
          <cell r="G7688" t="str">
            <v>NHMSYS0000840896</v>
          </cell>
          <cell r="H7688" t="str">
            <v>Taraxacum platyglossum</v>
          </cell>
        </row>
        <row r="7689">
          <cell r="A7689" t="str">
            <v>Taraxacum porteri</v>
          </cell>
          <cell r="B7689" t="str">
            <v>Vascular plants</v>
          </cell>
          <cell r="C7689" t="str">
            <v>Tracheophyta</v>
          </cell>
          <cell r="D7689" t="str">
            <v>Taraxacum porteri</v>
          </cell>
          <cell r="E7689" t="str">
            <v>LC</v>
          </cell>
          <cell r="F7689" t="str">
            <v>in Stroh et al., 2014 (from: Cheffings &amp; Farrell 2005 or subsequent amendments in Leach 2007, 2010; Leach &amp; Walker 2011, 2013)</v>
          </cell>
          <cell r="G7689" t="str">
            <v>NHMSYS0000464283</v>
          </cell>
          <cell r="H7689" t="str">
            <v>Taraxacum porteri</v>
          </cell>
        </row>
        <row r="7690">
          <cell r="A7690" t="str">
            <v>Taraxacum proximiforme</v>
          </cell>
          <cell r="B7690" t="str">
            <v>Vascular plants</v>
          </cell>
          <cell r="C7690" t="str">
            <v>Tracheophyta</v>
          </cell>
          <cell r="D7690" t="str">
            <v>Taraxacum proximiforme</v>
          </cell>
          <cell r="E7690" t="str">
            <v>LC</v>
          </cell>
          <cell r="F7690" t="str">
            <v>in Stroh et al., 2014 (from: Cheffings &amp; Farrell 2005 or subsequent amendments in Leach 2007, 2010; Leach &amp; Walker 2011, 2013)</v>
          </cell>
          <cell r="G7690" t="str">
            <v>NHMSYS0000464286</v>
          </cell>
          <cell r="H7690" t="str">
            <v>Taraxacum proximiforme</v>
          </cell>
        </row>
        <row r="7691">
          <cell r="A7691" t="str">
            <v>Taraxacum proximum</v>
          </cell>
          <cell r="B7691" t="str">
            <v>Vascular plants</v>
          </cell>
          <cell r="C7691" t="str">
            <v>Tracheophyta</v>
          </cell>
          <cell r="D7691" t="str">
            <v>Taraxacum proximum</v>
          </cell>
          <cell r="E7691" t="str">
            <v>LC</v>
          </cell>
          <cell r="F7691" t="str">
            <v>in Stroh et al., 2014 (from: Cheffings &amp; Farrell 2005 or subsequent amendments in Leach 2007, 2010; Leach &amp; Walker 2011, 2013)</v>
          </cell>
          <cell r="G7691" t="str">
            <v>NHMSYS0000464287</v>
          </cell>
          <cell r="H7691" t="str">
            <v>Taraxacum proximum</v>
          </cell>
        </row>
        <row r="7692">
          <cell r="A7692" t="str">
            <v>Taraxacum pseudohamatum</v>
          </cell>
          <cell r="B7692" t="str">
            <v>Vascular plants</v>
          </cell>
          <cell r="C7692" t="str">
            <v>Tracheophyta</v>
          </cell>
          <cell r="D7692" t="str">
            <v>Taraxacum pseudohamatum</v>
          </cell>
          <cell r="E7692" t="str">
            <v>LC</v>
          </cell>
          <cell r="F7692" t="str">
            <v>in Stroh et al., 2014 (from: Cheffings &amp; Farrell 2005 or subsequent amendments in Leach 2007, 2010; Leach &amp; Walker 2011, 2013)</v>
          </cell>
          <cell r="G7692" t="str">
            <v>NHMSYS0000840940</v>
          </cell>
          <cell r="H7692" t="str">
            <v>Taraxacum pseudohamatum</v>
          </cell>
        </row>
        <row r="7693">
          <cell r="A7693" t="str">
            <v>Taraxacum pseudolarssonii</v>
          </cell>
          <cell r="B7693" t="str">
            <v>Vascular plants</v>
          </cell>
          <cell r="C7693" t="str">
            <v>Tracheophyta</v>
          </cell>
          <cell r="D7693" t="str">
            <v>Taraxacum pseudolarssonii</v>
          </cell>
          <cell r="E7693" t="str">
            <v>LC</v>
          </cell>
          <cell r="F7693" t="str">
            <v>in Stroh et al., 2014 (from: Cheffings &amp; Farrell 2005 or subsequent amendments in Leach 2007, 2010; Leach &amp; Walker 2011, 2013)</v>
          </cell>
          <cell r="G7693" t="str">
            <v>NHMSYS0000464289</v>
          </cell>
          <cell r="H7693" t="str">
            <v>Taraxacum pseudolarssonii</v>
          </cell>
        </row>
        <row r="7694">
          <cell r="A7694" t="str">
            <v>Taraxacum retzii</v>
          </cell>
          <cell r="B7694" t="str">
            <v>Vascular plants</v>
          </cell>
          <cell r="C7694" t="str">
            <v>Tracheophyta</v>
          </cell>
          <cell r="D7694" t="str">
            <v>Taraxacum retzii</v>
          </cell>
          <cell r="E7694" t="str">
            <v>LC</v>
          </cell>
          <cell r="F7694" t="str">
            <v>in Stroh et al., 2014 (from: Cheffings &amp; Farrell 2005 or subsequent amendments in Leach 2007, 2010; Leach &amp; Walker 2011, 2013)</v>
          </cell>
          <cell r="G7694" t="str">
            <v>NHMSYS0000840879</v>
          </cell>
          <cell r="H7694" t="str">
            <v>Taraxacum retzii</v>
          </cell>
        </row>
        <row r="7695">
          <cell r="A7695" t="str">
            <v>Taraxacum richardsianum</v>
          </cell>
          <cell r="B7695" t="str">
            <v>Vascular plants</v>
          </cell>
          <cell r="C7695" t="str">
            <v>Tracheophyta</v>
          </cell>
          <cell r="D7695" t="str">
            <v>Taraxacum richardsianum</v>
          </cell>
          <cell r="E7695" t="str">
            <v>LC</v>
          </cell>
          <cell r="F7695" t="str">
            <v>in Stroh et al., 2014 (from: Cheffings &amp; Farrell 2005 or subsequent amendments in Leach 2007, 2010; Leach &amp; Walker 2011, 2013)</v>
          </cell>
          <cell r="G7695" t="str">
            <v>NHMSYS0000464297</v>
          </cell>
          <cell r="H7695" t="str">
            <v>Taraxacum richardsianum</v>
          </cell>
        </row>
        <row r="7696">
          <cell r="A7696" t="str">
            <v>Taraxacum ronae</v>
          </cell>
          <cell r="B7696" t="str">
            <v>Vascular plants</v>
          </cell>
          <cell r="C7696" t="str">
            <v>Tracheophyta</v>
          </cell>
          <cell r="D7696" t="str">
            <v>Taraxacum ronae</v>
          </cell>
          <cell r="E7696" t="str">
            <v>LC</v>
          </cell>
          <cell r="F7696" t="str">
            <v>in Stroh et al., 2014 (from: Cheffings &amp; Farrell 2005 or subsequent amendments in Leach 2007, 2010; Leach &amp; Walker 2011, 2013)</v>
          </cell>
          <cell r="G7696" t="str">
            <v>NHMSYS0020755135</v>
          </cell>
          <cell r="H7696" t="str">
            <v>Taraxacum ronae</v>
          </cell>
        </row>
        <row r="7697">
          <cell r="A7697" t="str">
            <v>Taraxacum rubicundum</v>
          </cell>
          <cell r="B7697" t="str">
            <v>Vascular plants</v>
          </cell>
          <cell r="C7697" t="str">
            <v>Tracheophyta</v>
          </cell>
          <cell r="D7697" t="str">
            <v>Taraxacum rubicundum</v>
          </cell>
          <cell r="E7697" t="str">
            <v>LC</v>
          </cell>
          <cell r="F7697" t="str">
            <v>in Stroh et al., 2014 (from: Cheffings &amp; Farrell 2005 or subsequent amendments in Leach 2007, 2010; Leach &amp; Walker 2011, 2013)</v>
          </cell>
          <cell r="G7697" t="str">
            <v>NHMSYS0000840902</v>
          </cell>
          <cell r="H7697" t="str">
            <v>Taraxacum rubicundum</v>
          </cell>
        </row>
        <row r="7698">
          <cell r="A7698" t="str">
            <v>Taraxacum sahlinianum</v>
          </cell>
          <cell r="B7698" t="str">
            <v>Vascular plants</v>
          </cell>
          <cell r="C7698" t="str">
            <v>Tracheophyta</v>
          </cell>
          <cell r="D7698" t="str">
            <v>Taraxacum sahlinianum</v>
          </cell>
          <cell r="E7698" t="str">
            <v>LC</v>
          </cell>
          <cell r="F7698" t="str">
            <v>in Stroh et al., 2014 (from: Cheffings &amp; Farrell 2005 or subsequent amendments in Leach 2007, 2010; Leach &amp; Walker 2011, 2013)</v>
          </cell>
          <cell r="G7698" t="str">
            <v>NHMSYS0000464301</v>
          </cell>
          <cell r="H7698" t="str">
            <v>Taraxacum sahlinianum</v>
          </cell>
        </row>
        <row r="7699">
          <cell r="A7699" t="str">
            <v>Taraxacum scanicum</v>
          </cell>
          <cell r="B7699" t="str">
            <v>Vascular plants</v>
          </cell>
          <cell r="C7699" t="str">
            <v>Tracheophyta</v>
          </cell>
          <cell r="D7699" t="str">
            <v>Taraxacum scanicum</v>
          </cell>
          <cell r="E7699" t="str">
            <v>LC</v>
          </cell>
          <cell r="F7699" t="str">
            <v>in Stroh et al., 2014 (from: Cheffings &amp; Farrell 2005 or subsequent amendments in Leach 2007, 2010; Leach &amp; Walker 2011, 2013)</v>
          </cell>
          <cell r="G7699" t="str">
            <v>NHMSYS0000840709</v>
          </cell>
          <cell r="H7699" t="str">
            <v>Taraxacum scanicum</v>
          </cell>
        </row>
        <row r="7700">
          <cell r="A7700" t="str">
            <v>Taraxacum scoticum</v>
          </cell>
          <cell r="B7700" t="str">
            <v>Vascular plants</v>
          </cell>
          <cell r="C7700" t="str">
            <v>Tracheophyta</v>
          </cell>
          <cell r="D7700" t="str">
            <v>Taraxacum scoticum</v>
          </cell>
          <cell r="E7700" t="str">
            <v>LC</v>
          </cell>
          <cell r="F7700" t="str">
            <v>in Stroh et al., 2014 (from: Cheffings &amp; Farrell 2005 or subsequent amendments in Leach 2007, 2010; Leach &amp; Walker 2011, 2013)</v>
          </cell>
          <cell r="G7700" t="str">
            <v>NHMSYS0000464303</v>
          </cell>
          <cell r="H7700" t="str">
            <v>Taraxacum scoticum</v>
          </cell>
        </row>
        <row r="7701">
          <cell r="A7701" t="str">
            <v>Taraxacum sellandii</v>
          </cell>
          <cell r="B7701" t="str">
            <v>Vascular plants</v>
          </cell>
          <cell r="C7701" t="str">
            <v>Tracheophyta</v>
          </cell>
          <cell r="D7701" t="str">
            <v>Taraxacum sellandii</v>
          </cell>
          <cell r="E7701" t="str">
            <v>LC</v>
          </cell>
          <cell r="F7701" t="str">
            <v>in Stroh et al., 2014 (from: Cheffings &amp; Farrell 2005 or subsequent amendments in Leach 2007, 2010; Leach &amp; Walker 2011, 2013)</v>
          </cell>
          <cell r="G7701" t="str">
            <v>NHMSYS0000464314</v>
          </cell>
          <cell r="H7701" t="str">
            <v>Taraxacum sellandii</v>
          </cell>
        </row>
        <row r="7702">
          <cell r="A7702" t="str">
            <v>Taraxacum sinuatum</v>
          </cell>
          <cell r="B7702" t="str">
            <v>Vascular plants</v>
          </cell>
          <cell r="C7702" t="str">
            <v>Tracheophyta</v>
          </cell>
          <cell r="D7702" t="str">
            <v>Taraxacum sinuatum</v>
          </cell>
          <cell r="E7702" t="str">
            <v>LC</v>
          </cell>
          <cell r="F7702" t="str">
            <v>in Stroh et al., 2014 (from: Cheffings &amp; Farrell 2005 or subsequent amendments in Leach 2007, 2010; Leach &amp; Walker 2011, 2013)</v>
          </cell>
          <cell r="G7702" t="str">
            <v>NHMSYS0000840808</v>
          </cell>
          <cell r="H7702" t="str">
            <v>Taraxacum sinuatum</v>
          </cell>
        </row>
        <row r="7703">
          <cell r="A7703" t="str">
            <v>Taraxacum stenacrum</v>
          </cell>
          <cell r="B7703" t="str">
            <v>Vascular plants</v>
          </cell>
          <cell r="C7703" t="str">
            <v>Tracheophyta</v>
          </cell>
          <cell r="D7703" t="str">
            <v>Taraxacum stenacrum</v>
          </cell>
          <cell r="E7703" t="str">
            <v>LC</v>
          </cell>
          <cell r="F7703" t="str">
            <v>in Stroh et al., 2014 (from: Cheffings &amp; Farrell 2005 or subsequent amendments in Leach 2007, 2010; Leach &amp; Walker 2011, 2013)</v>
          </cell>
          <cell r="G7703" t="str">
            <v>NHMSYS0000840997</v>
          </cell>
          <cell r="H7703" t="str">
            <v>Taraxacum stenacrum</v>
          </cell>
        </row>
        <row r="7704">
          <cell r="A7704" t="str">
            <v>Taraxacum stictophyllum</v>
          </cell>
          <cell r="B7704" t="str">
            <v>Vascular plants</v>
          </cell>
          <cell r="C7704" t="str">
            <v>Tracheophyta</v>
          </cell>
          <cell r="D7704" t="str">
            <v>Taraxacum stictophyllum</v>
          </cell>
          <cell r="E7704" t="str">
            <v>LC</v>
          </cell>
          <cell r="F7704" t="str">
            <v>in Stroh et al., 2014 (from: Cheffings &amp; Farrell 2005 or subsequent amendments in Leach 2007, 2010; Leach &amp; Walker 2011, 2013)</v>
          </cell>
          <cell r="G7704" t="str">
            <v>NHMSYS0000840830</v>
          </cell>
          <cell r="H7704" t="str">
            <v>Taraxacum stictophyllum</v>
          </cell>
        </row>
        <row r="7705">
          <cell r="A7705" t="str">
            <v>Taraxacum subbracteatum</v>
          </cell>
          <cell r="B7705" t="str">
            <v>Vascular plants</v>
          </cell>
          <cell r="C7705" t="str">
            <v>Tracheophyta</v>
          </cell>
          <cell r="D7705" t="str">
            <v>Taraxacum subbracteatum</v>
          </cell>
          <cell r="E7705" t="str">
            <v>LC</v>
          </cell>
          <cell r="F7705" t="str">
            <v>in Stroh et al., 2014 (from: Cheffings &amp; Farrell 2005 or subsequent amendments in Leach 2007, 2010; Leach &amp; Walker 2011, 2013)</v>
          </cell>
          <cell r="G7705" t="str">
            <v>NHMSYS0000464325</v>
          </cell>
          <cell r="H7705" t="str">
            <v>Taraxacum subbracteatum</v>
          </cell>
        </row>
        <row r="7706">
          <cell r="A7706" t="str">
            <v>Taraxacum subhamatum</v>
          </cell>
          <cell r="B7706" t="str">
            <v>Vascular plants</v>
          </cell>
          <cell r="C7706" t="str">
            <v>Tracheophyta</v>
          </cell>
          <cell r="D7706" t="str">
            <v>Taraxacum subhamatum</v>
          </cell>
          <cell r="E7706" t="str">
            <v>LC</v>
          </cell>
          <cell r="F7706" t="str">
            <v>in Stroh et al., 2014 (from: Cheffings &amp; Farrell 2005 or subsequent amendments in Leach 2007, 2010; Leach &amp; Walker 2011, 2013)</v>
          </cell>
          <cell r="G7706" t="str">
            <v>NHMSYS0000464328</v>
          </cell>
          <cell r="H7706" t="str">
            <v>Taraxacum subhamatum</v>
          </cell>
        </row>
        <row r="7707">
          <cell r="A7707" t="str">
            <v>Taraxacum sublaeticolor</v>
          </cell>
          <cell r="B7707" t="str">
            <v>Vascular plants</v>
          </cell>
          <cell r="C7707" t="str">
            <v>Tracheophyta</v>
          </cell>
          <cell r="D7707" t="str">
            <v>Taraxacum sublaeticolor</v>
          </cell>
          <cell r="E7707" t="str">
            <v>LC</v>
          </cell>
          <cell r="F7707" t="str">
            <v>in Stroh et al., 2014 (from: Cheffings &amp; Farrell 2005 or subsequent amendments in Leach 2007, 2010; Leach &amp; Walker 2011, 2013)</v>
          </cell>
          <cell r="G7707" t="str">
            <v>NHMSYS0000840712</v>
          </cell>
          <cell r="H7707" t="str">
            <v>Taraxacum sublaeticolor</v>
          </cell>
        </row>
        <row r="7708">
          <cell r="A7708" t="str">
            <v>Taraxacum subnaevosum</v>
          </cell>
          <cell r="B7708" t="str">
            <v>Vascular plants</v>
          </cell>
          <cell r="C7708" t="str">
            <v>Tracheophyta</v>
          </cell>
          <cell r="D7708" t="str">
            <v>Taraxacum subnaevosum</v>
          </cell>
          <cell r="E7708" t="str">
            <v>LC</v>
          </cell>
          <cell r="F7708" t="str">
            <v>in Stroh et al., 2014 (from: Cheffings &amp; Farrell 2005 or subsequent amendments in Leach 2007, 2010; Leach &amp; Walker 2011, 2013)</v>
          </cell>
          <cell r="G7708" t="str">
            <v>NHMSYS0000464332</v>
          </cell>
          <cell r="H7708" t="str">
            <v>Taraxacum subnaevosum</v>
          </cell>
        </row>
        <row r="7709">
          <cell r="A7709" t="str">
            <v>Taraxacum subundulatum</v>
          </cell>
          <cell r="B7709" t="str">
            <v>Vascular plants</v>
          </cell>
          <cell r="C7709" t="str">
            <v>Tracheophyta</v>
          </cell>
          <cell r="D7709" t="str">
            <v>Taraxacum subundulatum</v>
          </cell>
          <cell r="E7709" t="str">
            <v>LC</v>
          </cell>
          <cell r="F7709" t="str">
            <v>in Stroh et al., 2014 (from: Cheffings &amp; Farrell 2005 or subsequent amendments in Leach 2007, 2010; Leach &amp; Walker 2011, 2013)</v>
          </cell>
          <cell r="G7709" t="str">
            <v>NHMSYS0000840710</v>
          </cell>
          <cell r="H7709" t="str">
            <v>Taraxacum subundulatum</v>
          </cell>
        </row>
        <row r="7710">
          <cell r="A7710" t="str">
            <v>Taraxacum tamesense</v>
          </cell>
          <cell r="B7710" t="str">
            <v>Vascular plants</v>
          </cell>
          <cell r="C7710" t="str">
            <v>Tracheophyta</v>
          </cell>
          <cell r="D7710" t="str">
            <v>Taraxacum tamesense</v>
          </cell>
          <cell r="E7710" t="str">
            <v>LC</v>
          </cell>
          <cell r="F7710" t="str">
            <v>in Stroh et al., 2014 (from: Cheffings &amp; Farrell 2005 or subsequent amendments in Leach 2007, 2010; Leach &amp; Walker 2011, 2013)</v>
          </cell>
          <cell r="G7710" t="str">
            <v>NHMSYS0000464336</v>
          </cell>
          <cell r="H7710" t="str">
            <v>Taraxacum tamesense</v>
          </cell>
        </row>
        <row r="7711">
          <cell r="A7711" t="str">
            <v>Taraxacum tortilobum</v>
          </cell>
          <cell r="B7711" t="str">
            <v>Vascular plants</v>
          </cell>
          <cell r="C7711" t="str">
            <v>Tracheophyta</v>
          </cell>
          <cell r="D7711" t="str">
            <v>Taraxacum tortilobum</v>
          </cell>
          <cell r="E7711" t="str">
            <v>LC</v>
          </cell>
          <cell r="F7711" t="str">
            <v>in Stroh et al., 2014 (from: Cheffings &amp; Farrell 2005 or subsequent amendments in Leach 2007, 2010; Leach &amp; Walker 2011, 2013)</v>
          </cell>
          <cell r="G7711" t="str">
            <v>NHMSYS0000464339</v>
          </cell>
          <cell r="H7711" t="str">
            <v>Taraxacum tortilobum</v>
          </cell>
        </row>
        <row r="7712">
          <cell r="A7712" t="str">
            <v>Taraxacum unguilobum</v>
          </cell>
          <cell r="B7712" t="str">
            <v>Vascular plants</v>
          </cell>
          <cell r="C7712" t="str">
            <v>Tracheophyta</v>
          </cell>
          <cell r="D7712" t="str">
            <v>Taraxacum unguilobum</v>
          </cell>
          <cell r="E7712" t="str">
            <v>LC</v>
          </cell>
          <cell r="F7712" t="str">
            <v>in Stroh et al., 2014 (from: Cheffings &amp; Farrell 2005 or subsequent amendments in Leach 2007, 2010; Leach &amp; Walker 2011, 2013)</v>
          </cell>
          <cell r="G7712" t="str">
            <v>NHMSYS0000840759</v>
          </cell>
          <cell r="H7712" t="str">
            <v>Taraxacum unguilobum</v>
          </cell>
        </row>
        <row r="7713">
          <cell r="A7713" t="str">
            <v>Taxus baccata</v>
          </cell>
          <cell r="B7713" t="str">
            <v>Vascular plants</v>
          </cell>
          <cell r="C7713" t="str">
            <v>Tracheophyta</v>
          </cell>
          <cell r="D7713" t="str">
            <v>Taxus baccata</v>
          </cell>
          <cell r="E7713" t="str">
            <v>LC</v>
          </cell>
          <cell r="F7713" t="str">
            <v>in Stroh et al., 2014 (from: Cheffings &amp; Farrell 2005 or subsequent amendments in Leach 2007, 2010; Leach &amp; Walker 2011, 2013)</v>
          </cell>
          <cell r="G7713" t="str">
            <v>NBNSYS0000004638</v>
          </cell>
          <cell r="H7713" t="str">
            <v>Taxus baccata</v>
          </cell>
        </row>
        <row r="7714">
          <cell r="A7714" t="str">
            <v>Teesdalia nudicaulis</v>
          </cell>
          <cell r="B7714" t="str">
            <v>Vascular plants</v>
          </cell>
          <cell r="C7714" t="str">
            <v>Tracheophyta</v>
          </cell>
          <cell r="D7714" t="str">
            <v>Teesdalia nudicaulis</v>
          </cell>
          <cell r="E7714" t="str">
            <v>NT</v>
          </cell>
          <cell r="F7714" t="str">
            <v>in Stroh et al., 2014 (from: Cheffings &amp; Farrell 2005 or subsequent amendments in Leach 2007, 2010; Leach &amp; Walker 2011, 2013)</v>
          </cell>
          <cell r="G7714" t="str">
            <v>NHMSYS0000464359</v>
          </cell>
          <cell r="H7714" t="str">
            <v>Teesdalia nudicaulis</v>
          </cell>
        </row>
        <row r="7715">
          <cell r="A7715" t="str">
            <v>Tephroseris integrifolia</v>
          </cell>
          <cell r="B7715" t="str">
            <v>Vascular plants</v>
          </cell>
          <cell r="C7715" t="str">
            <v>Tracheophyta</v>
          </cell>
          <cell r="D7715" t="str">
            <v>Tephroseris integrifolia</v>
          </cell>
          <cell r="E7715" t="str">
            <v>EN</v>
          </cell>
          <cell r="F7715" t="str">
            <v>in Stroh et al., 2014 (from: Cheffings &amp; Farrell 2005 or subsequent amendments in Leach 2007, 2010; Leach &amp; Walker 2011, 2013)</v>
          </cell>
          <cell r="G7715" t="str">
            <v>NBNSYS0000033481</v>
          </cell>
          <cell r="H7715" t="str">
            <v>Tephroseris integrifolia</v>
          </cell>
        </row>
        <row r="7716">
          <cell r="A7716" t="str">
            <v>Tephroseris palustris</v>
          </cell>
          <cell r="B7716" t="str">
            <v>Vascular plants</v>
          </cell>
          <cell r="C7716" t="str">
            <v>Tracheophyta</v>
          </cell>
          <cell r="D7716" t="str">
            <v>Tephroseris palustris</v>
          </cell>
          <cell r="E7716" t="str">
            <v>EX</v>
          </cell>
          <cell r="F7716" t="str">
            <v>in Stroh et al., 2014 (from: Cheffings &amp; Farrell 2005 or subsequent amendments in Leach 2007, 2010; Leach &amp; Walker 2011, 2013)</v>
          </cell>
          <cell r="G7716" t="str">
            <v>NBNSYS0000004379</v>
          </cell>
          <cell r="H7716" t="str">
            <v>Tephroseris palustris</v>
          </cell>
        </row>
        <row r="7717">
          <cell r="A7717" t="str">
            <v>Teucrium scordium</v>
          </cell>
          <cell r="B7717" t="str">
            <v>Vascular plants</v>
          </cell>
          <cell r="C7717" t="str">
            <v>Tracheophyta</v>
          </cell>
          <cell r="D7717" t="str">
            <v>Teucrium scordium</v>
          </cell>
          <cell r="E7717" t="str">
            <v>EN</v>
          </cell>
          <cell r="F7717" t="str">
            <v>in Stroh et al., 2014 (from: Cheffings &amp; Farrell 2005 or subsequent amendments in Leach 2007, 2010; Leach &amp; Walker 2011, 2013)</v>
          </cell>
          <cell r="G7717" t="str">
            <v>NBNSYS0000004265</v>
          </cell>
          <cell r="H7717" t="str">
            <v>Teucrium scordium</v>
          </cell>
        </row>
        <row r="7718">
          <cell r="A7718" t="str">
            <v>Teucrium scorodonia</v>
          </cell>
          <cell r="B7718" t="str">
            <v>Vascular plants</v>
          </cell>
          <cell r="C7718" t="str">
            <v>Tracheophyta</v>
          </cell>
          <cell r="D7718" t="str">
            <v>Teucrium scorodonia</v>
          </cell>
          <cell r="E7718" t="str">
            <v>LC</v>
          </cell>
          <cell r="F7718" t="str">
            <v>in Stroh et al., 2014 (from: Cheffings &amp; Farrell 2005 or subsequent amendments in Leach 2007, 2010; Leach &amp; Walker 2011, 2013)</v>
          </cell>
          <cell r="G7718" t="str">
            <v>NBNSYS0000004267</v>
          </cell>
          <cell r="H7718" t="str">
            <v>Teucrium scorodonia</v>
          </cell>
        </row>
        <row r="7719">
          <cell r="A7719" t="str">
            <v>Thalictrum alpinum</v>
          </cell>
          <cell r="B7719" t="str">
            <v>Vascular plants</v>
          </cell>
          <cell r="C7719" t="str">
            <v>Tracheophyta</v>
          </cell>
          <cell r="D7719" t="str">
            <v>Thalictrum alpinum</v>
          </cell>
          <cell r="E7719" t="str">
            <v>LC</v>
          </cell>
          <cell r="F7719" t="str">
            <v>in Stroh et al., 2014 (from: Cheffings &amp; Farrell 2005 or subsequent amendments in Leach 2007, 2010; Leach &amp; Walker 2011, 2013)</v>
          </cell>
          <cell r="G7719" t="str">
            <v>NBNSYS0000002745</v>
          </cell>
          <cell r="H7719" t="str">
            <v>Thalictrum alpinum</v>
          </cell>
        </row>
        <row r="7720">
          <cell r="A7720" t="str">
            <v>Thalictrum flavum</v>
          </cell>
          <cell r="B7720" t="str">
            <v>Vascular plants</v>
          </cell>
          <cell r="C7720" t="str">
            <v>Tracheophyta</v>
          </cell>
          <cell r="D7720" t="str">
            <v>Thalictrum flavum</v>
          </cell>
          <cell r="E7720" t="str">
            <v>LC</v>
          </cell>
          <cell r="F7720" t="str">
            <v>in Stroh et al., 2014 (from: Cheffings &amp; Farrell 2005 or subsequent amendments in Leach 2007, 2010; Leach &amp; Walker 2011, 2013)</v>
          </cell>
          <cell r="G7720" t="str">
            <v>NBNSYS0000002744</v>
          </cell>
          <cell r="H7720" t="str">
            <v>Thalictrum flavum</v>
          </cell>
        </row>
        <row r="7721">
          <cell r="A7721" t="str">
            <v>Thalictrum minus</v>
          </cell>
          <cell r="B7721" t="str">
            <v>Vascular plants</v>
          </cell>
          <cell r="C7721" t="str">
            <v>Tracheophyta</v>
          </cell>
          <cell r="D7721" t="str">
            <v>Thalictrum minus</v>
          </cell>
          <cell r="E7721" t="str">
            <v>LC</v>
          </cell>
          <cell r="F7721" t="str">
            <v>in Stroh et al., 2014 (from: Cheffings &amp; Farrell 2005 or subsequent amendments in Leach 2007, 2010; Leach &amp; Walker 2011, 2013)</v>
          </cell>
          <cell r="G7721" t="str">
            <v>NBNSYS0000002746</v>
          </cell>
          <cell r="H7721" t="str">
            <v>Thalictrum minus</v>
          </cell>
        </row>
        <row r="7722">
          <cell r="A7722" t="str">
            <v>Thelypteris palustris</v>
          </cell>
          <cell r="B7722" t="str">
            <v>Vascular plants</v>
          </cell>
          <cell r="C7722" t="str">
            <v>Tracheophyta</v>
          </cell>
          <cell r="D7722" t="str">
            <v>Thelypteris palustris</v>
          </cell>
          <cell r="E7722" t="str">
            <v>LC</v>
          </cell>
          <cell r="F7722" t="str">
            <v>in Stroh et al., 2014 (from: Cheffings &amp; Farrell 2005 or subsequent amendments in Leach 2007, 2010; Leach &amp; Walker 2011, 2013)</v>
          </cell>
          <cell r="G7722" t="str">
            <v>NBNSYS0000002081</v>
          </cell>
          <cell r="H7722" t="str">
            <v>Thelypteris palustris</v>
          </cell>
        </row>
        <row r="7723">
          <cell r="A7723" t="str">
            <v>Thesium humifusum</v>
          </cell>
          <cell r="B7723" t="str">
            <v>Vascular plants</v>
          </cell>
          <cell r="C7723" t="str">
            <v>Tracheophyta</v>
          </cell>
          <cell r="D7723" t="str">
            <v>Thesium humifusum</v>
          </cell>
          <cell r="E7723" t="str">
            <v>LC</v>
          </cell>
          <cell r="F7723" t="str">
            <v>in Stroh et al., 2014 (from: Cheffings &amp; Farrell 2005 or subsequent amendments in Leach 2007, 2010; Leach &amp; Walker 2011, 2013)</v>
          </cell>
          <cell r="G7723" t="str">
            <v>NBNSYS0000003625</v>
          </cell>
          <cell r="H7723" t="str">
            <v>Thesium humifusum</v>
          </cell>
        </row>
        <row r="7724">
          <cell r="A7724" t="str">
            <v>Thymus polytrichus</v>
          </cell>
          <cell r="B7724" t="str">
            <v>Vascular plants</v>
          </cell>
          <cell r="C7724" t="str">
            <v>Tracheophyta</v>
          </cell>
          <cell r="D7724" t="str">
            <v>Thymus polytrichus</v>
          </cell>
          <cell r="E7724" t="str">
            <v>LC</v>
          </cell>
          <cell r="F7724" t="str">
            <v>in Stroh et al., 2014 (from: Cheffings &amp; Farrell 2005 or subsequent amendments in Leach 2007, 2010; Leach &amp; Walker 2011, 2013)</v>
          </cell>
          <cell r="G7724" t="str">
            <v>NHMSYS0000464447</v>
          </cell>
          <cell r="H7724" t="str">
            <v>Thymus polytrichus</v>
          </cell>
        </row>
        <row r="7725">
          <cell r="A7725" t="str">
            <v>Thymus pulegioides</v>
          </cell>
          <cell r="B7725" t="str">
            <v>Vascular plants</v>
          </cell>
          <cell r="C7725" t="str">
            <v>Tracheophyta</v>
          </cell>
          <cell r="D7725" t="str">
            <v>Thymus pulegioides</v>
          </cell>
          <cell r="E7725" t="str">
            <v>LC</v>
          </cell>
          <cell r="F7725" t="str">
            <v>in Stroh et al., 2014 (from: Cheffings &amp; Farrell 2005 or subsequent amendments in Leach 2007, 2010; Leach &amp; Walker 2011, 2013)</v>
          </cell>
          <cell r="G7725" t="str">
            <v>NBNSYS0000004208</v>
          </cell>
          <cell r="H7725" t="str">
            <v>Thymus pulegioides</v>
          </cell>
        </row>
        <row r="7726">
          <cell r="A7726" t="str">
            <v>Thymus serpyllum</v>
          </cell>
          <cell r="B7726" t="str">
            <v>Vascular plants</v>
          </cell>
          <cell r="C7726" t="str">
            <v>Tracheophyta</v>
          </cell>
          <cell r="D7726" t="str">
            <v>Thymus serpyllum</v>
          </cell>
          <cell r="E7726" t="str">
            <v>LC</v>
          </cell>
          <cell r="F7726" t="str">
            <v>in Stroh et al., 2014 (from: Cheffings &amp; Farrell 2005 or subsequent amendments in Leach 2007, 2010; Leach &amp; Walker 2011, 2013)</v>
          </cell>
          <cell r="G7726" t="str">
            <v>NBNSYS0000004209</v>
          </cell>
          <cell r="H7726" t="str">
            <v>Thymus serpyllum</v>
          </cell>
        </row>
        <row r="7727">
          <cell r="A7727" t="str">
            <v>Thyselium palustre</v>
          </cell>
          <cell r="B7727" t="str">
            <v>Vascular plants</v>
          </cell>
          <cell r="C7727" t="str">
            <v>Tracheophyta</v>
          </cell>
          <cell r="D7727" t="str">
            <v>Thyselium palustre</v>
          </cell>
          <cell r="E7727" t="str">
            <v>VU</v>
          </cell>
          <cell r="F7727" t="str">
            <v>in Stroh et al., 2014 (from: Cheffings &amp; Farrell 2005 or subsequent amendments in Leach 2007, 2010; Leach &amp; Walker 2011, 2013)</v>
          </cell>
          <cell r="G7727" t="str">
            <v>NHMSYS0021240774</v>
          </cell>
          <cell r="H7727" t="str">
            <v>Thyselium palustre</v>
          </cell>
        </row>
        <row r="7728">
          <cell r="A7728" t="str">
            <v>Tilia cordata</v>
          </cell>
          <cell r="B7728" t="str">
            <v>Vascular plants</v>
          </cell>
          <cell r="C7728" t="str">
            <v>Tracheophyta</v>
          </cell>
          <cell r="D7728" t="str">
            <v>Tilia cordata</v>
          </cell>
          <cell r="E7728" t="str">
            <v>LC</v>
          </cell>
          <cell r="F7728" t="str">
            <v>in Stroh et al., 2014 (from: Cheffings &amp; Farrell 2005 or subsequent amendments in Leach 2007, 2010; Leach &amp; Walker 2011, 2013)</v>
          </cell>
          <cell r="G7728" t="str">
            <v>NHMSYS0000464454</v>
          </cell>
          <cell r="H7728" t="str">
            <v>Tilia cordata</v>
          </cell>
        </row>
        <row r="7729">
          <cell r="A7729" t="str">
            <v>Tilia platyphyllos</v>
          </cell>
          <cell r="B7729" t="str">
            <v>Vascular plants</v>
          </cell>
          <cell r="C7729" t="str">
            <v>Tracheophyta</v>
          </cell>
          <cell r="D7729" t="str">
            <v>Tilia platyphyllos</v>
          </cell>
          <cell r="E7729" t="str">
            <v>LC</v>
          </cell>
          <cell r="F7729" t="str">
            <v>in Stroh et al., 2014 (from: Cheffings &amp; Farrell 2005 or subsequent amendments in Leach 2007, 2010; Leach &amp; Walker 2011, 2013)</v>
          </cell>
          <cell r="G7729" t="str">
            <v>NBNSYS0000003127</v>
          </cell>
          <cell r="H7729" t="str">
            <v>Tilia platyphyllos</v>
          </cell>
        </row>
        <row r="7730">
          <cell r="A7730" t="str">
            <v>Tofieldia pusilla</v>
          </cell>
          <cell r="B7730" t="str">
            <v>Vascular plants</v>
          </cell>
          <cell r="C7730" t="str">
            <v>Tracheophyta</v>
          </cell>
          <cell r="D7730" t="str">
            <v>Tofieldia pusilla</v>
          </cell>
          <cell r="E7730" t="str">
            <v>LC</v>
          </cell>
          <cell r="F7730" t="str">
            <v>in Stroh et al., 2014 (from: Cheffings &amp; Farrell 2005 or subsequent amendments in Leach 2007, 2010; Leach &amp; Walker 2011, 2013)</v>
          </cell>
          <cell r="G7730" t="str">
            <v>NHMSYS0000464469</v>
          </cell>
          <cell r="H7730" t="str">
            <v>Tofieldia pusilla</v>
          </cell>
        </row>
        <row r="7731">
          <cell r="A7731" t="str">
            <v>Torilis japonica</v>
          </cell>
          <cell r="B7731" t="str">
            <v>Vascular plants</v>
          </cell>
          <cell r="C7731" t="str">
            <v>Tracheophyta</v>
          </cell>
          <cell r="D7731" t="str">
            <v>Torilis japonica</v>
          </cell>
          <cell r="E7731" t="str">
            <v>LC</v>
          </cell>
          <cell r="F7731" t="str">
            <v>in Stroh et al., 2014 (from: Cheffings &amp; Farrell 2005 or subsequent amendments in Leach 2007, 2010; Leach &amp; Walker 2011, 2013)</v>
          </cell>
          <cell r="G7731" t="str">
            <v>NBNSYS0000003646</v>
          </cell>
          <cell r="H7731" t="str">
            <v>Torilis japonica</v>
          </cell>
        </row>
        <row r="7732">
          <cell r="A7732" t="str">
            <v>Torilis nodosa</v>
          </cell>
          <cell r="B7732" t="str">
            <v>Vascular plants</v>
          </cell>
          <cell r="C7732" t="str">
            <v>Tracheophyta</v>
          </cell>
          <cell r="D7732" t="str">
            <v>Torilis nodosa</v>
          </cell>
          <cell r="E7732" t="str">
            <v>LC</v>
          </cell>
          <cell r="F7732" t="str">
            <v>in Stroh et al., 2014 (from: Cheffings &amp; Farrell 2005 or subsequent amendments in Leach 2007, 2010; Leach &amp; Walker 2011, 2013)</v>
          </cell>
          <cell r="G7732" t="str">
            <v>NHMSYS0000464493</v>
          </cell>
          <cell r="H7732" t="str">
            <v>Torilis nodosa</v>
          </cell>
        </row>
        <row r="7733">
          <cell r="A7733" t="str">
            <v>Tragopogon pratensis</v>
          </cell>
          <cell r="B7733" t="str">
            <v>Vascular plants</v>
          </cell>
          <cell r="C7733" t="str">
            <v>Tracheophyta</v>
          </cell>
          <cell r="D7733" t="str">
            <v>Tragopogon pratensis</v>
          </cell>
          <cell r="E7733" t="str">
            <v>LC</v>
          </cell>
          <cell r="F7733" t="str">
            <v>in Stroh et al., 2014 (from: Cheffings &amp; Farrell 2005 or subsequent amendments in Leach 2007, 2010; Leach &amp; Walker 2011, 2013)</v>
          </cell>
          <cell r="G7733" t="str">
            <v>NBNSYS0000004527</v>
          </cell>
          <cell r="H7733" t="str">
            <v>Tragopogon pratensis</v>
          </cell>
        </row>
        <row r="7734">
          <cell r="A7734" t="str">
            <v>Trichomanes speciosum</v>
          </cell>
          <cell r="B7734" t="str">
            <v>Vascular plants</v>
          </cell>
          <cell r="C7734" t="str">
            <v>Tracheophyta</v>
          </cell>
          <cell r="D7734" t="str">
            <v>Trichomanes speciosum</v>
          </cell>
          <cell r="E7734" t="str">
            <v>LC</v>
          </cell>
          <cell r="F7734" t="str">
            <v>in Stroh et al., 2014 (from: Cheffings &amp; Farrell 2005 or subsequent amendments in Leach 2007, 2010; Leach &amp; Walker 2011, 2013)</v>
          </cell>
          <cell r="G7734" t="str">
            <v>NBNSYS0000002028</v>
          </cell>
          <cell r="H7734" t="str">
            <v>Trichomanes speciosum</v>
          </cell>
        </row>
        <row r="7735">
          <cell r="A7735" t="str">
            <v>Trichophorum germanicum</v>
          </cell>
          <cell r="B7735" t="str">
            <v>Vascular plants</v>
          </cell>
          <cell r="C7735" t="str">
            <v>Tracheophyta</v>
          </cell>
          <cell r="D7735" t="str">
            <v>Trichophorum germanicum</v>
          </cell>
          <cell r="E7735" t="str">
            <v>LC</v>
          </cell>
          <cell r="F7735" t="str">
            <v>in Stroh et al., 2014 (from: Cheffings &amp; Farrell 2005 or subsequent amendments in Leach 2007, 2010; Leach &amp; Walker 2011, 2013)</v>
          </cell>
          <cell r="G7735" t="str">
            <v>NHMSYS0021007988</v>
          </cell>
          <cell r="H7735" t="str">
            <v>Trichophorum germanicum</v>
          </cell>
        </row>
        <row r="7736">
          <cell r="A7736" t="str">
            <v>Trientalis europaea</v>
          </cell>
          <cell r="B7736" t="str">
            <v>Vascular plants</v>
          </cell>
          <cell r="C7736" t="str">
            <v>Tracheophyta</v>
          </cell>
          <cell r="D7736" t="str">
            <v>Trientalis europaea</v>
          </cell>
          <cell r="E7736" t="str">
            <v>LC</v>
          </cell>
          <cell r="F7736" t="str">
            <v>in Stroh et al., 2014 (from: Cheffings &amp; Farrell 2005 or subsequent amendments in Leach 2007, 2010; Leach &amp; Walker 2011, 2013)</v>
          </cell>
          <cell r="G7736" t="str">
            <v>NBNSYS0000003941</v>
          </cell>
          <cell r="H7736" t="str">
            <v>Trientalis europaea</v>
          </cell>
        </row>
        <row r="7737">
          <cell r="A7737" t="str">
            <v>Trifolium arvense</v>
          </cell>
          <cell r="B7737" t="str">
            <v>Vascular plants</v>
          </cell>
          <cell r="C7737" t="str">
            <v>Tracheophyta</v>
          </cell>
          <cell r="D7737" t="str">
            <v>Trifolium arvense</v>
          </cell>
          <cell r="E7737" t="str">
            <v>LC</v>
          </cell>
          <cell r="F7737" t="str">
            <v>in Stroh et al., 2014 (from: Cheffings &amp; Farrell 2005 or subsequent amendments in Leach 2007, 2010; Leach &amp; Walker 2011, 2013)</v>
          </cell>
          <cell r="G7737" t="str">
            <v>NBNSYS0000003238</v>
          </cell>
          <cell r="H7737" t="str">
            <v>Trifolium arvense</v>
          </cell>
        </row>
        <row r="7738">
          <cell r="A7738" t="str">
            <v>Trifolium bocconei</v>
          </cell>
          <cell r="B7738" t="str">
            <v>Vascular plants</v>
          </cell>
          <cell r="C7738" t="str">
            <v>Tracheophyta</v>
          </cell>
          <cell r="D7738" t="str">
            <v>Trifolium bocconei</v>
          </cell>
          <cell r="E7738" t="str">
            <v>VU</v>
          </cell>
          <cell r="F7738" t="str">
            <v>in Stroh et al., 2014 (from: Cheffings &amp; Farrell 2005 or subsequent amendments in Leach 2007, 2010; Leach &amp; Walker 2011, 2013)</v>
          </cell>
          <cell r="G7738" t="str">
            <v>NBNSYS0000003241</v>
          </cell>
          <cell r="H7738" t="str">
            <v>Trifolium bocconei</v>
          </cell>
        </row>
        <row r="7739">
          <cell r="A7739" t="str">
            <v>Trifolium campestre</v>
          </cell>
          <cell r="B7739" t="str">
            <v>Vascular plants</v>
          </cell>
          <cell r="C7739" t="str">
            <v>Tracheophyta</v>
          </cell>
          <cell r="D7739" t="str">
            <v>Trifolium campestre</v>
          </cell>
          <cell r="E7739" t="str">
            <v>LC</v>
          </cell>
          <cell r="F7739" t="str">
            <v>in Stroh et al., 2014 (from: Cheffings &amp; Farrell 2005 or subsequent amendments in Leach 2007, 2010; Leach &amp; Walker 2011, 2013)</v>
          </cell>
          <cell r="G7739" t="str">
            <v>NHMSYS0000464564</v>
          </cell>
          <cell r="H7739" t="str">
            <v>Trifolium campestre</v>
          </cell>
        </row>
        <row r="7740">
          <cell r="A7740" t="str">
            <v>Trifolium dubium</v>
          </cell>
          <cell r="B7740" t="str">
            <v>Vascular plants</v>
          </cell>
          <cell r="C7740" t="str">
            <v>Tracheophyta</v>
          </cell>
          <cell r="D7740" t="str">
            <v>Trifolium dubium</v>
          </cell>
          <cell r="E7740" t="str">
            <v>LC</v>
          </cell>
          <cell r="F7740" t="str">
            <v>in Stroh et al., 2014 (from: Cheffings &amp; Farrell 2005 or subsequent amendments in Leach 2007, 2010; Leach &amp; Walker 2011, 2013)</v>
          </cell>
          <cell r="G7740" t="str">
            <v>NBNSYS0000003252</v>
          </cell>
          <cell r="H7740" t="str">
            <v>Trifolium dubium</v>
          </cell>
        </row>
        <row r="7741">
          <cell r="A7741" t="str">
            <v>Trifolium fragiferum</v>
          </cell>
          <cell r="B7741" t="str">
            <v>Vascular plants</v>
          </cell>
          <cell r="C7741" t="str">
            <v>Tracheophyta</v>
          </cell>
          <cell r="D7741" t="str">
            <v>Trifolium fragiferum</v>
          </cell>
          <cell r="E7741" t="str">
            <v>LC</v>
          </cell>
          <cell r="F7741" t="str">
            <v>in Stroh et al., 2014 (from: Cheffings &amp; Farrell 2005 or subsequent amendments in Leach 2007, 2010; Leach &amp; Walker 2011, 2013)</v>
          </cell>
          <cell r="G7741" t="str">
            <v>NBNSYS0000003248</v>
          </cell>
          <cell r="H7741" t="str">
            <v>Trifolium fragiferum</v>
          </cell>
        </row>
        <row r="7742">
          <cell r="A7742" t="str">
            <v>Trifolium glomeratum</v>
          </cell>
          <cell r="B7742" t="str">
            <v>Vascular plants</v>
          </cell>
          <cell r="C7742" t="str">
            <v>Tracheophyta</v>
          </cell>
          <cell r="D7742" t="str">
            <v>Trifolium glomeratum</v>
          </cell>
          <cell r="E7742" t="str">
            <v>LC</v>
          </cell>
          <cell r="F7742" t="str">
            <v>in Stroh et al., 2014 (from: Cheffings &amp; Farrell 2005 or subsequent amendments in Leach 2007, 2010; Leach &amp; Walker 2011, 2013)</v>
          </cell>
          <cell r="G7742" t="str">
            <v>NBNSYS0000003244</v>
          </cell>
          <cell r="H7742" t="str">
            <v>Trifolium glomeratum</v>
          </cell>
        </row>
        <row r="7743">
          <cell r="A7743" t="str">
            <v>Trifolium incarnatum </v>
          </cell>
          <cell r="B7743" t="str">
            <v>Vascular plants</v>
          </cell>
          <cell r="C7743" t="str">
            <v>Tracheophyta</v>
          </cell>
          <cell r="D7743" t="str">
            <v>Trifolium incarnatum</v>
          </cell>
          <cell r="E7743" t="str">
            <v>LC</v>
          </cell>
          <cell r="F7743" t="str">
            <v>in Stroh et al., 2014 (from: Cheffings &amp; Farrell 2005 or subsequent amendments in Leach 2007, 2010; Leach &amp; Walker 2011, 2013)</v>
          </cell>
          <cell r="G7743" t="str">
            <v>NBNSYS0000013889</v>
          </cell>
          <cell r="H7743" t="str">
            <v>Trifolium incarnatum </v>
          </cell>
        </row>
        <row r="7744">
          <cell r="A7744" t="str">
            <v>Trifolium medium</v>
          </cell>
          <cell r="B7744" t="str">
            <v>Vascular plants</v>
          </cell>
          <cell r="C7744" t="str">
            <v>Tracheophyta</v>
          </cell>
          <cell r="D7744" t="str">
            <v>Trifolium medium</v>
          </cell>
          <cell r="E7744" t="str">
            <v>LC</v>
          </cell>
          <cell r="F7744" t="str">
            <v>in Stroh et al., 2014 (from: Cheffings &amp; Farrell 2005 or subsequent amendments in Leach 2007, 2010; Leach &amp; Walker 2011, 2013)</v>
          </cell>
          <cell r="G7744" t="str">
            <v>NBNSYS0000003233</v>
          </cell>
          <cell r="H7744" t="str">
            <v>Trifolium medium</v>
          </cell>
        </row>
        <row r="7745">
          <cell r="A7745" t="str">
            <v>Trifolium micranthum</v>
          </cell>
          <cell r="B7745" t="str">
            <v>Vascular plants</v>
          </cell>
          <cell r="C7745" t="str">
            <v>Tracheophyta</v>
          </cell>
          <cell r="D7745" t="str">
            <v>Trifolium micranthum</v>
          </cell>
          <cell r="E7745" t="str">
            <v>LC</v>
          </cell>
          <cell r="F7745" t="str">
            <v>in Stroh et al., 2014 (from: Cheffings &amp; Farrell 2005 or subsequent amendments in Leach 2007, 2010; Leach &amp; Walker 2011, 2013)</v>
          </cell>
          <cell r="G7745" t="str">
            <v>NBNSYS0000003253</v>
          </cell>
          <cell r="H7745" t="str">
            <v>Trifolium micranthum</v>
          </cell>
        </row>
        <row r="7746">
          <cell r="A7746" t="str">
            <v>Trifolium occidentale</v>
          </cell>
          <cell r="B7746" t="str">
            <v>Vascular plants</v>
          </cell>
          <cell r="C7746" t="str">
            <v>Tracheophyta</v>
          </cell>
          <cell r="D7746" t="str">
            <v>Trifolium occidentale</v>
          </cell>
          <cell r="E7746" t="str">
            <v>LC</v>
          </cell>
          <cell r="F7746" t="str">
            <v>in Stroh et al., 2014 (from: Cheffings &amp; Farrell 2005 or subsequent amendments in Leach 2007, 2010; Leach &amp; Walker 2011, 2013)</v>
          </cell>
          <cell r="G7746" t="str">
            <v>NBNSYS0000003254</v>
          </cell>
          <cell r="H7746" t="str">
            <v>Trifolium occidentale</v>
          </cell>
        </row>
        <row r="7747">
          <cell r="A7747" t="str">
            <v>Trifolium ochroleucon</v>
          </cell>
          <cell r="B7747" t="str">
            <v>Vascular plants</v>
          </cell>
          <cell r="C7747" t="str">
            <v>Tracheophyta</v>
          </cell>
          <cell r="D7747" t="str">
            <v>Trifolium ochroleucon</v>
          </cell>
          <cell r="E7747" t="str">
            <v>NT</v>
          </cell>
          <cell r="F7747" t="str">
            <v>in Stroh et al., 2014 (from: Cheffings &amp; Farrell 2005 or subsequent amendments in Leach 2007, 2010; Leach &amp; Walker 2011, 2013)</v>
          </cell>
          <cell r="G7747" t="str">
            <v>NHMSYS0000464580</v>
          </cell>
          <cell r="H7747" t="str">
            <v>Trifolium ochroleucon</v>
          </cell>
        </row>
        <row r="7748">
          <cell r="A7748" t="str">
            <v>Trifolium ornithopodioides</v>
          </cell>
          <cell r="B7748" t="str">
            <v>Vascular plants</v>
          </cell>
          <cell r="C7748" t="str">
            <v>Tracheophyta</v>
          </cell>
          <cell r="D7748" t="str">
            <v>Trifolium ornithopodioides</v>
          </cell>
          <cell r="E7748" t="str">
            <v>LC</v>
          </cell>
          <cell r="F7748" t="str">
            <v>in Stroh et al., 2014 (from: Cheffings &amp; Farrell 2005 or subsequent amendments in Leach 2007, 2010; Leach &amp; Walker 2011, 2013)</v>
          </cell>
          <cell r="G7748" t="str">
            <v>NBNSYS0000003230</v>
          </cell>
          <cell r="H7748" t="str">
            <v>Trifolium ornithopodioides</v>
          </cell>
        </row>
        <row r="7749">
          <cell r="A7749" t="str">
            <v>Trifolium pratense</v>
          </cell>
          <cell r="B7749" t="str">
            <v>Vascular plants</v>
          </cell>
          <cell r="C7749" t="str">
            <v>Tracheophyta</v>
          </cell>
          <cell r="D7749" t="str">
            <v>Trifolium pratense</v>
          </cell>
          <cell r="E7749" t="str">
            <v>LC</v>
          </cell>
          <cell r="F7749" t="str">
            <v>in Stroh et al., 2014 (from: Cheffings &amp; Farrell 2005 or subsequent amendments in Leach 2007, 2010; Leach &amp; Walker 2011, 2013)</v>
          </cell>
          <cell r="G7749" t="str">
            <v>NBNSYS0000003231</v>
          </cell>
          <cell r="H7749" t="str">
            <v>Trifolium pratense</v>
          </cell>
        </row>
        <row r="7750">
          <cell r="A7750" t="str">
            <v>Trifolium repens</v>
          </cell>
          <cell r="B7750" t="str">
            <v>Vascular plants</v>
          </cell>
          <cell r="C7750" t="str">
            <v>Tracheophyta</v>
          </cell>
          <cell r="D7750" t="str">
            <v>Trifolium repens</v>
          </cell>
          <cell r="E7750" t="str">
            <v>LC</v>
          </cell>
          <cell r="F7750" t="str">
            <v>in Stroh et al., 2014 (from: Cheffings &amp; Farrell 2005 or subsequent amendments in Leach 2007, 2010; Leach &amp; Walker 2011, 2013)</v>
          </cell>
          <cell r="G7750" t="str">
            <v>NBNSYS0000003247</v>
          </cell>
          <cell r="H7750" t="str">
            <v>Trifolium repens</v>
          </cell>
        </row>
        <row r="7751">
          <cell r="A7751" t="str">
            <v>Trifolium scabrum</v>
          </cell>
          <cell r="B7751" t="str">
            <v>Vascular plants</v>
          </cell>
          <cell r="C7751" t="str">
            <v>Tracheophyta</v>
          </cell>
          <cell r="D7751" t="str">
            <v>Trifolium scabrum</v>
          </cell>
          <cell r="E7751" t="str">
            <v>LC</v>
          </cell>
          <cell r="F7751" t="str">
            <v>in Stroh et al., 2014 (from: Cheffings &amp; Farrell 2005 or subsequent amendments in Leach 2007, 2010; Leach &amp; Walker 2011, 2013)</v>
          </cell>
          <cell r="G7751" t="str">
            <v>NBNSYS0000003240</v>
          </cell>
          <cell r="H7751" t="str">
            <v>Trifolium scabrum</v>
          </cell>
        </row>
        <row r="7752">
          <cell r="A7752" t="str">
            <v>Trifolium squamosum</v>
          </cell>
          <cell r="B7752" t="str">
            <v>Vascular plants</v>
          </cell>
          <cell r="C7752" t="str">
            <v>Tracheophyta</v>
          </cell>
          <cell r="D7752" t="str">
            <v>Trifolium squamosum</v>
          </cell>
          <cell r="E7752" t="str">
            <v>LC</v>
          </cell>
          <cell r="F7752" t="str">
            <v>in Stroh et al., 2014 (from: Cheffings &amp; Farrell 2005 or subsequent amendments in Leach 2007, 2010; Leach &amp; Walker 2011, 2013)</v>
          </cell>
          <cell r="G7752" t="str">
            <v>NBNSYS0000003234</v>
          </cell>
          <cell r="H7752" t="str">
            <v>Trifolium squamosum</v>
          </cell>
        </row>
        <row r="7753">
          <cell r="A7753" t="str">
            <v>Trifolium striatum</v>
          </cell>
          <cell r="B7753" t="str">
            <v>Vascular plants</v>
          </cell>
          <cell r="C7753" t="str">
            <v>Tracheophyta</v>
          </cell>
          <cell r="D7753" t="str">
            <v>Trifolium striatum</v>
          </cell>
          <cell r="E7753" t="str">
            <v>LC</v>
          </cell>
          <cell r="F7753" t="str">
            <v>in Stroh et al., 2014 (from: Cheffings &amp; Farrell 2005 or subsequent amendments in Leach 2007, 2010; Leach &amp; Walker 2011, 2013)</v>
          </cell>
          <cell r="G7753" t="str">
            <v>NBNSYS0000003239</v>
          </cell>
          <cell r="H7753" t="str">
            <v>Trifolium striatum</v>
          </cell>
        </row>
        <row r="7754">
          <cell r="A7754" t="str">
            <v>Trifolium strictum</v>
          </cell>
          <cell r="B7754" t="str">
            <v>Vascular plants</v>
          </cell>
          <cell r="C7754" t="str">
            <v>Tracheophyta</v>
          </cell>
          <cell r="D7754" t="str">
            <v>Trifolium strictum</v>
          </cell>
          <cell r="E7754" t="str">
            <v>VU</v>
          </cell>
          <cell r="F7754" t="str">
            <v>in Stroh et al., 2014 (from: Cheffings &amp; Farrell 2005 or subsequent amendments in Leach 2007, 2010; Leach &amp; Walker 2011, 2013)</v>
          </cell>
          <cell r="G7754" t="str">
            <v>NBNSYS0000003243</v>
          </cell>
          <cell r="H7754" t="str">
            <v>Trifolium strictum</v>
          </cell>
        </row>
        <row r="7755">
          <cell r="A7755" t="str">
            <v>Trifolium subterraneum</v>
          </cell>
          <cell r="B7755" t="str">
            <v>Vascular plants</v>
          </cell>
          <cell r="C7755" t="str">
            <v>Tracheophyta</v>
          </cell>
          <cell r="D7755" t="str">
            <v>Trifolium subterraneum</v>
          </cell>
          <cell r="E7755" t="str">
            <v>LC</v>
          </cell>
          <cell r="F7755" t="str">
            <v>in Stroh et al., 2014 (from: Cheffings &amp; Farrell 2005 or subsequent amendments in Leach 2007, 2010; Leach &amp; Walker 2011, 2013)</v>
          </cell>
          <cell r="G7755" t="str">
            <v>NBNSYS0000003242</v>
          </cell>
          <cell r="H7755" t="str">
            <v>Trifolium subterraneum</v>
          </cell>
        </row>
        <row r="7756">
          <cell r="A7756" t="str">
            <v>Trifolium suffocatum</v>
          </cell>
          <cell r="B7756" t="str">
            <v>Vascular plants</v>
          </cell>
          <cell r="C7756" t="str">
            <v>Tracheophyta</v>
          </cell>
          <cell r="D7756" t="str">
            <v>Trifolium suffocatum</v>
          </cell>
          <cell r="E7756" t="str">
            <v>LC</v>
          </cell>
          <cell r="F7756" t="str">
            <v>in Stroh et al., 2014 (from: Cheffings &amp; Farrell 2005 or subsequent amendments in Leach 2007, 2010; Leach &amp; Walker 2011, 2013)</v>
          </cell>
          <cell r="G7756" t="str">
            <v>NBNSYS0000003245</v>
          </cell>
          <cell r="H7756" t="str">
            <v>Trifolium suffocatum</v>
          </cell>
        </row>
        <row r="7757">
          <cell r="A7757" t="str">
            <v>Triglochin maritima</v>
          </cell>
          <cell r="B7757" t="str">
            <v>Vascular plants</v>
          </cell>
          <cell r="C7757" t="str">
            <v>Tracheophyta</v>
          </cell>
          <cell r="D7757" t="str">
            <v>Triglochin maritima</v>
          </cell>
          <cell r="E7757" t="str">
            <v>LC</v>
          </cell>
          <cell r="F7757" t="str">
            <v>in Stroh et al., 2014 (from: Cheffings &amp; Farrell 2005 or subsequent amendments in Leach 2007, 2010; Leach &amp; Walker 2011, 2013)</v>
          </cell>
          <cell r="G7757" t="str">
            <v>NBNSYS0000002121</v>
          </cell>
          <cell r="H7757" t="str">
            <v>Triglochin maritima</v>
          </cell>
        </row>
        <row r="7758">
          <cell r="A7758" t="str">
            <v>Triglochin palustris</v>
          </cell>
          <cell r="B7758" t="str">
            <v>Vascular plants</v>
          </cell>
          <cell r="C7758" t="str">
            <v>Tracheophyta</v>
          </cell>
          <cell r="D7758" t="str">
            <v>Triglochin palustris</v>
          </cell>
          <cell r="E7758" t="str">
            <v>LC</v>
          </cell>
          <cell r="F7758" t="str">
            <v>in Stroh et al., 2014 (from: Cheffings &amp; Farrell 2005 or subsequent amendments in Leach 2007, 2010; Leach &amp; Walker 2011, 2013)</v>
          </cell>
          <cell r="G7758" t="str">
            <v>NBNSYS0000002120</v>
          </cell>
          <cell r="H7758" t="str">
            <v>Triglochin palustris</v>
          </cell>
        </row>
        <row r="7759">
          <cell r="A7759" t="str">
            <v>Trinia glauca</v>
          </cell>
          <cell r="B7759" t="str">
            <v>Vascular plants</v>
          </cell>
          <cell r="C7759" t="str">
            <v>Tracheophyta</v>
          </cell>
          <cell r="D7759" t="str">
            <v>Trinia glauca</v>
          </cell>
          <cell r="E7759" t="str">
            <v>LC</v>
          </cell>
          <cell r="F7759" t="str">
            <v>in Stroh et al., 2014 (from: Cheffings &amp; Farrell 2005 or subsequent amendments in Leach 2007, 2010; Leach &amp; Walker 2011, 2013)</v>
          </cell>
          <cell r="G7759" t="str">
            <v>NBNSYS0000003662</v>
          </cell>
          <cell r="H7759" t="str">
            <v>Trinia glauca</v>
          </cell>
        </row>
        <row r="7760">
          <cell r="A7760" t="str">
            <v>Tripleurospermum maritimum</v>
          </cell>
          <cell r="B7760" t="str">
            <v>Vascular plants</v>
          </cell>
          <cell r="C7760" t="str">
            <v>Tracheophyta</v>
          </cell>
          <cell r="D7760" t="str">
            <v>Tripleurospermum maritimum</v>
          </cell>
          <cell r="E7760" t="str">
            <v>LC</v>
          </cell>
          <cell r="F7760" t="str">
            <v>in Stroh et al., 2014 (from: Cheffings &amp; Farrell 2005 or subsequent amendments in Leach 2007, 2010; Leach &amp; Walker 2011, 2013)</v>
          </cell>
          <cell r="G7760" t="str">
            <v>NHMSYS0000464607</v>
          </cell>
          <cell r="H7760" t="str">
            <v>Tripleurospermum maritimum</v>
          </cell>
        </row>
        <row r="7761">
          <cell r="A7761" t="str">
            <v>Trisetum flavescens</v>
          </cell>
          <cell r="B7761" t="str">
            <v>Vascular plants</v>
          </cell>
          <cell r="C7761" t="str">
            <v>Tracheophyta</v>
          </cell>
          <cell r="D7761" t="str">
            <v>Trisetum flavescens</v>
          </cell>
          <cell r="E7761" t="str">
            <v>LC</v>
          </cell>
          <cell r="F7761" t="str">
            <v>in Stroh et al., 2014 (from: Cheffings &amp; Farrell 2005 or subsequent amendments in Leach 2007, 2010; Leach &amp; Walker 2011, 2013)</v>
          </cell>
          <cell r="G7761" t="str">
            <v>NHMSYS0000464618</v>
          </cell>
          <cell r="H7761" t="str">
            <v>Trisetum flavescens</v>
          </cell>
        </row>
        <row r="7762">
          <cell r="A7762" t="str">
            <v>Trollius europaeus</v>
          </cell>
          <cell r="B7762" t="str">
            <v>Vascular plants</v>
          </cell>
          <cell r="C7762" t="str">
            <v>Tracheophyta</v>
          </cell>
          <cell r="D7762" t="str">
            <v>Trollius europaeus</v>
          </cell>
          <cell r="E7762" t="str">
            <v>LC</v>
          </cell>
          <cell r="F7762" t="str">
            <v>in Stroh et al., 2014 (from: Cheffings &amp; Farrell 2005 or subsequent amendments in Leach 2007, 2010; Leach &amp; Walker 2011, 2013)</v>
          </cell>
          <cell r="G7762" t="str">
            <v>NBNSYS0000002692</v>
          </cell>
          <cell r="H7762" t="str">
            <v>Trollius europaeus</v>
          </cell>
        </row>
        <row r="7763">
          <cell r="A7763" t="str">
            <v>Turritis glabra</v>
          </cell>
          <cell r="B7763" t="str">
            <v>Vascular plants</v>
          </cell>
          <cell r="C7763" t="str">
            <v>Tracheophyta</v>
          </cell>
          <cell r="D7763" t="str">
            <v>Turritis glabra</v>
          </cell>
          <cell r="E7763" t="str">
            <v>EN</v>
          </cell>
          <cell r="F7763" t="str">
            <v>in Stroh et al., 2014 (from: Cheffings &amp; Farrell 2005 or subsequent amendments in Leach 2007, 2010; Leach &amp; Walker 2011, 2013)</v>
          </cell>
          <cell r="G7763" t="str">
            <v>NBNSYS0000002892</v>
          </cell>
          <cell r="H7763" t="str">
            <v>Turritis glabra</v>
          </cell>
        </row>
        <row r="7764">
          <cell r="A7764" t="str">
            <v>Tussilago farfara</v>
          </cell>
          <cell r="B7764" t="str">
            <v>Vascular plants</v>
          </cell>
          <cell r="C7764" t="str">
            <v>Tracheophyta</v>
          </cell>
          <cell r="D7764" t="str">
            <v>Tussilago farfara</v>
          </cell>
          <cell r="E7764" t="str">
            <v>LC</v>
          </cell>
          <cell r="F7764" t="str">
            <v>in Stroh et al., 2014 (from: Cheffings &amp; Farrell 2005 or subsequent amendments in Leach 2007, 2010; Leach &amp; Walker 2011, 2013)</v>
          </cell>
          <cell r="G7764" t="str">
            <v>NBNSYS0000004386</v>
          </cell>
          <cell r="H7764" t="str">
            <v>Tussilago farfara</v>
          </cell>
        </row>
        <row r="7765">
          <cell r="A7765" t="str">
            <v>Typha angustifolia</v>
          </cell>
          <cell r="B7765" t="str">
            <v>Vascular plants</v>
          </cell>
          <cell r="C7765" t="str">
            <v>Tracheophyta</v>
          </cell>
          <cell r="D7765" t="str">
            <v>Typha angustifolia</v>
          </cell>
          <cell r="E7765" t="str">
            <v>LC</v>
          </cell>
          <cell r="F7765" t="str">
            <v>in Stroh et al., 2014 (from: Cheffings &amp; Farrell 2005 or subsequent amendments in Leach 2007, 2010; Leach &amp; Walker 2011, 2013)</v>
          </cell>
          <cell r="G7765" t="str">
            <v>NBNSYS0000002370</v>
          </cell>
          <cell r="H7765" t="str">
            <v>Typha angustifolia</v>
          </cell>
        </row>
        <row r="7766">
          <cell r="A7766" t="str">
            <v>Typha latifolia</v>
          </cell>
          <cell r="B7766" t="str">
            <v>Vascular plants</v>
          </cell>
          <cell r="C7766" t="str">
            <v>Tracheophyta</v>
          </cell>
          <cell r="D7766" t="str">
            <v>Typha latifolia</v>
          </cell>
          <cell r="E7766" t="str">
            <v>LC</v>
          </cell>
          <cell r="F7766" t="str">
            <v>in Stroh et al., 2014 (from: Cheffings &amp; Farrell 2005 or subsequent amendments in Leach 2007, 2010; Leach &amp; Walker 2011, 2013)</v>
          </cell>
          <cell r="G7766" t="str">
            <v>NBNSYS0000002369</v>
          </cell>
          <cell r="H7766" t="str">
            <v>Typha latifolia</v>
          </cell>
        </row>
        <row r="7767">
          <cell r="A7767" t="str">
            <v>Ulex europaeus</v>
          </cell>
          <cell r="B7767" t="str">
            <v>Vascular plants</v>
          </cell>
          <cell r="C7767" t="str">
            <v>Tracheophyta</v>
          </cell>
          <cell r="D7767" t="str">
            <v>Ulex europaeus</v>
          </cell>
          <cell r="E7767" t="str">
            <v>LC</v>
          </cell>
          <cell r="F7767" t="str">
            <v>in Stroh et al., 2014 (from: Cheffings &amp; Farrell 2005 or subsequent amendments in Leach 2007, 2010; Leach &amp; Walker 2011, 2013)</v>
          </cell>
          <cell r="G7767" t="str">
            <v>NBNSYS0000003211</v>
          </cell>
          <cell r="H7767" t="str">
            <v>Ulex europaeus</v>
          </cell>
        </row>
        <row r="7768">
          <cell r="A7768" t="str">
            <v>Ulex gallii</v>
          </cell>
          <cell r="B7768" t="str">
            <v>Vascular plants</v>
          </cell>
          <cell r="C7768" t="str">
            <v>Tracheophyta</v>
          </cell>
          <cell r="D7768" t="str">
            <v>Ulex gallii</v>
          </cell>
          <cell r="E7768" t="str">
            <v>LC</v>
          </cell>
          <cell r="F7768" t="str">
            <v>in Stroh et al., 2014 (from: Cheffings &amp; Farrell 2005 or subsequent amendments in Leach 2007, 2010; Leach &amp; Walker 2011, 2013)</v>
          </cell>
          <cell r="G7768" t="str">
            <v>NHMSYS0000464695</v>
          </cell>
          <cell r="H7768" t="str">
            <v>Ulex gallii</v>
          </cell>
        </row>
        <row r="7769">
          <cell r="A7769" t="str">
            <v>Ulex minor</v>
          </cell>
          <cell r="B7769" t="str">
            <v>Vascular plants</v>
          </cell>
          <cell r="C7769" t="str">
            <v>Tracheophyta</v>
          </cell>
          <cell r="D7769" t="str">
            <v>Ulex minor</v>
          </cell>
          <cell r="E7769" t="str">
            <v>LC</v>
          </cell>
          <cell r="F7769" t="str">
            <v>in Stroh et al., 2014 (from: Cheffings &amp; Farrell 2005 or subsequent amendments in Leach 2007, 2010; Leach &amp; Walker 2011, 2013)</v>
          </cell>
          <cell r="G7769" t="str">
            <v>NBNSYS0000003213</v>
          </cell>
          <cell r="H7769" t="str">
            <v>Ulex minor</v>
          </cell>
        </row>
        <row r="7770">
          <cell r="A7770" t="str">
            <v>Ulmus glabra</v>
          </cell>
          <cell r="B7770" t="str">
            <v>Vascular plants</v>
          </cell>
          <cell r="C7770" t="str">
            <v>Tracheophyta</v>
          </cell>
          <cell r="D7770" t="str">
            <v>Ulmus glabra</v>
          </cell>
          <cell r="E7770" t="str">
            <v>LC</v>
          </cell>
          <cell r="F7770" t="str">
            <v>in Stroh et al., 2014 (from: Cheffings &amp; Farrell 2005 or subsequent amendments in Leach 2007, 2010; Leach &amp; Walker 2011, 2013)</v>
          </cell>
          <cell r="G7770" t="str">
            <v>NHMSYS0000464701</v>
          </cell>
          <cell r="H7770" t="str">
            <v>Ulmus glabra</v>
          </cell>
        </row>
        <row r="7771">
          <cell r="A7771" t="str">
            <v>Ulmus minor sensu Stace</v>
          </cell>
          <cell r="B7771" t="str">
            <v>Vascular plants</v>
          </cell>
          <cell r="C7771" t="str">
            <v>Tracheophyta</v>
          </cell>
          <cell r="D7771" t="str">
            <v>Ulmus minor sensu Stace</v>
          </cell>
          <cell r="E7771" t="str">
            <v>LC</v>
          </cell>
          <cell r="F7771" t="str">
            <v>in Stroh et al., 2014 (from: Cheffings &amp; Farrell 2005 or subsequent amendments in Leach 2007, 2010; Leach &amp; Walker 2011, 2013)</v>
          </cell>
          <cell r="G7771" t="str">
            <v>NHMSYS0100003177</v>
          </cell>
          <cell r="H7771" t="str">
            <v>Ulmus minor sensu Stace</v>
          </cell>
        </row>
        <row r="7772">
          <cell r="A7772" t="str">
            <v>Ulmus procera</v>
          </cell>
          <cell r="B7772" t="str">
            <v>Vascular plants</v>
          </cell>
          <cell r="C7772" t="str">
            <v>Tracheophyta</v>
          </cell>
          <cell r="D7772" t="str">
            <v>Ulmus procera</v>
          </cell>
          <cell r="E7772" t="str">
            <v>LC</v>
          </cell>
          <cell r="F7772" t="str">
            <v>in Stroh et al., 2014 (from: Cheffings &amp; Farrell 2005 or subsequent amendments in Leach 2007, 2010; Leach &amp; Walker 2011, 2013)</v>
          </cell>
          <cell r="G7772" t="str">
            <v>NBNSYS0000003812</v>
          </cell>
          <cell r="H7772" t="str">
            <v>Ulmus procera</v>
          </cell>
        </row>
        <row r="7773">
          <cell r="A7773" t="str">
            <v>Umbilicus rupestris</v>
          </cell>
          <cell r="B7773" t="str">
            <v>Vascular plants</v>
          </cell>
          <cell r="C7773" t="str">
            <v>Tracheophyta</v>
          </cell>
          <cell r="D7773" t="str">
            <v>Umbilicus rupestris</v>
          </cell>
          <cell r="E7773" t="str">
            <v>LC</v>
          </cell>
          <cell r="F7773" t="str">
            <v>in Stroh et al., 2014 (from: Cheffings &amp; Farrell 2005 or subsequent amendments in Leach 2007, 2010; Leach &amp; Walker 2011, 2013)</v>
          </cell>
          <cell r="G7773" t="str">
            <v>NBNSYS0000003488</v>
          </cell>
          <cell r="H7773" t="str">
            <v>Umbilicus rupestris</v>
          </cell>
        </row>
        <row r="7774">
          <cell r="A7774" t="str">
            <v>Urtica dioica</v>
          </cell>
          <cell r="B7774" t="str">
            <v>Vascular plants</v>
          </cell>
          <cell r="C7774" t="str">
            <v>Tracheophyta</v>
          </cell>
          <cell r="D7774" t="str">
            <v>Urtica dioica</v>
          </cell>
          <cell r="E7774" t="str">
            <v>LC</v>
          </cell>
          <cell r="F7774" t="str">
            <v>in Stroh et al., 2014 (from: Cheffings &amp; Farrell 2005 or subsequent amendments in Leach 2007, 2010; Leach &amp; Walker 2011, 2013)</v>
          </cell>
          <cell r="G7774" t="str">
            <v>NBNSYS0000003807</v>
          </cell>
          <cell r="H7774" t="str">
            <v>Urtica dioica</v>
          </cell>
        </row>
        <row r="7775">
          <cell r="A7775" t="str">
            <v>Utricularia australis</v>
          </cell>
          <cell r="B7775" t="str">
            <v>Vascular plants</v>
          </cell>
          <cell r="C7775" t="str">
            <v>Tracheophyta</v>
          </cell>
          <cell r="D7775" t="str">
            <v>Utricularia australis</v>
          </cell>
          <cell r="E7775" t="str">
            <v>LC</v>
          </cell>
          <cell r="F7775" t="str">
            <v>in Stroh et al., 2014 (from: Cheffings &amp; Farrell 2005 or subsequent amendments in Leach 2007, 2010; Leach &amp; Walker 2011, 2013)</v>
          </cell>
          <cell r="G7775" t="str">
            <v>NHMSYS0000464741</v>
          </cell>
          <cell r="H7775" t="str">
            <v>Utricularia australis</v>
          </cell>
        </row>
        <row r="7776">
          <cell r="A7776" t="str">
            <v>Utricularia minor</v>
          </cell>
          <cell r="B7776" t="str">
            <v>Vascular plants</v>
          </cell>
          <cell r="C7776" t="str">
            <v>Tracheophyta</v>
          </cell>
          <cell r="D7776" t="str">
            <v>Utricularia minor</v>
          </cell>
          <cell r="E7776" t="str">
            <v>LC</v>
          </cell>
          <cell r="F7776" t="str">
            <v>in Stroh et al., 2014 (from: Cheffings &amp; Farrell 2005 or subsequent amendments in Leach 2007, 2010; Leach &amp; Walker 2011, 2013)</v>
          </cell>
          <cell r="G7776" t="str">
            <v>NBNSYS0000004190</v>
          </cell>
          <cell r="H7776" t="str">
            <v>Utricularia minor</v>
          </cell>
        </row>
        <row r="7777">
          <cell r="A7777" t="str">
            <v>Utricularia vulgaris s.s.</v>
          </cell>
          <cell r="B7777" t="str">
            <v>Vascular plants</v>
          </cell>
          <cell r="C7777" t="str">
            <v>Tracheophyta</v>
          </cell>
          <cell r="D7777" t="str">
            <v>Utricularia vulgaris s.s.</v>
          </cell>
          <cell r="E7777" t="str">
            <v>LC</v>
          </cell>
          <cell r="F7777" t="str">
            <v>in Stroh et al., 2014 (from: Cheffings &amp; Farrell 2005 or subsequent amendments in Leach 2007, 2010; Leach &amp; Walker 2011, 2013)</v>
          </cell>
          <cell r="G7777" t="str">
            <v>NBNSYS0000158900</v>
          </cell>
          <cell r="H7777" t="str">
            <v>Utricularia vulgaris s.s.</v>
          </cell>
        </row>
        <row r="7778">
          <cell r="A7778" t="str">
            <v>Vaccinium microcarpum</v>
          </cell>
          <cell r="B7778" t="str">
            <v>Vascular plants</v>
          </cell>
          <cell r="C7778" t="str">
            <v>Tracheophyta</v>
          </cell>
          <cell r="D7778" t="str">
            <v>Vaccinium microcarpum</v>
          </cell>
          <cell r="E7778" t="str">
            <v>LC</v>
          </cell>
          <cell r="F7778" t="str">
            <v>in Stroh et al., 2014 (from: Cheffings &amp; Farrell 2005 or subsequent amendments in Leach 2007, 2010; Leach &amp; Walker 2011, 2013)</v>
          </cell>
          <cell r="G7778" t="str">
            <v>NBNSYS0000003919</v>
          </cell>
          <cell r="H7778" t="str">
            <v>Vaccinium microcarpum</v>
          </cell>
        </row>
        <row r="7779">
          <cell r="A7779" t="str">
            <v>Vaccinium myrtillus</v>
          </cell>
          <cell r="B7779" t="str">
            <v>Vascular plants</v>
          </cell>
          <cell r="C7779" t="str">
            <v>Tracheophyta</v>
          </cell>
          <cell r="D7779" t="str">
            <v>Vaccinium myrtillus</v>
          </cell>
          <cell r="E7779" t="str">
            <v>LC</v>
          </cell>
          <cell r="F7779" t="str">
            <v>in Stroh et al., 2014 (from: Cheffings &amp; Farrell 2005 or subsequent amendments in Leach 2007, 2010; Leach &amp; Walker 2011, 2013)</v>
          </cell>
          <cell r="G7779" t="str">
            <v>NBNSYS0000003915</v>
          </cell>
          <cell r="H7779" t="str">
            <v>Vaccinium myrtillus</v>
          </cell>
        </row>
        <row r="7780">
          <cell r="A7780" t="str">
            <v>Vaccinium oxycoccos</v>
          </cell>
          <cell r="B7780" t="str">
            <v>Vascular plants</v>
          </cell>
          <cell r="C7780" t="str">
            <v>Tracheophyta</v>
          </cell>
          <cell r="D7780" t="str">
            <v>Vaccinium oxycoccos</v>
          </cell>
          <cell r="E7780" t="str">
            <v>LC</v>
          </cell>
          <cell r="F7780" t="str">
            <v>in Stroh et al., 2014 (from: Cheffings &amp; Farrell 2005 or subsequent amendments in Leach 2007, 2010; Leach &amp; Walker 2011, 2013)</v>
          </cell>
          <cell r="G7780" t="str">
            <v>NBNSYS0000003918</v>
          </cell>
          <cell r="H7780" t="str">
            <v>Vaccinium oxycoccos</v>
          </cell>
        </row>
        <row r="7781">
          <cell r="A7781" t="str">
            <v>Vaccinium uliginosum</v>
          </cell>
          <cell r="B7781" t="str">
            <v>Vascular plants</v>
          </cell>
          <cell r="C7781" t="str">
            <v>Tracheophyta</v>
          </cell>
          <cell r="D7781" t="str">
            <v>Vaccinium uliginosum</v>
          </cell>
          <cell r="E7781" t="str">
            <v>LC</v>
          </cell>
          <cell r="F7781" t="str">
            <v>in Stroh et al., 2014 (from: Cheffings &amp; Farrell 2005 or subsequent amendments in Leach 2007, 2010; Leach &amp; Walker 2011, 2013)</v>
          </cell>
          <cell r="G7781" t="str">
            <v>NBNSYS0000003917</v>
          </cell>
          <cell r="H7781" t="str">
            <v>Vaccinium uliginosum</v>
          </cell>
        </row>
        <row r="7782">
          <cell r="A7782" t="str">
            <v>Vaccinium vitis-idaea</v>
          </cell>
          <cell r="B7782" t="str">
            <v>Vascular plants</v>
          </cell>
          <cell r="C7782" t="str">
            <v>Tracheophyta</v>
          </cell>
          <cell r="D7782" t="str">
            <v>Vaccinium vitis-idaea</v>
          </cell>
          <cell r="E7782" t="str">
            <v>LC</v>
          </cell>
          <cell r="F7782" t="str">
            <v>in Stroh et al., 2014 (from: Cheffings &amp; Farrell 2005 or subsequent amendments in Leach 2007, 2010; Leach &amp; Walker 2011, 2013)</v>
          </cell>
          <cell r="G7782" t="str">
            <v>NBNSYS0000003914</v>
          </cell>
          <cell r="H7782" t="str">
            <v>Vaccinium vitis-idaea</v>
          </cell>
        </row>
        <row r="7783">
          <cell r="A7783" t="str">
            <v>Valeriana dioica</v>
          </cell>
          <cell r="B7783" t="str">
            <v>Vascular plants</v>
          </cell>
          <cell r="C7783" t="str">
            <v>Tracheophyta</v>
          </cell>
          <cell r="D7783" t="str">
            <v>Valeriana dioica</v>
          </cell>
          <cell r="E7783" t="str">
            <v>LC</v>
          </cell>
          <cell r="F7783" t="str">
            <v>in Stroh et al., 2014 (from: Cheffings &amp; Farrell 2005 or subsequent amendments in Leach 2007, 2010; Leach &amp; Walker 2011, 2013)</v>
          </cell>
          <cell r="G7783" t="str">
            <v>NBNSYS0000004345</v>
          </cell>
          <cell r="H7783" t="str">
            <v>Valeriana dioica</v>
          </cell>
        </row>
        <row r="7784">
          <cell r="A7784" t="str">
            <v>Valeriana officinalis</v>
          </cell>
          <cell r="B7784" t="str">
            <v>Vascular plants</v>
          </cell>
          <cell r="C7784" t="str">
            <v>Tracheophyta</v>
          </cell>
          <cell r="D7784" t="str">
            <v>Valeriana officinalis</v>
          </cell>
          <cell r="E7784" t="str">
            <v>LC</v>
          </cell>
          <cell r="F7784" t="str">
            <v>in Stroh et al., 2014 (from: Cheffings &amp; Farrell 2005 or subsequent amendments in Leach 2007, 2010; Leach &amp; Walker 2011, 2013)</v>
          </cell>
          <cell r="G7784" t="str">
            <v>NBNSYS0000004343</v>
          </cell>
          <cell r="H7784" t="str">
            <v>Valeriana officinalis</v>
          </cell>
        </row>
        <row r="7785">
          <cell r="A7785" t="str">
            <v>Valerianella eriocarpa</v>
          </cell>
          <cell r="B7785" t="str">
            <v>Vascular plants</v>
          </cell>
          <cell r="C7785" t="str">
            <v>Tracheophyta</v>
          </cell>
          <cell r="D7785" t="str">
            <v>Valerianella eriocarpa</v>
          </cell>
          <cell r="E7785" t="str">
            <v>LC</v>
          </cell>
          <cell r="F7785" t="str">
            <v>in Stroh et al., 2014 (from: Cheffings &amp; Farrell 2005 or subsequent amendments in Leach 2007, 2010; Leach &amp; Walker 2011, 2013)</v>
          </cell>
          <cell r="G7785" t="str">
            <v>NBNSYS0000004340</v>
          </cell>
          <cell r="H7785" t="str">
            <v>Valerianella eriocarpa</v>
          </cell>
        </row>
        <row r="7786">
          <cell r="A7786" t="str">
            <v>Valerianella locusta</v>
          </cell>
          <cell r="B7786" t="str">
            <v>Vascular plants</v>
          </cell>
          <cell r="C7786" t="str">
            <v>Tracheophyta</v>
          </cell>
          <cell r="D7786" t="str">
            <v>Valerianella locusta</v>
          </cell>
          <cell r="E7786" t="str">
            <v>LC</v>
          </cell>
          <cell r="F7786" t="str">
            <v>in Stroh et al., 2014 (from: Cheffings &amp; Farrell 2005 or subsequent amendments in Leach 2007, 2010; Leach &amp; Walker 2011, 2013)</v>
          </cell>
          <cell r="G7786" t="str">
            <v>NBNSYS0000004337</v>
          </cell>
          <cell r="H7786" t="str">
            <v>Valerianella locusta</v>
          </cell>
        </row>
        <row r="7787">
          <cell r="A7787" t="str">
            <v>Verbascum lychnitis</v>
          </cell>
          <cell r="B7787" t="str">
            <v>Vascular plants</v>
          </cell>
          <cell r="C7787" t="str">
            <v>Tracheophyta</v>
          </cell>
          <cell r="D7787" t="str">
            <v>Verbascum lychnitis</v>
          </cell>
          <cell r="E7787" t="str">
            <v>LC</v>
          </cell>
          <cell r="F7787" t="str">
            <v>in Stroh et al., 2014 (from: Cheffings &amp; Farrell 2005 or subsequent amendments in Leach 2007, 2010; Leach &amp; Walker 2011, 2013)</v>
          </cell>
          <cell r="G7787" t="str">
            <v>NBNSYS0000004049</v>
          </cell>
          <cell r="H7787" t="str">
            <v>Verbascum lychnitis</v>
          </cell>
        </row>
        <row r="7788">
          <cell r="A7788" t="str">
            <v>Verbascum nigrum</v>
          </cell>
          <cell r="B7788" t="str">
            <v>Vascular plants</v>
          </cell>
          <cell r="C7788" t="str">
            <v>Tracheophyta</v>
          </cell>
          <cell r="D7788" t="str">
            <v>Verbascum nigrum</v>
          </cell>
          <cell r="E7788" t="str">
            <v>LC</v>
          </cell>
          <cell r="F7788" t="str">
            <v>in Stroh et al., 2014 (from: Cheffings &amp; Farrell 2005 or subsequent amendments in Leach 2007, 2010; Leach &amp; Walker 2011, 2013)</v>
          </cell>
          <cell r="G7788" t="str">
            <v>NBNSYS0000004052</v>
          </cell>
          <cell r="H7788" t="str">
            <v>Verbascum nigrum</v>
          </cell>
        </row>
        <row r="7789">
          <cell r="A7789" t="str">
            <v>Verbascum pulverulentum</v>
          </cell>
          <cell r="B7789" t="str">
            <v>Vascular plants</v>
          </cell>
          <cell r="C7789" t="str">
            <v>Tracheophyta</v>
          </cell>
          <cell r="D7789" t="str">
            <v>Verbascum pulverulentum</v>
          </cell>
          <cell r="E7789" t="str">
            <v>LC</v>
          </cell>
          <cell r="F7789" t="str">
            <v>in Stroh et al., 2014 (from: Cheffings &amp; Farrell 2005 or subsequent amendments in Leach 2007, 2010; Leach &amp; Walker 2011, 2013)</v>
          </cell>
          <cell r="G7789" t="str">
            <v>NHMSYS0000464794</v>
          </cell>
          <cell r="H7789" t="str">
            <v>Verbascum pulverulentum</v>
          </cell>
        </row>
        <row r="7790">
          <cell r="A7790" t="str">
            <v>Verbascum thapsus</v>
          </cell>
          <cell r="B7790" t="str">
            <v>Vascular plants</v>
          </cell>
          <cell r="C7790" t="str">
            <v>Tracheophyta</v>
          </cell>
          <cell r="D7790" t="str">
            <v>Verbascum thapsus</v>
          </cell>
          <cell r="E7790" t="str">
            <v>LC</v>
          </cell>
          <cell r="F7790" t="str">
            <v>in Stroh et al., 2014 (from: Cheffings &amp; Farrell 2005 or subsequent amendments in Leach 2007, 2010; Leach &amp; Walker 2011, 2013)</v>
          </cell>
          <cell r="G7790" t="str">
            <v>NBNSYS0000004046</v>
          </cell>
          <cell r="H7790" t="str">
            <v>Verbascum thapsus</v>
          </cell>
        </row>
        <row r="7791">
          <cell r="A7791" t="str">
            <v>Veronica anagallis-aquatica</v>
          </cell>
          <cell r="B7791" t="str">
            <v>Vascular plants</v>
          </cell>
          <cell r="C7791" t="str">
            <v>Tracheophyta</v>
          </cell>
          <cell r="D7791" t="str">
            <v>Veronica anagallis-aquatica</v>
          </cell>
          <cell r="E7791" t="str">
            <v>LC</v>
          </cell>
          <cell r="F7791" t="str">
            <v>in Stroh et al., 2014 (from: Cheffings &amp; Farrell 2005 or subsequent amendments in Leach 2007, 2010; Leach &amp; Walker 2011, 2013)</v>
          </cell>
          <cell r="G7791" t="str">
            <v>NBNSYS0000004097</v>
          </cell>
          <cell r="H7791" t="str">
            <v>Veronica anagallis-aquatica</v>
          </cell>
        </row>
        <row r="7792">
          <cell r="A7792" t="str">
            <v>Veronica arvensis</v>
          </cell>
          <cell r="B7792" t="str">
            <v>Vascular plants</v>
          </cell>
          <cell r="C7792" t="str">
            <v>Tracheophyta</v>
          </cell>
          <cell r="D7792" t="str">
            <v>Veronica arvensis</v>
          </cell>
          <cell r="E7792" t="str">
            <v>LC</v>
          </cell>
          <cell r="F7792" t="str">
            <v>in Stroh et al., 2014 (from: Cheffings &amp; Farrell 2005 or subsequent amendments in Leach 2007, 2010; Leach &amp; Walker 2011, 2013)</v>
          </cell>
          <cell r="G7792" t="str">
            <v>NBNSYS0000004115</v>
          </cell>
          <cell r="H7792" t="str">
            <v>Veronica arvensis</v>
          </cell>
        </row>
        <row r="7793">
          <cell r="A7793" t="str">
            <v>Veronica beccabunga</v>
          </cell>
          <cell r="B7793" t="str">
            <v>Vascular plants</v>
          </cell>
          <cell r="C7793" t="str">
            <v>Tracheophyta</v>
          </cell>
          <cell r="D7793" t="str">
            <v>Veronica beccabunga</v>
          </cell>
          <cell r="E7793" t="str">
            <v>LC</v>
          </cell>
          <cell r="F7793" t="str">
            <v>in Stroh et al., 2014 (from: Cheffings &amp; Farrell 2005 or subsequent amendments in Leach 2007, 2010; Leach &amp; Walker 2011, 2013)</v>
          </cell>
          <cell r="G7793" t="str">
            <v>NBNSYS0000004096</v>
          </cell>
          <cell r="H7793" t="str">
            <v>Veronica beccabunga</v>
          </cell>
        </row>
        <row r="7794">
          <cell r="A7794" t="str">
            <v>Veronica catenata</v>
          </cell>
          <cell r="B7794" t="str">
            <v>Vascular plants</v>
          </cell>
          <cell r="C7794" t="str">
            <v>Tracheophyta</v>
          </cell>
          <cell r="D7794" t="str">
            <v>Veronica catenata</v>
          </cell>
          <cell r="E7794" t="str">
            <v>LC</v>
          </cell>
          <cell r="F7794" t="str">
            <v>in Stroh et al., 2014 (from: Cheffings &amp; Farrell 2005 or subsequent amendments in Leach 2007, 2010; Leach &amp; Walker 2011, 2013)</v>
          </cell>
          <cell r="G7794" t="str">
            <v>NBNSYS0000004099</v>
          </cell>
          <cell r="H7794" t="str">
            <v>Veronica catenata</v>
          </cell>
        </row>
        <row r="7795">
          <cell r="A7795" t="str">
            <v>Veronica chamaedrys</v>
          </cell>
          <cell r="B7795" t="str">
            <v>Vascular plants</v>
          </cell>
          <cell r="C7795" t="str">
            <v>Tracheophyta</v>
          </cell>
          <cell r="D7795" t="str">
            <v>Veronica chamaedrys</v>
          </cell>
          <cell r="E7795" t="str">
            <v>LC</v>
          </cell>
          <cell r="F7795" t="str">
            <v>in Stroh et al., 2014 (from: Cheffings &amp; Farrell 2005 or subsequent amendments in Leach 2007, 2010; Leach &amp; Walker 2011, 2013)</v>
          </cell>
          <cell r="G7795" t="str">
            <v>NBNSYS0000004104</v>
          </cell>
          <cell r="H7795" t="str">
            <v>Veronica chamaedrys</v>
          </cell>
        </row>
        <row r="7796">
          <cell r="A7796" t="str">
            <v>Veronica montana</v>
          </cell>
          <cell r="B7796" t="str">
            <v>Vascular plants</v>
          </cell>
          <cell r="C7796" t="str">
            <v>Tracheophyta</v>
          </cell>
          <cell r="D7796" t="str">
            <v>Veronica montana</v>
          </cell>
          <cell r="E7796" t="str">
            <v>LC</v>
          </cell>
          <cell r="F7796" t="str">
            <v>in Stroh et al., 2014 (from: Cheffings &amp; Farrell 2005 or subsequent amendments in Leach 2007, 2010; Leach &amp; Walker 2011, 2013)</v>
          </cell>
          <cell r="G7796" t="str">
            <v>NBNSYS0000004103</v>
          </cell>
          <cell r="H7796" t="str">
            <v>Veronica montana</v>
          </cell>
        </row>
        <row r="7797">
          <cell r="A7797" t="str">
            <v>Veronica officinalis</v>
          </cell>
          <cell r="B7797" t="str">
            <v>Vascular plants</v>
          </cell>
          <cell r="C7797" t="str">
            <v>Tracheophyta</v>
          </cell>
          <cell r="D7797" t="str">
            <v>Veronica officinalis</v>
          </cell>
          <cell r="E7797" t="str">
            <v>LC</v>
          </cell>
          <cell r="F7797" t="str">
            <v>in Stroh et al., 2014 (from: Cheffings &amp; Farrell 2005 or subsequent amendments in Leach 2007, 2010; Leach &amp; Walker 2011, 2013)</v>
          </cell>
          <cell r="G7797" t="str">
            <v>NBNSYS0000004102</v>
          </cell>
          <cell r="H7797" t="str">
            <v>Veronica officinalis</v>
          </cell>
        </row>
        <row r="7798">
          <cell r="A7798" t="str">
            <v>Veronica scutellata</v>
          </cell>
          <cell r="B7798" t="str">
            <v>Vascular plants</v>
          </cell>
          <cell r="C7798" t="str">
            <v>Tracheophyta</v>
          </cell>
          <cell r="D7798" t="str">
            <v>Veronica scutellata</v>
          </cell>
          <cell r="E7798" t="str">
            <v>LC</v>
          </cell>
          <cell r="F7798" t="str">
            <v>in Stroh et al., 2014 (from: Cheffings &amp; Farrell 2005 or subsequent amendments in Leach 2007, 2010; Leach &amp; Walker 2011, 2013)</v>
          </cell>
          <cell r="G7798" t="str">
            <v>NBNSYS0000004101</v>
          </cell>
          <cell r="H7798" t="str">
            <v>Veronica scutellata</v>
          </cell>
        </row>
        <row r="7799">
          <cell r="A7799" t="str">
            <v>Veronica serpyllifolia</v>
          </cell>
          <cell r="B7799" t="str">
            <v>Vascular plants</v>
          </cell>
          <cell r="C7799" t="str">
            <v>Tracheophyta</v>
          </cell>
          <cell r="D7799" t="str">
            <v>Veronica serpyllifolia</v>
          </cell>
          <cell r="E7799" t="str">
            <v>LC</v>
          </cell>
          <cell r="F7799" t="str">
            <v>in Stroh et al., 2014 (from: Cheffings &amp; Farrell 2005 or subsequent amendments in Leach 2007, 2010; Leach &amp; Walker 2011, 2013)</v>
          </cell>
          <cell r="G7799" t="str">
            <v>NBNSYS0000004112</v>
          </cell>
          <cell r="H7799" t="str">
            <v>Veronica serpyllifolia</v>
          </cell>
        </row>
        <row r="7800">
          <cell r="A7800" t="str">
            <v>Veronica spicata</v>
          </cell>
          <cell r="B7800" t="str">
            <v>Vascular plants</v>
          </cell>
          <cell r="C7800" t="str">
            <v>Tracheophyta</v>
          </cell>
          <cell r="D7800" t="str">
            <v>Veronica spicata</v>
          </cell>
          <cell r="E7800" t="str">
            <v>LC</v>
          </cell>
          <cell r="F7800" t="str">
            <v>in Stroh et al., 2014 (from: Cheffings &amp; Farrell 2005 or subsequent amendments in Leach 2007, 2010; Leach &amp; Walker 2011, 2013)</v>
          </cell>
          <cell r="G7800" t="str">
            <v>NBNSYS0000004105</v>
          </cell>
          <cell r="H7800" t="str">
            <v>Veronica spicata</v>
          </cell>
        </row>
        <row r="7801">
          <cell r="A7801" t="str">
            <v>Veronica verna</v>
          </cell>
          <cell r="B7801" t="str">
            <v>Vascular plants</v>
          </cell>
          <cell r="C7801" t="str">
            <v>Tracheophyta</v>
          </cell>
          <cell r="D7801" t="str">
            <v>Veronica verna</v>
          </cell>
          <cell r="E7801" t="str">
            <v>EN</v>
          </cell>
          <cell r="F7801" t="str">
            <v>in Stroh et al., 2014 (from: Cheffings &amp; Farrell 2005 or subsequent amendments in Leach 2007, 2010; Leach &amp; Walker 2011, 2013)</v>
          </cell>
          <cell r="G7801" t="str">
            <v>NBNSYS0000004116</v>
          </cell>
          <cell r="H7801" t="str">
            <v>Veronica verna</v>
          </cell>
        </row>
        <row r="7802">
          <cell r="A7802" t="str">
            <v>Viburnum lantana</v>
          </cell>
          <cell r="B7802" t="str">
            <v>Vascular plants</v>
          </cell>
          <cell r="C7802" t="str">
            <v>Tracheophyta</v>
          </cell>
          <cell r="D7802" t="str">
            <v>Viburnum lantana</v>
          </cell>
          <cell r="E7802" t="str">
            <v>LC</v>
          </cell>
          <cell r="F7802" t="str">
            <v>in Stroh et al., 2014 (from: Cheffings &amp; Farrell 2005 or subsequent amendments in Leach 2007, 2010; Leach &amp; Walker 2011, 2013)</v>
          </cell>
          <cell r="G7802" t="str">
            <v>NBNSYS0000004326</v>
          </cell>
          <cell r="H7802" t="str">
            <v>Viburnum lantana</v>
          </cell>
        </row>
        <row r="7803">
          <cell r="A7803" t="str">
            <v>Viburnum opulus</v>
          </cell>
          <cell r="B7803" t="str">
            <v>Vascular plants</v>
          </cell>
          <cell r="C7803" t="str">
            <v>Tracheophyta</v>
          </cell>
          <cell r="D7803" t="str">
            <v>Viburnum opulus</v>
          </cell>
          <cell r="E7803" t="str">
            <v>LC</v>
          </cell>
          <cell r="F7803" t="str">
            <v>in Stroh et al., 2014 (from: Cheffings &amp; Farrell 2005 or subsequent amendments in Leach 2007, 2010; Leach &amp; Walker 2011, 2013)</v>
          </cell>
          <cell r="G7803" t="str">
            <v>NBNSYS0000004328</v>
          </cell>
          <cell r="H7803" t="str">
            <v>Viburnum opulus</v>
          </cell>
        </row>
        <row r="7804">
          <cell r="A7804" t="str">
            <v>Vicia bithynica</v>
          </cell>
          <cell r="B7804" t="str">
            <v>Vascular plants</v>
          </cell>
          <cell r="C7804" t="str">
            <v>Tracheophyta</v>
          </cell>
          <cell r="D7804" t="str">
            <v>Vicia bithynica</v>
          </cell>
          <cell r="E7804" t="str">
            <v>VU</v>
          </cell>
          <cell r="F7804" t="str">
            <v>in Stroh et al., 2014 (from: Cheffings &amp; Farrell 2005 or subsequent amendments in Leach 2007, 2010; Leach &amp; Walker 2011, 2013)</v>
          </cell>
          <cell r="G7804" t="str">
            <v>NBNSYS0000003296</v>
          </cell>
          <cell r="H7804" t="str">
            <v>Vicia bithynica</v>
          </cell>
        </row>
        <row r="7805">
          <cell r="A7805" t="str">
            <v>Vicia cracca</v>
          </cell>
          <cell r="B7805" t="str">
            <v>Vascular plants</v>
          </cell>
          <cell r="C7805" t="str">
            <v>Tracheophyta</v>
          </cell>
          <cell r="D7805" t="str">
            <v>Vicia cracca</v>
          </cell>
          <cell r="E7805" t="str">
            <v>LC</v>
          </cell>
          <cell r="F7805" t="str">
            <v>in Stroh et al., 2014 (from: Cheffings &amp; Farrell 2005 or subsequent amendments in Leach 2007, 2010; Leach &amp; Walker 2011, 2013)</v>
          </cell>
          <cell r="G7805" t="str">
            <v>NBNSYS0000003283</v>
          </cell>
          <cell r="H7805" t="str">
            <v>Vicia cracca</v>
          </cell>
        </row>
        <row r="7806">
          <cell r="A7806" t="str">
            <v>Vicia hirsuta</v>
          </cell>
          <cell r="B7806" t="str">
            <v>Vascular plants</v>
          </cell>
          <cell r="C7806" t="str">
            <v>Tracheophyta</v>
          </cell>
          <cell r="D7806" t="str">
            <v>Vicia hirsuta</v>
          </cell>
          <cell r="E7806" t="str">
            <v>LC</v>
          </cell>
          <cell r="F7806" t="str">
            <v>in Stroh et al., 2014 (from: Cheffings &amp; Farrell 2005 or subsequent amendments in Leach 2007, 2010; Leach &amp; Walker 2011, 2013)</v>
          </cell>
          <cell r="G7806" t="str">
            <v>NBNSYS0000003280</v>
          </cell>
          <cell r="H7806" t="str">
            <v>Vicia hirsuta</v>
          </cell>
        </row>
        <row r="7807">
          <cell r="A7807" t="str">
            <v>Vicia lathyroides</v>
          </cell>
          <cell r="B7807" t="str">
            <v>Vascular plants</v>
          </cell>
          <cell r="C7807" t="str">
            <v>Tracheophyta</v>
          </cell>
          <cell r="D7807" t="str">
            <v>Vicia lathyroides</v>
          </cell>
          <cell r="E7807" t="str">
            <v>LC</v>
          </cell>
          <cell r="F7807" t="str">
            <v>in Stroh et al., 2014 (from: Cheffings &amp; Farrell 2005 or subsequent amendments in Leach 2007, 2010; Leach &amp; Walker 2011, 2013)</v>
          </cell>
          <cell r="G7807" t="str">
            <v>NBNSYS0000003295</v>
          </cell>
          <cell r="H7807" t="str">
            <v>Vicia lathyroides</v>
          </cell>
        </row>
        <row r="7808">
          <cell r="A7808" t="str">
            <v>Vicia lutea</v>
          </cell>
          <cell r="B7808" t="str">
            <v>Vascular plants</v>
          </cell>
          <cell r="C7808" t="str">
            <v>Tracheophyta</v>
          </cell>
          <cell r="D7808" t="str">
            <v>Vicia lutea</v>
          </cell>
          <cell r="E7808" t="str">
            <v>NT</v>
          </cell>
          <cell r="F7808" t="str">
            <v>in Stroh et al., 2014 (from: Cheffings &amp; Farrell 2005 or subsequent amendments in Leach 2007, 2010; Leach &amp; Walker 2011, 2013)</v>
          </cell>
          <cell r="G7808" t="str">
            <v>NBNSYS0000003291</v>
          </cell>
          <cell r="H7808" t="str">
            <v>Vicia lutea</v>
          </cell>
        </row>
        <row r="7809">
          <cell r="A7809" t="str">
            <v>Vicia orobus</v>
          </cell>
          <cell r="B7809" t="str">
            <v>Vascular plants</v>
          </cell>
          <cell r="C7809" t="str">
            <v>Tracheophyta</v>
          </cell>
          <cell r="D7809" t="str">
            <v>Vicia orobus</v>
          </cell>
          <cell r="E7809" t="str">
            <v>NT</v>
          </cell>
          <cell r="F7809" t="str">
            <v>in Stroh et al., 2014 (from: Cheffings &amp; Farrell 2005 or subsequent amendments in Leach 2007, 2010; Leach &amp; Walker 2011, 2013)</v>
          </cell>
          <cell r="G7809" t="str">
            <v>NBNSYS0000003288</v>
          </cell>
          <cell r="H7809" t="str">
            <v>Vicia orobus</v>
          </cell>
        </row>
        <row r="7810">
          <cell r="A7810" t="str">
            <v>Vicia parviflora</v>
          </cell>
          <cell r="B7810" t="str">
            <v>Vascular plants</v>
          </cell>
          <cell r="C7810" t="str">
            <v>Tracheophyta</v>
          </cell>
          <cell r="D7810" t="str">
            <v>Vicia parviflora</v>
          </cell>
          <cell r="E7810" t="str">
            <v>VU</v>
          </cell>
          <cell r="F7810" t="str">
            <v>in Stroh et al., 2014 (from: Cheffings &amp; Farrell 2005 or subsequent amendments in Leach 2007, 2010; Leach &amp; Walker 2011, 2013)</v>
          </cell>
          <cell r="G7810" t="str">
            <v>NBNSYS0000003282</v>
          </cell>
          <cell r="H7810" t="str">
            <v>Vicia parviflora</v>
          </cell>
        </row>
        <row r="7811">
          <cell r="A7811" t="str">
            <v>Vicia sativa</v>
          </cell>
          <cell r="B7811" t="str">
            <v>Vascular plants</v>
          </cell>
          <cell r="C7811" t="str">
            <v>Tracheophyta</v>
          </cell>
          <cell r="D7811" t="str">
            <v>Vicia sativa</v>
          </cell>
          <cell r="E7811" t="str">
            <v>LC</v>
          </cell>
          <cell r="F7811" t="str">
            <v>in Stroh et al., 2014 (from: Cheffings &amp; Farrell 2005 or subsequent amendments in Leach 2007, 2010; Leach &amp; Walker 2011, 2013)</v>
          </cell>
          <cell r="G7811" t="str">
            <v>NBNSYS0000014093</v>
          </cell>
          <cell r="H7811" t="str">
            <v>Vicia sativa</v>
          </cell>
        </row>
        <row r="7812">
          <cell r="A7812" t="str">
            <v>Vicia sepium</v>
          </cell>
          <cell r="B7812" t="str">
            <v>Vascular plants</v>
          </cell>
          <cell r="C7812" t="str">
            <v>Tracheophyta</v>
          </cell>
          <cell r="D7812" t="str">
            <v>Vicia sepium</v>
          </cell>
          <cell r="E7812" t="str">
            <v>LC</v>
          </cell>
          <cell r="F7812" t="str">
            <v>in Stroh et al., 2014 (from: Cheffings &amp; Farrell 2005 or subsequent amendments in Leach 2007, 2010; Leach &amp; Walker 2011, 2013)</v>
          </cell>
          <cell r="G7812" t="str">
            <v>NBNSYS0000003290</v>
          </cell>
          <cell r="H7812" t="str">
            <v>Vicia sepium</v>
          </cell>
        </row>
        <row r="7813">
          <cell r="A7813" t="str">
            <v>Vicia sylvatica</v>
          </cell>
          <cell r="B7813" t="str">
            <v>Vascular plants</v>
          </cell>
          <cell r="C7813" t="str">
            <v>Tracheophyta</v>
          </cell>
          <cell r="D7813" t="str">
            <v>Vicia sylvatica</v>
          </cell>
          <cell r="E7813" t="str">
            <v>LC</v>
          </cell>
          <cell r="F7813" t="str">
            <v>in Stroh et al., 2014 (from: Cheffings &amp; Farrell 2005 or subsequent amendments in Leach 2007, 2010; Leach &amp; Walker 2011, 2013)</v>
          </cell>
          <cell r="G7813" t="str">
            <v>NBNSYS0000003289</v>
          </cell>
          <cell r="H7813" t="str">
            <v>Vicia sylvatica</v>
          </cell>
        </row>
        <row r="7814">
          <cell r="A7814" t="str">
            <v>Vicia tetrasperma</v>
          </cell>
          <cell r="B7814" t="str">
            <v>Vascular plants</v>
          </cell>
          <cell r="C7814" t="str">
            <v>Tracheophyta</v>
          </cell>
          <cell r="D7814" t="str">
            <v>Vicia tetrasperma</v>
          </cell>
          <cell r="E7814" t="str">
            <v>LC</v>
          </cell>
          <cell r="F7814" t="str">
            <v>in Stroh et al., 2014 (from: Cheffings &amp; Farrell 2005 or subsequent amendments in Leach 2007, 2010; Leach &amp; Walker 2011, 2013)</v>
          </cell>
          <cell r="G7814" t="str">
            <v>NHMSYS0000464865</v>
          </cell>
          <cell r="H7814" t="str">
            <v>Vicia tetrasperma</v>
          </cell>
        </row>
        <row r="7815">
          <cell r="A7815" t="str">
            <v>Viola canina</v>
          </cell>
          <cell r="B7815" t="str">
            <v>Vascular plants</v>
          </cell>
          <cell r="C7815" t="str">
            <v>Tracheophyta</v>
          </cell>
          <cell r="D7815" t="str">
            <v>Viola canina</v>
          </cell>
          <cell r="E7815" t="str">
            <v>NT</v>
          </cell>
          <cell r="F7815" t="str">
            <v>in Stroh et al., 2014 (from: Cheffings &amp; Farrell 2005 or subsequent amendments in Leach 2007, 2010; Leach &amp; Walker 2011, 2013)</v>
          </cell>
          <cell r="G7815" t="str">
            <v>NBNSYS0000002934</v>
          </cell>
          <cell r="H7815" t="str">
            <v>Viola canina</v>
          </cell>
        </row>
        <row r="7816">
          <cell r="A7816" t="str">
            <v>Viola hirta</v>
          </cell>
          <cell r="B7816" t="str">
            <v>Vascular plants</v>
          </cell>
          <cell r="C7816" t="str">
            <v>Tracheophyta</v>
          </cell>
          <cell r="D7816" t="str">
            <v>Viola hirta</v>
          </cell>
          <cell r="E7816" t="str">
            <v>LC</v>
          </cell>
          <cell r="F7816" t="str">
            <v>in Stroh et al., 2014 (from: Cheffings &amp; Farrell 2005 or subsequent amendments in Leach 2007, 2010; Leach &amp; Walker 2011, 2013)</v>
          </cell>
          <cell r="G7816" t="str">
            <v>NBNSYS0000002926</v>
          </cell>
          <cell r="H7816" t="str">
            <v>Viola hirta</v>
          </cell>
        </row>
        <row r="7817">
          <cell r="A7817" t="str">
            <v>Viola kitaibeliana</v>
          </cell>
          <cell r="B7817" t="str">
            <v>Vascular plants</v>
          </cell>
          <cell r="C7817" t="str">
            <v>Tracheophyta</v>
          </cell>
          <cell r="D7817" t="str">
            <v>Viola kitaibeliana</v>
          </cell>
          <cell r="E7817" t="str">
            <v>NT</v>
          </cell>
          <cell r="F7817" t="str">
            <v>in Stroh et al., 2014 (from: Cheffings &amp; Farrell 2005 or subsequent amendments in Leach 2007, 2010; Leach &amp; Walker 2011, 2013)</v>
          </cell>
          <cell r="G7817" t="str">
            <v>NHMSYS0000464887</v>
          </cell>
          <cell r="H7817" t="str">
            <v>Viola kitaibeliana</v>
          </cell>
        </row>
        <row r="7818">
          <cell r="A7818" t="str">
            <v>Viola lactea</v>
          </cell>
          <cell r="B7818" t="str">
            <v>Vascular plants</v>
          </cell>
          <cell r="C7818" t="str">
            <v>Tracheophyta</v>
          </cell>
          <cell r="D7818" t="str">
            <v>Viola lactea</v>
          </cell>
          <cell r="E7818" t="str">
            <v>VU</v>
          </cell>
          <cell r="F7818" t="str">
            <v>in Stroh et al., 2014 (from: Cheffings &amp; Farrell 2005 or subsequent amendments in Leach 2007, 2010; Leach &amp; Walker 2011, 2013)</v>
          </cell>
          <cell r="G7818" t="str">
            <v>NHMSYS0000464888</v>
          </cell>
          <cell r="H7818" t="str">
            <v>Viola lactea</v>
          </cell>
        </row>
        <row r="7819">
          <cell r="A7819" t="str">
            <v>Viola lutea</v>
          </cell>
          <cell r="B7819" t="str">
            <v>Vascular plants</v>
          </cell>
          <cell r="C7819" t="str">
            <v>Tracheophyta</v>
          </cell>
          <cell r="D7819" t="str">
            <v>Viola lutea</v>
          </cell>
          <cell r="E7819" t="str">
            <v>LC</v>
          </cell>
          <cell r="F7819" t="str">
            <v>in Stroh et al., 2014 (from: Cheffings &amp; Farrell 2005 or subsequent amendments in Leach 2007, 2010; Leach &amp; Walker 2011, 2013)</v>
          </cell>
          <cell r="G7819" t="str">
            <v>NHMSYS0000464889</v>
          </cell>
          <cell r="H7819" t="str">
            <v>Viola lutea</v>
          </cell>
        </row>
        <row r="7820">
          <cell r="A7820" t="str">
            <v>Viola odorata</v>
          </cell>
          <cell r="B7820" t="str">
            <v>Vascular plants</v>
          </cell>
          <cell r="C7820" t="str">
            <v>Tracheophyta</v>
          </cell>
          <cell r="D7820" t="str">
            <v>Viola odorata</v>
          </cell>
          <cell r="E7820" t="str">
            <v>LC</v>
          </cell>
          <cell r="F7820" t="str">
            <v>in Stroh et al., 2014 (from: Cheffings &amp; Farrell 2005 or subsequent amendments in Leach 2007, 2010; Leach &amp; Walker 2011, 2013)</v>
          </cell>
          <cell r="G7820" t="str">
            <v>NBNSYS0000002924</v>
          </cell>
          <cell r="H7820" t="str">
            <v>Viola odorata</v>
          </cell>
        </row>
        <row r="7821">
          <cell r="A7821" t="str">
            <v>Viola palustris</v>
          </cell>
          <cell r="B7821" t="str">
            <v>Vascular plants</v>
          </cell>
          <cell r="C7821" t="str">
            <v>Tracheophyta</v>
          </cell>
          <cell r="D7821" t="str">
            <v>Viola palustris</v>
          </cell>
          <cell r="E7821" t="str">
            <v>LC</v>
          </cell>
          <cell r="F7821" t="str">
            <v>in Stroh et al., 2014 (from: Cheffings &amp; Farrell 2005 or subsequent amendments in Leach 2007, 2010; Leach &amp; Walker 2011, 2013)</v>
          </cell>
          <cell r="G7821" t="str">
            <v>NBNSYS0000002939</v>
          </cell>
          <cell r="H7821" t="str">
            <v>Viola palustris</v>
          </cell>
        </row>
        <row r="7822">
          <cell r="A7822" t="str">
            <v>Viola persicifolia</v>
          </cell>
          <cell r="B7822" t="str">
            <v>Vascular plants</v>
          </cell>
          <cell r="C7822" t="str">
            <v>Tracheophyta</v>
          </cell>
          <cell r="D7822" t="str">
            <v>Viola persicifolia</v>
          </cell>
          <cell r="E7822" t="str">
            <v>EN</v>
          </cell>
          <cell r="F7822" t="str">
            <v>in Stroh et al., 2014 (from: Cheffings &amp; Farrell 2005 or subsequent amendments in Leach 2007, 2010; Leach &amp; Walker 2011, 2013)</v>
          </cell>
          <cell r="G7822" t="str">
            <v>NHMSYS0000464895</v>
          </cell>
          <cell r="H7822" t="str">
            <v>Viola persicifolia</v>
          </cell>
        </row>
        <row r="7823">
          <cell r="A7823" t="str">
            <v>Viola reichenbachiana</v>
          </cell>
          <cell r="B7823" t="str">
            <v>Vascular plants</v>
          </cell>
          <cell r="C7823" t="str">
            <v>Tracheophyta</v>
          </cell>
          <cell r="D7823" t="str">
            <v>Viola reichenbachiana</v>
          </cell>
          <cell r="E7823" t="str">
            <v>LC</v>
          </cell>
          <cell r="F7823" t="str">
            <v>in Stroh et al., 2014 (from: Cheffings &amp; Farrell 2005 or subsequent amendments in Leach 2007, 2010; Leach &amp; Walker 2011, 2013)</v>
          </cell>
          <cell r="G7823" t="str">
            <v>NHMSYS0000464896</v>
          </cell>
          <cell r="H7823" t="str">
            <v>Viola reichenbachiana</v>
          </cell>
        </row>
        <row r="7824">
          <cell r="A7824" t="str">
            <v>Viola riviniana</v>
          </cell>
          <cell r="B7824" t="str">
            <v>Vascular plants</v>
          </cell>
          <cell r="C7824" t="str">
            <v>Tracheophyta</v>
          </cell>
          <cell r="D7824" t="str">
            <v>Viola riviniana</v>
          </cell>
          <cell r="E7824" t="str">
            <v>LC</v>
          </cell>
          <cell r="F7824" t="str">
            <v>in Stroh et al., 2014 (from: Cheffings &amp; Farrell 2005 or subsequent amendments in Leach 2007, 2010; Leach &amp; Walker 2011, 2013)</v>
          </cell>
          <cell r="G7824" t="str">
            <v>NHMSYS0000464897</v>
          </cell>
          <cell r="H7824" t="str">
            <v>Viola riviniana</v>
          </cell>
        </row>
        <row r="7825">
          <cell r="A7825" t="str">
            <v>Viola rupestris</v>
          </cell>
          <cell r="B7825" t="str">
            <v>Vascular plants</v>
          </cell>
          <cell r="C7825" t="str">
            <v>Tracheophyta</v>
          </cell>
          <cell r="D7825" t="str">
            <v>Viola rupestris</v>
          </cell>
          <cell r="E7825" t="str">
            <v>LC</v>
          </cell>
          <cell r="F7825" t="str">
            <v>in Stroh et al., 2014 (from: Cheffings &amp; Farrell 2005 or subsequent amendments in Leach 2007, 2010; Leach &amp; Walker 2011, 2013)</v>
          </cell>
          <cell r="G7825" t="str">
            <v>NHMSYS0000464900</v>
          </cell>
          <cell r="H7825" t="str">
            <v>Viola rupestris</v>
          </cell>
        </row>
        <row r="7826">
          <cell r="A7826" t="str">
            <v>Viola tricolor</v>
          </cell>
          <cell r="B7826" t="str">
            <v>Vascular plants</v>
          </cell>
          <cell r="C7826" t="str">
            <v>Tracheophyta</v>
          </cell>
          <cell r="D7826" t="str">
            <v>Viola tricolor</v>
          </cell>
          <cell r="E7826" t="str">
            <v>NT</v>
          </cell>
          <cell r="F7826" t="str">
            <v>in Stroh et al., 2014 (from: Cheffings &amp; Farrell 2005 or subsequent amendments in Leach 2007, 2010; Leach &amp; Walker 2011, 2013)</v>
          </cell>
          <cell r="G7826" t="str">
            <v>NBNSYS0000002944</v>
          </cell>
          <cell r="H7826" t="str">
            <v>Viola tricolor</v>
          </cell>
        </row>
        <row r="7827">
          <cell r="A7827" t="str">
            <v>Viscum album</v>
          </cell>
          <cell r="B7827" t="str">
            <v>Vascular plants</v>
          </cell>
          <cell r="C7827" t="str">
            <v>Tracheophyta</v>
          </cell>
          <cell r="D7827" t="str">
            <v>Viscum album</v>
          </cell>
          <cell r="E7827" t="str">
            <v>LC</v>
          </cell>
          <cell r="F7827" t="str">
            <v>in Stroh et al., 2014 (from: Cheffings &amp; Farrell 2005 or subsequent amendments in Leach 2007, 2010; Leach &amp; Walker 2011, 2013)</v>
          </cell>
          <cell r="G7827" t="str">
            <v>NBNSYS0000003624</v>
          </cell>
          <cell r="H7827" t="str">
            <v>Viscum album</v>
          </cell>
        </row>
        <row r="7828">
          <cell r="A7828" t="str">
            <v>Vulpia bromoides</v>
          </cell>
          <cell r="B7828" t="str">
            <v>Vascular plants</v>
          </cell>
          <cell r="C7828" t="str">
            <v>Tracheophyta</v>
          </cell>
          <cell r="D7828" t="str">
            <v>Vulpia bromoides</v>
          </cell>
          <cell r="E7828" t="str">
            <v>LC</v>
          </cell>
          <cell r="F7828" t="str">
            <v>in Stroh et al., 2014 (from: Cheffings &amp; Farrell 2005 or subsequent amendments in Leach 2007, 2010; Leach &amp; Walker 2011, 2013)</v>
          </cell>
          <cell r="G7828" t="str">
            <v>NBNSYS0000002533</v>
          </cell>
          <cell r="H7828" t="str">
            <v>Vulpia bromoides</v>
          </cell>
        </row>
        <row r="7829">
          <cell r="A7829" t="str">
            <v>Vulpia ciliata</v>
          </cell>
          <cell r="B7829" t="str">
            <v>Vascular plants</v>
          </cell>
          <cell r="C7829" t="str">
            <v>Tracheophyta</v>
          </cell>
          <cell r="D7829" t="str">
            <v>Vulpia ciliata</v>
          </cell>
          <cell r="E7829" t="str">
            <v>LC</v>
          </cell>
          <cell r="F7829" t="str">
            <v>in Stroh et al., 2014 (from: Cheffings &amp; Farrell 2005 or subsequent amendments in Leach 2007, 2010; Leach &amp; Walker 2011, 2013)</v>
          </cell>
          <cell r="G7829" t="str">
            <v>NBNSYS0000014885</v>
          </cell>
          <cell r="H7829" t="str">
            <v>Vulpia ciliata</v>
          </cell>
        </row>
        <row r="7830">
          <cell r="A7830" t="str">
            <v>Vulpia fasciculata</v>
          </cell>
          <cell r="B7830" t="str">
            <v>Vascular plants</v>
          </cell>
          <cell r="C7830" t="str">
            <v>Tracheophyta</v>
          </cell>
          <cell r="D7830" t="str">
            <v>Vulpia fasciculata</v>
          </cell>
          <cell r="E7830" t="str">
            <v>LC</v>
          </cell>
          <cell r="F7830" t="str">
            <v>in Stroh et al., 2014 (from: Cheffings &amp; Farrell 2005 or subsequent amendments in Leach 2007, 2010; Leach &amp; Walker 2011, 2013)</v>
          </cell>
          <cell r="G7830" t="str">
            <v>NHMSYS0000464943</v>
          </cell>
          <cell r="H7830" t="str">
            <v>Vulpia fasciculata</v>
          </cell>
        </row>
        <row r="7831">
          <cell r="A7831" t="str">
            <v>Wahlenbergia hederacea</v>
          </cell>
          <cell r="B7831" t="str">
            <v>Vascular plants</v>
          </cell>
          <cell r="C7831" t="str">
            <v>Tracheophyta</v>
          </cell>
          <cell r="D7831" t="str">
            <v>Wahlenbergia hederacea</v>
          </cell>
          <cell r="E7831" t="str">
            <v>NT</v>
          </cell>
          <cell r="F7831" t="str">
            <v>in Stroh et al., 2014 (from: Cheffings &amp; Farrell 2005 or subsequent amendments in Leach 2007, 2010; Leach &amp; Walker 2011, 2013)</v>
          </cell>
          <cell r="G7831" t="str">
            <v>NHMSYS0000464951</v>
          </cell>
          <cell r="H7831" t="str">
            <v>Wahlenbergia hederacea</v>
          </cell>
        </row>
        <row r="7832">
          <cell r="A7832" t="str">
            <v>Wolffia arrhiza</v>
          </cell>
          <cell r="B7832" t="str">
            <v>Vascular plants</v>
          </cell>
          <cell r="C7832" t="str">
            <v>Tracheophyta</v>
          </cell>
          <cell r="D7832" t="str">
            <v>Wolffia arrhiza</v>
          </cell>
          <cell r="E7832" t="str">
            <v>VU</v>
          </cell>
          <cell r="F7832" t="str">
            <v>in Stroh et al., 2014 (from: Cheffings &amp; Farrell 2005 or subsequent amendments in Leach 2007, 2010; Leach &amp; Walker 2011, 2013)</v>
          </cell>
          <cell r="G7832" t="str">
            <v>NHMSYS0000465064</v>
          </cell>
          <cell r="H7832" t="str">
            <v>Wolffia arrhiza</v>
          </cell>
        </row>
        <row r="7833">
          <cell r="A7833" t="str">
            <v>Woodsia ilvensis</v>
          </cell>
          <cell r="B7833" t="str">
            <v>Vascular plants</v>
          </cell>
          <cell r="C7833" t="str">
            <v>Tracheophyta</v>
          </cell>
          <cell r="D7833" t="str">
            <v>Woodsia ilvensis</v>
          </cell>
          <cell r="E7833" t="str">
            <v>EN</v>
          </cell>
          <cell r="F7833" t="str">
            <v>in Stroh et al., 2014 (from: Cheffings &amp; Farrell 2005 or subsequent amendments in Leach 2007, 2010; Leach &amp; Walker 2011, 2013)</v>
          </cell>
          <cell r="G7833" t="str">
            <v>NHMSYS0000465076</v>
          </cell>
          <cell r="H7833" t="str">
            <v>Woodsia ilvensis</v>
          </cell>
        </row>
        <row r="7834">
          <cell r="A7834" t="str">
            <v>Zannichellia palustris</v>
          </cell>
          <cell r="B7834" t="str">
            <v>Vascular plants</v>
          </cell>
          <cell r="C7834" t="str">
            <v>Tracheophyta</v>
          </cell>
          <cell r="D7834" t="str">
            <v>Zannichellia palustris</v>
          </cell>
          <cell r="E7834" t="str">
            <v>LC</v>
          </cell>
          <cell r="F7834" t="str">
            <v>in Stroh et al., 2014 (from: Cheffings &amp; Farrell 2005 or subsequent amendments in Leach 2007, 2010; Leach &amp; Walker 2011, 2013)</v>
          </cell>
          <cell r="G7834" t="str">
            <v>NBNSYS0000002150</v>
          </cell>
          <cell r="H7834" t="str">
            <v>Zannichellia palustris</v>
          </cell>
        </row>
        <row r="7835">
          <cell r="A7835" t="str">
            <v>Zostera marina</v>
          </cell>
          <cell r="B7835" t="str">
            <v>Vascular plants</v>
          </cell>
          <cell r="C7835" t="str">
            <v>Tracheophyta</v>
          </cell>
          <cell r="D7835" t="str">
            <v>Zostera marina</v>
          </cell>
          <cell r="E7835" t="str">
            <v>NT</v>
          </cell>
          <cell r="F7835" t="str">
            <v>in Stroh et al., 2014 (from: Cheffings &amp; Farrell 2005 or subsequent amendments in Leach 2007, 2010; Leach &amp; Walker 2011, 2013)</v>
          </cell>
          <cell r="G7835" t="str">
            <v>NHMSYS0021060376</v>
          </cell>
          <cell r="H7835" t="str">
            <v>Zostera marina</v>
          </cell>
        </row>
        <row r="7836">
          <cell r="A7836" t="str">
            <v>Zostera noltei</v>
          </cell>
          <cell r="B7836" t="str">
            <v>Vascular plants</v>
          </cell>
          <cell r="C7836" t="str">
            <v>Tracheophyta</v>
          </cell>
          <cell r="D7836" t="str">
            <v>Zostera noltei</v>
          </cell>
          <cell r="E7836" t="str">
            <v>VU</v>
          </cell>
          <cell r="F7836" t="str">
            <v>in Stroh et al., 2014 (from: Cheffings &amp; Farrell 2005 or subsequent amendments in Leach 2007, 2010; Leach &amp; Walker 2011, 2013)</v>
          </cell>
          <cell r="G7836" t="str">
            <v>NHMSYS0021060379</v>
          </cell>
          <cell r="H7836" t="str">
            <v>Zostera noltei</v>
          </cell>
        </row>
        <row r="7837">
          <cell r="A7837" t="str">
            <v>Acilius canaliculatus</v>
          </cell>
          <cell r="B7837" t="str">
            <v>Water beetles</v>
          </cell>
          <cell r="C7837" t="str">
            <v>Coleoptera</v>
          </cell>
          <cell r="D7837" t="str">
            <v>Acilius canaliculatus</v>
          </cell>
          <cell r="E7837" t="str">
            <v>LC</v>
          </cell>
          <cell r="F7837" t="str">
            <v>Foster, 2010</v>
          </cell>
          <cell r="G7837" t="str">
            <v>NBNSYS0000007625</v>
          </cell>
          <cell r="H7837" t="str">
            <v>Acilius canaliculatus</v>
          </cell>
        </row>
        <row r="7838">
          <cell r="A7838" t="str">
            <v>Acilius sulcatus</v>
          </cell>
          <cell r="B7838" t="str">
            <v>Water beetles</v>
          </cell>
          <cell r="C7838" t="str">
            <v>Coleoptera</v>
          </cell>
          <cell r="D7838" t="str">
            <v>Acilius sulcatus</v>
          </cell>
          <cell r="E7838" t="str">
            <v>LC</v>
          </cell>
          <cell r="F7838" t="str">
            <v>Foster, 2010</v>
          </cell>
          <cell r="G7838" t="str">
            <v>NBNSYS0000007626</v>
          </cell>
          <cell r="H7838" t="str">
            <v>Acilius sulcatus</v>
          </cell>
        </row>
        <row r="7839">
          <cell r="A7839" t="str">
            <v>Agabus affinis</v>
          </cell>
          <cell r="B7839" t="str">
            <v>Water beetles</v>
          </cell>
          <cell r="C7839" t="str">
            <v>Coleoptera</v>
          </cell>
          <cell r="D7839" t="str">
            <v>Agabus affinis</v>
          </cell>
          <cell r="E7839" t="str">
            <v>LC</v>
          </cell>
          <cell r="F7839" t="str">
            <v>Foster, 2010</v>
          </cell>
          <cell r="G7839" t="str">
            <v>NBNSYS0000007585</v>
          </cell>
          <cell r="H7839" t="str">
            <v>Agabus affinis</v>
          </cell>
        </row>
        <row r="7840">
          <cell r="A7840" t="str">
            <v>Agabus arcticus</v>
          </cell>
          <cell r="B7840" t="str">
            <v>Water beetles</v>
          </cell>
          <cell r="C7840" t="str">
            <v>Coleoptera</v>
          </cell>
          <cell r="D7840" t="str">
            <v>Agabus arcticus</v>
          </cell>
          <cell r="E7840" t="str">
            <v>LC</v>
          </cell>
          <cell r="F7840" t="str">
            <v>Foster, 2010</v>
          </cell>
          <cell r="G7840" t="str">
            <v>NBNSYS0000007586</v>
          </cell>
          <cell r="H7840" t="str">
            <v>Agabus arcticus</v>
          </cell>
        </row>
        <row r="7841">
          <cell r="A7841" t="str">
            <v>Agabus biguttatus</v>
          </cell>
          <cell r="B7841" t="str">
            <v>Water beetles</v>
          </cell>
          <cell r="C7841" t="str">
            <v>Coleoptera</v>
          </cell>
          <cell r="D7841" t="str">
            <v>Agabus biguttatus</v>
          </cell>
          <cell r="E7841" t="str">
            <v>LC</v>
          </cell>
          <cell r="F7841" t="str">
            <v>Foster, 2010</v>
          </cell>
          <cell r="G7841" t="str">
            <v>NBNSYS0000007587</v>
          </cell>
          <cell r="H7841" t="str">
            <v>Agabus biguttatus</v>
          </cell>
        </row>
        <row r="7842">
          <cell r="A7842" t="str">
            <v>Agabus bipustulatus</v>
          </cell>
          <cell r="B7842" t="str">
            <v>Water beetles</v>
          </cell>
          <cell r="C7842" t="str">
            <v>Coleoptera</v>
          </cell>
          <cell r="D7842" t="str">
            <v>Agabus bipustulatus</v>
          </cell>
          <cell r="E7842" t="str">
            <v>LC</v>
          </cell>
          <cell r="F7842" t="str">
            <v>Foster, 2010</v>
          </cell>
          <cell r="G7842" t="str">
            <v>NBNSYS0000007588</v>
          </cell>
          <cell r="H7842" t="str">
            <v>Agabus bipustulatus</v>
          </cell>
        </row>
        <row r="7843">
          <cell r="A7843" t="str">
            <v>Agabus brunneus</v>
          </cell>
          <cell r="B7843" t="str">
            <v>Water beetles</v>
          </cell>
          <cell r="C7843" t="str">
            <v>Coleoptera</v>
          </cell>
          <cell r="D7843" t="str">
            <v>Agabus brunneus</v>
          </cell>
          <cell r="E7843" t="str">
            <v>VU</v>
          </cell>
          <cell r="F7843" t="str">
            <v>Foster, 2010</v>
          </cell>
          <cell r="G7843" t="str">
            <v>NBNSYS0000007589</v>
          </cell>
          <cell r="H7843" t="str">
            <v>Agabus brunneus</v>
          </cell>
        </row>
        <row r="7844">
          <cell r="A7844" t="str">
            <v>Agabus congener</v>
          </cell>
          <cell r="B7844" t="str">
            <v>Water beetles</v>
          </cell>
          <cell r="C7844" t="str">
            <v>Coleoptera</v>
          </cell>
          <cell r="D7844" t="str">
            <v>Agabus congener</v>
          </cell>
          <cell r="E7844" t="str">
            <v>LC</v>
          </cell>
          <cell r="F7844" t="str">
            <v>Foster, 2010</v>
          </cell>
          <cell r="G7844" t="str">
            <v>NBNSYS0000007591</v>
          </cell>
          <cell r="H7844" t="str">
            <v>Agabus congener</v>
          </cell>
        </row>
        <row r="7845">
          <cell r="A7845" t="str">
            <v>Agabus conspersus</v>
          </cell>
          <cell r="B7845" t="str">
            <v>Water beetles</v>
          </cell>
          <cell r="C7845" t="str">
            <v>Coleoptera</v>
          </cell>
          <cell r="D7845" t="str">
            <v>Agabus conspersus</v>
          </cell>
          <cell r="E7845" t="str">
            <v>LC</v>
          </cell>
          <cell r="F7845" t="str">
            <v>Foster, 2010</v>
          </cell>
          <cell r="G7845" t="str">
            <v>NBNSYS0000007592</v>
          </cell>
          <cell r="H7845" t="str">
            <v>Agabus conspersus</v>
          </cell>
        </row>
        <row r="7846">
          <cell r="A7846" t="str">
            <v>Agabus didymus</v>
          </cell>
          <cell r="B7846" t="str">
            <v>Water beetles</v>
          </cell>
          <cell r="C7846" t="str">
            <v>Coleoptera</v>
          </cell>
          <cell r="D7846" t="str">
            <v>Agabus didymus</v>
          </cell>
          <cell r="E7846" t="str">
            <v>LC</v>
          </cell>
          <cell r="F7846" t="str">
            <v>Foster, 2010</v>
          </cell>
          <cell r="G7846" t="str">
            <v>NBNSYS0000007593</v>
          </cell>
          <cell r="H7846" t="str">
            <v>Agabus didymus</v>
          </cell>
        </row>
        <row r="7847">
          <cell r="A7847" t="str">
            <v>Agabus guttatus</v>
          </cell>
          <cell r="B7847" t="str">
            <v>Water beetles</v>
          </cell>
          <cell r="C7847" t="str">
            <v>Coleoptera</v>
          </cell>
          <cell r="D7847" t="str">
            <v>Agabus guttatus</v>
          </cell>
          <cell r="E7847" t="str">
            <v>LC</v>
          </cell>
          <cell r="F7847" t="str">
            <v>Foster, 2010</v>
          </cell>
          <cell r="G7847" t="str">
            <v>NBNSYS0000007594</v>
          </cell>
          <cell r="H7847" t="str">
            <v>Agabus guttatus</v>
          </cell>
        </row>
        <row r="7848">
          <cell r="A7848" t="str">
            <v>Agabus labiatus</v>
          </cell>
          <cell r="B7848" t="str">
            <v>Water beetles</v>
          </cell>
          <cell r="C7848" t="str">
            <v>Coleoptera</v>
          </cell>
          <cell r="D7848" t="str">
            <v>Agabus labiatus</v>
          </cell>
          <cell r="E7848" t="str">
            <v>NT</v>
          </cell>
          <cell r="F7848" t="str">
            <v>Foster, 2010</v>
          </cell>
          <cell r="G7848" t="str">
            <v>NBNSYS0000007595</v>
          </cell>
          <cell r="H7848" t="str">
            <v>Agabus labiatus</v>
          </cell>
        </row>
        <row r="7849">
          <cell r="A7849" t="str">
            <v>Agabus melanarius</v>
          </cell>
          <cell r="B7849" t="str">
            <v>Water beetles</v>
          </cell>
          <cell r="C7849" t="str">
            <v>Coleoptera</v>
          </cell>
          <cell r="D7849" t="str">
            <v>Agabus melanarius</v>
          </cell>
          <cell r="E7849" t="str">
            <v>LC</v>
          </cell>
          <cell r="F7849" t="str">
            <v>Foster, 2010</v>
          </cell>
          <cell r="G7849" t="str">
            <v>NBNSYS0000007596</v>
          </cell>
          <cell r="H7849" t="str">
            <v>Agabus melanarius</v>
          </cell>
        </row>
        <row r="7850">
          <cell r="A7850" t="str">
            <v>Agabus nebulosus</v>
          </cell>
          <cell r="B7850" t="str">
            <v>Water beetles</v>
          </cell>
          <cell r="C7850" t="str">
            <v>Coleoptera</v>
          </cell>
          <cell r="D7850" t="str">
            <v>Agabus nebulosus</v>
          </cell>
          <cell r="E7850" t="str">
            <v>LC</v>
          </cell>
          <cell r="F7850" t="str">
            <v>Foster, 2010</v>
          </cell>
          <cell r="G7850" t="str">
            <v>NBNSYS0000007598</v>
          </cell>
          <cell r="H7850" t="str">
            <v>Agabus nebulosus</v>
          </cell>
        </row>
        <row r="7851">
          <cell r="A7851" t="str">
            <v>Agabus paludosus</v>
          </cell>
          <cell r="B7851" t="str">
            <v>Water beetles</v>
          </cell>
          <cell r="C7851" t="str">
            <v>Coleoptera</v>
          </cell>
          <cell r="D7851" t="str">
            <v>Agabus paludosus</v>
          </cell>
          <cell r="E7851" t="str">
            <v>LC</v>
          </cell>
          <cell r="F7851" t="str">
            <v>Foster, 2010</v>
          </cell>
          <cell r="G7851" t="str">
            <v>NBNSYS0000007599</v>
          </cell>
          <cell r="H7851" t="str">
            <v>Agabus paludosus</v>
          </cell>
        </row>
        <row r="7852">
          <cell r="A7852" t="str">
            <v>Agabus striolatus</v>
          </cell>
          <cell r="B7852" t="str">
            <v>Water beetles</v>
          </cell>
          <cell r="C7852" t="str">
            <v>Coleoptera</v>
          </cell>
          <cell r="D7852" t="str">
            <v>Agabus striolatus</v>
          </cell>
          <cell r="E7852" t="str">
            <v>VU</v>
          </cell>
          <cell r="F7852" t="str">
            <v>Foster, 2010</v>
          </cell>
          <cell r="G7852" t="str">
            <v>NBNSYS0000007600</v>
          </cell>
          <cell r="H7852" t="str">
            <v>Agabus striolatus</v>
          </cell>
        </row>
        <row r="7853">
          <cell r="A7853" t="str">
            <v>Agabus sturmii</v>
          </cell>
          <cell r="B7853" t="str">
            <v>Water beetles</v>
          </cell>
          <cell r="C7853" t="str">
            <v>Coleoptera</v>
          </cell>
          <cell r="D7853" t="str">
            <v>Agabus sturmii</v>
          </cell>
          <cell r="E7853" t="str">
            <v>LC</v>
          </cell>
          <cell r="F7853" t="str">
            <v>Foster, 2010</v>
          </cell>
          <cell r="G7853" t="str">
            <v>NBNSYS0000007601</v>
          </cell>
          <cell r="H7853" t="str">
            <v>Agabus sturmii</v>
          </cell>
        </row>
        <row r="7854">
          <cell r="A7854" t="str">
            <v>Agabus uliginosus</v>
          </cell>
          <cell r="B7854" t="str">
            <v>Water beetles</v>
          </cell>
          <cell r="C7854" t="str">
            <v>Coleoptera</v>
          </cell>
          <cell r="D7854" t="str">
            <v>Agabus uliginosus</v>
          </cell>
          <cell r="E7854" t="str">
            <v>NT</v>
          </cell>
          <cell r="F7854" t="str">
            <v>Foster, 2010</v>
          </cell>
          <cell r="G7854" t="str">
            <v>NBNSYS0000007602</v>
          </cell>
          <cell r="H7854" t="str">
            <v>Agabus uliginosus</v>
          </cell>
        </row>
        <row r="7855">
          <cell r="A7855" t="str">
            <v>Agabus undulatus</v>
          </cell>
          <cell r="B7855" t="str">
            <v>Water beetles</v>
          </cell>
          <cell r="C7855" t="str">
            <v>Coleoptera</v>
          </cell>
          <cell r="D7855" t="str">
            <v>Agabus undulatus</v>
          </cell>
          <cell r="E7855" t="str">
            <v>NT</v>
          </cell>
          <cell r="F7855" t="str">
            <v>Foster, 2010</v>
          </cell>
          <cell r="G7855" t="str">
            <v>NBNSYS0000007603</v>
          </cell>
          <cell r="H7855" t="str">
            <v>Agabus undulatus</v>
          </cell>
        </row>
        <row r="7856">
          <cell r="A7856" t="str">
            <v>Agabus unguicularis</v>
          </cell>
          <cell r="B7856" t="str">
            <v>Water beetles</v>
          </cell>
          <cell r="C7856" t="str">
            <v>Coleoptera</v>
          </cell>
          <cell r="D7856" t="str">
            <v>Agabus unguicularis</v>
          </cell>
          <cell r="E7856" t="str">
            <v>LC</v>
          </cell>
          <cell r="F7856" t="str">
            <v>Foster, 2010</v>
          </cell>
          <cell r="G7856" t="str">
            <v>NBNSYS0000007604</v>
          </cell>
          <cell r="H7856" t="str">
            <v>Agabus unguicularis</v>
          </cell>
        </row>
        <row r="7857">
          <cell r="A7857" t="str">
            <v>Anacaena bipustulata</v>
          </cell>
          <cell r="B7857" t="str">
            <v>Water beetles</v>
          </cell>
          <cell r="C7857" t="str">
            <v>Coleoptera</v>
          </cell>
          <cell r="D7857" t="str">
            <v>Anacaena bipustulata</v>
          </cell>
          <cell r="E7857" t="str">
            <v>LC</v>
          </cell>
          <cell r="F7857" t="str">
            <v>Foster, 2010</v>
          </cell>
          <cell r="G7857" t="str">
            <v>NBNSYS0000007707</v>
          </cell>
          <cell r="H7857" t="str">
            <v>Anacaena bipustulata</v>
          </cell>
        </row>
        <row r="7858">
          <cell r="A7858" t="str">
            <v>Anacaena globulus</v>
          </cell>
          <cell r="B7858" t="str">
            <v>Water beetles</v>
          </cell>
          <cell r="C7858" t="str">
            <v>Coleoptera</v>
          </cell>
          <cell r="D7858" t="str">
            <v>Anacaena globulus</v>
          </cell>
          <cell r="E7858" t="str">
            <v>LC</v>
          </cell>
          <cell r="F7858" t="str">
            <v>Foster, 2010</v>
          </cell>
          <cell r="G7858" t="str">
            <v>NBNSYS0000007708</v>
          </cell>
          <cell r="H7858" t="str">
            <v>Anacaena globulus</v>
          </cell>
        </row>
        <row r="7859">
          <cell r="A7859" t="str">
            <v>Anacaena limbata</v>
          </cell>
          <cell r="B7859" t="str">
            <v>Water beetles</v>
          </cell>
          <cell r="C7859" t="str">
            <v>Coleoptera</v>
          </cell>
          <cell r="D7859" t="str">
            <v>Anacaena limbata</v>
          </cell>
          <cell r="E7859" t="str">
            <v>LC</v>
          </cell>
          <cell r="F7859" t="str">
            <v>Foster, 2010</v>
          </cell>
          <cell r="G7859" t="str">
            <v>NHMSYS0001716791</v>
          </cell>
          <cell r="H7859" t="str">
            <v>Anacaena limbata</v>
          </cell>
        </row>
        <row r="7860">
          <cell r="A7860" t="str">
            <v>Anacaena lutescens</v>
          </cell>
          <cell r="B7860" t="str">
            <v>Water beetles</v>
          </cell>
          <cell r="C7860" t="str">
            <v>Coleoptera</v>
          </cell>
          <cell r="D7860" t="str">
            <v>Anacaena lutescens</v>
          </cell>
          <cell r="E7860" t="str">
            <v>LC</v>
          </cell>
          <cell r="F7860" t="str">
            <v>Foster, 2010</v>
          </cell>
          <cell r="G7860" t="str">
            <v>NHMSYS0001716792</v>
          </cell>
          <cell r="H7860" t="str">
            <v>Anacaena lutescens</v>
          </cell>
        </row>
        <row r="7861">
          <cell r="A7861" t="str">
            <v>Augyles hispidulus</v>
          </cell>
          <cell r="B7861" t="str">
            <v>Water beetles</v>
          </cell>
          <cell r="C7861" t="str">
            <v>Coleoptera</v>
          </cell>
          <cell r="D7861" t="str">
            <v>Augyles hispidulus</v>
          </cell>
          <cell r="E7861" t="str">
            <v>NT</v>
          </cell>
          <cell r="F7861" t="str">
            <v>Foster, 2010</v>
          </cell>
          <cell r="G7861" t="str">
            <v>NHMSYS0001717096</v>
          </cell>
          <cell r="H7861" t="str">
            <v>Augyles hispidulus</v>
          </cell>
        </row>
        <row r="7862">
          <cell r="A7862" t="str">
            <v>Augyles maritimus</v>
          </cell>
          <cell r="B7862" t="str">
            <v>Water beetles</v>
          </cell>
          <cell r="C7862" t="str">
            <v>Coleoptera</v>
          </cell>
          <cell r="D7862" t="str">
            <v>Augyles maritimus</v>
          </cell>
          <cell r="E7862" t="str">
            <v>NT</v>
          </cell>
          <cell r="F7862" t="str">
            <v>Foster, 2010</v>
          </cell>
          <cell r="G7862" t="str">
            <v>NHMSYS0001717097</v>
          </cell>
          <cell r="H7862" t="str">
            <v>Augyles maritimus</v>
          </cell>
        </row>
        <row r="7863">
          <cell r="A7863" t="str">
            <v>Aulacochthebius exaratus</v>
          </cell>
          <cell r="B7863" t="str">
            <v>Water beetles</v>
          </cell>
          <cell r="C7863" t="str">
            <v>Coleoptera</v>
          </cell>
          <cell r="D7863" t="str">
            <v>Aulacochthebius exaratus</v>
          </cell>
          <cell r="E7863" t="str">
            <v>NT</v>
          </cell>
          <cell r="F7863" t="str">
            <v>Foster, 2010</v>
          </cell>
          <cell r="G7863" t="str">
            <v>NHMSYS0001717100</v>
          </cell>
          <cell r="H7863" t="str">
            <v>Aulacochthebius exaratus</v>
          </cell>
        </row>
        <row r="7864">
          <cell r="A7864" t="str">
            <v>Berosus affinis</v>
          </cell>
          <cell r="B7864" t="str">
            <v>Water beetles</v>
          </cell>
          <cell r="C7864" t="str">
            <v>Coleoptera</v>
          </cell>
          <cell r="D7864" t="str">
            <v>Berosus affinis</v>
          </cell>
          <cell r="E7864" t="str">
            <v>LC</v>
          </cell>
          <cell r="F7864" t="str">
            <v>Foster, 2010</v>
          </cell>
          <cell r="G7864" t="str">
            <v>NBNSYS0000007738</v>
          </cell>
          <cell r="H7864" t="str">
            <v>Berosus affinis</v>
          </cell>
        </row>
        <row r="7865">
          <cell r="A7865" t="str">
            <v>Berosus fulvus</v>
          </cell>
          <cell r="B7865" t="str">
            <v>Water beetles</v>
          </cell>
          <cell r="C7865" t="str">
            <v>Coleoptera</v>
          </cell>
          <cell r="D7865" t="str">
            <v>Berosus fulvus</v>
          </cell>
          <cell r="E7865" t="str">
            <v>VU</v>
          </cell>
          <cell r="F7865" t="str">
            <v>Foster, 2010</v>
          </cell>
          <cell r="G7865" t="str">
            <v>NBNSYS0000173028</v>
          </cell>
          <cell r="H7865" t="str">
            <v>Berosus fulvus</v>
          </cell>
        </row>
        <row r="7866">
          <cell r="A7866" t="str">
            <v>Berosus luridus</v>
          </cell>
          <cell r="B7866" t="str">
            <v>Water beetles</v>
          </cell>
          <cell r="C7866" t="str">
            <v>Coleoptera</v>
          </cell>
          <cell r="D7866" t="str">
            <v>Berosus luridus</v>
          </cell>
          <cell r="E7866" t="str">
            <v>NT</v>
          </cell>
          <cell r="F7866" t="str">
            <v>Foster, 2010</v>
          </cell>
          <cell r="G7866" t="str">
            <v>NBNSYS0000007739</v>
          </cell>
          <cell r="H7866" t="str">
            <v>Berosus luridus</v>
          </cell>
        </row>
        <row r="7867">
          <cell r="A7867" t="str">
            <v>Berosus signaticollis</v>
          </cell>
          <cell r="B7867" t="str">
            <v>Water beetles</v>
          </cell>
          <cell r="C7867" t="str">
            <v>Coleoptera</v>
          </cell>
          <cell r="D7867" t="str">
            <v>Berosus signaticollis</v>
          </cell>
          <cell r="E7867" t="str">
            <v>LC</v>
          </cell>
          <cell r="F7867" t="str">
            <v>Foster, 2010</v>
          </cell>
          <cell r="G7867" t="str">
            <v>NBNSYS0000007740</v>
          </cell>
          <cell r="H7867" t="str">
            <v>Berosus signaticollis</v>
          </cell>
        </row>
        <row r="7868">
          <cell r="A7868" t="str">
            <v>Bidessus minutissimus</v>
          </cell>
          <cell r="B7868" t="str">
            <v>Water beetles</v>
          </cell>
          <cell r="C7868" t="str">
            <v>Coleoptera</v>
          </cell>
          <cell r="D7868" t="str">
            <v>Bidessus minutissimus</v>
          </cell>
          <cell r="E7868" t="str">
            <v>VU</v>
          </cell>
          <cell r="F7868" t="str">
            <v>Foster, 2010</v>
          </cell>
          <cell r="G7868" t="str">
            <v>NBNSYS0000007523</v>
          </cell>
          <cell r="H7868" t="str">
            <v>Bidessus minutissimus</v>
          </cell>
        </row>
        <row r="7869">
          <cell r="A7869" t="str">
            <v>Bidessus unistriatus</v>
          </cell>
          <cell r="B7869" t="str">
            <v>Water beetles</v>
          </cell>
          <cell r="C7869" t="str">
            <v>Coleoptera</v>
          </cell>
          <cell r="D7869" t="str">
            <v>Bidessus unistriatus</v>
          </cell>
          <cell r="E7869" t="str">
            <v>CR</v>
          </cell>
          <cell r="F7869" t="str">
            <v>Foster, 2010</v>
          </cell>
          <cell r="G7869" t="str">
            <v>NHMSYS0001717266</v>
          </cell>
          <cell r="H7869" t="str">
            <v>Bidessus unistriatus</v>
          </cell>
        </row>
        <row r="7870">
          <cell r="A7870" t="str">
            <v>Brychius elevatus</v>
          </cell>
          <cell r="B7870" t="str">
            <v>Water beetles</v>
          </cell>
          <cell r="C7870" t="str">
            <v>Coleoptera</v>
          </cell>
          <cell r="D7870" t="str">
            <v>Brychius elevatus</v>
          </cell>
          <cell r="E7870" t="str">
            <v>LC</v>
          </cell>
          <cell r="F7870" t="str">
            <v>Foster, 2010</v>
          </cell>
          <cell r="G7870" t="str">
            <v>NBNSYS0000007493</v>
          </cell>
          <cell r="H7870" t="str">
            <v>Brychius elevatus</v>
          </cell>
        </row>
        <row r="7871">
          <cell r="A7871" t="str">
            <v>Cercyon bifenestratus</v>
          </cell>
          <cell r="B7871" t="str">
            <v>Water beetles</v>
          </cell>
          <cell r="C7871" t="str">
            <v>Coleoptera</v>
          </cell>
          <cell r="D7871" t="str">
            <v>Cercyon bifenestratus</v>
          </cell>
          <cell r="E7871" t="str">
            <v>LC</v>
          </cell>
          <cell r="F7871" t="str">
            <v>Foster, 2010</v>
          </cell>
          <cell r="G7871" t="str">
            <v>NHMSYS0000524288</v>
          </cell>
          <cell r="H7871" t="str">
            <v>Cercyon bifenestratus</v>
          </cell>
        </row>
        <row r="7872">
          <cell r="A7872" t="str">
            <v>Cercyon convexiusculus</v>
          </cell>
          <cell r="B7872" t="str">
            <v>Water beetles</v>
          </cell>
          <cell r="C7872" t="str">
            <v>Coleoptera</v>
          </cell>
          <cell r="D7872" t="str">
            <v>Cercyon convexiusculus</v>
          </cell>
          <cell r="E7872" t="str">
            <v>LC</v>
          </cell>
          <cell r="F7872" t="str">
            <v>Foster, 2010</v>
          </cell>
          <cell r="G7872" t="str">
            <v>NBNSYS0000007683</v>
          </cell>
          <cell r="H7872" t="str">
            <v>Cercyon convexiusculus</v>
          </cell>
        </row>
        <row r="7873">
          <cell r="A7873" t="str">
            <v>Cercyon depressus</v>
          </cell>
          <cell r="B7873" t="str">
            <v>Water beetles</v>
          </cell>
          <cell r="C7873" t="str">
            <v>Coleoptera</v>
          </cell>
          <cell r="D7873" t="str">
            <v>Cercyon depressus</v>
          </cell>
          <cell r="E7873" t="str">
            <v>LC</v>
          </cell>
          <cell r="F7873" t="str">
            <v>Foster, 2010</v>
          </cell>
          <cell r="G7873" t="str">
            <v>NBNSYS0000007684</v>
          </cell>
          <cell r="H7873" t="str">
            <v>Cercyon depressus</v>
          </cell>
        </row>
        <row r="7874">
          <cell r="A7874" t="str">
            <v>Cercyon granarius</v>
          </cell>
          <cell r="B7874" t="str">
            <v>Water beetles</v>
          </cell>
          <cell r="C7874" t="str">
            <v>Coleoptera</v>
          </cell>
          <cell r="D7874" t="str">
            <v>Cercyon granarius</v>
          </cell>
          <cell r="E7874" t="str">
            <v>LC</v>
          </cell>
          <cell r="F7874" t="str">
            <v>Foster, 2010</v>
          </cell>
          <cell r="G7874" t="str">
            <v>NBNSYS0000007685</v>
          </cell>
          <cell r="H7874" t="str">
            <v>Cercyon granarius</v>
          </cell>
        </row>
        <row r="7875">
          <cell r="A7875" t="str">
            <v>Cercyon littoralis</v>
          </cell>
          <cell r="B7875" t="str">
            <v>Water beetles</v>
          </cell>
          <cell r="C7875" t="str">
            <v>Coleoptera</v>
          </cell>
          <cell r="D7875" t="str">
            <v>Cercyon littoralis</v>
          </cell>
          <cell r="E7875" t="str">
            <v>LC</v>
          </cell>
          <cell r="F7875" t="str">
            <v>Foster, 2010</v>
          </cell>
          <cell r="G7875" t="str">
            <v>NBNSYS0000007689</v>
          </cell>
          <cell r="H7875" t="str">
            <v>Cercyon littoralis</v>
          </cell>
        </row>
        <row r="7876">
          <cell r="A7876" t="str">
            <v>Cercyon marinus</v>
          </cell>
          <cell r="B7876" t="str">
            <v>Water beetles</v>
          </cell>
          <cell r="C7876" t="str">
            <v>Coleoptera</v>
          </cell>
          <cell r="D7876" t="str">
            <v>Cercyon marinus</v>
          </cell>
          <cell r="E7876" t="str">
            <v>LC</v>
          </cell>
          <cell r="F7876" t="str">
            <v>Foster, 2010</v>
          </cell>
          <cell r="G7876" t="str">
            <v>NBNSYS0000007691</v>
          </cell>
          <cell r="H7876" t="str">
            <v>Cercyon marinus</v>
          </cell>
        </row>
        <row r="7877">
          <cell r="A7877" t="str">
            <v>Cercyon sternalis</v>
          </cell>
          <cell r="B7877" t="str">
            <v>Water beetles</v>
          </cell>
          <cell r="C7877" t="str">
            <v>Coleoptera</v>
          </cell>
          <cell r="D7877" t="str">
            <v>Cercyon sternalis</v>
          </cell>
          <cell r="E7877" t="str">
            <v>LC</v>
          </cell>
          <cell r="F7877" t="str">
            <v>Foster, 2010</v>
          </cell>
          <cell r="G7877" t="str">
            <v>NBNSYS0000007695</v>
          </cell>
          <cell r="H7877" t="str">
            <v>Cercyon sternalis</v>
          </cell>
        </row>
        <row r="7878">
          <cell r="A7878" t="str">
            <v>Cercyon tristis</v>
          </cell>
          <cell r="B7878" t="str">
            <v>Water beetles</v>
          </cell>
          <cell r="C7878" t="str">
            <v>Coleoptera</v>
          </cell>
          <cell r="D7878" t="str">
            <v>Cercyon tristis</v>
          </cell>
          <cell r="E7878" t="str">
            <v>LC</v>
          </cell>
          <cell r="F7878" t="str">
            <v>Foster, 2010</v>
          </cell>
          <cell r="G7878" t="str">
            <v>NBNSYS0000007697</v>
          </cell>
          <cell r="H7878" t="str">
            <v>Cercyon tristis</v>
          </cell>
        </row>
        <row r="7879">
          <cell r="A7879" t="str">
            <v>Cercyon ustulatus</v>
          </cell>
          <cell r="B7879" t="str">
            <v>Water beetles</v>
          </cell>
          <cell r="C7879" t="str">
            <v>Coleoptera</v>
          </cell>
          <cell r="D7879" t="str">
            <v>Cercyon ustulatus</v>
          </cell>
          <cell r="E7879" t="str">
            <v>LC</v>
          </cell>
          <cell r="F7879" t="str">
            <v>Foster, 2010</v>
          </cell>
          <cell r="G7879" t="str">
            <v>NBNSYS0000007699</v>
          </cell>
          <cell r="H7879" t="str">
            <v>Cercyon ustulatus</v>
          </cell>
        </row>
        <row r="7880">
          <cell r="A7880" t="str">
            <v>Chaetarthria seminulum</v>
          </cell>
          <cell r="B7880" t="str">
            <v>Water beetles</v>
          </cell>
          <cell r="C7880" t="str">
            <v>Coleoptera</v>
          </cell>
          <cell r="D7880" t="str">
            <v>Chaetarthria seminulum</v>
          </cell>
          <cell r="E7880" t="str">
            <v>LC</v>
          </cell>
          <cell r="F7880" t="str">
            <v>Foster, 2010</v>
          </cell>
          <cell r="G7880" t="str">
            <v>NHMSYS0020973385</v>
          </cell>
          <cell r="H7880" t="str">
            <v>Chaetarthria seminulum</v>
          </cell>
        </row>
        <row r="7881">
          <cell r="A7881" t="str">
            <v>Chaetarthria simillima</v>
          </cell>
          <cell r="B7881" t="str">
            <v>Water beetles</v>
          </cell>
          <cell r="C7881" t="str">
            <v>Coleoptera</v>
          </cell>
          <cell r="D7881" t="str">
            <v>Chaetarthria simillima</v>
          </cell>
          <cell r="E7881" t="str">
            <v>LC</v>
          </cell>
          <cell r="F7881" t="str">
            <v>Foster, 2010</v>
          </cell>
          <cell r="G7881" t="str">
            <v>NHMSYS0001717658</v>
          </cell>
          <cell r="H7881" t="str">
            <v>Chaetarthria simillima</v>
          </cell>
        </row>
        <row r="7882">
          <cell r="A7882" t="str">
            <v>Coelostoma orbiculare</v>
          </cell>
          <cell r="B7882" t="str">
            <v>Water beetles</v>
          </cell>
          <cell r="C7882" t="str">
            <v>Coleoptera</v>
          </cell>
          <cell r="D7882" t="str">
            <v>Coelostoma orbiculare</v>
          </cell>
          <cell r="E7882" t="str">
            <v>LC</v>
          </cell>
          <cell r="F7882" t="str">
            <v>Foster, 2010</v>
          </cell>
          <cell r="G7882" t="str">
            <v>NHMSYS0001717707</v>
          </cell>
          <cell r="H7882" t="str">
            <v>Coelostoma orbiculare</v>
          </cell>
        </row>
        <row r="7883">
          <cell r="A7883" t="str">
            <v>Colymbetes fuscus</v>
          </cell>
          <cell r="B7883" t="str">
            <v>Water beetles</v>
          </cell>
          <cell r="C7883" t="str">
            <v>Coleoptera</v>
          </cell>
          <cell r="D7883" t="str">
            <v>Colymbetes fuscus</v>
          </cell>
          <cell r="E7883" t="str">
            <v>LC</v>
          </cell>
          <cell r="F7883" t="str">
            <v>Foster, 2010</v>
          </cell>
          <cell r="G7883" t="str">
            <v>NBNSYS0000007618</v>
          </cell>
          <cell r="H7883" t="str">
            <v>Colymbetes fuscus</v>
          </cell>
        </row>
        <row r="7884">
          <cell r="A7884" t="str">
            <v>Cymbiodyta marginellus</v>
          </cell>
          <cell r="B7884" t="str">
            <v>Water beetles</v>
          </cell>
          <cell r="C7884" t="str">
            <v>Coleoptera</v>
          </cell>
          <cell r="D7884" t="str">
            <v>Cymbiodyta marginellus</v>
          </cell>
          <cell r="E7884" t="str">
            <v>LC</v>
          </cell>
          <cell r="F7884" t="str">
            <v>Foster, 2010</v>
          </cell>
          <cell r="G7884" t="str">
            <v>NHMSYS0021419134</v>
          </cell>
          <cell r="H7884" t="str">
            <v>Cymbiodyta marginellus</v>
          </cell>
        </row>
        <row r="7885">
          <cell r="A7885" t="str">
            <v>Cyphon coarctatus</v>
          </cell>
          <cell r="B7885" t="str">
            <v>Water beetles</v>
          </cell>
          <cell r="C7885" t="str">
            <v>Coleoptera</v>
          </cell>
          <cell r="D7885" t="str">
            <v>Cyphon coarctatus</v>
          </cell>
          <cell r="E7885" t="str">
            <v>LC</v>
          </cell>
          <cell r="F7885" t="str">
            <v>Foster, 2010</v>
          </cell>
          <cell r="G7885" t="str">
            <v>NHMSYS0021366664</v>
          </cell>
          <cell r="H7885" t="str">
            <v>Cyphon coarctatus</v>
          </cell>
        </row>
        <row r="7886">
          <cell r="A7886" t="str">
            <v>Cyphon hilaris</v>
          </cell>
          <cell r="B7886" t="str">
            <v>Water beetles</v>
          </cell>
          <cell r="C7886" t="str">
            <v>Coleoptera</v>
          </cell>
          <cell r="D7886" t="str">
            <v>Cyphon hilaris</v>
          </cell>
          <cell r="E7886" t="str">
            <v>LC</v>
          </cell>
          <cell r="F7886" t="str">
            <v>Foster, 2010</v>
          </cell>
          <cell r="G7886" t="str">
            <v>NHMSYS0021422149</v>
          </cell>
          <cell r="H7886" t="str">
            <v>Cyphon hilaris</v>
          </cell>
        </row>
        <row r="7887">
          <cell r="A7887" t="str">
            <v>Cyphon kongsbergensis</v>
          </cell>
          <cell r="B7887" t="str">
            <v>Water beetles</v>
          </cell>
          <cell r="C7887" t="str">
            <v>Coleoptera</v>
          </cell>
          <cell r="D7887" t="str">
            <v>Cyphon kongsbergensis</v>
          </cell>
          <cell r="E7887" t="str">
            <v>LC</v>
          </cell>
          <cell r="F7887" t="str">
            <v>Foster, 2010</v>
          </cell>
          <cell r="G7887" t="str">
            <v>NHMSYS0021366669</v>
          </cell>
          <cell r="H7887" t="str">
            <v>Cyphon kongsbergensis</v>
          </cell>
        </row>
        <row r="7888">
          <cell r="A7888" t="str">
            <v>Cyphon laevipennis</v>
          </cell>
          <cell r="B7888" t="str">
            <v>Water beetles</v>
          </cell>
          <cell r="C7888" t="str">
            <v>Coleoptera</v>
          </cell>
          <cell r="D7888" t="str">
            <v>Cyphon laevipennis</v>
          </cell>
          <cell r="E7888" t="str">
            <v>LC</v>
          </cell>
          <cell r="F7888" t="str">
            <v>Foster, 2010</v>
          </cell>
          <cell r="G7888" t="str">
            <v>NHMSYS0021366674</v>
          </cell>
          <cell r="H7888" t="str">
            <v>Cyphon laevipennis</v>
          </cell>
        </row>
        <row r="7889">
          <cell r="A7889" t="str">
            <v>Cyphon ochraceus</v>
          </cell>
          <cell r="B7889" t="str">
            <v>Water beetles</v>
          </cell>
          <cell r="C7889" t="str">
            <v>Coleoptera</v>
          </cell>
          <cell r="D7889" t="str">
            <v>Cyphon ochraceus</v>
          </cell>
          <cell r="E7889" t="str">
            <v>LC</v>
          </cell>
          <cell r="F7889" t="str">
            <v>Foster, 2010</v>
          </cell>
          <cell r="G7889" t="str">
            <v>NHMSYS0021366679</v>
          </cell>
          <cell r="H7889" t="str">
            <v>Cyphon ochraceus</v>
          </cell>
        </row>
        <row r="7890">
          <cell r="A7890" t="str">
            <v>Cyphon padi</v>
          </cell>
          <cell r="B7890" t="str">
            <v>Water beetles</v>
          </cell>
          <cell r="C7890" t="str">
            <v>Coleoptera</v>
          </cell>
          <cell r="D7890" t="str">
            <v>Cyphon padi</v>
          </cell>
          <cell r="E7890" t="str">
            <v>LC</v>
          </cell>
          <cell r="F7890" t="str">
            <v>Foster, 2010</v>
          </cell>
          <cell r="G7890" t="str">
            <v>NHMSYS0021366684</v>
          </cell>
          <cell r="H7890" t="str">
            <v>Cyphon padi</v>
          </cell>
        </row>
        <row r="7891">
          <cell r="A7891" t="str">
            <v>Cyphon palustris</v>
          </cell>
          <cell r="B7891" t="str">
            <v>Water beetles</v>
          </cell>
          <cell r="C7891" t="str">
            <v>Coleoptera</v>
          </cell>
          <cell r="D7891" t="str">
            <v>Cyphon palustris</v>
          </cell>
          <cell r="E7891" t="str">
            <v>LC</v>
          </cell>
          <cell r="F7891" t="str">
            <v>Foster, 2010</v>
          </cell>
          <cell r="G7891" t="str">
            <v>NHMSYS0021422154</v>
          </cell>
          <cell r="H7891" t="str">
            <v>Cyphon palustris</v>
          </cell>
        </row>
        <row r="7892">
          <cell r="A7892" t="str">
            <v>Cyphon pubescens</v>
          </cell>
          <cell r="B7892" t="str">
            <v>Water beetles</v>
          </cell>
          <cell r="C7892" t="str">
            <v>Coleoptera</v>
          </cell>
          <cell r="D7892" t="str">
            <v>Cyphon pubescens</v>
          </cell>
          <cell r="E7892" t="str">
            <v>LC</v>
          </cell>
          <cell r="F7892" t="str">
            <v>Foster, 2010</v>
          </cell>
          <cell r="G7892" t="str">
            <v>NHMSYS0021422159</v>
          </cell>
          <cell r="H7892" t="str">
            <v>Cyphon pubescens</v>
          </cell>
        </row>
        <row r="7893">
          <cell r="A7893" t="str">
            <v>Cyphon punctipennis</v>
          </cell>
          <cell r="B7893" t="str">
            <v>Water beetles</v>
          </cell>
          <cell r="C7893" t="str">
            <v>Coleoptera</v>
          </cell>
          <cell r="D7893" t="str">
            <v>Cyphon punctipennis</v>
          </cell>
          <cell r="E7893" t="str">
            <v>LC</v>
          </cell>
          <cell r="F7893" t="str">
            <v>Foster, 2010</v>
          </cell>
          <cell r="G7893" t="str">
            <v>NHMSYS0021422164</v>
          </cell>
          <cell r="H7893" t="str">
            <v>Cyphon punctipennis</v>
          </cell>
        </row>
        <row r="7894">
          <cell r="A7894" t="str">
            <v>Cyphon variabilis</v>
          </cell>
          <cell r="B7894" t="str">
            <v>Water beetles</v>
          </cell>
          <cell r="C7894" t="str">
            <v>Coleoptera</v>
          </cell>
          <cell r="D7894" t="str">
            <v>Cyphon variabilis</v>
          </cell>
          <cell r="E7894" t="str">
            <v>LC</v>
          </cell>
          <cell r="F7894" t="str">
            <v>Foster, 2010</v>
          </cell>
          <cell r="G7894" t="str">
            <v>NHMSYS0021486652</v>
          </cell>
          <cell r="H7894" t="str">
            <v>Cyphon variabilis</v>
          </cell>
        </row>
        <row r="7895">
          <cell r="A7895" t="str">
            <v>Deronectes latus</v>
          </cell>
          <cell r="B7895" t="str">
            <v>Water beetles</v>
          </cell>
          <cell r="C7895" t="str">
            <v>Coleoptera</v>
          </cell>
          <cell r="D7895" t="str">
            <v>Deronectes latus</v>
          </cell>
          <cell r="E7895" t="str">
            <v>LC</v>
          </cell>
          <cell r="F7895" t="str">
            <v>Foster, 2010</v>
          </cell>
          <cell r="G7895" t="str">
            <v>NBNSYS0000007570</v>
          </cell>
          <cell r="H7895" t="str">
            <v>Deronectes latus</v>
          </cell>
        </row>
        <row r="7896">
          <cell r="A7896" t="str">
            <v>Dryops anglicanus</v>
          </cell>
          <cell r="B7896" t="str">
            <v>Water beetles</v>
          </cell>
          <cell r="C7896" t="str">
            <v>Coleoptera</v>
          </cell>
          <cell r="D7896" t="str">
            <v>Dryops anglicanus</v>
          </cell>
          <cell r="E7896" t="str">
            <v>NT</v>
          </cell>
          <cell r="F7896" t="str">
            <v>Foster, 2010</v>
          </cell>
          <cell r="G7896" t="str">
            <v>NBNSYS0000007774</v>
          </cell>
          <cell r="H7896" t="str">
            <v>Dryops anglicanus</v>
          </cell>
        </row>
        <row r="7897">
          <cell r="A7897" t="str">
            <v>Dryops auriculatus</v>
          </cell>
          <cell r="B7897" t="str">
            <v>Water beetles</v>
          </cell>
          <cell r="C7897" t="str">
            <v>Coleoptera</v>
          </cell>
          <cell r="D7897" t="str">
            <v>Dryops auriculatus</v>
          </cell>
          <cell r="E7897" t="str">
            <v>NT</v>
          </cell>
          <cell r="F7897" t="str">
            <v>Foster, 2010</v>
          </cell>
          <cell r="G7897" t="str">
            <v>NBNSYS0000007775</v>
          </cell>
          <cell r="H7897" t="str">
            <v>Dryops auriculatus</v>
          </cell>
        </row>
        <row r="7898">
          <cell r="A7898" t="str">
            <v>Dryops ernesti</v>
          </cell>
          <cell r="B7898" t="str">
            <v>Water beetles</v>
          </cell>
          <cell r="C7898" t="str">
            <v>Coleoptera</v>
          </cell>
          <cell r="D7898" t="str">
            <v>Dryops ernesti</v>
          </cell>
          <cell r="E7898" t="str">
            <v>LC</v>
          </cell>
          <cell r="F7898" t="str">
            <v>Foster, 2010</v>
          </cell>
          <cell r="G7898" t="str">
            <v>NBNSYS0000007776</v>
          </cell>
          <cell r="H7898" t="str">
            <v>Dryops ernesti</v>
          </cell>
        </row>
        <row r="7899">
          <cell r="A7899" t="str">
            <v>Dryops griseus</v>
          </cell>
          <cell r="B7899" t="str">
            <v>Water beetles</v>
          </cell>
          <cell r="C7899" t="str">
            <v>Coleoptera</v>
          </cell>
          <cell r="D7899" t="str">
            <v>Dryops griseus</v>
          </cell>
          <cell r="E7899" t="str">
            <v>VU</v>
          </cell>
          <cell r="F7899" t="str">
            <v>Foster, 2010</v>
          </cell>
          <cell r="G7899" t="str">
            <v>NBNSYS0000007777</v>
          </cell>
          <cell r="H7899" t="str">
            <v>Dryops griseus</v>
          </cell>
        </row>
        <row r="7900">
          <cell r="A7900" t="str">
            <v>Dryops luridus</v>
          </cell>
          <cell r="B7900" t="str">
            <v>Water beetles</v>
          </cell>
          <cell r="C7900" t="str">
            <v>Coleoptera</v>
          </cell>
          <cell r="D7900" t="str">
            <v>Dryops luridus</v>
          </cell>
          <cell r="E7900" t="str">
            <v>LC</v>
          </cell>
          <cell r="F7900" t="str">
            <v>Foster, 2010</v>
          </cell>
          <cell r="G7900" t="str">
            <v>NBNSYS0000007778</v>
          </cell>
          <cell r="H7900" t="str">
            <v>Dryops luridus</v>
          </cell>
        </row>
        <row r="7901">
          <cell r="A7901" t="str">
            <v>Dryops nitidulus</v>
          </cell>
          <cell r="B7901" t="str">
            <v>Water beetles</v>
          </cell>
          <cell r="C7901" t="str">
            <v>Coleoptera</v>
          </cell>
          <cell r="D7901" t="str">
            <v>Dryops nitidulus</v>
          </cell>
          <cell r="E7901" t="str">
            <v>NT</v>
          </cell>
          <cell r="F7901" t="str">
            <v>Foster, 2010</v>
          </cell>
          <cell r="G7901" t="str">
            <v>NBNSYS0000007779</v>
          </cell>
          <cell r="H7901" t="str">
            <v>Dryops nitidulus</v>
          </cell>
        </row>
        <row r="7902">
          <cell r="A7902" t="str">
            <v>Dryops similaris</v>
          </cell>
          <cell r="B7902" t="str">
            <v>Water beetles</v>
          </cell>
          <cell r="C7902" t="str">
            <v>Coleoptera</v>
          </cell>
          <cell r="D7902" t="str">
            <v>Dryops similaris</v>
          </cell>
          <cell r="E7902" t="str">
            <v>LC</v>
          </cell>
          <cell r="F7902" t="str">
            <v>Foster, 2010</v>
          </cell>
          <cell r="G7902" t="str">
            <v>NBNSYS0000007780</v>
          </cell>
          <cell r="H7902" t="str">
            <v>Dryops similaris</v>
          </cell>
        </row>
        <row r="7903">
          <cell r="A7903" t="str">
            <v>Dryops striatellus</v>
          </cell>
          <cell r="B7903" t="str">
            <v>Water beetles</v>
          </cell>
          <cell r="C7903" t="str">
            <v>Coleoptera</v>
          </cell>
          <cell r="D7903" t="str">
            <v>Dryops striatellus</v>
          </cell>
          <cell r="E7903" t="str">
            <v>LC</v>
          </cell>
          <cell r="F7903" t="str">
            <v>Foster, 2010</v>
          </cell>
          <cell r="G7903" t="str">
            <v>NBNSYS0000007781</v>
          </cell>
          <cell r="H7903" t="str">
            <v>Dryops striatellus</v>
          </cell>
        </row>
        <row r="7904">
          <cell r="A7904" t="str">
            <v>Dytiscus circumcinctus</v>
          </cell>
          <cell r="B7904" t="str">
            <v>Water beetles</v>
          </cell>
          <cell r="C7904" t="str">
            <v>Coleoptera</v>
          </cell>
          <cell r="D7904" t="str">
            <v>Dytiscus circumcinctus</v>
          </cell>
          <cell r="E7904" t="str">
            <v>LC</v>
          </cell>
          <cell r="F7904" t="str">
            <v>Foster, 2010</v>
          </cell>
          <cell r="G7904" t="str">
            <v>NBNSYS0000007628</v>
          </cell>
          <cell r="H7904" t="str">
            <v>Dytiscus circumcinctus</v>
          </cell>
        </row>
        <row r="7905">
          <cell r="A7905" t="str">
            <v>Dytiscus circumflexus</v>
          </cell>
          <cell r="B7905" t="str">
            <v>Water beetles</v>
          </cell>
          <cell r="C7905" t="str">
            <v>Coleoptera</v>
          </cell>
          <cell r="D7905" t="str">
            <v>Dytiscus circumflexus</v>
          </cell>
          <cell r="E7905" t="str">
            <v>LC</v>
          </cell>
          <cell r="F7905" t="str">
            <v>Foster, 2010</v>
          </cell>
          <cell r="G7905" t="str">
            <v>NHMSYS0001718024</v>
          </cell>
          <cell r="H7905" t="str">
            <v>Dytiscus circumflexus</v>
          </cell>
        </row>
        <row r="7906">
          <cell r="A7906" t="str">
            <v>Dytiscus dimidiatus</v>
          </cell>
          <cell r="B7906" t="str">
            <v>Water beetles</v>
          </cell>
          <cell r="C7906" t="str">
            <v>Coleoptera</v>
          </cell>
          <cell r="D7906" t="str">
            <v>Dytiscus dimidiatus</v>
          </cell>
          <cell r="E7906" t="str">
            <v>NT</v>
          </cell>
          <cell r="F7906" t="str">
            <v>Foster, 2010</v>
          </cell>
          <cell r="G7906" t="str">
            <v>NHMSYS0001718025</v>
          </cell>
          <cell r="H7906" t="str">
            <v>Dytiscus dimidiatus</v>
          </cell>
        </row>
        <row r="7907">
          <cell r="A7907" t="str">
            <v>Dytiscus marginalis</v>
          </cell>
          <cell r="B7907" t="str">
            <v>Water beetles</v>
          </cell>
          <cell r="C7907" t="str">
            <v>Coleoptera</v>
          </cell>
          <cell r="D7907" t="str">
            <v>Dytiscus marginalis</v>
          </cell>
          <cell r="E7907" t="str">
            <v>LC</v>
          </cell>
          <cell r="F7907" t="str">
            <v>Foster, 2010</v>
          </cell>
          <cell r="G7907" t="str">
            <v>NBNSYS0000007632</v>
          </cell>
          <cell r="H7907" t="str">
            <v>Dytiscus marginalis</v>
          </cell>
        </row>
        <row r="7908">
          <cell r="A7908" t="str">
            <v>Dytiscus semisulcatus</v>
          </cell>
          <cell r="B7908" t="str">
            <v>Water beetles</v>
          </cell>
          <cell r="C7908" t="str">
            <v>Coleoptera</v>
          </cell>
          <cell r="D7908" t="str">
            <v>Dytiscus semisulcatus</v>
          </cell>
          <cell r="E7908" t="str">
            <v>LC</v>
          </cell>
          <cell r="F7908" t="str">
            <v>Foster, 2010</v>
          </cell>
          <cell r="G7908" t="str">
            <v>NHMSYS0001718027</v>
          </cell>
          <cell r="H7908" t="str">
            <v>Dytiscus semisulcatus</v>
          </cell>
        </row>
        <row r="7909">
          <cell r="A7909" t="str">
            <v>Elmis aenea</v>
          </cell>
          <cell r="B7909" t="str">
            <v>Water beetles</v>
          </cell>
          <cell r="C7909" t="str">
            <v>Coleoptera</v>
          </cell>
          <cell r="D7909" t="str">
            <v>Elmis aenea</v>
          </cell>
          <cell r="E7909" t="str">
            <v>LC</v>
          </cell>
          <cell r="F7909" t="str">
            <v>Foster, 2010</v>
          </cell>
          <cell r="G7909" t="str">
            <v>NHMSYS0001718051</v>
          </cell>
          <cell r="H7909" t="str">
            <v>Elmis aenea</v>
          </cell>
        </row>
        <row r="7910">
          <cell r="A7910" t="str">
            <v>Elodes elongata</v>
          </cell>
          <cell r="B7910" t="str">
            <v>Water beetles</v>
          </cell>
          <cell r="C7910" t="str">
            <v>Coleoptera</v>
          </cell>
          <cell r="D7910" t="str">
            <v>Elodes elongata</v>
          </cell>
          <cell r="E7910" t="str">
            <v>LC</v>
          </cell>
          <cell r="F7910" t="str">
            <v>Foster, 2010</v>
          </cell>
          <cell r="G7910" t="str">
            <v>NHMSYS0021422169</v>
          </cell>
          <cell r="H7910" t="str">
            <v>Elodes elongata</v>
          </cell>
        </row>
        <row r="7911">
          <cell r="A7911" t="str">
            <v>Elodes minuta</v>
          </cell>
          <cell r="B7911" t="str">
            <v>Water beetles</v>
          </cell>
          <cell r="C7911" t="str">
            <v>Coleoptera</v>
          </cell>
          <cell r="D7911" t="str">
            <v>Elodes minuta</v>
          </cell>
          <cell r="E7911" t="str">
            <v>LC</v>
          </cell>
          <cell r="F7911" t="str">
            <v>Foster, 2010</v>
          </cell>
          <cell r="G7911" t="str">
            <v>NHMSYS0021486657</v>
          </cell>
          <cell r="H7911" t="str">
            <v>Elodes minuta</v>
          </cell>
        </row>
        <row r="7912">
          <cell r="A7912" t="str">
            <v>Elodes pseudominuta</v>
          </cell>
          <cell r="B7912" t="str">
            <v>Water beetles</v>
          </cell>
          <cell r="C7912" t="str">
            <v>Coleoptera</v>
          </cell>
          <cell r="D7912" t="str">
            <v>Elodes pseudominuta</v>
          </cell>
          <cell r="E7912" t="str">
            <v>LC</v>
          </cell>
          <cell r="F7912" t="str">
            <v>Foster, 2010</v>
          </cell>
          <cell r="G7912" t="str">
            <v>NHMSYS0021422179</v>
          </cell>
          <cell r="H7912" t="str">
            <v>Elodes pseudominuta</v>
          </cell>
        </row>
        <row r="7913">
          <cell r="A7913" t="str">
            <v>Elodes tricuspis</v>
          </cell>
          <cell r="B7913" t="str">
            <v>Water beetles</v>
          </cell>
          <cell r="C7913" t="str">
            <v>Coleoptera</v>
          </cell>
          <cell r="D7913" t="str">
            <v>Elodes tricuspis</v>
          </cell>
          <cell r="E7913" t="str">
            <v>VU</v>
          </cell>
          <cell r="F7913" t="str">
            <v>Foster, 2010</v>
          </cell>
          <cell r="G7913" t="str">
            <v>NHMSYS0000524502</v>
          </cell>
          <cell r="H7913" t="str">
            <v>Elodes tricuspis</v>
          </cell>
        </row>
        <row r="7914">
          <cell r="A7914" t="str">
            <v>Enicocerus exsculptus</v>
          </cell>
          <cell r="B7914" t="str">
            <v>Water beetles</v>
          </cell>
          <cell r="C7914" t="str">
            <v>Coleoptera</v>
          </cell>
          <cell r="D7914" t="str">
            <v>Enicocerus exsculptus</v>
          </cell>
          <cell r="E7914" t="str">
            <v>LC</v>
          </cell>
          <cell r="F7914" t="str">
            <v>Foster, 2010</v>
          </cell>
          <cell r="G7914" t="str">
            <v>NBNSYS0000007748</v>
          </cell>
          <cell r="H7914" t="str">
            <v>Enicocerus exsculptus</v>
          </cell>
        </row>
        <row r="7915">
          <cell r="A7915" t="str">
            <v>Enochrus affinis</v>
          </cell>
          <cell r="B7915" t="str">
            <v>Water beetles</v>
          </cell>
          <cell r="C7915" t="str">
            <v>Coleoptera</v>
          </cell>
          <cell r="D7915" t="str">
            <v>Enochrus affinis</v>
          </cell>
          <cell r="E7915" t="str">
            <v>LC</v>
          </cell>
          <cell r="F7915" t="str">
            <v>Foster, 2010</v>
          </cell>
          <cell r="G7915" t="str">
            <v>NBNSYS0000146699</v>
          </cell>
          <cell r="H7915" t="str">
            <v>Enochrus affinis</v>
          </cell>
        </row>
        <row r="7916">
          <cell r="A7916" t="str">
            <v>Enochrus bicolor</v>
          </cell>
          <cell r="B7916" t="str">
            <v>Water beetles</v>
          </cell>
          <cell r="C7916" t="str">
            <v>Coleoptera</v>
          </cell>
          <cell r="D7916" t="str">
            <v>Enochrus bicolor</v>
          </cell>
          <cell r="E7916" t="str">
            <v>LC</v>
          </cell>
          <cell r="F7916" t="str">
            <v>Foster, 2010</v>
          </cell>
          <cell r="G7916" t="str">
            <v>NHMSYS0001718076</v>
          </cell>
          <cell r="H7916" t="str">
            <v>Enochrus bicolor</v>
          </cell>
        </row>
        <row r="7917">
          <cell r="A7917" t="str">
            <v>Enochrus coarctatus</v>
          </cell>
          <cell r="B7917" t="str">
            <v>Water beetles</v>
          </cell>
          <cell r="C7917" t="str">
            <v>Coleoptera</v>
          </cell>
          <cell r="D7917" t="str">
            <v>Enochrus coarctatus</v>
          </cell>
          <cell r="E7917" t="str">
            <v>LC</v>
          </cell>
          <cell r="F7917" t="str">
            <v>Foster, 2010</v>
          </cell>
          <cell r="G7917" t="str">
            <v>NBNSYS0000007725</v>
          </cell>
          <cell r="H7917" t="str">
            <v>Enochrus coarctatus</v>
          </cell>
        </row>
        <row r="7918">
          <cell r="A7918" t="str">
            <v>Enochrus fuscipennis</v>
          </cell>
          <cell r="B7918" t="str">
            <v>Water beetles</v>
          </cell>
          <cell r="C7918" t="str">
            <v>Coleoptera</v>
          </cell>
          <cell r="D7918" t="str">
            <v>Enochrus fuscipennis</v>
          </cell>
          <cell r="E7918" t="str">
            <v>LC</v>
          </cell>
          <cell r="F7918" t="str">
            <v>Foster, 2010</v>
          </cell>
          <cell r="G7918" t="str">
            <v>NHMSYS0001718079</v>
          </cell>
          <cell r="H7918" t="str">
            <v>Enochrus fuscipennis</v>
          </cell>
        </row>
        <row r="7919">
          <cell r="A7919" t="str">
            <v>Enochrus halophilus</v>
          </cell>
          <cell r="B7919" t="str">
            <v>Water beetles</v>
          </cell>
          <cell r="C7919" t="str">
            <v>Coleoptera</v>
          </cell>
          <cell r="D7919" t="str">
            <v>Enochrus halophilus</v>
          </cell>
          <cell r="E7919" t="str">
            <v>LC</v>
          </cell>
          <cell r="F7919" t="str">
            <v>Foster, 2010</v>
          </cell>
          <cell r="G7919" t="str">
            <v>NBNSYS0000007731</v>
          </cell>
          <cell r="H7919" t="str">
            <v>Enochrus halophilus</v>
          </cell>
        </row>
        <row r="7920">
          <cell r="A7920" t="str">
            <v>Enochrus melanocephalus</v>
          </cell>
          <cell r="B7920" t="str">
            <v>Water beetles</v>
          </cell>
          <cell r="C7920" t="str">
            <v>Coleoptera</v>
          </cell>
          <cell r="D7920" t="str">
            <v>Enochrus melanocephalus</v>
          </cell>
          <cell r="E7920" t="str">
            <v>LC</v>
          </cell>
          <cell r="F7920" t="str">
            <v>Foster, 2010</v>
          </cell>
          <cell r="G7920" t="str">
            <v>NBNSYS0000007727</v>
          </cell>
          <cell r="H7920" t="str">
            <v>Enochrus melanocephalus</v>
          </cell>
        </row>
        <row r="7921">
          <cell r="A7921" t="str">
            <v>Enochrus nigritus</v>
          </cell>
          <cell r="B7921" t="str">
            <v>Water beetles</v>
          </cell>
          <cell r="C7921" t="str">
            <v>Coleoptera</v>
          </cell>
          <cell r="D7921" t="str">
            <v>Enochrus nigritus</v>
          </cell>
          <cell r="E7921" t="str">
            <v>NT</v>
          </cell>
          <cell r="F7921" t="str">
            <v>Foster, 2010</v>
          </cell>
          <cell r="G7921" t="str">
            <v>NHMSYS0001718083</v>
          </cell>
          <cell r="H7921" t="str">
            <v>Enochrus nigritus</v>
          </cell>
        </row>
        <row r="7922">
          <cell r="A7922" t="str">
            <v>Enochrus ochropterus</v>
          </cell>
          <cell r="B7922" t="str">
            <v>Water beetles</v>
          </cell>
          <cell r="C7922" t="str">
            <v>Coleoptera</v>
          </cell>
          <cell r="D7922" t="str">
            <v>Enochrus ochropterus</v>
          </cell>
          <cell r="E7922" t="str">
            <v>LC</v>
          </cell>
          <cell r="F7922" t="str">
            <v>Foster, 2010</v>
          </cell>
          <cell r="G7922" t="str">
            <v>NBNSYS0000007728</v>
          </cell>
          <cell r="H7922" t="str">
            <v>Enochrus ochropterus</v>
          </cell>
        </row>
        <row r="7923">
          <cell r="A7923" t="str">
            <v>Enochrus quadripunctatus</v>
          </cell>
          <cell r="B7923" t="str">
            <v>Water beetles</v>
          </cell>
          <cell r="C7923" t="str">
            <v>Coleoptera</v>
          </cell>
          <cell r="D7923" t="str">
            <v>Enochrus quadripunctatus</v>
          </cell>
          <cell r="E7923" t="str">
            <v>LC</v>
          </cell>
          <cell r="F7923" t="str">
            <v>Foster, 2010</v>
          </cell>
          <cell r="G7923" t="str">
            <v>NHMSYS0001718084</v>
          </cell>
          <cell r="H7923" t="str">
            <v>Enochrus quadripunctatus</v>
          </cell>
        </row>
        <row r="7924">
          <cell r="A7924" t="str">
            <v>Enochrus testaceus</v>
          </cell>
          <cell r="B7924" t="str">
            <v>Water beetles</v>
          </cell>
          <cell r="C7924" t="str">
            <v>Coleoptera</v>
          </cell>
          <cell r="D7924" t="str">
            <v>Enochrus testaceus</v>
          </cell>
          <cell r="E7924" t="str">
            <v>LC</v>
          </cell>
          <cell r="F7924" t="str">
            <v>Foster, 2010</v>
          </cell>
          <cell r="G7924" t="str">
            <v>NHMSYS0001718086</v>
          </cell>
          <cell r="H7924" t="str">
            <v>Enochrus testaceus</v>
          </cell>
        </row>
        <row r="7925">
          <cell r="A7925" t="str">
            <v>Esolus parallelepipedus</v>
          </cell>
          <cell r="B7925" t="str">
            <v>Water beetles</v>
          </cell>
          <cell r="C7925" t="str">
            <v>Coleoptera</v>
          </cell>
          <cell r="D7925" t="str">
            <v>Esolus parallelepipedus</v>
          </cell>
          <cell r="E7925" t="str">
            <v>LC</v>
          </cell>
          <cell r="F7925" t="str">
            <v>Foster, 2010</v>
          </cell>
          <cell r="G7925" t="str">
            <v>NHMSYS0001718102</v>
          </cell>
          <cell r="H7925" t="str">
            <v>Esolus parallelepipedus</v>
          </cell>
        </row>
        <row r="7926">
          <cell r="A7926" t="str">
            <v>Eubria palustris</v>
          </cell>
          <cell r="B7926" t="str">
            <v>Water beetles</v>
          </cell>
          <cell r="C7926" t="str">
            <v>Coleoptera</v>
          </cell>
          <cell r="D7926" t="str">
            <v>Eubria palustris</v>
          </cell>
          <cell r="E7926" t="str">
            <v>NT</v>
          </cell>
          <cell r="F7926" t="str">
            <v>Foster, 2010</v>
          </cell>
          <cell r="G7926" t="str">
            <v>NBNSYS0000024201</v>
          </cell>
          <cell r="H7926" t="str">
            <v>Eubria palustris</v>
          </cell>
        </row>
        <row r="7927">
          <cell r="A7927" t="str">
            <v>Georissus crenulatus</v>
          </cell>
          <cell r="B7927" t="str">
            <v>Water beetles</v>
          </cell>
          <cell r="C7927" t="str">
            <v>Coleoptera</v>
          </cell>
          <cell r="D7927" t="str">
            <v>Georissus crenulatus</v>
          </cell>
          <cell r="E7927" t="str">
            <v>LC</v>
          </cell>
          <cell r="F7927" t="str">
            <v>Foster, 2010</v>
          </cell>
          <cell r="G7927" t="str">
            <v>NBNSYS0000007648</v>
          </cell>
          <cell r="H7927" t="str">
            <v>Georissus crenulatus</v>
          </cell>
        </row>
        <row r="7928">
          <cell r="A7928" t="str">
            <v>Graphoderus bilineatus</v>
          </cell>
          <cell r="B7928" t="str">
            <v>Water beetles</v>
          </cell>
          <cell r="C7928" t="str">
            <v>Coleoptera</v>
          </cell>
          <cell r="D7928" t="str">
            <v>Graphoderus bilineatus</v>
          </cell>
          <cell r="E7928" t="str">
            <v>RE</v>
          </cell>
          <cell r="F7928" t="str">
            <v>Foster, 2010</v>
          </cell>
          <cell r="G7928" t="str">
            <v>NHMSYS0001718247</v>
          </cell>
          <cell r="H7928" t="str">
            <v>Graphoderus bilineatus</v>
          </cell>
        </row>
        <row r="7929">
          <cell r="A7929" t="str">
            <v>Graphoderus cinereus</v>
          </cell>
          <cell r="B7929" t="str">
            <v>Water beetles</v>
          </cell>
          <cell r="C7929" t="str">
            <v>Coleoptera</v>
          </cell>
          <cell r="D7929" t="str">
            <v>Graphoderus cinereus</v>
          </cell>
          <cell r="E7929" t="str">
            <v>VU</v>
          </cell>
          <cell r="F7929" t="str">
            <v>Foster, 2010</v>
          </cell>
          <cell r="G7929" t="str">
            <v>NBNSYS0000007623</v>
          </cell>
          <cell r="H7929" t="str">
            <v>Graphoderus cinereus</v>
          </cell>
        </row>
        <row r="7930">
          <cell r="A7930" t="str">
            <v>Graphoderus zonatus</v>
          </cell>
          <cell r="B7930" t="str">
            <v>Water beetles</v>
          </cell>
          <cell r="C7930" t="str">
            <v>Coleoptera</v>
          </cell>
          <cell r="D7930" t="str">
            <v>Graphoderus zonatus</v>
          </cell>
          <cell r="E7930" t="str">
            <v>CR</v>
          </cell>
          <cell r="F7930" t="str">
            <v>Foster, 2010</v>
          </cell>
          <cell r="G7930" t="str">
            <v>NBNSYS0000007624</v>
          </cell>
          <cell r="H7930" t="str">
            <v>Graphoderus zonatus</v>
          </cell>
        </row>
        <row r="7931">
          <cell r="A7931" t="str">
            <v>Graptodytes bilineatus</v>
          </cell>
          <cell r="B7931" t="str">
            <v>Water beetles</v>
          </cell>
          <cell r="C7931" t="str">
            <v>Coleoptera</v>
          </cell>
          <cell r="D7931" t="str">
            <v>Graptodytes bilineatus</v>
          </cell>
          <cell r="E7931" t="str">
            <v>LC</v>
          </cell>
          <cell r="F7931" t="str">
            <v>Foster, 2010</v>
          </cell>
          <cell r="G7931" t="str">
            <v>NBNSYS0000007565</v>
          </cell>
          <cell r="H7931" t="str">
            <v>Graptodytes bilineatus</v>
          </cell>
        </row>
        <row r="7932">
          <cell r="A7932" t="str">
            <v>Graptodytes flavipes</v>
          </cell>
          <cell r="B7932" t="str">
            <v>Water beetles</v>
          </cell>
          <cell r="C7932" t="str">
            <v>Coleoptera</v>
          </cell>
          <cell r="D7932" t="str">
            <v>Graptodytes flavipes</v>
          </cell>
          <cell r="E7932" t="str">
            <v>NT</v>
          </cell>
          <cell r="F7932" t="str">
            <v>Foster, 2010</v>
          </cell>
          <cell r="G7932" t="str">
            <v>NBNSYS0000007566</v>
          </cell>
          <cell r="H7932" t="str">
            <v>Graptodytes flavipes</v>
          </cell>
        </row>
        <row r="7933">
          <cell r="A7933" t="str">
            <v>Graptodytes granularis</v>
          </cell>
          <cell r="B7933" t="str">
            <v>Water beetles</v>
          </cell>
          <cell r="C7933" t="str">
            <v>Coleoptera</v>
          </cell>
          <cell r="D7933" t="str">
            <v>Graptodytes granularis</v>
          </cell>
          <cell r="E7933" t="str">
            <v>LC</v>
          </cell>
          <cell r="F7933" t="str">
            <v>Foster, 2010</v>
          </cell>
          <cell r="G7933" t="str">
            <v>NBNSYS0000007567</v>
          </cell>
          <cell r="H7933" t="str">
            <v>Graptodytes granularis</v>
          </cell>
        </row>
        <row r="7934">
          <cell r="A7934" t="str">
            <v>Graptodytes pictus</v>
          </cell>
          <cell r="B7934" t="str">
            <v>Water beetles</v>
          </cell>
          <cell r="C7934" t="str">
            <v>Coleoptera</v>
          </cell>
          <cell r="D7934" t="str">
            <v>Graptodytes pictus</v>
          </cell>
          <cell r="E7934" t="str">
            <v>LC</v>
          </cell>
          <cell r="F7934" t="str">
            <v>Foster, 2010</v>
          </cell>
          <cell r="G7934" t="str">
            <v>NHMSYS0001718251</v>
          </cell>
          <cell r="H7934" t="str">
            <v>Graptodytes pictus</v>
          </cell>
        </row>
        <row r="7935">
          <cell r="A7935" t="str">
            <v>Gyrinus aeratus</v>
          </cell>
          <cell r="B7935" t="str">
            <v>Water beetles</v>
          </cell>
          <cell r="C7935" t="str">
            <v>Coleoptera</v>
          </cell>
          <cell r="D7935" t="str">
            <v>Gyrinus aeratus</v>
          </cell>
          <cell r="E7935" t="str">
            <v>LC</v>
          </cell>
          <cell r="F7935" t="str">
            <v>Foster, 2010</v>
          </cell>
          <cell r="G7935" t="str">
            <v>NBNSYS0000007635</v>
          </cell>
          <cell r="H7935" t="str">
            <v>Gyrinus aeratus</v>
          </cell>
        </row>
        <row r="7936">
          <cell r="A7936" t="str">
            <v>Gyrinus caspius</v>
          </cell>
          <cell r="B7936" t="str">
            <v>Water beetles</v>
          </cell>
          <cell r="C7936" t="str">
            <v>Coleoptera</v>
          </cell>
          <cell r="D7936" t="str">
            <v>Gyrinus caspius</v>
          </cell>
          <cell r="E7936" t="str">
            <v>LC</v>
          </cell>
          <cell r="F7936" t="str">
            <v>Foster, 2010</v>
          </cell>
          <cell r="G7936" t="str">
            <v>NHMSYS0001718266</v>
          </cell>
          <cell r="H7936" t="str">
            <v>Gyrinus caspius</v>
          </cell>
        </row>
        <row r="7937">
          <cell r="A7937" t="str">
            <v>Gyrinus distinctus</v>
          </cell>
          <cell r="B7937" t="str">
            <v>Water beetles</v>
          </cell>
          <cell r="C7937" t="str">
            <v>Coleoptera</v>
          </cell>
          <cell r="D7937" t="str">
            <v>Gyrinus distinctus</v>
          </cell>
          <cell r="E7937" t="str">
            <v>LC</v>
          </cell>
          <cell r="F7937" t="str">
            <v>Foster, 2010</v>
          </cell>
          <cell r="G7937" t="str">
            <v>NHMSYS0001718268</v>
          </cell>
          <cell r="H7937" t="str">
            <v>Gyrinus distinctus</v>
          </cell>
        </row>
        <row r="7938">
          <cell r="A7938" t="str">
            <v>Gyrinus marinus</v>
          </cell>
          <cell r="B7938" t="str">
            <v>Water beetles</v>
          </cell>
          <cell r="C7938" t="str">
            <v>Coleoptera</v>
          </cell>
          <cell r="D7938" t="str">
            <v>Gyrinus marinus</v>
          </cell>
          <cell r="E7938" t="str">
            <v>LC</v>
          </cell>
          <cell r="F7938" t="str">
            <v>Foster, 2010</v>
          </cell>
          <cell r="G7938" t="str">
            <v>NBNSYS0000007639</v>
          </cell>
          <cell r="H7938" t="str">
            <v>Gyrinus marinus</v>
          </cell>
        </row>
        <row r="7939">
          <cell r="A7939" t="str">
            <v>Gyrinus minutus</v>
          </cell>
          <cell r="B7939" t="str">
            <v>Water beetles</v>
          </cell>
          <cell r="C7939" t="str">
            <v>Coleoptera</v>
          </cell>
          <cell r="D7939" t="str">
            <v>Gyrinus minutus</v>
          </cell>
          <cell r="E7939" t="str">
            <v>LC</v>
          </cell>
          <cell r="F7939" t="str">
            <v>Foster, 2010</v>
          </cell>
          <cell r="G7939" t="str">
            <v>NHMSYS0001718272</v>
          </cell>
          <cell r="H7939" t="str">
            <v>Gyrinus minutus</v>
          </cell>
        </row>
        <row r="7940">
          <cell r="A7940" t="str">
            <v>Gyrinus natator</v>
          </cell>
          <cell r="B7940" t="str">
            <v>Water beetles</v>
          </cell>
          <cell r="C7940" t="str">
            <v>Coleoptera</v>
          </cell>
          <cell r="D7940" t="str">
            <v>Gyrinus natator</v>
          </cell>
          <cell r="E7940" t="str">
            <v>RE</v>
          </cell>
          <cell r="F7940" t="str">
            <v>Foster, 2010</v>
          </cell>
          <cell r="G7940" t="str">
            <v>NBNSYS0000007641</v>
          </cell>
          <cell r="H7940" t="str">
            <v>Gyrinus natator</v>
          </cell>
        </row>
        <row r="7941">
          <cell r="A7941" t="str">
            <v>Gyrinus paykulli</v>
          </cell>
          <cell r="B7941" t="str">
            <v>Water beetles</v>
          </cell>
          <cell r="C7941" t="str">
            <v>Coleoptera</v>
          </cell>
          <cell r="D7941" t="str">
            <v>Gyrinus paykulli</v>
          </cell>
          <cell r="E7941" t="str">
            <v>LC</v>
          </cell>
          <cell r="F7941" t="str">
            <v>Foster, 2010</v>
          </cell>
          <cell r="G7941" t="str">
            <v>NBNSYS0000007636</v>
          </cell>
          <cell r="H7941" t="str">
            <v>Gyrinus paykulli</v>
          </cell>
        </row>
        <row r="7942">
          <cell r="A7942" t="str">
            <v>Gyrinus substriatus</v>
          </cell>
          <cell r="B7942" t="str">
            <v>Water beetles</v>
          </cell>
          <cell r="C7942" t="str">
            <v>Coleoptera</v>
          </cell>
          <cell r="D7942" t="str">
            <v>Gyrinus substriatus</v>
          </cell>
          <cell r="E7942" t="str">
            <v>LC</v>
          </cell>
          <cell r="F7942" t="str">
            <v>Foster, 2010</v>
          </cell>
          <cell r="G7942" t="str">
            <v>NBNSYS0000007643</v>
          </cell>
          <cell r="H7942" t="str">
            <v>Gyrinus substriatus</v>
          </cell>
        </row>
        <row r="7943">
          <cell r="A7943" t="str">
            <v>Gyrinus suffriani</v>
          </cell>
          <cell r="B7943" t="str">
            <v>Water beetles</v>
          </cell>
          <cell r="C7943" t="str">
            <v>Coleoptera</v>
          </cell>
          <cell r="D7943" t="str">
            <v>Gyrinus suffriani</v>
          </cell>
          <cell r="E7943" t="str">
            <v>VU</v>
          </cell>
          <cell r="F7943" t="str">
            <v>Foster, 2010</v>
          </cell>
          <cell r="G7943" t="str">
            <v>NBNSYS0000007644</v>
          </cell>
          <cell r="H7943" t="str">
            <v>Gyrinus suffriani</v>
          </cell>
        </row>
        <row r="7944">
          <cell r="A7944" t="str">
            <v>Gyrinus urinator</v>
          </cell>
          <cell r="B7944" t="str">
            <v>Water beetles</v>
          </cell>
          <cell r="C7944" t="str">
            <v>Coleoptera</v>
          </cell>
          <cell r="D7944" t="str">
            <v>Gyrinus urinator</v>
          </cell>
          <cell r="E7944" t="str">
            <v>LC</v>
          </cell>
          <cell r="F7944" t="str">
            <v>Foster, 2010</v>
          </cell>
          <cell r="G7944" t="str">
            <v>NBNSYS0000007645</v>
          </cell>
          <cell r="H7944" t="str">
            <v>Gyrinus urinator</v>
          </cell>
        </row>
        <row r="7945">
          <cell r="A7945" t="str">
            <v>Haliplus apicalis</v>
          </cell>
          <cell r="B7945" t="str">
            <v>Water beetles</v>
          </cell>
          <cell r="C7945" t="str">
            <v>Coleoptera</v>
          </cell>
          <cell r="D7945" t="str">
            <v>Haliplus apicalis</v>
          </cell>
          <cell r="E7945" t="str">
            <v>LC</v>
          </cell>
          <cell r="F7945" t="str">
            <v>Foster, 2010</v>
          </cell>
          <cell r="G7945" t="str">
            <v>NBNSYS0000007495</v>
          </cell>
          <cell r="H7945" t="str">
            <v>Haliplus apicalis</v>
          </cell>
        </row>
        <row r="7946">
          <cell r="A7946" t="str">
            <v>Haliplus confinis</v>
          </cell>
          <cell r="B7946" t="str">
            <v>Water beetles</v>
          </cell>
          <cell r="C7946" t="str">
            <v>Coleoptera</v>
          </cell>
          <cell r="D7946" t="str">
            <v>Haliplus confinis</v>
          </cell>
          <cell r="E7946" t="str">
            <v>LC</v>
          </cell>
          <cell r="F7946" t="str">
            <v>Foster, 2010</v>
          </cell>
          <cell r="G7946" t="str">
            <v>NBNSYS0000007496</v>
          </cell>
          <cell r="H7946" t="str">
            <v>Haliplus confinis</v>
          </cell>
        </row>
        <row r="7947">
          <cell r="A7947" t="str">
            <v>Haliplus flavicollis</v>
          </cell>
          <cell r="B7947" t="str">
            <v>Water beetles</v>
          </cell>
          <cell r="C7947" t="str">
            <v>Coleoptera</v>
          </cell>
          <cell r="D7947" t="str">
            <v>Haliplus flavicollis</v>
          </cell>
          <cell r="E7947" t="str">
            <v>LC</v>
          </cell>
          <cell r="F7947" t="str">
            <v>Foster, 2010</v>
          </cell>
          <cell r="G7947" t="str">
            <v>NBNSYS0000007497</v>
          </cell>
          <cell r="H7947" t="str">
            <v>Haliplus flavicollis</v>
          </cell>
        </row>
        <row r="7948">
          <cell r="A7948" t="str">
            <v>Haliplus fluviatilis</v>
          </cell>
          <cell r="B7948" t="str">
            <v>Water beetles</v>
          </cell>
          <cell r="C7948" t="str">
            <v>Coleoptera</v>
          </cell>
          <cell r="D7948" t="str">
            <v>Haliplus fluviatilis</v>
          </cell>
          <cell r="E7948" t="str">
            <v>LC</v>
          </cell>
          <cell r="F7948" t="str">
            <v>Foster, 2010</v>
          </cell>
          <cell r="G7948" t="str">
            <v>NBNSYS0000007498</v>
          </cell>
          <cell r="H7948" t="str">
            <v>Haliplus fluviatilis</v>
          </cell>
        </row>
        <row r="7949">
          <cell r="A7949" t="str">
            <v>Haliplus fulvus</v>
          </cell>
          <cell r="B7949" t="str">
            <v>Water beetles</v>
          </cell>
          <cell r="C7949" t="str">
            <v>Coleoptera</v>
          </cell>
          <cell r="D7949" t="str">
            <v>Haliplus fulvus</v>
          </cell>
          <cell r="E7949" t="str">
            <v>LC</v>
          </cell>
          <cell r="F7949" t="str">
            <v>Foster, 2010</v>
          </cell>
          <cell r="G7949" t="str">
            <v>NBNSYS0000007499</v>
          </cell>
          <cell r="H7949" t="str">
            <v>Haliplus fulvus</v>
          </cell>
        </row>
        <row r="7950">
          <cell r="A7950" t="str">
            <v>Haliplus furcatus</v>
          </cell>
          <cell r="B7950" t="str">
            <v>Water beetles</v>
          </cell>
          <cell r="C7950" t="str">
            <v>Coleoptera</v>
          </cell>
          <cell r="D7950" t="str">
            <v>Haliplus furcatus</v>
          </cell>
          <cell r="E7950" t="str">
            <v>CR</v>
          </cell>
          <cell r="F7950" t="str">
            <v>Foster, 2010</v>
          </cell>
          <cell r="G7950" t="str">
            <v>NBNSYS0000007500</v>
          </cell>
          <cell r="H7950" t="str">
            <v>Haliplus furcatus</v>
          </cell>
        </row>
        <row r="7951">
          <cell r="A7951" t="str">
            <v>Haliplus heydeni</v>
          </cell>
          <cell r="B7951" t="str">
            <v>Water beetles</v>
          </cell>
          <cell r="C7951" t="str">
            <v>Coleoptera</v>
          </cell>
          <cell r="D7951" t="str">
            <v>Haliplus heydeni</v>
          </cell>
          <cell r="E7951" t="str">
            <v>LC</v>
          </cell>
          <cell r="F7951" t="str">
            <v>Foster, 2010</v>
          </cell>
          <cell r="G7951" t="str">
            <v>NBNSYS0000007501</v>
          </cell>
          <cell r="H7951" t="str">
            <v>Haliplus heydeni</v>
          </cell>
        </row>
        <row r="7952">
          <cell r="A7952" t="str">
            <v>Haliplus immaculatus</v>
          </cell>
          <cell r="B7952" t="str">
            <v>Water beetles</v>
          </cell>
          <cell r="C7952" t="str">
            <v>Coleoptera</v>
          </cell>
          <cell r="D7952" t="str">
            <v>Haliplus immaculatus</v>
          </cell>
          <cell r="E7952" t="str">
            <v>LC</v>
          </cell>
          <cell r="F7952" t="str">
            <v>Foster, 2010</v>
          </cell>
          <cell r="G7952" t="str">
            <v>NBNSYS0000007502</v>
          </cell>
          <cell r="H7952" t="str">
            <v>Haliplus immaculatus</v>
          </cell>
        </row>
        <row r="7953">
          <cell r="A7953" t="str">
            <v>Haliplus laminatus</v>
          </cell>
          <cell r="B7953" t="str">
            <v>Water beetles</v>
          </cell>
          <cell r="C7953" t="str">
            <v>Coleoptera</v>
          </cell>
          <cell r="D7953" t="str">
            <v>Haliplus laminatus</v>
          </cell>
          <cell r="E7953" t="str">
            <v>LC</v>
          </cell>
          <cell r="F7953" t="str">
            <v>Foster, 2010</v>
          </cell>
          <cell r="G7953" t="str">
            <v>NBNSYS0000007503</v>
          </cell>
          <cell r="H7953" t="str">
            <v>Haliplus laminatus</v>
          </cell>
        </row>
        <row r="7954">
          <cell r="A7954" t="str">
            <v>Haliplus lineatocollis</v>
          </cell>
          <cell r="B7954" t="str">
            <v>Water beetles</v>
          </cell>
          <cell r="C7954" t="str">
            <v>Coleoptera</v>
          </cell>
          <cell r="D7954" t="str">
            <v>Haliplus lineatocollis</v>
          </cell>
          <cell r="E7954" t="str">
            <v>LC</v>
          </cell>
          <cell r="F7954" t="str">
            <v>Foster, 2010</v>
          </cell>
          <cell r="G7954" t="str">
            <v>NBNSYS0000007504</v>
          </cell>
          <cell r="H7954" t="str">
            <v>Haliplus lineatocollis</v>
          </cell>
        </row>
        <row r="7955">
          <cell r="A7955" t="str">
            <v>Haliplus lineolatus</v>
          </cell>
          <cell r="B7955" t="str">
            <v>Water beetles</v>
          </cell>
          <cell r="C7955" t="str">
            <v>Coleoptera</v>
          </cell>
          <cell r="D7955" t="str">
            <v>Haliplus lineolatus</v>
          </cell>
          <cell r="E7955" t="str">
            <v>LC</v>
          </cell>
          <cell r="F7955" t="str">
            <v>Foster, 2010</v>
          </cell>
          <cell r="G7955" t="str">
            <v>NBNSYS0000007505</v>
          </cell>
          <cell r="H7955" t="str">
            <v>Haliplus lineolatus</v>
          </cell>
        </row>
        <row r="7956">
          <cell r="A7956" t="str">
            <v>Haliplus mucronatus</v>
          </cell>
          <cell r="B7956" t="str">
            <v>Water beetles</v>
          </cell>
          <cell r="C7956" t="str">
            <v>Coleoptera</v>
          </cell>
          <cell r="D7956" t="str">
            <v>Haliplus mucronatus</v>
          </cell>
          <cell r="E7956" t="str">
            <v>LC</v>
          </cell>
          <cell r="F7956" t="str">
            <v>Foster, 2010</v>
          </cell>
          <cell r="G7956" t="str">
            <v>NBNSYS0000007506</v>
          </cell>
          <cell r="H7956" t="str">
            <v>Haliplus mucronatus</v>
          </cell>
        </row>
        <row r="7957">
          <cell r="A7957" t="str">
            <v>Haliplus obliquus</v>
          </cell>
          <cell r="B7957" t="str">
            <v>Water beetles</v>
          </cell>
          <cell r="C7957" t="str">
            <v>Coleoptera</v>
          </cell>
          <cell r="D7957" t="str">
            <v>Haliplus obliquus</v>
          </cell>
          <cell r="E7957" t="str">
            <v>LC</v>
          </cell>
          <cell r="F7957" t="str">
            <v>Foster, 2010</v>
          </cell>
          <cell r="G7957" t="str">
            <v>NBNSYS0000007507</v>
          </cell>
          <cell r="H7957" t="str">
            <v>Haliplus obliquus</v>
          </cell>
        </row>
        <row r="7958">
          <cell r="A7958" t="str">
            <v>Haliplus ruficollis</v>
          </cell>
          <cell r="B7958" t="str">
            <v>Water beetles</v>
          </cell>
          <cell r="C7958" t="str">
            <v>Coleoptera</v>
          </cell>
          <cell r="D7958" t="str">
            <v>Haliplus ruficollis</v>
          </cell>
          <cell r="E7958" t="str">
            <v>LC</v>
          </cell>
          <cell r="F7958" t="str">
            <v>Foster, 2010</v>
          </cell>
          <cell r="G7958" t="str">
            <v>NBNSYS0000007508</v>
          </cell>
          <cell r="H7958" t="str">
            <v>Haliplus ruficollis</v>
          </cell>
        </row>
        <row r="7959">
          <cell r="A7959" t="str">
            <v>Haliplus sibiricus</v>
          </cell>
          <cell r="B7959" t="str">
            <v>Water beetles</v>
          </cell>
          <cell r="C7959" t="str">
            <v>Coleoptera</v>
          </cell>
          <cell r="D7959" t="str">
            <v>Haliplus sibiricus</v>
          </cell>
          <cell r="E7959" t="str">
            <v>LC</v>
          </cell>
          <cell r="F7959" t="str">
            <v>Foster, 2010</v>
          </cell>
          <cell r="G7959" t="str">
            <v>NHMSYS0020919976</v>
          </cell>
          <cell r="H7959" t="str">
            <v>Haliplus sibiricus</v>
          </cell>
        </row>
        <row r="7960">
          <cell r="A7960" t="str">
            <v>Haliplus variegatus</v>
          </cell>
          <cell r="B7960" t="str">
            <v>Water beetles</v>
          </cell>
          <cell r="C7960" t="str">
            <v>Coleoptera</v>
          </cell>
          <cell r="D7960" t="str">
            <v>Haliplus variegatus</v>
          </cell>
          <cell r="E7960" t="str">
            <v>VU</v>
          </cell>
          <cell r="F7960" t="str">
            <v>Foster, 2010</v>
          </cell>
          <cell r="G7960" t="str">
            <v>NBNSYS0000007509</v>
          </cell>
          <cell r="H7960" t="str">
            <v>Haliplus variegatus</v>
          </cell>
        </row>
        <row r="7961">
          <cell r="A7961" t="str">
            <v>Haliplus varius</v>
          </cell>
          <cell r="B7961" t="str">
            <v>Water beetles</v>
          </cell>
          <cell r="C7961" t="str">
            <v>Coleoptera</v>
          </cell>
          <cell r="D7961" t="str">
            <v>Haliplus varius</v>
          </cell>
          <cell r="E7961" t="str">
            <v>CR</v>
          </cell>
          <cell r="F7961" t="str">
            <v>Foster, 2010</v>
          </cell>
          <cell r="G7961" t="str">
            <v>NBNSYS0000007510</v>
          </cell>
          <cell r="H7961" t="str">
            <v>Haliplus varius</v>
          </cell>
        </row>
        <row r="7962">
          <cell r="A7962" t="str">
            <v>Helochares lividus</v>
          </cell>
          <cell r="B7962" t="str">
            <v>Water beetles</v>
          </cell>
          <cell r="C7962" t="str">
            <v>Coleoptera</v>
          </cell>
          <cell r="D7962" t="str">
            <v>Helochares lividus</v>
          </cell>
          <cell r="E7962" t="str">
            <v>LC</v>
          </cell>
          <cell r="F7962" t="str">
            <v>Foster, 2010</v>
          </cell>
          <cell r="G7962" t="str">
            <v>NBNSYS0000007720</v>
          </cell>
          <cell r="H7962" t="str">
            <v>Helochares lividus</v>
          </cell>
        </row>
        <row r="7963">
          <cell r="A7963" t="str">
            <v>Helochares obscurus</v>
          </cell>
          <cell r="B7963" t="str">
            <v>Water beetles</v>
          </cell>
          <cell r="C7963" t="str">
            <v>Coleoptera</v>
          </cell>
          <cell r="D7963" t="str">
            <v>Helochares obscurus</v>
          </cell>
          <cell r="E7963" t="str">
            <v>VU</v>
          </cell>
          <cell r="F7963" t="str">
            <v>Foster, 2010</v>
          </cell>
          <cell r="G7963" t="str">
            <v>NHMSYS0001718384</v>
          </cell>
          <cell r="H7963" t="str">
            <v>Helochares obscurus</v>
          </cell>
        </row>
        <row r="7964">
          <cell r="A7964" t="str">
            <v>Helochares punctatus</v>
          </cell>
          <cell r="B7964" t="str">
            <v>Water beetles</v>
          </cell>
          <cell r="C7964" t="str">
            <v>Coleoptera</v>
          </cell>
          <cell r="D7964" t="str">
            <v>Helochares punctatus</v>
          </cell>
          <cell r="E7964" t="str">
            <v>LC</v>
          </cell>
          <cell r="F7964" t="str">
            <v>Foster, 2010</v>
          </cell>
          <cell r="G7964" t="str">
            <v>NBNSYS0000007722</v>
          </cell>
          <cell r="H7964" t="str">
            <v>Helochares punctatus</v>
          </cell>
        </row>
        <row r="7965">
          <cell r="A7965" t="str">
            <v>Helophorus aequalis</v>
          </cell>
          <cell r="B7965" t="str">
            <v>Water beetles</v>
          </cell>
          <cell r="C7965" t="str">
            <v>Coleoptera</v>
          </cell>
          <cell r="D7965" t="str">
            <v>Helophorus aequalis</v>
          </cell>
          <cell r="E7965" t="str">
            <v>LC</v>
          </cell>
          <cell r="F7965" t="str">
            <v>Foster, 2010</v>
          </cell>
          <cell r="G7965" t="str">
            <v>NBNSYS0000007655</v>
          </cell>
          <cell r="H7965" t="str">
            <v>Helophorus aequalis</v>
          </cell>
        </row>
        <row r="7966">
          <cell r="A7966" t="str">
            <v>Helophorus alternans</v>
          </cell>
          <cell r="B7966" t="str">
            <v>Water beetles</v>
          </cell>
          <cell r="C7966" t="str">
            <v>Coleoptera</v>
          </cell>
          <cell r="D7966" t="str">
            <v>Helophorus alternans</v>
          </cell>
          <cell r="E7966" t="str">
            <v>LC</v>
          </cell>
          <cell r="F7966" t="str">
            <v>Foster, 2010</v>
          </cell>
          <cell r="G7966" t="str">
            <v>NBNSYS0000007656</v>
          </cell>
          <cell r="H7966" t="str">
            <v>Helophorus alternans</v>
          </cell>
        </row>
        <row r="7967">
          <cell r="A7967" t="str">
            <v>Helophorus arvernicus</v>
          </cell>
          <cell r="B7967" t="str">
            <v>Water beetles</v>
          </cell>
          <cell r="C7967" t="str">
            <v>Coleoptera</v>
          </cell>
          <cell r="D7967" t="str">
            <v>Helophorus arvernicus</v>
          </cell>
          <cell r="E7967" t="str">
            <v>LC</v>
          </cell>
          <cell r="F7967" t="str">
            <v>Foster, 2010</v>
          </cell>
          <cell r="G7967" t="str">
            <v>NBNSYS0000007657</v>
          </cell>
          <cell r="H7967" t="str">
            <v>Helophorus arvernicus</v>
          </cell>
        </row>
        <row r="7968">
          <cell r="A7968" t="str">
            <v>Helophorus brevipalpis</v>
          </cell>
          <cell r="B7968" t="str">
            <v>Water beetles</v>
          </cell>
          <cell r="C7968" t="str">
            <v>Coleoptera</v>
          </cell>
          <cell r="D7968" t="str">
            <v>Helophorus brevipalpis</v>
          </cell>
          <cell r="E7968" t="str">
            <v>LC</v>
          </cell>
          <cell r="F7968" t="str">
            <v>Foster, 2010</v>
          </cell>
          <cell r="G7968" t="str">
            <v>NBNSYS0000007658</v>
          </cell>
          <cell r="H7968" t="str">
            <v>Helophorus brevipalpis</v>
          </cell>
        </row>
        <row r="7969">
          <cell r="A7969" t="str">
            <v>Helophorus dorsalis</v>
          </cell>
          <cell r="B7969" t="str">
            <v>Water beetles</v>
          </cell>
          <cell r="C7969" t="str">
            <v>Coleoptera</v>
          </cell>
          <cell r="D7969" t="str">
            <v>Helophorus dorsalis</v>
          </cell>
          <cell r="E7969" t="str">
            <v>LC</v>
          </cell>
          <cell r="F7969" t="str">
            <v>Foster, 2010</v>
          </cell>
          <cell r="G7969" t="str">
            <v>NBNSYS0000007659</v>
          </cell>
          <cell r="H7969" t="str">
            <v>Helophorus dorsalis</v>
          </cell>
        </row>
        <row r="7970">
          <cell r="A7970" t="str">
            <v>Helophorus flavipes</v>
          </cell>
          <cell r="B7970" t="str">
            <v>Water beetles</v>
          </cell>
          <cell r="C7970" t="str">
            <v>Coleoptera</v>
          </cell>
          <cell r="D7970" t="str">
            <v>Helophorus flavipes</v>
          </cell>
          <cell r="E7970" t="str">
            <v>LC</v>
          </cell>
          <cell r="F7970" t="str">
            <v>Foster, 2010</v>
          </cell>
          <cell r="G7970" t="str">
            <v>NBNSYS0000007660</v>
          </cell>
          <cell r="H7970" t="str">
            <v>Helophorus flavipes</v>
          </cell>
        </row>
        <row r="7971">
          <cell r="A7971" t="str">
            <v>Helophorus fulgidicollis</v>
          </cell>
          <cell r="B7971" t="str">
            <v>Water beetles</v>
          </cell>
          <cell r="C7971" t="str">
            <v>Coleoptera</v>
          </cell>
          <cell r="D7971" t="str">
            <v>Helophorus fulgidicollis</v>
          </cell>
          <cell r="E7971" t="str">
            <v>LC</v>
          </cell>
          <cell r="F7971" t="str">
            <v>Foster, 2010</v>
          </cell>
          <cell r="G7971" t="str">
            <v>NBNSYS0000007661</v>
          </cell>
          <cell r="H7971" t="str">
            <v>Helophorus fulgidicollis</v>
          </cell>
        </row>
        <row r="7972">
          <cell r="A7972" t="str">
            <v>Helophorus grandis</v>
          </cell>
          <cell r="B7972" t="str">
            <v>Water beetles</v>
          </cell>
          <cell r="C7972" t="str">
            <v>Coleoptera</v>
          </cell>
          <cell r="D7972" t="str">
            <v>Helophorus grandis</v>
          </cell>
          <cell r="E7972" t="str">
            <v>LC</v>
          </cell>
          <cell r="F7972" t="str">
            <v>Foster, 2010</v>
          </cell>
          <cell r="G7972" t="str">
            <v>NBNSYS0000007662</v>
          </cell>
          <cell r="H7972" t="str">
            <v>Helophorus grandis</v>
          </cell>
        </row>
        <row r="7973">
          <cell r="A7973" t="str">
            <v>Helophorus granularis</v>
          </cell>
          <cell r="B7973" t="str">
            <v>Water beetles</v>
          </cell>
          <cell r="C7973" t="str">
            <v>Coleoptera</v>
          </cell>
          <cell r="D7973" t="str">
            <v>Helophorus granularis</v>
          </cell>
          <cell r="E7973" t="str">
            <v>LC</v>
          </cell>
          <cell r="F7973" t="str">
            <v>Foster, 2010</v>
          </cell>
          <cell r="G7973" t="str">
            <v>NBNSYS0000007663</v>
          </cell>
          <cell r="H7973" t="str">
            <v>Helophorus granularis</v>
          </cell>
        </row>
        <row r="7974">
          <cell r="A7974" t="str">
            <v>Helophorus griseus</v>
          </cell>
          <cell r="B7974" t="str">
            <v>Water beetles</v>
          </cell>
          <cell r="C7974" t="str">
            <v>Coleoptera</v>
          </cell>
          <cell r="D7974" t="str">
            <v>Helophorus griseus</v>
          </cell>
          <cell r="E7974" t="str">
            <v>LC</v>
          </cell>
          <cell r="F7974" t="str">
            <v>Foster, 2010</v>
          </cell>
          <cell r="G7974" t="str">
            <v>NBNSYS0000007664</v>
          </cell>
          <cell r="H7974" t="str">
            <v>Helophorus griseus</v>
          </cell>
        </row>
        <row r="7975">
          <cell r="A7975" t="str">
            <v>Helophorus laticollis</v>
          </cell>
          <cell r="B7975" t="str">
            <v>Water beetles</v>
          </cell>
          <cell r="C7975" t="str">
            <v>Coleoptera</v>
          </cell>
          <cell r="D7975" t="str">
            <v>Helophorus laticollis</v>
          </cell>
          <cell r="E7975" t="str">
            <v>EN</v>
          </cell>
          <cell r="F7975" t="str">
            <v>Foster, 2010</v>
          </cell>
          <cell r="G7975" t="str">
            <v>NBNSYS0000007665</v>
          </cell>
          <cell r="H7975" t="str">
            <v>Helophorus laticollis</v>
          </cell>
        </row>
        <row r="7976">
          <cell r="A7976" t="str">
            <v>Helophorus longitarsis</v>
          </cell>
          <cell r="B7976" t="str">
            <v>Water beetles</v>
          </cell>
          <cell r="C7976" t="str">
            <v>Coleoptera</v>
          </cell>
          <cell r="D7976" t="str">
            <v>Helophorus longitarsis</v>
          </cell>
          <cell r="E7976" t="str">
            <v>LC</v>
          </cell>
          <cell r="F7976" t="str">
            <v>Foster, 2010</v>
          </cell>
          <cell r="G7976" t="str">
            <v>NBNSYS0000007666</v>
          </cell>
          <cell r="H7976" t="str">
            <v>Helophorus longitarsis</v>
          </cell>
        </row>
        <row r="7977">
          <cell r="A7977" t="str">
            <v>Helophorus minutus</v>
          </cell>
          <cell r="B7977" t="str">
            <v>Water beetles</v>
          </cell>
          <cell r="C7977" t="str">
            <v>Coleoptera</v>
          </cell>
          <cell r="D7977" t="str">
            <v>Helophorus minutus</v>
          </cell>
          <cell r="E7977" t="str">
            <v>LC</v>
          </cell>
          <cell r="F7977" t="str">
            <v>Foster, 2010</v>
          </cell>
          <cell r="G7977" t="str">
            <v>NBNSYS0000007667</v>
          </cell>
          <cell r="H7977" t="str">
            <v>Helophorus minutus</v>
          </cell>
        </row>
        <row r="7978">
          <cell r="A7978" t="str">
            <v>Helophorus nanus</v>
          </cell>
          <cell r="B7978" t="str">
            <v>Water beetles</v>
          </cell>
          <cell r="C7978" t="str">
            <v>Coleoptera</v>
          </cell>
          <cell r="D7978" t="str">
            <v>Helophorus nanus</v>
          </cell>
          <cell r="E7978" t="str">
            <v>LC</v>
          </cell>
          <cell r="F7978" t="str">
            <v>Foster, 2010</v>
          </cell>
          <cell r="G7978" t="str">
            <v>NBNSYS0000007668</v>
          </cell>
          <cell r="H7978" t="str">
            <v>Helophorus nanus</v>
          </cell>
        </row>
        <row r="7979">
          <cell r="A7979" t="str">
            <v>Helophorus nubilus</v>
          </cell>
          <cell r="B7979" t="str">
            <v>Water beetles</v>
          </cell>
          <cell r="C7979" t="str">
            <v>Coleoptera</v>
          </cell>
          <cell r="D7979" t="str">
            <v>Helophorus nubilus</v>
          </cell>
          <cell r="E7979" t="str">
            <v>LC</v>
          </cell>
          <cell r="F7979" t="str">
            <v>Foster, 2010</v>
          </cell>
          <cell r="G7979" t="str">
            <v>NBNSYS0000007669</v>
          </cell>
          <cell r="H7979" t="str">
            <v>Helophorus nubilus</v>
          </cell>
        </row>
        <row r="7980">
          <cell r="A7980" t="str">
            <v>Helophorus obscurus</v>
          </cell>
          <cell r="B7980" t="str">
            <v>Water beetles</v>
          </cell>
          <cell r="C7980" t="str">
            <v>Coleoptera</v>
          </cell>
          <cell r="D7980" t="str">
            <v>Helophorus obscurus</v>
          </cell>
          <cell r="E7980" t="str">
            <v>LC</v>
          </cell>
          <cell r="F7980" t="str">
            <v>Foster, 2010</v>
          </cell>
          <cell r="G7980" t="str">
            <v>NBNSYS0000007670</v>
          </cell>
          <cell r="H7980" t="str">
            <v>Helophorus obscurus</v>
          </cell>
        </row>
        <row r="7981">
          <cell r="A7981" t="str">
            <v>Helophorus strigifrons</v>
          </cell>
          <cell r="B7981" t="str">
            <v>Water beetles</v>
          </cell>
          <cell r="C7981" t="str">
            <v>Coleoptera</v>
          </cell>
          <cell r="D7981" t="str">
            <v>Helophorus strigifrons</v>
          </cell>
          <cell r="E7981" t="str">
            <v>LC</v>
          </cell>
          <cell r="F7981" t="str">
            <v>Foster, 2010</v>
          </cell>
          <cell r="G7981" t="str">
            <v>NBNSYS0000007673</v>
          </cell>
          <cell r="H7981" t="str">
            <v>Helophorus strigifrons</v>
          </cell>
        </row>
        <row r="7982">
          <cell r="A7982" t="str">
            <v>Helophorus tuberculatus</v>
          </cell>
          <cell r="B7982" t="str">
            <v>Water beetles</v>
          </cell>
          <cell r="C7982" t="str">
            <v>Coleoptera</v>
          </cell>
          <cell r="D7982" t="str">
            <v>Helophorus tuberculatus</v>
          </cell>
          <cell r="E7982" t="str">
            <v>VU</v>
          </cell>
          <cell r="F7982" t="str">
            <v>Foster, 2010</v>
          </cell>
          <cell r="G7982" t="str">
            <v>NBNSYS0000007674</v>
          </cell>
          <cell r="H7982" t="str">
            <v>Helophorus tuberculatus</v>
          </cell>
        </row>
        <row r="7983">
          <cell r="A7983" t="str">
            <v>Heterocerus fenestratus</v>
          </cell>
          <cell r="B7983" t="str">
            <v>Water beetles</v>
          </cell>
          <cell r="C7983" t="str">
            <v>Coleoptera</v>
          </cell>
          <cell r="D7983" t="str">
            <v>Heterocerus fenestratus</v>
          </cell>
          <cell r="E7983" t="str">
            <v>LC</v>
          </cell>
          <cell r="F7983" t="str">
            <v>Foster, 2010</v>
          </cell>
          <cell r="G7983" t="str">
            <v>NBNSYS0000024202</v>
          </cell>
          <cell r="H7983" t="str">
            <v>Heterocerus fenestratus</v>
          </cell>
        </row>
        <row r="7984">
          <cell r="A7984" t="str">
            <v>Heterocerus flexuosus</v>
          </cell>
          <cell r="B7984" t="str">
            <v>Water beetles</v>
          </cell>
          <cell r="C7984" t="str">
            <v>Coleoptera</v>
          </cell>
          <cell r="D7984" t="str">
            <v>Heterocerus flexuosus</v>
          </cell>
          <cell r="E7984" t="str">
            <v>LC</v>
          </cell>
          <cell r="F7984" t="str">
            <v>Foster, 2010</v>
          </cell>
          <cell r="G7984" t="str">
            <v>NBNSYS0000024203</v>
          </cell>
          <cell r="H7984" t="str">
            <v>Heterocerus flexuosus</v>
          </cell>
        </row>
        <row r="7985">
          <cell r="A7985" t="str">
            <v>Heterocerus fossor</v>
          </cell>
          <cell r="B7985" t="str">
            <v>Water beetles</v>
          </cell>
          <cell r="C7985" t="str">
            <v>Coleoptera</v>
          </cell>
          <cell r="D7985" t="str">
            <v>Heterocerus fossor</v>
          </cell>
          <cell r="E7985" t="str">
            <v>LC</v>
          </cell>
          <cell r="F7985" t="str">
            <v>Foster, 2010</v>
          </cell>
          <cell r="G7985" t="str">
            <v>NBNSYS0000024204</v>
          </cell>
          <cell r="H7985" t="str">
            <v>Heterocerus fossor</v>
          </cell>
        </row>
        <row r="7986">
          <cell r="A7986" t="str">
            <v>Heterocerus fusculus</v>
          </cell>
          <cell r="B7986" t="str">
            <v>Water beetles</v>
          </cell>
          <cell r="C7986" t="str">
            <v>Coleoptera</v>
          </cell>
          <cell r="D7986" t="str">
            <v>Heterocerus fusculus</v>
          </cell>
          <cell r="E7986" t="str">
            <v>VU</v>
          </cell>
          <cell r="F7986" t="str">
            <v>Foster, 2010</v>
          </cell>
          <cell r="G7986" t="str">
            <v>NBNSYS0000024205</v>
          </cell>
          <cell r="H7986" t="str">
            <v>Heterocerus fusculus</v>
          </cell>
        </row>
        <row r="7987">
          <cell r="A7987" t="str">
            <v>Heterocerus marginatus</v>
          </cell>
          <cell r="B7987" t="str">
            <v>Water beetles</v>
          </cell>
          <cell r="C7987" t="str">
            <v>Coleoptera</v>
          </cell>
          <cell r="D7987" t="str">
            <v>Heterocerus marginatus</v>
          </cell>
          <cell r="E7987" t="str">
            <v>LC</v>
          </cell>
          <cell r="F7987" t="str">
            <v>Foster, 2010</v>
          </cell>
          <cell r="G7987" t="str">
            <v>NHMSYS0001718445</v>
          </cell>
          <cell r="H7987" t="str">
            <v>Heterocerus marginatus</v>
          </cell>
        </row>
        <row r="7988">
          <cell r="A7988" t="str">
            <v>Heterocerus obsoletus</v>
          </cell>
          <cell r="B7988" t="str">
            <v>Water beetles</v>
          </cell>
          <cell r="C7988" t="str">
            <v>Coleoptera</v>
          </cell>
          <cell r="D7988" t="str">
            <v>Heterocerus obsoletus</v>
          </cell>
          <cell r="E7988" t="str">
            <v>LC</v>
          </cell>
          <cell r="F7988" t="str">
            <v>Foster, 2010</v>
          </cell>
          <cell r="G7988" t="str">
            <v>NBNSYS0000024209</v>
          </cell>
          <cell r="H7988" t="str">
            <v>Heterocerus obsoletus</v>
          </cell>
        </row>
        <row r="7989">
          <cell r="A7989" t="str">
            <v>Hydaticus seminiger</v>
          </cell>
          <cell r="B7989" t="str">
            <v>Water beetles</v>
          </cell>
          <cell r="C7989" t="str">
            <v>Coleoptera</v>
          </cell>
          <cell r="D7989" t="str">
            <v>Hydaticus seminiger</v>
          </cell>
          <cell r="E7989" t="str">
            <v>LC</v>
          </cell>
          <cell r="F7989" t="str">
            <v>Foster, 2010</v>
          </cell>
          <cell r="G7989" t="str">
            <v>NHMSYS0001718477</v>
          </cell>
          <cell r="H7989" t="str">
            <v>Hydaticus seminiger</v>
          </cell>
        </row>
        <row r="7990">
          <cell r="A7990" t="str">
            <v>Hydaticus transversalis</v>
          </cell>
          <cell r="B7990" t="str">
            <v>Water beetles</v>
          </cell>
          <cell r="C7990" t="str">
            <v>Coleoptera</v>
          </cell>
          <cell r="D7990" t="str">
            <v>Hydaticus transversalis</v>
          </cell>
          <cell r="E7990" t="str">
            <v>LC</v>
          </cell>
          <cell r="F7990" t="str">
            <v>Foster, 2010</v>
          </cell>
          <cell r="G7990" t="str">
            <v>NBNSYS0000007621</v>
          </cell>
          <cell r="H7990" t="str">
            <v>Hydaticus transversalis</v>
          </cell>
        </row>
        <row r="7991">
          <cell r="A7991" t="str">
            <v>Hydraena britteni</v>
          </cell>
          <cell r="B7991" t="str">
            <v>Water beetles</v>
          </cell>
          <cell r="C7991" t="str">
            <v>Coleoptera</v>
          </cell>
          <cell r="D7991" t="str">
            <v>Hydraena britteni</v>
          </cell>
          <cell r="E7991" t="str">
            <v>LC</v>
          </cell>
          <cell r="F7991" t="str">
            <v>Foster, 2010</v>
          </cell>
          <cell r="G7991" t="str">
            <v>NBNSYS0000007758</v>
          </cell>
          <cell r="H7991" t="str">
            <v>Hydraena britteni</v>
          </cell>
        </row>
        <row r="7992">
          <cell r="A7992" t="str">
            <v>Hydraena gracilis</v>
          </cell>
          <cell r="B7992" t="str">
            <v>Water beetles</v>
          </cell>
          <cell r="C7992" t="str">
            <v>Coleoptera</v>
          </cell>
          <cell r="D7992" t="str">
            <v>Hydraena gracilis</v>
          </cell>
          <cell r="E7992" t="str">
            <v>LC</v>
          </cell>
          <cell r="F7992" t="str">
            <v>Foster, 2010</v>
          </cell>
          <cell r="G7992" t="str">
            <v>NBNSYS0000007759</v>
          </cell>
          <cell r="H7992" t="str">
            <v>Hydraena gracilis</v>
          </cell>
        </row>
        <row r="7993">
          <cell r="A7993" t="str">
            <v>Hydraena minutissima</v>
          </cell>
          <cell r="B7993" t="str">
            <v>Water beetles</v>
          </cell>
          <cell r="C7993" t="str">
            <v>Coleoptera</v>
          </cell>
          <cell r="D7993" t="str">
            <v>Hydraena minutissima</v>
          </cell>
          <cell r="E7993" t="str">
            <v>NT</v>
          </cell>
          <cell r="F7993" t="str">
            <v>Foster, 2010</v>
          </cell>
          <cell r="G7993" t="str">
            <v>NBNSYS0000007760</v>
          </cell>
          <cell r="H7993" t="str">
            <v>Hydraena minutissima</v>
          </cell>
        </row>
        <row r="7994">
          <cell r="A7994" t="str">
            <v>Hydraena nigrita</v>
          </cell>
          <cell r="B7994" t="str">
            <v>Water beetles</v>
          </cell>
          <cell r="C7994" t="str">
            <v>Coleoptera</v>
          </cell>
          <cell r="D7994" t="str">
            <v>Hydraena nigrita</v>
          </cell>
          <cell r="E7994" t="str">
            <v>LC</v>
          </cell>
          <cell r="F7994" t="str">
            <v>Foster, 2010</v>
          </cell>
          <cell r="G7994" t="str">
            <v>NBNSYS0000007761</v>
          </cell>
          <cell r="H7994" t="str">
            <v>Hydraena nigrita</v>
          </cell>
        </row>
        <row r="7995">
          <cell r="A7995" t="str">
            <v>Hydraena palustris</v>
          </cell>
          <cell r="B7995" t="str">
            <v>Water beetles</v>
          </cell>
          <cell r="C7995" t="str">
            <v>Coleoptera</v>
          </cell>
          <cell r="D7995" t="str">
            <v>Hydraena palustris</v>
          </cell>
          <cell r="E7995" t="str">
            <v>NT</v>
          </cell>
          <cell r="F7995" t="str">
            <v>Foster, 2010</v>
          </cell>
          <cell r="G7995" t="str">
            <v>NBNSYS0000007762</v>
          </cell>
          <cell r="H7995" t="str">
            <v>Hydraena palustris</v>
          </cell>
        </row>
        <row r="7996">
          <cell r="A7996" t="str">
            <v>Hydraena pulchella</v>
          </cell>
          <cell r="B7996" t="str">
            <v>Water beetles</v>
          </cell>
          <cell r="C7996" t="str">
            <v>Coleoptera</v>
          </cell>
          <cell r="D7996" t="str">
            <v>Hydraena pulchella</v>
          </cell>
          <cell r="E7996" t="str">
            <v>VU</v>
          </cell>
          <cell r="F7996" t="str">
            <v>Foster, 2010</v>
          </cell>
          <cell r="G7996" t="str">
            <v>NBNSYS0000007763</v>
          </cell>
          <cell r="H7996" t="str">
            <v>Hydraena pulchella</v>
          </cell>
        </row>
        <row r="7997">
          <cell r="A7997" t="str">
            <v>Hydraena pygmaea</v>
          </cell>
          <cell r="B7997" t="str">
            <v>Water beetles</v>
          </cell>
          <cell r="C7997" t="str">
            <v>Coleoptera</v>
          </cell>
          <cell r="D7997" t="str">
            <v>Hydraena pygmaea</v>
          </cell>
          <cell r="E7997" t="str">
            <v>VU</v>
          </cell>
          <cell r="F7997" t="str">
            <v>Foster, 2010</v>
          </cell>
          <cell r="G7997" t="str">
            <v>NHMSYS0001718485</v>
          </cell>
          <cell r="H7997" t="str">
            <v>Hydraena pygmaea</v>
          </cell>
        </row>
        <row r="7998">
          <cell r="A7998" t="str">
            <v>Hydraena riparia</v>
          </cell>
          <cell r="B7998" t="str">
            <v>Water beetles</v>
          </cell>
          <cell r="C7998" t="str">
            <v>Coleoptera</v>
          </cell>
          <cell r="D7998" t="str">
            <v>Hydraena riparia</v>
          </cell>
          <cell r="E7998" t="str">
            <v>LC</v>
          </cell>
          <cell r="F7998" t="str">
            <v>Foster, 2010</v>
          </cell>
          <cell r="G7998" t="str">
            <v>NBNSYS0000007765</v>
          </cell>
          <cell r="H7998" t="str">
            <v>Hydraena riparia</v>
          </cell>
        </row>
        <row r="7999">
          <cell r="A7999" t="str">
            <v>Hydraena rufipes</v>
          </cell>
          <cell r="B7999" t="str">
            <v>Water beetles</v>
          </cell>
          <cell r="C7999" t="str">
            <v>Coleoptera</v>
          </cell>
          <cell r="D7999" t="str">
            <v>Hydraena rufipes</v>
          </cell>
          <cell r="E7999" t="str">
            <v>LC</v>
          </cell>
          <cell r="F7999" t="str">
            <v>Foster, 2010</v>
          </cell>
          <cell r="G7999" t="str">
            <v>NBNSYS0000007766</v>
          </cell>
          <cell r="H7999" t="str">
            <v>Hydraena rufipes</v>
          </cell>
        </row>
        <row r="8000">
          <cell r="A8000" t="str">
            <v>Hydraena testacea</v>
          </cell>
          <cell r="B8000" t="str">
            <v>Water beetles</v>
          </cell>
          <cell r="C8000" t="str">
            <v>Coleoptera</v>
          </cell>
          <cell r="D8000" t="str">
            <v>Hydraena testacea</v>
          </cell>
          <cell r="E8000" t="str">
            <v>LC</v>
          </cell>
          <cell r="F8000" t="str">
            <v>Foster, 2010</v>
          </cell>
          <cell r="G8000" t="str">
            <v>NBNSYS0000007767</v>
          </cell>
          <cell r="H8000" t="str">
            <v>Hydraena testacea</v>
          </cell>
        </row>
        <row r="8001">
          <cell r="A8001" t="str">
            <v>Hydrobius fuscipes</v>
          </cell>
          <cell r="B8001" t="str">
            <v>Water beetles</v>
          </cell>
          <cell r="C8001" t="str">
            <v>Coleoptera</v>
          </cell>
          <cell r="D8001" t="str">
            <v>Hydrobius fuscipes</v>
          </cell>
          <cell r="E8001" t="str">
            <v>LC</v>
          </cell>
          <cell r="F8001" t="str">
            <v>Foster, 2010</v>
          </cell>
          <cell r="G8001" t="str">
            <v>NHMSYS0021486557</v>
          </cell>
          <cell r="H8001" t="str">
            <v>Hydrobius fuscipes</v>
          </cell>
        </row>
        <row r="8002">
          <cell r="A8002" t="str">
            <v>Hydrochara caraboides</v>
          </cell>
          <cell r="B8002" t="str">
            <v>Water beetles</v>
          </cell>
          <cell r="C8002" t="str">
            <v>Coleoptera</v>
          </cell>
          <cell r="D8002" t="str">
            <v>Hydrochara caraboides</v>
          </cell>
          <cell r="E8002" t="str">
            <v>NT</v>
          </cell>
          <cell r="F8002" t="str">
            <v>Foster, 2010</v>
          </cell>
          <cell r="G8002" t="str">
            <v>NBNSYS0000007736</v>
          </cell>
          <cell r="H8002" t="str">
            <v>Hydrochara caraboides</v>
          </cell>
        </row>
        <row r="8003">
          <cell r="A8003" t="str">
            <v>Hydrochus angustatus</v>
          </cell>
          <cell r="B8003" t="str">
            <v>Water beetles</v>
          </cell>
          <cell r="C8003" t="str">
            <v>Coleoptera</v>
          </cell>
          <cell r="D8003" t="str">
            <v>Hydrochus angustatus</v>
          </cell>
          <cell r="E8003" t="str">
            <v>LC</v>
          </cell>
          <cell r="F8003" t="str">
            <v>Foster, 2010</v>
          </cell>
          <cell r="G8003" t="str">
            <v>NBNSYS0000007649</v>
          </cell>
          <cell r="H8003" t="str">
            <v>Hydrochus angustatus</v>
          </cell>
        </row>
        <row r="8004">
          <cell r="A8004" t="str">
            <v>Hydrochus brevis</v>
          </cell>
          <cell r="B8004" t="str">
            <v>Water beetles</v>
          </cell>
          <cell r="C8004" t="str">
            <v>Coleoptera</v>
          </cell>
          <cell r="D8004" t="str">
            <v>Hydrochus brevis</v>
          </cell>
          <cell r="E8004" t="str">
            <v>NT</v>
          </cell>
          <cell r="F8004" t="str">
            <v>Foster, 2010</v>
          </cell>
          <cell r="G8004" t="str">
            <v>NBNSYS0000007650</v>
          </cell>
          <cell r="H8004" t="str">
            <v>Hydrochus brevis</v>
          </cell>
        </row>
        <row r="8005">
          <cell r="A8005" t="str">
            <v>Hydrochus crenatus</v>
          </cell>
          <cell r="B8005" t="str">
            <v>Water beetles</v>
          </cell>
          <cell r="C8005" t="str">
            <v>Coleoptera</v>
          </cell>
          <cell r="D8005" t="str">
            <v>Hydrochus crenatus</v>
          </cell>
          <cell r="E8005" t="str">
            <v>NT</v>
          </cell>
          <cell r="F8005" t="str">
            <v>Foster, 2010</v>
          </cell>
          <cell r="G8005" t="str">
            <v>NHMSYS0001718496</v>
          </cell>
          <cell r="H8005" t="str">
            <v>Hydrochus crenatus</v>
          </cell>
        </row>
        <row r="8006">
          <cell r="A8006" t="str">
            <v>Hydrochus elongatus</v>
          </cell>
          <cell r="B8006" t="str">
            <v>Water beetles</v>
          </cell>
          <cell r="C8006" t="str">
            <v>Coleoptera</v>
          </cell>
          <cell r="D8006" t="str">
            <v>Hydrochus elongatus</v>
          </cell>
          <cell r="E8006" t="str">
            <v>NT</v>
          </cell>
          <cell r="F8006" t="str">
            <v>Foster, 2010</v>
          </cell>
          <cell r="G8006" t="str">
            <v>NBNSYS0000007652</v>
          </cell>
          <cell r="H8006" t="str">
            <v>Hydrochus elongatus</v>
          </cell>
        </row>
        <row r="8007">
          <cell r="A8007" t="str">
            <v>Hydrochus ignicollis</v>
          </cell>
          <cell r="B8007" t="str">
            <v>Water beetles</v>
          </cell>
          <cell r="C8007" t="str">
            <v>Coleoptera</v>
          </cell>
          <cell r="D8007" t="str">
            <v>Hydrochus ignicollis</v>
          </cell>
          <cell r="E8007" t="str">
            <v>NT</v>
          </cell>
          <cell r="F8007" t="str">
            <v>Foster, 2010</v>
          </cell>
          <cell r="G8007" t="str">
            <v>NBNSYS0000007653</v>
          </cell>
          <cell r="H8007" t="str">
            <v>Hydrochus ignicollis</v>
          </cell>
        </row>
        <row r="8008">
          <cell r="A8008" t="str">
            <v>Hydrochus megaphallus</v>
          </cell>
          <cell r="B8008" t="str">
            <v>Water beetles</v>
          </cell>
          <cell r="C8008" t="str">
            <v>Coleoptera</v>
          </cell>
          <cell r="D8008" t="str">
            <v>Hydrochus megaphallus</v>
          </cell>
          <cell r="E8008" t="str">
            <v>VU</v>
          </cell>
          <cell r="F8008" t="str">
            <v>Foster, 2010</v>
          </cell>
          <cell r="G8008" t="str">
            <v>NHMSYS0001718499</v>
          </cell>
          <cell r="H8008" t="str">
            <v>Hydrochus megaphallus</v>
          </cell>
        </row>
        <row r="8009">
          <cell r="A8009" t="str">
            <v>Hydrochus nitidicollis</v>
          </cell>
          <cell r="B8009" t="str">
            <v>Water beetles</v>
          </cell>
          <cell r="C8009" t="str">
            <v>Coleoptera</v>
          </cell>
          <cell r="D8009" t="str">
            <v>Hydrochus nitidicollis</v>
          </cell>
          <cell r="E8009" t="str">
            <v>VU</v>
          </cell>
          <cell r="F8009" t="str">
            <v>Foster, 2010</v>
          </cell>
          <cell r="G8009" t="str">
            <v>NBNSYS0000007654</v>
          </cell>
          <cell r="H8009" t="str">
            <v>Hydrochus nitidicollis</v>
          </cell>
        </row>
        <row r="8010">
          <cell r="A8010" t="str">
            <v>Hydrocyphon deflexicollis</v>
          </cell>
          <cell r="B8010" t="str">
            <v>Water beetles</v>
          </cell>
          <cell r="C8010" t="str">
            <v>Coleoptera</v>
          </cell>
          <cell r="D8010" t="str">
            <v>Hydrocyphon deflexicollis</v>
          </cell>
          <cell r="E8010" t="str">
            <v>NT</v>
          </cell>
          <cell r="F8010" t="str">
            <v>Foster, 2010</v>
          </cell>
          <cell r="G8010" t="str">
            <v>NHMSYS0001718501</v>
          </cell>
          <cell r="H8010" t="str">
            <v>Hydrocyphon deflexicollis</v>
          </cell>
        </row>
        <row r="8011">
          <cell r="A8011" t="str">
            <v>Hydroglyphus geminus</v>
          </cell>
          <cell r="B8011" t="str">
            <v>Water beetles</v>
          </cell>
          <cell r="C8011" t="str">
            <v>Coleoptera</v>
          </cell>
          <cell r="D8011" t="str">
            <v>Hydroglyphus geminus</v>
          </cell>
          <cell r="E8011" t="str">
            <v>LC</v>
          </cell>
          <cell r="F8011" t="str">
            <v>Foster, 2010</v>
          </cell>
          <cell r="G8011" t="str">
            <v>NHMSYS0001718503</v>
          </cell>
          <cell r="H8011" t="str">
            <v>Hydroglyphus geminus</v>
          </cell>
        </row>
        <row r="8012">
          <cell r="A8012" t="str">
            <v>Hydrophilus piceus</v>
          </cell>
          <cell r="B8012" t="str">
            <v>Water beetles</v>
          </cell>
          <cell r="C8012" t="str">
            <v>Coleoptera</v>
          </cell>
          <cell r="D8012" t="str">
            <v>Hydrophilus piceus</v>
          </cell>
          <cell r="E8012" t="str">
            <v>NT</v>
          </cell>
          <cell r="F8012" t="str">
            <v>Foster, 2010</v>
          </cell>
          <cell r="G8012" t="str">
            <v>NBNSYS0000007737</v>
          </cell>
          <cell r="H8012" t="str">
            <v>Hydrophilus piceus</v>
          </cell>
        </row>
        <row r="8013">
          <cell r="A8013" t="str">
            <v>Hydroporus angustatus</v>
          </cell>
          <cell r="B8013" t="str">
            <v>Water beetles</v>
          </cell>
          <cell r="C8013" t="str">
            <v>Coleoptera</v>
          </cell>
          <cell r="D8013" t="str">
            <v>Hydroporus angustatus</v>
          </cell>
          <cell r="E8013" t="str">
            <v>LC</v>
          </cell>
          <cell r="F8013" t="str">
            <v>Foster, 2010</v>
          </cell>
          <cell r="G8013" t="str">
            <v>NBNSYS0000007534</v>
          </cell>
          <cell r="H8013" t="str">
            <v>Hydroporus angustatus</v>
          </cell>
        </row>
        <row r="8014">
          <cell r="A8014" t="str">
            <v>Hydroporus discretus</v>
          </cell>
          <cell r="B8014" t="str">
            <v>Water beetles</v>
          </cell>
          <cell r="C8014" t="str">
            <v>Coleoptera</v>
          </cell>
          <cell r="D8014" t="str">
            <v>Hydroporus discretus</v>
          </cell>
          <cell r="E8014" t="str">
            <v>LC</v>
          </cell>
          <cell r="F8014" t="str">
            <v>Foster, 2010</v>
          </cell>
          <cell r="G8014" t="str">
            <v>NHMSYS0001718515</v>
          </cell>
          <cell r="H8014" t="str">
            <v>Hydroporus discretus</v>
          </cell>
        </row>
        <row r="8015">
          <cell r="A8015" t="str">
            <v>Hydroporus elongatulus</v>
          </cell>
          <cell r="B8015" t="str">
            <v>Water beetles</v>
          </cell>
          <cell r="C8015" t="str">
            <v>Coleoptera</v>
          </cell>
          <cell r="D8015" t="str">
            <v>Hydroporus elongatulus</v>
          </cell>
          <cell r="E8015" t="str">
            <v>VU</v>
          </cell>
          <cell r="F8015" t="str">
            <v>Foster, 2010</v>
          </cell>
          <cell r="G8015" t="str">
            <v>NBNSYS0000007537</v>
          </cell>
          <cell r="H8015" t="str">
            <v>Hydroporus elongatulus</v>
          </cell>
        </row>
        <row r="8016">
          <cell r="A8016" t="str">
            <v>Hydroporus erythrocephalus</v>
          </cell>
          <cell r="B8016" t="str">
            <v>Water beetles</v>
          </cell>
          <cell r="C8016" t="str">
            <v>Coleoptera</v>
          </cell>
          <cell r="D8016" t="str">
            <v>Hydroporus erythrocephalus</v>
          </cell>
          <cell r="E8016" t="str">
            <v>LC</v>
          </cell>
          <cell r="F8016" t="str">
            <v>Foster, 2010</v>
          </cell>
          <cell r="G8016" t="str">
            <v>NBNSYS0000007538</v>
          </cell>
          <cell r="H8016" t="str">
            <v>Hydroporus erythrocephalus</v>
          </cell>
        </row>
        <row r="8017">
          <cell r="A8017" t="str">
            <v>Hydroporus ferrugineus</v>
          </cell>
          <cell r="B8017" t="str">
            <v>Water beetles</v>
          </cell>
          <cell r="C8017" t="str">
            <v>Coleoptera</v>
          </cell>
          <cell r="D8017" t="str">
            <v>Hydroporus ferrugineus</v>
          </cell>
          <cell r="E8017" t="str">
            <v>LC</v>
          </cell>
          <cell r="F8017" t="str">
            <v>Foster, 2010</v>
          </cell>
          <cell r="G8017" t="str">
            <v>NBNSYS0000007539</v>
          </cell>
          <cell r="H8017" t="str">
            <v>Hydroporus ferrugineus</v>
          </cell>
        </row>
        <row r="8018">
          <cell r="A8018" t="str">
            <v>Hydroporus glabriusculus</v>
          </cell>
          <cell r="B8018" t="str">
            <v>Water beetles</v>
          </cell>
          <cell r="C8018" t="str">
            <v>Coleoptera</v>
          </cell>
          <cell r="D8018" t="str">
            <v>Hydroporus glabriusculus</v>
          </cell>
          <cell r="E8018" t="str">
            <v>VU</v>
          </cell>
          <cell r="F8018" t="str">
            <v>Foster, 2010</v>
          </cell>
          <cell r="G8018" t="str">
            <v>NHMSYS0001718517</v>
          </cell>
          <cell r="H8018" t="str">
            <v>Hydroporus glabriusculus</v>
          </cell>
        </row>
        <row r="8019">
          <cell r="A8019" t="str">
            <v>Hydroporus gyllenhalii</v>
          </cell>
          <cell r="B8019" t="str">
            <v>Water beetles</v>
          </cell>
          <cell r="C8019" t="str">
            <v>Coleoptera</v>
          </cell>
          <cell r="D8019" t="str">
            <v>Hydroporus gyllenhalii</v>
          </cell>
          <cell r="E8019" t="str">
            <v>LC</v>
          </cell>
          <cell r="F8019" t="str">
            <v>Foster, 2010</v>
          </cell>
          <cell r="G8019" t="str">
            <v>NHMSYS0001718519</v>
          </cell>
          <cell r="H8019" t="str">
            <v>Hydroporus gyllenhalii</v>
          </cell>
        </row>
        <row r="8020">
          <cell r="A8020" t="str">
            <v>Hydroporus incognitus</v>
          </cell>
          <cell r="B8020" t="str">
            <v>Water beetles</v>
          </cell>
          <cell r="C8020" t="str">
            <v>Coleoptera</v>
          </cell>
          <cell r="D8020" t="str">
            <v>Hydroporus incognitus</v>
          </cell>
          <cell r="E8020" t="str">
            <v>LC</v>
          </cell>
          <cell r="F8020" t="str">
            <v>Foster, 2010</v>
          </cell>
          <cell r="G8020" t="str">
            <v>NBNSYS0000007543</v>
          </cell>
          <cell r="H8020" t="str">
            <v>Hydroporus incognitus</v>
          </cell>
        </row>
        <row r="8021">
          <cell r="A8021" t="str">
            <v>Hydroporus longicornis</v>
          </cell>
          <cell r="B8021" t="str">
            <v>Water beetles</v>
          </cell>
          <cell r="C8021" t="str">
            <v>Coleoptera</v>
          </cell>
          <cell r="D8021" t="str">
            <v>Hydroporus longicornis</v>
          </cell>
          <cell r="E8021" t="str">
            <v>NT</v>
          </cell>
          <cell r="F8021" t="str">
            <v>Foster, 2010</v>
          </cell>
          <cell r="G8021" t="str">
            <v>NBNSYS0000007544</v>
          </cell>
          <cell r="H8021" t="str">
            <v>Hydroporus longicornis</v>
          </cell>
        </row>
        <row r="8022">
          <cell r="A8022" t="str">
            <v>Hydroporus longulus</v>
          </cell>
          <cell r="B8022" t="str">
            <v>Water beetles</v>
          </cell>
          <cell r="C8022" t="str">
            <v>Coleoptera</v>
          </cell>
          <cell r="D8022" t="str">
            <v>Hydroporus longulus</v>
          </cell>
          <cell r="E8022" t="str">
            <v>LC</v>
          </cell>
          <cell r="F8022" t="str">
            <v>Foster, 2010</v>
          </cell>
          <cell r="G8022" t="str">
            <v>NHMSYS0001718521</v>
          </cell>
          <cell r="H8022" t="str">
            <v>Hydroporus longulus</v>
          </cell>
        </row>
        <row r="8023">
          <cell r="A8023" t="str">
            <v>Hydroporus marginatus</v>
          </cell>
          <cell r="B8023" t="str">
            <v>Water beetles</v>
          </cell>
          <cell r="C8023" t="str">
            <v>Coleoptera</v>
          </cell>
          <cell r="D8023" t="str">
            <v>Hydroporus marginatus</v>
          </cell>
          <cell r="E8023" t="str">
            <v>LC</v>
          </cell>
          <cell r="F8023" t="str">
            <v>Foster, 2010</v>
          </cell>
          <cell r="G8023" t="str">
            <v>NBNSYS0000007546</v>
          </cell>
          <cell r="H8023" t="str">
            <v>Hydroporus marginatus</v>
          </cell>
        </row>
        <row r="8024">
          <cell r="A8024" t="str">
            <v>Hydroporus melanarius</v>
          </cell>
          <cell r="B8024" t="str">
            <v>Water beetles</v>
          </cell>
          <cell r="C8024" t="str">
            <v>Coleoptera</v>
          </cell>
          <cell r="D8024" t="str">
            <v>Hydroporus melanarius</v>
          </cell>
          <cell r="E8024" t="str">
            <v>LC</v>
          </cell>
          <cell r="F8024" t="str">
            <v>Foster, 2010</v>
          </cell>
          <cell r="G8024" t="str">
            <v>NBNSYS0000007547</v>
          </cell>
          <cell r="H8024" t="str">
            <v>Hydroporus melanarius</v>
          </cell>
        </row>
        <row r="8025">
          <cell r="A8025" t="str">
            <v>Hydroporus memnonius</v>
          </cell>
          <cell r="B8025" t="str">
            <v>Water beetles</v>
          </cell>
          <cell r="C8025" t="str">
            <v>Coleoptera</v>
          </cell>
          <cell r="D8025" t="str">
            <v>Hydroporus memnonius</v>
          </cell>
          <cell r="E8025" t="str">
            <v>LC</v>
          </cell>
          <cell r="F8025" t="str">
            <v>Foster, 2010</v>
          </cell>
          <cell r="G8025" t="str">
            <v>NBNSYS0000007548</v>
          </cell>
          <cell r="H8025" t="str">
            <v>Hydroporus memnonius</v>
          </cell>
        </row>
        <row r="8026">
          <cell r="A8026" t="str">
            <v>Hydroporus morio</v>
          </cell>
          <cell r="B8026" t="str">
            <v>Water beetles</v>
          </cell>
          <cell r="C8026" t="str">
            <v>Coleoptera</v>
          </cell>
          <cell r="D8026" t="str">
            <v>Hydroporus morio</v>
          </cell>
          <cell r="E8026" t="str">
            <v>LC</v>
          </cell>
          <cell r="F8026" t="str">
            <v>Foster, 2010</v>
          </cell>
          <cell r="G8026" t="str">
            <v>NHMSYS0001718524</v>
          </cell>
          <cell r="H8026" t="str">
            <v>Hydroporus morio</v>
          </cell>
        </row>
        <row r="8027">
          <cell r="A8027" t="str">
            <v>Hydroporus necopinatus</v>
          </cell>
          <cell r="B8027" t="str">
            <v>Water beetles</v>
          </cell>
          <cell r="C8027" t="str">
            <v>Coleoptera</v>
          </cell>
          <cell r="D8027" t="str">
            <v>Hydroporus necopinatus</v>
          </cell>
          <cell r="E8027" t="str">
            <v>EN</v>
          </cell>
          <cell r="F8027" t="str">
            <v>Foster, 2010</v>
          </cell>
          <cell r="G8027" t="str">
            <v>NHMSYS0001718525</v>
          </cell>
          <cell r="H8027" t="str">
            <v>Hydroporus necopinatus</v>
          </cell>
        </row>
        <row r="8028">
          <cell r="A8028" t="str">
            <v>Hydroporus neglectus</v>
          </cell>
          <cell r="B8028" t="str">
            <v>Water beetles</v>
          </cell>
          <cell r="C8028" t="str">
            <v>Coleoptera</v>
          </cell>
          <cell r="D8028" t="str">
            <v>Hydroporus neglectus</v>
          </cell>
          <cell r="E8028" t="str">
            <v>LC</v>
          </cell>
          <cell r="F8028" t="str">
            <v>Foster, 2010</v>
          </cell>
          <cell r="G8028" t="str">
            <v>NBNSYS0000007550</v>
          </cell>
          <cell r="H8028" t="str">
            <v>Hydroporus neglectus</v>
          </cell>
        </row>
        <row r="8029">
          <cell r="A8029" t="str">
            <v>Hydroporus nigrita</v>
          </cell>
          <cell r="B8029" t="str">
            <v>Water beetles</v>
          </cell>
          <cell r="C8029" t="str">
            <v>Coleoptera</v>
          </cell>
          <cell r="D8029" t="str">
            <v>Hydroporus nigrita</v>
          </cell>
          <cell r="E8029" t="str">
            <v>LC</v>
          </cell>
          <cell r="F8029" t="str">
            <v>Foster, 2010</v>
          </cell>
          <cell r="G8029" t="str">
            <v>NHMSYS0001718528</v>
          </cell>
          <cell r="H8029" t="str">
            <v>Hydroporus nigrita</v>
          </cell>
        </row>
        <row r="8030">
          <cell r="A8030" t="str">
            <v>Hydroporus obscurus</v>
          </cell>
          <cell r="B8030" t="str">
            <v>Water beetles</v>
          </cell>
          <cell r="C8030" t="str">
            <v>Coleoptera</v>
          </cell>
          <cell r="D8030" t="str">
            <v>Hydroporus obscurus</v>
          </cell>
          <cell r="E8030" t="str">
            <v>LC</v>
          </cell>
          <cell r="F8030" t="str">
            <v>Foster, 2010</v>
          </cell>
          <cell r="G8030" t="str">
            <v>NBNSYS0000007552</v>
          </cell>
          <cell r="H8030" t="str">
            <v>Hydroporus obscurus</v>
          </cell>
        </row>
        <row r="8031">
          <cell r="A8031" t="str">
            <v>Hydroporus obsoletus</v>
          </cell>
          <cell r="B8031" t="str">
            <v>Water beetles</v>
          </cell>
          <cell r="C8031" t="str">
            <v>Coleoptera</v>
          </cell>
          <cell r="D8031" t="str">
            <v>Hydroporus obsoletus</v>
          </cell>
          <cell r="E8031" t="str">
            <v>LC</v>
          </cell>
          <cell r="F8031" t="str">
            <v>Foster, 2010</v>
          </cell>
          <cell r="G8031" t="str">
            <v>NHMSYS0001718529</v>
          </cell>
          <cell r="H8031" t="str">
            <v>Hydroporus obsoletus</v>
          </cell>
        </row>
        <row r="8032">
          <cell r="A8032" t="str">
            <v>Hydroporus palustris</v>
          </cell>
          <cell r="B8032" t="str">
            <v>Water beetles</v>
          </cell>
          <cell r="C8032" t="str">
            <v>Coleoptera</v>
          </cell>
          <cell r="D8032" t="str">
            <v>Hydroporus palustris</v>
          </cell>
          <cell r="E8032" t="str">
            <v>LC</v>
          </cell>
          <cell r="F8032" t="str">
            <v>Foster, 2010</v>
          </cell>
          <cell r="G8032" t="str">
            <v>NBNSYS0000007554</v>
          </cell>
          <cell r="H8032" t="str">
            <v>Hydroporus palustris</v>
          </cell>
        </row>
        <row r="8033">
          <cell r="A8033" t="str">
            <v>Hydroporus planus</v>
          </cell>
          <cell r="B8033" t="str">
            <v>Water beetles</v>
          </cell>
          <cell r="C8033" t="str">
            <v>Coleoptera</v>
          </cell>
          <cell r="D8033" t="str">
            <v>Hydroporus planus</v>
          </cell>
          <cell r="E8033" t="str">
            <v>LC</v>
          </cell>
          <cell r="F8033" t="str">
            <v>Foster, 2010</v>
          </cell>
          <cell r="G8033" t="str">
            <v>NHMSYS0001718533</v>
          </cell>
          <cell r="H8033" t="str">
            <v>Hydroporus planus</v>
          </cell>
        </row>
        <row r="8034">
          <cell r="A8034" t="str">
            <v>Hydroporus pubescens</v>
          </cell>
          <cell r="B8034" t="str">
            <v>Water beetles</v>
          </cell>
          <cell r="C8034" t="str">
            <v>Coleoptera</v>
          </cell>
          <cell r="D8034" t="str">
            <v>Hydroporus pubescens</v>
          </cell>
          <cell r="E8034" t="str">
            <v>LC</v>
          </cell>
          <cell r="F8034" t="str">
            <v>Foster, 2010</v>
          </cell>
          <cell r="G8034" t="str">
            <v>NBNSYS0000007556</v>
          </cell>
          <cell r="H8034" t="str">
            <v>Hydroporus pubescens</v>
          </cell>
        </row>
        <row r="8035">
          <cell r="A8035" t="str">
            <v>Hydroporus rufifrons</v>
          </cell>
          <cell r="B8035" t="str">
            <v>Water beetles</v>
          </cell>
          <cell r="C8035" t="str">
            <v>Coleoptera</v>
          </cell>
          <cell r="D8035" t="str">
            <v>Hydroporus rufifrons</v>
          </cell>
          <cell r="E8035" t="str">
            <v>EN</v>
          </cell>
          <cell r="F8035" t="str">
            <v>Foster, 2010</v>
          </cell>
          <cell r="G8035" t="str">
            <v>NHMSYS0001718535</v>
          </cell>
          <cell r="H8035" t="str">
            <v>Hydroporus rufifrons</v>
          </cell>
        </row>
        <row r="8036">
          <cell r="A8036" t="str">
            <v>Hydroporus scalesianus</v>
          </cell>
          <cell r="B8036" t="str">
            <v>Water beetles</v>
          </cell>
          <cell r="C8036" t="str">
            <v>Coleoptera</v>
          </cell>
          <cell r="D8036" t="str">
            <v>Hydroporus scalesianus</v>
          </cell>
          <cell r="E8036" t="str">
            <v>VU</v>
          </cell>
          <cell r="F8036" t="str">
            <v>Foster, 2010</v>
          </cell>
          <cell r="G8036" t="str">
            <v>NBNSYS0000007558</v>
          </cell>
          <cell r="H8036" t="str">
            <v>Hydroporus scalesianus</v>
          </cell>
        </row>
        <row r="8037">
          <cell r="A8037" t="str">
            <v>Hydroporus striola</v>
          </cell>
          <cell r="B8037" t="str">
            <v>Water beetles</v>
          </cell>
          <cell r="C8037" t="str">
            <v>Coleoptera</v>
          </cell>
          <cell r="D8037" t="str">
            <v>Hydroporus striola</v>
          </cell>
          <cell r="E8037" t="str">
            <v>LC</v>
          </cell>
          <cell r="F8037" t="str">
            <v>Foster, 2010</v>
          </cell>
          <cell r="G8037" t="str">
            <v>NHMSYS0001718536</v>
          </cell>
          <cell r="H8037" t="str">
            <v>Hydroporus striola</v>
          </cell>
        </row>
        <row r="8038">
          <cell r="A8038" t="str">
            <v>Hydroporus tessellatus</v>
          </cell>
          <cell r="B8038" t="str">
            <v>Water beetles</v>
          </cell>
          <cell r="C8038" t="str">
            <v>Coleoptera</v>
          </cell>
          <cell r="D8038" t="str">
            <v>Hydroporus tessellatus</v>
          </cell>
          <cell r="E8038" t="str">
            <v>LC</v>
          </cell>
          <cell r="F8038" t="str">
            <v>Foster, 2010</v>
          </cell>
          <cell r="G8038" t="str">
            <v>NHMSYS0001718537</v>
          </cell>
          <cell r="H8038" t="str">
            <v>Hydroporus tessellatus</v>
          </cell>
        </row>
        <row r="8039">
          <cell r="A8039" t="str">
            <v>Hydroporus tristis</v>
          </cell>
          <cell r="B8039" t="str">
            <v>Water beetles</v>
          </cell>
          <cell r="C8039" t="str">
            <v>Coleoptera</v>
          </cell>
          <cell r="D8039" t="str">
            <v>Hydroporus tristis</v>
          </cell>
          <cell r="E8039" t="str">
            <v>LC</v>
          </cell>
          <cell r="F8039" t="str">
            <v>Foster, 2010</v>
          </cell>
          <cell r="G8039" t="str">
            <v>NBNSYS0000007561</v>
          </cell>
          <cell r="H8039" t="str">
            <v>Hydroporus tristis</v>
          </cell>
        </row>
        <row r="8040">
          <cell r="A8040" t="str">
            <v>Hydroporus umbrosus</v>
          </cell>
          <cell r="B8040" t="str">
            <v>Water beetles</v>
          </cell>
          <cell r="C8040" t="str">
            <v>Coleoptera</v>
          </cell>
          <cell r="D8040" t="str">
            <v>Hydroporus umbrosus</v>
          </cell>
          <cell r="E8040" t="str">
            <v>LC</v>
          </cell>
          <cell r="F8040" t="str">
            <v>Foster, 2010</v>
          </cell>
          <cell r="G8040" t="str">
            <v>NBNSYS0000007562</v>
          </cell>
          <cell r="H8040" t="str">
            <v>Hydroporus umbrosus</v>
          </cell>
        </row>
        <row r="8041">
          <cell r="A8041" t="str">
            <v>Hydrovatus clypealis</v>
          </cell>
          <cell r="B8041" t="str">
            <v>Water beetles</v>
          </cell>
          <cell r="C8041" t="str">
            <v>Coleoptera</v>
          </cell>
          <cell r="D8041" t="str">
            <v>Hydrovatus clypealis</v>
          </cell>
          <cell r="E8041" t="str">
            <v>LC</v>
          </cell>
          <cell r="F8041" t="str">
            <v>Foster, 2010</v>
          </cell>
          <cell r="G8041" t="str">
            <v>NBNSYS0000007519</v>
          </cell>
          <cell r="H8041" t="str">
            <v>Hydrovatus clypealis</v>
          </cell>
        </row>
        <row r="8042">
          <cell r="A8042" t="str">
            <v>Hydrovatus cuspidatus</v>
          </cell>
          <cell r="B8042" t="str">
            <v>Water beetles</v>
          </cell>
          <cell r="C8042" t="str">
            <v>Coleoptera</v>
          </cell>
          <cell r="D8042" t="str">
            <v>Hydrovatus cuspidatus</v>
          </cell>
          <cell r="E8042" t="str">
            <v>LC</v>
          </cell>
          <cell r="F8042" t="str">
            <v>Foster, 2010</v>
          </cell>
          <cell r="G8042" t="str">
            <v>NHMSYS0020081845</v>
          </cell>
          <cell r="H8042" t="str">
            <v>Hydrovatus cuspidatus</v>
          </cell>
        </row>
        <row r="8043">
          <cell r="A8043" t="str">
            <v>Hygrobia hermanni</v>
          </cell>
          <cell r="B8043" t="str">
            <v>Water beetles</v>
          </cell>
          <cell r="C8043" t="str">
            <v>Coleoptera</v>
          </cell>
          <cell r="D8043" t="str">
            <v>Hygrobia hermanni</v>
          </cell>
          <cell r="E8043" t="str">
            <v>LC</v>
          </cell>
          <cell r="F8043" t="str">
            <v>Foster, 2010</v>
          </cell>
          <cell r="G8043" t="str">
            <v>NHMSYS0001718550</v>
          </cell>
          <cell r="H8043" t="str">
            <v>Hygrobia hermanni</v>
          </cell>
        </row>
        <row r="8044">
          <cell r="A8044" t="str">
            <v>Hygrotus confluens</v>
          </cell>
          <cell r="B8044" t="str">
            <v>Water beetles</v>
          </cell>
          <cell r="C8044" t="str">
            <v>Coleoptera</v>
          </cell>
          <cell r="D8044" t="str">
            <v>Hygrotus confluens</v>
          </cell>
          <cell r="E8044" t="str">
            <v>LC</v>
          </cell>
          <cell r="F8044" t="str">
            <v>Foster, 2010</v>
          </cell>
          <cell r="G8044" t="str">
            <v>NBNSYS0000149189</v>
          </cell>
          <cell r="H8044" t="str">
            <v>Hygrotus confluens</v>
          </cell>
        </row>
        <row r="8045">
          <cell r="A8045" t="str">
            <v>Hygrotus decoratus</v>
          </cell>
          <cell r="B8045" t="str">
            <v>Water beetles</v>
          </cell>
          <cell r="C8045" t="str">
            <v>Coleoptera</v>
          </cell>
          <cell r="D8045" t="str">
            <v>Hygrotus decoratus</v>
          </cell>
          <cell r="E8045" t="str">
            <v>LC</v>
          </cell>
          <cell r="F8045" t="str">
            <v>Foster, 2010</v>
          </cell>
          <cell r="G8045" t="str">
            <v>NHMSYS0021366804</v>
          </cell>
          <cell r="H8045" t="str">
            <v>Hygrotus decoratus</v>
          </cell>
        </row>
        <row r="8046">
          <cell r="A8046" t="str">
            <v>Hygrotus impressopunctatus</v>
          </cell>
          <cell r="B8046" t="str">
            <v>Water beetles</v>
          </cell>
          <cell r="C8046" t="str">
            <v>Coleoptera</v>
          </cell>
          <cell r="D8046" t="str">
            <v>Hygrotus impressopunctatus</v>
          </cell>
          <cell r="E8046" t="str">
            <v>LC</v>
          </cell>
          <cell r="F8046" t="str">
            <v>Foster, 2010</v>
          </cell>
          <cell r="G8046" t="str">
            <v>NBNSYS0000149190</v>
          </cell>
          <cell r="H8046" t="str">
            <v>Hygrotus impressopunctatus</v>
          </cell>
        </row>
        <row r="8047">
          <cell r="A8047" t="str">
            <v>Hygrotus inaequalis</v>
          </cell>
          <cell r="B8047" t="str">
            <v>Water beetles</v>
          </cell>
          <cell r="C8047" t="str">
            <v>Coleoptera</v>
          </cell>
          <cell r="D8047" t="str">
            <v>Hygrotus inaequalis</v>
          </cell>
          <cell r="E8047" t="str">
            <v>LC</v>
          </cell>
          <cell r="F8047" t="str">
            <v>Foster, 2010</v>
          </cell>
          <cell r="G8047" t="str">
            <v>NBNSYS0000007526</v>
          </cell>
          <cell r="H8047" t="str">
            <v>Hygrotus inaequalis</v>
          </cell>
        </row>
        <row r="8048">
          <cell r="A8048" t="str">
            <v>Hygrotus nigrolineatus</v>
          </cell>
          <cell r="B8048" t="str">
            <v>Water beetles</v>
          </cell>
          <cell r="C8048" t="str">
            <v>Coleoptera</v>
          </cell>
          <cell r="D8048" t="str">
            <v>Hygrotus nigrolineatus</v>
          </cell>
          <cell r="E8048" t="str">
            <v>LC</v>
          </cell>
          <cell r="F8048" t="str">
            <v>Foster, 2010</v>
          </cell>
          <cell r="G8048" t="str">
            <v>NHMSYS0021232951</v>
          </cell>
          <cell r="H8048" t="str">
            <v>Hygrotus nigrolineatus</v>
          </cell>
        </row>
        <row r="8049">
          <cell r="A8049" t="str">
            <v>Hygrotus novemlineatus</v>
          </cell>
          <cell r="B8049" t="str">
            <v>Water beetles</v>
          </cell>
          <cell r="C8049" t="str">
            <v>Coleoptera</v>
          </cell>
          <cell r="D8049" t="str">
            <v>Hygrotus novemlineatus</v>
          </cell>
          <cell r="E8049" t="str">
            <v>NT</v>
          </cell>
          <cell r="F8049" t="str">
            <v>Foster, 2010</v>
          </cell>
          <cell r="G8049" t="str">
            <v>NBNSYS0000149191</v>
          </cell>
          <cell r="H8049" t="str">
            <v>Hygrotus novemlineatus</v>
          </cell>
        </row>
        <row r="8050">
          <cell r="A8050" t="str">
            <v>Hygrotus parallellogrammus</v>
          </cell>
          <cell r="B8050" t="str">
            <v>Water beetles</v>
          </cell>
          <cell r="C8050" t="str">
            <v>Coleoptera</v>
          </cell>
          <cell r="D8050" t="str">
            <v>Hygrotus parallellogrammus</v>
          </cell>
          <cell r="E8050" t="str">
            <v>LC</v>
          </cell>
          <cell r="F8050" t="str">
            <v>Foster, 2010</v>
          </cell>
          <cell r="G8050" t="str">
            <v>NBNSYS0000149192</v>
          </cell>
          <cell r="H8050" t="str">
            <v>Hygrotus parallellogrammus</v>
          </cell>
        </row>
        <row r="8051">
          <cell r="A8051" t="str">
            <v>Hygrotus quinquelineatus</v>
          </cell>
          <cell r="B8051" t="str">
            <v>Water beetles</v>
          </cell>
          <cell r="C8051" t="str">
            <v>Coleoptera</v>
          </cell>
          <cell r="D8051" t="str">
            <v>Hygrotus quinquelineatus</v>
          </cell>
          <cell r="E8051" t="str">
            <v>LC</v>
          </cell>
          <cell r="F8051" t="str">
            <v>Foster, 2010</v>
          </cell>
          <cell r="G8051" t="str">
            <v>NBNSYS0000007527</v>
          </cell>
          <cell r="H8051" t="str">
            <v>Hygrotus quinquelineatus</v>
          </cell>
        </row>
        <row r="8052">
          <cell r="A8052" t="str">
            <v>Hygrotus versicolor</v>
          </cell>
          <cell r="B8052" t="str">
            <v>Water beetles</v>
          </cell>
          <cell r="C8052" t="str">
            <v>Coleoptera</v>
          </cell>
          <cell r="D8052" t="str">
            <v>Hygrotus versicolor</v>
          </cell>
          <cell r="E8052" t="str">
            <v>LC</v>
          </cell>
          <cell r="F8052" t="str">
            <v>Foster, 2010</v>
          </cell>
          <cell r="G8052" t="str">
            <v>NBNSYS0000007528</v>
          </cell>
          <cell r="H8052" t="str">
            <v>Hygrotus versicolor</v>
          </cell>
        </row>
        <row r="8053">
          <cell r="A8053" t="str">
            <v>Hyphydrus ovatus</v>
          </cell>
          <cell r="B8053" t="str">
            <v>Water beetles</v>
          </cell>
          <cell r="C8053" t="str">
            <v>Coleoptera</v>
          </cell>
          <cell r="D8053" t="str">
            <v>Hyphydrus ovatus</v>
          </cell>
          <cell r="E8053" t="str">
            <v>LC</v>
          </cell>
          <cell r="F8053" t="str">
            <v>Foster, 2010</v>
          </cell>
          <cell r="G8053" t="str">
            <v>NBNSYS0000007521</v>
          </cell>
          <cell r="H8053" t="str">
            <v>Hyphydrus ovatus</v>
          </cell>
        </row>
        <row r="8054">
          <cell r="A8054" t="str">
            <v>Ilybius aenescens</v>
          </cell>
          <cell r="B8054" t="str">
            <v>Water beetles</v>
          </cell>
          <cell r="C8054" t="str">
            <v>Coleoptera</v>
          </cell>
          <cell r="D8054" t="str">
            <v>Ilybius aenescens</v>
          </cell>
          <cell r="E8054" t="str">
            <v>LC</v>
          </cell>
          <cell r="F8054" t="str">
            <v>Foster, 2010</v>
          </cell>
          <cell r="G8054" t="str">
            <v>NHMSYS0001718604</v>
          </cell>
          <cell r="H8054" t="str">
            <v>Ilybius aenescens</v>
          </cell>
        </row>
        <row r="8055">
          <cell r="A8055" t="str">
            <v>Ilybius ater</v>
          </cell>
          <cell r="B8055" t="str">
            <v>Water beetles</v>
          </cell>
          <cell r="C8055" t="str">
            <v>Coleoptera</v>
          </cell>
          <cell r="D8055" t="str">
            <v>Ilybius ater</v>
          </cell>
          <cell r="E8055" t="str">
            <v>LC</v>
          </cell>
          <cell r="F8055" t="str">
            <v>Foster, 2010</v>
          </cell>
          <cell r="G8055" t="str">
            <v>NHMSYS0001718606</v>
          </cell>
          <cell r="H8055" t="str">
            <v>Ilybius ater</v>
          </cell>
        </row>
        <row r="8056">
          <cell r="A8056" t="str">
            <v>Ilybius chalconatus</v>
          </cell>
          <cell r="B8056" t="str">
            <v>Water beetles</v>
          </cell>
          <cell r="C8056" t="str">
            <v>Coleoptera</v>
          </cell>
          <cell r="D8056" t="str">
            <v>Ilybius chalconatus</v>
          </cell>
          <cell r="E8056" t="str">
            <v>LC</v>
          </cell>
          <cell r="F8056" t="str">
            <v>Foster, 2010</v>
          </cell>
          <cell r="G8056" t="str">
            <v>NHMSYS0001718607</v>
          </cell>
          <cell r="H8056" t="str">
            <v>Ilybius chalconatus</v>
          </cell>
        </row>
        <row r="8057">
          <cell r="A8057" t="str">
            <v>Ilybius fenestratus</v>
          </cell>
          <cell r="B8057" t="str">
            <v>Water beetles</v>
          </cell>
          <cell r="C8057" t="str">
            <v>Coleoptera</v>
          </cell>
          <cell r="D8057" t="str">
            <v>Ilybius fenestratus</v>
          </cell>
          <cell r="E8057" t="str">
            <v>LC</v>
          </cell>
          <cell r="F8057" t="str">
            <v>Foster, 2010</v>
          </cell>
          <cell r="G8057" t="str">
            <v>NHMSYS0001718608</v>
          </cell>
          <cell r="H8057" t="str">
            <v>Ilybius fenestratus</v>
          </cell>
        </row>
        <row r="8058">
          <cell r="A8058" t="str">
            <v>Ilybius fuliginosus</v>
          </cell>
          <cell r="B8058" t="str">
            <v>Water beetles</v>
          </cell>
          <cell r="C8058" t="str">
            <v>Coleoptera</v>
          </cell>
          <cell r="D8058" t="str">
            <v>Ilybius fuliginosus</v>
          </cell>
          <cell r="E8058" t="str">
            <v>LC</v>
          </cell>
          <cell r="F8058" t="str">
            <v>Foster, 2010</v>
          </cell>
          <cell r="G8058" t="str">
            <v>NHMSYS0001718609</v>
          </cell>
          <cell r="H8058" t="str">
            <v>Ilybius fuliginosus</v>
          </cell>
        </row>
        <row r="8059">
          <cell r="A8059" t="str">
            <v>Ilybius guttiger</v>
          </cell>
          <cell r="B8059" t="str">
            <v>Water beetles</v>
          </cell>
          <cell r="C8059" t="str">
            <v>Coleoptera</v>
          </cell>
          <cell r="D8059" t="str">
            <v>Ilybius guttiger</v>
          </cell>
          <cell r="E8059" t="str">
            <v>LC</v>
          </cell>
          <cell r="F8059" t="str">
            <v>Foster, 2010</v>
          </cell>
          <cell r="G8059" t="str">
            <v>NBNSYS0000007609</v>
          </cell>
          <cell r="H8059" t="str">
            <v>Ilybius guttiger</v>
          </cell>
        </row>
        <row r="8060">
          <cell r="A8060" t="str">
            <v>Ilybius montanus</v>
          </cell>
          <cell r="B8060" t="str">
            <v>Water beetles</v>
          </cell>
          <cell r="C8060" t="str">
            <v>Coleoptera</v>
          </cell>
          <cell r="D8060" t="str">
            <v>Ilybius montanus</v>
          </cell>
          <cell r="E8060" t="str">
            <v>LC</v>
          </cell>
          <cell r="F8060" t="str">
            <v>Foster, 2010</v>
          </cell>
          <cell r="G8060" t="str">
            <v>NHMSYS0001718611</v>
          </cell>
          <cell r="H8060" t="str">
            <v>Ilybius montanus</v>
          </cell>
        </row>
        <row r="8061">
          <cell r="A8061" t="str">
            <v>Ilybius quadriguttatus</v>
          </cell>
          <cell r="B8061" t="str">
            <v>Water beetles</v>
          </cell>
          <cell r="C8061" t="str">
            <v>Coleoptera</v>
          </cell>
          <cell r="D8061" t="str">
            <v>Ilybius quadriguttatus</v>
          </cell>
          <cell r="E8061" t="str">
            <v>LC</v>
          </cell>
          <cell r="F8061" t="str">
            <v>Foster, 2010</v>
          </cell>
          <cell r="G8061" t="str">
            <v>NHMSYS0001718612</v>
          </cell>
          <cell r="H8061" t="str">
            <v>Ilybius quadriguttatus</v>
          </cell>
        </row>
        <row r="8062">
          <cell r="A8062" t="str">
            <v>Ilybius subaeneus</v>
          </cell>
          <cell r="B8062" t="str">
            <v>Water beetles</v>
          </cell>
          <cell r="C8062" t="str">
            <v>Coleoptera</v>
          </cell>
          <cell r="D8062" t="str">
            <v>Ilybius subaeneus</v>
          </cell>
          <cell r="E8062" t="str">
            <v>LC</v>
          </cell>
          <cell r="F8062" t="str">
            <v>Foster, 2010</v>
          </cell>
          <cell r="G8062" t="str">
            <v>NBNSYS0000007611</v>
          </cell>
          <cell r="H8062" t="str">
            <v>Ilybius subaeneus</v>
          </cell>
        </row>
        <row r="8063">
          <cell r="A8063" t="str">
            <v>Laccobius atratus</v>
          </cell>
          <cell r="B8063" t="str">
            <v>Water beetles</v>
          </cell>
          <cell r="C8063" t="str">
            <v>Coleoptera</v>
          </cell>
          <cell r="D8063" t="str">
            <v>Laccobius atratus</v>
          </cell>
          <cell r="E8063" t="str">
            <v>LC</v>
          </cell>
          <cell r="F8063" t="str">
            <v>Foster, 2010</v>
          </cell>
          <cell r="G8063" t="str">
            <v>NHMSYS0001718650</v>
          </cell>
          <cell r="H8063" t="str">
            <v>Laccobius atratus</v>
          </cell>
        </row>
        <row r="8064">
          <cell r="A8064" t="str">
            <v>Laccobius bipunctatus</v>
          </cell>
          <cell r="B8064" t="str">
            <v>Water beetles</v>
          </cell>
          <cell r="C8064" t="str">
            <v>Coleoptera</v>
          </cell>
          <cell r="D8064" t="str">
            <v>Laccobius bipunctatus</v>
          </cell>
          <cell r="E8064" t="str">
            <v>LC</v>
          </cell>
          <cell r="F8064" t="str">
            <v>Foster, 2010</v>
          </cell>
          <cell r="G8064" t="str">
            <v>NHMSYS0001718653</v>
          </cell>
          <cell r="H8064" t="str">
            <v>Laccobius bipunctatus</v>
          </cell>
        </row>
        <row r="8065">
          <cell r="A8065" t="str">
            <v>Laccobius colon</v>
          </cell>
          <cell r="B8065" t="str">
            <v>Water beetles</v>
          </cell>
          <cell r="C8065" t="str">
            <v>Coleoptera</v>
          </cell>
          <cell r="D8065" t="str">
            <v>Laccobius colon</v>
          </cell>
          <cell r="E8065" t="str">
            <v>LC</v>
          </cell>
          <cell r="F8065" t="str">
            <v>Foster, 2010</v>
          </cell>
          <cell r="G8065" t="str">
            <v>NHMSYS0001718654</v>
          </cell>
          <cell r="H8065" t="str">
            <v>Laccobius colon</v>
          </cell>
        </row>
        <row r="8066">
          <cell r="A8066" t="str">
            <v>Laccobius minutus</v>
          </cell>
          <cell r="B8066" t="str">
            <v>Water beetles</v>
          </cell>
          <cell r="C8066" t="str">
            <v>Coleoptera</v>
          </cell>
          <cell r="D8066" t="str">
            <v>Laccobius minutus</v>
          </cell>
          <cell r="E8066" t="str">
            <v>LC</v>
          </cell>
          <cell r="F8066" t="str">
            <v>Foster, 2010</v>
          </cell>
          <cell r="G8066" t="str">
            <v>NBNSYS0000007715</v>
          </cell>
          <cell r="H8066" t="str">
            <v>Laccobius minutus</v>
          </cell>
        </row>
        <row r="8067">
          <cell r="A8067" t="str">
            <v>Laccobius sinuatus</v>
          </cell>
          <cell r="B8067" t="str">
            <v>Water beetles</v>
          </cell>
          <cell r="C8067" t="str">
            <v>Coleoptera</v>
          </cell>
          <cell r="D8067" t="str">
            <v>Laccobius sinuatus</v>
          </cell>
          <cell r="E8067" t="str">
            <v>LC</v>
          </cell>
          <cell r="F8067" t="str">
            <v>Foster, 2010</v>
          </cell>
          <cell r="G8067" t="str">
            <v>NBNSYS0000007718</v>
          </cell>
          <cell r="H8067" t="str">
            <v>Laccobius sinuatus</v>
          </cell>
        </row>
        <row r="8068">
          <cell r="A8068" t="str">
            <v>Laccobius striatulus</v>
          </cell>
          <cell r="B8068" t="str">
            <v>Water beetles</v>
          </cell>
          <cell r="C8068" t="str">
            <v>Coleoptera</v>
          </cell>
          <cell r="D8068" t="str">
            <v>Laccobius striatulus</v>
          </cell>
          <cell r="E8068" t="str">
            <v>LC</v>
          </cell>
          <cell r="F8068" t="str">
            <v>Foster, 2010</v>
          </cell>
          <cell r="G8068" t="str">
            <v>NHMSYS0001718661</v>
          </cell>
          <cell r="H8068" t="str">
            <v>Laccobius striatulus</v>
          </cell>
        </row>
        <row r="8069">
          <cell r="A8069" t="str">
            <v>Laccobius ytenensis</v>
          </cell>
          <cell r="B8069" t="str">
            <v>Water beetles</v>
          </cell>
          <cell r="C8069" t="str">
            <v>Coleoptera</v>
          </cell>
          <cell r="D8069" t="str">
            <v>Laccobius ytenensis</v>
          </cell>
          <cell r="E8069" t="str">
            <v>LC</v>
          </cell>
          <cell r="F8069" t="str">
            <v>Foster, 2010</v>
          </cell>
          <cell r="G8069" t="str">
            <v>NBNSYS0000149770</v>
          </cell>
          <cell r="H8069" t="str">
            <v>Laccobius ytenensis</v>
          </cell>
        </row>
        <row r="8070">
          <cell r="A8070" t="str">
            <v>Laccophilus hyalinus</v>
          </cell>
          <cell r="B8070" t="str">
            <v>Water beetles</v>
          </cell>
          <cell r="C8070" t="str">
            <v>Coleoptera</v>
          </cell>
          <cell r="D8070" t="str">
            <v>Laccophilus hyalinus</v>
          </cell>
          <cell r="E8070" t="str">
            <v>LC</v>
          </cell>
          <cell r="F8070" t="str">
            <v>Foster, 2010</v>
          </cell>
          <cell r="G8070" t="str">
            <v>NHMSYS0001718665</v>
          </cell>
          <cell r="H8070" t="str">
            <v>Laccophilus hyalinus</v>
          </cell>
        </row>
        <row r="8071">
          <cell r="A8071" t="str">
            <v>Laccophilus minutus</v>
          </cell>
          <cell r="B8071" t="str">
            <v>Water beetles</v>
          </cell>
          <cell r="C8071" t="str">
            <v>Coleoptera</v>
          </cell>
          <cell r="D8071" t="str">
            <v>Laccophilus minutus</v>
          </cell>
          <cell r="E8071" t="str">
            <v>LC</v>
          </cell>
          <cell r="F8071" t="str">
            <v>Foster, 2010</v>
          </cell>
          <cell r="G8071" t="str">
            <v>NBNSYS0000007517</v>
          </cell>
          <cell r="H8071" t="str">
            <v>Laccophilus minutus</v>
          </cell>
        </row>
        <row r="8072">
          <cell r="A8072" t="str">
            <v>Laccophilus poecilus</v>
          </cell>
          <cell r="B8072" t="str">
            <v>Water beetles</v>
          </cell>
          <cell r="C8072" t="str">
            <v>Coleoptera</v>
          </cell>
          <cell r="D8072" t="str">
            <v>Laccophilus poecilus</v>
          </cell>
          <cell r="E8072" t="str">
            <v>CR</v>
          </cell>
          <cell r="F8072" t="str">
            <v>Foster, 2010</v>
          </cell>
          <cell r="G8072" t="str">
            <v>NHMSYS0001718667</v>
          </cell>
          <cell r="H8072" t="str">
            <v>Laccophilus poecilus</v>
          </cell>
        </row>
        <row r="8073">
          <cell r="A8073" t="str">
            <v>Laccornis oblongus</v>
          </cell>
          <cell r="B8073" t="str">
            <v>Water beetles</v>
          </cell>
          <cell r="C8073" t="str">
            <v>Coleoptera</v>
          </cell>
          <cell r="D8073" t="str">
            <v>Laccornis oblongus</v>
          </cell>
          <cell r="E8073" t="str">
            <v>NT</v>
          </cell>
          <cell r="F8073" t="str">
            <v>Foster, 2010</v>
          </cell>
          <cell r="G8073" t="str">
            <v>NBNSYS0000007582</v>
          </cell>
          <cell r="H8073" t="str">
            <v>Laccornis oblongus</v>
          </cell>
        </row>
        <row r="8074">
          <cell r="A8074" t="str">
            <v>Limnebius aluta</v>
          </cell>
          <cell r="B8074" t="str">
            <v>Water beetles</v>
          </cell>
          <cell r="C8074" t="str">
            <v>Coleoptera</v>
          </cell>
          <cell r="D8074" t="str">
            <v>Limnebius aluta</v>
          </cell>
          <cell r="E8074" t="str">
            <v>NT</v>
          </cell>
          <cell r="F8074" t="str">
            <v>Foster, 2010</v>
          </cell>
          <cell r="G8074" t="str">
            <v>NHMSYS0001718831</v>
          </cell>
          <cell r="H8074" t="str">
            <v>Limnebius aluta</v>
          </cell>
        </row>
        <row r="8075">
          <cell r="A8075" t="str">
            <v>Limnebius crinifer</v>
          </cell>
          <cell r="B8075" t="str">
            <v>Water beetles</v>
          </cell>
          <cell r="C8075" t="str">
            <v>Coleoptera</v>
          </cell>
          <cell r="D8075" t="str">
            <v>Limnebius crinifer</v>
          </cell>
          <cell r="E8075" t="str">
            <v>EN</v>
          </cell>
          <cell r="F8075" t="str">
            <v>Foster, 2010</v>
          </cell>
          <cell r="G8075" t="str">
            <v>NBNSYS0000007769</v>
          </cell>
          <cell r="H8075" t="str">
            <v>Limnebius crinifer</v>
          </cell>
        </row>
        <row r="8076">
          <cell r="A8076" t="str">
            <v>Limnebius nitidus</v>
          </cell>
          <cell r="B8076" t="str">
            <v>Water beetles</v>
          </cell>
          <cell r="C8076" t="str">
            <v>Coleoptera</v>
          </cell>
          <cell r="D8076" t="str">
            <v>Limnebius nitidus</v>
          </cell>
          <cell r="E8076" t="str">
            <v>LC</v>
          </cell>
          <cell r="F8076" t="str">
            <v>Foster, 2010</v>
          </cell>
          <cell r="G8076" t="str">
            <v>NBNSYS0000007770</v>
          </cell>
          <cell r="H8076" t="str">
            <v>Limnebius nitidus</v>
          </cell>
        </row>
        <row r="8077">
          <cell r="A8077" t="str">
            <v>Limnebius papposus</v>
          </cell>
          <cell r="B8077" t="str">
            <v>Water beetles</v>
          </cell>
          <cell r="C8077" t="str">
            <v>Coleoptera</v>
          </cell>
          <cell r="D8077" t="str">
            <v>Limnebius papposus</v>
          </cell>
          <cell r="E8077" t="str">
            <v>NT</v>
          </cell>
          <cell r="F8077" t="str">
            <v>Foster, 2010</v>
          </cell>
          <cell r="G8077" t="str">
            <v>NBNSYS0000007771</v>
          </cell>
          <cell r="H8077" t="str">
            <v>Limnebius papposus</v>
          </cell>
        </row>
        <row r="8078">
          <cell r="A8078" t="str">
            <v>Limnebius truncatellus</v>
          </cell>
          <cell r="B8078" t="str">
            <v>Water beetles</v>
          </cell>
          <cell r="C8078" t="str">
            <v>Coleoptera</v>
          </cell>
          <cell r="D8078" t="str">
            <v>Limnebius truncatellus</v>
          </cell>
          <cell r="E8078" t="str">
            <v>LC</v>
          </cell>
          <cell r="F8078" t="str">
            <v>Foster, 2010</v>
          </cell>
          <cell r="G8078" t="str">
            <v>NBNSYS0000007772</v>
          </cell>
          <cell r="H8078" t="str">
            <v>Limnebius truncatellus</v>
          </cell>
        </row>
        <row r="8079">
          <cell r="A8079" t="str">
            <v>Limnichus pygmaeus</v>
          </cell>
          <cell r="B8079" t="str">
            <v>Water beetles</v>
          </cell>
          <cell r="C8079" t="str">
            <v>Coleoptera</v>
          </cell>
          <cell r="D8079" t="str">
            <v>Limnichus pygmaeus</v>
          </cell>
          <cell r="E8079" t="str">
            <v>LC</v>
          </cell>
          <cell r="F8079" t="str">
            <v>Foster, 2010</v>
          </cell>
          <cell r="G8079" t="str">
            <v>NBNSYS0000024210</v>
          </cell>
          <cell r="H8079" t="str">
            <v>Limnichus pygmaeus</v>
          </cell>
        </row>
        <row r="8080">
          <cell r="A8080" t="str">
            <v>Limnius volckmari</v>
          </cell>
          <cell r="B8080" t="str">
            <v>Water beetles</v>
          </cell>
          <cell r="C8080" t="str">
            <v>Coleoptera</v>
          </cell>
          <cell r="D8080" t="str">
            <v>Limnius volckmari</v>
          </cell>
          <cell r="E8080" t="str">
            <v>LC</v>
          </cell>
          <cell r="F8080" t="str">
            <v>Foster, 2010</v>
          </cell>
          <cell r="G8080" t="str">
            <v>NBNSYS0000007785</v>
          </cell>
          <cell r="H8080" t="str">
            <v>Limnius volckmari</v>
          </cell>
        </row>
        <row r="8081">
          <cell r="A8081" t="str">
            <v>Limnoxenus niger</v>
          </cell>
          <cell r="B8081" t="str">
            <v>Water beetles</v>
          </cell>
          <cell r="C8081" t="str">
            <v>Coleoptera</v>
          </cell>
          <cell r="D8081" t="str">
            <v>Limnoxenus niger</v>
          </cell>
          <cell r="E8081" t="str">
            <v>NT</v>
          </cell>
          <cell r="F8081" t="str">
            <v>Foster, 2010</v>
          </cell>
          <cell r="G8081" t="str">
            <v>NHMSYS0021447277</v>
          </cell>
          <cell r="H8081" t="str">
            <v>Limnoxenus niger</v>
          </cell>
        </row>
        <row r="8082">
          <cell r="A8082" t="str">
            <v>Liopterus haemorrhoidalis</v>
          </cell>
          <cell r="B8082" t="str">
            <v>Water beetles</v>
          </cell>
          <cell r="C8082" t="str">
            <v>Coleoptera</v>
          </cell>
          <cell r="D8082" t="str">
            <v>Liopterus haemorrhoidalis</v>
          </cell>
          <cell r="E8082" t="str">
            <v>LC</v>
          </cell>
          <cell r="F8082" t="str">
            <v>Foster, 2010</v>
          </cell>
          <cell r="G8082" t="str">
            <v>NHMSYS0001718857</v>
          </cell>
          <cell r="H8082" t="str">
            <v>Liopterus haemorrhoidalis</v>
          </cell>
        </row>
        <row r="8083">
          <cell r="A8083" t="str">
            <v>Macronychus quadrituberculatus</v>
          </cell>
          <cell r="B8083" t="str">
            <v>Water beetles</v>
          </cell>
          <cell r="C8083" t="str">
            <v>Coleoptera</v>
          </cell>
          <cell r="D8083" t="str">
            <v>Macronychus quadrituberculatus</v>
          </cell>
          <cell r="E8083" t="str">
            <v>NT</v>
          </cell>
          <cell r="F8083" t="str">
            <v>Foster, 2010</v>
          </cell>
          <cell r="G8083" t="str">
            <v>NHMSYS0001718894</v>
          </cell>
          <cell r="H8083" t="str">
            <v>Macronychus quadrituberculatus</v>
          </cell>
        </row>
        <row r="8084">
          <cell r="A8084" t="str">
            <v>Microcara testacea</v>
          </cell>
          <cell r="B8084" t="str">
            <v>Water beetles</v>
          </cell>
          <cell r="C8084" t="str">
            <v>Coleoptera</v>
          </cell>
          <cell r="D8084" t="str">
            <v>Microcara testacea</v>
          </cell>
          <cell r="E8084" t="str">
            <v>LC</v>
          </cell>
          <cell r="F8084" t="str">
            <v>Foster, 2010</v>
          </cell>
          <cell r="G8084" t="str">
            <v>NBNSYS0000024173</v>
          </cell>
          <cell r="H8084" t="str">
            <v>Microcara testacea</v>
          </cell>
        </row>
        <row r="8085">
          <cell r="A8085" t="str">
            <v>Nebrioporus assimilis</v>
          </cell>
          <cell r="B8085" t="str">
            <v>Water beetles</v>
          </cell>
          <cell r="C8085" t="str">
            <v>Coleoptera</v>
          </cell>
          <cell r="D8085" t="str">
            <v>Nebrioporus assimilis</v>
          </cell>
          <cell r="E8085" t="str">
            <v>LC</v>
          </cell>
          <cell r="F8085" t="str">
            <v>Foster, 2010</v>
          </cell>
          <cell r="G8085" t="str">
            <v>NBNSYS0100004190</v>
          </cell>
          <cell r="H8085" t="str">
            <v>Nebrioporus assimilis</v>
          </cell>
        </row>
        <row r="8086">
          <cell r="A8086" t="str">
            <v>Nebrioporus depressus depressus</v>
          </cell>
          <cell r="B8086" t="str">
            <v>Water beetles</v>
          </cell>
          <cell r="C8086" t="str">
            <v>Coleoptera</v>
          </cell>
          <cell r="D8086" t="str">
            <v>Nebrioporus depressus (subsp.) depressus</v>
          </cell>
          <cell r="E8086" t="str">
            <v>NT</v>
          </cell>
          <cell r="F8086" t="str">
            <v>Foster, 2010</v>
          </cell>
          <cell r="G8086" t="str">
            <v>NBNSYS0000007572</v>
          </cell>
          <cell r="H8086" t="str">
            <v>Nebrioporus depressus depressus</v>
          </cell>
        </row>
        <row r="8087">
          <cell r="A8087" t="str">
            <v>Nebrioporus depressus elegans</v>
          </cell>
          <cell r="B8087" t="str">
            <v>Water beetles</v>
          </cell>
          <cell r="C8087" t="str">
            <v>Coleoptera</v>
          </cell>
          <cell r="D8087" t="str">
            <v>Nebrioporus depressus/elegans (agg.)</v>
          </cell>
          <cell r="E8087" t="str">
            <v>LC</v>
          </cell>
          <cell r="F8087" t="str">
            <v>Foster, 2010</v>
          </cell>
          <cell r="G8087" t="str">
            <v>NHMSYS0021486512</v>
          </cell>
          <cell r="H8087" t="str">
            <v>Nebrioporus depressus elegans</v>
          </cell>
        </row>
        <row r="8088">
          <cell r="A8088" t="str">
            <v>Normandia nitens</v>
          </cell>
          <cell r="B8088" t="str">
            <v>Water beetles</v>
          </cell>
          <cell r="C8088" t="str">
            <v>Coleoptera</v>
          </cell>
          <cell r="D8088" t="str">
            <v>Normandia nitens</v>
          </cell>
          <cell r="E8088" t="str">
            <v>EN</v>
          </cell>
          <cell r="F8088" t="str">
            <v>Foster, 2010</v>
          </cell>
          <cell r="G8088" t="str">
            <v>NBNSYS0000155986</v>
          </cell>
          <cell r="H8088" t="str">
            <v>Normandia nitens</v>
          </cell>
        </row>
        <row r="8089">
          <cell r="A8089" t="str">
            <v>Noterus clavicornis</v>
          </cell>
          <cell r="B8089" t="str">
            <v>Water beetles</v>
          </cell>
          <cell r="C8089" t="str">
            <v>Coleoptera</v>
          </cell>
          <cell r="D8089" t="str">
            <v>Noterus clavicornis</v>
          </cell>
          <cell r="E8089" t="str">
            <v>LC</v>
          </cell>
          <cell r="F8089" t="str">
            <v>Foster, 2010</v>
          </cell>
          <cell r="G8089" t="str">
            <v>NHMSYS0001719173</v>
          </cell>
          <cell r="H8089" t="str">
            <v>Noterus clavicornis</v>
          </cell>
        </row>
        <row r="8090">
          <cell r="A8090" t="str">
            <v>Noterus crassicornis</v>
          </cell>
          <cell r="B8090" t="str">
            <v>Water beetles</v>
          </cell>
          <cell r="C8090" t="str">
            <v>Coleoptera</v>
          </cell>
          <cell r="D8090" t="str">
            <v>Noterus crassicornis</v>
          </cell>
          <cell r="E8090" t="str">
            <v>LC</v>
          </cell>
          <cell r="F8090" t="str">
            <v>Foster, 2010</v>
          </cell>
          <cell r="G8090" t="str">
            <v>NHMSYS0001719174</v>
          </cell>
          <cell r="H8090" t="str">
            <v>Noterus crassicornis</v>
          </cell>
        </row>
        <row r="8091">
          <cell r="A8091" t="str">
            <v>Ochthebius aeneus</v>
          </cell>
          <cell r="B8091" t="str">
            <v>Water beetles</v>
          </cell>
          <cell r="C8091" t="str">
            <v>Coleoptera</v>
          </cell>
          <cell r="D8091" t="str">
            <v>Ochthebius aeneus</v>
          </cell>
          <cell r="E8091" t="str">
            <v>RE</v>
          </cell>
          <cell r="F8091" t="str">
            <v>Foster, 2010</v>
          </cell>
          <cell r="G8091" t="str">
            <v>NBNSYS0000007742</v>
          </cell>
          <cell r="H8091" t="str">
            <v>Ochthebius aeneus</v>
          </cell>
        </row>
        <row r="8092">
          <cell r="A8092" t="str">
            <v>Ochthebius auriculatus</v>
          </cell>
          <cell r="B8092" t="str">
            <v>Water beetles</v>
          </cell>
          <cell r="C8092" t="str">
            <v>Coleoptera</v>
          </cell>
          <cell r="D8092" t="str">
            <v>Ochthebius auriculatus</v>
          </cell>
          <cell r="E8092" t="str">
            <v>LC</v>
          </cell>
          <cell r="F8092" t="str">
            <v>Foster, 2010</v>
          </cell>
          <cell r="G8092" t="str">
            <v>NBNSYS0000007743</v>
          </cell>
          <cell r="H8092" t="str">
            <v>Ochthebius auriculatus</v>
          </cell>
        </row>
        <row r="8093">
          <cell r="A8093" t="str">
            <v>Ochthebius bicolon</v>
          </cell>
          <cell r="B8093" t="str">
            <v>Water beetles</v>
          </cell>
          <cell r="C8093" t="str">
            <v>Coleoptera</v>
          </cell>
          <cell r="D8093" t="str">
            <v>Ochthebius bicolon</v>
          </cell>
          <cell r="E8093" t="str">
            <v>LC</v>
          </cell>
          <cell r="F8093" t="str">
            <v>Foster, 2010</v>
          </cell>
          <cell r="G8093" t="str">
            <v>NBNSYS0000007744</v>
          </cell>
          <cell r="H8093" t="str">
            <v>Ochthebius bicolon</v>
          </cell>
        </row>
        <row r="8094">
          <cell r="A8094" t="str">
            <v>Ochthebius dilatatus</v>
          </cell>
          <cell r="B8094" t="str">
            <v>Water beetles</v>
          </cell>
          <cell r="C8094" t="str">
            <v>Coleoptera</v>
          </cell>
          <cell r="D8094" t="str">
            <v>Ochthebius dilatatus</v>
          </cell>
          <cell r="E8094" t="str">
            <v>LC</v>
          </cell>
          <cell r="F8094" t="str">
            <v>Foster, 2010</v>
          </cell>
          <cell r="G8094" t="str">
            <v>NBNSYS0000007746</v>
          </cell>
          <cell r="H8094" t="str">
            <v>Ochthebius dilatatus</v>
          </cell>
        </row>
        <row r="8095">
          <cell r="A8095" t="str">
            <v>Ochthebius lejolisii</v>
          </cell>
          <cell r="B8095" t="str">
            <v>Water beetles</v>
          </cell>
          <cell r="C8095" t="str">
            <v>Coleoptera</v>
          </cell>
          <cell r="D8095" t="str">
            <v>Ochthebius lejolisii</v>
          </cell>
          <cell r="E8095" t="str">
            <v>LC</v>
          </cell>
          <cell r="F8095" t="str">
            <v>Foster, 2010</v>
          </cell>
          <cell r="G8095" t="str">
            <v>NBNSYS0100004297</v>
          </cell>
          <cell r="H8095" t="str">
            <v>Ochthebius lejolisii</v>
          </cell>
        </row>
        <row r="8096">
          <cell r="A8096" t="str">
            <v>Ochthebius marinus</v>
          </cell>
          <cell r="B8096" t="str">
            <v>Water beetles</v>
          </cell>
          <cell r="C8096" t="str">
            <v>Coleoptera</v>
          </cell>
          <cell r="D8096" t="str">
            <v>Ochthebius marinus</v>
          </cell>
          <cell r="E8096" t="str">
            <v>LC</v>
          </cell>
          <cell r="F8096" t="str">
            <v>Foster, 2010</v>
          </cell>
          <cell r="G8096" t="str">
            <v>NBNSYS0000007750</v>
          </cell>
          <cell r="H8096" t="str">
            <v>Ochthebius marinus</v>
          </cell>
        </row>
        <row r="8097">
          <cell r="A8097" t="str">
            <v>Ochthebius minimus</v>
          </cell>
          <cell r="B8097" t="str">
            <v>Water beetles</v>
          </cell>
          <cell r="C8097" t="str">
            <v>Coleoptera</v>
          </cell>
          <cell r="D8097" t="str">
            <v>Ochthebius minimus</v>
          </cell>
          <cell r="E8097" t="str">
            <v>LC</v>
          </cell>
          <cell r="F8097" t="str">
            <v>Foster, 2010</v>
          </cell>
          <cell r="G8097" t="str">
            <v>NBNSYS0000007751</v>
          </cell>
          <cell r="H8097" t="str">
            <v>Ochthebius minimus</v>
          </cell>
        </row>
        <row r="8098">
          <cell r="A8098" t="str">
            <v>Ochthebius nanus</v>
          </cell>
          <cell r="B8098" t="str">
            <v>Water beetles</v>
          </cell>
          <cell r="C8098" t="str">
            <v>Coleoptera</v>
          </cell>
          <cell r="D8098" t="str">
            <v>Ochthebius nanus</v>
          </cell>
          <cell r="E8098" t="str">
            <v>LC</v>
          </cell>
          <cell r="F8098" t="str">
            <v>Foster, 2010</v>
          </cell>
          <cell r="G8098" t="str">
            <v>NBNSYS0000007752</v>
          </cell>
          <cell r="H8098" t="str">
            <v>Ochthebius nanus</v>
          </cell>
        </row>
        <row r="8099">
          <cell r="A8099" t="str">
            <v>Ochthebius poweri</v>
          </cell>
          <cell r="B8099" t="str">
            <v>Water beetles</v>
          </cell>
          <cell r="C8099" t="str">
            <v>Coleoptera</v>
          </cell>
          <cell r="D8099" t="str">
            <v>Ochthebius poweri</v>
          </cell>
          <cell r="E8099" t="str">
            <v>NT</v>
          </cell>
          <cell r="F8099" t="str">
            <v>Foster, 2010</v>
          </cell>
          <cell r="G8099" t="str">
            <v>NBNSYS0000007753</v>
          </cell>
          <cell r="H8099" t="str">
            <v>Ochthebius poweri</v>
          </cell>
        </row>
        <row r="8100">
          <cell r="A8100" t="str">
            <v>Ochthebius punctatus</v>
          </cell>
          <cell r="B8100" t="str">
            <v>Water beetles</v>
          </cell>
          <cell r="C8100" t="str">
            <v>Coleoptera</v>
          </cell>
          <cell r="D8100" t="str">
            <v>Ochthebius punctatus</v>
          </cell>
          <cell r="E8100" t="str">
            <v>LC</v>
          </cell>
          <cell r="F8100" t="str">
            <v>Foster, 2010</v>
          </cell>
          <cell r="G8100" t="str">
            <v>NBNSYS0000007754</v>
          </cell>
          <cell r="H8100" t="str">
            <v>Ochthebius punctatus</v>
          </cell>
        </row>
        <row r="8101">
          <cell r="A8101" t="str">
            <v>Ochthebius pusillus</v>
          </cell>
          <cell r="B8101" t="str">
            <v>Water beetles</v>
          </cell>
          <cell r="C8101" t="str">
            <v>Coleoptera</v>
          </cell>
          <cell r="D8101" t="str">
            <v>Ochthebius pusillus</v>
          </cell>
          <cell r="E8101" t="str">
            <v>LC</v>
          </cell>
          <cell r="F8101" t="str">
            <v>Foster, 2010</v>
          </cell>
          <cell r="G8101" t="str">
            <v>NBNSYS0000007755</v>
          </cell>
          <cell r="H8101" t="str">
            <v>Ochthebius pusillus</v>
          </cell>
        </row>
        <row r="8102">
          <cell r="A8102" t="str">
            <v>Ochthebius viridis s. lat.</v>
          </cell>
          <cell r="B8102" t="str">
            <v>Water beetles</v>
          </cell>
          <cell r="C8102" t="str">
            <v>Coleoptera</v>
          </cell>
          <cell r="D8102" t="str">
            <v>Ochthebius viridis s. lat.</v>
          </cell>
          <cell r="E8102" t="str">
            <v>LC</v>
          </cell>
          <cell r="F8102" t="str">
            <v>Foster, 2010</v>
          </cell>
          <cell r="G8102" t="str">
            <v>NBNSYS0000007757</v>
          </cell>
          <cell r="H8102" t="str">
            <v>Ochthebius viridis s. lat.</v>
          </cell>
        </row>
        <row r="8103">
          <cell r="A8103" t="str">
            <v>Odeles marginata</v>
          </cell>
          <cell r="B8103" t="str">
            <v>Water beetles</v>
          </cell>
          <cell r="C8103" t="str">
            <v>Coleoptera</v>
          </cell>
          <cell r="D8103" t="str">
            <v>Odeles marginata</v>
          </cell>
          <cell r="E8103" t="str">
            <v>LC</v>
          </cell>
          <cell r="F8103" t="str">
            <v>Foster, 2010</v>
          </cell>
          <cell r="G8103" t="str">
            <v>NHMSYS0001719254</v>
          </cell>
          <cell r="H8103" t="str">
            <v>Odeles marginata</v>
          </cell>
        </row>
        <row r="8104">
          <cell r="A8104" t="str">
            <v>Orectochilus villosus</v>
          </cell>
          <cell r="B8104" t="str">
            <v>Water beetles</v>
          </cell>
          <cell r="C8104" t="str">
            <v>Coleoptera</v>
          </cell>
          <cell r="D8104" t="str">
            <v>Orectochilus villosus</v>
          </cell>
          <cell r="E8104" t="str">
            <v>LC</v>
          </cell>
          <cell r="F8104" t="str">
            <v>Foster, 2010</v>
          </cell>
          <cell r="G8104" t="str">
            <v>NHMSYS0001719364</v>
          </cell>
          <cell r="H8104" t="str">
            <v>Orectochilus villosus</v>
          </cell>
        </row>
        <row r="8105">
          <cell r="A8105" t="str">
            <v>Oreodytes davisii</v>
          </cell>
          <cell r="B8105" t="str">
            <v>Water beetles</v>
          </cell>
          <cell r="C8105" t="str">
            <v>Coleoptera</v>
          </cell>
          <cell r="D8105" t="str">
            <v>Oreodytes davisii</v>
          </cell>
          <cell r="E8105" t="str">
            <v>NT</v>
          </cell>
          <cell r="F8105" t="str">
            <v>Foster, 2010</v>
          </cell>
          <cell r="G8105" t="str">
            <v>NHMSYS0001719368</v>
          </cell>
          <cell r="H8105" t="str">
            <v>Oreodytes davisii</v>
          </cell>
        </row>
        <row r="8106">
          <cell r="A8106" t="str">
            <v>Oreodytes sanmarkii</v>
          </cell>
          <cell r="B8106" t="str">
            <v>Water beetles</v>
          </cell>
          <cell r="C8106" t="str">
            <v>Coleoptera</v>
          </cell>
          <cell r="D8106" t="str">
            <v>Oreodytes sanmarkii</v>
          </cell>
          <cell r="E8106" t="str">
            <v>LC</v>
          </cell>
          <cell r="F8106" t="str">
            <v>Foster, 2010</v>
          </cell>
          <cell r="G8106" t="str">
            <v>NHMSYS0001719371</v>
          </cell>
          <cell r="H8106" t="str">
            <v>Oreodytes sanmarkii</v>
          </cell>
        </row>
        <row r="8107">
          <cell r="A8107" t="str">
            <v>Oreodytes septentrionalis</v>
          </cell>
          <cell r="B8107" t="str">
            <v>Water beetles</v>
          </cell>
          <cell r="C8107" t="str">
            <v>Coleoptera</v>
          </cell>
          <cell r="D8107" t="str">
            <v>Oreodytes septentrionalis</v>
          </cell>
          <cell r="E8107" t="str">
            <v>LC</v>
          </cell>
          <cell r="F8107" t="str">
            <v>Foster, 2010</v>
          </cell>
          <cell r="G8107" t="str">
            <v>NHMSYS0001719372</v>
          </cell>
          <cell r="H8107" t="str">
            <v>Oreodytes septentrionalis</v>
          </cell>
        </row>
        <row r="8108">
          <cell r="A8108" t="str">
            <v>Oulimnius major</v>
          </cell>
          <cell r="B8108" t="str">
            <v>Water beetles</v>
          </cell>
          <cell r="C8108" t="str">
            <v>Coleoptera</v>
          </cell>
          <cell r="D8108" t="str">
            <v>Oulimnius major</v>
          </cell>
          <cell r="E8108" t="str">
            <v>LC</v>
          </cell>
          <cell r="F8108" t="str">
            <v>Foster, 2010</v>
          </cell>
          <cell r="G8108" t="str">
            <v>NBNSYS0000007788</v>
          </cell>
          <cell r="H8108" t="str">
            <v>Oulimnius major</v>
          </cell>
        </row>
        <row r="8109">
          <cell r="A8109" t="str">
            <v>Oulimnius rivularis</v>
          </cell>
          <cell r="B8109" t="str">
            <v>Water beetles</v>
          </cell>
          <cell r="C8109" t="str">
            <v>Coleoptera</v>
          </cell>
          <cell r="D8109" t="str">
            <v>Oulimnius rivularis</v>
          </cell>
          <cell r="E8109" t="str">
            <v>LC</v>
          </cell>
          <cell r="F8109" t="str">
            <v>Foster, 2010</v>
          </cell>
          <cell r="G8109" t="str">
            <v>NBNSYS0000007789</v>
          </cell>
          <cell r="H8109" t="str">
            <v>Oulimnius rivularis</v>
          </cell>
        </row>
        <row r="8110">
          <cell r="A8110" t="str">
            <v>Oulimnius troglodytes</v>
          </cell>
          <cell r="B8110" t="str">
            <v>Water beetles</v>
          </cell>
          <cell r="C8110" t="str">
            <v>Coleoptera</v>
          </cell>
          <cell r="D8110" t="str">
            <v>Oulimnius troglodytes</v>
          </cell>
          <cell r="E8110" t="str">
            <v>LC</v>
          </cell>
          <cell r="F8110" t="str">
            <v>Foster, 2010</v>
          </cell>
          <cell r="G8110" t="str">
            <v>NBNSYS0000007790</v>
          </cell>
          <cell r="H8110" t="str">
            <v>Oulimnius troglodytes</v>
          </cell>
        </row>
        <row r="8111">
          <cell r="A8111" t="str">
            <v>Oulimnius tuberculatus</v>
          </cell>
          <cell r="B8111" t="str">
            <v>Water beetles</v>
          </cell>
          <cell r="C8111" t="str">
            <v>Coleoptera</v>
          </cell>
          <cell r="D8111" t="str">
            <v>Oulimnius tuberculatus</v>
          </cell>
          <cell r="E8111" t="str">
            <v>LC</v>
          </cell>
          <cell r="F8111" t="str">
            <v>Foster, 2010</v>
          </cell>
          <cell r="G8111" t="str">
            <v>NHMSYS0001719385</v>
          </cell>
          <cell r="H8111" t="str">
            <v>Oulimnius tuberculatus</v>
          </cell>
        </row>
        <row r="8112">
          <cell r="A8112" t="str">
            <v>Paracymus aeneus</v>
          </cell>
          <cell r="B8112" t="str">
            <v>Water beetles</v>
          </cell>
          <cell r="C8112" t="str">
            <v>Coleoptera</v>
          </cell>
          <cell r="D8112" t="str">
            <v>Paracymus aeneus</v>
          </cell>
          <cell r="E8112" t="str">
            <v>EN</v>
          </cell>
          <cell r="F8112" t="str">
            <v>Foster, 2010</v>
          </cell>
          <cell r="G8112" t="str">
            <v>NBNSYS0000007704</v>
          </cell>
          <cell r="H8112" t="str">
            <v>Paracymus aeneus</v>
          </cell>
        </row>
        <row r="8113">
          <cell r="A8113" t="str">
            <v>Paracymus scutellaris</v>
          </cell>
          <cell r="B8113" t="str">
            <v>Water beetles</v>
          </cell>
          <cell r="C8113" t="str">
            <v>Coleoptera</v>
          </cell>
          <cell r="D8113" t="str">
            <v>Paracymus scutellaris</v>
          </cell>
          <cell r="E8113" t="str">
            <v>LC</v>
          </cell>
          <cell r="F8113" t="str">
            <v>Foster, 2010</v>
          </cell>
          <cell r="G8113" t="str">
            <v>NBNSYS0000007705</v>
          </cell>
          <cell r="H8113" t="str">
            <v>Paracymus scutellaris</v>
          </cell>
        </row>
        <row r="8114">
          <cell r="A8114" t="str">
            <v>Peltodytes caesus</v>
          </cell>
          <cell r="B8114" t="str">
            <v>Water beetles</v>
          </cell>
          <cell r="C8114" t="str">
            <v>Coleoptera</v>
          </cell>
          <cell r="D8114" t="str">
            <v>Peltodytes caesus</v>
          </cell>
          <cell r="E8114" t="str">
            <v>LC</v>
          </cell>
          <cell r="F8114" t="str">
            <v>Foster, 2010</v>
          </cell>
          <cell r="G8114" t="str">
            <v>NBNSYS0000007494</v>
          </cell>
          <cell r="H8114" t="str">
            <v>Peltodytes caesus</v>
          </cell>
        </row>
        <row r="8115">
          <cell r="A8115" t="str">
            <v>Platambus maculatus</v>
          </cell>
          <cell r="B8115" t="str">
            <v>Water beetles</v>
          </cell>
          <cell r="C8115" t="str">
            <v>Coleoptera</v>
          </cell>
          <cell r="D8115" t="str">
            <v>Platambus maculatus</v>
          </cell>
          <cell r="E8115" t="str">
            <v>LC</v>
          </cell>
          <cell r="F8115" t="str">
            <v>Foster, 2010</v>
          </cell>
          <cell r="G8115" t="str">
            <v>NBNSYS0000007584</v>
          </cell>
          <cell r="H8115" t="str">
            <v>Platambus maculatus</v>
          </cell>
        </row>
        <row r="8116">
          <cell r="A8116" t="str">
            <v>Pomatinus substriatus</v>
          </cell>
          <cell r="B8116" t="str">
            <v>Water beetles</v>
          </cell>
          <cell r="C8116" t="str">
            <v>Coleoptera</v>
          </cell>
          <cell r="D8116" t="str">
            <v>Pomatinus substriatus</v>
          </cell>
          <cell r="E8116" t="str">
            <v>VU</v>
          </cell>
          <cell r="F8116" t="str">
            <v>Foster, 2010</v>
          </cell>
          <cell r="G8116" t="str">
            <v>NHMSYS0001719668</v>
          </cell>
          <cell r="H8116" t="str">
            <v>Pomatinus substriatus</v>
          </cell>
        </row>
        <row r="8117">
          <cell r="A8117" t="str">
            <v>Porhydrus lineatus</v>
          </cell>
          <cell r="B8117" t="str">
            <v>Water beetles</v>
          </cell>
          <cell r="C8117" t="str">
            <v>Coleoptera</v>
          </cell>
          <cell r="D8117" t="str">
            <v>Porhydrus lineatus</v>
          </cell>
          <cell r="E8117" t="str">
            <v>LC</v>
          </cell>
          <cell r="F8117" t="str">
            <v>Foster, 2010</v>
          </cell>
          <cell r="G8117" t="str">
            <v>NHMSYS0001719674</v>
          </cell>
          <cell r="H8117" t="str">
            <v>Porhydrus lineatus</v>
          </cell>
        </row>
        <row r="8118">
          <cell r="A8118" t="str">
            <v>Prionocyphon serricornis</v>
          </cell>
          <cell r="B8118" t="str">
            <v>Water beetles</v>
          </cell>
          <cell r="C8118" t="str">
            <v>Coleoptera</v>
          </cell>
          <cell r="D8118" t="str">
            <v>Prionocyphon serricornis</v>
          </cell>
          <cell r="E8118" t="str">
            <v>LC</v>
          </cell>
          <cell r="F8118" t="str">
            <v>Foster, 2010</v>
          </cell>
          <cell r="G8118" t="str">
            <v>NHMSYS0001719683</v>
          </cell>
          <cell r="H8118" t="str">
            <v>Prionocyphon serricornis</v>
          </cell>
        </row>
        <row r="8119">
          <cell r="A8119" t="str">
            <v>Rhantus bistriatus</v>
          </cell>
          <cell r="B8119" t="str">
            <v>Water beetles</v>
          </cell>
          <cell r="C8119" t="str">
            <v>Coleoptera</v>
          </cell>
          <cell r="D8119" t="str">
            <v>Rhantus bistriatus</v>
          </cell>
          <cell r="E8119" t="str">
            <v>RE</v>
          </cell>
          <cell r="F8119" t="str">
            <v>Foster, 2010</v>
          </cell>
          <cell r="G8119" t="str">
            <v>NBNSYS0000155719</v>
          </cell>
          <cell r="H8119" t="str">
            <v>Rhantus bistriatus</v>
          </cell>
        </row>
        <row r="8120">
          <cell r="A8120" t="str">
            <v>Rhantus exsoletus</v>
          </cell>
          <cell r="B8120" t="str">
            <v>Water beetles</v>
          </cell>
          <cell r="C8120" t="str">
            <v>Coleoptera</v>
          </cell>
          <cell r="D8120" t="str">
            <v>Rhantus exsoletus</v>
          </cell>
          <cell r="E8120" t="str">
            <v>LC</v>
          </cell>
          <cell r="F8120" t="str">
            <v>Foster, 2010</v>
          </cell>
          <cell r="G8120" t="str">
            <v>NBNSYS0000007614</v>
          </cell>
          <cell r="H8120" t="str">
            <v>Rhantus exsoletus</v>
          </cell>
        </row>
        <row r="8121">
          <cell r="A8121" t="str">
            <v>Rhantus frontalis</v>
          </cell>
          <cell r="B8121" t="str">
            <v>Water beetles</v>
          </cell>
          <cell r="C8121" t="str">
            <v>Coleoptera</v>
          </cell>
          <cell r="D8121" t="str">
            <v>Rhantus frontalis</v>
          </cell>
          <cell r="E8121" t="str">
            <v>LC</v>
          </cell>
          <cell r="F8121" t="str">
            <v>Foster, 2010</v>
          </cell>
          <cell r="G8121" t="str">
            <v>NBNSYS0000007615</v>
          </cell>
          <cell r="H8121" t="str">
            <v>Rhantus frontalis</v>
          </cell>
        </row>
        <row r="8122">
          <cell r="A8122" t="str">
            <v>Rhantus grapii</v>
          </cell>
          <cell r="B8122" t="str">
            <v>Water beetles</v>
          </cell>
          <cell r="C8122" t="str">
            <v>Coleoptera</v>
          </cell>
          <cell r="D8122" t="str">
            <v>Rhantus grapii</v>
          </cell>
          <cell r="E8122" t="str">
            <v>LC</v>
          </cell>
          <cell r="F8122" t="str">
            <v>Foster, 2010</v>
          </cell>
          <cell r="G8122" t="str">
            <v>NHMSYS0021419099</v>
          </cell>
          <cell r="H8122" t="str">
            <v>Rhantus grapii</v>
          </cell>
        </row>
        <row r="8123">
          <cell r="A8123" t="str">
            <v>Rhantus suturalis</v>
          </cell>
          <cell r="B8123" t="str">
            <v>Water beetles</v>
          </cell>
          <cell r="C8123" t="str">
            <v>Coleoptera</v>
          </cell>
          <cell r="D8123" t="str">
            <v>Rhantus suturalis</v>
          </cell>
          <cell r="E8123" t="str">
            <v>LC</v>
          </cell>
          <cell r="F8123" t="str">
            <v>Foster, 2010</v>
          </cell>
          <cell r="G8123" t="str">
            <v>NBNSYS0000007617</v>
          </cell>
          <cell r="H8123" t="str">
            <v>Rhantus suturalis</v>
          </cell>
        </row>
        <row r="8124">
          <cell r="A8124" t="str">
            <v>Rhantus suturellus</v>
          </cell>
          <cell r="B8124" t="str">
            <v>Water beetles</v>
          </cell>
          <cell r="C8124" t="str">
            <v>Coleoptera</v>
          </cell>
          <cell r="D8124" t="str">
            <v>Rhantus suturellus</v>
          </cell>
          <cell r="E8124" t="str">
            <v>LC</v>
          </cell>
          <cell r="F8124" t="str">
            <v>Foster, 2010</v>
          </cell>
          <cell r="G8124" t="str">
            <v>NBNSYS0000007613</v>
          </cell>
          <cell r="H8124" t="str">
            <v>Rhantus suturellus</v>
          </cell>
        </row>
        <row r="8125">
          <cell r="A8125" t="str">
            <v>Riolus cupreus</v>
          </cell>
          <cell r="B8125" t="str">
            <v>Water beetles</v>
          </cell>
          <cell r="C8125" t="str">
            <v>Coleoptera</v>
          </cell>
          <cell r="D8125" t="str">
            <v>Riolus cupreus</v>
          </cell>
          <cell r="E8125" t="str">
            <v>LC</v>
          </cell>
          <cell r="F8125" t="str">
            <v>Foster, 2010</v>
          </cell>
          <cell r="G8125" t="str">
            <v>NHMSYS0001720013</v>
          </cell>
          <cell r="H8125" t="str">
            <v>Riolus cupreus</v>
          </cell>
        </row>
        <row r="8126">
          <cell r="A8126" t="str">
            <v>Riolus subviolaceus</v>
          </cell>
          <cell r="B8126" t="str">
            <v>Water beetles</v>
          </cell>
          <cell r="C8126" t="str">
            <v>Coleoptera</v>
          </cell>
          <cell r="D8126" t="str">
            <v>Riolus subviolaceus</v>
          </cell>
          <cell r="E8126" t="str">
            <v>LC</v>
          </cell>
          <cell r="F8126" t="str">
            <v>Foster, 2010</v>
          </cell>
          <cell r="G8126" t="str">
            <v>NHMSYS0001720014</v>
          </cell>
          <cell r="H8126" t="str">
            <v>Riolus subviolaceus</v>
          </cell>
        </row>
        <row r="8127">
          <cell r="A8127" t="str">
            <v>Scarodytes halensis</v>
          </cell>
          <cell r="B8127" t="str">
            <v>Water beetles</v>
          </cell>
          <cell r="C8127" t="str">
            <v>Coleoptera</v>
          </cell>
          <cell r="D8127" t="str">
            <v>Scarodytes halensis</v>
          </cell>
          <cell r="E8127" t="str">
            <v>LC</v>
          </cell>
          <cell r="F8127" t="str">
            <v>Foster, 2010</v>
          </cell>
          <cell r="G8127" t="str">
            <v>NHMSYS0001720039</v>
          </cell>
          <cell r="H8127" t="str">
            <v>Scarodytes halensis</v>
          </cell>
        </row>
        <row r="8128">
          <cell r="A8128" t="str">
            <v>Scirtes hemisphaericus</v>
          </cell>
          <cell r="B8128" t="str">
            <v>Water beetles</v>
          </cell>
          <cell r="C8128" t="str">
            <v>Coleoptera</v>
          </cell>
          <cell r="D8128" t="str">
            <v>Scirtes hemisphaericus</v>
          </cell>
          <cell r="E8128" t="str">
            <v>LC</v>
          </cell>
          <cell r="F8128" t="str">
            <v>Foster, 2010</v>
          </cell>
          <cell r="G8128" t="str">
            <v>NBNSYS0000024186</v>
          </cell>
          <cell r="H8128" t="str">
            <v>Scirtes hemisphaericus</v>
          </cell>
        </row>
        <row r="8129">
          <cell r="A8129" t="str">
            <v>Scirtes orbicularis</v>
          </cell>
          <cell r="B8129" t="str">
            <v>Water beetles</v>
          </cell>
          <cell r="C8129" t="str">
            <v>Coleoptera</v>
          </cell>
          <cell r="D8129" t="str">
            <v>Scirtes orbicularis</v>
          </cell>
          <cell r="E8129" t="str">
            <v>LC</v>
          </cell>
          <cell r="F8129" t="str">
            <v>Foster, 2010</v>
          </cell>
          <cell r="G8129" t="str">
            <v>NBNSYS0000024187</v>
          </cell>
          <cell r="H8129" t="str">
            <v>Scirtes orbicularis</v>
          </cell>
        </row>
        <row r="8130">
          <cell r="A8130" t="str">
            <v>Spercheus emarginatus</v>
          </cell>
          <cell r="B8130" t="str">
            <v>Water beetles</v>
          </cell>
          <cell r="C8130" t="str">
            <v>Coleoptera</v>
          </cell>
          <cell r="D8130" t="str">
            <v>Spercheus emarginatus</v>
          </cell>
          <cell r="E8130" t="str">
            <v>RE</v>
          </cell>
          <cell r="F8130" t="str">
            <v>Foster, 2010</v>
          </cell>
          <cell r="G8130" t="str">
            <v>NBNSYS0000007647</v>
          </cell>
          <cell r="H8130" t="str">
            <v>Spercheus emarginatus</v>
          </cell>
        </row>
        <row r="8131">
          <cell r="A8131" t="str">
            <v>Sphaerius acaroides</v>
          </cell>
          <cell r="B8131" t="str">
            <v>Water beetles</v>
          </cell>
          <cell r="C8131" t="str">
            <v>Coleoptera</v>
          </cell>
          <cell r="D8131" t="str">
            <v>Sphaerius acaroides</v>
          </cell>
          <cell r="E8131" t="str">
            <v>NT</v>
          </cell>
          <cell r="F8131" t="str">
            <v>Foster, 2010</v>
          </cell>
          <cell r="G8131" t="str">
            <v>NBNSYS0000022814</v>
          </cell>
          <cell r="H8131" t="str">
            <v>Sphaerius acaroides</v>
          </cell>
        </row>
        <row r="8132">
          <cell r="A8132" t="str">
            <v>Stenelmis canaliculata</v>
          </cell>
          <cell r="B8132" t="str">
            <v>Water beetles</v>
          </cell>
          <cell r="C8132" t="str">
            <v>Coleoptera</v>
          </cell>
          <cell r="D8132" t="str">
            <v>Stenelmis canaliculata</v>
          </cell>
          <cell r="E8132" t="str">
            <v>VU</v>
          </cell>
          <cell r="F8132" t="str">
            <v>Foster, 2010</v>
          </cell>
          <cell r="G8132" t="str">
            <v>NBNSYS0000007794</v>
          </cell>
          <cell r="H8132" t="str">
            <v>Stenelmis canaliculata</v>
          </cell>
        </row>
        <row r="8133">
          <cell r="A8133" t="str">
            <v>Stictonectes lepidus</v>
          </cell>
          <cell r="B8133" t="str">
            <v>Water beetles</v>
          </cell>
          <cell r="C8133" t="str">
            <v>Coleoptera</v>
          </cell>
          <cell r="D8133" t="str">
            <v>Stictonectes lepidus</v>
          </cell>
          <cell r="E8133" t="str">
            <v>NT</v>
          </cell>
          <cell r="F8133" t="str">
            <v>Foster, 2010</v>
          </cell>
          <cell r="G8133" t="str">
            <v>NBNSYS0000007564</v>
          </cell>
          <cell r="H8133" t="str">
            <v>Stictonectes lepidus</v>
          </cell>
        </row>
        <row r="8134">
          <cell r="A8134" t="str">
            <v>Stictotarsus duodecimpustulatus</v>
          </cell>
          <cell r="B8134" t="str">
            <v>Water beetles</v>
          </cell>
          <cell r="C8134" t="str">
            <v>Coleoptera</v>
          </cell>
          <cell r="D8134" t="str">
            <v>Stictotarsus duodecimpustulatus</v>
          </cell>
          <cell r="E8134" t="str">
            <v>LC</v>
          </cell>
          <cell r="F8134" t="str">
            <v>Foster, 2010</v>
          </cell>
          <cell r="G8134" t="str">
            <v>NHMSYS0001720260</v>
          </cell>
          <cell r="H8134" t="str">
            <v>Stictotarsus duodecimpustulatus</v>
          </cell>
        </row>
        <row r="8135">
          <cell r="A8135" t="str">
            <v>Stictotarsus multilineatus</v>
          </cell>
          <cell r="B8135" t="str">
            <v>Water beetles</v>
          </cell>
          <cell r="C8135" t="str">
            <v>Coleoptera</v>
          </cell>
          <cell r="D8135" t="str">
            <v>Stictotarsus multilineatus</v>
          </cell>
          <cell r="E8135" t="str">
            <v>LC</v>
          </cell>
          <cell r="F8135" t="str">
            <v>Foster, 2010</v>
          </cell>
          <cell r="G8135" t="str">
            <v>NHMSYS0021125444</v>
          </cell>
          <cell r="H8135" t="str">
            <v>Stictotarsus multilineatus</v>
          </cell>
        </row>
        <row r="8136">
          <cell r="A8136" t="str">
            <v>Suphrodytes dorsalis</v>
          </cell>
          <cell r="B8136" t="str">
            <v>Water beetles</v>
          </cell>
          <cell r="C8136" t="str">
            <v>Coleoptera</v>
          </cell>
          <cell r="D8136" t="str">
            <v>Suphrodytes dorsalis</v>
          </cell>
          <cell r="E8136" t="str">
            <v>LC</v>
          </cell>
          <cell r="F8136" t="str">
            <v>Foster, 2010</v>
          </cell>
          <cell r="G8136" t="str">
            <v>NBNSYS0000149054</v>
          </cell>
          <cell r="H8136" t="str">
            <v>Suphrodytes dorsalis</v>
          </cell>
        </row>
        <row r="8137">
          <cell r="A8137" t="str">
            <v>Aphelocheirus aestivalis </v>
          </cell>
          <cell r="B8137" t="str">
            <v>Water bugs</v>
          </cell>
          <cell r="C8137" t="str">
            <v>Hemiptera</v>
          </cell>
          <cell r="D8137" t="str">
            <v>Aphelocheirus aestivalis</v>
          </cell>
          <cell r="E8137" t="str">
            <v>LC</v>
          </cell>
          <cell r="F8137" t="str">
            <v>Cook, 2015</v>
          </cell>
          <cell r="G8137" t="str">
            <v>NHMSYS0020308948</v>
          </cell>
          <cell r="H8137" t="str">
            <v>Aphelocheirus aestivalis </v>
          </cell>
        </row>
        <row r="8138">
          <cell r="A8138" t="str">
            <v>Aquarius najas </v>
          </cell>
          <cell r="B8138" t="str">
            <v>Water bugs</v>
          </cell>
          <cell r="C8138" t="str">
            <v>Hemiptera</v>
          </cell>
          <cell r="D8138" t="str">
            <v>Aquarius najas</v>
          </cell>
          <cell r="E8138" t="str">
            <v>LC</v>
          </cell>
          <cell r="F8138" t="str">
            <v>Cook, 2015</v>
          </cell>
          <cell r="G8138" t="str">
            <v>NHMSYS0000527503</v>
          </cell>
          <cell r="H8138" t="str">
            <v>Aquarius najas </v>
          </cell>
        </row>
        <row r="8139">
          <cell r="A8139" t="str">
            <v>Aquarius paludum </v>
          </cell>
          <cell r="B8139" t="str">
            <v>Water bugs</v>
          </cell>
          <cell r="C8139" t="str">
            <v>Hemiptera</v>
          </cell>
          <cell r="D8139" t="str">
            <v>Aquarius paludum</v>
          </cell>
          <cell r="E8139" t="str">
            <v>LC</v>
          </cell>
          <cell r="F8139" t="str">
            <v>Cook, 2015</v>
          </cell>
          <cell r="G8139" t="str">
            <v>NHMSYS0000527504</v>
          </cell>
          <cell r="H8139" t="str">
            <v>Aquarius paludum </v>
          </cell>
        </row>
        <row r="8140">
          <cell r="A8140" t="str">
            <v>Arctocorisa carinata </v>
          </cell>
          <cell r="B8140" t="str">
            <v>Water bugs</v>
          </cell>
          <cell r="C8140" t="str">
            <v>Hemiptera</v>
          </cell>
          <cell r="D8140" t="str">
            <v>Arctocorisa carinata</v>
          </cell>
          <cell r="E8140" t="str">
            <v>LC</v>
          </cell>
          <cell r="F8140" t="str">
            <v>Cook, 2015</v>
          </cell>
          <cell r="G8140" t="str">
            <v>NHMSYS0000527505</v>
          </cell>
          <cell r="H8140" t="str">
            <v>Arctocorisa carinata </v>
          </cell>
        </row>
        <row r="8141">
          <cell r="A8141" t="str">
            <v>Arctocorisa germari</v>
          </cell>
          <cell r="B8141" t="str">
            <v>Water bugs</v>
          </cell>
          <cell r="C8141" t="str">
            <v>Hemiptera</v>
          </cell>
          <cell r="D8141" t="str">
            <v>Arctocorisa germari</v>
          </cell>
          <cell r="E8141" t="str">
            <v>LC</v>
          </cell>
          <cell r="F8141" t="str">
            <v>Cook, 2015</v>
          </cell>
          <cell r="G8141" t="str">
            <v>NHMSYS0000527506</v>
          </cell>
          <cell r="H8141" t="str">
            <v>Arctocorisa germari</v>
          </cell>
        </row>
        <row r="8142">
          <cell r="A8142" t="str">
            <v>Callicorixa praeusta</v>
          </cell>
          <cell r="B8142" t="str">
            <v>Water bugs</v>
          </cell>
          <cell r="C8142" t="str">
            <v>Hemiptera</v>
          </cell>
          <cell r="D8142" t="str">
            <v>Callicorixa praeusta</v>
          </cell>
          <cell r="E8142" t="str">
            <v>LC</v>
          </cell>
          <cell r="F8142" t="str">
            <v>Cook, 2015</v>
          </cell>
          <cell r="G8142" t="str">
            <v>NHMSYS0000527507</v>
          </cell>
          <cell r="H8142" t="str">
            <v>Callicorixa praeusta</v>
          </cell>
        </row>
        <row r="8143">
          <cell r="A8143" t="str">
            <v>Callicorixa wollastoni </v>
          </cell>
          <cell r="B8143" t="str">
            <v>Water bugs</v>
          </cell>
          <cell r="C8143" t="str">
            <v>Hemiptera</v>
          </cell>
          <cell r="D8143" t="str">
            <v>Callicorixa wollastoni</v>
          </cell>
          <cell r="E8143" t="str">
            <v>LC</v>
          </cell>
          <cell r="F8143" t="str">
            <v>Cook, 2015</v>
          </cell>
          <cell r="G8143" t="str">
            <v>NHMSYS0000527508</v>
          </cell>
          <cell r="H8143" t="str">
            <v>Callicorixa wollastoni </v>
          </cell>
        </row>
        <row r="8144">
          <cell r="A8144" t="str">
            <v>Ceratocombus coleoptratus</v>
          </cell>
          <cell r="B8144" t="str">
            <v>Water bugs</v>
          </cell>
          <cell r="C8144" t="str">
            <v>Hemiptera</v>
          </cell>
          <cell r="D8144" t="str">
            <v>Ceratocombus coleoptratus</v>
          </cell>
          <cell r="E8144" t="str">
            <v>LC</v>
          </cell>
          <cell r="F8144" t="str">
            <v>Cook, 2015</v>
          </cell>
          <cell r="G8144" t="str">
            <v>NHMSYS0020309058</v>
          </cell>
          <cell r="H8144" t="str">
            <v>Ceratocombus coleoptratus</v>
          </cell>
        </row>
        <row r="8145">
          <cell r="A8145" t="str">
            <v>Chartoscirta cincta </v>
          </cell>
          <cell r="B8145" t="str">
            <v>Water bugs</v>
          </cell>
          <cell r="C8145" t="str">
            <v>Hemiptera</v>
          </cell>
          <cell r="D8145" t="str">
            <v>Chartoscirta cincta</v>
          </cell>
          <cell r="E8145" t="str">
            <v>LC</v>
          </cell>
          <cell r="F8145" t="str">
            <v>Cook, 2015</v>
          </cell>
          <cell r="G8145" t="str">
            <v>NHMSYS0020309064</v>
          </cell>
          <cell r="H8145" t="str">
            <v>Chartoscirta cincta </v>
          </cell>
        </row>
        <row r="8146">
          <cell r="A8146" t="str">
            <v>Chartoscirta cocksii</v>
          </cell>
          <cell r="B8146" t="str">
            <v>Water bugs</v>
          </cell>
          <cell r="C8146" t="str">
            <v>Hemiptera</v>
          </cell>
          <cell r="D8146" t="str">
            <v>Chartoscirta cocksii</v>
          </cell>
          <cell r="E8146" t="str">
            <v>LC</v>
          </cell>
          <cell r="F8146" t="str">
            <v>Cook, 2015</v>
          </cell>
          <cell r="G8146" t="str">
            <v>NHMSYS0020309065</v>
          </cell>
          <cell r="H8146" t="str">
            <v>Chartoscirta cocksii</v>
          </cell>
        </row>
        <row r="8147">
          <cell r="A8147" t="str">
            <v>Chartoscirta elegantula</v>
          </cell>
          <cell r="B8147" t="str">
            <v>Water bugs</v>
          </cell>
          <cell r="C8147" t="str">
            <v>Hemiptera</v>
          </cell>
          <cell r="D8147" t="str">
            <v>Chartoscirta elegantula</v>
          </cell>
          <cell r="E8147" t="str">
            <v>LC</v>
          </cell>
          <cell r="F8147" t="str">
            <v>Cook, 2015</v>
          </cell>
          <cell r="G8147" t="str">
            <v>NHMSYS0020309066</v>
          </cell>
          <cell r="H8147" t="str">
            <v>Chartoscirta elegantula</v>
          </cell>
        </row>
        <row r="8148">
          <cell r="A8148" t="str">
            <v>Chiloxanthus pilosus </v>
          </cell>
          <cell r="B8148" t="str">
            <v>Water bugs</v>
          </cell>
          <cell r="C8148" t="str">
            <v>Hemiptera</v>
          </cell>
          <cell r="D8148" t="str">
            <v>Chiloxanthus pilosus</v>
          </cell>
          <cell r="E8148" t="str">
            <v>NT</v>
          </cell>
          <cell r="F8148" t="str">
            <v>Cook, 2015</v>
          </cell>
          <cell r="G8148" t="str">
            <v>NHMSYS0020309071</v>
          </cell>
          <cell r="H8148" t="str">
            <v>Chiloxanthus pilosus </v>
          </cell>
        </row>
        <row r="8149">
          <cell r="A8149" t="str">
            <v>Corixa affinis </v>
          </cell>
          <cell r="B8149" t="str">
            <v>Water bugs</v>
          </cell>
          <cell r="C8149" t="str">
            <v>Hemiptera</v>
          </cell>
          <cell r="D8149" t="str">
            <v>Corixa affinis</v>
          </cell>
          <cell r="E8149" t="str">
            <v>LC</v>
          </cell>
          <cell r="F8149" t="str">
            <v>Cook, 2015</v>
          </cell>
          <cell r="G8149" t="str">
            <v>NHMSYS0000527509</v>
          </cell>
          <cell r="H8149" t="str">
            <v>Corixa affinis </v>
          </cell>
        </row>
        <row r="8150">
          <cell r="A8150" t="str">
            <v>Corixa dentipes </v>
          </cell>
          <cell r="B8150" t="str">
            <v>Water bugs</v>
          </cell>
          <cell r="C8150" t="str">
            <v>Hemiptera</v>
          </cell>
          <cell r="D8150" t="str">
            <v>Corixa dentipes</v>
          </cell>
          <cell r="E8150" t="str">
            <v>LC</v>
          </cell>
          <cell r="F8150" t="str">
            <v>Cook, 2015</v>
          </cell>
          <cell r="G8150" t="str">
            <v>NHMSYS0000527514</v>
          </cell>
          <cell r="H8150" t="str">
            <v>Corixa dentipes </v>
          </cell>
        </row>
        <row r="8151">
          <cell r="A8151" t="str">
            <v>Corixa panzeri </v>
          </cell>
          <cell r="B8151" t="str">
            <v>Water bugs</v>
          </cell>
          <cell r="C8151" t="str">
            <v>Hemiptera</v>
          </cell>
          <cell r="D8151" t="str">
            <v>Corixa panzeri</v>
          </cell>
          <cell r="E8151" t="str">
            <v>LC</v>
          </cell>
          <cell r="F8151" t="str">
            <v>Cook, 2015</v>
          </cell>
          <cell r="G8151" t="str">
            <v>NHMSYS0000527522</v>
          </cell>
          <cell r="H8151" t="str">
            <v>Corixa panzeri </v>
          </cell>
        </row>
        <row r="8152">
          <cell r="A8152" t="str">
            <v>Corixa punctata</v>
          </cell>
          <cell r="B8152" t="str">
            <v>Water bugs</v>
          </cell>
          <cell r="C8152" t="str">
            <v>Hemiptera</v>
          </cell>
          <cell r="D8152" t="str">
            <v>Corixa punctata</v>
          </cell>
          <cell r="E8152" t="str">
            <v>LC</v>
          </cell>
          <cell r="F8152" t="str">
            <v>Cook, 2015</v>
          </cell>
          <cell r="G8152" t="str">
            <v>NHMSYS0000527524</v>
          </cell>
          <cell r="H8152" t="str">
            <v>Corixa punctata</v>
          </cell>
        </row>
        <row r="8153">
          <cell r="A8153" t="str">
            <v>Cryptostemma alienum </v>
          </cell>
          <cell r="B8153" t="str">
            <v>Water bugs</v>
          </cell>
          <cell r="C8153" t="str">
            <v>Hemiptera</v>
          </cell>
          <cell r="D8153" t="str">
            <v>Cryptostemma alienum</v>
          </cell>
          <cell r="E8153" t="str">
            <v>LC</v>
          </cell>
          <cell r="F8153" t="str">
            <v>Cook, 2015</v>
          </cell>
          <cell r="G8153" t="str">
            <v>NBNSYS0000010331</v>
          </cell>
          <cell r="H8153" t="str">
            <v>Cryptostemma alienum </v>
          </cell>
        </row>
        <row r="8154">
          <cell r="A8154" t="str">
            <v>Cryptostemma waltli</v>
          </cell>
          <cell r="B8154" t="str">
            <v>Water bugs</v>
          </cell>
          <cell r="C8154" t="str">
            <v>Hemiptera</v>
          </cell>
          <cell r="D8154" t="str">
            <v>Cryptostemma waltli</v>
          </cell>
          <cell r="E8154" t="str">
            <v>NT</v>
          </cell>
          <cell r="F8154" t="str">
            <v>Cook, 2015</v>
          </cell>
          <cell r="G8154" t="str">
            <v>NHMSYS0020442444</v>
          </cell>
          <cell r="H8154" t="str">
            <v>Cryptostemma waltli</v>
          </cell>
        </row>
        <row r="8155">
          <cell r="A8155" t="str">
            <v>Cymatia bonsdorffii </v>
          </cell>
          <cell r="B8155" t="str">
            <v>Water bugs</v>
          </cell>
          <cell r="C8155" t="str">
            <v>Hemiptera</v>
          </cell>
          <cell r="D8155" t="str">
            <v>Cymatia bonsdorffii</v>
          </cell>
          <cell r="E8155" t="str">
            <v>LC</v>
          </cell>
          <cell r="F8155" t="str">
            <v>Cook, 2015</v>
          </cell>
          <cell r="G8155" t="str">
            <v>NHMSYS0000527528</v>
          </cell>
          <cell r="H8155" t="str">
            <v>Cymatia bonsdorffii </v>
          </cell>
        </row>
        <row r="8156">
          <cell r="A8156" t="str">
            <v>Cymatia coleoptrata </v>
          </cell>
          <cell r="B8156" t="str">
            <v>Water bugs</v>
          </cell>
          <cell r="C8156" t="str">
            <v>Hemiptera</v>
          </cell>
          <cell r="D8156" t="str">
            <v>Cymatia coleoptrata</v>
          </cell>
          <cell r="E8156" t="str">
            <v>LC</v>
          </cell>
          <cell r="F8156" t="str">
            <v>Cook, 2015</v>
          </cell>
          <cell r="G8156" t="str">
            <v>NHMSYS0000527529</v>
          </cell>
          <cell r="H8156" t="str">
            <v>Cymatia coleoptrata </v>
          </cell>
        </row>
        <row r="8157">
          <cell r="A8157" t="str">
            <v>Gerris argentatus </v>
          </cell>
          <cell r="B8157" t="str">
            <v>Water bugs</v>
          </cell>
          <cell r="C8157" t="str">
            <v>Hemiptera</v>
          </cell>
          <cell r="D8157" t="str">
            <v>Gerris argentatus</v>
          </cell>
          <cell r="E8157" t="str">
            <v>LC</v>
          </cell>
          <cell r="F8157" t="str">
            <v>Cook, 2015</v>
          </cell>
          <cell r="G8157" t="str">
            <v>NHMSYS0020309252</v>
          </cell>
          <cell r="H8157" t="str">
            <v>Gerris argentatus </v>
          </cell>
        </row>
        <row r="8158">
          <cell r="A8158" t="str">
            <v>Gerris costae  </v>
          </cell>
          <cell r="B8158" t="str">
            <v>Water bugs</v>
          </cell>
          <cell r="C8158" t="str">
            <v>Hemiptera</v>
          </cell>
          <cell r="D8158" t="str">
            <v>Gerris costae</v>
          </cell>
          <cell r="E8158" t="str">
            <v>LC</v>
          </cell>
          <cell r="F8158" t="str">
            <v>Cook, 2015</v>
          </cell>
          <cell r="G8158" t="str">
            <v>NHMSYS0020309253</v>
          </cell>
          <cell r="H8158" t="str">
            <v>Gerris costae  </v>
          </cell>
        </row>
        <row r="8159">
          <cell r="A8159" t="str">
            <v>Gerris gibbifer  </v>
          </cell>
          <cell r="B8159" t="str">
            <v>Water bugs</v>
          </cell>
          <cell r="C8159" t="str">
            <v>Hemiptera</v>
          </cell>
          <cell r="D8159" t="str">
            <v>Gerris gibbifer</v>
          </cell>
          <cell r="E8159" t="str">
            <v>LC</v>
          </cell>
          <cell r="F8159" t="str">
            <v>Cook, 2015</v>
          </cell>
          <cell r="G8159" t="str">
            <v>NHMSYS0020309254</v>
          </cell>
          <cell r="H8159" t="str">
            <v>Gerris gibbifer  </v>
          </cell>
        </row>
        <row r="8160">
          <cell r="A8160" t="str">
            <v>Gerris lacustris </v>
          </cell>
          <cell r="B8160" t="str">
            <v>Water bugs</v>
          </cell>
          <cell r="C8160" t="str">
            <v>Hemiptera</v>
          </cell>
          <cell r="D8160" t="str">
            <v>Gerris lacustris</v>
          </cell>
          <cell r="E8160" t="str">
            <v>LC</v>
          </cell>
          <cell r="F8160" t="str">
            <v>Cook, 2015</v>
          </cell>
          <cell r="G8160" t="str">
            <v>NHMSYS0020309255</v>
          </cell>
          <cell r="H8160" t="str">
            <v>Gerris lacustris </v>
          </cell>
        </row>
        <row r="8161">
          <cell r="A8161" t="str">
            <v>Gerris lateralis  </v>
          </cell>
          <cell r="B8161" t="str">
            <v>Water bugs</v>
          </cell>
          <cell r="C8161" t="str">
            <v>Hemiptera</v>
          </cell>
          <cell r="D8161" t="str">
            <v>Gerris lateralis</v>
          </cell>
          <cell r="E8161" t="str">
            <v>LC</v>
          </cell>
          <cell r="F8161" t="str">
            <v>Cook, 2015</v>
          </cell>
          <cell r="G8161" t="str">
            <v>NHMSYS0020309259</v>
          </cell>
          <cell r="H8161" t="str">
            <v>Gerris lateralis  </v>
          </cell>
        </row>
        <row r="8162">
          <cell r="A8162" t="str">
            <v>Gerris odontogaster </v>
          </cell>
          <cell r="B8162" t="str">
            <v>Water bugs</v>
          </cell>
          <cell r="C8162" t="str">
            <v>Hemiptera</v>
          </cell>
          <cell r="D8162" t="str">
            <v>Gerris odontogaster</v>
          </cell>
          <cell r="E8162" t="str">
            <v>LC</v>
          </cell>
          <cell r="F8162" t="str">
            <v>Cook, 2015</v>
          </cell>
          <cell r="G8162" t="str">
            <v>NHMSYS0020309256</v>
          </cell>
          <cell r="H8162" t="str">
            <v>Gerris odontogaster </v>
          </cell>
        </row>
        <row r="8163">
          <cell r="A8163" t="str">
            <v>Gerris thoracicus </v>
          </cell>
          <cell r="B8163" t="str">
            <v>Water bugs</v>
          </cell>
          <cell r="C8163" t="str">
            <v>Hemiptera</v>
          </cell>
          <cell r="D8163" t="str">
            <v>Gerris thoracicus</v>
          </cell>
          <cell r="E8163" t="str">
            <v>LC</v>
          </cell>
          <cell r="F8163" t="str">
            <v>Cook, 2015</v>
          </cell>
          <cell r="G8163" t="str">
            <v>NHMSYS0020309257</v>
          </cell>
          <cell r="H8163" t="str">
            <v>Gerris thoracicus </v>
          </cell>
        </row>
        <row r="8164">
          <cell r="A8164" t="str">
            <v>Glaenocorisa propinqua propinqua </v>
          </cell>
          <cell r="B8164" t="str">
            <v>Water bugs</v>
          </cell>
          <cell r="C8164" t="str">
            <v>Hemiptera</v>
          </cell>
          <cell r="D8164" t="str">
            <v>Glaenocorisa propinqua (subsp.) propinqua</v>
          </cell>
          <cell r="E8164" t="str">
            <v>LC</v>
          </cell>
          <cell r="F8164" t="str">
            <v>Cook, 2015</v>
          </cell>
          <cell r="G8164" t="str">
            <v>NHMSYS0000527540</v>
          </cell>
          <cell r="H8164" t="str">
            <v>Glaenocorisa propinqua propinqua </v>
          </cell>
        </row>
        <row r="8165">
          <cell r="A8165" t="str">
            <v>Halosalda lateralis </v>
          </cell>
          <cell r="B8165" t="str">
            <v>Water bugs</v>
          </cell>
          <cell r="C8165" t="str">
            <v>Hemiptera</v>
          </cell>
          <cell r="D8165" t="str">
            <v>Halosalda lateralis</v>
          </cell>
          <cell r="E8165" t="str">
            <v>LC</v>
          </cell>
          <cell r="F8165" t="str">
            <v>Cook, 2015</v>
          </cell>
          <cell r="G8165" t="str">
            <v>NHMSYS0020309279</v>
          </cell>
          <cell r="H8165" t="str">
            <v>Halosalda lateralis </v>
          </cell>
        </row>
        <row r="8166">
          <cell r="A8166" t="str">
            <v>Hebrus pusillus </v>
          </cell>
          <cell r="B8166" t="str">
            <v>Water bugs</v>
          </cell>
          <cell r="C8166" t="str">
            <v>Hemiptera</v>
          </cell>
          <cell r="D8166" t="str">
            <v>Hebrus pusillus</v>
          </cell>
          <cell r="E8166" t="str">
            <v>LC</v>
          </cell>
          <cell r="F8166" t="str">
            <v>Cook, 2015</v>
          </cell>
          <cell r="G8166" t="str">
            <v>NHMSYS0020309292</v>
          </cell>
          <cell r="H8166" t="str">
            <v>Hebrus pusillus </v>
          </cell>
        </row>
        <row r="8167">
          <cell r="A8167" t="str">
            <v>Hebrus ruficeps </v>
          </cell>
          <cell r="B8167" t="str">
            <v>Water bugs</v>
          </cell>
          <cell r="C8167" t="str">
            <v>Hemiptera</v>
          </cell>
          <cell r="D8167" t="str">
            <v>Hebrus ruficeps</v>
          </cell>
          <cell r="E8167" t="str">
            <v>LC</v>
          </cell>
          <cell r="F8167" t="str">
            <v>Cook, 2015</v>
          </cell>
          <cell r="G8167" t="str">
            <v>NHMSYS0020309294</v>
          </cell>
          <cell r="H8167" t="str">
            <v>Hebrus ruficeps </v>
          </cell>
        </row>
        <row r="8168">
          <cell r="A8168" t="str">
            <v>Hesperocorixa castanea </v>
          </cell>
          <cell r="B8168" t="str">
            <v>Water bugs</v>
          </cell>
          <cell r="C8168" t="str">
            <v>Hemiptera</v>
          </cell>
          <cell r="D8168" t="str">
            <v>Hesperocorixa castanea</v>
          </cell>
          <cell r="E8168" t="str">
            <v>LC</v>
          </cell>
          <cell r="F8168" t="str">
            <v>Cook, 2015</v>
          </cell>
          <cell r="G8168" t="str">
            <v>NHMSYS0000527543</v>
          </cell>
          <cell r="H8168" t="str">
            <v>Hesperocorixa castanea </v>
          </cell>
        </row>
        <row r="8169">
          <cell r="A8169" t="str">
            <v>Hesperocorixa linnaei</v>
          </cell>
          <cell r="B8169" t="str">
            <v>Water bugs</v>
          </cell>
          <cell r="C8169" t="str">
            <v>Hemiptera</v>
          </cell>
          <cell r="D8169" t="str">
            <v>Hesperocorixa linnaei</v>
          </cell>
          <cell r="E8169" t="str">
            <v>LC</v>
          </cell>
          <cell r="F8169" t="str">
            <v>Cook, 2015</v>
          </cell>
          <cell r="G8169" t="str">
            <v>MM0001Z1H00231Z0</v>
          </cell>
          <cell r="H8169" t="str">
            <v>Hesperocorixa linnaei</v>
          </cell>
        </row>
        <row r="8170">
          <cell r="A8170" t="str">
            <v>Hesperocorixa moesta</v>
          </cell>
          <cell r="B8170" t="str">
            <v>Water bugs</v>
          </cell>
          <cell r="C8170" t="str">
            <v>Hemiptera</v>
          </cell>
          <cell r="D8170" t="str">
            <v>Hesperocorixa moesta</v>
          </cell>
          <cell r="E8170" t="str">
            <v>LC</v>
          </cell>
          <cell r="F8170" t="str">
            <v>Cook, 2015</v>
          </cell>
          <cell r="G8170" t="str">
            <v>NHMSYS0000527545</v>
          </cell>
          <cell r="H8170" t="str">
            <v>Hesperocorixa moesta</v>
          </cell>
        </row>
        <row r="8171">
          <cell r="A8171" t="str">
            <v>Hesperocorixa sahlbergi </v>
          </cell>
          <cell r="B8171" t="str">
            <v>Water bugs</v>
          </cell>
          <cell r="C8171" t="str">
            <v>Hemiptera</v>
          </cell>
          <cell r="D8171" t="str">
            <v>Hesperocorixa sahlbergi</v>
          </cell>
          <cell r="E8171" t="str">
            <v>LC</v>
          </cell>
          <cell r="F8171" t="str">
            <v>Cook, 2015</v>
          </cell>
          <cell r="G8171" t="str">
            <v>NHMSYS0000527546</v>
          </cell>
          <cell r="H8171" t="str">
            <v>Hesperocorixa sahlbergi </v>
          </cell>
        </row>
        <row r="8172">
          <cell r="A8172" t="str">
            <v>Hydrometra gracilenta </v>
          </cell>
          <cell r="B8172" t="str">
            <v>Water bugs</v>
          </cell>
          <cell r="C8172" t="str">
            <v>Hemiptera</v>
          </cell>
          <cell r="D8172" t="str">
            <v>Hydrometra gracilenta</v>
          </cell>
          <cell r="E8172" t="str">
            <v>VU</v>
          </cell>
          <cell r="F8172" t="str">
            <v>Cook, 2015</v>
          </cell>
          <cell r="G8172" t="str">
            <v>NHMSYS0000527547</v>
          </cell>
          <cell r="H8172" t="str">
            <v>Hydrometra gracilenta </v>
          </cell>
        </row>
        <row r="8173">
          <cell r="A8173" t="str">
            <v>Hydrometra stagnorum</v>
          </cell>
          <cell r="B8173" t="str">
            <v>Water bugs</v>
          </cell>
          <cell r="C8173" t="str">
            <v>Hemiptera</v>
          </cell>
          <cell r="D8173" t="str">
            <v>Hydrometra stagnorum</v>
          </cell>
          <cell r="E8173" t="str">
            <v>LC</v>
          </cell>
          <cell r="F8173" t="str">
            <v>Cook, 2015</v>
          </cell>
          <cell r="G8173" t="str">
            <v>NHMSYS0000527548</v>
          </cell>
          <cell r="H8173" t="str">
            <v>Hydrometra stagnorum</v>
          </cell>
        </row>
        <row r="8174">
          <cell r="A8174" t="str">
            <v>Ilyocoris cimicoides </v>
          </cell>
          <cell r="B8174" t="str">
            <v>Water bugs</v>
          </cell>
          <cell r="C8174" t="str">
            <v>Hemiptera</v>
          </cell>
          <cell r="D8174" t="str">
            <v>Ilyocoris cimicoides</v>
          </cell>
          <cell r="E8174" t="str">
            <v>LC</v>
          </cell>
          <cell r="F8174" t="str">
            <v>Cook, 2015</v>
          </cell>
          <cell r="G8174" t="str">
            <v>NHMSYS0000527549</v>
          </cell>
          <cell r="H8174" t="str">
            <v>Ilyocoris cimicoides </v>
          </cell>
        </row>
        <row r="8175">
          <cell r="A8175" t="str">
            <v>Macrosaldula scotica</v>
          </cell>
          <cell r="B8175" t="str">
            <v>Water bugs</v>
          </cell>
          <cell r="C8175" t="str">
            <v>Hemiptera</v>
          </cell>
          <cell r="D8175" t="str">
            <v>Macrosaldula scotica</v>
          </cell>
          <cell r="E8175" t="str">
            <v>LC</v>
          </cell>
          <cell r="F8175" t="str">
            <v>Cook, 2015</v>
          </cell>
          <cell r="G8175" t="str">
            <v>NHMSYS0020309408</v>
          </cell>
          <cell r="H8175" t="str">
            <v>Macrosaldula scotica</v>
          </cell>
        </row>
        <row r="8176">
          <cell r="A8176" t="str">
            <v>Mesovelia furcata</v>
          </cell>
          <cell r="B8176" t="str">
            <v>Water bugs</v>
          </cell>
          <cell r="C8176" t="str">
            <v>Hemiptera</v>
          </cell>
          <cell r="D8176" t="str">
            <v>Mesovelia furcata</v>
          </cell>
          <cell r="E8176" t="str">
            <v>LC</v>
          </cell>
          <cell r="F8176" t="str">
            <v>Cook, 2015</v>
          </cell>
          <cell r="G8176" t="str">
            <v>NHMSYS0000527551</v>
          </cell>
          <cell r="H8176" t="str">
            <v>Mesovelia furcata</v>
          </cell>
        </row>
        <row r="8177">
          <cell r="A8177" t="str">
            <v>Micracanthia marginalis </v>
          </cell>
          <cell r="B8177" t="str">
            <v>Water bugs</v>
          </cell>
          <cell r="C8177" t="str">
            <v>Hemiptera</v>
          </cell>
          <cell r="D8177" t="str">
            <v>Micracanthia marginalis</v>
          </cell>
          <cell r="E8177" t="str">
            <v>VU</v>
          </cell>
          <cell r="F8177" t="str">
            <v>Cook, 2015</v>
          </cell>
          <cell r="G8177" t="str">
            <v>NHMSYS0020309451</v>
          </cell>
          <cell r="H8177" t="str">
            <v>Micracanthia marginalis </v>
          </cell>
        </row>
        <row r="8178">
          <cell r="A8178" t="str">
            <v>Micronecta minutissima</v>
          </cell>
          <cell r="B8178" t="str">
            <v>Water bugs</v>
          </cell>
          <cell r="C8178" t="str">
            <v>Hemiptera</v>
          </cell>
          <cell r="D8178" t="str">
            <v>Micronecta minutissima</v>
          </cell>
          <cell r="E8178" t="str">
            <v>LC</v>
          </cell>
          <cell r="F8178" t="str">
            <v>Cook, 2015</v>
          </cell>
          <cell r="G8178" t="str">
            <v>NHMSYS0020309457</v>
          </cell>
          <cell r="H8178" t="str">
            <v>Micronecta minutissima</v>
          </cell>
        </row>
        <row r="8179">
          <cell r="A8179" t="str">
            <v>Micronecta poweri </v>
          </cell>
          <cell r="B8179" t="str">
            <v>Water bugs</v>
          </cell>
          <cell r="C8179" t="str">
            <v>Hemiptera</v>
          </cell>
          <cell r="D8179" t="str">
            <v>Micronecta poweri</v>
          </cell>
          <cell r="E8179" t="str">
            <v>LC</v>
          </cell>
          <cell r="F8179" t="str">
            <v>Cook, 2015</v>
          </cell>
          <cell r="G8179" t="str">
            <v>NHMSYS0020309458</v>
          </cell>
          <cell r="H8179" t="str">
            <v>Micronecta poweri </v>
          </cell>
        </row>
        <row r="8180">
          <cell r="A8180" t="str">
            <v>Micronecta scholtzi</v>
          </cell>
          <cell r="B8180" t="str">
            <v>Water bugs</v>
          </cell>
          <cell r="C8180" t="str">
            <v>Hemiptera</v>
          </cell>
          <cell r="D8180" t="str">
            <v>Micronecta scholtzi</v>
          </cell>
          <cell r="E8180" t="str">
            <v>LC</v>
          </cell>
          <cell r="F8180" t="str">
            <v>Cook, 2015</v>
          </cell>
          <cell r="G8180" t="str">
            <v>NHMSYS0020309454</v>
          </cell>
          <cell r="H8180" t="str">
            <v>Micronecta scholtzi</v>
          </cell>
        </row>
        <row r="8181">
          <cell r="A8181" t="str">
            <v>Microvelia buenoi </v>
          </cell>
          <cell r="B8181" t="str">
            <v>Water bugs</v>
          </cell>
          <cell r="C8181" t="str">
            <v>Hemiptera</v>
          </cell>
          <cell r="D8181" t="str">
            <v>Microvelia buenoi</v>
          </cell>
          <cell r="E8181" t="str">
            <v>NT</v>
          </cell>
          <cell r="F8181" t="str">
            <v>Cook, 2015</v>
          </cell>
          <cell r="G8181" t="str">
            <v>NHMSYS0020309464</v>
          </cell>
          <cell r="H8181" t="str">
            <v>Microvelia buenoi </v>
          </cell>
        </row>
        <row r="8182">
          <cell r="A8182" t="str">
            <v>Microvelia pygmaea</v>
          </cell>
          <cell r="B8182" t="str">
            <v>Water bugs</v>
          </cell>
          <cell r="C8182" t="str">
            <v>Hemiptera</v>
          </cell>
          <cell r="D8182" t="str">
            <v>Microvelia pygmaea</v>
          </cell>
          <cell r="E8182" t="str">
            <v>LC</v>
          </cell>
          <cell r="F8182" t="str">
            <v>Cook, 2015</v>
          </cell>
          <cell r="G8182" t="str">
            <v>NHMSYS0020309465</v>
          </cell>
          <cell r="H8182" t="str">
            <v>Microvelia pygmaea</v>
          </cell>
        </row>
        <row r="8183">
          <cell r="A8183" t="str">
            <v>Microvelia reticulata</v>
          </cell>
          <cell r="B8183" t="str">
            <v>Water bugs</v>
          </cell>
          <cell r="C8183" t="str">
            <v>Hemiptera</v>
          </cell>
          <cell r="D8183" t="str">
            <v>Microvelia reticulata</v>
          </cell>
          <cell r="E8183" t="str">
            <v>LC</v>
          </cell>
          <cell r="F8183" t="str">
            <v>Cook, 2015</v>
          </cell>
          <cell r="G8183" t="str">
            <v>NHMSYS0020309466</v>
          </cell>
          <cell r="H8183" t="str">
            <v>Microvelia reticulata</v>
          </cell>
        </row>
        <row r="8184">
          <cell r="A8184" t="str">
            <v>Nepa cinerea </v>
          </cell>
          <cell r="B8184" t="str">
            <v>Water bugs</v>
          </cell>
          <cell r="C8184" t="str">
            <v>Hemiptera</v>
          </cell>
          <cell r="D8184" t="str">
            <v>Nepa cinerea</v>
          </cell>
          <cell r="E8184" t="str">
            <v>LC</v>
          </cell>
          <cell r="F8184" t="str">
            <v>Cook, 2015</v>
          </cell>
          <cell r="G8184" t="str">
            <v>NHMSYS0000527563</v>
          </cell>
          <cell r="H8184" t="str">
            <v>Nepa cinerea </v>
          </cell>
        </row>
        <row r="8185">
          <cell r="A8185" t="str">
            <v>Notonecta glauca</v>
          </cell>
          <cell r="B8185" t="str">
            <v>Water bugs</v>
          </cell>
          <cell r="C8185" t="str">
            <v>Hemiptera</v>
          </cell>
          <cell r="D8185" t="str">
            <v>Notonecta glauca</v>
          </cell>
          <cell r="E8185" t="str">
            <v>LC</v>
          </cell>
          <cell r="F8185" t="str">
            <v>Cook, 2015</v>
          </cell>
          <cell r="G8185" t="str">
            <v>NHMSYS0020309523</v>
          </cell>
          <cell r="H8185" t="str">
            <v>Notonecta glauca</v>
          </cell>
        </row>
        <row r="8186">
          <cell r="A8186" t="str">
            <v>Notonecta maculata</v>
          </cell>
          <cell r="B8186" t="str">
            <v>Water bugs</v>
          </cell>
          <cell r="C8186" t="str">
            <v>Hemiptera</v>
          </cell>
          <cell r="D8186" t="str">
            <v>Notonecta maculata</v>
          </cell>
          <cell r="E8186" t="str">
            <v>LC</v>
          </cell>
          <cell r="F8186" t="str">
            <v>Cook, 2015</v>
          </cell>
          <cell r="G8186" t="str">
            <v>NHMSYS0020309524</v>
          </cell>
          <cell r="H8186" t="str">
            <v>Notonecta maculata</v>
          </cell>
        </row>
        <row r="8187">
          <cell r="A8187" t="str">
            <v>Notonecta obliqua </v>
          </cell>
          <cell r="B8187" t="str">
            <v>Water bugs</v>
          </cell>
          <cell r="C8187" t="str">
            <v>Hemiptera</v>
          </cell>
          <cell r="D8187" t="str">
            <v>Notonecta obliqua</v>
          </cell>
          <cell r="E8187" t="str">
            <v>LC</v>
          </cell>
          <cell r="F8187" t="str">
            <v>Cook, 2015</v>
          </cell>
          <cell r="G8187" t="str">
            <v>NHMSYS0020309525</v>
          </cell>
          <cell r="H8187" t="str">
            <v>Notonecta obliqua </v>
          </cell>
        </row>
        <row r="8188">
          <cell r="A8188" t="str">
            <v>Notonecta viridis</v>
          </cell>
          <cell r="B8188" t="str">
            <v>Water bugs</v>
          </cell>
          <cell r="C8188" t="str">
            <v>Hemiptera</v>
          </cell>
          <cell r="D8188" t="str">
            <v>Notonecta viridis</v>
          </cell>
          <cell r="E8188" t="str">
            <v>LC</v>
          </cell>
          <cell r="F8188" t="str">
            <v>Cook, 2015</v>
          </cell>
          <cell r="G8188" t="str">
            <v>NHMSYS0020309526</v>
          </cell>
          <cell r="H8188" t="str">
            <v>Notonecta viridis</v>
          </cell>
        </row>
        <row r="8189">
          <cell r="A8189" t="str">
            <v>Paracorixa concinna </v>
          </cell>
          <cell r="B8189" t="str">
            <v>Water bugs</v>
          </cell>
          <cell r="C8189" t="str">
            <v>Hemiptera</v>
          </cell>
          <cell r="D8189" t="str">
            <v>Paracorixa concinna</v>
          </cell>
          <cell r="E8189" t="str">
            <v>LC</v>
          </cell>
          <cell r="F8189" t="str">
            <v>Cook, 2015</v>
          </cell>
          <cell r="G8189" t="str">
            <v>NHMSYS0000527571</v>
          </cell>
          <cell r="H8189" t="str">
            <v>Paracorixa concinna </v>
          </cell>
        </row>
        <row r="8190">
          <cell r="A8190" t="str">
            <v>Plea minutissima </v>
          </cell>
          <cell r="B8190" t="str">
            <v>Water bugs</v>
          </cell>
          <cell r="C8190" t="str">
            <v>Hemiptera</v>
          </cell>
          <cell r="D8190" t="str">
            <v>Plea minutissima</v>
          </cell>
          <cell r="E8190" t="str">
            <v>LC</v>
          </cell>
          <cell r="F8190" t="str">
            <v>Cook, 2015</v>
          </cell>
          <cell r="G8190" t="str">
            <v>NHMSYS0000527574</v>
          </cell>
          <cell r="H8190" t="str">
            <v>Plea minutissima </v>
          </cell>
        </row>
        <row r="8191">
          <cell r="A8191" t="str">
            <v>Ranatra linearis</v>
          </cell>
          <cell r="B8191" t="str">
            <v>Water bugs</v>
          </cell>
          <cell r="C8191" t="str">
            <v>Hemiptera</v>
          </cell>
          <cell r="D8191" t="str">
            <v>Ranatra linearis</v>
          </cell>
          <cell r="E8191" t="str">
            <v>LC</v>
          </cell>
          <cell r="F8191" t="str">
            <v>Cook, 2015</v>
          </cell>
          <cell r="G8191" t="str">
            <v>NHMSYS0020309758</v>
          </cell>
          <cell r="H8191" t="str">
            <v>Ranatra linearis</v>
          </cell>
        </row>
        <row r="8192">
          <cell r="A8192" t="str">
            <v>Salda littoralis </v>
          </cell>
          <cell r="B8192" t="str">
            <v>Water bugs</v>
          </cell>
          <cell r="C8192" t="str">
            <v>Hemiptera</v>
          </cell>
          <cell r="D8192" t="str">
            <v>Salda littoralis</v>
          </cell>
          <cell r="E8192" t="str">
            <v>LC</v>
          </cell>
          <cell r="F8192" t="str">
            <v>Cook, 2015</v>
          </cell>
          <cell r="G8192" t="str">
            <v>NHMSYS0020309783</v>
          </cell>
          <cell r="H8192" t="str">
            <v>Salda littoralis </v>
          </cell>
        </row>
        <row r="8193">
          <cell r="A8193" t="str">
            <v>Salda morio </v>
          </cell>
          <cell r="B8193" t="str">
            <v>Water bugs</v>
          </cell>
          <cell r="C8193" t="str">
            <v>Hemiptera</v>
          </cell>
          <cell r="D8193" t="str">
            <v>Salda morio</v>
          </cell>
          <cell r="E8193" t="str">
            <v>LC</v>
          </cell>
          <cell r="F8193" t="str">
            <v>Cook, 2015</v>
          </cell>
          <cell r="G8193" t="str">
            <v>NHMSYS0020309784</v>
          </cell>
          <cell r="H8193" t="str">
            <v>Salda morio </v>
          </cell>
        </row>
        <row r="8194">
          <cell r="A8194" t="str">
            <v>Salda muelleri  </v>
          </cell>
          <cell r="B8194" t="str">
            <v>Water bugs</v>
          </cell>
          <cell r="C8194" t="str">
            <v>Hemiptera</v>
          </cell>
          <cell r="D8194" t="str">
            <v>Salda muelleri</v>
          </cell>
          <cell r="E8194" t="str">
            <v>LC</v>
          </cell>
          <cell r="F8194" t="str">
            <v>Cook, 2015</v>
          </cell>
          <cell r="G8194" t="str">
            <v>NHMSYS0020309785</v>
          </cell>
          <cell r="H8194" t="str">
            <v>Salda muelleri  </v>
          </cell>
        </row>
        <row r="8195">
          <cell r="A8195" t="str">
            <v>Saldula arenicola </v>
          </cell>
          <cell r="B8195" t="str">
            <v>Water bugs</v>
          </cell>
          <cell r="C8195" t="str">
            <v>Hemiptera</v>
          </cell>
          <cell r="D8195" t="str">
            <v>Saldula arenicola</v>
          </cell>
          <cell r="E8195" t="str">
            <v>LC</v>
          </cell>
          <cell r="F8195" t="str">
            <v>Cook, 2015</v>
          </cell>
          <cell r="G8195" t="str">
            <v>NHMSYS0020309791</v>
          </cell>
          <cell r="H8195" t="str">
            <v>Saldula arenicola </v>
          </cell>
        </row>
        <row r="8196">
          <cell r="A8196" t="str">
            <v>Saldula c-album</v>
          </cell>
          <cell r="B8196" t="str">
            <v>Water bugs</v>
          </cell>
          <cell r="C8196" t="str">
            <v>Hemiptera</v>
          </cell>
          <cell r="D8196" t="str">
            <v>Saldula c-album</v>
          </cell>
          <cell r="E8196" t="str">
            <v>LC</v>
          </cell>
          <cell r="F8196" t="str">
            <v>Cook, 2015</v>
          </cell>
          <cell r="G8196" t="str">
            <v>NHMSYS0020309792</v>
          </cell>
          <cell r="H8196" t="str">
            <v>Saldula c-album</v>
          </cell>
        </row>
        <row r="8197">
          <cell r="A8197" t="str">
            <v>Saldula fucicola</v>
          </cell>
          <cell r="B8197" t="str">
            <v>Water bugs</v>
          </cell>
          <cell r="C8197" t="str">
            <v>Hemiptera</v>
          </cell>
          <cell r="D8197" t="str">
            <v>Saldula fucicola</v>
          </cell>
          <cell r="E8197" t="str">
            <v>LC</v>
          </cell>
          <cell r="F8197" t="str">
            <v>Cook, 2015</v>
          </cell>
          <cell r="G8197" t="str">
            <v>NHMSYS0020309793</v>
          </cell>
          <cell r="H8197" t="str">
            <v>Saldula fucicola</v>
          </cell>
        </row>
        <row r="8198">
          <cell r="A8198" t="str">
            <v>Saldula melanoscela </v>
          </cell>
          <cell r="B8198" t="str">
            <v>Water bugs</v>
          </cell>
          <cell r="C8198" t="str">
            <v>Hemiptera</v>
          </cell>
          <cell r="D8198" t="str">
            <v>Saldula melanoscela</v>
          </cell>
          <cell r="E8198" t="str">
            <v>VU</v>
          </cell>
          <cell r="F8198" t="str">
            <v>Cook, 2015</v>
          </cell>
          <cell r="G8198" t="str">
            <v>NHMSYS0020309794</v>
          </cell>
          <cell r="H8198" t="str">
            <v>Saldula melanoscela </v>
          </cell>
        </row>
        <row r="8199">
          <cell r="A8199" t="str">
            <v>Saldula opacula </v>
          </cell>
          <cell r="B8199" t="str">
            <v>Water bugs</v>
          </cell>
          <cell r="C8199" t="str">
            <v>Hemiptera</v>
          </cell>
          <cell r="D8199" t="str">
            <v>Saldula opacula</v>
          </cell>
          <cell r="E8199" t="str">
            <v>LC</v>
          </cell>
          <cell r="F8199" t="str">
            <v>Cook, 2015</v>
          </cell>
          <cell r="G8199" t="str">
            <v>NHMSYS0020309795</v>
          </cell>
          <cell r="H8199" t="str">
            <v>Saldula opacula </v>
          </cell>
        </row>
        <row r="8200">
          <cell r="A8200" t="str">
            <v>Saldula orthochila</v>
          </cell>
          <cell r="B8200" t="str">
            <v>Water bugs</v>
          </cell>
          <cell r="C8200" t="str">
            <v>Hemiptera</v>
          </cell>
          <cell r="D8200" t="str">
            <v>Saldula orthochila</v>
          </cell>
          <cell r="E8200" t="str">
            <v>LC</v>
          </cell>
          <cell r="F8200" t="str">
            <v>Cook, 2015</v>
          </cell>
          <cell r="G8200" t="str">
            <v>NHMSYS0020309796</v>
          </cell>
          <cell r="H8200" t="str">
            <v>Saldula orthochila</v>
          </cell>
        </row>
        <row r="8201">
          <cell r="A8201" t="str">
            <v>Saldula pallipes</v>
          </cell>
          <cell r="B8201" t="str">
            <v>Water bugs</v>
          </cell>
          <cell r="C8201" t="str">
            <v>Hemiptera</v>
          </cell>
          <cell r="D8201" t="str">
            <v>Saldula pallipes</v>
          </cell>
          <cell r="E8201" t="str">
            <v>LC</v>
          </cell>
          <cell r="F8201" t="str">
            <v>Cook, 2015</v>
          </cell>
          <cell r="G8201" t="str">
            <v>NHMSYS0020309797</v>
          </cell>
          <cell r="H8201" t="str">
            <v>Saldula pallipes</v>
          </cell>
        </row>
        <row r="8202">
          <cell r="A8202" t="str">
            <v>Saldula palustris </v>
          </cell>
          <cell r="B8202" t="str">
            <v>Water bugs</v>
          </cell>
          <cell r="C8202" t="str">
            <v>Hemiptera</v>
          </cell>
          <cell r="D8202" t="str">
            <v>Saldula palustris</v>
          </cell>
          <cell r="E8202" t="str">
            <v>LC</v>
          </cell>
          <cell r="F8202" t="str">
            <v>Cook, 2015</v>
          </cell>
          <cell r="G8202" t="str">
            <v>NHMSYS0020309798</v>
          </cell>
          <cell r="H8202" t="str">
            <v>Saldula palustris </v>
          </cell>
        </row>
        <row r="8203">
          <cell r="A8203" t="str">
            <v>Saldula pilosella</v>
          </cell>
          <cell r="B8203" t="str">
            <v>Water bugs</v>
          </cell>
          <cell r="C8203" t="str">
            <v>Hemiptera</v>
          </cell>
          <cell r="D8203" t="str">
            <v>Saldula pilosella</v>
          </cell>
          <cell r="E8203" t="str">
            <v>LC</v>
          </cell>
          <cell r="F8203" t="str">
            <v>Cook, 2015</v>
          </cell>
          <cell r="G8203" t="str">
            <v>NHMSYS0020309799</v>
          </cell>
          <cell r="H8203" t="str">
            <v>Saldula pilosella</v>
          </cell>
        </row>
        <row r="8204">
          <cell r="A8204" t="str">
            <v>Saldula saltatoria</v>
          </cell>
          <cell r="B8204" t="str">
            <v>Water bugs</v>
          </cell>
          <cell r="C8204" t="str">
            <v>Hemiptera</v>
          </cell>
          <cell r="D8204" t="str">
            <v>Saldula saltatoria</v>
          </cell>
          <cell r="E8204" t="str">
            <v>LC</v>
          </cell>
          <cell r="F8204" t="str">
            <v>Cook, 2015</v>
          </cell>
          <cell r="G8204" t="str">
            <v>NHMSYS0020309800</v>
          </cell>
          <cell r="H8204" t="str">
            <v>Saldula saltatoria</v>
          </cell>
        </row>
        <row r="8205">
          <cell r="A8205" t="str">
            <v>Saldula setulosa</v>
          </cell>
          <cell r="B8205" t="str">
            <v>Water bugs</v>
          </cell>
          <cell r="C8205" t="str">
            <v>Hemiptera</v>
          </cell>
          <cell r="D8205" t="str">
            <v>Saldula setulosa</v>
          </cell>
          <cell r="E8205" t="str">
            <v>CR(PE)</v>
          </cell>
          <cell r="F8205" t="str">
            <v>Cook, 2015</v>
          </cell>
          <cell r="G8205" t="str">
            <v>NBNSYS0000010348</v>
          </cell>
          <cell r="H8205" t="str">
            <v>Saldula setulosa</v>
          </cell>
        </row>
        <row r="8206">
          <cell r="A8206" t="str">
            <v>Sigara distincta</v>
          </cell>
          <cell r="B8206" t="str">
            <v>Water bugs</v>
          </cell>
          <cell r="C8206" t="str">
            <v>Hemiptera</v>
          </cell>
          <cell r="D8206" t="str">
            <v>Sigara distincta</v>
          </cell>
          <cell r="E8206" t="str">
            <v>LC</v>
          </cell>
          <cell r="F8206" t="str">
            <v>Cook, 2015</v>
          </cell>
          <cell r="G8206" t="str">
            <v>NHMSYS0020309832</v>
          </cell>
          <cell r="H8206" t="str">
            <v>Sigara distincta</v>
          </cell>
        </row>
        <row r="8207">
          <cell r="A8207" t="str">
            <v>Sigara dorsalis</v>
          </cell>
          <cell r="B8207" t="str">
            <v>Water bugs</v>
          </cell>
          <cell r="C8207" t="str">
            <v>Hemiptera</v>
          </cell>
          <cell r="D8207" t="str">
            <v>Sigara dorsalis</v>
          </cell>
          <cell r="E8207" t="str">
            <v>LC</v>
          </cell>
          <cell r="F8207" t="str">
            <v>Cook, 2015</v>
          </cell>
          <cell r="G8207" t="str">
            <v>NHMSYS0020309829</v>
          </cell>
          <cell r="H8207" t="str">
            <v>Sigara dorsalis</v>
          </cell>
        </row>
        <row r="8208">
          <cell r="A8208" t="str">
            <v>Sigara falleni </v>
          </cell>
          <cell r="B8208" t="str">
            <v>Water bugs</v>
          </cell>
          <cell r="C8208" t="str">
            <v>Hemiptera</v>
          </cell>
          <cell r="D8208" t="str">
            <v>Sigara falleni</v>
          </cell>
          <cell r="E8208" t="str">
            <v>LC</v>
          </cell>
          <cell r="F8208" t="str">
            <v>Cook, 2015</v>
          </cell>
          <cell r="G8208" t="str">
            <v>NHMSYS0020309833</v>
          </cell>
          <cell r="H8208" t="str">
            <v>Sigara falleni </v>
          </cell>
        </row>
        <row r="8209">
          <cell r="A8209" t="str">
            <v>Sigara fossarum </v>
          </cell>
          <cell r="B8209" t="str">
            <v>Water bugs</v>
          </cell>
          <cell r="C8209" t="str">
            <v>Hemiptera</v>
          </cell>
          <cell r="D8209" t="str">
            <v>Sigara fossarum</v>
          </cell>
          <cell r="E8209" t="str">
            <v>LC</v>
          </cell>
          <cell r="F8209" t="str">
            <v>Cook, 2015</v>
          </cell>
          <cell r="G8209" t="str">
            <v>NHMSYS0020309835</v>
          </cell>
          <cell r="H8209" t="str">
            <v>Sigara fossarum </v>
          </cell>
        </row>
        <row r="8210">
          <cell r="A8210" t="str">
            <v>Sigara iactans </v>
          </cell>
          <cell r="B8210" t="str">
            <v>Water bugs</v>
          </cell>
          <cell r="C8210" t="str">
            <v>Hemiptera</v>
          </cell>
          <cell r="D8210" t="str">
            <v>Sigara iactans</v>
          </cell>
          <cell r="E8210" t="str">
            <v>LC</v>
          </cell>
          <cell r="F8210" t="str">
            <v>Cook, 2015</v>
          </cell>
          <cell r="G8210" t="str">
            <v>NHMSYS0020309836</v>
          </cell>
          <cell r="H8210" t="str">
            <v>Sigara iactans </v>
          </cell>
        </row>
        <row r="8211">
          <cell r="A8211" t="str">
            <v>Sigara lateralis </v>
          </cell>
          <cell r="B8211" t="str">
            <v>Water bugs</v>
          </cell>
          <cell r="C8211" t="str">
            <v>Hemiptera</v>
          </cell>
          <cell r="D8211" t="str">
            <v>Sigara lateralis</v>
          </cell>
          <cell r="E8211" t="str">
            <v>LC</v>
          </cell>
          <cell r="F8211" t="str">
            <v>Cook, 2015</v>
          </cell>
          <cell r="G8211" t="str">
            <v>NHMSYS0020309840</v>
          </cell>
          <cell r="H8211" t="str">
            <v>Sigara lateralis </v>
          </cell>
        </row>
        <row r="8212">
          <cell r="A8212" t="str">
            <v>Sigara limitata </v>
          </cell>
          <cell r="B8212" t="str">
            <v>Water bugs</v>
          </cell>
          <cell r="C8212" t="str">
            <v>Hemiptera</v>
          </cell>
          <cell r="D8212" t="str">
            <v>Sigara limitata</v>
          </cell>
          <cell r="E8212" t="str">
            <v>LC</v>
          </cell>
          <cell r="F8212" t="str">
            <v>Cook, 2015</v>
          </cell>
          <cell r="G8212" t="str">
            <v>NHMSYS0020309825</v>
          </cell>
          <cell r="H8212" t="str">
            <v>Sigara limitata </v>
          </cell>
        </row>
        <row r="8213">
          <cell r="A8213" t="str">
            <v>Sigara nigrolineata </v>
          </cell>
          <cell r="B8213" t="str">
            <v>Water bugs</v>
          </cell>
          <cell r="C8213" t="str">
            <v>Hemiptera</v>
          </cell>
          <cell r="D8213" t="str">
            <v>Sigara nigrolineata</v>
          </cell>
          <cell r="E8213" t="str">
            <v>LC</v>
          </cell>
          <cell r="F8213" t="str">
            <v>Cook, 2015</v>
          </cell>
          <cell r="G8213" t="str">
            <v>NHMSYS0020309823</v>
          </cell>
          <cell r="H8213" t="str">
            <v>Sigara nigrolineata </v>
          </cell>
        </row>
        <row r="8214">
          <cell r="A8214" t="str">
            <v>Sigara scotti</v>
          </cell>
          <cell r="B8214" t="str">
            <v>Water bugs</v>
          </cell>
          <cell r="C8214" t="str">
            <v>Hemiptera</v>
          </cell>
          <cell r="D8214" t="str">
            <v>Sigara scotti</v>
          </cell>
          <cell r="E8214" t="str">
            <v>LC</v>
          </cell>
          <cell r="F8214" t="str">
            <v>Cook, 2015</v>
          </cell>
          <cell r="G8214" t="str">
            <v>NHMSYS0020309838</v>
          </cell>
          <cell r="H8214" t="str">
            <v>Sigara scotti</v>
          </cell>
        </row>
        <row r="8215">
          <cell r="A8215" t="str">
            <v>Sigara selecta </v>
          </cell>
          <cell r="B8215" t="str">
            <v>Water bugs</v>
          </cell>
          <cell r="C8215" t="str">
            <v>Hemiptera</v>
          </cell>
          <cell r="D8215" t="str">
            <v>Sigara selecta</v>
          </cell>
          <cell r="E8215" t="str">
            <v>LC</v>
          </cell>
          <cell r="F8215" t="str">
            <v>Cook, 2015</v>
          </cell>
          <cell r="G8215" t="str">
            <v>NHMSYS0020309820</v>
          </cell>
          <cell r="H8215" t="str">
            <v>Sigara selecta </v>
          </cell>
        </row>
        <row r="8216">
          <cell r="A8216" t="str">
            <v>Sigara semistriata </v>
          </cell>
          <cell r="B8216" t="str">
            <v>Water bugs</v>
          </cell>
          <cell r="C8216" t="str">
            <v>Hemiptera</v>
          </cell>
          <cell r="D8216" t="str">
            <v>Sigara semistriata</v>
          </cell>
          <cell r="E8216" t="str">
            <v>LC</v>
          </cell>
          <cell r="F8216" t="str">
            <v>Cook, 2015</v>
          </cell>
          <cell r="G8216" t="str">
            <v>NHMSYS0020309826</v>
          </cell>
          <cell r="H8216" t="str">
            <v>Sigara semistriata </v>
          </cell>
        </row>
        <row r="8217">
          <cell r="A8217" t="str">
            <v>Sigara stagnalis </v>
          </cell>
          <cell r="B8217" t="str">
            <v>Water bugs</v>
          </cell>
          <cell r="C8217" t="str">
            <v>Hemiptera</v>
          </cell>
          <cell r="D8217" t="str">
            <v>Sigara stagnalis</v>
          </cell>
          <cell r="E8217" t="str">
            <v>LC</v>
          </cell>
          <cell r="F8217" t="str">
            <v>Cook, 2015</v>
          </cell>
          <cell r="G8217" t="str">
            <v>NHMSYS0020309821</v>
          </cell>
          <cell r="H8217" t="str">
            <v>Sigara stagnalis </v>
          </cell>
        </row>
        <row r="8218">
          <cell r="A8218" t="str">
            <v>Sigara striata </v>
          </cell>
          <cell r="B8218" t="str">
            <v>Water bugs</v>
          </cell>
          <cell r="C8218" t="str">
            <v>Hemiptera</v>
          </cell>
          <cell r="D8218" t="str">
            <v>Sigara striata</v>
          </cell>
          <cell r="E8218" t="str">
            <v>LC</v>
          </cell>
          <cell r="F8218" t="str">
            <v>Cook, 2015</v>
          </cell>
          <cell r="G8218" t="str">
            <v>NHMSYS0020309830</v>
          </cell>
          <cell r="H8218" t="str">
            <v>Sigara striata </v>
          </cell>
        </row>
        <row r="8219">
          <cell r="A8219" t="str">
            <v>Sigara venusta </v>
          </cell>
          <cell r="B8219" t="str">
            <v>Water bugs</v>
          </cell>
          <cell r="C8219" t="str">
            <v>Hemiptera</v>
          </cell>
          <cell r="D8219" t="str">
            <v>Sigara venusta</v>
          </cell>
          <cell r="E8219" t="str">
            <v>LC</v>
          </cell>
          <cell r="F8219" t="str">
            <v>Cook, 2015</v>
          </cell>
          <cell r="G8219" t="str">
            <v>NHMSYS0020309827</v>
          </cell>
          <cell r="H8219" t="str">
            <v>Sigara venusta </v>
          </cell>
        </row>
        <row r="8220">
          <cell r="A8220" t="str">
            <v>Teloleuca pellucens </v>
          </cell>
          <cell r="B8220" t="str">
            <v>Water bugs</v>
          </cell>
          <cell r="C8220" t="str">
            <v>Hemiptera</v>
          </cell>
          <cell r="D8220" t="str">
            <v>Teloleuca pellucens</v>
          </cell>
          <cell r="E8220" t="str">
            <v>NT</v>
          </cell>
          <cell r="F8220" t="str">
            <v>Cook, 2015</v>
          </cell>
          <cell r="G8220" t="str">
            <v>NHMSYS0020309879</v>
          </cell>
          <cell r="H8220" t="str">
            <v>Teloleuca pellucens </v>
          </cell>
        </row>
        <row r="8221">
          <cell r="A8221" t="str">
            <v>Velia caprai </v>
          </cell>
          <cell r="B8221" t="str">
            <v>Water bugs</v>
          </cell>
          <cell r="C8221" t="str">
            <v>Hemiptera</v>
          </cell>
          <cell r="D8221" t="str">
            <v>Velia caprai</v>
          </cell>
          <cell r="E8221" t="str">
            <v>LC</v>
          </cell>
          <cell r="F8221" t="str">
            <v>Cook, 2015</v>
          </cell>
          <cell r="G8221" t="str">
            <v>NHMSYS0020309936</v>
          </cell>
          <cell r="H8221" t="str">
            <v>Velia caprai </v>
          </cell>
        </row>
        <row r="8222">
          <cell r="A8222" t="str">
            <v>Velia saulii </v>
          </cell>
          <cell r="B8222" t="str">
            <v>Water bugs</v>
          </cell>
          <cell r="C8222" t="str">
            <v>Hemiptera</v>
          </cell>
          <cell r="D8222" t="str">
            <v>Velia saulii</v>
          </cell>
          <cell r="E8222" t="str">
            <v>LC</v>
          </cell>
          <cell r="F8222" t="str">
            <v>Cook, 2015</v>
          </cell>
          <cell r="G8222" t="str">
            <v>NHMSYS0020309937</v>
          </cell>
          <cell r="H8222" t="str">
            <v>Velia saulii </v>
          </cell>
        </row>
        <row r="8223">
          <cell r="A8223" t="str">
            <v>Anitys rubens</v>
          </cell>
          <cell r="B8223" t="str">
            <v>Wood boring beetles and allies</v>
          </cell>
          <cell r="C8223" t="str">
            <v>Coleoptera</v>
          </cell>
          <cell r="D8223" t="str">
            <v>Anitys rubens</v>
          </cell>
          <cell r="E8223" t="str">
            <v>LC</v>
          </cell>
          <cell r="F8223" t="str">
            <v>Alexander, 2017</v>
          </cell>
          <cell r="G8223" t="str">
            <v>NHMSYS0001716819</v>
          </cell>
          <cell r="H8223" t="str">
            <v>Anitys rubens</v>
          </cell>
        </row>
        <row r="8224">
          <cell r="A8224" t="str">
            <v>Anobium inexspectatum</v>
          </cell>
          <cell r="B8224" t="str">
            <v>Wood boring beetles and allies</v>
          </cell>
          <cell r="C8224" t="str">
            <v>Coleoptera</v>
          </cell>
          <cell r="D8224" t="str">
            <v>Anobium inexspectatum</v>
          </cell>
          <cell r="E8224" t="str">
            <v>LC</v>
          </cell>
          <cell r="F8224" t="str">
            <v>Alexander, 2017</v>
          </cell>
          <cell r="G8224" t="str">
            <v>NBNSYS0000024320</v>
          </cell>
          <cell r="H8224" t="str">
            <v>Anobium inexspectatum</v>
          </cell>
        </row>
        <row r="8225">
          <cell r="A8225" t="str">
            <v>Anobium punctatum</v>
          </cell>
          <cell r="B8225" t="str">
            <v>Wood boring beetles and allies</v>
          </cell>
          <cell r="C8225" t="str">
            <v>Coleoptera</v>
          </cell>
          <cell r="D8225" t="str">
            <v>Anobium punctatum</v>
          </cell>
          <cell r="E8225" t="str">
            <v>LC</v>
          </cell>
          <cell r="F8225" t="str">
            <v>Alexander, 2017</v>
          </cell>
          <cell r="G8225" t="str">
            <v>NHMSYS0001716823</v>
          </cell>
          <cell r="H8225" t="str">
            <v>Anobium punctatum</v>
          </cell>
        </row>
        <row r="8226">
          <cell r="A8226" t="str">
            <v>Anthrenus fuscus</v>
          </cell>
          <cell r="B8226" t="str">
            <v>Wood boring beetles and allies</v>
          </cell>
          <cell r="C8226" t="str">
            <v>Coleoptera</v>
          </cell>
          <cell r="D8226" t="str">
            <v>Anthrenus fuscus</v>
          </cell>
          <cell r="E8226" t="str">
            <v>LC</v>
          </cell>
          <cell r="F8226" t="str">
            <v>Alexander, 2017</v>
          </cell>
          <cell r="G8226" t="str">
            <v>NBNSYS0000024296</v>
          </cell>
          <cell r="H8226" t="str">
            <v>Anthrenus fuscus</v>
          </cell>
        </row>
        <row r="8227">
          <cell r="A8227" t="str">
            <v>Attagenus pellio</v>
          </cell>
          <cell r="B8227" t="str">
            <v>Wood boring beetles and allies</v>
          </cell>
          <cell r="C8227" t="str">
            <v>Coleoptera</v>
          </cell>
          <cell r="D8227" t="str">
            <v>Attagenus pellio</v>
          </cell>
          <cell r="E8227" t="str">
            <v>LC</v>
          </cell>
          <cell r="F8227" t="str">
            <v>Alexander, 2017</v>
          </cell>
          <cell r="G8227" t="str">
            <v>NBNSYS0000024283</v>
          </cell>
          <cell r="H8227" t="str">
            <v>Attagenus pellio</v>
          </cell>
        </row>
        <row r="8228">
          <cell r="A8228" t="str">
            <v>Bostrichus capucinus</v>
          </cell>
          <cell r="B8228" t="str">
            <v>Wood boring beetles and allies</v>
          </cell>
          <cell r="C8228" t="str">
            <v>Coleoptera</v>
          </cell>
          <cell r="D8228" t="str">
            <v>Bostrichus capucinus</v>
          </cell>
          <cell r="E8228" t="str">
            <v>RE</v>
          </cell>
          <cell r="F8228" t="str">
            <v>Alexander, 2017</v>
          </cell>
          <cell r="G8228" t="str">
            <v>NBNSYS0000024357</v>
          </cell>
          <cell r="H8228" t="str">
            <v>Bostrichus capucinus</v>
          </cell>
        </row>
        <row r="8229">
          <cell r="A8229" t="str">
            <v>Caenocara bovistae</v>
          </cell>
          <cell r="B8229" t="str">
            <v>Wood boring beetles and allies</v>
          </cell>
          <cell r="C8229" t="str">
            <v>Coleoptera</v>
          </cell>
          <cell r="D8229" t="str">
            <v>Caenocara bovistae</v>
          </cell>
          <cell r="E8229" t="str">
            <v>NT</v>
          </cell>
          <cell r="F8229" t="str">
            <v>Alexander, 2017</v>
          </cell>
          <cell r="G8229" t="str">
            <v>NHMSYS0001717437</v>
          </cell>
          <cell r="H8229" t="str">
            <v>Caenocara bovistae</v>
          </cell>
        </row>
        <row r="8230">
          <cell r="A8230" t="str">
            <v>Ctesias serra</v>
          </cell>
          <cell r="B8230" t="str">
            <v>Wood boring beetles and allies</v>
          </cell>
          <cell r="C8230" t="str">
            <v>Coleoptera</v>
          </cell>
          <cell r="D8230" t="str">
            <v>Ctesias serra</v>
          </cell>
          <cell r="E8230" t="str">
            <v>LC</v>
          </cell>
          <cell r="F8230" t="str">
            <v>Alexander, 2017</v>
          </cell>
          <cell r="G8230" t="str">
            <v>NHMSYS0001717770</v>
          </cell>
          <cell r="H8230" t="str">
            <v>Ctesias serra</v>
          </cell>
        </row>
        <row r="8231">
          <cell r="A8231" t="str">
            <v>Dermestes lardarius</v>
          </cell>
          <cell r="B8231" t="str">
            <v>Wood boring beetles and allies</v>
          </cell>
          <cell r="C8231" t="str">
            <v>Coleoptera</v>
          </cell>
          <cell r="D8231" t="str">
            <v>Dermestes lardarius</v>
          </cell>
          <cell r="E8231" t="str">
            <v>LC</v>
          </cell>
          <cell r="F8231" t="str">
            <v>Alexander, 2017</v>
          </cell>
          <cell r="G8231" t="str">
            <v>NBNSYS0000024276</v>
          </cell>
          <cell r="H8231" t="str">
            <v>Dermestes lardarius</v>
          </cell>
        </row>
        <row r="8232">
          <cell r="A8232" t="str">
            <v>Dermestes murinus</v>
          </cell>
          <cell r="B8232" t="str">
            <v>Wood boring beetles and allies</v>
          </cell>
          <cell r="C8232" t="str">
            <v>Coleoptera</v>
          </cell>
          <cell r="D8232" t="str">
            <v>Dermestes murinus</v>
          </cell>
          <cell r="E8232" t="str">
            <v>LC</v>
          </cell>
          <cell r="F8232" t="str">
            <v>Alexander, 2017</v>
          </cell>
          <cell r="G8232" t="str">
            <v>NBNSYS0000024278</v>
          </cell>
          <cell r="H8232" t="str">
            <v>Dermestes murinus</v>
          </cell>
        </row>
        <row r="8233">
          <cell r="A8233" t="str">
            <v>Dermestes undulatus</v>
          </cell>
          <cell r="B8233" t="str">
            <v>Wood boring beetles and allies</v>
          </cell>
          <cell r="C8233" t="str">
            <v>Coleoptera</v>
          </cell>
          <cell r="D8233" t="str">
            <v>Dermestes undulatus</v>
          </cell>
          <cell r="E8233" t="str">
            <v>VU</v>
          </cell>
          <cell r="F8233" t="str">
            <v>Alexander, 2017</v>
          </cell>
          <cell r="G8233" t="str">
            <v>NBNSYS0000024280</v>
          </cell>
          <cell r="H8233" t="str">
            <v>Dermestes undulatus</v>
          </cell>
        </row>
        <row r="8234">
          <cell r="A8234" t="str">
            <v>Dorcatoma ambjoerni</v>
          </cell>
          <cell r="B8234" t="str">
            <v>Wood boring beetles and allies</v>
          </cell>
          <cell r="C8234" t="str">
            <v>Coleoptera</v>
          </cell>
          <cell r="D8234" t="str">
            <v>Dorcatoma ambjoerni</v>
          </cell>
          <cell r="E8234" t="str">
            <v>LC</v>
          </cell>
          <cell r="F8234" t="str">
            <v>Alexander, 2017</v>
          </cell>
          <cell r="G8234" t="str">
            <v>NBNSYS0000033276</v>
          </cell>
          <cell r="H8234" t="str">
            <v>Dorcatoma ambjoerni</v>
          </cell>
        </row>
        <row r="8235">
          <cell r="A8235" t="str">
            <v>Dorcatoma chrysomelina</v>
          </cell>
          <cell r="B8235" t="str">
            <v>Wood boring beetles and allies</v>
          </cell>
          <cell r="C8235" t="str">
            <v>Coleoptera</v>
          </cell>
          <cell r="D8235" t="str">
            <v>Dorcatoma chrysomelina</v>
          </cell>
          <cell r="E8235" t="str">
            <v>LC</v>
          </cell>
          <cell r="F8235" t="str">
            <v>Alexander, 2017</v>
          </cell>
          <cell r="G8235" t="str">
            <v>NHMSYS0001717956</v>
          </cell>
          <cell r="H8235" t="str">
            <v>Dorcatoma chrysomelina</v>
          </cell>
        </row>
        <row r="8236">
          <cell r="A8236" t="str">
            <v>Dorcatoma dresdensis</v>
          </cell>
          <cell r="B8236" t="str">
            <v>Wood boring beetles and allies</v>
          </cell>
          <cell r="C8236" t="str">
            <v>Coleoptera</v>
          </cell>
          <cell r="D8236" t="str">
            <v>Dorcatoma dresdensis</v>
          </cell>
          <cell r="E8236" t="str">
            <v>LC</v>
          </cell>
          <cell r="F8236" t="str">
            <v>Alexander, 2017</v>
          </cell>
          <cell r="G8236" t="str">
            <v>NBNSYS0000024327</v>
          </cell>
          <cell r="H8236" t="str">
            <v>Dorcatoma dresdensis</v>
          </cell>
        </row>
        <row r="8237">
          <cell r="A8237" t="str">
            <v>Dorcatoma flavicornis</v>
          </cell>
          <cell r="B8237" t="str">
            <v>Wood boring beetles and allies</v>
          </cell>
          <cell r="C8237" t="str">
            <v>Coleoptera</v>
          </cell>
          <cell r="D8237" t="str">
            <v>Dorcatoma flavicornis</v>
          </cell>
          <cell r="E8237" t="str">
            <v>LC</v>
          </cell>
          <cell r="F8237" t="str">
            <v>Alexander, 2017</v>
          </cell>
          <cell r="G8237" t="str">
            <v>NHMSYS0001717957</v>
          </cell>
          <cell r="H8237" t="str">
            <v>Dorcatoma flavicornis</v>
          </cell>
        </row>
        <row r="8238">
          <cell r="A8238" t="str">
            <v>Dorcatoma substriata</v>
          </cell>
          <cell r="B8238" t="str">
            <v>Wood boring beetles and allies</v>
          </cell>
          <cell r="C8238" t="str">
            <v>Coleoptera</v>
          </cell>
          <cell r="D8238" t="str">
            <v>Dorcatoma substriata</v>
          </cell>
          <cell r="E8238" t="str">
            <v>LC</v>
          </cell>
          <cell r="F8238" t="str">
            <v>Alexander, 2017</v>
          </cell>
          <cell r="G8238" t="str">
            <v>NHMSYS0020082063</v>
          </cell>
          <cell r="H8238" t="str">
            <v>Dorcatoma substriata</v>
          </cell>
        </row>
        <row r="8239">
          <cell r="A8239" t="str">
            <v>Dryophilus anobioides</v>
          </cell>
          <cell r="B8239" t="str">
            <v>Wood boring beetles and allies</v>
          </cell>
          <cell r="C8239" t="str">
            <v>Coleoptera</v>
          </cell>
          <cell r="D8239" t="str">
            <v>Dryophilus anobioides</v>
          </cell>
          <cell r="E8239" t="str">
            <v>LC</v>
          </cell>
          <cell r="F8239" t="str">
            <v>Alexander, 2017</v>
          </cell>
          <cell r="G8239" t="str">
            <v>NBNSYS0000024307</v>
          </cell>
          <cell r="H8239" t="str">
            <v>Dryophilus anobioides</v>
          </cell>
        </row>
        <row r="8240">
          <cell r="A8240" t="str">
            <v>Ernobius nigrinus</v>
          </cell>
          <cell r="B8240" t="str">
            <v>Wood boring beetles and allies</v>
          </cell>
          <cell r="C8240" t="str">
            <v>Coleoptera</v>
          </cell>
          <cell r="D8240" t="str">
            <v>Ernobius nigrinus</v>
          </cell>
          <cell r="E8240" t="str">
            <v>LC</v>
          </cell>
          <cell r="F8240" t="str">
            <v>Alexander, 2017</v>
          </cell>
          <cell r="G8240" t="str">
            <v>NBNSYS0000024314</v>
          </cell>
          <cell r="H8240" t="str">
            <v>Ernobius nigrinus</v>
          </cell>
        </row>
        <row r="8241">
          <cell r="A8241" t="str">
            <v>Gastrallus immarginatus</v>
          </cell>
          <cell r="B8241" t="str">
            <v>Wood boring beetles and allies</v>
          </cell>
          <cell r="C8241" t="str">
            <v>Coleoptera</v>
          </cell>
          <cell r="D8241" t="str">
            <v>Gastrallus immarginatus</v>
          </cell>
          <cell r="E8241" t="str">
            <v>LC</v>
          </cell>
          <cell r="F8241" t="str">
            <v>Alexander, 2017</v>
          </cell>
          <cell r="G8241" t="str">
            <v>NHMSYS0001718207</v>
          </cell>
          <cell r="H8241" t="str">
            <v>Gastrallus immarginatus</v>
          </cell>
        </row>
        <row r="8242">
          <cell r="A8242" t="str">
            <v>Globicornis rufitarsis</v>
          </cell>
          <cell r="B8242" t="str">
            <v>Wood boring beetles and allies</v>
          </cell>
          <cell r="C8242" t="str">
            <v>Coleoptera</v>
          </cell>
          <cell r="D8242" t="str">
            <v>Globicornis rufitarsis</v>
          </cell>
          <cell r="E8242" t="str">
            <v>VU</v>
          </cell>
          <cell r="F8242" t="str">
            <v>Alexander, 2017</v>
          </cell>
          <cell r="G8242" t="str">
            <v>NHMSYS0001718231</v>
          </cell>
          <cell r="H8242" t="str">
            <v>Globicornis rufitarsis</v>
          </cell>
        </row>
        <row r="8243">
          <cell r="A8243" t="str">
            <v>Grynobius planus</v>
          </cell>
          <cell r="B8243" t="str">
            <v>Wood boring beetles and allies</v>
          </cell>
          <cell r="C8243" t="str">
            <v>Coleoptera</v>
          </cell>
          <cell r="D8243" t="str">
            <v>Grynobius planus</v>
          </cell>
          <cell r="E8243" t="str">
            <v>LC</v>
          </cell>
          <cell r="F8243" t="str">
            <v>Alexander, 2017</v>
          </cell>
          <cell r="G8243" t="str">
            <v>NHMSYS0001718254</v>
          </cell>
          <cell r="H8243" t="str">
            <v>Grynobius planus</v>
          </cell>
        </row>
        <row r="8244">
          <cell r="A8244" t="str">
            <v>Hadrobregmus denticollis</v>
          </cell>
          <cell r="B8244" t="str">
            <v>Wood boring beetles and allies</v>
          </cell>
          <cell r="C8244" t="str">
            <v>Coleoptera</v>
          </cell>
          <cell r="D8244" t="str">
            <v>Hadrobregmus denticollis</v>
          </cell>
          <cell r="E8244" t="str">
            <v>LC</v>
          </cell>
          <cell r="F8244" t="str">
            <v>Alexander, 2017</v>
          </cell>
          <cell r="G8244" t="str">
            <v>NBNSYS0000024322</v>
          </cell>
          <cell r="H8244" t="str">
            <v>Hadrobregmus denticollis</v>
          </cell>
        </row>
        <row r="8245">
          <cell r="A8245" t="str">
            <v>Hedobia imperialis</v>
          </cell>
          <cell r="B8245" t="str">
            <v>Wood boring beetles and allies</v>
          </cell>
          <cell r="C8245" t="str">
            <v>Coleoptera</v>
          </cell>
          <cell r="D8245" t="str">
            <v>Hedobia imperialis</v>
          </cell>
          <cell r="E8245" t="str">
            <v>LC</v>
          </cell>
          <cell r="F8245" t="str">
            <v>Alexander, 2017</v>
          </cell>
          <cell r="G8245" t="str">
            <v>NBNSYS0000024305</v>
          </cell>
          <cell r="H8245" t="str">
            <v>Hedobia imperialis</v>
          </cell>
        </row>
        <row r="8246">
          <cell r="A8246" t="str">
            <v>Hemicoelus canaliculatus</v>
          </cell>
          <cell r="B8246" t="str">
            <v>Wood boring beetles and allies</v>
          </cell>
          <cell r="C8246" t="str">
            <v>Coleoptera</v>
          </cell>
          <cell r="D8246" t="str">
            <v>Hemicoelus canaliculatus</v>
          </cell>
          <cell r="E8246" t="str">
            <v>LC</v>
          </cell>
          <cell r="F8246" t="str">
            <v>Alexander, 2017</v>
          </cell>
          <cell r="G8246" t="str">
            <v>NHMSYS0021366769</v>
          </cell>
          <cell r="H8246" t="str">
            <v>Hemicoelus canaliculatus</v>
          </cell>
        </row>
        <row r="8247">
          <cell r="A8247" t="str">
            <v>Hemicoelus fulvicornis</v>
          </cell>
          <cell r="B8247" t="str">
            <v>Wood boring beetles and allies</v>
          </cell>
          <cell r="C8247" t="str">
            <v>Coleoptera</v>
          </cell>
          <cell r="D8247" t="str">
            <v>Hemicoelus fulvicornis</v>
          </cell>
          <cell r="E8247" t="str">
            <v>LC</v>
          </cell>
          <cell r="F8247" t="str">
            <v>Alexander, 2017</v>
          </cell>
          <cell r="G8247" t="str">
            <v>NBNSYS0000024318</v>
          </cell>
          <cell r="H8247" t="str">
            <v>Hemicoelus fulvicornis</v>
          </cell>
        </row>
        <row r="8248">
          <cell r="A8248" t="str">
            <v>Lyctus brunneus</v>
          </cell>
          <cell r="B8248" t="str">
            <v>Wood boring beetles and allies</v>
          </cell>
          <cell r="C8248" t="str">
            <v>Coleoptera</v>
          </cell>
          <cell r="D8248" t="str">
            <v>Lyctus brunneus</v>
          </cell>
          <cell r="E8248" t="str">
            <v>LC</v>
          </cell>
          <cell r="F8248" t="str">
            <v>Alexander, 2017</v>
          </cell>
          <cell r="G8248" t="str">
            <v>NBNSYS0000024359</v>
          </cell>
          <cell r="H8248" t="str">
            <v>Lyctus brunneus</v>
          </cell>
        </row>
        <row r="8249">
          <cell r="A8249" t="str">
            <v>Lyctus linearis</v>
          </cell>
          <cell r="B8249" t="str">
            <v>Wood boring beetles and allies</v>
          </cell>
          <cell r="C8249" t="str">
            <v>Coleoptera</v>
          </cell>
          <cell r="D8249" t="str">
            <v>Lyctus linearis</v>
          </cell>
          <cell r="E8249" t="str">
            <v>CR</v>
          </cell>
          <cell r="F8249" t="str">
            <v>Alexander, 2017</v>
          </cell>
          <cell r="G8249" t="str">
            <v>NBNSYS0000024361</v>
          </cell>
          <cell r="H8249" t="str">
            <v>Lyctus linearis</v>
          </cell>
        </row>
        <row r="8250">
          <cell r="A8250" t="str">
            <v>Megatoma undata</v>
          </cell>
          <cell r="B8250" t="str">
            <v>Wood boring beetles and allies</v>
          </cell>
          <cell r="C8250" t="str">
            <v>Coleoptera</v>
          </cell>
          <cell r="D8250" t="str">
            <v>Megatoma undata</v>
          </cell>
          <cell r="E8250" t="str">
            <v>LC</v>
          </cell>
          <cell r="F8250" t="str">
            <v>Alexander, 2017</v>
          </cell>
          <cell r="G8250" t="str">
            <v>NBNSYS0000024292</v>
          </cell>
          <cell r="H8250" t="str">
            <v>Megatoma undata</v>
          </cell>
        </row>
        <row r="8251">
          <cell r="A8251" t="str">
            <v>Ochina ptinoides</v>
          </cell>
          <cell r="B8251" t="str">
            <v>Wood boring beetles and allies</v>
          </cell>
          <cell r="C8251" t="str">
            <v>Coleoptera</v>
          </cell>
          <cell r="D8251" t="str">
            <v>Ochina ptinoides</v>
          </cell>
          <cell r="E8251" t="str">
            <v>LC</v>
          </cell>
          <cell r="F8251" t="str">
            <v>Alexander, 2017</v>
          </cell>
          <cell r="G8251" t="str">
            <v>NBNSYS0000024309</v>
          </cell>
          <cell r="H8251" t="str">
            <v>Ochina ptinoides</v>
          </cell>
        </row>
        <row r="8252">
          <cell r="A8252" t="str">
            <v>Ptilinus pectinicornis</v>
          </cell>
          <cell r="B8252" t="str">
            <v>Wood boring beetles and allies</v>
          </cell>
          <cell r="C8252" t="str">
            <v>Coleoptera</v>
          </cell>
          <cell r="D8252" t="str">
            <v>Ptilinus pectinicornis</v>
          </cell>
          <cell r="E8252" t="str">
            <v>LC</v>
          </cell>
          <cell r="F8252" t="str">
            <v>Alexander, 2017</v>
          </cell>
          <cell r="G8252" t="str">
            <v>NBNSYS0000024323</v>
          </cell>
          <cell r="H8252" t="str">
            <v>Ptilinus pectinicornis</v>
          </cell>
        </row>
        <row r="8253">
          <cell r="A8253" t="str">
            <v>Ptinus fur</v>
          </cell>
          <cell r="B8253" t="str">
            <v>Wood boring beetles and allies</v>
          </cell>
          <cell r="C8253" t="str">
            <v>Coleoptera</v>
          </cell>
          <cell r="D8253" t="str">
            <v>Ptinus fur</v>
          </cell>
          <cell r="E8253" t="str">
            <v>LC</v>
          </cell>
          <cell r="F8253" t="str">
            <v>Alexander, 2017</v>
          </cell>
          <cell r="G8253" t="str">
            <v>NBNSYS0000024344</v>
          </cell>
          <cell r="H8253" t="str">
            <v>Ptinus fur</v>
          </cell>
        </row>
        <row r="8254">
          <cell r="A8254" t="str">
            <v>Ptinus lichenum</v>
          </cell>
          <cell r="B8254" t="str">
            <v>Wood boring beetles and allies</v>
          </cell>
          <cell r="C8254" t="str">
            <v>Coleoptera</v>
          </cell>
          <cell r="D8254" t="str">
            <v>Ptinus lichenum</v>
          </cell>
          <cell r="E8254" t="str">
            <v>EN</v>
          </cell>
          <cell r="F8254" t="str">
            <v>Alexander, 2017</v>
          </cell>
          <cell r="G8254" t="str">
            <v>NBNSYS0000024346</v>
          </cell>
          <cell r="H8254" t="str">
            <v>Ptinus lichenum</v>
          </cell>
        </row>
        <row r="8255">
          <cell r="A8255" t="str">
            <v>Ptinus palliatus</v>
          </cell>
          <cell r="B8255" t="str">
            <v>Wood boring beetles and allies</v>
          </cell>
          <cell r="C8255" t="str">
            <v>Coleoptera</v>
          </cell>
          <cell r="D8255" t="str">
            <v>Ptinus palliatus</v>
          </cell>
          <cell r="E8255" t="str">
            <v>VU</v>
          </cell>
          <cell r="F8255" t="str">
            <v>Alexander, 2017</v>
          </cell>
          <cell r="G8255" t="str">
            <v>NBNSYS0000024347</v>
          </cell>
          <cell r="H8255" t="str">
            <v>Ptinus palliatus</v>
          </cell>
        </row>
        <row r="8256">
          <cell r="A8256" t="str">
            <v>Ptinus sexpunctatus</v>
          </cell>
          <cell r="B8256" t="str">
            <v>Wood boring beetles and allies</v>
          </cell>
          <cell r="C8256" t="str">
            <v>Coleoptera</v>
          </cell>
          <cell r="D8256" t="str">
            <v>Ptinus sexpunctatus</v>
          </cell>
          <cell r="E8256" t="str">
            <v>LC</v>
          </cell>
          <cell r="F8256" t="str">
            <v>Alexander, 2017</v>
          </cell>
          <cell r="G8256" t="str">
            <v>NBNSYS0000024351</v>
          </cell>
          <cell r="H8256" t="str">
            <v>Ptinus sexpunctatus</v>
          </cell>
        </row>
        <row r="8257">
          <cell r="A8257" t="str">
            <v>Ptinus subpilosus</v>
          </cell>
          <cell r="B8257" t="str">
            <v>Wood boring beetles and allies</v>
          </cell>
          <cell r="C8257" t="str">
            <v>Coleoptera</v>
          </cell>
          <cell r="D8257" t="str">
            <v>Ptinus subpilosus</v>
          </cell>
          <cell r="E8257" t="str">
            <v>LC</v>
          </cell>
          <cell r="F8257" t="str">
            <v>Alexander, 2017</v>
          </cell>
          <cell r="G8257" t="str">
            <v>NBNSYS0000024352</v>
          </cell>
          <cell r="H8257" t="str">
            <v>Ptinus subpilosus</v>
          </cell>
        </row>
        <row r="8258">
          <cell r="A8258" t="str">
            <v>Trinodes hirtus</v>
          </cell>
          <cell r="B8258" t="str">
            <v>Wood boring beetles and allies</v>
          </cell>
          <cell r="C8258" t="str">
            <v>Coleoptera</v>
          </cell>
          <cell r="D8258" t="str">
            <v>Trinodes hirtus</v>
          </cell>
          <cell r="E8258" t="str">
            <v>NT</v>
          </cell>
          <cell r="F8258" t="str">
            <v>Alexander, 2017</v>
          </cell>
          <cell r="G8258" t="str">
            <v>NHMSYS0001720444</v>
          </cell>
          <cell r="H8258" t="str">
            <v>Trinodes hirtus</v>
          </cell>
        </row>
        <row r="8259">
          <cell r="A8259" t="str">
            <v>Xestobium rufovillosum</v>
          </cell>
          <cell r="B8259" t="str">
            <v>Wood boring beetles and allies</v>
          </cell>
          <cell r="C8259" t="str">
            <v>Coleoptera</v>
          </cell>
          <cell r="D8259" t="str">
            <v>Xestobium rufovillosum</v>
          </cell>
          <cell r="E8259" t="str">
            <v>LC</v>
          </cell>
          <cell r="F8259" t="str">
            <v>Alexander, 2017</v>
          </cell>
          <cell r="G8259" t="str">
            <v>NHMSYS0001720499</v>
          </cell>
          <cell r="H8259" t="str">
            <v>Xestobium rufovillosum</v>
          </cell>
        </row>
        <row r="8260">
          <cell r="A8260" t="str">
            <v>Xyletinus longitarsis</v>
          </cell>
          <cell r="B8260" t="str">
            <v>Wood boring beetles and allies</v>
          </cell>
          <cell r="C8260" t="str">
            <v>Coleoptera</v>
          </cell>
          <cell r="D8260" t="str">
            <v>Xyletinus longitarsis</v>
          </cell>
          <cell r="E8260" t="str">
            <v>VU</v>
          </cell>
          <cell r="F8260" t="str">
            <v>Alexander, 2017</v>
          </cell>
          <cell r="G8260" t="str">
            <v>NBNSYS0000024324</v>
          </cell>
          <cell r="H8260" t="str">
            <v>Xyletinus longitarsis</v>
          </cell>
        </row>
        <row r="8261">
          <cell r="A8261" t="str">
            <v>Alle alle</v>
          </cell>
          <cell r="B8261" t="str">
            <v>Birds</v>
          </cell>
          <cell r="C8261" t="str">
            <v>Aves</v>
          </cell>
          <cell r="D8261" t="str">
            <v>Alle alle</v>
          </cell>
          <cell r="E8261" t="str">
            <v>DD</v>
          </cell>
          <cell r="F8261" t="str">
            <v>Stanbury et al., 2021</v>
          </cell>
          <cell r="G8261" t="str">
            <v>NBNSYS0000000377</v>
          </cell>
          <cell r="H8261" t="str">
            <v>Alle alle</v>
          </cell>
        </row>
        <row r="8262">
          <cell r="A8262" t="str">
            <v>Larus argentatus</v>
          </cell>
          <cell r="B8262" t="str">
            <v>Birds</v>
          </cell>
          <cell r="C8262" t="str">
            <v>Aves</v>
          </cell>
          <cell r="D8262" t="str">
            <v>Larus argentatus [br]</v>
          </cell>
          <cell r="E8262" t="str">
            <v>DD</v>
          </cell>
          <cell r="F8262" t="str">
            <v>Stanbury et al., 2021</v>
          </cell>
          <cell r="G8262" t="str">
            <v>NBNSYS0000000038</v>
          </cell>
          <cell r="H8262" t="str">
            <v>Larus argentatus</v>
          </cell>
        </row>
        <row r="8263">
          <cell r="A8263" t="str">
            <v>Larus fuscus</v>
          </cell>
          <cell r="B8263" t="str">
            <v>Birds</v>
          </cell>
          <cell r="C8263" t="str">
            <v>Aves</v>
          </cell>
          <cell r="D8263" t="str">
            <v>Larus fuscus</v>
          </cell>
          <cell r="E8263" t="str">
            <v>DD</v>
          </cell>
          <cell r="F8263" t="str">
            <v>Stanbury et al., 2021</v>
          </cell>
          <cell r="G8263" t="str">
            <v>NBNSYS0000000037</v>
          </cell>
          <cell r="H8263" t="str">
            <v>Larus fuscus</v>
          </cell>
        </row>
        <row r="8264">
          <cell r="A8264" t="str">
            <v>Boletus armeniacus</v>
          </cell>
          <cell r="B8264" t="str">
            <v>Bolete fungi</v>
          </cell>
          <cell r="C8264" t="str">
            <v>Basidiomycota</v>
          </cell>
          <cell r="D8264" t="str">
            <v>Boletus armeniacus</v>
          </cell>
          <cell r="E8264" t="str">
            <v>DD</v>
          </cell>
          <cell r="F8264" t="str">
            <v>Ainsworth et al., 2013</v>
          </cell>
          <cell r="G8264" t="str">
            <v>BMSSYS0000002638</v>
          </cell>
          <cell r="H8264" t="str">
            <v>Boletus armeniacus</v>
          </cell>
        </row>
        <row r="8265">
          <cell r="A8265" t="str">
            <v>Boletus bubalinus</v>
          </cell>
          <cell r="B8265" t="str">
            <v>Bolete fungi</v>
          </cell>
          <cell r="C8265" t="str">
            <v>Basidiomycota</v>
          </cell>
          <cell r="D8265" t="str">
            <v>Boletus bubalinus</v>
          </cell>
          <cell r="E8265" t="str">
            <v>DD</v>
          </cell>
          <cell r="F8265" t="str">
            <v>Ainsworth et al., 2013</v>
          </cell>
          <cell r="G8265" t="str">
            <v>NHMSYS0020535086</v>
          </cell>
          <cell r="H8265" t="str">
            <v>Boletus bubalinus</v>
          </cell>
        </row>
        <row r="8266">
          <cell r="A8266" t="str">
            <v>Boletus declivitatum</v>
          </cell>
          <cell r="B8266" t="str">
            <v>Bolete fungi</v>
          </cell>
          <cell r="C8266" t="str">
            <v>Basidiomycota</v>
          </cell>
          <cell r="D8266" t="str">
            <v>Boletus declivitatum</v>
          </cell>
          <cell r="E8266" t="str">
            <v>DD</v>
          </cell>
          <cell r="F8266" t="str">
            <v>Ainsworth et al., 2013</v>
          </cell>
          <cell r="G8266" t="str">
            <v>NHMSYS0020811799</v>
          </cell>
          <cell r="H8266" t="str">
            <v>Boletus declivitatum</v>
          </cell>
        </row>
        <row r="8267">
          <cell r="A8267" t="str">
            <v>Boletus depilatus</v>
          </cell>
          <cell r="B8267" t="str">
            <v>Bolete fungi</v>
          </cell>
          <cell r="C8267" t="str">
            <v>Basidiomycota</v>
          </cell>
          <cell r="D8267" t="str">
            <v>Boletus depilatus</v>
          </cell>
          <cell r="E8267" t="str">
            <v>DD</v>
          </cell>
          <cell r="F8267" t="str">
            <v>Ainsworth et al., 2013</v>
          </cell>
          <cell r="G8267" t="str">
            <v>NHMSYS0020531024</v>
          </cell>
          <cell r="H8267" t="str">
            <v>Boletus depilatus</v>
          </cell>
        </row>
        <row r="8268">
          <cell r="A8268" t="str">
            <v>Boletus immutatus</v>
          </cell>
          <cell r="B8268" t="str">
            <v>Bolete fungi</v>
          </cell>
          <cell r="C8268" t="str">
            <v>Basidiomycota</v>
          </cell>
          <cell r="D8268" t="str">
            <v>Boletus immutatus</v>
          </cell>
          <cell r="E8268" t="str">
            <v>DD</v>
          </cell>
          <cell r="F8268" t="str">
            <v>Ainsworth et al., 2013</v>
          </cell>
          <cell r="G8268" t="str">
            <v>NHMSYS0001475982</v>
          </cell>
          <cell r="H8268" t="str">
            <v>Boletus immutatus</v>
          </cell>
        </row>
        <row r="8269">
          <cell r="A8269" t="str">
            <v>Boletus luridiformis var. discolor</v>
          </cell>
          <cell r="B8269" t="str">
            <v>Bolete fungi</v>
          </cell>
          <cell r="C8269" t="str">
            <v>Basidiomycota</v>
          </cell>
          <cell r="D8269" t="str">
            <v>Boletus luridiformis var. discolor</v>
          </cell>
          <cell r="E8269" t="str">
            <v>DD</v>
          </cell>
          <cell r="F8269" t="str">
            <v>Ainsworth et al., 2013</v>
          </cell>
          <cell r="G8269" t="str">
            <v>NHMSYS0001476001</v>
          </cell>
          <cell r="H8269" t="str">
            <v>Boletus luridiformis var. discolor</v>
          </cell>
        </row>
        <row r="8270">
          <cell r="A8270" t="str">
            <v>Boletus luridus var. rubriceps</v>
          </cell>
          <cell r="B8270" t="str">
            <v>Bolete fungi</v>
          </cell>
          <cell r="C8270" t="str">
            <v>Basidiomycota</v>
          </cell>
          <cell r="D8270" t="str">
            <v>Boletus luridus var. rubriceps</v>
          </cell>
          <cell r="E8270" t="str">
            <v>DD</v>
          </cell>
          <cell r="F8270" t="str">
            <v>Ainsworth et al., 2013</v>
          </cell>
          <cell r="G8270" t="str">
            <v>BMSSYS0000002714</v>
          </cell>
          <cell r="H8270" t="str">
            <v>Boletus luridus var. rubriceps</v>
          </cell>
        </row>
        <row r="8271">
          <cell r="A8271" t="str">
            <v>Boletus ripariellus</v>
          </cell>
          <cell r="B8271" t="str">
            <v>Bolete fungi</v>
          </cell>
          <cell r="C8271" t="str">
            <v>Basidiomycota</v>
          </cell>
          <cell r="D8271" t="str">
            <v>Boletus ripariellus</v>
          </cell>
          <cell r="E8271" t="str">
            <v>DD</v>
          </cell>
          <cell r="F8271" t="str">
            <v>Ainsworth et al., 2013</v>
          </cell>
          <cell r="G8271" t="str">
            <v>NHMSYS0001476056</v>
          </cell>
          <cell r="H8271" t="str">
            <v>Boletus ripariellus</v>
          </cell>
        </row>
        <row r="8272">
          <cell r="A8272" t="str">
            <v>Boletus torosus</v>
          </cell>
          <cell r="B8272" t="str">
            <v>Bolete fungi</v>
          </cell>
          <cell r="C8272" t="str">
            <v>Basidiomycota</v>
          </cell>
          <cell r="D8272" t="str">
            <v>Boletus torosus</v>
          </cell>
          <cell r="E8272" t="str">
            <v>DD</v>
          </cell>
          <cell r="F8272" t="str">
            <v>Ainsworth et al., 2013</v>
          </cell>
          <cell r="G8272" t="str">
            <v>NHMSYS0001476091</v>
          </cell>
          <cell r="H8272" t="str">
            <v>Boletus torosus</v>
          </cell>
        </row>
        <row r="8273">
          <cell r="A8273" t="str">
            <v>Leccinum albostipitatum</v>
          </cell>
          <cell r="B8273" t="str">
            <v>Bolete fungi</v>
          </cell>
          <cell r="C8273" t="str">
            <v>Basidiomycota</v>
          </cell>
          <cell r="D8273" t="str">
            <v>Leccinum albostipitatum</v>
          </cell>
          <cell r="E8273" t="str">
            <v>DD</v>
          </cell>
          <cell r="F8273" t="str">
            <v>Ainsworth et al., 2013</v>
          </cell>
          <cell r="G8273" t="str">
            <v>NHMSYS0021008071</v>
          </cell>
          <cell r="H8273" t="str">
            <v>Leccinum albostipitatum</v>
          </cell>
        </row>
        <row r="8274">
          <cell r="A8274" t="str">
            <v>Leccinum cyaneobasileucum</v>
          </cell>
          <cell r="B8274" t="str">
            <v>Bolete fungi</v>
          </cell>
          <cell r="C8274" t="str">
            <v>Basidiomycota</v>
          </cell>
          <cell r="D8274" t="str">
            <v>Leccinum cyaneobasileucum</v>
          </cell>
          <cell r="E8274" t="str">
            <v>DD</v>
          </cell>
          <cell r="F8274" t="str">
            <v>Ainsworth et al., 2013</v>
          </cell>
          <cell r="G8274" t="str">
            <v>BMSSYS0000019926</v>
          </cell>
          <cell r="H8274" t="str">
            <v>Leccinum cyaneobasileucum</v>
          </cell>
        </row>
        <row r="8275">
          <cell r="A8275" t="str">
            <v>Leccinum melaneum</v>
          </cell>
          <cell r="B8275" t="str">
            <v>Bolete fungi</v>
          </cell>
          <cell r="C8275" t="str">
            <v>Basidiomycota</v>
          </cell>
          <cell r="D8275" t="str">
            <v>Leccinum melaneum</v>
          </cell>
          <cell r="E8275" t="str">
            <v>DD</v>
          </cell>
          <cell r="F8275" t="str">
            <v>Ainsworth et al., 2013</v>
          </cell>
          <cell r="G8275" t="str">
            <v>NHMSYS0001486530</v>
          </cell>
          <cell r="H8275" t="str">
            <v>Leccinum melaneum</v>
          </cell>
        </row>
        <row r="8276">
          <cell r="A8276" t="str">
            <v>Leccinum schistophilum</v>
          </cell>
          <cell r="B8276" t="str">
            <v>Bolete fungi</v>
          </cell>
          <cell r="C8276" t="str">
            <v>Basidiomycota</v>
          </cell>
          <cell r="D8276" t="str">
            <v>Leccinum schistophilum</v>
          </cell>
          <cell r="E8276" t="str">
            <v>DD</v>
          </cell>
          <cell r="F8276" t="str">
            <v>Ainsworth et al., 2013</v>
          </cell>
          <cell r="G8276" t="str">
            <v>NHMSYS0001486549</v>
          </cell>
          <cell r="H8276" t="str">
            <v>Leccinum schistophilum</v>
          </cell>
        </row>
        <row r="8277">
          <cell r="A8277" t="str">
            <v>Octaviania asterosperma</v>
          </cell>
          <cell r="B8277" t="str">
            <v>Bolete fungi</v>
          </cell>
          <cell r="C8277" t="str">
            <v>Basidiomycota</v>
          </cell>
          <cell r="D8277" t="str">
            <v>Octaviania asterosperma</v>
          </cell>
          <cell r="E8277" t="str">
            <v>DD</v>
          </cell>
          <cell r="F8277" t="str">
            <v>Ainsworth et al., 2013</v>
          </cell>
          <cell r="G8277" t="str">
            <v>BMSSYS0000012162</v>
          </cell>
          <cell r="H8277" t="str">
            <v>Octaviania asterosperma</v>
          </cell>
        </row>
        <row r="8278">
          <cell r="A8278" t="str">
            <v>Wakefieldia macrospora</v>
          </cell>
          <cell r="B8278" t="str">
            <v>Bolete fungi</v>
          </cell>
          <cell r="C8278" t="str">
            <v>Basidiomycota</v>
          </cell>
          <cell r="D8278" t="str">
            <v>Wakefieldia macrospora</v>
          </cell>
          <cell r="E8278" t="str">
            <v>DD</v>
          </cell>
          <cell r="F8278" t="str">
            <v>Ainsworth et al., 2013</v>
          </cell>
          <cell r="G8278" t="str">
            <v>BMSSYS0000019710</v>
          </cell>
          <cell r="H8278" t="str">
            <v>Wakefieldia macrospora</v>
          </cell>
        </row>
        <row r="8279">
          <cell r="A8279" t="str">
            <v>Xerocomus chrysonemus</v>
          </cell>
          <cell r="B8279" t="str">
            <v>Bolete fungi</v>
          </cell>
          <cell r="C8279" t="str">
            <v>Basidiomycota</v>
          </cell>
          <cell r="D8279" t="str">
            <v>Xerocomus chrysonemus</v>
          </cell>
          <cell r="E8279" t="str">
            <v>DD</v>
          </cell>
          <cell r="F8279" t="str">
            <v>Ainsworth et al., 2013</v>
          </cell>
          <cell r="G8279" t="str">
            <v>BMSSYS0000052622</v>
          </cell>
          <cell r="H8279" t="str">
            <v>Xerocomus chrysonemus</v>
          </cell>
        </row>
        <row r="8280">
          <cell r="A8280" t="str">
            <v>Xerocomus silwoodensis</v>
          </cell>
          <cell r="B8280" t="str">
            <v>Bolete fungi</v>
          </cell>
          <cell r="C8280" t="str">
            <v>Basidiomycota</v>
          </cell>
          <cell r="D8280" t="str">
            <v>Xerocomus silwoodensis</v>
          </cell>
          <cell r="E8280" t="str">
            <v>DD</v>
          </cell>
          <cell r="F8280" t="str">
            <v>Ainsworth et al., 2013</v>
          </cell>
          <cell r="G8280" t="str">
            <v>BMSSYS0000052628</v>
          </cell>
          <cell r="H8280" t="str">
            <v>Xerocomus silwoodensis</v>
          </cell>
        </row>
        <row r="8281">
          <cell r="A8281" t="str">
            <v>Agrypnia picta Kolenati</v>
          </cell>
          <cell r="B8281" t="str">
            <v>Caddisflies</v>
          </cell>
          <cell r="C8281" t="str">
            <v>Trichoptera</v>
          </cell>
          <cell r="D8281" t="str">
            <v>Agrypnia picta</v>
          </cell>
          <cell r="E8281" t="str">
            <v>DD</v>
          </cell>
          <cell r="F8281" t="str">
            <v>Wallace, 2016</v>
          </cell>
          <cell r="G8281" t="str">
            <v>NBNSYS0000008426</v>
          </cell>
          <cell r="H8281" t="str">
            <v>Agrypnia picta Kolenati</v>
          </cell>
        </row>
        <row r="8282">
          <cell r="A8282" t="str">
            <v>Hydroptila martini Marshall</v>
          </cell>
          <cell r="B8282" t="str">
            <v>Caddisflies</v>
          </cell>
          <cell r="C8282" t="str">
            <v>Trichoptera</v>
          </cell>
          <cell r="D8282" t="str">
            <v>Hydroptila martini</v>
          </cell>
          <cell r="E8282" t="str">
            <v>DD</v>
          </cell>
          <cell r="F8282" t="str">
            <v>Wallace, 2016</v>
          </cell>
          <cell r="G8282" t="str">
            <v>NBNSYS0000008356</v>
          </cell>
          <cell r="H8282" t="str">
            <v>Hydroptila martini Marshall</v>
          </cell>
        </row>
        <row r="8283">
          <cell r="A8283" t="str">
            <v>Hydroptila occulta</v>
          </cell>
          <cell r="B8283" t="str">
            <v>Caddisflies</v>
          </cell>
          <cell r="C8283" t="str">
            <v>Trichoptera</v>
          </cell>
          <cell r="D8283" t="str">
            <v>Hydroptila occulta</v>
          </cell>
          <cell r="E8283" t="str">
            <v>DD</v>
          </cell>
          <cell r="F8283" t="str">
            <v>Wallace, 2016</v>
          </cell>
          <cell r="G8283" t="str">
            <v>NBNSYS0000008357</v>
          </cell>
          <cell r="H8283" t="str">
            <v>Hydroptila occulta</v>
          </cell>
        </row>
        <row r="8284">
          <cell r="A8284" t="str">
            <v>Hydroptila pulchricornis Pictet</v>
          </cell>
          <cell r="B8284" t="str">
            <v>Caddisflies</v>
          </cell>
          <cell r="C8284" t="str">
            <v>Trichoptera</v>
          </cell>
          <cell r="D8284" t="str">
            <v>Hydroptila pulchricornis</v>
          </cell>
          <cell r="E8284" t="str">
            <v>DD</v>
          </cell>
          <cell r="F8284" t="str">
            <v>Wallace, 2016</v>
          </cell>
          <cell r="G8284" t="str">
            <v>NBNSYS0000008358</v>
          </cell>
          <cell r="H8284" t="str">
            <v>Hydroptila pulchricornis Pictet</v>
          </cell>
        </row>
        <row r="8285">
          <cell r="A8285" t="str">
            <v>Hydroptila simulans Mosely</v>
          </cell>
          <cell r="B8285" t="str">
            <v>Caddisflies</v>
          </cell>
          <cell r="C8285" t="str">
            <v>Trichoptera</v>
          </cell>
          <cell r="D8285" t="str">
            <v>Hydroptila simulans</v>
          </cell>
          <cell r="E8285" t="str">
            <v>DD</v>
          </cell>
          <cell r="F8285" t="str">
            <v>Wallace, 2016</v>
          </cell>
          <cell r="G8285" t="str">
            <v>NBNSYS0000008359</v>
          </cell>
          <cell r="H8285" t="str">
            <v>Hydroptila simulans Mosely</v>
          </cell>
        </row>
        <row r="8286">
          <cell r="A8286" t="str">
            <v>Hydroptila sylvestris Morton</v>
          </cell>
          <cell r="B8286" t="str">
            <v>Caddisflies</v>
          </cell>
          <cell r="C8286" t="str">
            <v>Trichoptera</v>
          </cell>
          <cell r="D8286" t="str">
            <v>Hydroptila sylvestris</v>
          </cell>
          <cell r="E8286" t="str">
            <v>DD</v>
          </cell>
          <cell r="F8286" t="str">
            <v>Wallace, 2016</v>
          </cell>
          <cell r="G8286" t="str">
            <v>NBNSYS0000008361</v>
          </cell>
          <cell r="H8286" t="str">
            <v>Hydroptila sylvestris Morton</v>
          </cell>
        </row>
        <row r="8287">
          <cell r="A8287" t="str">
            <v>Hydroptila tigurina Ris</v>
          </cell>
          <cell r="B8287" t="str">
            <v>Caddisflies</v>
          </cell>
          <cell r="C8287" t="str">
            <v>Trichoptera</v>
          </cell>
          <cell r="D8287" t="str">
            <v>Hydroptila tigurina</v>
          </cell>
          <cell r="E8287" t="str">
            <v>DD</v>
          </cell>
          <cell r="F8287" t="str">
            <v>Wallace, 2016</v>
          </cell>
          <cell r="G8287" t="str">
            <v>NBNSYS0000008362</v>
          </cell>
          <cell r="H8287" t="str">
            <v>Hydroptila tigurina Ris</v>
          </cell>
        </row>
        <row r="8288">
          <cell r="A8288" t="str">
            <v>Hydroptila valesiaca Schmid</v>
          </cell>
          <cell r="B8288" t="str">
            <v>Caddisflies</v>
          </cell>
          <cell r="C8288" t="str">
            <v>Trichoptera</v>
          </cell>
          <cell r="D8288" t="str">
            <v>Hydroptila valesiaca</v>
          </cell>
          <cell r="E8288" t="str">
            <v>DD</v>
          </cell>
          <cell r="F8288" t="str">
            <v>Wallace, 2016</v>
          </cell>
          <cell r="G8288" t="str">
            <v>NBNSYS0000008364</v>
          </cell>
          <cell r="H8288" t="str">
            <v>Hydroptila valesiaca Schmid</v>
          </cell>
        </row>
        <row r="8289">
          <cell r="A8289" t="str">
            <v>Ithytrichia clavata Morton</v>
          </cell>
          <cell r="B8289" t="str">
            <v>Caddisflies</v>
          </cell>
          <cell r="C8289" t="str">
            <v>Trichoptera</v>
          </cell>
          <cell r="D8289" t="str">
            <v>Ithytrichia clavata</v>
          </cell>
          <cell r="E8289" t="str">
            <v>DD</v>
          </cell>
          <cell r="F8289" t="str">
            <v>Wallace, 2016</v>
          </cell>
          <cell r="G8289" t="str">
            <v>NBNSYS0000008375</v>
          </cell>
          <cell r="H8289" t="str">
            <v>Ithytrichia clavata Morton</v>
          </cell>
        </row>
        <row r="8290">
          <cell r="A8290" t="str">
            <v>Orthotrichia angustella (McLachlan)</v>
          </cell>
          <cell r="B8290" t="str">
            <v>Caddisflies</v>
          </cell>
          <cell r="C8290" t="str">
            <v>Trichoptera</v>
          </cell>
          <cell r="D8290" t="str">
            <v>Orthotrichia angustella</v>
          </cell>
          <cell r="E8290" t="str">
            <v>DD</v>
          </cell>
          <cell r="F8290" t="str">
            <v>Wallace, 2016</v>
          </cell>
          <cell r="G8290" t="str">
            <v>NBNSYS0000008377</v>
          </cell>
          <cell r="H8290" t="str">
            <v>Orthotrichia angustella (McLachlan)</v>
          </cell>
        </row>
        <row r="8291">
          <cell r="A8291" t="str">
            <v>Orthotrichia tragetti Mosely</v>
          </cell>
          <cell r="B8291" t="str">
            <v>Caddisflies</v>
          </cell>
          <cell r="C8291" t="str">
            <v>Trichoptera</v>
          </cell>
          <cell r="D8291" t="str">
            <v>Orthotrichia tragetti</v>
          </cell>
          <cell r="E8291" t="str">
            <v>DD</v>
          </cell>
          <cell r="F8291" t="str">
            <v>Wallace, 2016</v>
          </cell>
          <cell r="G8291" t="str">
            <v>NBNSYS0000008379</v>
          </cell>
          <cell r="H8291" t="str">
            <v>Orthotrichia tragetti Mosely</v>
          </cell>
        </row>
        <row r="8292">
          <cell r="A8292" t="str">
            <v>Oxyethira distinctella McLachlan</v>
          </cell>
          <cell r="B8292" t="str">
            <v>Caddisflies</v>
          </cell>
          <cell r="C8292" t="str">
            <v>Trichoptera</v>
          </cell>
          <cell r="D8292" t="str">
            <v>Oxyethira distinctella</v>
          </cell>
          <cell r="E8292" t="str">
            <v>DD</v>
          </cell>
          <cell r="F8292" t="str">
            <v>Wallace, 2016</v>
          </cell>
          <cell r="G8292" t="str">
            <v>NBNSYS0000008366</v>
          </cell>
          <cell r="H8292" t="str">
            <v>Oxyethira distinctella McLachlan</v>
          </cell>
        </row>
        <row r="8293">
          <cell r="A8293" t="str">
            <v>Oxyethira sagittifera Risd</v>
          </cell>
          <cell r="B8293" t="str">
            <v>Caddisflies</v>
          </cell>
          <cell r="C8293" t="str">
            <v>Trichoptera</v>
          </cell>
          <cell r="D8293" t="str">
            <v>Oxyethira sagittifera</v>
          </cell>
          <cell r="E8293" t="str">
            <v>DD</v>
          </cell>
          <cell r="F8293" t="str">
            <v>Wallace, 2016</v>
          </cell>
          <cell r="G8293" t="str">
            <v>NBNSYS0000008371</v>
          </cell>
          <cell r="H8293" t="str">
            <v>Oxyethira sagittifera Risd</v>
          </cell>
        </row>
        <row r="8294">
          <cell r="A8294" t="str">
            <v>Oxyethira tristella Klapalek</v>
          </cell>
          <cell r="B8294" t="str">
            <v>Caddisflies</v>
          </cell>
          <cell r="C8294" t="str">
            <v>Trichoptera</v>
          </cell>
          <cell r="D8294" t="str">
            <v>Oxyethira tristella</v>
          </cell>
          <cell r="E8294" t="str">
            <v>DD</v>
          </cell>
          <cell r="F8294" t="str">
            <v>Wallace, 2016</v>
          </cell>
          <cell r="G8294" t="str">
            <v>NBNSYS0000008373</v>
          </cell>
          <cell r="H8294" t="str">
            <v>Oxyethira tristella Klapalek</v>
          </cell>
        </row>
        <row r="8295">
          <cell r="A8295" t="str">
            <v>Potamophylax rotundipennis (Brauer)</v>
          </cell>
          <cell r="B8295" t="str">
            <v>Caddisflies</v>
          </cell>
          <cell r="C8295" t="str">
            <v>Trichoptera</v>
          </cell>
          <cell r="D8295" t="str">
            <v>Potamophylax rotundipennis</v>
          </cell>
          <cell r="E8295" t="str">
            <v>DD</v>
          </cell>
          <cell r="F8295" t="str">
            <v>Wallace, 2016</v>
          </cell>
          <cell r="G8295" t="str">
            <v>NBNSYS0000008458</v>
          </cell>
          <cell r="H8295" t="str">
            <v>Potamophylax rotundipennis (Brauer)</v>
          </cell>
        </row>
        <row r="8296">
          <cell r="A8296" t="str">
            <v>Psychomyia fragilis (Pictet)</v>
          </cell>
          <cell r="B8296" t="str">
            <v>Caddisflies</v>
          </cell>
          <cell r="C8296" t="str">
            <v>Trichoptera</v>
          </cell>
          <cell r="D8296" t="str">
            <v>Psychomyia fragilis</v>
          </cell>
          <cell r="E8296" t="str">
            <v>DD</v>
          </cell>
          <cell r="F8296" t="str">
            <v>Wallace, 2016</v>
          </cell>
          <cell r="G8296" t="str">
            <v>NHMSYS0020547806</v>
          </cell>
          <cell r="H8296" t="str">
            <v>Psychomyia fragilis (Pictet)</v>
          </cell>
        </row>
        <row r="8297">
          <cell r="A8297" t="str">
            <v>Synagapetus dubitans McLachlan</v>
          </cell>
          <cell r="B8297" t="str">
            <v>Caddisflies</v>
          </cell>
          <cell r="C8297" t="str">
            <v>Trichoptera</v>
          </cell>
          <cell r="D8297" t="str">
            <v>Synagapetus dubitans</v>
          </cell>
          <cell r="E8297" t="str">
            <v>DD</v>
          </cell>
          <cell r="F8297" t="str">
            <v>Wallace, 2016</v>
          </cell>
          <cell r="G8297" t="str">
            <v>NHMSYS0021008770</v>
          </cell>
          <cell r="H8297" t="str">
            <v>Synagapetus dubitans McLachlan</v>
          </cell>
        </row>
        <row r="8298">
          <cell r="A8298" t="str">
            <v>Triaenodes ochreellus McLachlan 1877</v>
          </cell>
          <cell r="B8298" t="str">
            <v>Caddisflies</v>
          </cell>
          <cell r="C8298" t="str">
            <v>Trichoptera</v>
          </cell>
          <cell r="D8298" t="str">
            <v>Triaenodes ochreellus</v>
          </cell>
          <cell r="E8298" t="str">
            <v>DD</v>
          </cell>
          <cell r="F8298" t="str">
            <v>Wallace, 2016</v>
          </cell>
          <cell r="G8298" t="str">
            <v>NHMSYS0021160270</v>
          </cell>
          <cell r="H8298" t="str">
            <v>Triaenodes ochreellus McLachlan 1877</v>
          </cell>
        </row>
        <row r="8299">
          <cell r="A8299" t="str">
            <v>Wormaldia mediana McLachlan</v>
          </cell>
          <cell r="B8299" t="str">
            <v>Caddisflies</v>
          </cell>
          <cell r="C8299" t="str">
            <v>Trichoptera</v>
          </cell>
          <cell r="D8299" t="str">
            <v>Wormaldia mediana</v>
          </cell>
          <cell r="E8299" t="str">
            <v>DD</v>
          </cell>
          <cell r="F8299" t="str">
            <v>Wallace, 2016</v>
          </cell>
          <cell r="G8299" t="str">
            <v>NBNSYS0000008381</v>
          </cell>
          <cell r="H8299" t="str">
            <v>Wormaldia mediana McLachlan</v>
          </cell>
        </row>
        <row r="8300">
          <cell r="A8300" t="str">
            <v>Hololepta plana</v>
          </cell>
          <cell r="B8300" t="str">
            <v>Clown and False-clown beetles</v>
          </cell>
          <cell r="C8300" t="str">
            <v>Coleoptera</v>
          </cell>
          <cell r="D8300" t="str">
            <v>Hololepta plana</v>
          </cell>
          <cell r="E8300" t="str">
            <v>DD</v>
          </cell>
          <cell r="F8300" t="str">
            <v>Lane, 2017</v>
          </cell>
          <cell r="G8300" t="str">
            <v>NHMSYS0021179452</v>
          </cell>
          <cell r="H8300" t="str">
            <v>Hololepta plana</v>
          </cell>
        </row>
        <row r="8301">
          <cell r="A8301" t="str">
            <v>Hypocaccus crassipes (Erichson)</v>
          </cell>
          <cell r="B8301" t="str">
            <v>Clown and False-clown beetles</v>
          </cell>
          <cell r="C8301" t="str">
            <v>Coleoptera</v>
          </cell>
          <cell r="D8301" t="str">
            <v>Hypocaccus crassipes</v>
          </cell>
          <cell r="E8301" t="str">
            <v>DD</v>
          </cell>
          <cell r="F8301" t="str">
            <v>Lane, 2017</v>
          </cell>
          <cell r="G8301" t="str">
            <v>NHMSYS0020919986</v>
          </cell>
          <cell r="H8301" t="str">
            <v>Hypocaccus crassipes (Erichson)</v>
          </cell>
        </row>
        <row r="8302">
          <cell r="A8302" t="str">
            <v>Platysoma elongatum (Thunberg)</v>
          </cell>
          <cell r="B8302" t="str">
            <v>Clown and False-clown beetles</v>
          </cell>
          <cell r="C8302" t="str">
            <v>Coleoptera</v>
          </cell>
          <cell r="D8302" t="str">
            <v>Platysoma elongatum</v>
          </cell>
          <cell r="E8302" t="str">
            <v>DD</v>
          </cell>
          <cell r="F8302" t="str">
            <v>Lane, 2017</v>
          </cell>
          <cell r="G8302" t="str">
            <v>NHMSYS0021179464</v>
          </cell>
          <cell r="H8302" t="str">
            <v>Platysoma elongatum (Thunberg)</v>
          </cell>
        </row>
        <row r="8303">
          <cell r="A8303" t="str">
            <v>Mordellistena brevicauda</v>
          </cell>
          <cell r="B8303" t="str">
            <v>Darkling beetles and allies</v>
          </cell>
          <cell r="C8303" t="str">
            <v>Coleoptera</v>
          </cell>
          <cell r="D8303" t="str">
            <v>Mordellistena brevicauda</v>
          </cell>
          <cell r="E8303" t="str">
            <v>DD</v>
          </cell>
          <cell r="F8303" t="str">
            <v>Alexander et al., 2014</v>
          </cell>
          <cell r="G8303" t="str">
            <v>NBNSYS0000024923</v>
          </cell>
          <cell r="H8303" t="str">
            <v>Mordellistena brevicauda</v>
          </cell>
        </row>
        <row r="8304">
          <cell r="A8304" t="str">
            <v>Mordellistena pygmaeola</v>
          </cell>
          <cell r="B8304" t="str">
            <v>Darkling beetles and allies</v>
          </cell>
          <cell r="C8304" t="str">
            <v>Coleoptera</v>
          </cell>
          <cell r="D8304" t="str">
            <v>Mordellistena pygmaeola</v>
          </cell>
          <cell r="E8304" t="str">
            <v>DD</v>
          </cell>
          <cell r="F8304" t="str">
            <v>Alexander et al., 2014</v>
          </cell>
          <cell r="G8304" t="str">
            <v>NHMSYS0020919997</v>
          </cell>
          <cell r="H8304" t="str">
            <v>Mordellistena pygmaeola</v>
          </cell>
        </row>
        <row r="8305">
          <cell r="A8305" t="str">
            <v>Mordellistena secreta</v>
          </cell>
          <cell r="B8305" t="str">
            <v>Darkling beetles and allies</v>
          </cell>
          <cell r="C8305" t="str">
            <v>Coleoptera</v>
          </cell>
          <cell r="D8305" t="str">
            <v>Mordellistena secreta</v>
          </cell>
          <cell r="E8305" t="str">
            <v>DD</v>
          </cell>
          <cell r="F8305" t="str">
            <v>Alexander et al., 2014</v>
          </cell>
          <cell r="G8305" t="str">
            <v>NHMSYS0020919998</v>
          </cell>
          <cell r="H8305" t="str">
            <v>Mordellistena secreta</v>
          </cell>
        </row>
        <row r="8306">
          <cell r="A8306" t="str">
            <v>Rabocerus foveolatus</v>
          </cell>
          <cell r="B8306" t="str">
            <v>Darkling beetles and allies</v>
          </cell>
          <cell r="C8306" t="str">
            <v>Coleoptera</v>
          </cell>
          <cell r="D8306" t="str">
            <v>Rabocerus foveolatus</v>
          </cell>
          <cell r="E8306" t="str">
            <v>DD</v>
          </cell>
          <cell r="F8306" t="str">
            <v>Alexander et al., 2014</v>
          </cell>
          <cell r="G8306" t="str">
            <v>NBNSYS0000024870</v>
          </cell>
          <cell r="H8306" t="str">
            <v>Rabocerus foveolatus</v>
          </cell>
        </row>
        <row r="8307">
          <cell r="A8307" t="str">
            <v>Sphaeriestes ater</v>
          </cell>
          <cell r="B8307" t="str">
            <v>Darkling beetles and allies</v>
          </cell>
          <cell r="C8307" t="str">
            <v>Coleoptera</v>
          </cell>
          <cell r="D8307" t="str">
            <v>Sphaeriestes ater</v>
          </cell>
          <cell r="E8307" t="str">
            <v>DD</v>
          </cell>
          <cell r="F8307" t="str">
            <v>Alexander et al., 2014</v>
          </cell>
          <cell r="G8307" t="str">
            <v>NHMSYS0020153482</v>
          </cell>
          <cell r="H8307" t="str">
            <v>Sphaeriestes ater</v>
          </cell>
        </row>
        <row r="8308">
          <cell r="A8308" t="str">
            <v>Sphaeriestes reyi</v>
          </cell>
          <cell r="B8308" t="str">
            <v>Darkling beetles and allies</v>
          </cell>
          <cell r="C8308" t="str">
            <v>Coleoptera</v>
          </cell>
          <cell r="D8308" t="str">
            <v>Sphaeriestes reyi</v>
          </cell>
          <cell r="E8308" t="str">
            <v>DD</v>
          </cell>
          <cell r="F8308" t="str">
            <v>Alexander et al., 2014</v>
          </cell>
          <cell r="G8308" t="str">
            <v>NHMSYS0020153481</v>
          </cell>
          <cell r="H8308" t="str">
            <v>Sphaeriestes reyi</v>
          </cell>
        </row>
        <row r="8309">
          <cell r="A8309" t="str">
            <v>Brachinus sclopeta</v>
          </cell>
          <cell r="B8309" t="str">
            <v>Ground beetles</v>
          </cell>
          <cell r="C8309" t="str">
            <v>Coleoptera</v>
          </cell>
          <cell r="D8309" t="str">
            <v>Brachinus sclopeta</v>
          </cell>
          <cell r="E8309" t="str">
            <v>DD</v>
          </cell>
          <cell r="F8309" t="str">
            <v>Telfer, 2016</v>
          </cell>
          <cell r="G8309" t="str">
            <v>NBNSYS0000007490</v>
          </cell>
          <cell r="H8309" t="str">
            <v>Brachinus sclopeta</v>
          </cell>
        </row>
        <row r="8310">
          <cell r="A8310" t="str">
            <v>Calosoma sycophanta</v>
          </cell>
          <cell r="B8310" t="str">
            <v>Ground beetles</v>
          </cell>
          <cell r="C8310" t="str">
            <v>Coleoptera</v>
          </cell>
          <cell r="D8310" t="str">
            <v>Calosoma sycophanta</v>
          </cell>
          <cell r="E8310" t="str">
            <v>DD</v>
          </cell>
          <cell r="F8310" t="str">
            <v>Telfer, 2016</v>
          </cell>
          <cell r="G8310" t="str">
            <v>NBNSYS0000007144</v>
          </cell>
          <cell r="H8310" t="str">
            <v>Calosoma sycophanta</v>
          </cell>
        </row>
        <row r="8311">
          <cell r="A8311" t="str">
            <v>Cheilosia psilophthalma</v>
          </cell>
          <cell r="B8311" t="str">
            <v>Hoverflies</v>
          </cell>
          <cell r="C8311" t="str">
            <v>Diptera</v>
          </cell>
          <cell r="D8311" t="str">
            <v>Cheilosia psilophthalma</v>
          </cell>
          <cell r="E8311" t="str">
            <v>DD</v>
          </cell>
          <cell r="F8311" t="str">
            <v>Ball &amp; Morris, 2014</v>
          </cell>
          <cell r="G8311" t="str">
            <v>NBNSYS0000042524</v>
          </cell>
          <cell r="H8311" t="str">
            <v>Cheilosia psilophthalma</v>
          </cell>
        </row>
        <row r="8312">
          <cell r="A8312" t="str">
            <v>Cheilosia uviformis</v>
          </cell>
          <cell r="B8312" t="str">
            <v>Hoverflies</v>
          </cell>
          <cell r="C8312" t="str">
            <v>Diptera</v>
          </cell>
          <cell r="D8312" t="str">
            <v>Cheilosia uviformis</v>
          </cell>
          <cell r="E8312" t="str">
            <v>DD</v>
          </cell>
          <cell r="F8312" t="str">
            <v>Ball &amp; Morris, 2014</v>
          </cell>
          <cell r="G8312" t="str">
            <v>NBNSYS0000033081</v>
          </cell>
          <cell r="H8312" t="str">
            <v>Cheilosia uviformis</v>
          </cell>
        </row>
        <row r="8313">
          <cell r="A8313" t="str">
            <v>Heringia verrucula</v>
          </cell>
          <cell r="B8313" t="str">
            <v>Hoverflies</v>
          </cell>
          <cell r="C8313" t="str">
            <v>Diptera</v>
          </cell>
          <cell r="D8313" t="str">
            <v>Heringia verrucula</v>
          </cell>
          <cell r="E8313" t="str">
            <v>DD</v>
          </cell>
          <cell r="F8313" t="str">
            <v>Ball &amp; Morris, 2014</v>
          </cell>
          <cell r="G8313" t="str">
            <v>NBNSYS0100003451</v>
          </cell>
          <cell r="H8313" t="str">
            <v>Heringia verrucula</v>
          </cell>
        </row>
        <row r="8314">
          <cell r="A8314" t="str">
            <v>Orthonevra intermedia</v>
          </cell>
          <cell r="B8314" t="str">
            <v>Hoverflies</v>
          </cell>
          <cell r="C8314" t="str">
            <v>Diptera</v>
          </cell>
          <cell r="D8314" t="str">
            <v>Orthonevra intermedia</v>
          </cell>
          <cell r="E8314" t="str">
            <v>DD</v>
          </cell>
          <cell r="F8314" t="str">
            <v>Ball &amp; Morris, 2014</v>
          </cell>
          <cell r="G8314" t="str">
            <v>NHMSYS0020978350</v>
          </cell>
          <cell r="H8314" t="str">
            <v>Orthonevra intermedia</v>
          </cell>
        </row>
        <row r="8315">
          <cell r="A8315" t="str">
            <v>Sphaerophoria bankowskae</v>
          </cell>
          <cell r="B8315" t="str">
            <v>Hoverflies</v>
          </cell>
          <cell r="C8315" t="str">
            <v>Diptera</v>
          </cell>
          <cell r="D8315" t="str">
            <v>Sphaerophoria bankowskae</v>
          </cell>
          <cell r="E8315" t="str">
            <v>DD</v>
          </cell>
          <cell r="F8315" t="str">
            <v>Ball &amp; Morris, 2014</v>
          </cell>
          <cell r="G8315" t="str">
            <v>NBNSYS0000033254</v>
          </cell>
          <cell r="H8315" t="str">
            <v>Sphaerophoria bankowskae</v>
          </cell>
        </row>
        <row r="8316">
          <cell r="A8316" t="str">
            <v>Agelastica alni</v>
          </cell>
          <cell r="B8316" t="str">
            <v>Leaf beetles and allies</v>
          </cell>
          <cell r="C8316" t="str">
            <v>Coleoptera</v>
          </cell>
          <cell r="D8316" t="str">
            <v>Agelastica alni</v>
          </cell>
          <cell r="E8316" t="str">
            <v>DD</v>
          </cell>
          <cell r="F8316" t="str">
            <v>Hubble, 2014</v>
          </cell>
          <cell r="G8316" t="str">
            <v>NBNSYS0000011206</v>
          </cell>
          <cell r="H8316" t="str">
            <v>Agelastica alni</v>
          </cell>
        </row>
        <row r="8317">
          <cell r="A8317" t="str">
            <v>Aphthona pallida</v>
          </cell>
          <cell r="B8317" t="str">
            <v>Leaf beetles and allies</v>
          </cell>
          <cell r="C8317" t="str">
            <v>Coleoptera</v>
          </cell>
          <cell r="D8317" t="str">
            <v>Aphthona pallida</v>
          </cell>
          <cell r="E8317" t="str">
            <v>DD</v>
          </cell>
          <cell r="F8317" t="str">
            <v>Hubble, 2014</v>
          </cell>
          <cell r="G8317" t="str">
            <v>NBNSYS0000011229</v>
          </cell>
          <cell r="H8317" t="str">
            <v>Aphthona pallida</v>
          </cell>
        </row>
        <row r="8318">
          <cell r="A8318" t="str">
            <v>Cassida sanguinosa</v>
          </cell>
          <cell r="B8318" t="str">
            <v>Leaf beetles and allies</v>
          </cell>
          <cell r="C8318" t="str">
            <v>Coleoptera</v>
          </cell>
          <cell r="D8318" t="str">
            <v>Cassida sanguinosa</v>
          </cell>
          <cell r="E8318" t="str">
            <v>DD</v>
          </cell>
          <cell r="F8318" t="str">
            <v>Hubble, 2014</v>
          </cell>
          <cell r="G8318" t="str">
            <v>NBNSYS0000011341</v>
          </cell>
          <cell r="H8318" t="str">
            <v>Cassida sanguinosa</v>
          </cell>
        </row>
        <row r="8319">
          <cell r="A8319" t="str">
            <v>Longitarsus minusculus</v>
          </cell>
          <cell r="B8319" t="str">
            <v>Leaf beetles and allies</v>
          </cell>
          <cell r="C8319" t="str">
            <v>Coleoptera</v>
          </cell>
          <cell r="D8319" t="str">
            <v>Longitarsus minusculus</v>
          </cell>
          <cell r="E8319" t="str">
            <v>DD</v>
          </cell>
          <cell r="F8319" t="str">
            <v>Hubble, 2014</v>
          </cell>
          <cell r="G8319" t="str">
            <v>NHMSYS0021125682</v>
          </cell>
          <cell r="H8319" t="str">
            <v>Longitarsus minusculus</v>
          </cell>
        </row>
        <row r="8320">
          <cell r="A8320" t="str">
            <v>Longitarsus obliteratoides</v>
          </cell>
          <cell r="B8320" t="str">
            <v>Leaf beetles and allies</v>
          </cell>
          <cell r="C8320" t="str">
            <v>Coleoptera</v>
          </cell>
          <cell r="D8320" t="str">
            <v>Longitarsus obliteratoides</v>
          </cell>
          <cell r="E8320" t="str">
            <v>DD</v>
          </cell>
          <cell r="F8320" t="str">
            <v>Hubble, 2014</v>
          </cell>
          <cell r="G8320" t="str">
            <v>NHMSYS0020152482</v>
          </cell>
          <cell r="H8320" t="str">
            <v>Longitarsus obliteratoides</v>
          </cell>
        </row>
        <row r="8321">
          <cell r="A8321" t="str">
            <v>Longitarsus symphyti</v>
          </cell>
          <cell r="B8321" t="str">
            <v>Leaf beetles and allies</v>
          </cell>
          <cell r="C8321" t="str">
            <v>Coleoptera</v>
          </cell>
          <cell r="D8321" t="str">
            <v>Longitarsus symphyti</v>
          </cell>
          <cell r="E8321" t="str">
            <v>DD</v>
          </cell>
          <cell r="F8321" t="str">
            <v>Hubble, 2014</v>
          </cell>
          <cell r="G8321" t="str">
            <v>NHMSYS0021125676</v>
          </cell>
          <cell r="H8321" t="str">
            <v>Longitarsus symphyti</v>
          </cell>
        </row>
        <row r="8322">
          <cell r="A8322" t="str">
            <v>Smaragdina salicina</v>
          </cell>
          <cell r="B8322" t="str">
            <v>Leaf beetles and allies</v>
          </cell>
          <cell r="C8322" t="str">
            <v>Coleoptera</v>
          </cell>
          <cell r="D8322" t="str">
            <v>Smaragdina salicina</v>
          </cell>
          <cell r="E8322" t="str">
            <v>DD</v>
          </cell>
          <cell r="F8322" t="str">
            <v>Hubble, 2014</v>
          </cell>
          <cell r="G8322" t="str">
            <v>NHMSYS0021125718</v>
          </cell>
          <cell r="H8322" t="str">
            <v>Smaragdina salicina</v>
          </cell>
        </row>
        <row r="8323">
          <cell r="A8323" t="str">
            <v>Acarospora anomala</v>
          </cell>
          <cell r="B8323" t="str">
            <v>Lichens</v>
          </cell>
          <cell r="C8323" t="str">
            <v>Mycophycophyta</v>
          </cell>
          <cell r="D8323" t="str">
            <v>Acarospora anomala</v>
          </cell>
          <cell r="E8323" t="str">
            <v>DD</v>
          </cell>
          <cell r="F8323" t="str">
            <v>Woods &amp; Coppins, 2012</v>
          </cell>
          <cell r="G8323" t="str">
            <v>BMSSYS0000000050</v>
          </cell>
          <cell r="H8323" t="str">
            <v>Acarospora anomala</v>
          </cell>
        </row>
        <row r="8324">
          <cell r="A8324" t="str">
            <v>Acarospora durietzii</v>
          </cell>
          <cell r="B8324" t="str">
            <v>Lichens</v>
          </cell>
          <cell r="C8324" t="str">
            <v>Mycophycophyta</v>
          </cell>
          <cell r="D8324" t="str">
            <v>Acarospora durietzii</v>
          </cell>
          <cell r="E8324" t="str">
            <v>DD</v>
          </cell>
          <cell r="F8324" t="str">
            <v>Woods &amp; Coppins, 2012</v>
          </cell>
          <cell r="G8324" t="str">
            <v>NBNSYS0000041599</v>
          </cell>
          <cell r="H8324" t="str">
            <v>Acarospora durietzii</v>
          </cell>
        </row>
        <row r="8325">
          <cell r="A8325" t="str">
            <v>Acarospora scabrida</v>
          </cell>
          <cell r="B8325" t="str">
            <v>Lichens</v>
          </cell>
          <cell r="C8325" t="str">
            <v>Mycophycophyta</v>
          </cell>
          <cell r="D8325" t="str">
            <v>Acarospora scabrida</v>
          </cell>
          <cell r="E8325" t="str">
            <v>DD</v>
          </cell>
          <cell r="F8325" t="str">
            <v>Woods &amp; Coppins, 2012</v>
          </cell>
        </row>
        <row r="8325">
          <cell r="H8325" t="str">
            <v>Acarospora scabrida</v>
          </cell>
        </row>
        <row r="8326">
          <cell r="A8326" t="str">
            <v>Acrocordia cavata</v>
          </cell>
          <cell r="B8326" t="str">
            <v>Lichens</v>
          </cell>
          <cell r="C8326" t="str">
            <v>Mycophycophyta</v>
          </cell>
          <cell r="D8326" t="str">
            <v>Acrocordia cavata</v>
          </cell>
          <cell r="E8326" t="str">
            <v>DD</v>
          </cell>
          <cell r="F8326" t="str">
            <v>Woods &amp; Coppins, 2012</v>
          </cell>
          <cell r="G8326" t="str">
            <v>NBNSYS0000019873</v>
          </cell>
          <cell r="H8326" t="str">
            <v>Acrocordia cavata</v>
          </cell>
        </row>
        <row r="8327">
          <cell r="A8327" t="str">
            <v>Agonimia opuntiella</v>
          </cell>
          <cell r="B8327" t="str">
            <v>Lichens</v>
          </cell>
          <cell r="C8327" t="str">
            <v>Mycophycophyta</v>
          </cell>
          <cell r="D8327" t="str">
            <v>Agonimia opuntiella</v>
          </cell>
          <cell r="E8327" t="str">
            <v>DD</v>
          </cell>
          <cell r="F8327" t="str">
            <v>Woods &amp; Coppins, 2012</v>
          </cell>
          <cell r="G8327" t="str">
            <v>NHMSYS0020038989</v>
          </cell>
          <cell r="H8327" t="str">
            <v>Agonimia opuntiella</v>
          </cell>
        </row>
        <row r="8328">
          <cell r="A8328" t="str">
            <v>Agonimia repleta</v>
          </cell>
          <cell r="B8328" t="str">
            <v>Lichens</v>
          </cell>
          <cell r="C8328" t="str">
            <v>Mycophycophyta</v>
          </cell>
          <cell r="D8328" t="str">
            <v>Agonimia repleta</v>
          </cell>
          <cell r="E8328" t="str">
            <v>DD</v>
          </cell>
          <cell r="F8328" t="str">
            <v>Woods &amp; Coppins, 2012</v>
          </cell>
          <cell r="G8328" t="str">
            <v>BMSSYS0000001192</v>
          </cell>
          <cell r="H8328" t="str">
            <v>Agonimia repleta</v>
          </cell>
        </row>
        <row r="8329">
          <cell r="A8329" t="str">
            <v>Arthonia diploiciae</v>
          </cell>
          <cell r="B8329" t="str">
            <v>Lichens</v>
          </cell>
          <cell r="C8329" t="str">
            <v>Mycophycophyta</v>
          </cell>
          <cell r="D8329" t="str">
            <v>Arthonia diploiciae</v>
          </cell>
          <cell r="E8329" t="str">
            <v>DD</v>
          </cell>
          <cell r="F8329" t="str">
            <v>Woods &amp; Coppins, 2012</v>
          </cell>
          <cell r="G8329" t="str">
            <v>BMSSYS0000001651</v>
          </cell>
          <cell r="H8329" t="str">
            <v>Arthonia diploiciae</v>
          </cell>
        </row>
        <row r="8330">
          <cell r="A8330" t="str">
            <v>Arthonia stereocaulina</v>
          </cell>
          <cell r="B8330" t="str">
            <v>Lichens</v>
          </cell>
          <cell r="C8330" t="str">
            <v>Mycophycophyta</v>
          </cell>
          <cell r="D8330" t="str">
            <v>Arthonia stereocaulina</v>
          </cell>
          <cell r="E8330" t="str">
            <v>DD</v>
          </cell>
          <cell r="F8330" t="str">
            <v>Woods &amp; Coppins, 2012</v>
          </cell>
          <cell r="G8330" t="str">
            <v>NHMSYS0001474972</v>
          </cell>
          <cell r="H8330" t="str">
            <v>Arthonia stereocaulina</v>
          </cell>
        </row>
        <row r="8331">
          <cell r="A8331" t="str">
            <v>Arthopyrenia platypyrenia</v>
          </cell>
          <cell r="B8331" t="str">
            <v>Lichens</v>
          </cell>
          <cell r="C8331" t="str">
            <v>Mycophycophyta</v>
          </cell>
          <cell r="D8331" t="str">
            <v>Arthopyrenia platypyrenia</v>
          </cell>
          <cell r="E8331" t="str">
            <v>DD</v>
          </cell>
          <cell r="F8331" t="str">
            <v>Woods &amp; Coppins, 2012</v>
          </cell>
          <cell r="G8331" t="str">
            <v>NBNSYS0000015909</v>
          </cell>
          <cell r="H8331" t="str">
            <v>Arthopyrenia platypyrenia</v>
          </cell>
        </row>
        <row r="8332">
          <cell r="A8332" t="str">
            <v>Aspicilia aquatica</v>
          </cell>
          <cell r="B8332" t="str">
            <v>Lichens</v>
          </cell>
          <cell r="C8332" t="str">
            <v>Mycophycophyta</v>
          </cell>
          <cell r="D8332" t="str">
            <v>Aspicilia aquatica</v>
          </cell>
          <cell r="E8332" t="str">
            <v>DD</v>
          </cell>
          <cell r="F8332" t="str">
            <v>Woods &amp; Coppins, 2012</v>
          </cell>
          <cell r="G8332" t="str">
            <v>NHMSYS0020535057</v>
          </cell>
          <cell r="H8332" t="str">
            <v>Aspicilia aquatica</v>
          </cell>
        </row>
        <row r="8333">
          <cell r="A8333" t="str">
            <v>Aspicilia recedens</v>
          </cell>
          <cell r="B8333" t="str">
            <v>Lichens</v>
          </cell>
          <cell r="C8333" t="str">
            <v>Mycophycophyta</v>
          </cell>
          <cell r="D8333" t="str">
            <v>Aspicilia recedens</v>
          </cell>
          <cell r="E8333" t="str">
            <v>DD</v>
          </cell>
          <cell r="F8333" t="str">
            <v>Woods &amp; Coppins, 2012</v>
          </cell>
          <cell r="G8333" t="str">
            <v>NBNSYS0000018202</v>
          </cell>
          <cell r="H8333" t="str">
            <v>Aspicilia recedens</v>
          </cell>
        </row>
        <row r="8334">
          <cell r="A8334" t="str">
            <v>Bacidia assulata</v>
          </cell>
          <cell r="B8334" t="str">
            <v>Lichens</v>
          </cell>
          <cell r="C8334" t="str">
            <v>Mycophycophyta</v>
          </cell>
          <cell r="D8334" t="str">
            <v>Bacidia assulata</v>
          </cell>
          <cell r="E8334" t="str">
            <v>DD</v>
          </cell>
          <cell r="F8334" t="str">
            <v>Woods &amp; Coppins, 2012</v>
          </cell>
          <cell r="G8334" t="str">
            <v>NHMSYS0000361533</v>
          </cell>
          <cell r="H8334" t="str">
            <v>Bacidia assulata</v>
          </cell>
        </row>
        <row r="8335">
          <cell r="A8335" t="str">
            <v>Bacidia auerswaldii</v>
          </cell>
          <cell r="B8335" t="str">
            <v>Lichens</v>
          </cell>
          <cell r="C8335" t="str">
            <v>Mycophycophyta</v>
          </cell>
          <cell r="D8335" t="str">
            <v>Bacidia auerswaldii</v>
          </cell>
          <cell r="E8335" t="str">
            <v>DD</v>
          </cell>
          <cell r="F8335" t="str">
            <v>Woods &amp; Coppins, 2012</v>
          </cell>
          <cell r="G8335" t="str">
            <v>NBNSYS0000018211</v>
          </cell>
          <cell r="H8335" t="str">
            <v>Bacidia auerswaldii</v>
          </cell>
        </row>
        <row r="8336">
          <cell r="A8336" t="str">
            <v>Bacidia herbarum</v>
          </cell>
          <cell r="B8336" t="str">
            <v>Lichens</v>
          </cell>
          <cell r="C8336" t="str">
            <v>Mycophycophyta</v>
          </cell>
          <cell r="D8336" t="str">
            <v>Bacidia herbarum</v>
          </cell>
          <cell r="E8336" t="str">
            <v>DD</v>
          </cell>
          <cell r="F8336" t="str">
            <v>Woods &amp; Coppins, 2012</v>
          </cell>
          <cell r="G8336" t="str">
            <v>NBNSYS0000039580</v>
          </cell>
          <cell r="H8336" t="str">
            <v>Bacidia herbarum</v>
          </cell>
        </row>
        <row r="8337">
          <cell r="A8337" t="str">
            <v>Baeomyces carneus</v>
          </cell>
          <cell r="B8337" t="str">
            <v>Lichens</v>
          </cell>
          <cell r="C8337" t="str">
            <v>Mycophycophyta</v>
          </cell>
          <cell r="D8337" t="str">
            <v>Baeomyces carneus</v>
          </cell>
          <cell r="E8337" t="str">
            <v>DD</v>
          </cell>
          <cell r="F8337" t="str">
            <v>Woods &amp; Coppins, 2012</v>
          </cell>
          <cell r="G8337" t="str">
            <v>BMSSYS0000002248</v>
          </cell>
          <cell r="H8337" t="str">
            <v>Baeomyces carneus</v>
          </cell>
        </row>
        <row r="8338">
          <cell r="A8338" t="str">
            <v>Belonia calcicola</v>
          </cell>
          <cell r="B8338" t="str">
            <v>Lichens</v>
          </cell>
          <cell r="C8338" t="str">
            <v>Mycophycophyta</v>
          </cell>
          <cell r="D8338" t="str">
            <v>Belonia calcicola</v>
          </cell>
          <cell r="E8338" t="str">
            <v>DD</v>
          </cell>
          <cell r="F8338" t="str">
            <v>Woods &amp; Coppins, 2012</v>
          </cell>
          <cell r="G8338" t="str">
            <v>NBNSYS0000016957</v>
          </cell>
          <cell r="H8338" t="str">
            <v>Belonia calcicola</v>
          </cell>
        </row>
        <row r="8339">
          <cell r="A8339" t="str">
            <v>Buellia arborea</v>
          </cell>
          <cell r="B8339" t="str">
            <v>Lichens</v>
          </cell>
          <cell r="C8339" t="str">
            <v>Mycophycophyta</v>
          </cell>
          <cell r="D8339" t="str">
            <v>Buellia arborea</v>
          </cell>
          <cell r="E8339" t="str">
            <v>DD</v>
          </cell>
          <cell r="F8339" t="str">
            <v>Woods &amp; Coppins, 2012</v>
          </cell>
          <cell r="G8339" t="str">
            <v>NHMSYS0001476307</v>
          </cell>
          <cell r="H8339" t="str">
            <v>Buellia arborea</v>
          </cell>
        </row>
        <row r="8340">
          <cell r="A8340" t="str">
            <v>Buellia spuria</v>
          </cell>
          <cell r="B8340" t="str">
            <v>Lichens</v>
          </cell>
          <cell r="C8340" t="str">
            <v>Mycophycophyta</v>
          </cell>
          <cell r="D8340" t="str">
            <v>Buellia spuria</v>
          </cell>
          <cell r="E8340" t="str">
            <v>DD</v>
          </cell>
          <cell r="F8340" t="str">
            <v>Woods &amp; Coppins, 2012</v>
          </cell>
          <cell r="G8340" t="str">
            <v>NHMSYS0001476340</v>
          </cell>
          <cell r="H8340" t="str">
            <v>Buellia spuria</v>
          </cell>
        </row>
        <row r="8341">
          <cell r="A8341" t="str">
            <v>Buellia uberior</v>
          </cell>
          <cell r="B8341" t="str">
            <v>Lichens</v>
          </cell>
          <cell r="C8341" t="str">
            <v>Mycophycophyta</v>
          </cell>
          <cell r="D8341" t="str">
            <v>Buellia uberior</v>
          </cell>
          <cell r="E8341" t="str">
            <v>DD</v>
          </cell>
          <cell r="F8341" t="str">
            <v>Woods &amp; Coppins, 2012</v>
          </cell>
          <cell r="G8341" t="str">
            <v>NBNSYS0000039589</v>
          </cell>
          <cell r="H8341" t="str">
            <v>Buellia uberior</v>
          </cell>
        </row>
        <row r="8342">
          <cell r="A8342" t="str">
            <v>Calicium abietinum</v>
          </cell>
          <cell r="B8342" t="str">
            <v>Lichens</v>
          </cell>
          <cell r="C8342" t="str">
            <v>Mycophycophyta</v>
          </cell>
          <cell r="D8342" t="str">
            <v>Calicium abietinum</v>
          </cell>
          <cell r="E8342" t="str">
            <v>DD</v>
          </cell>
          <cell r="F8342" t="str">
            <v>Woods &amp; Coppins, 2012</v>
          </cell>
          <cell r="G8342" t="str">
            <v>NBNSYS0000015533</v>
          </cell>
          <cell r="H8342" t="str">
            <v>Calicium abietinum</v>
          </cell>
        </row>
        <row r="8343">
          <cell r="A8343" t="str">
            <v>Calicium victorianum</v>
          </cell>
          <cell r="B8343" t="str">
            <v>Lichens</v>
          </cell>
          <cell r="C8343" t="str">
            <v>Mycophycophyta</v>
          </cell>
          <cell r="D8343" t="str">
            <v>Calicium victorianum</v>
          </cell>
          <cell r="E8343" t="str">
            <v>DD</v>
          </cell>
          <cell r="F8343" t="str">
            <v>Woods &amp; Coppins, 2012</v>
          </cell>
          <cell r="G8343" t="str">
            <v>NHMSYS0020327859</v>
          </cell>
          <cell r="H8343" t="str">
            <v>Calicium victorianum</v>
          </cell>
        </row>
        <row r="8344">
          <cell r="A8344" t="str">
            <v>Caloplaca chrysophthalma</v>
          </cell>
          <cell r="B8344" t="str">
            <v>Lichens</v>
          </cell>
          <cell r="C8344" t="str">
            <v>Mycophycophyta</v>
          </cell>
          <cell r="D8344" t="str">
            <v>Caloplaca chrysophthalma</v>
          </cell>
          <cell r="E8344" t="str">
            <v>DD</v>
          </cell>
          <cell r="F8344" t="str">
            <v>Woods &amp; Coppins, 2012</v>
          </cell>
          <cell r="G8344" t="str">
            <v>NBNSYS0000020523</v>
          </cell>
          <cell r="H8344" t="str">
            <v>Caloplaca chrysophthalma</v>
          </cell>
        </row>
        <row r="8345">
          <cell r="A8345" t="str">
            <v>Caloplaca coralliza</v>
          </cell>
          <cell r="B8345" t="str">
            <v>Lichens</v>
          </cell>
          <cell r="C8345" t="str">
            <v>Mycophycophyta</v>
          </cell>
          <cell r="D8345" t="str">
            <v>Caloplaca coralliza</v>
          </cell>
          <cell r="E8345" t="str">
            <v>DD</v>
          </cell>
          <cell r="F8345" t="str">
            <v>Woods &amp; Coppins, 2012</v>
          </cell>
          <cell r="G8345" t="str">
            <v>NHMSYS0020989889</v>
          </cell>
          <cell r="H8345" t="str">
            <v>Caloplaca coralliza</v>
          </cell>
        </row>
        <row r="8346">
          <cell r="A8346" t="str">
            <v>Caloplaca haematites</v>
          </cell>
          <cell r="B8346" t="str">
            <v>Lichens</v>
          </cell>
          <cell r="C8346" t="str">
            <v>Mycophycophyta</v>
          </cell>
          <cell r="D8346" t="str">
            <v>Caloplaca haematites</v>
          </cell>
          <cell r="E8346" t="str">
            <v>DD</v>
          </cell>
          <cell r="F8346" t="str">
            <v>Woods &amp; Coppins, 2012</v>
          </cell>
          <cell r="G8346" t="str">
            <v>NBNSYS0000020538</v>
          </cell>
          <cell r="H8346" t="str">
            <v>Caloplaca haematites</v>
          </cell>
        </row>
        <row r="8347">
          <cell r="A8347" t="str">
            <v>Caloplaca soralifera</v>
          </cell>
          <cell r="B8347" t="str">
            <v>Lichens</v>
          </cell>
          <cell r="C8347" t="str">
            <v>Mycophycophyta</v>
          </cell>
          <cell r="D8347" t="str">
            <v>Caloplaca soralifera</v>
          </cell>
          <cell r="E8347" t="str">
            <v>DD</v>
          </cell>
          <cell r="F8347" t="str">
            <v>Woods &amp; Coppins, 2012</v>
          </cell>
          <cell r="G8347" t="str">
            <v>NHMSYS0019999444</v>
          </cell>
          <cell r="H8347" t="str">
            <v>Caloplaca soralifera</v>
          </cell>
        </row>
        <row r="8348">
          <cell r="A8348" t="str">
            <v>Catillaria minuta</v>
          </cell>
          <cell r="B8348" t="str">
            <v>Lichens</v>
          </cell>
          <cell r="C8348" t="str">
            <v>Mycophycophyta</v>
          </cell>
          <cell r="D8348" t="str">
            <v>Catillaria minuta</v>
          </cell>
          <cell r="E8348" t="str">
            <v>DD</v>
          </cell>
          <cell r="F8348" t="str">
            <v>Woods &amp; Coppins, 2012</v>
          </cell>
          <cell r="G8348" t="str">
            <v>NHMSYS0001476932</v>
          </cell>
          <cell r="H8348" t="str">
            <v>Catillaria minuta</v>
          </cell>
        </row>
        <row r="8349">
          <cell r="A8349" t="str">
            <v>Chaenothecopsis rubescens</v>
          </cell>
          <cell r="B8349" t="str">
            <v>Lichens</v>
          </cell>
          <cell r="C8349" t="str">
            <v>Mycophycophyta</v>
          </cell>
          <cell r="D8349" t="str">
            <v>Chaenothecopsis rubescens</v>
          </cell>
          <cell r="E8349" t="str">
            <v>DD</v>
          </cell>
          <cell r="F8349" t="str">
            <v>Woods &amp; Coppins, 2012</v>
          </cell>
          <cell r="G8349" t="str">
            <v>BMSSYS0000003616</v>
          </cell>
          <cell r="H8349" t="str">
            <v>Chaenothecopsis rubescens</v>
          </cell>
        </row>
        <row r="8350">
          <cell r="A8350" t="str">
            <v>Cladonia arbuscula subsp. arbuscula</v>
          </cell>
          <cell r="B8350" t="str">
            <v>Lichens</v>
          </cell>
          <cell r="C8350" t="str">
            <v>Mycophycophyta</v>
          </cell>
          <cell r="D8350" t="str">
            <v>Cladonia arbuscula subsp. arbuscula</v>
          </cell>
          <cell r="E8350" t="str">
            <v>DD</v>
          </cell>
          <cell r="F8350" t="str">
            <v>Woods &amp; Coppins, 2012</v>
          </cell>
          <cell r="G8350" t="str">
            <v>NHMSYS0001477597</v>
          </cell>
          <cell r="H8350" t="str">
            <v>Cladonia arbuscula subsp. arbuscula</v>
          </cell>
        </row>
        <row r="8351">
          <cell r="A8351" t="str">
            <v>Cladonia borealis</v>
          </cell>
          <cell r="B8351" t="str">
            <v>Lichens</v>
          </cell>
          <cell r="C8351" t="str">
            <v>Mycophycophyta</v>
          </cell>
          <cell r="D8351" t="str">
            <v>Cladonia borealis</v>
          </cell>
          <cell r="E8351" t="str">
            <v>DD</v>
          </cell>
          <cell r="F8351" t="str">
            <v>Woods &amp; Coppins, 2012</v>
          </cell>
          <cell r="G8351" t="str">
            <v>BMSSYS0000003892</v>
          </cell>
          <cell r="H8351" t="str">
            <v>Cladonia borealis</v>
          </cell>
        </row>
        <row r="8352">
          <cell r="A8352" t="str">
            <v>Cladonia coccifera s. str.</v>
          </cell>
          <cell r="B8352" t="str">
            <v>Lichens</v>
          </cell>
          <cell r="C8352" t="str">
            <v>Mycophycophyta</v>
          </cell>
          <cell r="D8352" t="str">
            <v>Cladonia coccifera s. str.</v>
          </cell>
          <cell r="E8352" t="str">
            <v>DD</v>
          </cell>
          <cell r="F8352" t="str">
            <v>Woods &amp; Coppins, 2012</v>
          </cell>
          <cell r="G8352" t="str">
            <v>NHMSYS0020105993</v>
          </cell>
          <cell r="H8352" t="str">
            <v>Cladonia coccifera s. str.</v>
          </cell>
        </row>
        <row r="8353">
          <cell r="A8353" t="str">
            <v>Cladonia deformis</v>
          </cell>
          <cell r="B8353" t="str">
            <v>Lichens</v>
          </cell>
          <cell r="C8353" t="str">
            <v>Mycophycophyta</v>
          </cell>
          <cell r="D8353" t="str">
            <v>Cladonia deformis</v>
          </cell>
          <cell r="E8353" t="str">
            <v>DD</v>
          </cell>
          <cell r="F8353" t="str">
            <v>Woods &amp; Coppins, 2012</v>
          </cell>
          <cell r="G8353" t="str">
            <v>NBNSYS0000018367</v>
          </cell>
          <cell r="H8353" t="str">
            <v>Cladonia deformis</v>
          </cell>
        </row>
        <row r="8354">
          <cell r="A8354" t="str">
            <v>Cladonia norvegica</v>
          </cell>
          <cell r="B8354" t="str">
            <v>Lichens</v>
          </cell>
          <cell r="C8354" t="str">
            <v>Mycophycophyta</v>
          </cell>
          <cell r="D8354" t="str">
            <v>Cladonia norvegica</v>
          </cell>
          <cell r="E8354" t="str">
            <v>DD</v>
          </cell>
          <cell r="F8354" t="str">
            <v>Woods &amp; Coppins, 2012</v>
          </cell>
          <cell r="G8354" t="str">
            <v>NBNSYS0000039613</v>
          </cell>
          <cell r="H8354" t="str">
            <v>Cladonia norvegica</v>
          </cell>
        </row>
        <row r="8355">
          <cell r="A8355" t="str">
            <v>Cladonia pleurota</v>
          </cell>
          <cell r="B8355" t="str">
            <v>Lichens</v>
          </cell>
          <cell r="C8355" t="str">
            <v>Mycophycophyta</v>
          </cell>
          <cell r="D8355" t="str">
            <v>Cladonia pleurota</v>
          </cell>
          <cell r="E8355" t="str">
            <v>DD</v>
          </cell>
          <cell r="F8355" t="str">
            <v>Woods &amp; Coppins, 2012</v>
          </cell>
          <cell r="G8355" t="str">
            <v>NBNSYS0000018393</v>
          </cell>
          <cell r="H8355" t="str">
            <v>Cladonia pleurota</v>
          </cell>
        </row>
        <row r="8356">
          <cell r="A8356" t="str">
            <v>Cladonia polydactyla var. umbricola</v>
          </cell>
          <cell r="B8356" t="str">
            <v>Lichens</v>
          </cell>
          <cell r="C8356" t="str">
            <v>Mycophycophyta</v>
          </cell>
          <cell r="D8356" t="str">
            <v>Cladonia polydactyla var. umbricola</v>
          </cell>
          <cell r="E8356" t="str">
            <v>DD</v>
          </cell>
          <cell r="F8356" t="str">
            <v>Woods &amp; Coppins, 2012</v>
          </cell>
          <cell r="G8356" t="str">
            <v>BMSSYS0000003971</v>
          </cell>
          <cell r="H8356" t="str">
            <v>Cladonia polydactyla var. umbricola</v>
          </cell>
        </row>
        <row r="8357">
          <cell r="A8357" t="str">
            <v>Cladonia stereoclada</v>
          </cell>
          <cell r="B8357" t="str">
            <v>Lichens</v>
          </cell>
          <cell r="C8357" t="str">
            <v>Mycophycophyta</v>
          </cell>
          <cell r="D8357" t="str">
            <v>Cladonia stereoclada</v>
          </cell>
          <cell r="E8357" t="str">
            <v>DD</v>
          </cell>
          <cell r="F8357" t="str">
            <v>Woods &amp; Coppins, 2012</v>
          </cell>
          <cell r="G8357" t="str">
            <v>NHMSYS0001477676</v>
          </cell>
          <cell r="H8357" t="str">
            <v>Cladonia stereoclada</v>
          </cell>
        </row>
        <row r="8358">
          <cell r="A8358" t="str">
            <v>Clauzadea chondrodes</v>
          </cell>
          <cell r="B8358" t="str">
            <v>Lichens</v>
          </cell>
          <cell r="C8358" t="str">
            <v>Mycophycophyta</v>
          </cell>
          <cell r="D8358" t="str">
            <v>Clauzadea chondrodes</v>
          </cell>
          <cell r="E8358" t="str">
            <v>DD</v>
          </cell>
          <cell r="F8358" t="str">
            <v>Woods &amp; Coppins, 2012</v>
          </cell>
          <cell r="G8358" t="str">
            <v>BMSSYS0000043829</v>
          </cell>
          <cell r="H8358" t="str">
            <v>Clauzadea chondrodes</v>
          </cell>
        </row>
        <row r="8359">
          <cell r="A8359" t="str">
            <v>Collema callopismum var. callopismum</v>
          </cell>
          <cell r="B8359" t="str">
            <v>Lichens</v>
          </cell>
          <cell r="C8359" t="str">
            <v>Mycophycophyta</v>
          </cell>
          <cell r="D8359" t="str">
            <v>Collema callopismum var. callopismum</v>
          </cell>
          <cell r="E8359" t="str">
            <v>DD</v>
          </cell>
          <cell r="F8359" t="str">
            <v>Woods &amp; Coppins, 2012</v>
          </cell>
          <cell r="G8359" t="str">
            <v>NHMSYS0001478232</v>
          </cell>
          <cell r="H8359" t="str">
            <v>Collema callopismum var. callopismum</v>
          </cell>
        </row>
        <row r="8360">
          <cell r="A8360" t="str">
            <v>Collema confertum</v>
          </cell>
          <cell r="B8360" t="str">
            <v>Lichens</v>
          </cell>
          <cell r="C8360" t="str">
            <v>Mycophycophyta</v>
          </cell>
          <cell r="D8360" t="str">
            <v>Collema confertum</v>
          </cell>
          <cell r="E8360" t="str">
            <v>DD</v>
          </cell>
          <cell r="F8360" t="str">
            <v>Woods &amp; Coppins, 2012</v>
          </cell>
          <cell r="G8360" t="str">
            <v>NBNSYS0000018431</v>
          </cell>
          <cell r="H8360" t="str">
            <v>Collema confertum</v>
          </cell>
        </row>
        <row r="8361">
          <cell r="A8361" t="str">
            <v>Collema subnigrescens</v>
          </cell>
          <cell r="B8361" t="str">
            <v>Lichens</v>
          </cell>
          <cell r="C8361" t="str">
            <v>Mycophycophyta</v>
          </cell>
          <cell r="D8361" t="str">
            <v>Collema subnigrescens</v>
          </cell>
          <cell r="E8361" t="str">
            <v>DD</v>
          </cell>
          <cell r="F8361" t="str">
            <v>Woods &amp; Coppins, 2012</v>
          </cell>
          <cell r="G8361" t="str">
            <v>NBNSYS0000018452</v>
          </cell>
          <cell r="H8361" t="str">
            <v>Collema subnigrescens</v>
          </cell>
        </row>
        <row r="8362">
          <cell r="A8362" t="str">
            <v>Collema undulatum var. granulosum</v>
          </cell>
          <cell r="B8362" t="str">
            <v>Lichens</v>
          </cell>
          <cell r="C8362" t="str">
            <v>Mycophycophyta</v>
          </cell>
          <cell r="D8362" t="str">
            <v>Collema undulatum var. granulosum</v>
          </cell>
          <cell r="E8362" t="str">
            <v>DD</v>
          </cell>
          <cell r="F8362" t="str">
            <v>Woods &amp; Coppins, 2012</v>
          </cell>
          <cell r="G8362" t="str">
            <v>NHMSYS0021576923</v>
          </cell>
          <cell r="H8362" t="str">
            <v>Collema undulatum var. granulosum</v>
          </cell>
        </row>
        <row r="8363">
          <cell r="A8363" t="str">
            <v>Collema undulatum var. undulatum</v>
          </cell>
          <cell r="B8363" t="str">
            <v>Lichens</v>
          </cell>
          <cell r="C8363" t="str">
            <v>Mycophycophyta</v>
          </cell>
          <cell r="D8363" t="str">
            <v>Collema undulatum var. undulatum</v>
          </cell>
          <cell r="E8363" t="str">
            <v>DD</v>
          </cell>
          <cell r="F8363" t="str">
            <v>Woods &amp; Coppins, 2012</v>
          </cell>
          <cell r="G8363" t="str">
            <v>NHMSYS0001478326</v>
          </cell>
          <cell r="H8363" t="str">
            <v>Collema undulatum var. undulatum</v>
          </cell>
        </row>
        <row r="8364">
          <cell r="A8364" t="str">
            <v>Collemopsidium pelvetiae</v>
          </cell>
          <cell r="B8364" t="str">
            <v>Lichens</v>
          </cell>
          <cell r="C8364" t="str">
            <v>Mycophycophyta</v>
          </cell>
          <cell r="D8364" t="str">
            <v>Collemopsidium pelvetiae</v>
          </cell>
          <cell r="E8364" t="str">
            <v>DD</v>
          </cell>
          <cell r="F8364" t="str">
            <v>Woods &amp; Coppins, 2012</v>
          </cell>
          <cell r="G8364" t="str">
            <v>NHMSYS0020535236</v>
          </cell>
          <cell r="H8364" t="str">
            <v>Collemopsidium pelvetiae</v>
          </cell>
        </row>
        <row r="8365">
          <cell r="A8365" t="str">
            <v>Collemopsidium subarenisedum</v>
          </cell>
          <cell r="B8365" t="str">
            <v>Lichens</v>
          </cell>
          <cell r="C8365" t="str">
            <v>Mycophycophyta</v>
          </cell>
          <cell r="D8365" t="str">
            <v>Collemopsidium subarenisedum</v>
          </cell>
          <cell r="E8365" t="str">
            <v>DD</v>
          </cell>
          <cell r="F8365" t="str">
            <v>Woods &amp; Coppins, 2012</v>
          </cell>
          <cell r="G8365" t="str">
            <v>NHMSYS0020535237</v>
          </cell>
          <cell r="H8365" t="str">
            <v>Collemopsidium subarenisedum</v>
          </cell>
        </row>
        <row r="8366">
          <cell r="A8366" t="str">
            <v>Collolechia caesia</v>
          </cell>
          <cell r="B8366" t="str">
            <v>Lichens</v>
          </cell>
          <cell r="C8366" t="str">
            <v>Mycophycophyta</v>
          </cell>
          <cell r="D8366" t="str">
            <v>Collolechia caesia</v>
          </cell>
          <cell r="E8366" t="str">
            <v>DD</v>
          </cell>
          <cell r="F8366" t="str">
            <v>Woods &amp; Coppins, 2012</v>
          </cell>
          <cell r="G8366" t="str">
            <v>BMSSYS0000014635</v>
          </cell>
          <cell r="H8366" t="str">
            <v>Collolechia caesia</v>
          </cell>
        </row>
        <row r="8367">
          <cell r="A8367" t="str">
            <v>Cyphelium marcianum</v>
          </cell>
          <cell r="B8367" t="str">
            <v>Lichens</v>
          </cell>
          <cell r="C8367" t="str">
            <v>Mycophycophyta</v>
          </cell>
          <cell r="D8367" t="str">
            <v>Cyphelium marcianum</v>
          </cell>
          <cell r="E8367" t="str">
            <v>DD</v>
          </cell>
          <cell r="F8367" t="str">
            <v>Woods &amp; Coppins, 2012</v>
          </cell>
          <cell r="G8367" t="str">
            <v>BMSSYS0000731131</v>
          </cell>
          <cell r="H8367" t="str">
            <v>Cyphelium marcianum</v>
          </cell>
        </row>
        <row r="8368">
          <cell r="A8368" t="str">
            <v>Dermatocarpon deminuens</v>
          </cell>
          <cell r="B8368" t="str">
            <v>Lichens</v>
          </cell>
          <cell r="C8368" t="str">
            <v>Mycophycophyta</v>
          </cell>
          <cell r="D8368" t="str">
            <v>Dermatocarpon deminuens</v>
          </cell>
          <cell r="E8368" t="str">
            <v>DD</v>
          </cell>
          <cell r="F8368" t="str">
            <v>Woods &amp; Coppins, 2012</v>
          </cell>
          <cell r="G8368" t="str">
            <v>BMSSYS0000005778</v>
          </cell>
          <cell r="H8368" t="str">
            <v>Dermatocarpon deminuens</v>
          </cell>
        </row>
        <row r="8369">
          <cell r="A8369" t="str">
            <v>Dermatocarpon rivulorum</v>
          </cell>
          <cell r="B8369" t="str">
            <v>Lichens</v>
          </cell>
          <cell r="C8369" t="str">
            <v>Mycophycophyta</v>
          </cell>
          <cell r="D8369" t="str">
            <v>Dermatocarpon rivulorum</v>
          </cell>
          <cell r="E8369" t="str">
            <v>DD</v>
          </cell>
          <cell r="F8369" t="str">
            <v>Woods &amp; Coppins, 2012</v>
          </cell>
          <cell r="G8369" t="str">
            <v>NBNSYS0000020599</v>
          </cell>
          <cell r="H8369" t="str">
            <v>Dermatocarpon rivulorum</v>
          </cell>
        </row>
        <row r="8370">
          <cell r="A8370" t="str">
            <v>Dictyonema interruptum</v>
          </cell>
          <cell r="B8370" t="str">
            <v>Lichens</v>
          </cell>
          <cell r="C8370" t="str">
            <v>Mycophycophyta</v>
          </cell>
          <cell r="D8370" t="str">
            <v>Dictyonema interruptum</v>
          </cell>
          <cell r="E8370" t="str">
            <v>DD</v>
          </cell>
          <cell r="F8370" t="str">
            <v>Woods &amp; Coppins, 2012</v>
          </cell>
          <cell r="G8370" t="str">
            <v>BMSSYS0000044901</v>
          </cell>
          <cell r="H8370" t="str">
            <v>Dictyonema interruptum</v>
          </cell>
        </row>
        <row r="8371">
          <cell r="A8371" t="str">
            <v>Diplotomma pharcidium</v>
          </cell>
          <cell r="B8371" t="str">
            <v>Lichens</v>
          </cell>
          <cell r="C8371" t="str">
            <v>Mycophycophyta</v>
          </cell>
          <cell r="D8371" t="str">
            <v>Diplotomma pharcidium</v>
          </cell>
          <cell r="E8371" t="str">
            <v>DD</v>
          </cell>
          <cell r="F8371" t="str">
            <v>Woods &amp; Coppins, 2012</v>
          </cell>
          <cell r="G8371" t="str">
            <v>NHMSYS0001480954</v>
          </cell>
          <cell r="H8371" t="str">
            <v>Diplotomma pharcidium</v>
          </cell>
        </row>
        <row r="8372">
          <cell r="A8372" t="str">
            <v>Gyalecta biformis</v>
          </cell>
          <cell r="B8372" t="str">
            <v>Lichens</v>
          </cell>
          <cell r="C8372" t="str">
            <v>Mycophycophyta</v>
          </cell>
          <cell r="D8372" t="str">
            <v>Gyalecta biformis</v>
          </cell>
          <cell r="E8372" t="str">
            <v>DD</v>
          </cell>
          <cell r="F8372" t="str">
            <v>Woods &amp; Coppins, 2012</v>
          </cell>
          <cell r="G8372" t="str">
            <v>NHMSYS0001483299</v>
          </cell>
          <cell r="H8372" t="str">
            <v>Gyalecta biformis</v>
          </cell>
        </row>
        <row r="8373">
          <cell r="A8373" t="str">
            <v>Gyalecta jenensis var. macrospora</v>
          </cell>
          <cell r="B8373" t="str">
            <v>Lichens</v>
          </cell>
          <cell r="C8373" t="str">
            <v>Mycophycophyta</v>
          </cell>
          <cell r="D8373" t="str">
            <v>Gyalecta jenensis var. macrospora</v>
          </cell>
          <cell r="E8373" t="str">
            <v>DD</v>
          </cell>
          <cell r="F8373" t="str">
            <v>Woods &amp; Coppins, 2012</v>
          </cell>
          <cell r="G8373" t="str">
            <v>NHMSYS0001483303</v>
          </cell>
          <cell r="H8373" t="str">
            <v>Gyalecta jenensis var. macrospora</v>
          </cell>
        </row>
        <row r="8374">
          <cell r="A8374" t="str">
            <v>Gyalidea lecideopsis</v>
          </cell>
          <cell r="B8374" t="str">
            <v>Lichens</v>
          </cell>
          <cell r="C8374" t="str">
            <v>Mycophycophyta</v>
          </cell>
          <cell r="D8374" t="str">
            <v>Gyalidea lecideopsis</v>
          </cell>
          <cell r="E8374" t="str">
            <v>DD</v>
          </cell>
          <cell r="F8374" t="str">
            <v>Woods &amp; Coppins, 2012</v>
          </cell>
          <cell r="G8374" t="str">
            <v>NHMSYS0001483319</v>
          </cell>
          <cell r="H8374" t="str">
            <v>Gyalidea lecideopsis</v>
          </cell>
        </row>
        <row r="8375">
          <cell r="A8375" t="str">
            <v>Ionaspis suaveolens</v>
          </cell>
          <cell r="B8375" t="str">
            <v>Lichens</v>
          </cell>
          <cell r="C8375" t="str">
            <v>Mycophycophyta</v>
          </cell>
          <cell r="D8375" t="str">
            <v>Ionaspis suaveolens</v>
          </cell>
          <cell r="E8375" t="str">
            <v>DD</v>
          </cell>
          <cell r="F8375" t="str">
            <v>Woods &amp; Coppins, 2012</v>
          </cell>
          <cell r="G8375" t="str">
            <v>NHMSYS0001485524</v>
          </cell>
          <cell r="H8375" t="str">
            <v>Ionaspis suaveolens</v>
          </cell>
        </row>
        <row r="8376">
          <cell r="A8376" t="str">
            <v>Lecania coerulescens</v>
          </cell>
          <cell r="B8376" t="str">
            <v>Lichens</v>
          </cell>
          <cell r="C8376" t="str">
            <v>Mycophycophyta</v>
          </cell>
          <cell r="D8376" t="str">
            <v>Lecania coerulescens</v>
          </cell>
          <cell r="E8376" t="str">
            <v>DD</v>
          </cell>
          <cell r="F8376" t="str">
            <v>Woods &amp; Coppins, 2012</v>
          </cell>
          <cell r="G8376" t="str">
            <v>NBNSYS0000039644</v>
          </cell>
          <cell r="H8376" t="str">
            <v>Lecania coerulescens</v>
          </cell>
        </row>
        <row r="8377">
          <cell r="A8377" t="str">
            <v>Lecania nylanderiana</v>
          </cell>
          <cell r="B8377" t="str">
            <v>Lichens</v>
          </cell>
          <cell r="C8377" t="str">
            <v>Mycophycophyta</v>
          </cell>
          <cell r="D8377" t="str">
            <v>Lecania nylanderiana</v>
          </cell>
          <cell r="E8377" t="str">
            <v>DD</v>
          </cell>
          <cell r="F8377" t="str">
            <v>Woods &amp; Coppins, 2012</v>
          </cell>
          <cell r="G8377" t="str">
            <v>NHMSYS0001486282</v>
          </cell>
          <cell r="H8377" t="str">
            <v>Lecania nylanderiana</v>
          </cell>
        </row>
        <row r="8378">
          <cell r="A8378" t="str">
            <v>Lecania sambucina</v>
          </cell>
          <cell r="B8378" t="str">
            <v>Lichens</v>
          </cell>
          <cell r="C8378" t="str">
            <v>Mycophycophyta</v>
          </cell>
          <cell r="D8378" t="str">
            <v>Lecania sambucina</v>
          </cell>
          <cell r="E8378" t="str">
            <v>DD</v>
          </cell>
          <cell r="F8378" t="str">
            <v>Woods &amp; Coppins, 2012</v>
          </cell>
          <cell r="G8378" t="str">
            <v>NHMSYS0001486285</v>
          </cell>
          <cell r="H8378" t="str">
            <v>Lecania sambucina</v>
          </cell>
        </row>
        <row r="8379">
          <cell r="A8379" t="str">
            <v>Lecania suavis</v>
          </cell>
          <cell r="B8379" t="str">
            <v>Lichens</v>
          </cell>
          <cell r="C8379" t="str">
            <v>Mycophycophyta</v>
          </cell>
          <cell r="D8379" t="str">
            <v>Lecania suavis</v>
          </cell>
          <cell r="E8379" t="str">
            <v>DD</v>
          </cell>
          <cell r="F8379" t="str">
            <v>Woods &amp; Coppins, 2012</v>
          </cell>
          <cell r="G8379" t="str">
            <v>NHMSYS0001486287</v>
          </cell>
          <cell r="H8379" t="str">
            <v>Lecania suavis</v>
          </cell>
        </row>
        <row r="8380">
          <cell r="A8380" t="str">
            <v>Lecanora agardhiana</v>
          </cell>
          <cell r="B8380" t="str">
            <v>Lichens</v>
          </cell>
          <cell r="C8380" t="str">
            <v>Mycophycophyta</v>
          </cell>
          <cell r="D8380" t="str">
            <v>Lecanora agardhiana</v>
          </cell>
          <cell r="E8380" t="str">
            <v>DD</v>
          </cell>
          <cell r="F8380" t="str">
            <v>Woods &amp; Coppins, 2012</v>
          </cell>
          <cell r="G8380" t="str">
            <v>BMSSYS0000048291</v>
          </cell>
          <cell r="H8380" t="str">
            <v>Lecanora agardhiana</v>
          </cell>
        </row>
        <row r="8381">
          <cell r="A8381" t="str">
            <v>Lecanora gisleriana</v>
          </cell>
          <cell r="B8381" t="str">
            <v>Lichens</v>
          </cell>
          <cell r="C8381" t="str">
            <v>Mycophycophyta</v>
          </cell>
          <cell r="D8381" t="str">
            <v>Lecanora gisleriana</v>
          </cell>
          <cell r="E8381" t="str">
            <v>DD</v>
          </cell>
          <cell r="F8381" t="str">
            <v>Woods &amp; Coppins, 2012</v>
          </cell>
          <cell r="G8381" t="str">
            <v>NHMSYS0001486378</v>
          </cell>
          <cell r="H8381" t="str">
            <v>Lecanora gisleriana</v>
          </cell>
        </row>
        <row r="8382">
          <cell r="A8382" t="str">
            <v>Lecanora ochroidea</v>
          </cell>
          <cell r="B8382" t="str">
            <v>Lichens</v>
          </cell>
          <cell r="C8382" t="str">
            <v>Mycophycophyta</v>
          </cell>
          <cell r="D8382" t="str">
            <v>Lecanora ochroidea</v>
          </cell>
          <cell r="E8382" t="str">
            <v>DD</v>
          </cell>
          <cell r="F8382" t="str">
            <v>Woods &amp; Coppins, 2012</v>
          </cell>
          <cell r="G8382" t="str">
            <v>BMSSYS0000009566</v>
          </cell>
          <cell r="H8382" t="str">
            <v>Lecanora ochroidea</v>
          </cell>
        </row>
        <row r="8383">
          <cell r="A8383" t="str">
            <v>Lecanora rugosella</v>
          </cell>
          <cell r="B8383" t="str">
            <v>Lichens</v>
          </cell>
          <cell r="C8383" t="str">
            <v>Mycophycophyta</v>
          </cell>
          <cell r="D8383" t="str">
            <v>Lecanora rugosella</v>
          </cell>
          <cell r="E8383" t="str">
            <v>DD</v>
          </cell>
          <cell r="F8383" t="str">
            <v>Woods &amp; Coppins, 2012</v>
          </cell>
          <cell r="G8383" t="str">
            <v>NBNSYS0000018618</v>
          </cell>
          <cell r="H8383" t="str">
            <v>Lecanora rugosella</v>
          </cell>
        </row>
        <row r="8384">
          <cell r="A8384" t="str">
            <v>Lecanora salina</v>
          </cell>
          <cell r="B8384" t="str">
            <v>Lichens</v>
          </cell>
          <cell r="C8384" t="str">
            <v>Mycophycophyta</v>
          </cell>
          <cell r="D8384" t="str">
            <v>Lecanora salina</v>
          </cell>
          <cell r="E8384" t="str">
            <v>DD</v>
          </cell>
          <cell r="F8384" t="str">
            <v>Woods &amp; Coppins, 2012</v>
          </cell>
          <cell r="G8384" t="str">
            <v>BMSSYS0000048302</v>
          </cell>
          <cell r="H8384" t="str">
            <v>Lecanora salina</v>
          </cell>
        </row>
        <row r="8385">
          <cell r="A8385" t="str">
            <v>Lecanora sarcopidoides</v>
          </cell>
          <cell r="B8385" t="str">
            <v>Lichens</v>
          </cell>
          <cell r="C8385" t="str">
            <v>Mycophycophyta</v>
          </cell>
          <cell r="D8385" t="str">
            <v>Lecanora sarcopidoides</v>
          </cell>
          <cell r="E8385" t="str">
            <v>DD</v>
          </cell>
          <cell r="F8385" t="str">
            <v>Woods &amp; Coppins, 2012</v>
          </cell>
          <cell r="G8385" t="str">
            <v>NHMSYS0001486449</v>
          </cell>
          <cell r="H8385" t="str">
            <v>Lecanora sarcopidoides</v>
          </cell>
        </row>
        <row r="8386">
          <cell r="A8386" t="str">
            <v>Lecanora subintricata</v>
          </cell>
          <cell r="B8386" t="str">
            <v>Lichens</v>
          </cell>
          <cell r="C8386" t="str">
            <v>Mycophycophyta</v>
          </cell>
          <cell r="D8386" t="str">
            <v>Lecanora subintricata</v>
          </cell>
          <cell r="E8386" t="str">
            <v>DD</v>
          </cell>
          <cell r="F8386" t="str">
            <v>Woods &amp; Coppins, 2012</v>
          </cell>
          <cell r="G8386" t="str">
            <v>NHMSYS0001486476</v>
          </cell>
          <cell r="H8386" t="str">
            <v>Lecanora subintricata</v>
          </cell>
        </row>
        <row r="8387">
          <cell r="A8387" t="str">
            <v>Lecidea commaculans</v>
          </cell>
          <cell r="B8387" t="str">
            <v>Lichens</v>
          </cell>
          <cell r="C8387" t="str">
            <v>Mycophycophyta</v>
          </cell>
          <cell r="D8387" t="str">
            <v>Lecidea commaculans</v>
          </cell>
          <cell r="E8387" t="str">
            <v>DD</v>
          </cell>
          <cell r="F8387" t="str">
            <v>Woods &amp; Coppins, 2012</v>
          </cell>
          <cell r="G8387" t="str">
            <v>NBNSYS0000018656</v>
          </cell>
          <cell r="H8387" t="str">
            <v>Lecidea commaculans</v>
          </cell>
        </row>
        <row r="8388">
          <cell r="A8388" t="str">
            <v>Lecidea endomelaena</v>
          </cell>
          <cell r="B8388" t="str">
            <v>Lichens</v>
          </cell>
          <cell r="C8388" t="str">
            <v>Mycophycophyta</v>
          </cell>
          <cell r="D8388" t="str">
            <v>Lecidea endomelaena</v>
          </cell>
          <cell r="E8388" t="str">
            <v>DD</v>
          </cell>
          <cell r="F8388" t="str">
            <v>Woods &amp; Coppins, 2012</v>
          </cell>
          <cell r="G8388" t="str">
            <v>NBNSYS0000018662</v>
          </cell>
          <cell r="H8388" t="str">
            <v>Lecidea endomelaena</v>
          </cell>
        </row>
        <row r="8389">
          <cell r="A8389" t="str">
            <v>Lecidea exigua</v>
          </cell>
          <cell r="B8389" t="str">
            <v>Lichens</v>
          </cell>
          <cell r="C8389" t="str">
            <v>Mycophycophyta</v>
          </cell>
          <cell r="D8389" t="str">
            <v>Lecidea exigua</v>
          </cell>
          <cell r="E8389" t="str">
            <v>DD</v>
          </cell>
          <cell r="F8389" t="str">
            <v>Woods &amp; Coppins, 2012</v>
          </cell>
          <cell r="G8389" t="str">
            <v>NHMSYS0001486702</v>
          </cell>
          <cell r="H8389" t="str">
            <v>Lecidea exigua</v>
          </cell>
        </row>
        <row r="8390">
          <cell r="A8390" t="str">
            <v>Lecidea obluridata</v>
          </cell>
          <cell r="B8390" t="str">
            <v>Lichens</v>
          </cell>
          <cell r="C8390" t="str">
            <v>Mycophycophyta</v>
          </cell>
          <cell r="D8390" t="str">
            <v>Lecidea obluridata</v>
          </cell>
          <cell r="E8390" t="str">
            <v>DD</v>
          </cell>
          <cell r="F8390" t="str">
            <v>Woods &amp; Coppins, 2012</v>
          </cell>
          <cell r="G8390" t="str">
            <v>NHMSYS0001486814</v>
          </cell>
          <cell r="H8390" t="str">
            <v>Lecidea obluridata</v>
          </cell>
        </row>
        <row r="8391">
          <cell r="A8391" t="str">
            <v>Lecidea promixta</v>
          </cell>
          <cell r="B8391" t="str">
            <v>Lichens</v>
          </cell>
          <cell r="C8391" t="str">
            <v>Mycophycophyta</v>
          </cell>
          <cell r="D8391" t="str">
            <v>Lecidea promixta</v>
          </cell>
          <cell r="E8391" t="str">
            <v>DD</v>
          </cell>
          <cell r="F8391" t="str">
            <v>Woods &amp; Coppins, 2012</v>
          </cell>
          <cell r="G8391" t="str">
            <v>NHMSYS0001486873</v>
          </cell>
          <cell r="H8391" t="str">
            <v>Lecidea promixta</v>
          </cell>
        </row>
        <row r="8392">
          <cell r="A8392" t="str">
            <v>Lecidella viridans</v>
          </cell>
          <cell r="B8392" t="str">
            <v>Lichens</v>
          </cell>
          <cell r="C8392" t="str">
            <v>Mycophycophyta</v>
          </cell>
          <cell r="D8392" t="str">
            <v>Lecidella viridans</v>
          </cell>
          <cell r="E8392" t="str">
            <v>DD</v>
          </cell>
          <cell r="F8392" t="str">
            <v>Woods &amp; Coppins, 2012</v>
          </cell>
          <cell r="G8392" t="str">
            <v>NBNSYS0000018748</v>
          </cell>
          <cell r="H8392" t="str">
            <v>Lecidella viridans</v>
          </cell>
        </row>
        <row r="8393">
          <cell r="A8393" t="str">
            <v>Lemmopsis oblongans</v>
          </cell>
          <cell r="B8393" t="str">
            <v>Lichens</v>
          </cell>
          <cell r="C8393" t="str">
            <v>Mycophycophyta</v>
          </cell>
          <cell r="D8393" t="str">
            <v>Lemmopsis oblongans</v>
          </cell>
          <cell r="E8393" t="str">
            <v>DD</v>
          </cell>
          <cell r="F8393" t="str">
            <v>Woods &amp; Coppins, 2012</v>
          </cell>
          <cell r="G8393" t="str">
            <v>NBNSYS0000018752</v>
          </cell>
          <cell r="H8393" t="str">
            <v>Lemmopsis oblongans</v>
          </cell>
        </row>
        <row r="8394">
          <cell r="A8394" t="str">
            <v>Lempholemma chalazanum</v>
          </cell>
          <cell r="B8394" t="str">
            <v>Lichens</v>
          </cell>
          <cell r="C8394" t="str">
            <v>Mycophycophyta</v>
          </cell>
          <cell r="D8394" t="str">
            <v>Lempholemma chalazanum</v>
          </cell>
          <cell r="E8394" t="str">
            <v>DD</v>
          </cell>
          <cell r="F8394" t="str">
            <v>Woods &amp; Coppins, 2012</v>
          </cell>
          <cell r="G8394" t="str">
            <v>NHMSYS0020990488</v>
          </cell>
          <cell r="H8394" t="str">
            <v>Lempholemma chalazanum</v>
          </cell>
        </row>
        <row r="8395">
          <cell r="A8395" t="str">
            <v>Lepraria bergensis</v>
          </cell>
          <cell r="B8395" t="str">
            <v>Lichens</v>
          </cell>
          <cell r="C8395" t="str">
            <v>Mycophycophyta</v>
          </cell>
          <cell r="D8395" t="str">
            <v>Lepraria bergensis</v>
          </cell>
          <cell r="E8395" t="str">
            <v>DD</v>
          </cell>
          <cell r="F8395" t="str">
            <v>Woods &amp; Coppins, 2012</v>
          </cell>
          <cell r="G8395" t="str">
            <v>NHMSYS0001487370</v>
          </cell>
          <cell r="H8395" t="str">
            <v>Lepraria bergensis</v>
          </cell>
        </row>
        <row r="8396">
          <cell r="A8396" t="str">
            <v>Melaspilea interjecta</v>
          </cell>
          <cell r="B8396" t="str">
            <v>Lichens</v>
          </cell>
          <cell r="C8396" t="str">
            <v>Mycophycophyta</v>
          </cell>
          <cell r="D8396" t="str">
            <v>Melaspilea interjecta</v>
          </cell>
          <cell r="E8396" t="str">
            <v>DD</v>
          </cell>
          <cell r="F8396" t="str">
            <v>Woods &amp; Coppins, 2012</v>
          </cell>
          <cell r="G8396" t="str">
            <v>NBNSYS0000039679</v>
          </cell>
          <cell r="H8396" t="str">
            <v>Melaspilea interjecta</v>
          </cell>
        </row>
        <row r="8397">
          <cell r="A8397" t="str">
            <v>Micarea farinosa</v>
          </cell>
          <cell r="B8397" t="str">
            <v>Lichens</v>
          </cell>
          <cell r="C8397" t="str">
            <v>Mycophycophyta</v>
          </cell>
          <cell r="D8397" t="str">
            <v>Micarea farinosa</v>
          </cell>
          <cell r="E8397" t="str">
            <v>DD</v>
          </cell>
          <cell r="F8397" t="str">
            <v>Woods &amp; Coppins, 2012</v>
          </cell>
          <cell r="G8397" t="str">
            <v>NHMSYS0020535693</v>
          </cell>
          <cell r="H8397" t="str">
            <v>Micarea farinosa</v>
          </cell>
        </row>
        <row r="8398">
          <cell r="A8398" t="str">
            <v>Micarea globulosella</v>
          </cell>
          <cell r="B8398" t="str">
            <v>Lichens</v>
          </cell>
          <cell r="C8398" t="str">
            <v>Mycophycophyta</v>
          </cell>
          <cell r="D8398" t="str">
            <v>Micarea globulosella</v>
          </cell>
          <cell r="E8398" t="str">
            <v>DD</v>
          </cell>
          <cell r="F8398" t="str">
            <v>Woods &amp; Coppins, 2012</v>
          </cell>
          <cell r="G8398" t="str">
            <v>NBNSYS0000018816</v>
          </cell>
          <cell r="H8398" t="str">
            <v>Micarea globulosella</v>
          </cell>
        </row>
        <row r="8399">
          <cell r="A8399" t="str">
            <v>Micarea subconfusa</v>
          </cell>
          <cell r="B8399" t="str">
            <v>Lichens</v>
          </cell>
          <cell r="C8399" t="str">
            <v>Mycophycophyta</v>
          </cell>
          <cell r="D8399" t="str">
            <v>Micarea subconfusa</v>
          </cell>
          <cell r="E8399" t="str">
            <v>DD</v>
          </cell>
          <cell r="F8399" t="str">
            <v>Woods &amp; Coppins, 2012</v>
          </cell>
          <cell r="G8399" t="str">
            <v>BMSSYS0000011224</v>
          </cell>
          <cell r="H8399" t="str">
            <v>Micarea subconfusa</v>
          </cell>
        </row>
        <row r="8400">
          <cell r="A8400" t="str">
            <v>Multiclavula vernalis</v>
          </cell>
          <cell r="B8400" t="str">
            <v>Lichens</v>
          </cell>
          <cell r="C8400" t="str">
            <v>Mycophycophyta</v>
          </cell>
          <cell r="D8400" t="str">
            <v>Multiclavula vernalis</v>
          </cell>
          <cell r="E8400" t="str">
            <v>DD</v>
          </cell>
          <cell r="F8400" t="str">
            <v>Woods &amp; Coppins, 2012</v>
          </cell>
          <cell r="G8400" t="str">
            <v>NHMSYS0001489998</v>
          </cell>
          <cell r="H8400" t="str">
            <v>Multiclavula vernalis</v>
          </cell>
        </row>
        <row r="8401">
          <cell r="A8401" t="str">
            <v>Opegrapha sphaerophoricola</v>
          </cell>
          <cell r="B8401" t="str">
            <v>Lichens</v>
          </cell>
          <cell r="C8401" t="str">
            <v>Mycophycophyta</v>
          </cell>
          <cell r="D8401" t="str">
            <v>Opegrapha sphaerophoricola</v>
          </cell>
          <cell r="E8401" t="str">
            <v>DD</v>
          </cell>
          <cell r="F8401" t="str">
            <v>Woods &amp; Coppins, 2012</v>
          </cell>
          <cell r="G8401" t="str">
            <v>NHMSYS0001491417</v>
          </cell>
          <cell r="H8401" t="str">
            <v>Opegrapha sphaerophoricola</v>
          </cell>
        </row>
        <row r="8402">
          <cell r="A8402" t="str">
            <v>Opegrapha viridis</v>
          </cell>
          <cell r="B8402" t="str">
            <v>Lichens</v>
          </cell>
          <cell r="C8402" t="str">
            <v>Mycophycophyta</v>
          </cell>
          <cell r="D8402" t="str">
            <v>Opegrapha viridis</v>
          </cell>
          <cell r="E8402" t="str">
            <v>DD</v>
          </cell>
          <cell r="F8402" t="str">
            <v>Woods &amp; Coppins, 2012</v>
          </cell>
          <cell r="G8402" t="str">
            <v>NBNSYS0000019232</v>
          </cell>
          <cell r="H8402" t="str">
            <v>Opegrapha viridis</v>
          </cell>
        </row>
        <row r="8403">
          <cell r="A8403" t="str">
            <v>Parmelia submontana</v>
          </cell>
          <cell r="B8403" t="str">
            <v>Lichens</v>
          </cell>
          <cell r="C8403" t="str">
            <v>Mycophycophyta</v>
          </cell>
          <cell r="D8403" t="str">
            <v>Parmelia submontana</v>
          </cell>
          <cell r="E8403" t="str">
            <v>DD</v>
          </cell>
          <cell r="F8403" t="str">
            <v>Woods &amp; Coppins, 2012</v>
          </cell>
          <cell r="G8403" t="str">
            <v>NBNSYS0000039703</v>
          </cell>
          <cell r="H8403" t="str">
            <v>Parmelia submontana</v>
          </cell>
        </row>
        <row r="8404">
          <cell r="A8404" t="str">
            <v>Peltigera ponojensis</v>
          </cell>
          <cell r="B8404" t="str">
            <v>Lichens</v>
          </cell>
          <cell r="C8404" t="str">
            <v>Mycophycophyta</v>
          </cell>
          <cell r="D8404" t="str">
            <v>Peltigera ponojensis</v>
          </cell>
          <cell r="E8404" t="str">
            <v>DD</v>
          </cell>
          <cell r="F8404" t="str">
            <v>Woods &amp; Coppins, 2012</v>
          </cell>
          <cell r="G8404" t="str">
            <v>NBNSYS0000039705</v>
          </cell>
          <cell r="H8404" t="str">
            <v>Peltigera ponojensis</v>
          </cell>
        </row>
        <row r="8405">
          <cell r="A8405" t="str">
            <v>Petractis nodispora</v>
          </cell>
          <cell r="B8405" t="str">
            <v>Lichens</v>
          </cell>
          <cell r="C8405" t="str">
            <v>Mycophycophyta</v>
          </cell>
          <cell r="D8405" t="str">
            <v>Petractis nodispora</v>
          </cell>
          <cell r="E8405" t="str">
            <v>DD</v>
          </cell>
          <cell r="F8405" t="str">
            <v>Woods &amp; Coppins, 2012</v>
          </cell>
          <cell r="G8405" t="str">
            <v>NHMSYS0021576763</v>
          </cell>
          <cell r="H8405" t="str">
            <v>Petractis nodispora</v>
          </cell>
        </row>
        <row r="8406">
          <cell r="A8406" t="str">
            <v>Placidium boccanum</v>
          </cell>
          <cell r="B8406" t="str">
            <v>Lichens</v>
          </cell>
          <cell r="C8406" t="str">
            <v>Mycophycophyta</v>
          </cell>
          <cell r="D8406" t="str">
            <v>Placidium boccanum</v>
          </cell>
          <cell r="E8406" t="str">
            <v>DD</v>
          </cell>
          <cell r="F8406" t="str">
            <v>Woods &amp; Coppins, 2012</v>
          </cell>
          <cell r="G8406" t="str">
            <v>NHMSYS0001493866</v>
          </cell>
          <cell r="H8406" t="str">
            <v>Placidium boccanum</v>
          </cell>
        </row>
        <row r="8407">
          <cell r="A8407" t="str">
            <v>Placidium rufescens</v>
          </cell>
          <cell r="B8407" t="str">
            <v>Lichens</v>
          </cell>
          <cell r="C8407" t="str">
            <v>Mycophycophyta</v>
          </cell>
          <cell r="D8407" t="str">
            <v>Placidium rufescens</v>
          </cell>
          <cell r="E8407" t="str">
            <v>DD</v>
          </cell>
          <cell r="F8407" t="str">
            <v>Woods &amp; Coppins, 2012</v>
          </cell>
          <cell r="G8407" t="str">
            <v>NHMSYS0001493872</v>
          </cell>
          <cell r="H8407" t="str">
            <v>Placidium rufescens</v>
          </cell>
        </row>
        <row r="8408">
          <cell r="A8408" t="str">
            <v>Placopsis gelida</v>
          </cell>
          <cell r="B8408" t="str">
            <v>Lichens</v>
          </cell>
          <cell r="C8408" t="str">
            <v>Mycophycophyta</v>
          </cell>
          <cell r="D8408" t="str">
            <v>Placopsis gelida</v>
          </cell>
          <cell r="E8408" t="str">
            <v>DD</v>
          </cell>
          <cell r="F8408" t="str">
            <v>Woods &amp; Coppins, 2012</v>
          </cell>
          <cell r="G8408" t="str">
            <v>NBNSYS0000018945</v>
          </cell>
          <cell r="H8408" t="str">
            <v>Placopsis gelida</v>
          </cell>
        </row>
        <row r="8409">
          <cell r="A8409" t="str">
            <v>Placynthium garovaglioi</v>
          </cell>
          <cell r="B8409" t="str">
            <v>Lichens</v>
          </cell>
          <cell r="C8409" t="str">
            <v>Mycophycophyta</v>
          </cell>
          <cell r="D8409" t="str">
            <v>Placynthium garovaglioi</v>
          </cell>
          <cell r="E8409" t="str">
            <v>DD</v>
          </cell>
          <cell r="F8409" t="str">
            <v>Woods &amp; Coppins, 2012</v>
          </cell>
          <cell r="G8409" t="str">
            <v>NHMSYS0001493908</v>
          </cell>
          <cell r="H8409" t="str">
            <v>Placynthium garovaglioi</v>
          </cell>
        </row>
        <row r="8410">
          <cell r="A8410" t="str">
            <v>Placynthium lismorense</v>
          </cell>
          <cell r="B8410" t="str">
            <v>Lichens</v>
          </cell>
          <cell r="C8410" t="str">
            <v>Mycophycophyta</v>
          </cell>
          <cell r="D8410" t="str">
            <v>Placynthium lismorense</v>
          </cell>
          <cell r="E8410" t="str">
            <v>DD</v>
          </cell>
          <cell r="F8410" t="str">
            <v>Woods &amp; Coppins, 2012</v>
          </cell>
          <cell r="G8410" t="str">
            <v>NBNSYS0000019342</v>
          </cell>
          <cell r="H8410" t="str">
            <v>Placynthium lismorense</v>
          </cell>
        </row>
        <row r="8411">
          <cell r="A8411" t="str">
            <v>Placynthium tremniacum</v>
          </cell>
          <cell r="B8411" t="str">
            <v>Lichens</v>
          </cell>
          <cell r="C8411" t="str">
            <v>Mycophycophyta</v>
          </cell>
          <cell r="D8411" t="str">
            <v>Placynthium tremniacum</v>
          </cell>
          <cell r="E8411" t="str">
            <v>DD</v>
          </cell>
          <cell r="F8411" t="str">
            <v>Woods &amp; Coppins, 2012</v>
          </cell>
          <cell r="G8411" t="str">
            <v>NHMSYS0001493909</v>
          </cell>
          <cell r="H8411" t="str">
            <v>Placynthium tremniacum</v>
          </cell>
        </row>
        <row r="8412">
          <cell r="A8412" t="str">
            <v>Pleopsidium chlorophanum</v>
          </cell>
          <cell r="B8412" t="str">
            <v>Lichens</v>
          </cell>
          <cell r="C8412" t="str">
            <v>Mycophycophyta</v>
          </cell>
          <cell r="D8412" t="str">
            <v>Pleopsidium chlorophanum</v>
          </cell>
          <cell r="E8412" t="str">
            <v>DD</v>
          </cell>
          <cell r="F8412" t="str">
            <v>Woods &amp; Coppins, 2012</v>
          </cell>
          <cell r="G8412" t="str">
            <v>BMSSYS0000014701</v>
          </cell>
          <cell r="H8412" t="str">
            <v>Pleopsidium chlorophanum</v>
          </cell>
        </row>
        <row r="8413">
          <cell r="A8413" t="str">
            <v>Polyblastia philaea</v>
          </cell>
          <cell r="B8413" t="str">
            <v>Lichens</v>
          </cell>
          <cell r="C8413" t="str">
            <v>Mycophycophyta</v>
          </cell>
          <cell r="D8413" t="str">
            <v>Polyblastia philaea</v>
          </cell>
          <cell r="E8413" t="str">
            <v>DD</v>
          </cell>
          <cell r="F8413" t="str">
            <v>Woods &amp; Coppins, 2012</v>
          </cell>
          <cell r="G8413" t="str">
            <v>NHMSYS0001494368</v>
          </cell>
          <cell r="H8413" t="str">
            <v>Polyblastia philaea</v>
          </cell>
        </row>
        <row r="8414">
          <cell r="A8414" t="str">
            <v>Polyblastia verrucosa</v>
          </cell>
          <cell r="B8414" t="str">
            <v>Lichens</v>
          </cell>
          <cell r="C8414" t="str">
            <v>Mycophycophyta</v>
          </cell>
          <cell r="D8414" t="str">
            <v>Polyblastia verrucosa</v>
          </cell>
          <cell r="E8414" t="str">
            <v>DD</v>
          </cell>
          <cell r="F8414" t="str">
            <v>Woods &amp; Coppins, 2012</v>
          </cell>
          <cell r="G8414" t="str">
            <v>NBNSYS0000020633</v>
          </cell>
          <cell r="H8414" t="str">
            <v>Polyblastia verrucosa</v>
          </cell>
        </row>
        <row r="8415">
          <cell r="A8415" t="str">
            <v>Porina byssophila</v>
          </cell>
          <cell r="B8415" t="str">
            <v>Lichens</v>
          </cell>
          <cell r="C8415" t="str">
            <v>Mycophycophyta</v>
          </cell>
          <cell r="D8415" t="str">
            <v>Porina byssophila</v>
          </cell>
          <cell r="E8415" t="str">
            <v>DD</v>
          </cell>
          <cell r="F8415" t="str">
            <v>Woods &amp; Coppins, 2012</v>
          </cell>
          <cell r="G8415" t="str">
            <v>NHMSYS0001494640</v>
          </cell>
          <cell r="H8415" t="str">
            <v>Porina byssophila</v>
          </cell>
        </row>
        <row r="8416">
          <cell r="A8416" t="str">
            <v>Porina ginzbergeri</v>
          </cell>
          <cell r="B8416" t="str">
            <v>Lichens</v>
          </cell>
          <cell r="C8416" t="str">
            <v>Mycophycophyta</v>
          </cell>
          <cell r="D8416" t="str">
            <v>Porina ginzbergeri</v>
          </cell>
          <cell r="E8416" t="str">
            <v>DD</v>
          </cell>
          <cell r="F8416" t="str">
            <v>Woods &amp; Coppins, 2012</v>
          </cell>
          <cell r="G8416" t="str">
            <v>NBNSYS0000039715</v>
          </cell>
          <cell r="H8416" t="str">
            <v>Porina ginzbergeri</v>
          </cell>
        </row>
        <row r="8417">
          <cell r="A8417" t="str">
            <v>Protoblastenia cyclospora</v>
          </cell>
          <cell r="B8417" t="str">
            <v>Lichens</v>
          </cell>
          <cell r="C8417" t="str">
            <v>Mycophycophyta</v>
          </cell>
          <cell r="D8417" t="str">
            <v>Protoblastenia cyclospora</v>
          </cell>
          <cell r="E8417" t="str">
            <v>DD</v>
          </cell>
          <cell r="F8417" t="str">
            <v>Woods &amp; Coppins, 2012</v>
          </cell>
          <cell r="G8417" t="str">
            <v>NHMSYS0001494800</v>
          </cell>
          <cell r="H8417" t="str">
            <v>Protoblastenia cyclospora</v>
          </cell>
        </row>
        <row r="8418">
          <cell r="A8418" t="str">
            <v>Pyrenocarpon thelostomum</v>
          </cell>
          <cell r="B8418" t="str">
            <v>Lichens</v>
          </cell>
          <cell r="C8418" t="str">
            <v>Mycophycophyta</v>
          </cell>
          <cell r="D8418" t="str">
            <v>Pyrenocarpon thelostomum</v>
          </cell>
          <cell r="E8418" t="str">
            <v>DD</v>
          </cell>
          <cell r="F8418" t="str">
            <v>Woods &amp; Coppins, 2012</v>
          </cell>
          <cell r="G8418" t="str">
            <v>NHMSYS0020536008</v>
          </cell>
          <cell r="H8418" t="str">
            <v>Pyrenocarpon thelostomum</v>
          </cell>
        </row>
        <row r="8419">
          <cell r="A8419" t="str">
            <v>Pyrenopsis grumulifera</v>
          </cell>
          <cell r="B8419" t="str">
            <v>Lichens</v>
          </cell>
          <cell r="C8419" t="str">
            <v>Mycophycophyta</v>
          </cell>
          <cell r="D8419" t="str">
            <v>Pyrenopsis grumulifera</v>
          </cell>
          <cell r="E8419" t="str">
            <v>DD</v>
          </cell>
          <cell r="F8419" t="str">
            <v>Woods &amp; Coppins, 2012</v>
          </cell>
          <cell r="G8419" t="str">
            <v>NBNSYS0000039735</v>
          </cell>
          <cell r="H8419" t="str">
            <v>Pyrenopsis grumulifera</v>
          </cell>
        </row>
        <row r="8420">
          <cell r="A8420" t="str">
            <v>Pyrenopsis impolita</v>
          </cell>
          <cell r="B8420" t="str">
            <v>Lichens</v>
          </cell>
          <cell r="C8420" t="str">
            <v>Mycophycophyta</v>
          </cell>
          <cell r="D8420" t="str">
            <v>Pyrenopsis impolita</v>
          </cell>
          <cell r="E8420" t="str">
            <v>DD</v>
          </cell>
          <cell r="F8420" t="str">
            <v>Woods &amp; Coppins, 2012</v>
          </cell>
          <cell r="G8420" t="str">
            <v>NHMSYS0001495906</v>
          </cell>
          <cell r="H8420" t="str">
            <v>Pyrenopsis impolita</v>
          </cell>
        </row>
        <row r="8421">
          <cell r="A8421" t="str">
            <v>Ramalina capitata</v>
          </cell>
          <cell r="B8421" t="str">
            <v>Lichens</v>
          </cell>
          <cell r="C8421" t="str">
            <v>Mycophycophyta</v>
          </cell>
          <cell r="D8421" t="str">
            <v>Ramalina capitata</v>
          </cell>
          <cell r="E8421" t="str">
            <v>DD</v>
          </cell>
          <cell r="F8421" t="str">
            <v>Woods &amp; Coppins, 2012</v>
          </cell>
          <cell r="G8421" t="str">
            <v>NBNSYS0000039739</v>
          </cell>
          <cell r="H8421" t="str">
            <v>Ramalina capitata</v>
          </cell>
        </row>
        <row r="8422">
          <cell r="A8422" t="str">
            <v>Ramonia calcicola</v>
          </cell>
          <cell r="B8422" t="str">
            <v>Lichens</v>
          </cell>
          <cell r="C8422" t="str">
            <v>Mycophycophyta</v>
          </cell>
          <cell r="D8422" t="str">
            <v>Ramonia calcicola</v>
          </cell>
          <cell r="E8422" t="str">
            <v>DD</v>
          </cell>
          <cell r="F8422" t="str">
            <v>Woods &amp; Coppins, 2012</v>
          </cell>
          <cell r="G8422" t="str">
            <v>NHMSYS0020327883</v>
          </cell>
          <cell r="H8422" t="str">
            <v>Ramonia calcicola</v>
          </cell>
        </row>
        <row r="8423">
          <cell r="A8423" t="str">
            <v>Rhizocarpon amphibium</v>
          </cell>
          <cell r="B8423" t="str">
            <v>Lichens</v>
          </cell>
          <cell r="C8423" t="str">
            <v>Mycophycophyta</v>
          </cell>
          <cell r="D8423" t="str">
            <v>Rhizocarpon amphibium</v>
          </cell>
          <cell r="E8423" t="str">
            <v>DD</v>
          </cell>
          <cell r="F8423" t="str">
            <v>Woods &amp; Coppins, 2012</v>
          </cell>
          <cell r="G8423" t="str">
            <v>BMSSYS0000016195</v>
          </cell>
          <cell r="H8423" t="str">
            <v>Rhizocarpon amphibium</v>
          </cell>
        </row>
        <row r="8424">
          <cell r="A8424" t="str">
            <v>Rhizocarpon cinereovirens</v>
          </cell>
          <cell r="B8424" t="str">
            <v>Lichens</v>
          </cell>
          <cell r="C8424" t="str">
            <v>Mycophycophyta</v>
          </cell>
          <cell r="D8424" t="str">
            <v>Rhizocarpon cinereovirens</v>
          </cell>
          <cell r="E8424" t="str">
            <v>DD</v>
          </cell>
          <cell r="F8424" t="str">
            <v>Woods &amp; Coppins, 2012</v>
          </cell>
          <cell r="G8424" t="str">
            <v>NHMSYS0001496255</v>
          </cell>
          <cell r="H8424" t="str">
            <v>Rhizocarpon cinereovirens</v>
          </cell>
        </row>
        <row r="8425">
          <cell r="A8425" t="str">
            <v>Rhizocarpon geminatum</v>
          </cell>
          <cell r="B8425" t="str">
            <v>Lichens</v>
          </cell>
          <cell r="C8425" t="str">
            <v>Mycophycophyta</v>
          </cell>
          <cell r="D8425" t="str">
            <v>Rhizocarpon geminatum</v>
          </cell>
          <cell r="E8425" t="str">
            <v>DD</v>
          </cell>
          <cell r="F8425" t="str">
            <v>Woods &amp; Coppins, 2012</v>
          </cell>
          <cell r="G8425" t="str">
            <v>NBNSYS0000039754</v>
          </cell>
          <cell r="H8425" t="str">
            <v>Rhizocarpon geminatum</v>
          </cell>
        </row>
        <row r="8426">
          <cell r="A8426" t="str">
            <v>Rhizocarpon infernulum f. infernulum</v>
          </cell>
          <cell r="B8426" t="str">
            <v>Lichens</v>
          </cell>
          <cell r="C8426" t="str">
            <v>Mycophycophyta</v>
          </cell>
          <cell r="D8426" t="str">
            <v>Rhizocarpon infernulum f. infernulum</v>
          </cell>
          <cell r="E8426" t="str">
            <v>DD</v>
          </cell>
          <cell r="F8426" t="str">
            <v>Woods &amp; Coppins, 2012</v>
          </cell>
          <cell r="G8426" t="str">
            <v>NHMSYS0020990817</v>
          </cell>
          <cell r="H8426" t="str">
            <v>Rhizocarpon infernulum f. infernulum</v>
          </cell>
        </row>
        <row r="8427">
          <cell r="A8427" t="str">
            <v>Rhizocarpon jemtlandicum</v>
          </cell>
          <cell r="B8427" t="str">
            <v>Lichens</v>
          </cell>
          <cell r="C8427" t="str">
            <v>Mycophycophyta</v>
          </cell>
          <cell r="D8427" t="str">
            <v>Rhizocarpon jemtlandicum</v>
          </cell>
          <cell r="E8427" t="str">
            <v>DD</v>
          </cell>
          <cell r="F8427" t="str">
            <v>Woods &amp; Coppins, 2012</v>
          </cell>
          <cell r="G8427" t="str">
            <v>NHMSYS0001496276</v>
          </cell>
          <cell r="H8427" t="str">
            <v>Rhizocarpon jemtlandicum</v>
          </cell>
        </row>
        <row r="8428">
          <cell r="A8428" t="str">
            <v>Rhizocarpon postumum</v>
          </cell>
          <cell r="B8428" t="str">
            <v>Lichens</v>
          </cell>
          <cell r="C8428" t="str">
            <v>Mycophycophyta</v>
          </cell>
          <cell r="D8428" t="str">
            <v>Rhizocarpon postumum</v>
          </cell>
          <cell r="E8428" t="str">
            <v>DD</v>
          </cell>
          <cell r="F8428" t="str">
            <v>Woods &amp; Coppins, 2012</v>
          </cell>
          <cell r="G8428" t="str">
            <v>NBNSYS0000039772</v>
          </cell>
          <cell r="H8428" t="str">
            <v>Rhizocarpon postumum</v>
          </cell>
        </row>
        <row r="8429">
          <cell r="A8429" t="str">
            <v>Rhizocarpon simillimum</v>
          </cell>
          <cell r="B8429" t="str">
            <v>Lichens</v>
          </cell>
          <cell r="C8429" t="str">
            <v>Mycophycophyta</v>
          </cell>
          <cell r="D8429" t="str">
            <v>Rhizocarpon simillimum</v>
          </cell>
          <cell r="E8429" t="str">
            <v>DD</v>
          </cell>
          <cell r="F8429" t="str">
            <v>Woods &amp; Coppins, 2012</v>
          </cell>
          <cell r="G8429" t="str">
            <v>NBNSYS0000039774</v>
          </cell>
          <cell r="H8429" t="str">
            <v>Rhizocarpon simillimum</v>
          </cell>
        </row>
        <row r="8430">
          <cell r="A8430" t="str">
            <v>Rhizocarpon superficiale</v>
          </cell>
          <cell r="B8430" t="str">
            <v>Lichens</v>
          </cell>
          <cell r="C8430" t="str">
            <v>Mycophycophyta</v>
          </cell>
          <cell r="D8430" t="str">
            <v>Rhizocarpon superficiale</v>
          </cell>
          <cell r="E8430" t="str">
            <v>DD</v>
          </cell>
          <cell r="F8430" t="str">
            <v>Woods &amp; Coppins, 2012</v>
          </cell>
          <cell r="G8430" t="str">
            <v>NHMSYS0001496295</v>
          </cell>
          <cell r="H8430" t="str">
            <v>Rhizocarpon superficiale</v>
          </cell>
        </row>
        <row r="8431">
          <cell r="A8431" t="str">
            <v>Rinodina biloculata</v>
          </cell>
          <cell r="B8431" t="str">
            <v>Lichens</v>
          </cell>
          <cell r="C8431" t="str">
            <v>Mycophycophyta</v>
          </cell>
          <cell r="D8431" t="str">
            <v>Rinodina biloculata</v>
          </cell>
          <cell r="E8431" t="str">
            <v>DD</v>
          </cell>
          <cell r="F8431" t="str">
            <v>Woods &amp; Coppins, 2012</v>
          </cell>
          <cell r="G8431" t="str">
            <v>NHMSYS0021576773</v>
          </cell>
          <cell r="H8431" t="str">
            <v>Rinodina biloculata</v>
          </cell>
        </row>
        <row r="8432">
          <cell r="A8432" t="str">
            <v>Rinodina exigua</v>
          </cell>
          <cell r="B8432" t="str">
            <v>Lichens</v>
          </cell>
          <cell r="C8432" t="str">
            <v>Mycophycophyta</v>
          </cell>
          <cell r="D8432" t="str">
            <v>Rinodina exigua</v>
          </cell>
          <cell r="E8432" t="str">
            <v>DD</v>
          </cell>
          <cell r="F8432" t="str">
            <v>Woods &amp; Coppins, 2012</v>
          </cell>
          <cell r="G8432" t="str">
            <v>NBNSYS0000019004</v>
          </cell>
          <cell r="H8432" t="str">
            <v>Rinodina exigua</v>
          </cell>
        </row>
        <row r="8433">
          <cell r="A8433" t="str">
            <v>Rinodina immersa</v>
          </cell>
          <cell r="B8433" t="str">
            <v>Lichens</v>
          </cell>
          <cell r="C8433" t="str">
            <v>Mycophycophyta</v>
          </cell>
          <cell r="D8433" t="str">
            <v>Rinodina immersa</v>
          </cell>
          <cell r="E8433" t="str">
            <v>DD</v>
          </cell>
          <cell r="F8433" t="str">
            <v>Woods &amp; Coppins, 2012</v>
          </cell>
          <cell r="G8433" t="str">
            <v>NBNSYS0000019006</v>
          </cell>
          <cell r="H8433" t="str">
            <v>Rinodina immersa</v>
          </cell>
        </row>
        <row r="8434">
          <cell r="A8434" t="str">
            <v>Rinodina intermedia</v>
          </cell>
          <cell r="B8434" t="str">
            <v>Lichens</v>
          </cell>
          <cell r="C8434" t="str">
            <v>Mycophycophyta</v>
          </cell>
          <cell r="D8434" t="str">
            <v>Rinodina intermedia</v>
          </cell>
          <cell r="E8434" t="str">
            <v>DD</v>
          </cell>
          <cell r="F8434" t="str">
            <v>Woods &amp; Coppins, 2012</v>
          </cell>
          <cell r="G8434" t="str">
            <v>BMSSYS0000016424</v>
          </cell>
          <cell r="H8434" t="str">
            <v>Rinodina intermedia</v>
          </cell>
        </row>
        <row r="8435">
          <cell r="A8435" t="str">
            <v>Rinodina occulta</v>
          </cell>
          <cell r="B8435" t="str">
            <v>Lichens</v>
          </cell>
          <cell r="C8435" t="str">
            <v>Mycophycophyta</v>
          </cell>
          <cell r="D8435" t="str">
            <v>Rinodina occulta</v>
          </cell>
          <cell r="E8435" t="str">
            <v>DD</v>
          </cell>
          <cell r="F8435" t="str">
            <v>Woods &amp; Coppins, 2012</v>
          </cell>
          <cell r="G8435" t="str">
            <v>NHMSYS0001496501</v>
          </cell>
          <cell r="H8435" t="str">
            <v>Rinodina occulta</v>
          </cell>
        </row>
        <row r="8436">
          <cell r="A8436" t="str">
            <v>Rinodina pyrina</v>
          </cell>
          <cell r="B8436" t="str">
            <v>Lichens</v>
          </cell>
          <cell r="C8436" t="str">
            <v>Mycophycophyta</v>
          </cell>
          <cell r="D8436" t="str">
            <v>Rinodina pyrina</v>
          </cell>
          <cell r="E8436" t="str">
            <v>DD</v>
          </cell>
          <cell r="F8436" t="str">
            <v>Woods &amp; Coppins, 2012</v>
          </cell>
          <cell r="G8436" t="str">
            <v>NBNSYS0000019014</v>
          </cell>
          <cell r="H8436" t="str">
            <v>Rinodina pyrina</v>
          </cell>
        </row>
        <row r="8437">
          <cell r="A8437" t="str">
            <v>Sphinctrina anglica</v>
          </cell>
          <cell r="B8437" t="str">
            <v>Lichens</v>
          </cell>
          <cell r="C8437" t="str">
            <v>Mycophycophyta</v>
          </cell>
          <cell r="D8437" t="str">
            <v>Sphinctrina anglica</v>
          </cell>
          <cell r="E8437" t="str">
            <v>DD</v>
          </cell>
          <cell r="F8437" t="str">
            <v>Woods &amp; Coppins, 2012</v>
          </cell>
          <cell r="G8437" t="str">
            <v>NBNSYS0000015582</v>
          </cell>
          <cell r="H8437" t="str">
            <v>Sphinctrina anglica</v>
          </cell>
        </row>
        <row r="8438">
          <cell r="A8438" t="str">
            <v>Sphinctrina leucopoda</v>
          </cell>
          <cell r="B8438" t="str">
            <v>Lichens</v>
          </cell>
          <cell r="C8438" t="str">
            <v>Mycophycophyta</v>
          </cell>
          <cell r="D8438" t="str">
            <v>Sphinctrina leucopoda</v>
          </cell>
          <cell r="E8438" t="str">
            <v>DD</v>
          </cell>
          <cell r="F8438" t="str">
            <v>Woods &amp; Coppins, 2012</v>
          </cell>
          <cell r="G8438" t="str">
            <v>NBNSYS0000015583</v>
          </cell>
          <cell r="H8438" t="str">
            <v>Sphinctrina leucopoda</v>
          </cell>
        </row>
        <row r="8439">
          <cell r="A8439" t="str">
            <v>Sphinctrina tubiformis</v>
          </cell>
          <cell r="B8439" t="str">
            <v>Lichens</v>
          </cell>
          <cell r="C8439" t="str">
            <v>Mycophycophyta</v>
          </cell>
          <cell r="D8439" t="str">
            <v>Sphinctrina tubiformis</v>
          </cell>
          <cell r="E8439" t="str">
            <v>DD</v>
          </cell>
          <cell r="F8439" t="str">
            <v>Woods &amp; Coppins, 2012</v>
          </cell>
          <cell r="G8439" t="str">
            <v>NBNSYS0000015584</v>
          </cell>
          <cell r="H8439" t="str">
            <v>Sphinctrina tubiformis</v>
          </cell>
        </row>
        <row r="8440">
          <cell r="A8440" t="str">
            <v>Staurothele frustulenta</v>
          </cell>
          <cell r="B8440" t="str">
            <v>Lichens</v>
          </cell>
          <cell r="C8440" t="str">
            <v>Mycophycophyta</v>
          </cell>
          <cell r="D8440" t="str">
            <v>Staurothele frustulenta</v>
          </cell>
          <cell r="E8440" t="str">
            <v>DD</v>
          </cell>
          <cell r="F8440" t="str">
            <v>Woods &amp; Coppins, 2012</v>
          </cell>
          <cell r="G8440" t="str">
            <v>BMSSYS0000017888</v>
          </cell>
          <cell r="H8440" t="str">
            <v>Staurothele frustulenta</v>
          </cell>
        </row>
        <row r="8441">
          <cell r="A8441" t="str">
            <v>Staurothele guestphalica</v>
          </cell>
          <cell r="B8441" t="str">
            <v>Lichens</v>
          </cell>
          <cell r="C8441" t="str">
            <v>Mycophycophyta</v>
          </cell>
          <cell r="D8441" t="str">
            <v>Staurothele guestphalica</v>
          </cell>
          <cell r="E8441" t="str">
            <v>DD</v>
          </cell>
          <cell r="F8441" t="str">
            <v>Woods &amp; Coppins, 2012</v>
          </cell>
          <cell r="G8441" t="str">
            <v>NHMSYS0001498852</v>
          </cell>
          <cell r="H8441" t="str">
            <v>Staurothele guestphalica</v>
          </cell>
        </row>
        <row r="8442">
          <cell r="A8442" t="str">
            <v>Strangospora deplanata</v>
          </cell>
          <cell r="B8442" t="str">
            <v>Lichens</v>
          </cell>
          <cell r="C8442" t="str">
            <v>Mycophycophyta</v>
          </cell>
          <cell r="D8442" t="str">
            <v>Strangospora deplanata</v>
          </cell>
          <cell r="E8442" t="str">
            <v>DD</v>
          </cell>
          <cell r="F8442" t="str">
            <v>Woods &amp; Coppins, 2012</v>
          </cell>
          <cell r="G8442" t="str">
            <v>NHMSYS0001443285</v>
          </cell>
          <cell r="H8442" t="str">
            <v>Strangospora deplanata</v>
          </cell>
        </row>
        <row r="8443">
          <cell r="A8443" t="str">
            <v>Strigula tagananae</v>
          </cell>
          <cell r="B8443" t="str">
            <v>Lichens</v>
          </cell>
          <cell r="C8443" t="str">
            <v>Mycophycophyta</v>
          </cell>
          <cell r="D8443" t="str">
            <v>Strigula tagananae</v>
          </cell>
          <cell r="E8443" t="str">
            <v>DD</v>
          </cell>
          <cell r="F8443" t="str">
            <v>Woods &amp; Coppins, 2012</v>
          </cell>
          <cell r="G8443" t="str">
            <v>BMSSYS0000018126</v>
          </cell>
          <cell r="H8443" t="str">
            <v>Strigula tagananae</v>
          </cell>
        </row>
        <row r="8444">
          <cell r="A8444" t="str">
            <v>Tephromela pertusarioides</v>
          </cell>
          <cell r="B8444" t="str">
            <v>Lichens</v>
          </cell>
          <cell r="C8444" t="str">
            <v>Mycophycophyta</v>
          </cell>
          <cell r="D8444" t="str">
            <v>Tephromela pertusarioides</v>
          </cell>
          <cell r="E8444" t="str">
            <v>DD</v>
          </cell>
          <cell r="F8444" t="str">
            <v>Woods &amp; Coppins, 2012</v>
          </cell>
          <cell r="G8444" t="str">
            <v>NHMSYS0001499455</v>
          </cell>
          <cell r="H8444" t="str">
            <v>Tephromela pertusarioides</v>
          </cell>
        </row>
        <row r="8445">
          <cell r="A8445" t="str">
            <v>Thelocarpon magnussonii</v>
          </cell>
          <cell r="B8445" t="str">
            <v>Lichens</v>
          </cell>
          <cell r="C8445" t="str">
            <v>Mycophycophyta</v>
          </cell>
          <cell r="D8445" t="str">
            <v>Thelocarpon magnussonii</v>
          </cell>
          <cell r="E8445" t="str">
            <v>DD</v>
          </cell>
          <cell r="F8445" t="str">
            <v>Woods &amp; Coppins, 2012</v>
          </cell>
          <cell r="G8445" t="str">
            <v>NHMSYS0001499650</v>
          </cell>
          <cell r="H8445" t="str">
            <v>Thelocarpon magnussonii</v>
          </cell>
        </row>
        <row r="8446">
          <cell r="A8446" t="str">
            <v>Thelopsis isiaca</v>
          </cell>
          <cell r="B8446" t="str">
            <v>Lichens</v>
          </cell>
          <cell r="C8446" t="str">
            <v>Mycophycophyta</v>
          </cell>
          <cell r="D8446" t="str">
            <v>Thelopsis isiaca</v>
          </cell>
          <cell r="E8446" t="str">
            <v>DD</v>
          </cell>
          <cell r="F8446" t="str">
            <v>Woods &amp; Coppins, 2012</v>
          </cell>
          <cell r="G8446" t="str">
            <v>BMSSYS0000018499</v>
          </cell>
          <cell r="H8446" t="str">
            <v>Thelopsis isiaca</v>
          </cell>
        </row>
        <row r="8447">
          <cell r="A8447" t="str">
            <v>Toninia subfuscae</v>
          </cell>
          <cell r="B8447" t="str">
            <v>Lichens</v>
          </cell>
          <cell r="C8447" t="str">
            <v>Mycophycophyta</v>
          </cell>
          <cell r="D8447" t="str">
            <v>Toninia subfuscae</v>
          </cell>
          <cell r="E8447" t="str">
            <v>DD</v>
          </cell>
          <cell r="F8447" t="str">
            <v>Woods &amp; Coppins, 2012</v>
          </cell>
          <cell r="G8447" t="str">
            <v>NHMSYS0001499845</v>
          </cell>
          <cell r="H8447" t="str">
            <v>Toninia subfuscae</v>
          </cell>
        </row>
        <row r="8448">
          <cell r="A8448" t="str">
            <v>Trapeliopsis aeneofusca</v>
          </cell>
          <cell r="B8448" t="str">
            <v>Lichens</v>
          </cell>
          <cell r="C8448" t="str">
            <v>Mycophycophyta</v>
          </cell>
          <cell r="D8448" t="str">
            <v>Trapeliopsis aeneofusca</v>
          </cell>
          <cell r="E8448" t="str">
            <v>DD</v>
          </cell>
          <cell r="F8448" t="str">
            <v>Woods &amp; Coppins, 2012</v>
          </cell>
          <cell r="G8448" t="str">
            <v>NBNSYS0000019110</v>
          </cell>
          <cell r="H8448" t="str">
            <v>Trapeliopsis aeneofusca</v>
          </cell>
        </row>
        <row r="8449">
          <cell r="A8449" t="str">
            <v>Trapeliopsis viridescens</v>
          </cell>
          <cell r="B8449" t="str">
            <v>Lichens</v>
          </cell>
          <cell r="C8449" t="str">
            <v>Mycophycophyta</v>
          </cell>
          <cell r="D8449" t="str">
            <v>Trapeliopsis viridescens</v>
          </cell>
          <cell r="E8449" t="str">
            <v>DD</v>
          </cell>
          <cell r="F8449" t="str">
            <v>Woods &amp; Coppins, 2012</v>
          </cell>
          <cell r="G8449" t="str">
            <v>NBNSYS0000019117</v>
          </cell>
          <cell r="H8449" t="str">
            <v>Trapeliopsis viridescens</v>
          </cell>
        </row>
        <row r="8450">
          <cell r="A8450" t="str">
            <v>Usnea flavocardia</v>
          </cell>
          <cell r="B8450" t="str">
            <v>Lichens</v>
          </cell>
          <cell r="C8450" t="str">
            <v>Mycophycophyta</v>
          </cell>
          <cell r="D8450" t="str">
            <v>Usnea flavocardia</v>
          </cell>
          <cell r="E8450" t="str">
            <v>DD</v>
          </cell>
          <cell r="F8450" t="str">
            <v>Woods &amp; Coppins, 2012</v>
          </cell>
          <cell r="G8450" t="str">
            <v>NHMSYS0001501164</v>
          </cell>
          <cell r="H8450" t="str">
            <v>Usnea flavocardia</v>
          </cell>
        </row>
        <row r="8451">
          <cell r="A8451" t="str">
            <v>Usnea glabrata</v>
          </cell>
          <cell r="B8451" t="str">
            <v>Lichens</v>
          </cell>
          <cell r="C8451" t="str">
            <v>Mycophycophyta</v>
          </cell>
          <cell r="D8451" t="str">
            <v>Usnea glabrata</v>
          </cell>
          <cell r="E8451" t="str">
            <v>DD</v>
          </cell>
          <cell r="F8451" t="str">
            <v>Woods &amp; Coppins, 2012</v>
          </cell>
          <cell r="G8451" t="str">
            <v>NBNSYS0000019143</v>
          </cell>
          <cell r="H8451" t="str">
            <v>Usnea glabrata</v>
          </cell>
        </row>
        <row r="8452">
          <cell r="A8452" t="str">
            <v>Verrucaria cyanea</v>
          </cell>
          <cell r="B8452" t="str">
            <v>Lichens</v>
          </cell>
          <cell r="C8452" t="str">
            <v>Mycophycophyta</v>
          </cell>
          <cell r="D8452" t="str">
            <v>Verrucaria cyanea</v>
          </cell>
          <cell r="E8452" t="str">
            <v>DD</v>
          </cell>
          <cell r="F8452" t="str">
            <v>Woods &amp; Coppins, 2012</v>
          </cell>
          <cell r="G8452" t="str">
            <v>NBNSYS0000020675</v>
          </cell>
          <cell r="H8452" t="str">
            <v>Verrucaria cyanea</v>
          </cell>
        </row>
        <row r="8453">
          <cell r="A8453" t="str">
            <v>Verrucaria knowlesiae</v>
          </cell>
          <cell r="B8453" t="str">
            <v>Lichens</v>
          </cell>
          <cell r="C8453" t="str">
            <v>Mycophycophyta</v>
          </cell>
          <cell r="D8453" t="str">
            <v>Verrucaria knowlesiae</v>
          </cell>
          <cell r="E8453" t="str">
            <v>DD</v>
          </cell>
          <cell r="F8453" t="str">
            <v>Woods &amp; Coppins, 2012</v>
          </cell>
          <cell r="G8453" t="str">
            <v>NHMSYS0001501622</v>
          </cell>
          <cell r="H8453" t="str">
            <v>Verrucaria knowlesiae</v>
          </cell>
        </row>
        <row r="8454">
          <cell r="A8454" t="str">
            <v>Verrucaria latericola</v>
          </cell>
          <cell r="B8454" t="str">
            <v>Lichens</v>
          </cell>
          <cell r="C8454" t="str">
            <v>Mycophycophyta</v>
          </cell>
          <cell r="D8454" t="str">
            <v>Verrucaria latericola</v>
          </cell>
          <cell r="E8454" t="str">
            <v>DD</v>
          </cell>
          <cell r="F8454" t="str">
            <v>Woods &amp; Coppins, 2012</v>
          </cell>
          <cell r="G8454" t="str">
            <v>NHMSYS0001501628</v>
          </cell>
          <cell r="H8454" t="str">
            <v>Verrucaria latericola</v>
          </cell>
        </row>
        <row r="8455">
          <cell r="A8455" t="str">
            <v>Verrucaria ochrostoma</v>
          </cell>
          <cell r="B8455" t="str">
            <v>Lichens</v>
          </cell>
          <cell r="C8455" t="str">
            <v>Mycophycophyta</v>
          </cell>
          <cell r="D8455" t="str">
            <v>Verrucaria ochrostoma</v>
          </cell>
          <cell r="E8455" t="str">
            <v>DD</v>
          </cell>
          <cell r="F8455" t="str">
            <v>Woods &amp; Coppins, 2012</v>
          </cell>
          <cell r="G8455" t="str">
            <v>NHMSYS0001501668</v>
          </cell>
          <cell r="H8455" t="str">
            <v>Verrucaria ochrostoma</v>
          </cell>
        </row>
        <row r="8456">
          <cell r="A8456" t="str">
            <v>Verrucaria pachyderma</v>
          </cell>
          <cell r="B8456" t="str">
            <v>Lichens</v>
          </cell>
          <cell r="C8456" t="str">
            <v>Mycophycophyta</v>
          </cell>
          <cell r="D8456" t="str">
            <v>Verrucaria pachyderma</v>
          </cell>
          <cell r="E8456" t="str">
            <v>DD</v>
          </cell>
          <cell r="F8456" t="str">
            <v>Woods &amp; Coppins, 2012</v>
          </cell>
          <cell r="G8456" t="str">
            <v>NHMSYS0000364506</v>
          </cell>
          <cell r="H8456" t="str">
            <v>Verrucaria pachyderma</v>
          </cell>
        </row>
        <row r="8457">
          <cell r="A8457" t="str">
            <v>Verrucaria sandstedei</v>
          </cell>
          <cell r="B8457" t="str">
            <v>Lichens</v>
          </cell>
          <cell r="C8457" t="str">
            <v>Mycophycophyta</v>
          </cell>
          <cell r="D8457" t="str">
            <v>Verrucaria sandstedei</v>
          </cell>
          <cell r="E8457" t="str">
            <v>DD</v>
          </cell>
          <cell r="F8457" t="str">
            <v>Woods &amp; Coppins, 2012</v>
          </cell>
          <cell r="G8457" t="str">
            <v>NHMSYS0020991019</v>
          </cell>
          <cell r="H8457" t="str">
            <v>Verrucaria sandstedei</v>
          </cell>
        </row>
        <row r="8458">
          <cell r="A8458" t="str">
            <v>Xanthoparmelia luteonotata</v>
          </cell>
          <cell r="B8458" t="str">
            <v>Lichens</v>
          </cell>
          <cell r="C8458" t="str">
            <v>Mycophycophyta</v>
          </cell>
          <cell r="D8458" t="str">
            <v>Xanthoparmelia luteonotata</v>
          </cell>
          <cell r="E8458" t="str">
            <v>DD</v>
          </cell>
          <cell r="F8458" t="str">
            <v>Woods &amp; Coppins, 2012</v>
          </cell>
          <cell r="G8458" t="str">
            <v>NHMSYS0020536349</v>
          </cell>
          <cell r="H8458" t="str">
            <v>Xanthoparmelia luteonotata</v>
          </cell>
        </row>
        <row r="8459">
          <cell r="A8459" t="str">
            <v>Xanthoparmelia protomatrae</v>
          </cell>
          <cell r="B8459" t="str">
            <v>Lichens</v>
          </cell>
          <cell r="C8459" t="str">
            <v>Mycophycophyta</v>
          </cell>
          <cell r="D8459" t="str">
            <v>Xanthoparmelia protomatrae</v>
          </cell>
          <cell r="E8459" t="str">
            <v>DD</v>
          </cell>
          <cell r="F8459" t="str">
            <v>Woods &amp; Coppins, 2012</v>
          </cell>
          <cell r="G8459" t="str">
            <v>BMSSYS0000019750</v>
          </cell>
          <cell r="H8459" t="str">
            <v>Xanthoparmelia protomatrae</v>
          </cell>
        </row>
        <row r="8460">
          <cell r="A8460" t="str">
            <v>Xanthoria fulva</v>
          </cell>
          <cell r="B8460" t="str">
            <v>Lichens</v>
          </cell>
          <cell r="C8460" t="str">
            <v>Mycophycophyta</v>
          </cell>
          <cell r="D8460" t="str">
            <v>Xanthoria fulva</v>
          </cell>
          <cell r="E8460" t="str">
            <v>DD</v>
          </cell>
          <cell r="F8460" t="str">
            <v>Woods &amp; Coppins, 2012</v>
          </cell>
          <cell r="G8460" t="str">
            <v>NHMSYS0001501923</v>
          </cell>
          <cell r="H8460" t="str">
            <v>Xanthoria fulva</v>
          </cell>
        </row>
        <row r="8461">
          <cell r="A8461" t="str">
            <v>Lamia textor</v>
          </cell>
          <cell r="B8461" t="str">
            <v>Longhorn beetles</v>
          </cell>
          <cell r="C8461" t="str">
            <v>Coleoptera</v>
          </cell>
          <cell r="D8461" t="str">
            <v>Lamia textor</v>
          </cell>
          <cell r="E8461" t="str">
            <v>DD</v>
          </cell>
          <cell r="F8461" t="str">
            <v>Alexander, 2019</v>
          </cell>
          <cell r="G8461" t="str">
            <v>NBNSYS0000011050</v>
          </cell>
          <cell r="H8461" t="str">
            <v>Lamia textor</v>
          </cell>
        </row>
        <row r="8462">
          <cell r="A8462" t="str">
            <v>Achalcus nigropunctatus</v>
          </cell>
          <cell r="B8462" t="str">
            <v>Long-legged flies</v>
          </cell>
          <cell r="C8462" t="str">
            <v>Diptera</v>
          </cell>
          <cell r="D8462" t="str">
            <v>Achalcus nigropunctatus</v>
          </cell>
          <cell r="E8462" t="str">
            <v>DD</v>
          </cell>
          <cell r="F8462" t="str">
            <v>Drake, 2018</v>
          </cell>
          <cell r="G8462" t="str">
            <v>NHMSYS0021265287</v>
          </cell>
          <cell r="H8462" t="str">
            <v>Achalcus nigropunctatus</v>
          </cell>
        </row>
        <row r="8463">
          <cell r="A8463" t="str">
            <v>Acropsilus niger</v>
          </cell>
          <cell r="B8463" t="str">
            <v>Long-legged flies</v>
          </cell>
          <cell r="C8463" t="str">
            <v>Diptera</v>
          </cell>
          <cell r="D8463" t="str">
            <v>Acropsilus niger</v>
          </cell>
          <cell r="E8463" t="str">
            <v>DD</v>
          </cell>
          <cell r="F8463" t="str">
            <v>Drake, 2018</v>
          </cell>
          <cell r="G8463" t="str">
            <v>NBNSYS0000012806</v>
          </cell>
          <cell r="H8463" t="str">
            <v>Acropsilus niger</v>
          </cell>
        </row>
        <row r="8464">
          <cell r="A8464" t="str">
            <v>Asyndetus latifrons</v>
          </cell>
          <cell r="B8464" t="str">
            <v>Long-legged flies</v>
          </cell>
          <cell r="C8464" t="str">
            <v>Diptera</v>
          </cell>
          <cell r="D8464" t="str">
            <v>Asyndetus latifrons</v>
          </cell>
          <cell r="E8464" t="str">
            <v>DD</v>
          </cell>
          <cell r="F8464" t="str">
            <v>Drake, 2018</v>
          </cell>
          <cell r="G8464" t="str">
            <v>NHMSYS0021265302</v>
          </cell>
          <cell r="H8464" t="str">
            <v>Asyndetus latifrons</v>
          </cell>
        </row>
        <row r="8465">
          <cell r="A8465" t="str">
            <v>Campsicnemus umbripennis</v>
          </cell>
          <cell r="B8465" t="str">
            <v>Long-legged flies</v>
          </cell>
          <cell r="C8465" t="str">
            <v>Diptera</v>
          </cell>
          <cell r="D8465" t="str">
            <v>Campsicnemus umbripennis</v>
          </cell>
          <cell r="E8465" t="str">
            <v>DD</v>
          </cell>
          <cell r="F8465" t="str">
            <v>Drake, 2018</v>
          </cell>
          <cell r="G8465" t="str">
            <v>NHMSYS0000078741</v>
          </cell>
          <cell r="H8465" t="str">
            <v>Campsicnemus umbripennis</v>
          </cell>
        </row>
        <row r="8466">
          <cell r="A8466" t="str">
            <v>Chrysotus verralli</v>
          </cell>
          <cell r="B8466" t="str">
            <v>Long-legged flies</v>
          </cell>
          <cell r="C8466" t="str">
            <v>Diptera</v>
          </cell>
          <cell r="D8466" t="str">
            <v>Chrysotus verralli</v>
          </cell>
          <cell r="E8466" t="str">
            <v>DD</v>
          </cell>
          <cell r="F8466" t="str">
            <v>Drake, 2018</v>
          </cell>
          <cell r="G8466" t="str">
            <v>NBNSYS0000012777</v>
          </cell>
          <cell r="H8466" t="str">
            <v>Chrysotus verralli</v>
          </cell>
        </row>
        <row r="8467">
          <cell r="A8467" t="str">
            <v>Diaphorus winthemi</v>
          </cell>
          <cell r="B8467" t="str">
            <v>Long-legged flies</v>
          </cell>
          <cell r="C8467" t="str">
            <v>Diptera</v>
          </cell>
          <cell r="D8467" t="str">
            <v>Diaphorus winthemi</v>
          </cell>
          <cell r="E8467" t="str">
            <v>DD</v>
          </cell>
          <cell r="F8467" t="str">
            <v>Drake, 2018</v>
          </cell>
          <cell r="G8467" t="str">
            <v>NBNSYS0000012759</v>
          </cell>
          <cell r="H8467" t="str">
            <v>Diaphorus winthemi</v>
          </cell>
        </row>
        <row r="8468">
          <cell r="A8468" t="str">
            <v>Dolichophorus kerteszi</v>
          </cell>
          <cell r="B8468" t="str">
            <v>Long-legged flies</v>
          </cell>
          <cell r="C8468" t="str">
            <v>Diptera</v>
          </cell>
          <cell r="D8468" t="str">
            <v>Dolichophorus kerteszi</v>
          </cell>
          <cell r="E8468" t="str">
            <v>DD</v>
          </cell>
          <cell r="F8468" t="str">
            <v>Drake, 2018</v>
          </cell>
          <cell r="G8468" t="str">
            <v>NHMSYS0020973794</v>
          </cell>
          <cell r="H8468" t="str">
            <v>Dolichophorus kerteszi</v>
          </cell>
        </row>
        <row r="8469">
          <cell r="A8469" t="str">
            <v>Dolichopus calinotus</v>
          </cell>
          <cell r="B8469" t="str">
            <v>Long-legged flies</v>
          </cell>
          <cell r="C8469" t="str">
            <v>Diptera</v>
          </cell>
          <cell r="D8469" t="str">
            <v>Dolichopus calinotus</v>
          </cell>
          <cell r="E8469" t="str">
            <v>DD</v>
          </cell>
          <cell r="F8469" t="str">
            <v>Drake, 2018</v>
          </cell>
          <cell r="G8469" t="str">
            <v>NHMSYS0021265307</v>
          </cell>
          <cell r="H8469" t="str">
            <v>Dolichopus calinotus</v>
          </cell>
        </row>
        <row r="8470">
          <cell r="A8470" t="str">
            <v>Dolichopus excisus</v>
          </cell>
          <cell r="B8470" t="str">
            <v>Long-legged flies</v>
          </cell>
          <cell r="C8470" t="str">
            <v>Diptera</v>
          </cell>
          <cell r="D8470" t="str">
            <v>Dolichopus excisus</v>
          </cell>
          <cell r="E8470" t="str">
            <v>DD</v>
          </cell>
          <cell r="F8470" t="str">
            <v>Drake, 2018</v>
          </cell>
          <cell r="G8470" t="str">
            <v>NHMSYS0020974185</v>
          </cell>
          <cell r="H8470" t="str">
            <v>Dolichopus excisus</v>
          </cell>
        </row>
        <row r="8471">
          <cell r="A8471" t="str">
            <v>Hercostomus fulvicaudis</v>
          </cell>
          <cell r="B8471" t="str">
            <v>Long-legged flies</v>
          </cell>
          <cell r="C8471" t="str">
            <v>Diptera</v>
          </cell>
          <cell r="D8471" t="str">
            <v>Hercostomus fulvicaudis</v>
          </cell>
          <cell r="E8471" t="str">
            <v>DD</v>
          </cell>
          <cell r="F8471" t="str">
            <v>Drake, 2018</v>
          </cell>
          <cell r="G8471" t="str">
            <v>NBNSYS0000012622</v>
          </cell>
          <cell r="H8471" t="str">
            <v>Hercostomus fulvicaudis</v>
          </cell>
        </row>
        <row r="8472">
          <cell r="A8472" t="str">
            <v>Hercostomus rothi</v>
          </cell>
          <cell r="B8472" t="str">
            <v>Long-legged flies</v>
          </cell>
          <cell r="C8472" t="str">
            <v>Diptera</v>
          </cell>
          <cell r="D8472" t="str">
            <v>Hercostomus rothi</v>
          </cell>
          <cell r="E8472" t="str">
            <v>DD</v>
          </cell>
          <cell r="F8472" t="str">
            <v>Drake, 2018</v>
          </cell>
          <cell r="G8472" t="str">
            <v>NHMSYS0021265342</v>
          </cell>
          <cell r="H8472" t="str">
            <v>Hercostomus rothi</v>
          </cell>
        </row>
        <row r="8473">
          <cell r="A8473" t="str">
            <v>Hercostomus verbekei</v>
          </cell>
          <cell r="B8473" t="str">
            <v>Long-legged flies</v>
          </cell>
          <cell r="C8473" t="str">
            <v>Diptera</v>
          </cell>
          <cell r="D8473" t="str">
            <v>Hercostomus verbekei</v>
          </cell>
          <cell r="E8473" t="str">
            <v>DD</v>
          </cell>
          <cell r="F8473" t="str">
            <v>Drake, 2018</v>
          </cell>
          <cell r="G8473" t="str">
            <v>NBNSYS0100003445</v>
          </cell>
          <cell r="H8473" t="str">
            <v>Hercostomus verbekei</v>
          </cell>
        </row>
        <row r="8474">
          <cell r="A8474" t="str">
            <v>Lamprochromus kowarzi</v>
          </cell>
          <cell r="B8474" t="str">
            <v>Long-legged flies</v>
          </cell>
          <cell r="C8474" t="str">
            <v>Diptera</v>
          </cell>
          <cell r="D8474" t="str">
            <v>Lamprochromus kowarzi</v>
          </cell>
          <cell r="E8474" t="str">
            <v>DD</v>
          </cell>
          <cell r="F8474" t="str">
            <v>Drake, 2018</v>
          </cell>
          <cell r="G8474" t="str">
            <v>NHMSYS0021199762</v>
          </cell>
          <cell r="H8474" t="str">
            <v>Lamprochromus kowarzi</v>
          </cell>
        </row>
        <row r="8475">
          <cell r="A8475" t="str">
            <v>Lamprochromus strobli</v>
          </cell>
          <cell r="B8475" t="str">
            <v>Long-legged flies</v>
          </cell>
          <cell r="C8475" t="str">
            <v>Diptera</v>
          </cell>
          <cell r="D8475" t="str">
            <v>Lamprochromus semiflavus</v>
          </cell>
          <cell r="E8475" t="str">
            <v>DD</v>
          </cell>
          <cell r="F8475" t="str">
            <v>Drake, 2018</v>
          </cell>
          <cell r="G8475" t="str">
            <v>NHMSYS0021265377</v>
          </cell>
          <cell r="H8475" t="str">
            <v>Lamprochromus strobli</v>
          </cell>
        </row>
        <row r="8476">
          <cell r="A8476" t="str">
            <v>Medetera bispinosa</v>
          </cell>
          <cell r="B8476" t="str">
            <v>Long-legged flies</v>
          </cell>
          <cell r="C8476" t="str">
            <v>Diptera</v>
          </cell>
          <cell r="D8476" t="str">
            <v>Medetera bispinosa</v>
          </cell>
          <cell r="E8476" t="str">
            <v>DD</v>
          </cell>
          <cell r="F8476" t="str">
            <v>Drake, 2018</v>
          </cell>
          <cell r="G8476" t="str">
            <v>NBNSYS0100003884</v>
          </cell>
          <cell r="H8476" t="str">
            <v>Medetera bispinosa</v>
          </cell>
        </row>
        <row r="8477">
          <cell r="A8477" t="str">
            <v>Medetera borealis</v>
          </cell>
          <cell r="B8477" t="str">
            <v>Long-legged flies</v>
          </cell>
          <cell r="C8477" t="str">
            <v>Diptera</v>
          </cell>
          <cell r="D8477" t="str">
            <v>Medetera borealis</v>
          </cell>
          <cell r="E8477" t="str">
            <v>DD</v>
          </cell>
          <cell r="F8477" t="str">
            <v>Drake, 2018</v>
          </cell>
          <cell r="G8477" t="str">
            <v>NBNSYS0000012667</v>
          </cell>
          <cell r="H8477" t="str">
            <v>Medetera borealis</v>
          </cell>
        </row>
        <row r="8478">
          <cell r="A8478" t="str">
            <v>Medetera excellens</v>
          </cell>
          <cell r="B8478" t="str">
            <v>Long-legged flies</v>
          </cell>
          <cell r="C8478" t="str">
            <v>Diptera</v>
          </cell>
          <cell r="D8478" t="str">
            <v>Medetera excellens</v>
          </cell>
          <cell r="E8478" t="str">
            <v>DD</v>
          </cell>
          <cell r="F8478" t="str">
            <v>Drake, 2018</v>
          </cell>
          <cell r="G8478" t="str">
            <v>NBNSYS0000012671</v>
          </cell>
          <cell r="H8478" t="str">
            <v>Medetera excellens</v>
          </cell>
        </row>
        <row r="8479">
          <cell r="A8479" t="str">
            <v>Medetera insignis</v>
          </cell>
          <cell r="B8479" t="str">
            <v>Long-legged flies</v>
          </cell>
          <cell r="C8479" t="str">
            <v>Diptera</v>
          </cell>
          <cell r="D8479" t="str">
            <v>Medetera insignis</v>
          </cell>
          <cell r="E8479" t="str">
            <v>DD</v>
          </cell>
          <cell r="F8479" t="str">
            <v>Drake, 2018</v>
          </cell>
          <cell r="G8479" t="str">
            <v>NHMSYS0021265357</v>
          </cell>
          <cell r="H8479" t="str">
            <v>Medetera insignis</v>
          </cell>
        </row>
        <row r="8480">
          <cell r="A8480" t="str">
            <v>Medetera inspissata</v>
          </cell>
          <cell r="B8480" t="str">
            <v>Long-legged flies</v>
          </cell>
          <cell r="C8480" t="str">
            <v>Diptera</v>
          </cell>
          <cell r="D8480" t="str">
            <v>Medetera inspissata</v>
          </cell>
          <cell r="E8480" t="str">
            <v>DD</v>
          </cell>
          <cell r="F8480" t="str">
            <v>Drake, 2018</v>
          </cell>
          <cell r="G8480" t="str">
            <v>NBNSYS0000012675</v>
          </cell>
          <cell r="H8480" t="str">
            <v>Medetera inspissata</v>
          </cell>
        </row>
        <row r="8481">
          <cell r="A8481" t="str">
            <v>Medetera melancholica</v>
          </cell>
          <cell r="B8481" t="str">
            <v>Long-legged flies</v>
          </cell>
          <cell r="C8481" t="str">
            <v>Diptera</v>
          </cell>
          <cell r="D8481" t="str">
            <v>Medetera melancholica</v>
          </cell>
          <cell r="E8481" t="str">
            <v>DD</v>
          </cell>
          <cell r="F8481" t="str">
            <v>Drake, 2018</v>
          </cell>
          <cell r="G8481" t="str">
            <v>NBNSYS0000012678</v>
          </cell>
          <cell r="H8481" t="str">
            <v>Medetera melancholica</v>
          </cell>
        </row>
        <row r="8482">
          <cell r="A8482" t="str">
            <v>Medetera nitida</v>
          </cell>
          <cell r="B8482" t="str">
            <v>Long-legged flies</v>
          </cell>
          <cell r="C8482" t="str">
            <v>Diptera</v>
          </cell>
          <cell r="D8482" t="str">
            <v>Medetera nitida</v>
          </cell>
          <cell r="E8482" t="str">
            <v>DD</v>
          </cell>
          <cell r="F8482" t="str">
            <v>Drake, 2018</v>
          </cell>
          <cell r="G8482" t="str">
            <v>NBNSYS0000012681</v>
          </cell>
          <cell r="H8482" t="str">
            <v>Medetera nitida</v>
          </cell>
        </row>
        <row r="8483">
          <cell r="A8483" t="str">
            <v>Medetera obscura</v>
          </cell>
          <cell r="B8483" t="str">
            <v>Long-legged flies</v>
          </cell>
          <cell r="C8483" t="str">
            <v>Diptera</v>
          </cell>
          <cell r="D8483" t="str">
            <v>Medetera obscura</v>
          </cell>
          <cell r="E8483" t="str">
            <v>DD</v>
          </cell>
          <cell r="F8483" t="str">
            <v>Drake, 2018</v>
          </cell>
          <cell r="G8483" t="str">
            <v>NBNSYS0000012682</v>
          </cell>
          <cell r="H8483" t="str">
            <v>Medetera obscura</v>
          </cell>
        </row>
        <row r="8484">
          <cell r="A8484" t="str">
            <v>Medetera oscillans</v>
          </cell>
          <cell r="B8484" t="str">
            <v>Long-legged flies</v>
          </cell>
          <cell r="C8484" t="str">
            <v>Diptera</v>
          </cell>
          <cell r="D8484" t="str">
            <v>Medetera oscillans</v>
          </cell>
          <cell r="E8484" t="str">
            <v>DD</v>
          </cell>
          <cell r="F8484" t="str">
            <v>Drake, 2018</v>
          </cell>
          <cell r="G8484" t="str">
            <v>NBNSYS0000012683</v>
          </cell>
          <cell r="H8484" t="str">
            <v>Medetera oscillans</v>
          </cell>
        </row>
        <row r="8485">
          <cell r="A8485" t="str">
            <v>Medetera parenti</v>
          </cell>
          <cell r="B8485" t="str">
            <v>Long-legged flies</v>
          </cell>
          <cell r="C8485" t="str">
            <v>Diptera</v>
          </cell>
          <cell r="D8485" t="str">
            <v>Medetera parenti</v>
          </cell>
          <cell r="E8485" t="str">
            <v>DD</v>
          </cell>
          <cell r="F8485" t="str">
            <v>Drake, 2018</v>
          </cell>
          <cell r="G8485" t="str">
            <v>NBNSYS0000012685</v>
          </cell>
          <cell r="H8485" t="str">
            <v>Medetera parenti</v>
          </cell>
        </row>
        <row r="8486">
          <cell r="A8486" t="str">
            <v>Medetera petrophila</v>
          </cell>
          <cell r="B8486" t="str">
            <v>Long-legged flies</v>
          </cell>
          <cell r="C8486" t="str">
            <v>Diptera</v>
          </cell>
          <cell r="D8486" t="str">
            <v>Medetera petrophila</v>
          </cell>
          <cell r="E8486" t="str">
            <v>DD</v>
          </cell>
          <cell r="F8486" t="str">
            <v>Drake, 2018</v>
          </cell>
          <cell r="G8486" t="str">
            <v>NBNSYS0000012686</v>
          </cell>
          <cell r="H8486" t="str">
            <v>Medetera petrophila</v>
          </cell>
        </row>
        <row r="8487">
          <cell r="A8487" t="str">
            <v>Medetera pinicola</v>
          </cell>
          <cell r="B8487" t="str">
            <v>Long-legged flies</v>
          </cell>
          <cell r="C8487" t="str">
            <v>Diptera</v>
          </cell>
          <cell r="D8487" t="str">
            <v>Medetera pinicola</v>
          </cell>
          <cell r="E8487" t="str">
            <v>DD</v>
          </cell>
          <cell r="F8487" t="str">
            <v>Drake, 2018</v>
          </cell>
          <cell r="G8487" t="str">
            <v>NBNSYS0000012688</v>
          </cell>
          <cell r="H8487" t="str">
            <v>Medetera pinicola</v>
          </cell>
        </row>
        <row r="8488">
          <cell r="A8488" t="str">
            <v>Medetera unisetosa</v>
          </cell>
          <cell r="B8488" t="str">
            <v>Long-legged flies</v>
          </cell>
          <cell r="C8488" t="str">
            <v>Diptera</v>
          </cell>
          <cell r="D8488" t="str">
            <v>Medetera unisetosa</v>
          </cell>
          <cell r="E8488" t="str">
            <v>DD</v>
          </cell>
          <cell r="F8488" t="str">
            <v>Drake, 2018</v>
          </cell>
          <cell r="G8488" t="str">
            <v>NBNSYS0000012693</v>
          </cell>
          <cell r="H8488" t="str">
            <v>Medetera unisetosa</v>
          </cell>
        </row>
        <row r="8489">
          <cell r="A8489" t="str">
            <v>Micromorphus albipes</v>
          </cell>
          <cell r="B8489" t="str">
            <v>Long-legged flies</v>
          </cell>
          <cell r="C8489" t="str">
            <v>Diptera</v>
          </cell>
          <cell r="D8489" t="str">
            <v>Micromorphus albipes</v>
          </cell>
          <cell r="E8489" t="str">
            <v>DD</v>
          </cell>
          <cell r="F8489" t="str">
            <v>Drake, 2018</v>
          </cell>
          <cell r="G8489" t="str">
            <v>NBNSYS0000012814</v>
          </cell>
          <cell r="H8489" t="str">
            <v>Micromorphus albipes</v>
          </cell>
        </row>
        <row r="8490">
          <cell r="A8490" t="str">
            <v>Microphor strobli</v>
          </cell>
          <cell r="B8490" t="str">
            <v>Long-legged flies</v>
          </cell>
          <cell r="C8490" t="str">
            <v>Diptera</v>
          </cell>
          <cell r="D8490" t="str">
            <v>Microphor strobli</v>
          </cell>
          <cell r="E8490" t="str">
            <v>DD</v>
          </cell>
          <cell r="F8490" t="str">
            <v>Drake, 2018</v>
          </cell>
          <cell r="G8490" t="str">
            <v>NHMSYS0021265362</v>
          </cell>
          <cell r="H8490" t="str">
            <v>Microphor strobli</v>
          </cell>
        </row>
        <row r="8491">
          <cell r="A8491" t="str">
            <v>Neurigona erichsoni</v>
          </cell>
          <cell r="B8491" t="str">
            <v>Long-legged flies</v>
          </cell>
          <cell r="C8491" t="str">
            <v>Diptera</v>
          </cell>
          <cell r="D8491" t="str">
            <v>Neurigona erichsoni</v>
          </cell>
          <cell r="E8491" t="str">
            <v>DD</v>
          </cell>
          <cell r="F8491" t="str">
            <v>Drake, 2018</v>
          </cell>
        </row>
        <row r="8491">
          <cell r="H8491" t="str">
            <v>Neurigona erichsoni</v>
          </cell>
        </row>
        <row r="8492">
          <cell r="A8492" t="str">
            <v>Rhaphium pectinatum</v>
          </cell>
          <cell r="B8492" t="str">
            <v>Long-legged flies</v>
          </cell>
          <cell r="C8492" t="str">
            <v>Diptera</v>
          </cell>
          <cell r="D8492" t="str">
            <v>Rhaphium pectinatum</v>
          </cell>
          <cell r="E8492" t="str">
            <v>DD</v>
          </cell>
          <cell r="F8492" t="str">
            <v>Drake, 2018</v>
          </cell>
          <cell r="G8492" t="str">
            <v>NBNSYS0000012725</v>
          </cell>
          <cell r="H8492" t="str">
            <v>Rhaphium pectinatum</v>
          </cell>
        </row>
        <row r="8493">
          <cell r="A8493" t="str">
            <v>Rhaphium suave</v>
          </cell>
          <cell r="B8493" t="str">
            <v>Long-legged flies</v>
          </cell>
          <cell r="C8493" t="str">
            <v>Diptera</v>
          </cell>
          <cell r="D8493" t="str">
            <v>Rhaphium suave</v>
          </cell>
          <cell r="E8493" t="str">
            <v>DD</v>
          </cell>
          <cell r="F8493" t="str">
            <v>Drake, 2018</v>
          </cell>
          <cell r="G8493" t="str">
            <v>NHMSYS0020688839</v>
          </cell>
          <cell r="H8493" t="str">
            <v>Rhaphium suave</v>
          </cell>
        </row>
        <row r="8494">
          <cell r="A8494" t="str">
            <v>Sciapus basilicus</v>
          </cell>
          <cell r="B8494" t="str">
            <v>Long-legged flies</v>
          </cell>
          <cell r="C8494" t="str">
            <v>Diptera</v>
          </cell>
          <cell r="D8494" t="str">
            <v>Sciapus basilicus</v>
          </cell>
          <cell r="E8494" t="str">
            <v>DD</v>
          </cell>
          <cell r="F8494" t="str">
            <v>Drake, 2018</v>
          </cell>
          <cell r="G8494" t="str">
            <v>NBNSYS0100005444</v>
          </cell>
          <cell r="H8494" t="str">
            <v>Sciapus basilicus</v>
          </cell>
        </row>
        <row r="8495">
          <cell r="A8495" t="str">
            <v>Sciapus maritimus</v>
          </cell>
          <cell r="B8495" t="str">
            <v>Long-legged flies</v>
          </cell>
          <cell r="C8495" t="str">
            <v>Diptera</v>
          </cell>
          <cell r="D8495" t="str">
            <v>Sciapus maritimus</v>
          </cell>
          <cell r="E8495" t="str">
            <v>DD</v>
          </cell>
          <cell r="F8495" t="str">
            <v>Drake, 2018</v>
          </cell>
          <cell r="G8495" t="str">
            <v>NBNSYS0000012826</v>
          </cell>
          <cell r="H8495" t="str">
            <v>Sciapus maritimus</v>
          </cell>
        </row>
        <row r="8496">
          <cell r="A8496" t="str">
            <v>Sciapus zonatulus</v>
          </cell>
          <cell r="B8496" t="str">
            <v>Long-legged flies</v>
          </cell>
          <cell r="C8496" t="str">
            <v>Diptera</v>
          </cell>
          <cell r="D8496" t="str">
            <v>Sciapus zonatulus</v>
          </cell>
          <cell r="E8496" t="str">
            <v>DD</v>
          </cell>
          <cell r="F8496" t="str">
            <v>Drake, 2018</v>
          </cell>
          <cell r="G8496" t="str">
            <v>NBNSYS0000037270</v>
          </cell>
          <cell r="H8496" t="str">
            <v>Sciapus zonatulus</v>
          </cell>
        </row>
        <row r="8497">
          <cell r="A8497" t="str">
            <v>Sympycnus septentrionalis</v>
          </cell>
          <cell r="B8497" t="str">
            <v>Long-legged flies</v>
          </cell>
          <cell r="C8497" t="str">
            <v>Diptera</v>
          </cell>
          <cell r="D8497" t="str">
            <v>Sympycnus septentrionalis</v>
          </cell>
          <cell r="E8497" t="str">
            <v>DD</v>
          </cell>
          <cell r="F8497" t="str">
            <v>Drake, 2018</v>
          </cell>
          <cell r="G8497" t="str">
            <v>NHMSYS0021265382</v>
          </cell>
          <cell r="H8497" t="str">
            <v>Sympycnus septentrionalis</v>
          </cell>
        </row>
        <row r="8498">
          <cell r="A8498" t="str">
            <v>Syntormon pseudospicatum</v>
          </cell>
          <cell r="B8498" t="str">
            <v>Long-legged flies</v>
          </cell>
          <cell r="C8498" t="str">
            <v>Diptera</v>
          </cell>
          <cell r="D8498" t="str">
            <v>Syntormon pseudospicatum</v>
          </cell>
          <cell r="E8498" t="str">
            <v>DD</v>
          </cell>
          <cell r="F8498" t="str">
            <v>Drake, 2018</v>
          </cell>
          <cell r="G8498" t="str">
            <v>NBNSYS0100005674</v>
          </cell>
          <cell r="H8498" t="str">
            <v>Syntormon pseudospicatum</v>
          </cell>
        </row>
        <row r="8499">
          <cell r="A8499" t="str">
            <v>Systenus bipartitus</v>
          </cell>
          <cell r="B8499" t="str">
            <v>Long-legged flies</v>
          </cell>
          <cell r="C8499" t="str">
            <v>Diptera</v>
          </cell>
          <cell r="D8499" t="str">
            <v>Systenus bipartitus</v>
          </cell>
          <cell r="E8499" t="str">
            <v>DD</v>
          </cell>
          <cell r="F8499" t="str">
            <v>Drake, 2018</v>
          </cell>
          <cell r="G8499" t="str">
            <v>NBNSYS0000012742</v>
          </cell>
          <cell r="H8499" t="str">
            <v>Systenus bipartitus</v>
          </cell>
        </row>
        <row r="8500">
          <cell r="A8500" t="str">
            <v>Xanthochlorus silaceus</v>
          </cell>
          <cell r="B8500" t="str">
            <v>Long-legged flies</v>
          </cell>
          <cell r="C8500" t="str">
            <v>Diptera</v>
          </cell>
          <cell r="D8500" t="str">
            <v>Xanthochlorus silaceus</v>
          </cell>
          <cell r="E8500" t="str">
            <v>DD</v>
          </cell>
          <cell r="F8500" t="str">
            <v>Drake, 2018</v>
          </cell>
          <cell r="G8500" t="str">
            <v>NHMSYS0020977227</v>
          </cell>
          <cell r="H8500" t="str">
            <v>Xanthochlorus silaceus</v>
          </cell>
        </row>
        <row r="8501">
          <cell r="A8501" t="str">
            <v>Myotis alcathoe</v>
          </cell>
          <cell r="B8501" t="str">
            <v>Mammals (non-marine)</v>
          </cell>
          <cell r="C8501" t="str">
            <v>Mammalia</v>
          </cell>
          <cell r="D8501" t="str">
            <v>Myotis alcathoe</v>
          </cell>
          <cell r="E8501" t="str">
            <v>DD</v>
          </cell>
          <cell r="F8501" t="str">
            <v>Mathews &amp; Harrower, 2020</v>
          </cell>
          <cell r="G8501" t="str">
            <v>NHMSYS0020636762</v>
          </cell>
          <cell r="H8501" t="str">
            <v>Myotis alcathoe</v>
          </cell>
        </row>
        <row r="8502">
          <cell r="A8502" t="str">
            <v>Myotis brandtii</v>
          </cell>
          <cell r="B8502" t="str">
            <v>Mammals (non-marine)</v>
          </cell>
          <cell r="C8502" t="str">
            <v>Mammalia</v>
          </cell>
          <cell r="D8502" t="str">
            <v>Myotis brandtii</v>
          </cell>
          <cell r="E8502" t="str">
            <v>DD</v>
          </cell>
          <cell r="F8502" t="str">
            <v>Mathews &amp; Harrower, 2020</v>
          </cell>
          <cell r="G8502" t="str">
            <v>NHMSYS0000528026</v>
          </cell>
          <cell r="H8502" t="str">
            <v>Myotis brandtii</v>
          </cell>
        </row>
        <row r="8503">
          <cell r="A8503" t="str">
            <v>Myotis mystacinus</v>
          </cell>
          <cell r="B8503" t="str">
            <v>Mammals (non-marine)</v>
          </cell>
          <cell r="C8503" t="str">
            <v>Mammalia</v>
          </cell>
          <cell r="D8503" t="str">
            <v>Myotis mystacinus</v>
          </cell>
          <cell r="E8503" t="str">
            <v>DD</v>
          </cell>
          <cell r="F8503" t="str">
            <v>Mathews &amp; Harrower, 2020</v>
          </cell>
          <cell r="G8503" t="str">
            <v>NHMSYS0000080183</v>
          </cell>
          <cell r="H8503" t="str">
            <v>Myotis mystacinus</v>
          </cell>
        </row>
        <row r="8504">
          <cell r="A8504" t="str">
            <v>Sus scrofa</v>
          </cell>
          <cell r="B8504" t="str">
            <v>Mammals (non-marine)</v>
          </cell>
          <cell r="C8504" t="str">
            <v>Mammalia</v>
          </cell>
          <cell r="D8504" t="str">
            <v>Sus scrofa</v>
          </cell>
          <cell r="E8504" t="str">
            <v>DD</v>
          </cell>
          <cell r="F8504" t="str">
            <v>Mathews &amp; Harrower, 2020</v>
          </cell>
          <cell r="G8504" t="str">
            <v>NBNSYS0000005142</v>
          </cell>
          <cell r="H8504" t="str">
            <v>Sus scrofa</v>
          </cell>
        </row>
        <row r="8505">
          <cell r="A8505" t="str">
            <v>Baetis fuscatus</v>
          </cell>
          <cell r="B8505" t="str">
            <v>Mayflies</v>
          </cell>
          <cell r="C8505" t="str">
            <v>Ephemeroptera</v>
          </cell>
          <cell r="D8505" t="str">
            <v>Baetis fuscatus</v>
          </cell>
          <cell r="E8505" t="str">
            <v>DD</v>
          </cell>
          <cell r="F8505" t="str">
            <v>Macadam, 2016</v>
          </cell>
          <cell r="G8505" t="str">
            <v>NHMSYS0000066961</v>
          </cell>
          <cell r="H8505" t="str">
            <v>Baetis fuscatus</v>
          </cell>
        </row>
        <row r="8506">
          <cell r="A8506" t="str">
            <v>Caenis macrura</v>
          </cell>
          <cell r="B8506" t="str">
            <v>Mayflies</v>
          </cell>
          <cell r="C8506" t="str">
            <v>Ephemeroptera</v>
          </cell>
          <cell r="D8506" t="str">
            <v>Caenis macrura</v>
          </cell>
          <cell r="E8506" t="str">
            <v>DD</v>
          </cell>
          <cell r="F8506" t="str">
            <v>Macadam, 2016</v>
          </cell>
          <cell r="G8506" t="str">
            <v>NBNSYS0000010903</v>
          </cell>
          <cell r="H8506" t="str">
            <v>Caenis macrura</v>
          </cell>
        </row>
        <row r="8507">
          <cell r="A8507" t="str">
            <v>Caenis pseudorivulorum</v>
          </cell>
          <cell r="B8507" t="str">
            <v>Mayflies</v>
          </cell>
          <cell r="C8507" t="str">
            <v>Ephemeroptera</v>
          </cell>
          <cell r="D8507" t="str">
            <v>Caenis pseudorivulorum</v>
          </cell>
          <cell r="E8507" t="str">
            <v>DD</v>
          </cell>
          <cell r="F8507" t="str">
            <v>Macadam, 2016</v>
          </cell>
          <cell r="G8507" t="str">
            <v>NHMSYS0000066968</v>
          </cell>
          <cell r="H8507" t="str">
            <v>Caenis pseudorivulorum</v>
          </cell>
        </row>
        <row r="8508">
          <cell r="A8508" t="str">
            <v>Caenis pusilla</v>
          </cell>
          <cell r="B8508" t="str">
            <v>Mayflies</v>
          </cell>
          <cell r="C8508" t="str">
            <v>Ephemeroptera</v>
          </cell>
          <cell r="D8508" t="str">
            <v>Caenis pusilla</v>
          </cell>
          <cell r="E8508" t="str">
            <v>DD</v>
          </cell>
          <cell r="F8508" t="str">
            <v>Macadam, 2016</v>
          </cell>
          <cell r="G8508" t="str">
            <v>NHMSYS0000066969</v>
          </cell>
          <cell r="H8508" t="str">
            <v>Caenis pusilla</v>
          </cell>
        </row>
        <row r="8509">
          <cell r="A8509" t="str">
            <v>Electrogena affinis</v>
          </cell>
          <cell r="B8509" t="str">
            <v>Mayflies</v>
          </cell>
          <cell r="C8509" t="str">
            <v>Ephemeroptera</v>
          </cell>
          <cell r="D8509" t="str">
            <v>Electrogena affinis</v>
          </cell>
          <cell r="E8509" t="str">
            <v>DD</v>
          </cell>
          <cell r="F8509" t="str">
            <v>Macadam, 2016</v>
          </cell>
          <cell r="G8509" t="str">
            <v>NBNSYS0100002943</v>
          </cell>
          <cell r="H8509" t="str">
            <v>Electrogena affinis</v>
          </cell>
        </row>
        <row r="8510">
          <cell r="A8510" t="str">
            <v>Arenophilus peregrinus</v>
          </cell>
          <cell r="B8510" t="str">
            <v>Millipedes, centipedes and woodlice</v>
          </cell>
          <cell r="C8510" t="str">
            <v>Chilopoda</v>
          </cell>
          <cell r="D8510" t="str">
            <v>Arenophilus peregrinus</v>
          </cell>
          <cell r="E8510" t="str">
            <v>DD</v>
          </cell>
          <cell r="F8510" t="str">
            <v>Lee, 2015</v>
          </cell>
          <cell r="G8510" t="str">
            <v>MM0001Z1ZT0011ZZ</v>
          </cell>
          <cell r="H8510" t="str">
            <v>Arenophilus peregrinus</v>
          </cell>
        </row>
        <row r="8511">
          <cell r="A8511" t="str">
            <v>Geophilus pusillifrater</v>
          </cell>
          <cell r="B8511" t="str">
            <v>Millipedes, centipedes and woodlice</v>
          </cell>
          <cell r="C8511" t="str">
            <v>Chilopoda</v>
          </cell>
          <cell r="D8511" t="str">
            <v>Geophilus pusillifrater</v>
          </cell>
          <cell r="E8511" t="str">
            <v>DD</v>
          </cell>
          <cell r="F8511" t="str">
            <v>Lee, 2015</v>
          </cell>
          <cell r="G8511" t="str">
            <v>NBNSYS0000011413</v>
          </cell>
          <cell r="H8511" t="str">
            <v>Geophilus pusillifrater</v>
          </cell>
        </row>
        <row r="8512">
          <cell r="A8512" t="str">
            <v>Lithobius tenebrosus</v>
          </cell>
          <cell r="B8512" t="str">
            <v>Millipedes, centipedes and woodlice</v>
          </cell>
          <cell r="C8512" t="str">
            <v>Chilopoda</v>
          </cell>
          <cell r="D8512" t="str">
            <v>Lithobius tenebrosus</v>
          </cell>
          <cell r="E8512" t="str">
            <v>DD</v>
          </cell>
          <cell r="F8512" t="str">
            <v>Lee, 2015</v>
          </cell>
          <cell r="G8512" t="str">
            <v>NHMSYS0020500677</v>
          </cell>
          <cell r="H8512" t="str">
            <v>Lithobius tenebrosus</v>
          </cell>
        </row>
        <row r="8513">
          <cell r="A8513" t="str">
            <v>Pachymerium ferrugineum</v>
          </cell>
          <cell r="B8513" t="str">
            <v>Millipedes, centipedes and woodlice</v>
          </cell>
          <cell r="C8513" t="str">
            <v>Chilopoda</v>
          </cell>
          <cell r="D8513" t="str">
            <v>Pachymerium ferrugineum</v>
          </cell>
          <cell r="E8513" t="str">
            <v>DD</v>
          </cell>
          <cell r="F8513" t="str">
            <v>Lee, 2015</v>
          </cell>
          <cell r="G8513" t="str">
            <v>NBNSYS0000011406</v>
          </cell>
          <cell r="H8513" t="str">
            <v>Pachymerium ferrugineum</v>
          </cell>
        </row>
        <row r="8514">
          <cell r="A8514" t="str">
            <v>Adenomeris gibbosa</v>
          </cell>
          <cell r="B8514" t="str">
            <v>Millipedes, centipedes and woodlice</v>
          </cell>
          <cell r="C8514" t="str">
            <v>Diplopoda</v>
          </cell>
          <cell r="D8514" t="str">
            <v>Adenomeris gibbosa</v>
          </cell>
          <cell r="E8514" t="str">
            <v>DD</v>
          </cell>
          <cell r="F8514" t="str">
            <v>Lee, 2015</v>
          </cell>
          <cell r="G8514" t="str">
            <v>NHMSYS0000356222</v>
          </cell>
          <cell r="H8514" t="str">
            <v>Adenomeris gibbosa</v>
          </cell>
        </row>
        <row r="8515">
          <cell r="A8515" t="str">
            <v>Metatrichoniscoides leydigii</v>
          </cell>
          <cell r="B8515" t="str">
            <v>Millipedes, centipedes and woodlice</v>
          </cell>
          <cell r="C8515" t="str">
            <v>Isopoda</v>
          </cell>
          <cell r="D8515" t="str">
            <v>Metatrichoniscoides leydigii</v>
          </cell>
          <cell r="E8515" t="str">
            <v>DD</v>
          </cell>
          <cell r="F8515" t="str">
            <v>Lee, 2015</v>
          </cell>
          <cell r="G8515" t="str">
            <v>NHMSYS0020302565</v>
          </cell>
          <cell r="H8515" t="str">
            <v>Metatrichoniscoides leydigii</v>
          </cell>
        </row>
        <row r="8516">
          <cell r="A8516" t="str">
            <v>Anisus spirorbis</v>
          </cell>
          <cell r="B8516" t="str">
            <v>Molluscs (non-marine)</v>
          </cell>
          <cell r="C8516" t="str">
            <v>Mollusca</v>
          </cell>
          <cell r="D8516" t="str">
            <v>Anisus spirorbis</v>
          </cell>
          <cell r="E8516" t="str">
            <v>DD</v>
          </cell>
          <cell r="F8516" t="str">
            <v>Seddon et al., 2014</v>
          </cell>
          <cell r="G8516" t="str">
            <v>NHMSYS0001703745</v>
          </cell>
          <cell r="H8516" t="str">
            <v>Anisus spirorbis</v>
          </cell>
        </row>
        <row r="8517">
          <cell r="A8517" t="str">
            <v>Arion ater</v>
          </cell>
          <cell r="B8517" t="str">
            <v>Molluscs (non-marine)</v>
          </cell>
          <cell r="C8517" t="str">
            <v>Mollusca</v>
          </cell>
          <cell r="D8517" t="str">
            <v>Arion ater</v>
          </cell>
          <cell r="E8517" t="str">
            <v>DD</v>
          </cell>
          <cell r="F8517" t="str">
            <v>Seddon et al., 2014</v>
          </cell>
          <cell r="G8517" t="str">
            <v>NHMSYS0001701895</v>
          </cell>
          <cell r="H8517" t="str">
            <v>Arion ater</v>
          </cell>
        </row>
        <row r="8518">
          <cell r="A8518" t="str">
            <v>Cernuella aginnica</v>
          </cell>
          <cell r="B8518" t="str">
            <v>Molluscs (non-marine)</v>
          </cell>
          <cell r="C8518" t="str">
            <v>Mollusca</v>
          </cell>
          <cell r="D8518" t="str">
            <v>Cernuella aginnica</v>
          </cell>
          <cell r="E8518" t="str">
            <v>DD</v>
          </cell>
          <cell r="F8518" t="str">
            <v>Seddon et al., 2014</v>
          </cell>
          <cell r="G8518" t="str">
            <v>NHMSYS0020826425</v>
          </cell>
          <cell r="H8518" t="str">
            <v>Cernuella aginnica</v>
          </cell>
        </row>
        <row r="8519">
          <cell r="A8519" t="str">
            <v>Myosotella denticulata</v>
          </cell>
          <cell r="B8519" t="str">
            <v>Molluscs (non-marine)</v>
          </cell>
          <cell r="C8519" t="str">
            <v>Mollusca</v>
          </cell>
          <cell r="D8519" t="str">
            <v>Myosotella denticulata</v>
          </cell>
          <cell r="E8519" t="str">
            <v>DD</v>
          </cell>
          <cell r="F8519" t="str">
            <v>Seddon et al., 2014</v>
          </cell>
          <cell r="G8519" t="str">
            <v>NHMSYS0001702112</v>
          </cell>
          <cell r="H8519" t="str">
            <v>Myosotella denticulata</v>
          </cell>
        </row>
        <row r="8520">
          <cell r="A8520" t="str">
            <v>Pisidium globulare</v>
          </cell>
          <cell r="B8520" t="str">
            <v>Molluscs (non-marine)</v>
          </cell>
          <cell r="C8520" t="str">
            <v>Mollusca</v>
          </cell>
          <cell r="D8520" t="str">
            <v>Pisidium globulare</v>
          </cell>
          <cell r="E8520" t="str">
            <v>DD</v>
          </cell>
          <cell r="F8520" t="str">
            <v>Seddon et al., 2014</v>
          </cell>
          <cell r="G8520" t="str">
            <v>NHMSYS0021109199</v>
          </cell>
          <cell r="H8520" t="str">
            <v>Pisidium globulare</v>
          </cell>
        </row>
        <row r="8521">
          <cell r="A8521" t="str">
            <v>Pupilla pratensis</v>
          </cell>
          <cell r="B8521" t="str">
            <v>Molluscs (non-marine)</v>
          </cell>
          <cell r="C8521" t="str">
            <v>Mollusca</v>
          </cell>
          <cell r="D8521" t="str">
            <v>Pupilla pratensis</v>
          </cell>
          <cell r="E8521" t="str">
            <v>DD</v>
          </cell>
          <cell r="F8521" t="str">
            <v>Seddon et al., 2014</v>
          </cell>
        </row>
        <row r="8521">
          <cell r="H8521" t="str">
            <v>Pupilla pratensis</v>
          </cell>
        </row>
        <row r="8522">
          <cell r="A8522" t="str">
            <v>Selenochlamys ysbryda</v>
          </cell>
          <cell r="B8522" t="str">
            <v>Molluscs (non-marine)</v>
          </cell>
          <cell r="C8522" t="str">
            <v>Mollusca</v>
          </cell>
          <cell r="D8522" t="str">
            <v>Selenochlamys ysbryda</v>
          </cell>
          <cell r="E8522" t="str">
            <v>DD</v>
          </cell>
          <cell r="F8522" t="str">
            <v>Seddon et al., 2014</v>
          </cell>
          <cell r="G8522" t="str">
            <v>NHMSYS0020528279</v>
          </cell>
          <cell r="H8522" t="str">
            <v>Selenochlamys ysbryda</v>
          </cell>
        </row>
        <row r="8523">
          <cell r="A8523" t="str">
            <v>Sphaerium nucleus</v>
          </cell>
          <cell r="B8523" t="str">
            <v>Molluscs (non-marine)</v>
          </cell>
          <cell r="C8523" t="str">
            <v>Mollusca</v>
          </cell>
          <cell r="D8523" t="str">
            <v>Sphaerium nucleus</v>
          </cell>
          <cell r="E8523" t="str">
            <v>DD</v>
          </cell>
          <cell r="F8523" t="str">
            <v>Seddon et al., 2014</v>
          </cell>
          <cell r="G8523" t="str">
            <v>NHMSYS0020528282</v>
          </cell>
          <cell r="H8523" t="str">
            <v>Sphaerium nucleus</v>
          </cell>
        </row>
        <row r="8524">
          <cell r="A8524" t="str">
            <v>Stagnicola palustris</v>
          </cell>
          <cell r="B8524" t="str">
            <v>Molluscs (non-marine)</v>
          </cell>
          <cell r="C8524" t="str">
            <v>Mollusca</v>
          </cell>
          <cell r="D8524" t="str">
            <v>Stagnicola palustris</v>
          </cell>
          <cell r="E8524" t="str">
            <v>DD</v>
          </cell>
          <cell r="F8524" t="str">
            <v>Seddon et al., 2014</v>
          </cell>
          <cell r="G8524" t="str">
            <v>NHMSYS0021233320</v>
          </cell>
          <cell r="H8524" t="str">
            <v>Stagnicola palustris</v>
          </cell>
        </row>
        <row r="8525">
          <cell r="A8525" t="str">
            <v>Atrichum flavisetum</v>
          </cell>
          <cell r="B8525" t="str">
            <v>Mosses and liverworts</v>
          </cell>
          <cell r="C8525" t="str">
            <v>Bryophyta</v>
          </cell>
          <cell r="D8525" t="str">
            <v>Atrichum flavisetum</v>
          </cell>
          <cell r="E8525" t="str">
            <v>DD</v>
          </cell>
          <cell r="F8525" t="str">
            <v>Callaghan, 2022</v>
          </cell>
        </row>
        <row r="8525">
          <cell r="H8525" t="str">
            <v>Atrichum flavisetum</v>
          </cell>
        </row>
        <row r="8526">
          <cell r="A8526" t="str">
            <v>Bryum creberrimum</v>
          </cell>
          <cell r="B8526" t="str">
            <v>Mosses and liverworts</v>
          </cell>
          <cell r="C8526" t="str">
            <v>Bryophyta</v>
          </cell>
          <cell r="D8526" t="str">
            <v>Bryum creberrimum</v>
          </cell>
          <cell r="E8526" t="str">
            <v>DD</v>
          </cell>
          <cell r="F8526" t="str">
            <v>Callaghan, 2022</v>
          </cell>
          <cell r="G8526" t="str">
            <v>NHMSYS0000309486</v>
          </cell>
          <cell r="H8526" t="str">
            <v>Bryum creberrimum</v>
          </cell>
        </row>
        <row r="8527">
          <cell r="A8527" t="str">
            <v>Bryum mildeanum</v>
          </cell>
          <cell r="B8527" t="str">
            <v>Mosses and liverworts</v>
          </cell>
          <cell r="C8527" t="str">
            <v>Bryophyta</v>
          </cell>
          <cell r="D8527" t="str">
            <v>Bryum mildeanum</v>
          </cell>
          <cell r="E8527" t="str">
            <v>DD</v>
          </cell>
          <cell r="F8527" t="str">
            <v>Callaghan, 2022</v>
          </cell>
          <cell r="G8527" t="str">
            <v>NBNSYS0000036621</v>
          </cell>
          <cell r="H8527" t="str">
            <v>Bryum mildeanum</v>
          </cell>
        </row>
        <row r="8528">
          <cell r="A8528" t="str">
            <v>Bryum salinum</v>
          </cell>
          <cell r="B8528" t="str">
            <v>Mosses and liverworts</v>
          </cell>
          <cell r="C8528" t="str">
            <v>Bryophyta</v>
          </cell>
          <cell r="D8528" t="str">
            <v>Bryum salinum</v>
          </cell>
          <cell r="E8528" t="str">
            <v>DD</v>
          </cell>
          <cell r="F8528" t="str">
            <v>Callaghan, 2022</v>
          </cell>
          <cell r="G8528" t="str">
            <v>NHMSYS0000309514</v>
          </cell>
          <cell r="H8528" t="str">
            <v>Bryum salinum</v>
          </cell>
        </row>
        <row r="8529">
          <cell r="A8529" t="str">
            <v>Bryum valparaisense</v>
          </cell>
          <cell r="B8529" t="str">
            <v>Mosses and liverworts</v>
          </cell>
          <cell r="C8529" t="str">
            <v>Bryophyta</v>
          </cell>
          <cell r="D8529" t="str">
            <v>Bryum valparaisense</v>
          </cell>
          <cell r="E8529" t="str">
            <v>DD</v>
          </cell>
          <cell r="F8529" t="str">
            <v>Callaghan, 2022</v>
          </cell>
          <cell r="G8529" t="str">
            <v>NHMSYS0001682647</v>
          </cell>
          <cell r="H8529" t="str">
            <v>Bryum valparaisense</v>
          </cell>
        </row>
        <row r="8530">
          <cell r="A8530" t="str">
            <v>Cephaloziella elachista</v>
          </cell>
          <cell r="B8530" t="str">
            <v>Mosses and liverworts</v>
          </cell>
          <cell r="C8530" t="str">
            <v>Bryophyta</v>
          </cell>
          <cell r="D8530" t="str">
            <v>Cephaloziella elachista</v>
          </cell>
          <cell r="E8530" t="str">
            <v>DD</v>
          </cell>
          <cell r="F8530" t="str">
            <v>Callaghan, 2022</v>
          </cell>
          <cell r="G8530" t="str">
            <v>NHMSYS0000309601</v>
          </cell>
          <cell r="H8530" t="str">
            <v>Cephaloziella elachista</v>
          </cell>
        </row>
        <row r="8531">
          <cell r="A8531" t="str">
            <v>Ceratodon conicus</v>
          </cell>
          <cell r="B8531" t="str">
            <v>Mosses and liverworts</v>
          </cell>
          <cell r="C8531" t="str">
            <v>Bryophyta</v>
          </cell>
          <cell r="D8531" t="str">
            <v>Ceratodon conicus</v>
          </cell>
          <cell r="E8531" t="str">
            <v>DD</v>
          </cell>
          <cell r="F8531" t="str">
            <v>Callaghan, 2022</v>
          </cell>
          <cell r="G8531" t="str">
            <v>NHMSYS0000309612</v>
          </cell>
          <cell r="H8531" t="str">
            <v>Ceratodon conicus</v>
          </cell>
        </row>
        <row r="8532">
          <cell r="A8532" t="str">
            <v>Dicranum leioneuron</v>
          </cell>
          <cell r="B8532" t="str">
            <v>Mosses and liverworts</v>
          </cell>
          <cell r="C8532" t="str">
            <v>Bryophyta</v>
          </cell>
          <cell r="D8532" t="str">
            <v>Dicranum leioneuron</v>
          </cell>
          <cell r="E8532" t="str">
            <v>DD</v>
          </cell>
          <cell r="F8532" t="str">
            <v>Callaghan, 2022</v>
          </cell>
          <cell r="G8532" t="str">
            <v>NBNSYS0000036226</v>
          </cell>
          <cell r="H8532" t="str">
            <v>Dicranum leioneuron</v>
          </cell>
        </row>
        <row r="8533">
          <cell r="A8533" t="str">
            <v>Didymodon acutus</v>
          </cell>
          <cell r="B8533" t="str">
            <v>Mosses and liverworts</v>
          </cell>
          <cell r="C8533" t="str">
            <v>Bryophyta</v>
          </cell>
          <cell r="D8533" t="str">
            <v>Didymodon acutus</v>
          </cell>
          <cell r="E8533" t="str">
            <v>DD</v>
          </cell>
          <cell r="F8533" t="str">
            <v>Callaghan, 2022</v>
          </cell>
          <cell r="G8533" t="str">
            <v>NHMSYS0021239537</v>
          </cell>
          <cell r="H8533" t="str">
            <v>Didymodon acutus</v>
          </cell>
        </row>
        <row r="8534">
          <cell r="A8534" t="str">
            <v>Drepanocladus sendtneri</v>
          </cell>
          <cell r="B8534" t="str">
            <v>Mosses and liverworts</v>
          </cell>
          <cell r="C8534" t="str">
            <v>Bryophyta</v>
          </cell>
          <cell r="D8534" t="str">
            <v>Drepanocladus sendtneri</v>
          </cell>
          <cell r="E8534" t="str">
            <v>DD</v>
          </cell>
          <cell r="F8534" t="str">
            <v>Callaghan, 2022</v>
          </cell>
          <cell r="G8534" t="str">
            <v>NBNSYS0000036818</v>
          </cell>
          <cell r="H8534" t="str">
            <v>Drepanocladus sendtneri</v>
          </cell>
        </row>
        <row r="8535">
          <cell r="A8535" t="str">
            <v>Encalypta pilifera</v>
          </cell>
          <cell r="B8535" t="str">
            <v>Mosses and liverworts</v>
          </cell>
          <cell r="C8535" t="str">
            <v>Bryophyta</v>
          </cell>
          <cell r="D8535" t="str">
            <v>Encalypta pilifera</v>
          </cell>
          <cell r="E8535" t="str">
            <v>DD</v>
          </cell>
          <cell r="F8535" t="str">
            <v>Callaghan, 2022</v>
          </cell>
          <cell r="G8535" t="str">
            <v>NHMSYS0021125847</v>
          </cell>
          <cell r="H8535" t="str">
            <v>Encalypta pilifera</v>
          </cell>
        </row>
        <row r="8536">
          <cell r="A8536" t="str">
            <v>Entosthodon mouretii</v>
          </cell>
          <cell r="B8536" t="str">
            <v>Mosses and liverworts</v>
          </cell>
          <cell r="C8536" t="str">
            <v>Bryophyta</v>
          </cell>
          <cell r="D8536" t="str">
            <v>Entosthodon mouretii</v>
          </cell>
          <cell r="E8536" t="str">
            <v>DD</v>
          </cell>
          <cell r="F8536" t="str">
            <v>Callaghan, 2022</v>
          </cell>
          <cell r="G8536" t="str">
            <v>NHMSYS0021125853</v>
          </cell>
          <cell r="H8536" t="str">
            <v>Entosthodon mouretii</v>
          </cell>
        </row>
        <row r="8537">
          <cell r="A8537" t="str">
            <v>Hedwigia striata</v>
          </cell>
          <cell r="B8537" t="str">
            <v>Mosses and liverworts</v>
          </cell>
          <cell r="C8537" t="str">
            <v>Bryophyta</v>
          </cell>
          <cell r="D8537" t="str">
            <v>Hedwigia striata</v>
          </cell>
          <cell r="E8537" t="str">
            <v>DD</v>
          </cell>
          <cell r="F8537" t="str">
            <v>Callaghan, 2022</v>
          </cell>
          <cell r="G8537" t="str">
            <v>NHMSYS0021232461</v>
          </cell>
          <cell r="H8537" t="str">
            <v>Hedwigia striata</v>
          </cell>
        </row>
        <row r="8538">
          <cell r="A8538" t="str">
            <v>Lophozia wenzelii</v>
          </cell>
          <cell r="B8538" t="str">
            <v>Mosses and liverworts</v>
          </cell>
          <cell r="C8538" t="str">
            <v>Bryophyta</v>
          </cell>
          <cell r="D8538" t="str">
            <v>Lophozia wenzelii</v>
          </cell>
          <cell r="E8538" t="str">
            <v>DD</v>
          </cell>
          <cell r="F8538" t="str">
            <v>Callaghan, 2022</v>
          </cell>
          <cell r="G8538" t="str">
            <v>NBNSYS0000035844</v>
          </cell>
          <cell r="H8538" t="str">
            <v>Lophozia wenzelii</v>
          </cell>
        </row>
        <row r="8539">
          <cell r="A8539" t="str">
            <v>Physcomitrium readeri</v>
          </cell>
          <cell r="B8539" t="str">
            <v>Mosses and liverworts</v>
          </cell>
          <cell r="C8539" t="str">
            <v>Bryophyta</v>
          </cell>
          <cell r="D8539" t="str">
            <v>Physcomitrium readeri</v>
          </cell>
          <cell r="E8539" t="str">
            <v>DD</v>
          </cell>
          <cell r="F8539" t="str">
            <v>Callaghan, 2022</v>
          </cell>
          <cell r="G8539" t="str">
            <v>NHMSYS0021125865</v>
          </cell>
          <cell r="H8539" t="str">
            <v>Physcomitrium readeri</v>
          </cell>
        </row>
        <row r="8540">
          <cell r="A8540" t="str">
            <v>Plagiothecium longisetum</v>
          </cell>
          <cell r="B8540" t="str">
            <v>Mosses and liverworts</v>
          </cell>
          <cell r="C8540" t="str">
            <v>Bryophyta</v>
          </cell>
          <cell r="D8540" t="str">
            <v>Plagiothecium longisetum</v>
          </cell>
          <cell r="E8540" t="str">
            <v>DD</v>
          </cell>
          <cell r="F8540" t="str">
            <v>Callaghan, 2022</v>
          </cell>
        </row>
        <row r="8540">
          <cell r="H8540" t="str">
            <v>Plagiothecium longisetum</v>
          </cell>
        </row>
        <row r="8541">
          <cell r="A8541" t="str">
            <v>Pohlia andalusica</v>
          </cell>
          <cell r="B8541" t="str">
            <v>Mosses and liverworts</v>
          </cell>
          <cell r="C8541" t="str">
            <v>Bryophyta</v>
          </cell>
          <cell r="D8541" t="str">
            <v>Pohlia andalusica</v>
          </cell>
          <cell r="E8541" t="str">
            <v>DD</v>
          </cell>
          <cell r="F8541" t="str">
            <v>Callaghan, 2022</v>
          </cell>
          <cell r="G8541" t="str">
            <v>NHMSYS0000310359</v>
          </cell>
          <cell r="H8541" t="str">
            <v>Pohlia andalusica</v>
          </cell>
        </row>
        <row r="8542">
          <cell r="A8542" t="str">
            <v>Ptychostomum touwii</v>
          </cell>
          <cell r="B8542" t="str">
            <v>Mosses and liverworts</v>
          </cell>
          <cell r="C8542" t="str">
            <v>Bryophyta</v>
          </cell>
          <cell r="D8542" t="str">
            <v>Ptychostomum touwii</v>
          </cell>
          <cell r="E8542" t="str">
            <v>DD</v>
          </cell>
          <cell r="F8542" t="str">
            <v>Callaghan, 2022</v>
          </cell>
        </row>
        <row r="8542">
          <cell r="H8542" t="str">
            <v>Ptychostomum touwii</v>
          </cell>
        </row>
        <row r="8543">
          <cell r="A8543" t="str">
            <v>Riccia crozalsii</v>
          </cell>
          <cell r="B8543" t="str">
            <v>Mosses and liverworts</v>
          </cell>
          <cell r="C8543" t="str">
            <v>Bryophyta</v>
          </cell>
          <cell r="D8543" t="str">
            <v>Riccia crozalsii</v>
          </cell>
          <cell r="E8543" t="str">
            <v>DD</v>
          </cell>
          <cell r="F8543" t="str">
            <v>Callaghan, 2022</v>
          </cell>
          <cell r="G8543" t="str">
            <v>NBNSYS0000036060</v>
          </cell>
          <cell r="H8543" t="str">
            <v>Riccia crozalsii</v>
          </cell>
        </row>
        <row r="8544">
          <cell r="A8544" t="str">
            <v>Riccia rhenana</v>
          </cell>
          <cell r="B8544" t="str">
            <v>Mosses and liverworts</v>
          </cell>
          <cell r="C8544" t="str">
            <v>Bryophyta</v>
          </cell>
          <cell r="D8544" t="str">
            <v>Riccia rhenana</v>
          </cell>
          <cell r="E8544" t="str">
            <v>DD</v>
          </cell>
          <cell r="F8544" t="str">
            <v>Callaghan, 2022</v>
          </cell>
          <cell r="G8544" t="str">
            <v>NHMSYS0000310451</v>
          </cell>
          <cell r="H8544" t="str">
            <v>Riccia rhenana</v>
          </cell>
        </row>
        <row r="8545">
          <cell r="A8545" t="str">
            <v>Scapania curta</v>
          </cell>
          <cell r="B8545" t="str">
            <v>Mosses and liverworts</v>
          </cell>
          <cell r="C8545" t="str">
            <v>Bryophyta</v>
          </cell>
          <cell r="D8545" t="str">
            <v>Scapania curta</v>
          </cell>
          <cell r="E8545" t="str">
            <v>DD</v>
          </cell>
          <cell r="F8545" t="str">
            <v>Callaghan, 2022</v>
          </cell>
          <cell r="G8545" t="str">
            <v>NHMSYS0000310466</v>
          </cell>
          <cell r="H8545" t="str">
            <v>Scapania curta</v>
          </cell>
        </row>
        <row r="8546">
          <cell r="A8546" t="str">
            <v>Scapania paludicola</v>
          </cell>
          <cell r="B8546" t="str">
            <v>Mosses and liverworts</v>
          </cell>
          <cell r="C8546" t="str">
            <v>Bryophyta</v>
          </cell>
          <cell r="D8546" t="str">
            <v>Scapania paludicola</v>
          </cell>
          <cell r="E8546" t="str">
            <v>DD</v>
          </cell>
          <cell r="F8546" t="str">
            <v>Callaghan, 2022</v>
          </cell>
          <cell r="G8546" t="str">
            <v>NHMSYS0000310474</v>
          </cell>
          <cell r="H8546" t="str">
            <v>Scapania paludicola</v>
          </cell>
        </row>
        <row r="8547">
          <cell r="A8547" t="str">
            <v>Sphagnum divinum</v>
          </cell>
          <cell r="B8547" t="str">
            <v>Mosses and liverworts</v>
          </cell>
          <cell r="C8547" t="str">
            <v>Bryophyta</v>
          </cell>
          <cell r="D8547" t="str">
            <v>Sphagnum divinum</v>
          </cell>
          <cell r="E8547" t="str">
            <v>DD</v>
          </cell>
          <cell r="F8547" t="str">
            <v>Callaghan, 2022</v>
          </cell>
          <cell r="G8547" t="str">
            <v>NHMSYS0021239434</v>
          </cell>
          <cell r="H8547" t="str">
            <v>Sphagnum divinum</v>
          </cell>
        </row>
        <row r="8548">
          <cell r="A8548" t="str">
            <v>Thamnobryum angustifolium</v>
          </cell>
          <cell r="B8548" t="str">
            <v>Mosses and liverworts</v>
          </cell>
          <cell r="C8548" t="str">
            <v>Bryophyta</v>
          </cell>
          <cell r="D8548" t="str">
            <v>Thamnobryum angustifolium</v>
          </cell>
          <cell r="E8548" t="str">
            <v>DD</v>
          </cell>
          <cell r="F8548" t="str">
            <v>Callaghan, 2022</v>
          </cell>
          <cell r="G8548" t="str">
            <v>NHMSYS0000310749</v>
          </cell>
          <cell r="H8548" t="str">
            <v>Thamnobryum angustifolium</v>
          </cell>
        </row>
        <row r="8549">
          <cell r="A8549" t="str">
            <v>Thamnobryum cataractarum</v>
          </cell>
          <cell r="B8549" t="str">
            <v>Mosses and liverworts</v>
          </cell>
          <cell r="C8549" t="str">
            <v>Bryophyta</v>
          </cell>
          <cell r="D8549" t="str">
            <v>Thamnobryum cataractarum</v>
          </cell>
          <cell r="E8549" t="str">
            <v>DD</v>
          </cell>
          <cell r="F8549" t="str">
            <v>Callaghan, 2022</v>
          </cell>
          <cell r="G8549" t="str">
            <v>NHMSYS0000310750</v>
          </cell>
          <cell r="H8549" t="str">
            <v>Thamnobryum cataractarum</v>
          </cell>
        </row>
        <row r="8550">
          <cell r="A8550" t="str">
            <v>Thamnobryum maderense</v>
          </cell>
          <cell r="B8550" t="str">
            <v>Mosses and liverworts</v>
          </cell>
          <cell r="C8550" t="str">
            <v>Bryophyta</v>
          </cell>
          <cell r="D8550" t="str">
            <v>Thamnobryum maderense</v>
          </cell>
          <cell r="E8550" t="str">
            <v>DD</v>
          </cell>
          <cell r="F8550" t="str">
            <v>Callaghan, 2022</v>
          </cell>
          <cell r="G8550" t="str">
            <v>NHMSYS0020636835</v>
          </cell>
          <cell r="H8550" t="str">
            <v>Thamnobryum maderense</v>
          </cell>
        </row>
        <row r="8551">
          <cell r="A8551" t="str">
            <v>Tortula pallida</v>
          </cell>
          <cell r="B8551" t="str">
            <v>Mosses and liverworts</v>
          </cell>
          <cell r="C8551" t="str">
            <v>Bryophyta</v>
          </cell>
          <cell r="D8551" t="str">
            <v>Tortula pallida</v>
          </cell>
          <cell r="E8551" t="str">
            <v>DD</v>
          </cell>
          <cell r="F8551" t="str">
            <v>Callaghan, 2022</v>
          </cell>
          <cell r="G8551" t="str">
            <v>NBNSYS0100005854</v>
          </cell>
          <cell r="H8551" t="str">
            <v>Tortula pallida</v>
          </cell>
        </row>
        <row r="8552">
          <cell r="A8552" t="str">
            <v>Trichostomum herzogii</v>
          </cell>
          <cell r="B8552" t="str">
            <v>Mosses and liverworts</v>
          </cell>
          <cell r="C8552" t="str">
            <v>Bryophyta</v>
          </cell>
          <cell r="D8552" t="str">
            <v>Trichostomum herzogii</v>
          </cell>
          <cell r="E8552" t="str">
            <v>DD</v>
          </cell>
          <cell r="F8552" t="str">
            <v>Callaghan, 2022</v>
          </cell>
        </row>
        <row r="8552">
          <cell r="H8552" t="str">
            <v>Trichostomum herzogii</v>
          </cell>
        </row>
        <row r="8553">
          <cell r="A8553" t="str">
            <v>Clambus evae</v>
          </cell>
          <cell r="B8553" t="str">
            <v>Pill beetles and allies</v>
          </cell>
          <cell r="C8553" t="str">
            <v>Coleoptera</v>
          </cell>
          <cell r="D8553" t="str">
            <v>Clambus evae</v>
          </cell>
          <cell r="E8553" t="str">
            <v>DD</v>
          </cell>
          <cell r="F8553" t="str">
            <v>Lane, 2021</v>
          </cell>
          <cell r="G8553" t="str">
            <v>NHMSYS0001717681</v>
          </cell>
          <cell r="H8553" t="str">
            <v>Clambus evae</v>
          </cell>
        </row>
        <row r="8554">
          <cell r="A8554" t="str">
            <v>Clambus gibbulus</v>
          </cell>
          <cell r="B8554" t="str">
            <v>Pill beetles and allies</v>
          </cell>
          <cell r="C8554" t="str">
            <v>Coleoptera</v>
          </cell>
          <cell r="D8554" t="str">
            <v>Clambus gibbulus</v>
          </cell>
          <cell r="E8554" t="str">
            <v>DD</v>
          </cell>
          <cell r="F8554" t="str">
            <v>Lane, 2021</v>
          </cell>
          <cell r="G8554" t="str">
            <v>NBNSYS0000024160</v>
          </cell>
          <cell r="H8554" t="str">
            <v>Clambus gibbulus</v>
          </cell>
        </row>
        <row r="8555">
          <cell r="A8555" t="str">
            <v>Clambus nigrellus</v>
          </cell>
          <cell r="B8555" t="str">
            <v>Pill beetles and allies</v>
          </cell>
          <cell r="C8555" t="str">
            <v>Coleoptera</v>
          </cell>
          <cell r="D8555" t="str">
            <v>Clambus nigrellus</v>
          </cell>
          <cell r="E8555" t="str">
            <v>DD</v>
          </cell>
          <cell r="F8555" t="str">
            <v>Lane, 2021</v>
          </cell>
          <cell r="G8555" t="str">
            <v>NBNSYS0000024161</v>
          </cell>
          <cell r="H8555" t="str">
            <v>Clambus nigrellus</v>
          </cell>
        </row>
        <row r="8556">
          <cell r="A8556" t="str">
            <v>Clambus nigriclavis</v>
          </cell>
          <cell r="B8556" t="str">
            <v>Pill beetles and allies</v>
          </cell>
          <cell r="C8556" t="str">
            <v>Coleoptera</v>
          </cell>
          <cell r="D8556" t="str">
            <v>Clambus nigriclavis</v>
          </cell>
          <cell r="E8556" t="str">
            <v>DD</v>
          </cell>
          <cell r="F8556" t="str">
            <v>Lane, 2021</v>
          </cell>
          <cell r="G8556" t="str">
            <v>NBNSYS0000024162</v>
          </cell>
          <cell r="H8556" t="str">
            <v>Clambus nigriclavis</v>
          </cell>
        </row>
        <row r="8557">
          <cell r="A8557" t="str">
            <v>Clambus pallidulus</v>
          </cell>
          <cell r="B8557" t="str">
            <v>Pill beetles and allies</v>
          </cell>
          <cell r="C8557" t="str">
            <v>Coleoptera</v>
          </cell>
          <cell r="D8557" t="str">
            <v>Clambus pallidulus</v>
          </cell>
          <cell r="E8557" t="str">
            <v>DD</v>
          </cell>
          <cell r="F8557" t="str">
            <v>Lane, 2021</v>
          </cell>
          <cell r="G8557" t="str">
            <v>NBNSYS0000024163</v>
          </cell>
          <cell r="H8557" t="str">
            <v>Clambus pallidulus</v>
          </cell>
        </row>
        <row r="8558">
          <cell r="A8558" t="str">
            <v>Anotylus complanatus </v>
          </cell>
          <cell r="B8558" t="str">
            <v>Rove beetles (macrostaphs)</v>
          </cell>
          <cell r="C8558" t="str">
            <v>Coleoptera</v>
          </cell>
          <cell r="D8558" t="str">
            <v>Anotylus complanatus</v>
          </cell>
          <cell r="E8558" t="str">
            <v>DD</v>
          </cell>
          <cell r="F8558" t="str">
            <v>Boyce, 2022</v>
          </cell>
          <cell r="G8558" t="str">
            <v>NBNSYS0000023247</v>
          </cell>
          <cell r="H8558" t="str">
            <v>Anotylus complanatus </v>
          </cell>
        </row>
        <row r="8559">
          <cell r="A8559" t="str">
            <v>Anotylus complanatus agg. </v>
          </cell>
          <cell r="B8559" t="str">
            <v>Rove beetles (macrostaphs)</v>
          </cell>
          <cell r="C8559" t="str">
            <v>Coleoptera</v>
          </cell>
          <cell r="D8559" t="str">
            <v>Anotylus complanatus agg.</v>
          </cell>
          <cell r="E8559" t="str">
            <v>DD</v>
          </cell>
          <cell r="F8559" t="str">
            <v>Boyce, 2022</v>
          </cell>
          <cell r="G8559" t="str">
            <v>NBNSYS0000023247</v>
          </cell>
          <cell r="H8559" t="str">
            <v>Anotylus complanatus agg. </v>
          </cell>
        </row>
        <row r="8560">
          <cell r="A8560" t="str">
            <v>Anotylus hammondi </v>
          </cell>
          <cell r="B8560" t="str">
            <v>Rove beetles (macrostaphs)</v>
          </cell>
          <cell r="C8560" t="str">
            <v>Coleoptera</v>
          </cell>
          <cell r="D8560" t="str">
            <v>Anotylus hammondi</v>
          </cell>
          <cell r="E8560" t="str">
            <v>DD</v>
          </cell>
          <cell r="F8560" t="str">
            <v>Boyce, 2022</v>
          </cell>
          <cell r="G8560" t="str">
            <v>NHMSYS0021157895</v>
          </cell>
          <cell r="H8560" t="str">
            <v>Anotylus hammondi </v>
          </cell>
        </row>
        <row r="8561">
          <cell r="A8561" t="str">
            <v>Astrapaeus ulmi </v>
          </cell>
          <cell r="B8561" t="str">
            <v>Rove beetles (macrostaphs)</v>
          </cell>
          <cell r="C8561" t="str">
            <v>Coleoptera</v>
          </cell>
          <cell r="D8561" t="str">
            <v>Astrapaeus ulmi</v>
          </cell>
          <cell r="E8561" t="str">
            <v>DD</v>
          </cell>
          <cell r="F8561" t="str">
            <v>Boyce, 2022</v>
          </cell>
          <cell r="G8561" t="str">
            <v>NHMSYS0020081862</v>
          </cell>
          <cell r="H8561" t="str">
            <v>Astrapaeus ulmi </v>
          </cell>
        </row>
        <row r="8562">
          <cell r="A8562" t="str">
            <v>Bledius atricapillus </v>
          </cell>
          <cell r="B8562" t="str">
            <v>Rove beetles (macrostaphs)</v>
          </cell>
          <cell r="C8562" t="str">
            <v>Coleoptera</v>
          </cell>
          <cell r="D8562" t="str">
            <v>Bledius atricapillus</v>
          </cell>
          <cell r="E8562" t="str">
            <v>DD</v>
          </cell>
          <cell r="F8562" t="str">
            <v>Boyce, 2022</v>
          </cell>
          <cell r="G8562" t="str">
            <v>NBNSYS0000023185</v>
          </cell>
          <cell r="H8562" t="str">
            <v>Bledius atricapillus </v>
          </cell>
        </row>
        <row r="8563">
          <cell r="A8563" t="str">
            <v>Bledius atricapillus agg. </v>
          </cell>
          <cell r="B8563" t="str">
            <v>Rove beetles (macrostaphs)</v>
          </cell>
          <cell r="C8563" t="str">
            <v>Coleoptera</v>
          </cell>
          <cell r="D8563" t="str">
            <v>Bledius atricapillus agg.</v>
          </cell>
          <cell r="E8563" t="str">
            <v>DD</v>
          </cell>
          <cell r="F8563" t="str">
            <v>Boyce, 2022</v>
          </cell>
          <cell r="G8563" t="str">
            <v>NBNSYS0000023185</v>
          </cell>
          <cell r="H8563" t="str">
            <v>Bledius atricapillus agg. </v>
          </cell>
        </row>
        <row r="8564">
          <cell r="A8564" t="str">
            <v>Bledius crassicollis </v>
          </cell>
          <cell r="B8564" t="str">
            <v>Rove beetles (macrostaphs)</v>
          </cell>
          <cell r="C8564" t="str">
            <v>Coleoptera</v>
          </cell>
          <cell r="D8564" t="str">
            <v>Bledius crassicollis</v>
          </cell>
          <cell r="E8564" t="str">
            <v>DD</v>
          </cell>
          <cell r="F8564" t="str">
            <v>Boyce, 2022</v>
          </cell>
          <cell r="G8564" t="str">
            <v>NBNSYS0000023187</v>
          </cell>
          <cell r="H8564" t="str">
            <v>Bledius crassicollis </v>
          </cell>
        </row>
        <row r="8565">
          <cell r="A8565" t="str">
            <v>Bledius lohsei </v>
          </cell>
          <cell r="B8565" t="str">
            <v>Rove beetles (macrostaphs)</v>
          </cell>
          <cell r="C8565" t="str">
            <v>Coleoptera</v>
          </cell>
          <cell r="D8565" t="str">
            <v>Bledius lohsei</v>
          </cell>
          <cell r="E8565" t="str">
            <v>DD</v>
          </cell>
          <cell r="F8565" t="str">
            <v>Boyce, 2022</v>
          </cell>
          <cell r="G8565" t="str">
            <v>NHMSYS0021366439</v>
          </cell>
          <cell r="H8565" t="str">
            <v>Bledius lohsei </v>
          </cell>
        </row>
        <row r="8566">
          <cell r="A8566" t="str">
            <v>Carpelimus alutaceus </v>
          </cell>
          <cell r="B8566" t="str">
            <v>Rove beetles (macrostaphs)</v>
          </cell>
          <cell r="C8566" t="str">
            <v>Coleoptera</v>
          </cell>
          <cell r="D8566" t="str">
            <v>Carpelimus alutaceus</v>
          </cell>
          <cell r="E8566" t="str">
            <v>DD</v>
          </cell>
          <cell r="F8566" t="str">
            <v>Boyce, 2022</v>
          </cell>
          <cell r="G8566" t="str">
            <v>NHMSYS0021366444</v>
          </cell>
          <cell r="H8566" t="str">
            <v>Carpelimus alutaceus </v>
          </cell>
        </row>
        <row r="8567">
          <cell r="A8567" t="str">
            <v>Carpelimus bilineatus </v>
          </cell>
          <cell r="B8567" t="str">
            <v>Rove beetles (macrostaphs)</v>
          </cell>
          <cell r="C8567" t="str">
            <v>Coleoptera</v>
          </cell>
          <cell r="D8567" t="str">
            <v>Carpelimus bilineatus</v>
          </cell>
          <cell r="E8567" t="str">
            <v>DD</v>
          </cell>
          <cell r="F8567" t="str">
            <v>Boyce, 2022</v>
          </cell>
          <cell r="G8567" t="str">
            <v>NHMSYS0021486592</v>
          </cell>
          <cell r="H8567" t="str">
            <v>Carpelimus bilineatus </v>
          </cell>
        </row>
        <row r="8568">
          <cell r="A8568" t="str">
            <v>Carpelimus bilineatus agg. </v>
          </cell>
          <cell r="B8568" t="str">
            <v>Rove beetles (macrostaphs)</v>
          </cell>
          <cell r="C8568" t="str">
            <v>Coleoptera</v>
          </cell>
          <cell r="D8568" t="str">
            <v>Carpelimus bilineatus agg.</v>
          </cell>
          <cell r="E8568" t="str">
            <v>DD</v>
          </cell>
          <cell r="F8568" t="str">
            <v>Boyce, 2022</v>
          </cell>
          <cell r="G8568" t="str">
            <v>NHMSYS0021486592</v>
          </cell>
          <cell r="H8568" t="str">
            <v>Carpelimus bilineatus agg. </v>
          </cell>
        </row>
        <row r="8569">
          <cell r="A8569" t="str">
            <v>Carpelimus manchuricus </v>
          </cell>
          <cell r="B8569" t="str">
            <v>Rove beetles (macrostaphs)</v>
          </cell>
          <cell r="C8569" t="str">
            <v>Coleoptera</v>
          </cell>
          <cell r="D8569" t="str">
            <v>Carpelimus manchuricus</v>
          </cell>
          <cell r="E8569" t="str">
            <v>DD</v>
          </cell>
          <cell r="F8569" t="str">
            <v>Boyce, 2022</v>
          </cell>
          <cell r="G8569" t="str">
            <v>NHMSYS0001717557</v>
          </cell>
          <cell r="H8569" t="str">
            <v>Carpelimus manchuricus </v>
          </cell>
        </row>
        <row r="8570">
          <cell r="A8570" t="str">
            <v>Dropephylla koltzei </v>
          </cell>
          <cell r="B8570" t="str">
            <v>Rove beetles (macrostaphs)</v>
          </cell>
          <cell r="C8570" t="str">
            <v>Coleoptera</v>
          </cell>
          <cell r="D8570" t="str">
            <v>Dropephylla koltzei</v>
          </cell>
          <cell r="E8570" t="str">
            <v>DD</v>
          </cell>
          <cell r="F8570" t="str">
            <v>Boyce, 2022</v>
          </cell>
          <cell r="G8570" t="str">
            <v>NHMSYS0020140705</v>
          </cell>
          <cell r="H8570" t="str">
            <v>Dropephylla koltzei </v>
          </cell>
        </row>
        <row r="8571">
          <cell r="A8571" t="str">
            <v>Dropephylla vilis </v>
          </cell>
          <cell r="B8571" t="str">
            <v>Rove beetles (macrostaphs)</v>
          </cell>
          <cell r="C8571" t="str">
            <v>Coleoptera</v>
          </cell>
          <cell r="D8571" t="str">
            <v>Dropephylla vilis</v>
          </cell>
          <cell r="E8571" t="str">
            <v>DD</v>
          </cell>
          <cell r="F8571" t="str">
            <v>Boyce, 2022</v>
          </cell>
          <cell r="G8571" t="str">
            <v>NBNSYS0000023144</v>
          </cell>
          <cell r="H8571" t="str">
            <v>Dropephylla vilis </v>
          </cell>
        </row>
        <row r="8572">
          <cell r="A8572" t="str">
            <v>Dropephylla vilis agg. </v>
          </cell>
          <cell r="B8572" t="str">
            <v>Rove beetles (macrostaphs)</v>
          </cell>
          <cell r="C8572" t="str">
            <v>Coleoptera</v>
          </cell>
          <cell r="D8572" t="str">
            <v>Dropephylla vilis agg.</v>
          </cell>
          <cell r="E8572" t="str">
            <v>DD</v>
          </cell>
          <cell r="F8572" t="str">
            <v>Boyce, 2022</v>
          </cell>
          <cell r="G8572" t="str">
            <v>NBNSYS0000023144</v>
          </cell>
          <cell r="H8572" t="str">
            <v>Dropephylla vilis agg. </v>
          </cell>
        </row>
        <row r="8573">
          <cell r="A8573" t="str">
            <v>Medon fusculus </v>
          </cell>
          <cell r="B8573" t="str">
            <v>Rove beetles (macrostaphs)</v>
          </cell>
          <cell r="C8573" t="str">
            <v>Coleoptera</v>
          </cell>
          <cell r="D8573" t="str">
            <v>Medon fusculus</v>
          </cell>
          <cell r="E8573" t="str">
            <v>DD</v>
          </cell>
          <cell r="F8573" t="str">
            <v>Boyce, 2022</v>
          </cell>
          <cell r="G8573" t="str">
            <v>NBNSYS0000023374</v>
          </cell>
          <cell r="H8573" t="str">
            <v>Medon fusculus </v>
          </cell>
        </row>
        <row r="8574">
          <cell r="A8574" t="str">
            <v>Medon piceus </v>
          </cell>
          <cell r="B8574" t="str">
            <v>Rove beetles (macrostaphs)</v>
          </cell>
          <cell r="C8574" t="str">
            <v>Coleoptera</v>
          </cell>
          <cell r="D8574" t="str">
            <v>Medon piceus</v>
          </cell>
          <cell r="E8574" t="str">
            <v>DD</v>
          </cell>
          <cell r="F8574" t="str">
            <v>Boyce, 2022</v>
          </cell>
          <cell r="G8574" t="str">
            <v>NBNSYS0000023375</v>
          </cell>
          <cell r="H8574" t="str">
            <v>Medon piceus </v>
          </cell>
        </row>
        <row r="8575">
          <cell r="A8575" t="str">
            <v>Medon pocofer </v>
          </cell>
          <cell r="B8575" t="str">
            <v>Rove beetles (macrostaphs)</v>
          </cell>
          <cell r="C8575" t="str">
            <v>Coleoptera</v>
          </cell>
          <cell r="D8575" t="str">
            <v>Medon pocofer</v>
          </cell>
          <cell r="E8575" t="str">
            <v>DD</v>
          </cell>
          <cell r="F8575" t="str">
            <v>Boyce, 2022</v>
          </cell>
          <cell r="G8575" t="str">
            <v>NBNSYS0000151188</v>
          </cell>
          <cell r="H8575" t="str">
            <v>Medon pocofer </v>
          </cell>
        </row>
        <row r="8576">
          <cell r="A8576" t="str">
            <v>Ochthephilum collare </v>
          </cell>
          <cell r="B8576" t="str">
            <v>Rove beetles (macrostaphs)</v>
          </cell>
          <cell r="C8576" t="str">
            <v>Coleoptera</v>
          </cell>
          <cell r="D8576" t="str">
            <v>Ochthephilum collare</v>
          </cell>
          <cell r="E8576" t="str">
            <v>DD</v>
          </cell>
          <cell r="F8576" t="str">
            <v>Boyce, 2022</v>
          </cell>
          <cell r="G8576" t="str">
            <v>NHMSYS0021239763</v>
          </cell>
          <cell r="H8576" t="str">
            <v>Ochthephilum collare </v>
          </cell>
        </row>
        <row r="8577">
          <cell r="A8577" t="str">
            <v>Omalium allardi </v>
          </cell>
          <cell r="B8577" t="str">
            <v>Rove beetles (macrostaphs)</v>
          </cell>
          <cell r="C8577" t="str">
            <v>Coleoptera</v>
          </cell>
          <cell r="D8577" t="str">
            <v>Omalium allardi</v>
          </cell>
          <cell r="E8577" t="str">
            <v>DD</v>
          </cell>
          <cell r="F8577" t="str">
            <v>Boyce, 2022</v>
          </cell>
          <cell r="G8577" t="str">
            <v>NBNSYS0000152598</v>
          </cell>
          <cell r="H8577" t="str">
            <v>Omalium allardi </v>
          </cell>
        </row>
        <row r="8578">
          <cell r="A8578" t="str">
            <v>Planeustomus flavicollis </v>
          </cell>
          <cell r="B8578" t="str">
            <v>Rove beetles (macrostaphs)</v>
          </cell>
          <cell r="C8578" t="str">
            <v>Coleoptera</v>
          </cell>
          <cell r="D8578" t="str">
            <v>Planeustomus flavicollis</v>
          </cell>
          <cell r="E8578" t="str">
            <v>DD</v>
          </cell>
          <cell r="F8578" t="str">
            <v>Boyce, 2022</v>
          </cell>
          <cell r="G8578" t="str">
            <v>NBNSYS0000023180</v>
          </cell>
          <cell r="H8578" t="str">
            <v>Planeustomus flavicollis </v>
          </cell>
        </row>
        <row r="8579">
          <cell r="A8579" t="str">
            <v>Quedius lyszkowskii</v>
          </cell>
          <cell r="B8579" t="str">
            <v>Rove beetles (macrostaphs)</v>
          </cell>
          <cell r="C8579" t="str">
            <v>Coleoptera</v>
          </cell>
          <cell r="D8579" t="str">
            <v>Quedius lyszkowskii</v>
          </cell>
          <cell r="E8579" t="str">
            <v>DD</v>
          </cell>
          <cell r="F8579" t="str">
            <v>Boyce, 2022</v>
          </cell>
          <cell r="G8579" t="str">
            <v>NHMSYS0021125411</v>
          </cell>
          <cell r="H8579" t="str">
            <v>Quedius lyszkowskii</v>
          </cell>
        </row>
        <row r="8580">
          <cell r="A8580" t="str">
            <v>Scaphisoma assimile </v>
          </cell>
          <cell r="B8580" t="str">
            <v>Rove beetles (macrostaphs)</v>
          </cell>
          <cell r="C8580" t="str">
            <v>Coleoptera</v>
          </cell>
          <cell r="D8580" t="str">
            <v>Scaphisoma assimile</v>
          </cell>
          <cell r="E8580" t="str">
            <v>DD</v>
          </cell>
          <cell r="F8580" t="str">
            <v>Boyce, 2022</v>
          </cell>
          <cell r="G8580" t="str">
            <v>NBNSYS0000023089</v>
          </cell>
          <cell r="H8580" t="str">
            <v>Scaphisoma assimile </v>
          </cell>
        </row>
        <row r="8581">
          <cell r="A8581" t="str">
            <v>Scaphisoma balcanicum</v>
          </cell>
          <cell r="B8581" t="str">
            <v>Rove beetles (macrostaphs)</v>
          </cell>
          <cell r="C8581" t="str">
            <v>Coleoptera</v>
          </cell>
          <cell r="D8581" t="str">
            <v>Scaphisoma balcanicum</v>
          </cell>
          <cell r="E8581" t="str">
            <v>DD</v>
          </cell>
          <cell r="F8581" t="str">
            <v>Boyce, 2022</v>
          </cell>
          <cell r="G8581" t="str">
            <v>NHMSYS0021417059</v>
          </cell>
          <cell r="H8581" t="str">
            <v>Scaphisoma balcanicum</v>
          </cell>
        </row>
        <row r="8582">
          <cell r="A8582" t="str">
            <v>Staphylinus caesareus </v>
          </cell>
          <cell r="B8582" t="str">
            <v>Rove beetles (macrostaphs)</v>
          </cell>
          <cell r="C8582" t="str">
            <v>Coleoptera</v>
          </cell>
          <cell r="D8582" t="str">
            <v>Staphylinus caesareus</v>
          </cell>
          <cell r="E8582" t="str">
            <v>DD</v>
          </cell>
          <cell r="F8582" t="str">
            <v>Boyce, 2022</v>
          </cell>
          <cell r="G8582" t="str">
            <v>NBNSYS0000023517</v>
          </cell>
          <cell r="H8582" t="str">
            <v>Staphylinus caesareus </v>
          </cell>
        </row>
        <row r="8583">
          <cell r="A8583" t="str">
            <v>Tetartopeus ciceronii </v>
          </cell>
          <cell r="B8583" t="str">
            <v>Rove beetles (macrostaphs)</v>
          </cell>
          <cell r="C8583" t="str">
            <v>Coleoptera</v>
          </cell>
          <cell r="D8583" t="str">
            <v>Tetartopeus ciceronii</v>
          </cell>
          <cell r="E8583" t="str">
            <v>DD</v>
          </cell>
          <cell r="F8583" t="str">
            <v>Boyce, 2022</v>
          </cell>
        </row>
        <row r="8583">
          <cell r="H8583" t="str">
            <v>Tetartopeus ciceronii </v>
          </cell>
        </row>
        <row r="8584">
          <cell r="A8584" t="str">
            <v>Bryophacis crassicornis (Mäklin)</v>
          </cell>
          <cell r="B8584" t="str">
            <v>Rove beetles (tachyporines)</v>
          </cell>
          <cell r="C8584" t="str">
            <v>Coleoptera</v>
          </cell>
          <cell r="D8584" t="str">
            <v>Bryophacis crassicornis</v>
          </cell>
          <cell r="E8584" t="str">
            <v>DD</v>
          </cell>
          <cell r="F8584" t="str">
            <v>Lane, 2019</v>
          </cell>
          <cell r="G8584" t="str">
            <v>NHMSYS0001717408</v>
          </cell>
          <cell r="H8584" t="str">
            <v>Bryophacis crassicornis (Mäklin)</v>
          </cell>
        </row>
        <row r="8585">
          <cell r="A8585" t="str">
            <v>Bryophacis maklini (Sahlberg, J.)</v>
          </cell>
          <cell r="B8585" t="str">
            <v>Rove beetles (tachyporines)</v>
          </cell>
          <cell r="C8585" t="str">
            <v>Coleoptera</v>
          </cell>
          <cell r="D8585" t="str">
            <v>Bryophacis maklini</v>
          </cell>
          <cell r="E8585" t="str">
            <v>DD</v>
          </cell>
          <cell r="F8585" t="str">
            <v>Lane, 2019</v>
          </cell>
          <cell r="G8585" t="str">
            <v>NHMSYS0021366834</v>
          </cell>
          <cell r="H8585" t="str">
            <v>Bryophacis maklini (Sahlberg, J.)</v>
          </cell>
        </row>
        <row r="8586">
          <cell r="A8586" t="str">
            <v>Bryoporus cernuus (Gravenhorst)</v>
          </cell>
          <cell r="B8586" t="str">
            <v>Rove beetles (tachyporines)</v>
          </cell>
          <cell r="C8586" t="str">
            <v>Coleoptera</v>
          </cell>
          <cell r="D8586" t="str">
            <v>Bryoporus cernuus</v>
          </cell>
          <cell r="E8586" t="str">
            <v>DD</v>
          </cell>
          <cell r="F8586" t="str">
            <v>Lane, 2019</v>
          </cell>
          <cell r="G8586" t="str">
            <v>NBNSYS0000023601</v>
          </cell>
          <cell r="H8586" t="str">
            <v>Bryoporus cernuus (Gravenhorst)</v>
          </cell>
        </row>
        <row r="8587">
          <cell r="A8587" t="str">
            <v>Mycetoporus baudueri Mulsant &amp; Rey</v>
          </cell>
          <cell r="B8587" t="str">
            <v>Rove beetles (tachyporines)</v>
          </cell>
          <cell r="C8587" t="str">
            <v>Coleoptera</v>
          </cell>
          <cell r="D8587" t="str">
            <v>Mycetoporus baudueri</v>
          </cell>
          <cell r="E8587" t="str">
            <v>DD</v>
          </cell>
          <cell r="F8587" t="str">
            <v>Lane, 2019</v>
          </cell>
          <cell r="G8587" t="str">
            <v>NHMSYS0001719057</v>
          </cell>
          <cell r="H8587" t="str">
            <v>Mycetoporus baudueri Mulsant &amp; Rey</v>
          </cell>
        </row>
        <row r="8588">
          <cell r="A8588" t="str">
            <v>Mycetoporus bimaculatus Laccordaire</v>
          </cell>
          <cell r="B8588" t="str">
            <v>Rove beetles (tachyporines)</v>
          </cell>
          <cell r="C8588" t="str">
            <v>Coleoptera</v>
          </cell>
          <cell r="D8588" t="str">
            <v>Mycetoporus bimaculatus</v>
          </cell>
          <cell r="E8588" t="str">
            <v>DD</v>
          </cell>
          <cell r="F8588" t="str">
            <v>Lane, 2019</v>
          </cell>
          <cell r="G8588" t="str">
            <v>NBNSYS0000023588</v>
          </cell>
          <cell r="H8588" t="str">
            <v>Mycetoporus bimaculatus Laccordaire</v>
          </cell>
        </row>
        <row r="8589">
          <cell r="A8589" t="str">
            <v>Mycetoporus erichsonanus Fagel</v>
          </cell>
          <cell r="B8589" t="str">
            <v>Rove beetles (tachyporines)</v>
          </cell>
          <cell r="C8589" t="str">
            <v>Coleoptera</v>
          </cell>
          <cell r="D8589" t="str">
            <v>Mycetoporus erichsonanus</v>
          </cell>
          <cell r="E8589" t="str">
            <v>DD</v>
          </cell>
          <cell r="F8589" t="str">
            <v>Lane, 2019</v>
          </cell>
          <cell r="G8589" t="str">
            <v>NBNSYS0000023591</v>
          </cell>
          <cell r="H8589" t="str">
            <v>Mycetoporus erichsonanus Fagel</v>
          </cell>
        </row>
        <row r="8590">
          <cell r="A8590" t="str">
            <v>Mycetoporus monticola Fowler</v>
          </cell>
          <cell r="B8590" t="str">
            <v>Rove beetles (tachyporines)</v>
          </cell>
          <cell r="C8590" t="str">
            <v>Coleoptera</v>
          </cell>
          <cell r="D8590" t="str">
            <v>Mycetoporus monticola</v>
          </cell>
          <cell r="E8590" t="str">
            <v>DD</v>
          </cell>
          <cell r="F8590" t="str">
            <v>Lane, 2019</v>
          </cell>
          <cell r="G8590" t="str">
            <v>NBNSYS0000023595</v>
          </cell>
          <cell r="H8590" t="str">
            <v>Mycetoporus monticola Fowler</v>
          </cell>
        </row>
        <row r="8591">
          <cell r="A8591" t="str">
            <v>Mycetoporus reichei (Pandellé)</v>
          </cell>
          <cell r="B8591" t="str">
            <v>Rove beetles (tachyporines)</v>
          </cell>
          <cell r="C8591" t="str">
            <v>Coleoptera</v>
          </cell>
          <cell r="D8591" t="str">
            <v>Mycetoporus reichei</v>
          </cell>
          <cell r="E8591" t="str">
            <v>DD</v>
          </cell>
          <cell r="F8591" t="str">
            <v>Lane, 2019</v>
          </cell>
          <cell r="G8591" t="str">
            <v>NHMSYS0021467938</v>
          </cell>
          <cell r="H8591" t="str">
            <v>Mycetoporus reichei (Pandellé)</v>
          </cell>
        </row>
        <row r="8592">
          <cell r="A8592" t="str">
            <v>Tachinus elongatus Gyllenhal</v>
          </cell>
          <cell r="B8592" t="str">
            <v>Rove beetles (tachyporines)</v>
          </cell>
          <cell r="C8592" t="str">
            <v>Coleoptera</v>
          </cell>
          <cell r="D8592" t="str">
            <v>Tachinus elongatus</v>
          </cell>
          <cell r="E8592" t="str">
            <v>DD</v>
          </cell>
          <cell r="F8592" t="str">
            <v>Lane, 2019</v>
          </cell>
          <cell r="G8592" t="str">
            <v>NBNSYS0000023638</v>
          </cell>
          <cell r="H8592" t="str">
            <v>Tachinus elongatus Gyllenhal</v>
          </cell>
        </row>
        <row r="8593">
          <cell r="A8593" t="str">
            <v>Tachyporus quadriscopulatus Pandellé</v>
          </cell>
          <cell r="B8593" t="str">
            <v>Rove beetles (tachyporines)</v>
          </cell>
          <cell r="C8593" t="str">
            <v>Coleoptera</v>
          </cell>
          <cell r="D8593" t="str">
            <v>Tachyporus quadriscopulatus</v>
          </cell>
          <cell r="E8593" t="str">
            <v>DD</v>
          </cell>
          <cell r="F8593" t="str">
            <v>Lane, 2019</v>
          </cell>
          <cell r="G8593" t="str">
            <v>NHMSYS0001720299</v>
          </cell>
          <cell r="H8593" t="str">
            <v>Tachyporus quadriscopulatus Pandellé</v>
          </cell>
        </row>
        <row r="8594">
          <cell r="A8594" t="str">
            <v>Aphodius nemoralis</v>
          </cell>
          <cell r="B8594" t="str">
            <v>Scarab beetles and allies</v>
          </cell>
          <cell r="C8594" t="str">
            <v>Coleoptera</v>
          </cell>
          <cell r="D8594" t="str">
            <v>Aphodius nemoralis</v>
          </cell>
          <cell r="E8594" t="str">
            <v>DD</v>
          </cell>
          <cell r="F8594" t="str">
            <v>Lane &amp; Mann, 2016</v>
          </cell>
          <cell r="G8594" t="str">
            <v>NHMSYS0021442425</v>
          </cell>
          <cell r="H8594" t="str">
            <v>Aphodius nemoralis</v>
          </cell>
        </row>
        <row r="8595">
          <cell r="A8595" t="str">
            <v>Trachys troglodytes</v>
          </cell>
          <cell r="B8595" t="str">
            <v>Soldier beetles and allies</v>
          </cell>
          <cell r="C8595" t="str">
            <v>Coleoptera</v>
          </cell>
          <cell r="D8595" t="str">
            <v>Trachys troglodytes</v>
          </cell>
          <cell r="E8595" t="str">
            <v>DD</v>
          </cell>
          <cell r="F8595" t="str">
            <v>Alexander, 2014</v>
          </cell>
          <cell r="G8595" t="str">
            <v>NBNSYS0000024223</v>
          </cell>
          <cell r="H8595" t="str">
            <v>Trachys troglodytes</v>
          </cell>
        </row>
        <row r="8596">
          <cell r="A8596" t="str">
            <v>Sargus cuprarius</v>
          </cell>
          <cell r="B8596" t="str">
            <v>Soldier flies and allies</v>
          </cell>
          <cell r="C8596" t="str">
            <v>Diptera</v>
          </cell>
          <cell r="D8596" t="str">
            <v>Sargus cuprarius</v>
          </cell>
          <cell r="E8596" t="str">
            <v>DD</v>
          </cell>
          <cell r="F8596" t="str">
            <v>Drake, 2017</v>
          </cell>
          <cell r="G8596" t="str">
            <v>NBNSYS0000007830</v>
          </cell>
          <cell r="H8596" t="str">
            <v>Sargus cuprarius</v>
          </cell>
        </row>
        <row r="8597">
          <cell r="A8597" t="str">
            <v>Agathomyia sexmaculata</v>
          </cell>
          <cell r="B8597" t="str">
            <v>Spear-winged and Flat-footed flies</v>
          </cell>
          <cell r="C8597" t="str">
            <v>Diptera</v>
          </cell>
          <cell r="D8597" t="str">
            <v>Agathomyia sexmaculata</v>
          </cell>
          <cell r="E8597" t="str">
            <v>DD</v>
          </cell>
          <cell r="F8597" t="str">
            <v>Chandler, 2017</v>
          </cell>
          <cell r="G8597" t="str">
            <v>NBNSYS0100027492</v>
          </cell>
          <cell r="H8597" t="str">
            <v>Agathomyia sexmaculata</v>
          </cell>
        </row>
        <row r="8598">
          <cell r="A8598" t="str">
            <v>Callomyia dives</v>
          </cell>
          <cell r="B8598" t="str">
            <v>Spear-winged and Flat-footed flies</v>
          </cell>
          <cell r="C8598" t="str">
            <v>Diptera</v>
          </cell>
          <cell r="D8598" t="str">
            <v>Callomyia dives</v>
          </cell>
          <cell r="E8598" t="str">
            <v>DD</v>
          </cell>
          <cell r="F8598" t="str">
            <v>Chandler, 2017</v>
          </cell>
          <cell r="G8598" t="str">
            <v>NBNSYS0000028784</v>
          </cell>
          <cell r="H8598" t="str">
            <v>Callomyia dives</v>
          </cell>
        </row>
        <row r="8599">
          <cell r="A8599" t="str">
            <v>Microsania collarti</v>
          </cell>
          <cell r="B8599" t="str">
            <v>Spear-winged and Flat-footed flies</v>
          </cell>
          <cell r="C8599" t="str">
            <v>Diptera</v>
          </cell>
          <cell r="D8599" t="str">
            <v>Microsania collarti</v>
          </cell>
          <cell r="E8599" t="str">
            <v>DD</v>
          </cell>
          <cell r="F8599" t="str">
            <v>Chandler, 2017</v>
          </cell>
          <cell r="G8599" t="str">
            <v>NBNSYS0100004070</v>
          </cell>
          <cell r="H8599" t="str">
            <v>Microsania collarti</v>
          </cell>
        </row>
        <row r="8600">
          <cell r="A8600" t="str">
            <v>Microsania pallipes</v>
          </cell>
          <cell r="B8600" t="str">
            <v>Spear-winged and Flat-footed flies</v>
          </cell>
          <cell r="C8600" t="str">
            <v>Diptera</v>
          </cell>
          <cell r="D8600" t="str">
            <v>Microsania pallipes</v>
          </cell>
          <cell r="E8600" t="str">
            <v>DD</v>
          </cell>
          <cell r="F8600" t="str">
            <v>Chandler, 2017</v>
          </cell>
          <cell r="G8600" t="str">
            <v>NBNSYS0000028779</v>
          </cell>
          <cell r="H8600" t="str">
            <v>Microsania pallipes</v>
          </cell>
        </row>
        <row r="8601">
          <cell r="A8601" t="str">
            <v>Microsania straeleni</v>
          </cell>
          <cell r="B8601" t="str">
            <v>Spear-winged and Flat-footed flies</v>
          </cell>
          <cell r="C8601" t="str">
            <v>Diptera</v>
          </cell>
          <cell r="D8601" t="str">
            <v>Microsania straeleni</v>
          </cell>
          <cell r="E8601" t="str">
            <v>DD</v>
          </cell>
          <cell r="F8601" t="str">
            <v>Chandler, 2017</v>
          </cell>
          <cell r="G8601" t="str">
            <v>NBNSYS0000028781</v>
          </cell>
          <cell r="H8601" t="str">
            <v>Microsania straeleni</v>
          </cell>
        </row>
        <row r="8602">
          <cell r="A8602" t="str">
            <v>Platypeza hirticeps</v>
          </cell>
          <cell r="B8602" t="str">
            <v>Spear-winged and Flat-footed flies</v>
          </cell>
          <cell r="C8602" t="str">
            <v>Diptera</v>
          </cell>
          <cell r="D8602" t="str">
            <v>Platypeza hirticeps</v>
          </cell>
          <cell r="E8602" t="str">
            <v>DD</v>
          </cell>
          <cell r="F8602" t="str">
            <v>Chandler, 2017</v>
          </cell>
          <cell r="G8602" t="str">
            <v>NBNSYS0000028800</v>
          </cell>
          <cell r="H8602" t="str">
            <v>Platypeza hirticeps</v>
          </cell>
        </row>
        <row r="8603">
          <cell r="A8603" t="str">
            <v>Centromerus minutissimus</v>
          </cell>
          <cell r="B8603" t="str">
            <v>Spiders</v>
          </cell>
          <cell r="C8603" t="str">
            <v>Araneae</v>
          </cell>
          <cell r="D8603" t="str">
            <v>Centromerus minutissimus</v>
          </cell>
          <cell r="E8603" t="str">
            <v>DD</v>
          </cell>
          <cell r="F8603" t="str">
            <v>Harvey et al., 2017</v>
          </cell>
          <cell r="G8603" t="str">
            <v>NBNSYS0100002236</v>
          </cell>
          <cell r="H8603" t="str">
            <v>Centromerus minutissimus</v>
          </cell>
        </row>
        <row r="8604">
          <cell r="A8604" t="str">
            <v>Centromerus persimilis</v>
          </cell>
          <cell r="B8604" t="str">
            <v>Spiders</v>
          </cell>
          <cell r="C8604" t="str">
            <v>Araneae</v>
          </cell>
          <cell r="D8604" t="str">
            <v>Centromerus persimilis</v>
          </cell>
          <cell r="E8604" t="str">
            <v>DD</v>
          </cell>
          <cell r="F8604" t="str">
            <v>Harvey et al., 2017</v>
          </cell>
          <cell r="G8604" t="str">
            <v>NBNSYS0000009181</v>
          </cell>
          <cell r="H8604" t="str">
            <v>Centromerus persimilis</v>
          </cell>
        </row>
        <row r="8605">
          <cell r="A8605" t="str">
            <v>Hahnia microphthalma</v>
          </cell>
          <cell r="B8605" t="str">
            <v>Spiders</v>
          </cell>
          <cell r="C8605" t="str">
            <v>Araneae</v>
          </cell>
          <cell r="D8605" t="str">
            <v>Hahnia microphthalma</v>
          </cell>
          <cell r="E8605" t="str">
            <v>DD</v>
          </cell>
          <cell r="F8605" t="str">
            <v>Harvey et al., 2017</v>
          </cell>
          <cell r="G8605" t="str">
            <v>NHMSYS0021453562</v>
          </cell>
          <cell r="H8605" t="str">
            <v>Hahnia microphthalma</v>
          </cell>
        </row>
        <row r="8606">
          <cell r="A8606" t="str">
            <v>Haplodrassus umbratilis</v>
          </cell>
          <cell r="B8606" t="str">
            <v>Spiders</v>
          </cell>
          <cell r="C8606" t="str">
            <v>Araneae</v>
          </cell>
          <cell r="D8606" t="str">
            <v>Haplodrassus umbratilis</v>
          </cell>
          <cell r="E8606" t="str">
            <v>DD</v>
          </cell>
          <cell r="F8606" t="str">
            <v>Harvey et al., 2017</v>
          </cell>
          <cell r="G8606" t="str">
            <v>NBNSYS0000008647</v>
          </cell>
          <cell r="H8606" t="str">
            <v>Haplodrassus umbratilis</v>
          </cell>
        </row>
        <row r="8607">
          <cell r="A8607" t="str">
            <v>Minicia marginella</v>
          </cell>
          <cell r="B8607" t="str">
            <v>Spiders</v>
          </cell>
          <cell r="C8607" t="str">
            <v>Araneae</v>
          </cell>
          <cell r="D8607" t="str">
            <v>Minicia marginella</v>
          </cell>
          <cell r="E8607" t="str">
            <v>DD</v>
          </cell>
          <cell r="F8607" t="str">
            <v>Harvey et al., 2017</v>
          </cell>
          <cell r="G8607" t="str">
            <v>NBNSYS0000033180</v>
          </cell>
          <cell r="H8607" t="str">
            <v>Minicia marginella</v>
          </cell>
        </row>
        <row r="8608">
          <cell r="A8608" t="str">
            <v>Mioxena blanda</v>
          </cell>
          <cell r="B8608" t="str">
            <v>Spiders</v>
          </cell>
          <cell r="C8608" t="str">
            <v>Araneae</v>
          </cell>
          <cell r="D8608" t="str">
            <v>Mioxena blanda</v>
          </cell>
          <cell r="E8608" t="str">
            <v>DD</v>
          </cell>
          <cell r="F8608" t="str">
            <v>Harvey et al., 2017</v>
          </cell>
          <cell r="G8608" t="str">
            <v>NBNSYS0000009131</v>
          </cell>
          <cell r="H8608" t="str">
            <v>Mioxena blanda</v>
          </cell>
        </row>
        <row r="8609">
          <cell r="A8609" t="str">
            <v>Porrhomma cambridgei</v>
          </cell>
          <cell r="B8609" t="str">
            <v>Spiders</v>
          </cell>
          <cell r="C8609" t="str">
            <v>Araneae</v>
          </cell>
          <cell r="D8609" t="str">
            <v>Porrhomma cambridgei</v>
          </cell>
          <cell r="E8609" t="str">
            <v>DD</v>
          </cell>
          <cell r="F8609" t="str">
            <v>Harvey et al., 2017</v>
          </cell>
          <cell r="G8609" t="str">
            <v>NBNSYS0100004848</v>
          </cell>
          <cell r="H8609" t="str">
            <v>Porrhomma cambridgei</v>
          </cell>
        </row>
        <row r="8610">
          <cell r="A8610" t="str">
            <v>Pseudomaro aenigmaticus</v>
          </cell>
          <cell r="B8610" t="str">
            <v>Spiders</v>
          </cell>
          <cell r="C8610" t="str">
            <v>Araneae</v>
          </cell>
          <cell r="D8610" t="str">
            <v>Pseudomaro aenigmaticus</v>
          </cell>
          <cell r="E8610" t="str">
            <v>DD</v>
          </cell>
          <cell r="F8610" t="str">
            <v>Harvey et al., 2017</v>
          </cell>
          <cell r="G8610" t="str">
            <v>NBNSYS0000009135</v>
          </cell>
          <cell r="H8610" t="str">
            <v>Pseudomaro aenigmaticus</v>
          </cell>
        </row>
        <row r="8611">
          <cell r="A8611" t="str">
            <v>Robertus insignis</v>
          </cell>
          <cell r="B8611" t="str">
            <v>Spiders</v>
          </cell>
          <cell r="C8611" t="str">
            <v>Araneae</v>
          </cell>
          <cell r="D8611" t="str">
            <v>Robertus insignis</v>
          </cell>
          <cell r="E8611" t="str">
            <v>DD</v>
          </cell>
          <cell r="F8611" t="str">
            <v>Harvey et al., 2017</v>
          </cell>
          <cell r="G8611" t="str">
            <v>NBNSYS0000008912</v>
          </cell>
          <cell r="H8611" t="str">
            <v>Robertus insignis</v>
          </cell>
        </row>
        <row r="8612">
          <cell r="A8612" t="str">
            <v>Tapinocyboides pygmaeus</v>
          </cell>
          <cell r="B8612" t="str">
            <v>Spiders</v>
          </cell>
          <cell r="C8612" t="str">
            <v>Araneae</v>
          </cell>
          <cell r="D8612" t="str">
            <v>Tapinocyboides pygmaeus</v>
          </cell>
          <cell r="E8612" t="str">
            <v>DD</v>
          </cell>
          <cell r="F8612" t="str">
            <v>Harvey et al., 2017</v>
          </cell>
          <cell r="G8612" t="str">
            <v>NBNSYS0000009064</v>
          </cell>
          <cell r="H8612" t="str">
            <v>Tapinocyboides pygmaeus</v>
          </cell>
        </row>
        <row r="8613">
          <cell r="A8613" t="str">
            <v>Trachyzelotes fuscipes</v>
          </cell>
          <cell r="B8613" t="str">
            <v>Spiders</v>
          </cell>
          <cell r="C8613" t="str">
            <v>Araneae</v>
          </cell>
          <cell r="D8613" t="str">
            <v>Trachyzelotes fuscipes</v>
          </cell>
          <cell r="E8613" t="str">
            <v>DD</v>
          </cell>
          <cell r="F8613" t="str">
            <v>Harvey et al., 2017</v>
          </cell>
          <cell r="G8613" t="str">
            <v>NHMSYS0000354403</v>
          </cell>
          <cell r="H8613" t="str">
            <v>Trachyzelotes fuscipes</v>
          </cell>
        </row>
        <row r="8614">
          <cell r="A8614" t="str">
            <v>Capnia atra</v>
          </cell>
          <cell r="B8614" t="str">
            <v>Stoneflies</v>
          </cell>
          <cell r="C8614" t="str">
            <v>Plecoptera</v>
          </cell>
          <cell r="D8614" t="str">
            <v>Capnia atra</v>
          </cell>
          <cell r="E8614" t="str">
            <v>DD</v>
          </cell>
          <cell r="F8614" t="str">
            <v>Macadam, 2015</v>
          </cell>
          <cell r="G8614" t="str">
            <v>NBNSYS0000022434</v>
          </cell>
          <cell r="H8614" t="str">
            <v>Capnia atra</v>
          </cell>
        </row>
        <row r="8615">
          <cell r="A8615" t="str">
            <v>Capnia vidua anglica</v>
          </cell>
          <cell r="B8615" t="str">
            <v>Stoneflies</v>
          </cell>
          <cell r="C8615" t="str">
            <v>Plecoptera</v>
          </cell>
          <cell r="D8615" t="str">
            <v>Capnia vidua (subsp.) anglica</v>
          </cell>
          <cell r="E8615" t="str">
            <v>DD</v>
          </cell>
          <cell r="F8615" t="str">
            <v>Macadam, 2015</v>
          </cell>
          <cell r="G8615" t="str">
            <v>NBNSYS0000022436</v>
          </cell>
          <cell r="H8615" t="str">
            <v>Capnia vidua anglica</v>
          </cell>
        </row>
        <row r="8616">
          <cell r="A8616" t="str">
            <v>Nemoura lacustris</v>
          </cell>
          <cell r="B8616" t="str">
            <v>Stoneflies</v>
          </cell>
          <cell r="C8616" t="str">
            <v>Plecoptera</v>
          </cell>
          <cell r="D8616" t="str">
            <v>Nemoura lacustris</v>
          </cell>
          <cell r="E8616" t="str">
            <v>DD</v>
          </cell>
          <cell r="F8616" t="str">
            <v>Macadam, 2015</v>
          </cell>
          <cell r="G8616" t="str">
            <v>NHMSYS0021006644</v>
          </cell>
          <cell r="H8616" t="str">
            <v>Nemoura lacustris</v>
          </cell>
        </row>
        <row r="8617">
          <cell r="A8617" t="str">
            <v>Protonemura montana</v>
          </cell>
          <cell r="B8617" t="str">
            <v>Stoneflies</v>
          </cell>
          <cell r="C8617" t="str">
            <v>Plecoptera</v>
          </cell>
          <cell r="D8617" t="str">
            <v>Protonemura montana</v>
          </cell>
          <cell r="E8617" t="str">
            <v>DD</v>
          </cell>
          <cell r="F8617" t="str">
            <v>Macadam, 2015</v>
          </cell>
          <cell r="G8617" t="str">
            <v>NBNSYS0000022426</v>
          </cell>
          <cell r="H8617" t="str">
            <v>Protonemura montana</v>
          </cell>
        </row>
        <row r="8618">
          <cell r="A8618" t="str">
            <v>Buxus sempervirens</v>
          </cell>
          <cell r="B8618" t="str">
            <v>Vascular plants</v>
          </cell>
          <cell r="C8618" t="str">
            <v>Tracheophyta</v>
          </cell>
          <cell r="D8618" t="str">
            <v>Buxus sempervirens</v>
          </cell>
          <cell r="E8618" t="str">
            <v>DD</v>
          </cell>
          <cell r="F8618" t="str">
            <v>in Stroh et al., 2014 (from: Cheffings &amp; Farrell 2005 or subsequent amendments in Leach 2007, 2010; Leach &amp; Walker 2011, 2013)</v>
          </cell>
          <cell r="G8618" t="str">
            <v>NBNSYS0000003197</v>
          </cell>
          <cell r="H8618" t="str">
            <v>Buxus sempervirens</v>
          </cell>
        </row>
        <row r="8619">
          <cell r="A8619" t="str">
            <v>Cochlearia pyrenaica subsp. alpina </v>
          </cell>
          <cell r="B8619" t="str">
            <v>Vascular plants</v>
          </cell>
          <cell r="C8619" t="str">
            <v>Tracheophyta</v>
          </cell>
          <cell r="D8619" t="str">
            <v>Cochlearia pyrenaica subsp. alpina</v>
          </cell>
          <cell r="E8619" t="str">
            <v>DD</v>
          </cell>
          <cell r="F8619" t="str">
            <v>in Stroh et al., 2014 (from: Cheffings &amp; Farrell 2005 or subsequent amendments in Leach 2007, 2010; Leach &amp; Walker 2011, 2013)</v>
          </cell>
          <cell r="G8619" t="str">
            <v>NHMSYS0100001055</v>
          </cell>
          <cell r="H8619" t="str">
            <v>Cochlearia pyrenaica subsp. alpina </v>
          </cell>
        </row>
        <row r="8620">
          <cell r="A8620" t="str">
            <v>Cochlearia pyrenaica subsp. pyrenaica</v>
          </cell>
          <cell r="B8620" t="str">
            <v>Vascular plants</v>
          </cell>
          <cell r="C8620" t="str">
            <v>Tracheophyta</v>
          </cell>
          <cell r="D8620" t="str">
            <v>Cochlearia pyrenaica subsp. pyrenaica</v>
          </cell>
          <cell r="E8620" t="str">
            <v>DD</v>
          </cell>
          <cell r="F8620" t="str">
            <v>in Stroh et al., 2014 (from: Cheffings &amp; Farrell 2005 or subsequent amendments in Leach 2007, 2010; Leach &amp; Walker 2011, 2013)</v>
          </cell>
          <cell r="G8620" t="str">
            <v>NHMSYS0000457403</v>
          </cell>
          <cell r="H8620" t="str">
            <v>Cochlearia pyrenaica subsp. pyrenaica</v>
          </cell>
        </row>
        <row r="8621">
          <cell r="A8621" t="str">
            <v>Dactylorhiza incarnata subsp. gemmana</v>
          </cell>
          <cell r="B8621" t="str">
            <v>Vascular plants</v>
          </cell>
          <cell r="C8621" t="str">
            <v>Tracheophyta</v>
          </cell>
          <cell r="D8621" t="str">
            <v>Dactylorhiza incarnata subsp. gemmana</v>
          </cell>
          <cell r="E8621" t="str">
            <v>DD</v>
          </cell>
          <cell r="F8621" t="str">
            <v>in Stroh et al., 2014 (from: Cheffings &amp; Farrell 2005 or subsequent amendments in Leach 2007, 2010; Leach &amp; Walker 2011, 2013)</v>
          </cell>
          <cell r="G8621" t="str">
            <v>NHMSYS0000457913</v>
          </cell>
          <cell r="H8621" t="str">
            <v>Dactylorhiza incarnata subsp. gemmana</v>
          </cell>
        </row>
        <row r="8622">
          <cell r="A8622" t="str">
            <v>Eleocharis palustris subsp. palustris</v>
          </cell>
          <cell r="B8622" t="str">
            <v>Vascular plants</v>
          </cell>
          <cell r="C8622" t="str">
            <v>Tracheophyta</v>
          </cell>
          <cell r="D8622" t="str">
            <v>Eleocharis palustris subsp. palustris</v>
          </cell>
          <cell r="E8622" t="str">
            <v>DD</v>
          </cell>
          <cell r="F8622" t="str">
            <v>in Stroh et al., 2014 (from: Cheffings &amp; Farrell 2005 or subsequent amendments in Leach 2007, 2010; Leach &amp; Walker 2011, 2013)</v>
          </cell>
          <cell r="G8622" t="str">
            <v>NHMSYS0000458306</v>
          </cell>
          <cell r="H8622" t="str">
            <v>Eleocharis palustris subsp. palustris</v>
          </cell>
        </row>
        <row r="8623">
          <cell r="A8623" t="str">
            <v>Epipactis dunensis</v>
          </cell>
          <cell r="B8623" t="str">
            <v>Vascular plants</v>
          </cell>
          <cell r="C8623" t="str">
            <v>Tracheophyta</v>
          </cell>
          <cell r="D8623" t="str">
            <v>Epipactis dunensis</v>
          </cell>
          <cell r="E8623" t="str">
            <v>DD</v>
          </cell>
          <cell r="F8623" t="str">
            <v>in Stroh et al., 2014 (from: Cheffings &amp; Farrell 2005 or subsequent amendments in Leach 2007, 2010; Leach &amp; Walker 2011, 2013)</v>
          </cell>
          <cell r="G8623" t="str">
            <v>NHMSYS0000458443</v>
          </cell>
          <cell r="H8623" t="str">
            <v>Epipactis dunensis</v>
          </cell>
        </row>
        <row r="8624">
          <cell r="A8624" t="str">
            <v>Epipactis leptochila</v>
          </cell>
          <cell r="B8624" t="str">
            <v>Vascular plants</v>
          </cell>
          <cell r="C8624" t="str">
            <v>Tracheophyta</v>
          </cell>
          <cell r="D8624" t="str">
            <v>Epipactis leptochila</v>
          </cell>
          <cell r="E8624" t="str">
            <v>DD</v>
          </cell>
          <cell r="F8624" t="str">
            <v>in Stroh et al., 2014 (from: Cheffings &amp; Farrell 2005 or subsequent amendments in Leach 2007, 2010; Leach &amp; Walker 2011, 2013)</v>
          </cell>
          <cell r="G8624" t="str">
            <v>NHMSYS0000458447</v>
          </cell>
          <cell r="H8624" t="str">
            <v>Epipactis leptochila</v>
          </cell>
        </row>
        <row r="8625">
          <cell r="A8625" t="str">
            <v>Euphrasia arctica</v>
          </cell>
          <cell r="B8625" t="str">
            <v>Vascular plants</v>
          </cell>
          <cell r="C8625" t="str">
            <v>Tracheophyta</v>
          </cell>
          <cell r="D8625" t="str">
            <v>Euphrasia arctica</v>
          </cell>
          <cell r="E8625" t="str">
            <v>DD</v>
          </cell>
          <cell r="F8625" t="str">
            <v>in Stroh et al., 2014 (from: Cheffings &amp; Farrell 2005 or subsequent amendments in Leach 2007, 2010; Leach &amp; Walker 2011, 2013)</v>
          </cell>
          <cell r="G8625" t="str">
            <v>NBNSYS0000014123</v>
          </cell>
          <cell r="H8625" t="str">
            <v>Euphrasia arctica</v>
          </cell>
        </row>
        <row r="8626">
          <cell r="A8626" t="str">
            <v>Euphrasia arctica subsp. arctica</v>
          </cell>
          <cell r="B8626" t="str">
            <v>Vascular plants</v>
          </cell>
          <cell r="C8626" t="str">
            <v>Tracheophyta</v>
          </cell>
          <cell r="D8626" t="str">
            <v>Euphrasia arctica subsp. arctica</v>
          </cell>
          <cell r="E8626" t="str">
            <v>DD</v>
          </cell>
          <cell r="F8626" t="str">
            <v>in Stroh et al., 2014 (from: Cheffings &amp; Farrell 2005 or subsequent amendments in Leach 2007, 2010; Leach &amp; Walker 2011, 2013)</v>
          </cell>
          <cell r="G8626" t="str">
            <v>NBNSYS0000005498</v>
          </cell>
          <cell r="H8626" t="str">
            <v>Euphrasia arctica subsp. arctica</v>
          </cell>
        </row>
        <row r="8627">
          <cell r="A8627" t="str">
            <v>Euphrasia arctica subsp. borealis</v>
          </cell>
          <cell r="B8627" t="str">
            <v>Vascular plants</v>
          </cell>
          <cell r="C8627" t="str">
            <v>Tracheophyta</v>
          </cell>
          <cell r="D8627" t="str">
            <v>Euphrasia arctica subsp. borealis</v>
          </cell>
          <cell r="E8627" t="str">
            <v>DD</v>
          </cell>
          <cell r="F8627" t="str">
            <v>in Stroh et al., 2014 (from: Cheffings &amp; Farrell 2005 or subsequent amendments in Leach 2007, 2010; Leach &amp; Walker 2011, 2013)</v>
          </cell>
          <cell r="G8627" t="str">
            <v>NHMSYS0000458649</v>
          </cell>
          <cell r="H8627" t="str">
            <v>Euphrasia arctica subsp. borealis</v>
          </cell>
        </row>
        <row r="8628">
          <cell r="A8628" t="str">
            <v>Euphrasia confusa</v>
          </cell>
          <cell r="B8628" t="str">
            <v>Vascular plants</v>
          </cell>
          <cell r="C8628" t="str">
            <v>Tracheophyta</v>
          </cell>
          <cell r="D8628" t="str">
            <v>Euphrasia confusa</v>
          </cell>
          <cell r="E8628" t="str">
            <v>DD</v>
          </cell>
          <cell r="F8628" t="str">
            <v>in Stroh et al., 2014 (from: Cheffings &amp; Farrell 2005 or subsequent amendments in Leach 2007, 2010; Leach &amp; Walker 2011, 2013)</v>
          </cell>
          <cell r="G8628" t="str">
            <v>NBNSYS0000004157</v>
          </cell>
          <cell r="H8628" t="str">
            <v>Euphrasia confusa</v>
          </cell>
        </row>
        <row r="8629">
          <cell r="A8629" t="str">
            <v>Euphrasia frigida</v>
          </cell>
          <cell r="B8629" t="str">
            <v>Vascular plants</v>
          </cell>
          <cell r="C8629" t="str">
            <v>Tracheophyta</v>
          </cell>
          <cell r="D8629" t="str">
            <v>Euphrasia frigida</v>
          </cell>
          <cell r="E8629" t="str">
            <v>DD</v>
          </cell>
          <cell r="F8629" t="str">
            <v>in Stroh et al., 2014 (from: Cheffings &amp; Farrell 2005 or subsequent amendments in Leach 2007, 2010; Leach &amp; Walker 2011, 2013)</v>
          </cell>
          <cell r="G8629" t="str">
            <v>NBNSYS0000004144</v>
          </cell>
          <cell r="H8629" t="str">
            <v>Euphrasia frigida</v>
          </cell>
        </row>
        <row r="8630">
          <cell r="A8630" t="str">
            <v>Euphrasia micrantha</v>
          </cell>
          <cell r="B8630" t="str">
            <v>Vascular plants</v>
          </cell>
          <cell r="C8630" t="str">
            <v>Tracheophyta</v>
          </cell>
          <cell r="D8630" t="str">
            <v>Euphrasia micrantha</v>
          </cell>
          <cell r="E8630" t="str">
            <v>DD</v>
          </cell>
          <cell r="F8630" t="str">
            <v>in Stroh et al., 2014 (from: Cheffings &amp; Farrell 2005 or subsequent amendments in Leach 2007, 2010; Leach &amp; Walker 2011, 2013)</v>
          </cell>
          <cell r="G8630" t="str">
            <v>NHMSYS0000458669</v>
          </cell>
          <cell r="H8630" t="str">
            <v>Euphrasia micrantha</v>
          </cell>
        </row>
        <row r="8631">
          <cell r="A8631" t="str">
            <v>Euphrasia ostenfeldii</v>
          </cell>
          <cell r="B8631" t="str">
            <v>Vascular plants</v>
          </cell>
          <cell r="C8631" t="str">
            <v>Tracheophyta</v>
          </cell>
          <cell r="D8631" t="str">
            <v>Euphrasia ostenfeldii</v>
          </cell>
          <cell r="E8631" t="str">
            <v>DD</v>
          </cell>
          <cell r="F8631" t="str">
            <v>in Stroh et al., 2014 (from: Cheffings &amp; Farrell 2005 or subsequent amendments in Leach 2007, 2010; Leach &amp; Walker 2011, 2013)</v>
          </cell>
          <cell r="G8631" t="str">
            <v>NBNSYS0000004152</v>
          </cell>
          <cell r="H8631" t="str">
            <v>Euphrasia ostenfeldii</v>
          </cell>
        </row>
        <row r="8632">
          <cell r="A8632" t="str">
            <v>Festuca rubra subsp. scotica</v>
          </cell>
          <cell r="B8632" t="str">
            <v>Vascular plants</v>
          </cell>
          <cell r="C8632" t="str">
            <v>Tracheophyta</v>
          </cell>
          <cell r="D8632" t="str">
            <v>Festuca rubra subsp. scotica</v>
          </cell>
          <cell r="E8632" t="str">
            <v>DD</v>
          </cell>
          <cell r="F8632" t="str">
            <v>in Stroh et al., 2014 (from: Cheffings &amp; Farrell 2005 or subsequent amendments in Leach 2007, 2010; Leach &amp; Walker 2011, 2013)</v>
          </cell>
          <cell r="G8632" t="str">
            <v>NHMSYS0000458801</v>
          </cell>
          <cell r="H8632" t="str">
            <v>Festuca rubra subsp. scotica</v>
          </cell>
        </row>
        <row r="8633">
          <cell r="A8633" t="str">
            <v>Gymnadenia densiflora</v>
          </cell>
          <cell r="B8633" t="str">
            <v>Vascular plants</v>
          </cell>
          <cell r="C8633" t="str">
            <v>Tracheophyta</v>
          </cell>
          <cell r="D8633" t="str">
            <v>Gymnadenia densiflora</v>
          </cell>
          <cell r="E8633" t="str">
            <v>DD</v>
          </cell>
          <cell r="F8633" t="str">
            <v>in Stroh et al., 2014 (from: Cheffings &amp; Farrell 2005 or subsequent amendments in Leach 2007, 2010; Leach &amp; Walker 2011, 2013)</v>
          </cell>
          <cell r="G8633" t="str">
            <v>NHMSYS0000459171</v>
          </cell>
          <cell r="H8633" t="str">
            <v>Gymnadenia densiflora</v>
          </cell>
        </row>
        <row r="8634">
          <cell r="A8634" t="str">
            <v>Heracleum sphondylium subsp. flavescens</v>
          </cell>
          <cell r="B8634" t="str">
            <v>Vascular plants</v>
          </cell>
          <cell r="C8634" t="str">
            <v>Tracheophyta</v>
          </cell>
          <cell r="D8634" t="str">
            <v>Heracleum sphondylium subsp. flavescens</v>
          </cell>
          <cell r="E8634" t="str">
            <v>DD</v>
          </cell>
          <cell r="F8634" t="str">
            <v>in Stroh et al., 2014 (from: Cheffings &amp; Farrell 2005 or subsequent amendments in Leach 2007, 2010; Leach &amp; Walker 2011, 2013)</v>
          </cell>
          <cell r="G8634" t="str">
            <v>NHMSYS0000459305</v>
          </cell>
          <cell r="H8634" t="str">
            <v>Heracleum sphondylium subsp. flavescens</v>
          </cell>
        </row>
        <row r="8635">
          <cell r="A8635" t="str">
            <v>Hieracium angustatum</v>
          </cell>
          <cell r="B8635" t="str">
            <v>Vascular plants</v>
          </cell>
          <cell r="C8635" t="str">
            <v>Tracheophyta</v>
          </cell>
          <cell r="D8635" t="str">
            <v>Hieracium angustatum</v>
          </cell>
          <cell r="E8635" t="str">
            <v>DD</v>
          </cell>
          <cell r="F8635" t="str">
            <v>in Stroh et al., 2014 (from: Cheffings &amp; Farrell 2005 or subsequent amendments in Leach 2007, 2010; Leach &amp; Walker 2011, 2013)</v>
          </cell>
          <cell r="G8635" t="str">
            <v>NHMSYS0000840941</v>
          </cell>
          <cell r="H8635" t="str">
            <v>Hieracium angustatum</v>
          </cell>
        </row>
        <row r="8636">
          <cell r="A8636" t="str">
            <v>Hieracium caesionigrescens</v>
          </cell>
          <cell r="B8636" t="str">
            <v>Vascular plants</v>
          </cell>
          <cell r="C8636" t="str">
            <v>Tracheophyta</v>
          </cell>
          <cell r="D8636" t="str">
            <v>Hieracium caesionigrescens</v>
          </cell>
          <cell r="E8636" t="str">
            <v>DD</v>
          </cell>
          <cell r="F8636" t="str">
            <v>in Stroh et al., 2014 (from: Cheffings &amp; Farrell 2005 or subsequent amendments in Leach 2007, 2010; Leach &amp; Walker 2011, 2013)</v>
          </cell>
          <cell r="G8636" t="str">
            <v>NHMSYS0000459358</v>
          </cell>
          <cell r="H8636" t="str">
            <v>Hieracium caesionigrescens</v>
          </cell>
        </row>
        <row r="8637">
          <cell r="A8637" t="str">
            <v>Hieracium chrysolorum</v>
          </cell>
          <cell r="B8637" t="str">
            <v>Vascular plants</v>
          </cell>
          <cell r="C8637" t="str">
            <v>Tracheophyta</v>
          </cell>
          <cell r="D8637" t="str">
            <v>Hieracium chrysolorum</v>
          </cell>
          <cell r="E8637" t="str">
            <v>DD</v>
          </cell>
          <cell r="F8637" t="str">
            <v>in Stroh et al., 2014 (from: Cheffings &amp; Farrell 2005 or subsequent amendments in Leach 2007, 2010; Leach &amp; Walker 2011, 2013)</v>
          </cell>
          <cell r="G8637" t="str">
            <v>NHMSYS0000459384</v>
          </cell>
          <cell r="H8637" t="str">
            <v>Hieracium chrysolorum</v>
          </cell>
        </row>
        <row r="8638">
          <cell r="A8638" t="str">
            <v>Hieracium commixtum</v>
          </cell>
          <cell r="B8638" t="str">
            <v>Vascular plants</v>
          </cell>
          <cell r="C8638" t="str">
            <v>Tracheophyta</v>
          </cell>
          <cell r="D8638" t="str">
            <v>Hieracium commixtum</v>
          </cell>
          <cell r="E8638" t="str">
            <v>DD</v>
          </cell>
          <cell r="F8638" t="str">
            <v>in Stroh et al., 2014 (from: Cheffings &amp; Farrell 2005 or subsequent amendments in Leach 2007, 2010; Leach &amp; Walker 2011, 2013)</v>
          </cell>
          <cell r="G8638" t="str">
            <v>NHMSYS0020442362</v>
          </cell>
          <cell r="H8638" t="str">
            <v>Hieracium commixtum</v>
          </cell>
        </row>
        <row r="8639">
          <cell r="A8639" t="str">
            <v>Hieracium cumbriense</v>
          </cell>
          <cell r="B8639" t="str">
            <v>Vascular plants</v>
          </cell>
          <cell r="C8639" t="str">
            <v>Tracheophyta</v>
          </cell>
          <cell r="D8639" t="str">
            <v>Hieracium cumbriense</v>
          </cell>
          <cell r="E8639" t="str">
            <v>DD</v>
          </cell>
          <cell r="F8639" t="str">
            <v>in Stroh et al., 2014 (from: Cheffings &amp; Farrell 2005 or subsequent amendments in Leach 2007, 2010; Leach &amp; Walker 2011, 2013)</v>
          </cell>
          <cell r="G8639" t="str">
            <v>NHMSYS0000459396</v>
          </cell>
          <cell r="H8639" t="str">
            <v>Hieracium cumbriense</v>
          </cell>
        </row>
        <row r="8640">
          <cell r="A8640" t="str">
            <v>Hieracium dalense</v>
          </cell>
          <cell r="B8640" t="str">
            <v>Vascular plants</v>
          </cell>
          <cell r="C8640" t="str">
            <v>Tracheophyta</v>
          </cell>
          <cell r="D8640" t="str">
            <v>Hieracium dalense</v>
          </cell>
          <cell r="E8640" t="str">
            <v>DD</v>
          </cell>
          <cell r="F8640" t="str">
            <v>in Stroh et al., 2014 (from: Cheffings &amp; Farrell 2005 or subsequent amendments in Leach 2007, 2010; Leach &amp; Walker 2011, 2013)</v>
          </cell>
          <cell r="G8640" t="str">
            <v>NHMSYS0020442363</v>
          </cell>
          <cell r="H8640" t="str">
            <v>Hieracium dalense</v>
          </cell>
        </row>
        <row r="8641">
          <cell r="A8641" t="str">
            <v>Hieracium filisquamum</v>
          </cell>
          <cell r="B8641" t="str">
            <v>Vascular plants</v>
          </cell>
          <cell r="C8641" t="str">
            <v>Tracheophyta</v>
          </cell>
          <cell r="D8641" t="str">
            <v>Hieracium filisquamum</v>
          </cell>
          <cell r="E8641" t="str">
            <v>DD</v>
          </cell>
          <cell r="F8641" t="str">
            <v>in Stroh et al., 2014 (from: Cheffings &amp; Farrell 2005 or subsequent amendments in Leach 2007, 2010; Leach &amp; Walker 2011, 2013)</v>
          </cell>
          <cell r="G8641" t="str">
            <v>NHMSYS0020442369</v>
          </cell>
          <cell r="H8641" t="str">
            <v>Hieracium filisquamum</v>
          </cell>
        </row>
        <row r="8642">
          <cell r="A8642" t="str">
            <v>Hieracium fissuricola</v>
          </cell>
          <cell r="B8642" t="str">
            <v>Vascular plants</v>
          </cell>
          <cell r="C8642" t="str">
            <v>Tracheophyta</v>
          </cell>
          <cell r="D8642" t="str">
            <v>Hieracium fissuricola</v>
          </cell>
          <cell r="E8642" t="str">
            <v>DD</v>
          </cell>
          <cell r="F8642" t="str">
            <v>in Stroh et al., 2014 (from: Cheffings &amp; Farrell 2005 or subsequent amendments in Leach 2007, 2010; Leach &amp; Walker 2011, 2013)</v>
          </cell>
          <cell r="G8642" t="str">
            <v>NHMSYS0020442370</v>
          </cell>
          <cell r="H8642" t="str">
            <v>Hieracium fissuricola</v>
          </cell>
        </row>
        <row r="8643">
          <cell r="A8643" t="str">
            <v>Hieracium glanduliceps</v>
          </cell>
          <cell r="B8643" t="str">
            <v>Vascular plants</v>
          </cell>
          <cell r="C8643" t="str">
            <v>Tracheophyta</v>
          </cell>
          <cell r="D8643" t="str">
            <v>Hieracium glanduliceps</v>
          </cell>
          <cell r="E8643" t="str">
            <v>DD</v>
          </cell>
          <cell r="F8643" t="str">
            <v>in Stroh et al., 2014 (from: Cheffings &amp; Farrell 2005 or subsequent amendments in Leach 2007, 2010; Leach &amp; Walker 2011, 2013)</v>
          </cell>
          <cell r="G8643" t="str">
            <v>NHMSYS0000459441</v>
          </cell>
          <cell r="H8643" t="str">
            <v>Hieracium glanduliceps</v>
          </cell>
        </row>
        <row r="8644">
          <cell r="A8644" t="str">
            <v>Hieracium megapodium</v>
          </cell>
          <cell r="B8644" t="str">
            <v>Vascular plants</v>
          </cell>
          <cell r="C8644" t="str">
            <v>Tracheophyta</v>
          </cell>
          <cell r="D8644" t="str">
            <v>Hieracium megapodium</v>
          </cell>
          <cell r="E8644" t="str">
            <v>DD</v>
          </cell>
          <cell r="F8644" t="str">
            <v>in Stroh et al., 2014 (from: Cheffings &amp; Farrell 2005 or subsequent amendments in Leach 2007, 2010; Leach &amp; Walker 2011, 2013)</v>
          </cell>
          <cell r="G8644" t="str">
            <v>NHMSYS0000840856</v>
          </cell>
          <cell r="H8644" t="str">
            <v>Hieracium megapodium</v>
          </cell>
        </row>
        <row r="8645">
          <cell r="A8645" t="str">
            <v>Hieracium microspilum</v>
          </cell>
          <cell r="B8645" t="str">
            <v>Vascular plants</v>
          </cell>
          <cell r="C8645" t="str">
            <v>Tracheophyta</v>
          </cell>
          <cell r="D8645" t="str">
            <v>Hieracium microspilum</v>
          </cell>
          <cell r="E8645" t="str">
            <v>DD</v>
          </cell>
          <cell r="F8645" t="str">
            <v>in Stroh et al., 2014 (from: Cheffings &amp; Farrell 2005 or subsequent amendments in Leach 2007, 2010; Leach &amp; Walker 2011, 2013)</v>
          </cell>
          <cell r="G8645" t="str">
            <v>NHMSYS0020442383</v>
          </cell>
          <cell r="H8645" t="str">
            <v>Hieracium microspilum</v>
          </cell>
        </row>
        <row r="8646">
          <cell r="A8646" t="str">
            <v>Hieracium subplanifolium</v>
          </cell>
          <cell r="B8646" t="str">
            <v>Vascular plants</v>
          </cell>
          <cell r="C8646" t="str">
            <v>Tracheophyta</v>
          </cell>
          <cell r="D8646" t="str">
            <v>Hieracium subplanifolium</v>
          </cell>
          <cell r="E8646" t="str">
            <v>DD</v>
          </cell>
          <cell r="F8646" t="str">
            <v>in Stroh et al., 2014 (from: Cheffings &amp; Farrell 2005 or subsequent amendments in Leach 2007, 2010; Leach &amp; Walker 2011, 2013)</v>
          </cell>
          <cell r="G8646" t="str">
            <v>NHMSYS0000840747</v>
          </cell>
          <cell r="H8646" t="str">
            <v>Hieracium subplanifolium</v>
          </cell>
        </row>
        <row r="8647">
          <cell r="A8647" t="str">
            <v>Hypericum maculatum subsp. maculatum</v>
          </cell>
          <cell r="B8647" t="str">
            <v>Vascular plants</v>
          </cell>
          <cell r="C8647" t="str">
            <v>Tracheophyta</v>
          </cell>
          <cell r="D8647" t="str">
            <v>Hypericum maculatum subsp. maculatum</v>
          </cell>
          <cell r="E8647" t="str">
            <v>DD</v>
          </cell>
          <cell r="F8647" t="str">
            <v>in Stroh et al., 2014 (from: Cheffings &amp; Farrell 2005 or subsequent amendments in Leach 2007, 2010; Leach &amp; Walker 2011, 2013)</v>
          </cell>
          <cell r="G8647" t="str">
            <v>NHMSYS0000459854</v>
          </cell>
          <cell r="H8647" t="str">
            <v>Hypericum maculatum subsp. maculatum</v>
          </cell>
        </row>
        <row r="8648">
          <cell r="A8648" t="str">
            <v>Mentha suaveolens</v>
          </cell>
          <cell r="B8648" t="str">
            <v>Vascular plants</v>
          </cell>
          <cell r="C8648" t="str">
            <v>Tracheophyta</v>
          </cell>
          <cell r="D8648" t="str">
            <v>Mentha suaveolens</v>
          </cell>
          <cell r="E8648" t="str">
            <v>DD</v>
          </cell>
          <cell r="F8648" t="str">
            <v>in Stroh et al., 2014 (from: Cheffings &amp; Farrell 2005 or subsequent amendments in Leach 2007, 2010; Leach &amp; Walker 2011, 2013)</v>
          </cell>
          <cell r="G8648" t="str">
            <v>NBNSYS0000004204</v>
          </cell>
          <cell r="H8648" t="str">
            <v>Mentha suaveolens</v>
          </cell>
        </row>
        <row r="8649">
          <cell r="A8649" t="str">
            <v>Polygala vulgaris subsp. collina</v>
          </cell>
          <cell r="B8649" t="str">
            <v>Vascular plants</v>
          </cell>
          <cell r="C8649" t="str">
            <v>Tracheophyta</v>
          </cell>
          <cell r="D8649" t="str">
            <v>Polygala vulgaris subsp. collina</v>
          </cell>
          <cell r="E8649" t="str">
            <v>DD</v>
          </cell>
          <cell r="F8649" t="str">
            <v>in Stroh et al., 2014 (from: Cheffings &amp; Farrell 2005 or subsequent amendments in Leach 2007, 2010; Leach &amp; Walker 2011, 2013)</v>
          </cell>
          <cell r="G8649" t="str">
            <v>NHMSYS0000461833</v>
          </cell>
          <cell r="H8649" t="str">
            <v>Polygala vulgaris subsp. collina</v>
          </cell>
        </row>
        <row r="8650">
          <cell r="A8650" t="str">
            <v>Rhinanthus minor subsp. calcareus</v>
          </cell>
          <cell r="B8650" t="str">
            <v>Vascular plants</v>
          </cell>
          <cell r="C8650" t="str">
            <v>Tracheophyta</v>
          </cell>
          <cell r="D8650" t="str">
            <v>Rhinanthus minor subsp. calcareus</v>
          </cell>
          <cell r="E8650" t="str">
            <v>DD</v>
          </cell>
          <cell r="F8650" t="str">
            <v>in Stroh et al., 2014 (from: Cheffings &amp; Farrell 2005 or subsequent amendments in Leach 2007, 2010; Leach &amp; Walker 2011, 2013)</v>
          </cell>
          <cell r="G8650" t="str">
            <v>NHMSYS0000462357</v>
          </cell>
          <cell r="H8650" t="str">
            <v>Rhinanthus minor subsp. calcareus</v>
          </cell>
        </row>
        <row r="8651">
          <cell r="A8651" t="str">
            <v>Rhinanthus minor subsp. monticola</v>
          </cell>
          <cell r="B8651" t="str">
            <v>Vascular plants</v>
          </cell>
          <cell r="C8651" t="str">
            <v>Tracheophyta</v>
          </cell>
          <cell r="D8651" t="str">
            <v>Rhinanthus minor subsp. monticola</v>
          </cell>
          <cell r="E8651" t="str">
            <v>DD</v>
          </cell>
          <cell r="F8651" t="str">
            <v>in Stroh et al., 2014 (from: Cheffings &amp; Farrell 2005 or subsequent amendments in Leach 2007, 2010; Leach &amp; Walker 2011, 2013)</v>
          </cell>
          <cell r="G8651" t="str">
            <v>NHMSYS0000462361</v>
          </cell>
          <cell r="H8651" t="str">
            <v>Rhinanthus minor subsp. monticola</v>
          </cell>
        </row>
        <row r="8652">
          <cell r="A8652" t="str">
            <v>Salicornia emerici</v>
          </cell>
          <cell r="B8652" t="str">
            <v>Vascular plants</v>
          </cell>
          <cell r="C8652" t="str">
            <v>Tracheophyta</v>
          </cell>
          <cell r="D8652" t="str">
            <v>Salicornia emerici</v>
          </cell>
          <cell r="E8652" t="str">
            <v>DD</v>
          </cell>
          <cell r="F8652" t="str">
            <v>in Stroh et al., 2014 (from: Cheffings &amp; Farrell 2005 or subsequent amendments in Leach 2007, 2010; Leach &amp; Walker 2011, 2013)</v>
          </cell>
          <cell r="G8652" t="str">
            <v>NHMSYS0000463070</v>
          </cell>
          <cell r="H8652" t="str">
            <v>Salicornia emerici</v>
          </cell>
        </row>
        <row r="8653">
          <cell r="A8653" t="str">
            <v>Salicornia obscura</v>
          </cell>
          <cell r="B8653" t="str">
            <v>Vascular plants</v>
          </cell>
          <cell r="C8653" t="str">
            <v>Tracheophyta</v>
          </cell>
          <cell r="D8653" t="str">
            <v>Salicornia obscura</v>
          </cell>
          <cell r="E8653" t="str">
            <v>DD</v>
          </cell>
          <cell r="F8653" t="str">
            <v>in Stroh et al., 2014 (from: Cheffings &amp; Farrell 2005 or subsequent amendments in Leach 2007, 2010; Leach &amp; Walker 2011, 2013)</v>
          </cell>
          <cell r="G8653" t="str">
            <v>NHMSYS0000463071</v>
          </cell>
          <cell r="H8653" t="str">
            <v>Salicornia obscura</v>
          </cell>
        </row>
        <row r="8654">
          <cell r="A8654" t="str">
            <v>Scleranthus annuus subsp. polycarpos</v>
          </cell>
          <cell r="B8654" t="str">
            <v>Vascular plants</v>
          </cell>
          <cell r="C8654" t="str">
            <v>Tracheophyta</v>
          </cell>
          <cell r="D8654" t="str">
            <v>Scleranthus annuus subsp. polycarpos</v>
          </cell>
          <cell r="E8654" t="str">
            <v>DD</v>
          </cell>
          <cell r="F8654" t="str">
            <v>in Stroh et al., 2014 (from: Cheffings &amp; Farrell 2005 or subsequent amendments in Leach 2007, 2010; Leach &amp; Walker 2011, 2013)</v>
          </cell>
          <cell r="G8654" t="str">
            <v>NBNSYS0000004589</v>
          </cell>
          <cell r="H8654" t="str">
            <v>Scleranthus annuus subsp. polycarpos</v>
          </cell>
        </row>
        <row r="8655">
          <cell r="A8655" t="str">
            <v>Taraxacum beeftinkii</v>
          </cell>
          <cell r="B8655" t="str">
            <v>Vascular plants</v>
          </cell>
          <cell r="C8655" t="str">
            <v>Tracheophyta</v>
          </cell>
          <cell r="D8655" t="str">
            <v>Taraxacum beeftinkii</v>
          </cell>
          <cell r="E8655" t="str">
            <v>DD</v>
          </cell>
          <cell r="F8655" t="str">
            <v>in Stroh et al., 2014 (from: Cheffings &amp; Farrell 2005 or subsequent amendments in Leach 2007, 2010; Leach &amp; Walker 2011, 2013)</v>
          </cell>
          <cell r="G8655" t="str">
            <v>NHMSYS0000840956</v>
          </cell>
          <cell r="H8655" t="str">
            <v>Taraxacum beeftinkii</v>
          </cell>
        </row>
        <row r="8656">
          <cell r="A8656" t="str">
            <v>Taraxacum margettsii</v>
          </cell>
          <cell r="B8656" t="str">
            <v>Vascular plants</v>
          </cell>
          <cell r="C8656" t="str">
            <v>Tracheophyta</v>
          </cell>
          <cell r="D8656" t="str">
            <v>Taraxacum margettsii</v>
          </cell>
          <cell r="E8656" t="str">
            <v>DD</v>
          </cell>
          <cell r="F8656" t="str">
            <v>in Stroh et al., 2014 (from: Cheffings &amp; Farrell 2005 or subsequent amendments in Leach 2007, 2010; Leach &amp; Walker 2011, 2013)</v>
          </cell>
          <cell r="G8656" t="str">
            <v>NHMSYS0000464259</v>
          </cell>
          <cell r="H8656" t="str">
            <v>Taraxacum margettsii</v>
          </cell>
        </row>
        <row r="8657">
          <cell r="A8657" t="str">
            <v>Taraxacum pseudonordstedtii</v>
          </cell>
          <cell r="B8657" t="str">
            <v>Vascular plants</v>
          </cell>
          <cell r="C8657" t="str">
            <v>Tracheophyta</v>
          </cell>
          <cell r="D8657" t="str">
            <v>Taraxacum pseudonordstedtii</v>
          </cell>
          <cell r="E8657" t="str">
            <v>DD</v>
          </cell>
          <cell r="F8657" t="str">
            <v>in Stroh et al., 2014 (from: Cheffings &amp; Farrell 2005 or subsequent amendments in Leach 2007, 2010; Leach &amp; Walker 2011, 2013)</v>
          </cell>
          <cell r="G8657" t="str">
            <v>NHMSYS0000464290</v>
          </cell>
          <cell r="H8657" t="str">
            <v>Taraxacum pseudonordstedtii</v>
          </cell>
        </row>
        <row r="8658">
          <cell r="A8658" t="str">
            <v>Trichophorum cespitosum</v>
          </cell>
          <cell r="B8658" t="str">
            <v>Vascular plants</v>
          </cell>
          <cell r="C8658" t="str">
            <v>Tracheophyta</v>
          </cell>
          <cell r="D8658" t="str">
            <v>Trichophorum cespitosum</v>
          </cell>
          <cell r="E8658" t="str">
            <v>DD</v>
          </cell>
          <cell r="F8658" t="str">
            <v>in Stroh et al., 2014 (from: Cheffings &amp; Farrell 2005 or subsequent amendments in Leach 2007, 2010; Leach &amp; Walker 2011, 2013)</v>
          </cell>
          <cell r="G8658" t="str">
            <v>NHMSYS0021007976</v>
          </cell>
          <cell r="H8658" t="str">
            <v>Trichophorum cespitosum</v>
          </cell>
        </row>
        <row r="8659">
          <cell r="A8659" t="str">
            <v>Utricularia intermedia s.l.</v>
          </cell>
          <cell r="B8659" t="str">
            <v>Vascular plants</v>
          </cell>
          <cell r="C8659" t="str">
            <v>Tracheophyta</v>
          </cell>
          <cell r="D8659" t="str">
            <v>Utricularia intermedia s.l.</v>
          </cell>
          <cell r="E8659" t="str">
            <v>DD</v>
          </cell>
          <cell r="F8659" t="str">
            <v>in Stroh et al., 2014 (from: Cheffings &amp; Farrell 2005 or subsequent amendments in Leach 2007, 2010; Leach &amp; Walker 2011, 2013)</v>
          </cell>
          <cell r="G8659" t="str">
            <v>NBNSYS0000004189</v>
          </cell>
          <cell r="H8659" t="str">
            <v>Utricularia intermedia s.l.</v>
          </cell>
        </row>
        <row r="8660">
          <cell r="A8660" t="str">
            <v>Utricularia intermedia s.s.</v>
          </cell>
          <cell r="B8660" t="str">
            <v>Vascular plants</v>
          </cell>
          <cell r="C8660" t="str">
            <v>Tracheophyta</v>
          </cell>
          <cell r="D8660" t="str">
            <v>Utricularia intermedia s.s.</v>
          </cell>
          <cell r="E8660" t="str">
            <v>DD</v>
          </cell>
          <cell r="F8660" t="str">
            <v>in Stroh et al., 2014 (from: Cheffings &amp; Farrell 2005 or subsequent amendments in Leach 2007, 2010; Leach &amp; Walker 2011, 2013)</v>
          </cell>
          <cell r="G8660" t="str">
            <v>NHMSYS0100003189</v>
          </cell>
          <cell r="H8660" t="str">
            <v>Utricularia intermedia s.s.</v>
          </cell>
        </row>
        <row r="8661">
          <cell r="A8661" t="str">
            <v>Utricularia ochroleuca</v>
          </cell>
          <cell r="B8661" t="str">
            <v>Vascular plants</v>
          </cell>
          <cell r="C8661" t="str">
            <v>Tracheophyta</v>
          </cell>
          <cell r="D8661" t="str">
            <v>Utricularia ochroleuca</v>
          </cell>
          <cell r="E8661" t="str">
            <v>DD</v>
          </cell>
          <cell r="F8661" t="str">
            <v>in Stroh et al., 2014 (from: Cheffings &amp; Farrell 2005 or subsequent amendments in Leach 2007, 2010; Leach &amp; Walker 2011, 2013)</v>
          </cell>
          <cell r="G8661" t="str">
            <v>NHMSYS0000464747</v>
          </cell>
          <cell r="H8661" t="str">
            <v>Utricularia ochroleuca</v>
          </cell>
        </row>
        <row r="8662">
          <cell r="A8662" t="str">
            <v>Utricularia stygia</v>
          </cell>
          <cell r="B8662" t="str">
            <v>Vascular plants</v>
          </cell>
          <cell r="C8662" t="str">
            <v>Tracheophyta</v>
          </cell>
          <cell r="D8662" t="str">
            <v>Utricularia stygia</v>
          </cell>
          <cell r="E8662" t="str">
            <v>DD</v>
          </cell>
          <cell r="F8662" t="str">
            <v>in Stroh et al., 2014 (from: Cheffings &amp; Farrell 2005 or subsequent amendments in Leach 2007, 2010; Leach &amp; Walker 2011, 2013)</v>
          </cell>
          <cell r="G8662" t="str">
            <v>NHMSYS0000464748</v>
          </cell>
          <cell r="H8662" t="str">
            <v>Utricularia stygia</v>
          </cell>
        </row>
        <row r="8663">
          <cell r="A8663" t="str">
            <v>Cybister lateralimarginalis</v>
          </cell>
          <cell r="B8663" t="str">
            <v>Water beetles</v>
          </cell>
          <cell r="C8663" t="str">
            <v>Coleoptera</v>
          </cell>
          <cell r="D8663" t="str">
            <v>Cybister lateralimarginalis</v>
          </cell>
          <cell r="E8663" t="str">
            <v>DD</v>
          </cell>
          <cell r="F8663" t="str">
            <v>Foster, 2010</v>
          </cell>
          <cell r="G8663" t="str">
            <v>NHMSYS0001717781</v>
          </cell>
          <cell r="H8663" t="str">
            <v>Cybister lateralimarginalis</v>
          </cell>
        </row>
        <row r="8664">
          <cell r="A8664" t="str">
            <v>Aepophilus bonnairei </v>
          </cell>
          <cell r="B8664" t="str">
            <v>Water bugs</v>
          </cell>
          <cell r="C8664" t="str">
            <v>Hemiptera</v>
          </cell>
          <cell r="D8664" t="str">
            <v>Aepophilus bonnairei</v>
          </cell>
          <cell r="E8664" t="str">
            <v>DD</v>
          </cell>
          <cell r="F8664" t="str">
            <v>Cook, 2015</v>
          </cell>
          <cell r="G8664" t="str">
            <v>NHMSYS0020308907</v>
          </cell>
          <cell r="H8664" t="str">
            <v>Aepophilus bonnairei </v>
          </cell>
        </row>
        <row r="8665">
          <cell r="A8665" t="str">
            <v>Micronecta griseola </v>
          </cell>
          <cell r="B8665" t="str">
            <v>Water bugs</v>
          </cell>
          <cell r="C8665" t="str">
            <v>Hemiptera</v>
          </cell>
          <cell r="D8665" t="str">
            <v>Micronecta griseola</v>
          </cell>
          <cell r="E8665" t="str">
            <v>DD</v>
          </cell>
          <cell r="F8665" t="str">
            <v>Cook, 2015</v>
          </cell>
          <cell r="G8665" t="str">
            <v>NHMSYS0020309456</v>
          </cell>
          <cell r="H8665" t="str">
            <v>Micronecta griseola </v>
          </cell>
        </row>
        <row r="8666">
          <cell r="A8666" t="str">
            <v>Anthrenus museorum</v>
          </cell>
          <cell r="B8666" t="str">
            <v>Wood boring beetles and allies</v>
          </cell>
          <cell r="C8666" t="str">
            <v>Coleoptera</v>
          </cell>
          <cell r="D8666" t="str">
            <v>Anthrenus museorum</v>
          </cell>
          <cell r="E8666" t="str">
            <v>DD</v>
          </cell>
          <cell r="F8666" t="str">
            <v>Alexander, 2017</v>
          </cell>
          <cell r="G8666" t="str">
            <v>NBNSYS0000024297</v>
          </cell>
          <cell r="H8666" t="str">
            <v>Anthrenus museorum</v>
          </cell>
        </row>
        <row r="8667">
          <cell r="A8667" t="str">
            <v>Anthrenus pimpinellae</v>
          </cell>
          <cell r="B8667" t="str">
            <v>Wood boring beetles and allies</v>
          </cell>
          <cell r="C8667" t="str">
            <v>Coleoptera</v>
          </cell>
          <cell r="D8667" t="str">
            <v>Anthrenus pimpinellae</v>
          </cell>
          <cell r="E8667" t="str">
            <v>DD</v>
          </cell>
          <cell r="F8667" t="str">
            <v>Alexander, 2017</v>
          </cell>
          <cell r="G8667" t="str">
            <v>NBNSYS0000024298</v>
          </cell>
          <cell r="H8667" t="str">
            <v>Anthrenus pimpinellae</v>
          </cell>
        </row>
        <row r="8668">
          <cell r="A8668" t="str">
            <v>Caenocara affinis</v>
          </cell>
          <cell r="B8668" t="str">
            <v>Wood boring beetles and allies</v>
          </cell>
          <cell r="C8668" t="str">
            <v>Coleoptera</v>
          </cell>
          <cell r="D8668" t="str">
            <v>Caenocara affinis</v>
          </cell>
          <cell r="E8668" t="str">
            <v>DD</v>
          </cell>
          <cell r="F8668" t="str">
            <v>Alexander, 2017</v>
          </cell>
          <cell r="G8668" t="str">
            <v>NBNSYS0000024330</v>
          </cell>
          <cell r="H8668" t="str">
            <v>Caenocara affinis</v>
          </cell>
        </row>
        <row r="8669">
          <cell r="A8669" t="str">
            <v>Gastrallus knizeki</v>
          </cell>
          <cell r="B8669" t="str">
            <v>Wood boring beetles and allies</v>
          </cell>
          <cell r="C8669" t="str">
            <v>Coleoptera</v>
          </cell>
          <cell r="D8669" t="str">
            <v>Gastrallus knizeki</v>
          </cell>
          <cell r="E8669" t="str">
            <v>DD</v>
          </cell>
          <cell r="F8669" t="str">
            <v>Alexander, 2017</v>
          </cell>
          <cell r="G8669" t="str">
            <v>NHMSYS0021179404</v>
          </cell>
          <cell r="H8669" t="str">
            <v>Gastrallus knizeki</v>
          </cell>
        </row>
        <row r="8670">
          <cell r="A8670" t="str">
            <v>Ptinus pilosus</v>
          </cell>
          <cell r="B8670" t="str">
            <v>Wood boring beetles and allies</v>
          </cell>
          <cell r="C8670" t="str">
            <v>Coleoptera</v>
          </cell>
          <cell r="D8670" t="str">
            <v>Ptinus pilosus</v>
          </cell>
          <cell r="E8670" t="str">
            <v>DD</v>
          </cell>
          <cell r="F8670" t="str">
            <v>Alexander, 2017</v>
          </cell>
          <cell r="G8670" t="str">
            <v>NHMSYS0001719878</v>
          </cell>
          <cell r="H8670" t="str">
            <v>Ptinus pilosus</v>
          </cell>
        </row>
        <row r="8671">
          <cell r="A8671" t="str">
            <v>Xyletinus ater</v>
          </cell>
          <cell r="B8671" t="str">
            <v>Wood boring beetles and allies</v>
          </cell>
          <cell r="C8671" t="str">
            <v>Coleoptera</v>
          </cell>
          <cell r="D8671" t="str">
            <v>Xyletinus ater</v>
          </cell>
          <cell r="E8671" t="str">
            <v>DD</v>
          </cell>
          <cell r="F8671" t="str">
            <v>Alexander, 2017</v>
          </cell>
          <cell r="G8671" t="str">
            <v>NHMSYS0021179579</v>
          </cell>
          <cell r="H8671" t="str">
            <v>Xyletinus ater</v>
          </cell>
        </row>
      </sheetData>
      <sheetData sheetId="8"/>
      <sheetData sheetId="9"/>
      <sheetData sheetId="10"/>
      <sheetData sheetId="11"/>
      <sheetData sheetId="12"/>
      <sheetData sheetId="13"/>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irst-nature.com/fungi/hypocreopsis-rhododendri.php" TargetMode="External"/><Relationship Id="rId2" Type="http://schemas.openxmlformats.org/officeDocument/2006/relationships/hyperlink" Target="https://www.woodlandtrust.org.uk/trees-woods-and-wildlife/british-trees/a-z-of-british-trees/english-oak/" TargetMode="External"/><Relationship Id="rId3" Type="http://schemas.openxmlformats.org/officeDocument/2006/relationships/hyperlink" Target="https://en.wikipedia.org/wiki/A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JM68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0" activeCellId="0" sqref="G10"/>
    </sheetView>
  </sheetViews>
  <sheetFormatPr defaultColWidth="7.66796875" defaultRowHeight="14.25" customHeight="false" zeroHeight="false" outlineLevelRow="0" outlineLevelCol="0"/>
  <cols>
    <col collapsed="false" customWidth="true" hidden="false" outlineLevel="0" max="1" min="1" style="1" width="13.33"/>
    <col collapsed="false" customWidth="true" hidden="false" outlineLevel="0" max="2" min="2" style="2" width="16.67"/>
    <col collapsed="false" customWidth="true" hidden="false" outlineLevel="0" max="5" min="3" style="2" width="8.33"/>
    <col collapsed="false" customWidth="true" hidden="false" outlineLevel="0" max="6" min="6" style="2" width="6.34"/>
    <col collapsed="false" customWidth="true" hidden="false" outlineLevel="0" max="8" min="7" style="2" width="8.33"/>
    <col collapsed="false" customWidth="true" hidden="false" outlineLevel="0" max="9" min="9" style="2" width="2.22"/>
    <col collapsed="false" customWidth="true" hidden="false" outlineLevel="0" max="10" min="10" style="2" width="49.66"/>
    <col collapsed="false" customWidth="true" hidden="false" outlineLevel="0" max="11" min="11" style="2" width="7.33"/>
    <col collapsed="false" customWidth="true" hidden="false" outlineLevel="0" max="13" min="12" style="2" width="8.78"/>
    <col collapsed="false" customWidth="true" hidden="false" outlineLevel="0" max="16" min="14" style="3" width="8.78"/>
    <col collapsed="false" customWidth="true" hidden="false" outlineLevel="0" max="19" min="17" style="2" width="8.78"/>
    <col collapsed="false" customWidth="true" hidden="false" outlineLevel="0" max="20" min="20" style="3" width="8.78"/>
    <col collapsed="false" customWidth="true" hidden="false" outlineLevel="0" max="26" min="21" style="2" width="8.78"/>
    <col collapsed="false" customWidth="true" hidden="false" outlineLevel="0" max="27" min="27" style="4" width="8.78"/>
    <col collapsed="false" customWidth="true" hidden="false" outlineLevel="0" max="28" min="28" style="5" width="12.67"/>
    <col collapsed="false" customWidth="true" hidden="false" outlineLevel="0" max="32" min="29" style="6" width="12.67"/>
    <col collapsed="false" customWidth="true" hidden="false" outlineLevel="0" max="38" min="33" style="7" width="6.56"/>
    <col collapsed="false" customWidth="true" hidden="false" outlineLevel="0" max="39" min="39" style="4" width="6.56"/>
    <col collapsed="false" customWidth="true" hidden="false" outlineLevel="0" max="44" min="40" style="8" width="6.56"/>
    <col collapsed="false" customWidth="true" hidden="false" outlineLevel="0" max="45" min="45" style="9" width="6.56"/>
    <col collapsed="false" customWidth="true" hidden="false" outlineLevel="0" max="46" min="46" style="2" width="6.56"/>
    <col collapsed="false" customWidth="true" hidden="false" outlineLevel="0" max="47" min="47" style="4" width="6.56"/>
    <col collapsed="false" customWidth="true" hidden="false" outlineLevel="0" max="48" min="48" style="10" width="6.56"/>
    <col collapsed="false" customWidth="true" hidden="false" outlineLevel="0" max="49" min="49" style="11" width="6.56"/>
    <col collapsed="false" customWidth="true" hidden="false" outlineLevel="0" max="50" min="50" style="4" width="6.56"/>
    <col collapsed="false" customWidth="true" hidden="false" outlineLevel="0" max="52" min="51" style="12" width="6.56"/>
    <col collapsed="false" customWidth="true" hidden="false" outlineLevel="0" max="66" min="53" style="2" width="6.56"/>
    <col collapsed="false" customWidth="false" hidden="false" outlineLevel="0" max="67" min="67" style="13" width="7.67"/>
    <col collapsed="false" customWidth="false" hidden="false" outlineLevel="0" max="9060" min="68" style="2" width="7.67"/>
    <col collapsed="false" customWidth="false" hidden="false" outlineLevel="0" max="9061" min="9061" style="14" width="7.67"/>
    <col collapsed="false" customWidth="false" hidden="false" outlineLevel="0" max="16384" min="9062" style="2" width="7.67"/>
  </cols>
  <sheetData>
    <row r="1" s="17" customFormat="true" ht="19.5" hidden="false" customHeight="true" outlineLevel="0" collapsed="false">
      <c r="A1" s="15" t="s">
        <v>0</v>
      </c>
      <c r="B1" s="15" t="s">
        <v>1</v>
      </c>
      <c r="C1" s="15" t="s">
        <v>2</v>
      </c>
      <c r="D1" s="15" t="s">
        <v>3</v>
      </c>
      <c r="E1" s="15" t="s">
        <v>4</v>
      </c>
      <c r="F1" s="15" t="s">
        <v>5</v>
      </c>
      <c r="G1" s="16" t="s">
        <v>6</v>
      </c>
      <c r="H1" s="16" t="s">
        <v>7</v>
      </c>
      <c r="I1" s="16" t="s">
        <v>8</v>
      </c>
      <c r="J1" s="16" t="s">
        <v>9</v>
      </c>
      <c r="K1" s="16" t="s">
        <v>10</v>
      </c>
      <c r="L1" s="16" t="s">
        <v>11</v>
      </c>
      <c r="M1" s="17"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9" t="s">
        <v>26</v>
      </c>
      <c r="AB1" s="20" t="s">
        <v>27</v>
      </c>
      <c r="AC1" s="21" t="s">
        <v>28</v>
      </c>
      <c r="AD1" s="21" t="s">
        <v>29</v>
      </c>
      <c r="AE1" s="21" t="s">
        <v>30</v>
      </c>
      <c r="AF1" s="21" t="s">
        <v>31</v>
      </c>
      <c r="AG1" s="22" t="s">
        <v>32</v>
      </c>
      <c r="AH1" s="22" t="s">
        <v>33</v>
      </c>
      <c r="AI1" s="22" t="s">
        <v>34</v>
      </c>
      <c r="AJ1" s="22" t="s">
        <v>35</v>
      </c>
      <c r="AK1" s="22" t="s">
        <v>36</v>
      </c>
      <c r="AL1" s="22" t="s">
        <v>37</v>
      </c>
      <c r="AM1" s="19" t="s">
        <v>38</v>
      </c>
      <c r="AN1" s="23" t="s">
        <v>39</v>
      </c>
      <c r="AO1" s="23" t="s">
        <v>40</v>
      </c>
      <c r="AP1" s="23" t="s">
        <v>41</v>
      </c>
      <c r="AQ1" s="23" t="s">
        <v>42</v>
      </c>
      <c r="AR1" s="23" t="s">
        <v>43</v>
      </c>
      <c r="AS1" s="24" t="s">
        <v>44</v>
      </c>
      <c r="AT1" s="25" t="s">
        <v>45</v>
      </c>
      <c r="AU1" s="19" t="s">
        <v>46</v>
      </c>
      <c r="AV1" s="26" t="s">
        <v>47</v>
      </c>
      <c r="AW1" s="26" t="s">
        <v>48</v>
      </c>
      <c r="AX1" s="19" t="s">
        <v>49</v>
      </c>
      <c r="AY1" s="27" t="s">
        <v>50</v>
      </c>
      <c r="AZ1" s="27" t="s">
        <v>51</v>
      </c>
      <c r="BA1" s="26" t="s">
        <v>52</v>
      </c>
      <c r="BB1" s="28" t="s">
        <v>53</v>
      </c>
      <c r="BC1" s="28" t="s">
        <v>54</v>
      </c>
      <c r="BD1" s="28" t="s">
        <v>55</v>
      </c>
      <c r="BE1" s="28" t="s">
        <v>56</v>
      </c>
      <c r="BF1" s="28" t="s">
        <v>57</v>
      </c>
      <c r="BG1" s="28" t="s">
        <v>58</v>
      </c>
      <c r="BH1" s="28" t="s">
        <v>59</v>
      </c>
      <c r="BI1" s="29" t="s">
        <v>60</v>
      </c>
      <c r="BJ1" s="29" t="s">
        <v>61</v>
      </c>
      <c r="BK1" s="29" t="s">
        <v>62</v>
      </c>
      <c r="BL1" s="29" t="s">
        <v>63</v>
      </c>
      <c r="BM1" s="29" t="s">
        <v>64</v>
      </c>
      <c r="BN1" s="17" t="s">
        <v>65</v>
      </c>
      <c r="UW1" s="17" t="s">
        <v>66</v>
      </c>
      <c r="UX1" s="17" t="s">
        <v>67</v>
      </c>
      <c r="UY1" s="17" t="s">
        <v>68</v>
      </c>
      <c r="UZ1" s="17" t="s">
        <v>69</v>
      </c>
      <c r="VA1" s="17" t="s">
        <v>70</v>
      </c>
      <c r="VB1" s="17" t="s">
        <v>71</v>
      </c>
      <c r="VC1" s="17" t="s">
        <v>72</v>
      </c>
      <c r="VD1" s="17" t="s">
        <v>73</v>
      </c>
      <c r="VE1" s="17" t="s">
        <v>74</v>
      </c>
      <c r="VF1" s="17" t="s">
        <v>75</v>
      </c>
      <c r="VG1" s="17" t="s">
        <v>76</v>
      </c>
      <c r="VH1" s="17" t="s">
        <v>77</v>
      </c>
      <c r="VI1" s="17" t="s">
        <v>78</v>
      </c>
      <c r="VJ1" s="17" t="s">
        <v>79</v>
      </c>
      <c r="VK1" s="17" t="s">
        <v>80</v>
      </c>
      <c r="VL1" s="17" t="s">
        <v>81</v>
      </c>
      <c r="VM1" s="17" t="s">
        <v>82</v>
      </c>
      <c r="VN1" s="17" t="s">
        <v>83</v>
      </c>
      <c r="VO1" s="17" t="s">
        <v>84</v>
      </c>
      <c r="VP1" s="17" t="s">
        <v>85</v>
      </c>
      <c r="VQ1" s="17" t="s">
        <v>86</v>
      </c>
      <c r="VR1" s="17" t="s">
        <v>87</v>
      </c>
      <c r="VS1" s="17" t="s">
        <v>88</v>
      </c>
      <c r="VT1" s="17" t="s">
        <v>89</v>
      </c>
      <c r="VU1" s="17" t="s">
        <v>90</v>
      </c>
      <c r="VV1" s="17" t="s">
        <v>91</v>
      </c>
      <c r="VW1" s="17" t="s">
        <v>92</v>
      </c>
      <c r="VX1" s="17" t="s">
        <v>93</v>
      </c>
      <c r="VY1" s="17" t="s">
        <v>94</v>
      </c>
      <c r="VZ1" s="17" t="s">
        <v>95</v>
      </c>
      <c r="WA1" s="17" t="s">
        <v>96</v>
      </c>
      <c r="WB1" s="17" t="s">
        <v>97</v>
      </c>
      <c r="WC1" s="17" t="s">
        <v>98</v>
      </c>
      <c r="WD1" s="17" t="s">
        <v>99</v>
      </c>
      <c r="WE1" s="17" t="s">
        <v>100</v>
      </c>
      <c r="WF1" s="17" t="s">
        <v>101</v>
      </c>
      <c r="WG1" s="17" t="s">
        <v>102</v>
      </c>
      <c r="WH1" s="17" t="s">
        <v>103</v>
      </c>
      <c r="WI1" s="17" t="s">
        <v>104</v>
      </c>
      <c r="WJ1" s="17" t="s">
        <v>105</v>
      </c>
      <c r="WK1" s="17" t="s">
        <v>106</v>
      </c>
      <c r="WL1" s="17" t="s">
        <v>107</v>
      </c>
      <c r="WM1" s="17" t="s">
        <v>108</v>
      </c>
      <c r="WN1" s="17" t="s">
        <v>109</v>
      </c>
      <c r="WO1" s="17" t="s">
        <v>110</v>
      </c>
      <c r="WP1" s="17" t="s">
        <v>111</v>
      </c>
      <c r="WQ1" s="17" t="s">
        <v>112</v>
      </c>
      <c r="WR1" s="17" t="s">
        <v>113</v>
      </c>
      <c r="WS1" s="17" t="s">
        <v>114</v>
      </c>
      <c r="WT1" s="17" t="s">
        <v>115</v>
      </c>
      <c r="WU1" s="17" t="s">
        <v>116</v>
      </c>
      <c r="WV1" s="17" t="s">
        <v>117</v>
      </c>
      <c r="WW1" s="17" t="s">
        <v>118</v>
      </c>
      <c r="WX1" s="17" t="s">
        <v>119</v>
      </c>
      <c r="WY1" s="17" t="s">
        <v>120</v>
      </c>
      <c r="WZ1" s="17" t="s">
        <v>121</v>
      </c>
      <c r="XA1" s="17" t="s">
        <v>122</v>
      </c>
      <c r="XB1" s="17" t="s">
        <v>123</v>
      </c>
      <c r="XC1" s="17" t="s">
        <v>124</v>
      </c>
      <c r="XD1" s="17" t="s">
        <v>125</v>
      </c>
      <c r="XE1" s="17" t="s">
        <v>126</v>
      </c>
      <c r="XF1" s="17" t="s">
        <v>127</v>
      </c>
      <c r="XG1" s="17" t="s">
        <v>128</v>
      </c>
      <c r="XH1" s="17" t="s">
        <v>129</v>
      </c>
      <c r="XI1" s="17" t="s">
        <v>130</v>
      </c>
      <c r="XJ1" s="17" t="s">
        <v>131</v>
      </c>
      <c r="XK1" s="17" t="s">
        <v>132</v>
      </c>
      <c r="XL1" s="17" t="s">
        <v>133</v>
      </c>
      <c r="XM1" s="17" t="s">
        <v>134</v>
      </c>
      <c r="XN1" s="17" t="s">
        <v>135</v>
      </c>
      <c r="XO1" s="17" t="s">
        <v>136</v>
      </c>
      <c r="XP1" s="17" t="s">
        <v>137</v>
      </c>
      <c r="XQ1" s="17" t="s">
        <v>138</v>
      </c>
      <c r="XR1" s="17" t="s">
        <v>139</v>
      </c>
      <c r="XS1" s="17" t="s">
        <v>140</v>
      </c>
      <c r="XT1" s="17" t="s">
        <v>141</v>
      </c>
      <c r="XU1" s="17" t="s">
        <v>142</v>
      </c>
      <c r="XV1" s="17" t="s">
        <v>143</v>
      </c>
      <c r="XW1" s="17" t="s">
        <v>144</v>
      </c>
      <c r="XX1" s="17" t="s">
        <v>145</v>
      </c>
      <c r="XY1" s="17" t="s">
        <v>146</v>
      </c>
      <c r="XZ1" s="17" t="s">
        <v>147</v>
      </c>
      <c r="YA1" s="17" t="s">
        <v>148</v>
      </c>
      <c r="YB1" s="17" t="s">
        <v>149</v>
      </c>
      <c r="YC1" s="17" t="s">
        <v>150</v>
      </c>
      <c r="YD1" s="17" t="s">
        <v>151</v>
      </c>
      <c r="YE1" s="17" t="s">
        <v>152</v>
      </c>
      <c r="YF1" s="17" t="s">
        <v>153</v>
      </c>
      <c r="YG1" s="17" t="s">
        <v>154</v>
      </c>
      <c r="YH1" s="17" t="s">
        <v>155</v>
      </c>
      <c r="YI1" s="17" t="s">
        <v>156</v>
      </c>
      <c r="YJ1" s="17" t="s">
        <v>157</v>
      </c>
      <c r="YK1" s="17" t="s">
        <v>158</v>
      </c>
      <c r="YL1" s="17" t="s">
        <v>159</v>
      </c>
      <c r="YM1" s="17" t="s">
        <v>160</v>
      </c>
      <c r="YN1" s="17" t="s">
        <v>161</v>
      </c>
      <c r="YO1" s="17" t="s">
        <v>162</v>
      </c>
      <c r="YP1" s="17" t="s">
        <v>163</v>
      </c>
      <c r="YQ1" s="17" t="s">
        <v>164</v>
      </c>
      <c r="YR1" s="17" t="s">
        <v>165</v>
      </c>
      <c r="YS1" s="17" t="s">
        <v>166</v>
      </c>
      <c r="YT1" s="17" t="s">
        <v>167</v>
      </c>
      <c r="YU1" s="17" t="s">
        <v>168</v>
      </c>
      <c r="YV1" s="17" t="s">
        <v>169</v>
      </c>
      <c r="YW1" s="17" t="s">
        <v>170</v>
      </c>
      <c r="YX1" s="17" t="s">
        <v>171</v>
      </c>
      <c r="YY1" s="17" t="s">
        <v>172</v>
      </c>
      <c r="YZ1" s="17" t="s">
        <v>173</v>
      </c>
      <c r="ZA1" s="17" t="s">
        <v>174</v>
      </c>
      <c r="ZB1" s="17" t="s">
        <v>175</v>
      </c>
      <c r="ZC1" s="17" t="s">
        <v>176</v>
      </c>
      <c r="ZD1" s="17" t="s">
        <v>177</v>
      </c>
      <c r="ZE1" s="17" t="s">
        <v>178</v>
      </c>
      <c r="ZF1" s="17" t="s">
        <v>179</v>
      </c>
      <c r="ZG1" s="17" t="s">
        <v>180</v>
      </c>
      <c r="ZH1" s="17" t="s">
        <v>181</v>
      </c>
      <c r="ZI1" s="17" t="s">
        <v>182</v>
      </c>
      <c r="ZJ1" s="17" t="s">
        <v>183</v>
      </c>
      <c r="ZK1" s="17" t="s">
        <v>184</v>
      </c>
      <c r="ZL1" s="17" t="s">
        <v>185</v>
      </c>
      <c r="ZM1" s="17" t="s">
        <v>186</v>
      </c>
      <c r="ZN1" s="17" t="s">
        <v>187</v>
      </c>
      <c r="ZO1" s="17" t="s">
        <v>188</v>
      </c>
      <c r="ZP1" s="17" t="s">
        <v>189</v>
      </c>
      <c r="ZQ1" s="17" t="s">
        <v>190</v>
      </c>
      <c r="ZR1" s="17" t="s">
        <v>191</v>
      </c>
      <c r="ZS1" s="17" t="s">
        <v>192</v>
      </c>
      <c r="ZT1" s="17" t="s">
        <v>193</v>
      </c>
      <c r="ZU1" s="17" t="s">
        <v>194</v>
      </c>
      <c r="ZV1" s="17" t="s">
        <v>195</v>
      </c>
      <c r="ZW1" s="17" t="s">
        <v>196</v>
      </c>
      <c r="ZX1" s="17" t="s">
        <v>197</v>
      </c>
      <c r="ZY1" s="17" t="s">
        <v>198</v>
      </c>
      <c r="ZZ1" s="17" t="s">
        <v>199</v>
      </c>
      <c r="AAA1" s="17" t="s">
        <v>200</v>
      </c>
      <c r="AAB1" s="17" t="s">
        <v>201</v>
      </c>
      <c r="AAC1" s="17" t="s">
        <v>202</v>
      </c>
      <c r="AAD1" s="17" t="s">
        <v>203</v>
      </c>
      <c r="AAE1" s="17" t="s">
        <v>204</v>
      </c>
      <c r="AAF1" s="17" t="s">
        <v>205</v>
      </c>
      <c r="AAG1" s="17" t="s">
        <v>206</v>
      </c>
      <c r="AAH1" s="17" t="s">
        <v>207</v>
      </c>
      <c r="AAI1" s="17" t="s">
        <v>208</v>
      </c>
      <c r="AAJ1" s="17" t="s">
        <v>209</v>
      </c>
      <c r="AAK1" s="17" t="s">
        <v>210</v>
      </c>
      <c r="AAL1" s="17" t="s">
        <v>211</v>
      </c>
      <c r="AAM1" s="17" t="s">
        <v>212</v>
      </c>
      <c r="AAN1" s="17" t="s">
        <v>213</v>
      </c>
      <c r="AAO1" s="17" t="s">
        <v>214</v>
      </c>
      <c r="AAP1" s="17" t="s">
        <v>215</v>
      </c>
      <c r="AAQ1" s="17" t="s">
        <v>216</v>
      </c>
      <c r="AAR1" s="17" t="s">
        <v>217</v>
      </c>
      <c r="AAS1" s="17" t="s">
        <v>218</v>
      </c>
      <c r="AAT1" s="17" t="s">
        <v>219</v>
      </c>
      <c r="AAU1" s="17" t="s">
        <v>220</v>
      </c>
      <c r="AAV1" s="17" t="s">
        <v>221</v>
      </c>
      <c r="AAW1" s="17" t="s">
        <v>222</v>
      </c>
      <c r="AAX1" s="17" t="s">
        <v>223</v>
      </c>
      <c r="AAY1" s="17" t="s">
        <v>224</v>
      </c>
      <c r="AAZ1" s="17" t="s">
        <v>225</v>
      </c>
      <c r="ABA1" s="17" t="s">
        <v>226</v>
      </c>
      <c r="ABB1" s="17" t="s">
        <v>227</v>
      </c>
      <c r="ABC1" s="17" t="s">
        <v>228</v>
      </c>
      <c r="ABD1" s="17" t="s">
        <v>229</v>
      </c>
      <c r="ABE1" s="17" t="s">
        <v>230</v>
      </c>
      <c r="ABF1" s="17" t="s">
        <v>231</v>
      </c>
      <c r="ABG1" s="17" t="s">
        <v>232</v>
      </c>
      <c r="ABH1" s="17" t="s">
        <v>233</v>
      </c>
      <c r="ABI1" s="17" t="s">
        <v>234</v>
      </c>
      <c r="ABJ1" s="17" t="s">
        <v>235</v>
      </c>
      <c r="ABK1" s="17" t="s">
        <v>236</v>
      </c>
      <c r="ABL1" s="17" t="s">
        <v>237</v>
      </c>
      <c r="ABM1" s="17" t="s">
        <v>238</v>
      </c>
      <c r="ABN1" s="17" t="s">
        <v>239</v>
      </c>
      <c r="ABO1" s="17" t="s">
        <v>240</v>
      </c>
      <c r="ABP1" s="17" t="s">
        <v>241</v>
      </c>
      <c r="ABQ1" s="17" t="s">
        <v>242</v>
      </c>
      <c r="ABR1" s="17" t="s">
        <v>243</v>
      </c>
      <c r="ABS1" s="17" t="s">
        <v>244</v>
      </c>
      <c r="ABT1" s="17" t="s">
        <v>245</v>
      </c>
      <c r="ABU1" s="17" t="s">
        <v>246</v>
      </c>
      <c r="ABV1" s="17" t="s">
        <v>247</v>
      </c>
      <c r="ABW1" s="17" t="s">
        <v>248</v>
      </c>
      <c r="ABX1" s="17" t="s">
        <v>249</v>
      </c>
      <c r="ABY1" s="17" t="s">
        <v>250</v>
      </c>
      <c r="ABZ1" s="17" t="s">
        <v>251</v>
      </c>
      <c r="ACA1" s="17" t="s">
        <v>252</v>
      </c>
      <c r="ACB1" s="17" t="s">
        <v>253</v>
      </c>
      <c r="ACC1" s="17" t="s">
        <v>254</v>
      </c>
      <c r="ACD1" s="17" t="s">
        <v>255</v>
      </c>
      <c r="ACE1" s="17" t="s">
        <v>256</v>
      </c>
      <c r="ACF1" s="17" t="s">
        <v>257</v>
      </c>
      <c r="ACG1" s="17" t="s">
        <v>258</v>
      </c>
      <c r="ACH1" s="17" t="s">
        <v>259</v>
      </c>
      <c r="ACI1" s="17" t="s">
        <v>260</v>
      </c>
      <c r="ACJ1" s="17" t="s">
        <v>261</v>
      </c>
      <c r="ACK1" s="17" t="s">
        <v>262</v>
      </c>
      <c r="ACL1" s="17" t="s">
        <v>263</v>
      </c>
      <c r="ACM1" s="17" t="s">
        <v>264</v>
      </c>
      <c r="ACN1" s="17" t="s">
        <v>265</v>
      </c>
      <c r="ACO1" s="17" t="s">
        <v>266</v>
      </c>
      <c r="ACP1" s="17" t="s">
        <v>267</v>
      </c>
      <c r="ACQ1" s="17" t="s">
        <v>268</v>
      </c>
      <c r="ACR1" s="17" t="s">
        <v>269</v>
      </c>
      <c r="ACS1" s="17" t="s">
        <v>270</v>
      </c>
      <c r="ACT1" s="17" t="s">
        <v>271</v>
      </c>
      <c r="ACU1" s="17" t="s">
        <v>272</v>
      </c>
      <c r="ACV1" s="17" t="s">
        <v>273</v>
      </c>
      <c r="ACW1" s="17" t="s">
        <v>274</v>
      </c>
      <c r="ACX1" s="17" t="s">
        <v>275</v>
      </c>
      <c r="ACY1" s="17" t="s">
        <v>276</v>
      </c>
      <c r="ACZ1" s="17" t="s">
        <v>277</v>
      </c>
      <c r="ADA1" s="17" t="s">
        <v>278</v>
      </c>
      <c r="ADB1" s="17" t="s">
        <v>279</v>
      </c>
      <c r="ADC1" s="17" t="s">
        <v>280</v>
      </c>
      <c r="ADD1" s="17" t="s">
        <v>281</v>
      </c>
      <c r="ADE1" s="17" t="s">
        <v>282</v>
      </c>
      <c r="ADF1" s="17" t="s">
        <v>283</v>
      </c>
      <c r="ADG1" s="17" t="s">
        <v>284</v>
      </c>
      <c r="ADH1" s="17" t="s">
        <v>285</v>
      </c>
      <c r="ADI1" s="17" t="s">
        <v>286</v>
      </c>
      <c r="ADJ1" s="17" t="s">
        <v>287</v>
      </c>
      <c r="ADK1" s="17" t="s">
        <v>288</v>
      </c>
      <c r="ADL1" s="17" t="s">
        <v>289</v>
      </c>
      <c r="ADM1" s="17" t="s">
        <v>290</v>
      </c>
      <c r="ADN1" s="17" t="s">
        <v>291</v>
      </c>
      <c r="ADO1" s="17" t="s">
        <v>292</v>
      </c>
      <c r="ADP1" s="17" t="s">
        <v>293</v>
      </c>
      <c r="ADQ1" s="17" t="s">
        <v>294</v>
      </c>
      <c r="ADR1" s="17" t="s">
        <v>295</v>
      </c>
      <c r="ADS1" s="17" t="s">
        <v>296</v>
      </c>
      <c r="ADT1" s="17" t="s">
        <v>297</v>
      </c>
      <c r="ADU1" s="17" t="s">
        <v>298</v>
      </c>
      <c r="ADV1" s="17" t="s">
        <v>299</v>
      </c>
      <c r="ADW1" s="17" t="s">
        <v>300</v>
      </c>
      <c r="ADX1" s="17" t="s">
        <v>301</v>
      </c>
      <c r="ADY1" s="17" t="s">
        <v>302</v>
      </c>
      <c r="ADZ1" s="17" t="s">
        <v>303</v>
      </c>
      <c r="AEA1" s="17" t="s">
        <v>304</v>
      </c>
      <c r="AEB1" s="17" t="s">
        <v>305</v>
      </c>
      <c r="AEC1" s="17" t="s">
        <v>306</v>
      </c>
      <c r="AED1" s="17" t="s">
        <v>307</v>
      </c>
      <c r="AEE1" s="17" t="s">
        <v>308</v>
      </c>
      <c r="AEF1" s="17" t="s">
        <v>309</v>
      </c>
      <c r="AEG1" s="17" t="s">
        <v>310</v>
      </c>
      <c r="AEH1" s="17" t="s">
        <v>311</v>
      </c>
      <c r="AEI1" s="17" t="s">
        <v>312</v>
      </c>
      <c r="AEJ1" s="17" t="s">
        <v>313</v>
      </c>
      <c r="AEK1" s="17" t="s">
        <v>314</v>
      </c>
      <c r="AEL1" s="17" t="s">
        <v>315</v>
      </c>
      <c r="AEM1" s="17" t="s">
        <v>316</v>
      </c>
      <c r="AEN1" s="17" t="s">
        <v>317</v>
      </c>
      <c r="AEO1" s="17" t="s">
        <v>318</v>
      </c>
      <c r="AEP1" s="17" t="s">
        <v>319</v>
      </c>
      <c r="AEQ1" s="17" t="s">
        <v>320</v>
      </c>
      <c r="AER1" s="17" t="s">
        <v>321</v>
      </c>
      <c r="AES1" s="17" t="s">
        <v>322</v>
      </c>
      <c r="AET1" s="17" t="s">
        <v>323</v>
      </c>
      <c r="AEU1" s="17" t="s">
        <v>324</v>
      </c>
      <c r="AEV1" s="17" t="s">
        <v>325</v>
      </c>
      <c r="AEW1" s="17" t="s">
        <v>326</v>
      </c>
      <c r="AEX1" s="17" t="s">
        <v>327</v>
      </c>
      <c r="AEY1" s="17" t="s">
        <v>328</v>
      </c>
      <c r="AEZ1" s="17" t="s">
        <v>329</v>
      </c>
      <c r="AFA1" s="17" t="s">
        <v>330</v>
      </c>
      <c r="AFB1" s="17" t="s">
        <v>331</v>
      </c>
      <c r="AFC1" s="17" t="s">
        <v>332</v>
      </c>
      <c r="AFD1" s="17" t="s">
        <v>333</v>
      </c>
      <c r="AFE1" s="17" t="s">
        <v>334</v>
      </c>
      <c r="AFF1" s="17" t="s">
        <v>335</v>
      </c>
      <c r="AFG1" s="17" t="s">
        <v>336</v>
      </c>
      <c r="AFH1" s="17" t="s">
        <v>337</v>
      </c>
      <c r="AFI1" s="17" t="s">
        <v>338</v>
      </c>
      <c r="AFJ1" s="17" t="s">
        <v>339</v>
      </c>
      <c r="AFK1" s="17" t="s">
        <v>340</v>
      </c>
      <c r="AFL1" s="17" t="s">
        <v>341</v>
      </c>
      <c r="AFM1" s="17" t="s">
        <v>342</v>
      </c>
      <c r="AFN1" s="17" t="s">
        <v>343</v>
      </c>
      <c r="AFO1" s="17" t="s">
        <v>344</v>
      </c>
      <c r="AFP1" s="17" t="s">
        <v>345</v>
      </c>
      <c r="AFQ1" s="17" t="s">
        <v>346</v>
      </c>
      <c r="AFR1" s="17" t="s">
        <v>347</v>
      </c>
      <c r="AFS1" s="17" t="s">
        <v>348</v>
      </c>
      <c r="AFT1" s="17" t="s">
        <v>349</v>
      </c>
      <c r="AFU1" s="17" t="s">
        <v>350</v>
      </c>
      <c r="AFV1" s="17" t="s">
        <v>351</v>
      </c>
      <c r="AFW1" s="17" t="s">
        <v>352</v>
      </c>
      <c r="AFX1" s="17" t="s">
        <v>353</v>
      </c>
      <c r="AFY1" s="17" t="s">
        <v>354</v>
      </c>
      <c r="AFZ1" s="17" t="s">
        <v>355</v>
      </c>
      <c r="AGA1" s="17" t="s">
        <v>356</v>
      </c>
      <c r="AGB1" s="17" t="s">
        <v>357</v>
      </c>
      <c r="AGC1" s="17" t="s">
        <v>358</v>
      </c>
      <c r="AGD1" s="17" t="s">
        <v>359</v>
      </c>
      <c r="AGE1" s="17" t="s">
        <v>360</v>
      </c>
      <c r="AGF1" s="17" t="s">
        <v>361</v>
      </c>
      <c r="AGG1" s="17" t="s">
        <v>362</v>
      </c>
      <c r="AGH1" s="17" t="s">
        <v>363</v>
      </c>
      <c r="AGI1" s="17" t="s">
        <v>364</v>
      </c>
      <c r="AGJ1" s="17" t="s">
        <v>365</v>
      </c>
      <c r="AGK1" s="17" t="s">
        <v>366</v>
      </c>
      <c r="AGL1" s="17" t="s">
        <v>367</v>
      </c>
      <c r="AGM1" s="17" t="s">
        <v>368</v>
      </c>
      <c r="AGN1" s="17" t="s">
        <v>369</v>
      </c>
      <c r="AGO1" s="17" t="s">
        <v>370</v>
      </c>
      <c r="AGP1" s="17" t="s">
        <v>371</v>
      </c>
      <c r="AGQ1" s="17" t="s">
        <v>372</v>
      </c>
      <c r="AGR1" s="17" t="s">
        <v>373</v>
      </c>
      <c r="AGS1" s="17" t="s">
        <v>374</v>
      </c>
      <c r="AGT1" s="17" t="s">
        <v>375</v>
      </c>
      <c r="AGU1" s="17" t="s">
        <v>376</v>
      </c>
      <c r="AGV1" s="17" t="s">
        <v>377</v>
      </c>
      <c r="AGW1" s="17" t="s">
        <v>378</v>
      </c>
      <c r="AGX1" s="17" t="s">
        <v>379</v>
      </c>
      <c r="AGY1" s="17" t="s">
        <v>380</v>
      </c>
      <c r="AGZ1" s="17" t="s">
        <v>381</v>
      </c>
      <c r="AHA1" s="17" t="s">
        <v>382</v>
      </c>
      <c r="AHB1" s="17" t="s">
        <v>383</v>
      </c>
      <c r="AHC1" s="17" t="s">
        <v>384</v>
      </c>
      <c r="AHD1" s="17" t="s">
        <v>385</v>
      </c>
      <c r="AHE1" s="17" t="s">
        <v>386</v>
      </c>
      <c r="AHF1" s="17" t="s">
        <v>387</v>
      </c>
      <c r="AHG1" s="17" t="s">
        <v>388</v>
      </c>
      <c r="AHH1" s="17" t="s">
        <v>389</v>
      </c>
      <c r="AHI1" s="17" t="s">
        <v>390</v>
      </c>
      <c r="AHJ1" s="17" t="s">
        <v>391</v>
      </c>
      <c r="AHK1" s="17" t="s">
        <v>392</v>
      </c>
      <c r="AHL1" s="17" t="s">
        <v>393</v>
      </c>
      <c r="AHM1" s="17" t="s">
        <v>394</v>
      </c>
      <c r="AHN1" s="17" t="s">
        <v>395</v>
      </c>
      <c r="AHO1" s="17" t="s">
        <v>396</v>
      </c>
      <c r="AHP1" s="17" t="s">
        <v>397</v>
      </c>
      <c r="AHQ1" s="17" t="s">
        <v>398</v>
      </c>
      <c r="AHR1" s="17" t="s">
        <v>399</v>
      </c>
      <c r="AHS1" s="17" t="s">
        <v>400</v>
      </c>
      <c r="AHT1" s="17" t="s">
        <v>401</v>
      </c>
      <c r="AHU1" s="17" t="s">
        <v>402</v>
      </c>
      <c r="AHV1" s="17" t="s">
        <v>403</v>
      </c>
      <c r="AHW1" s="17" t="s">
        <v>404</v>
      </c>
      <c r="AHX1" s="17" t="s">
        <v>405</v>
      </c>
      <c r="AHY1" s="17" t="s">
        <v>406</v>
      </c>
      <c r="AHZ1" s="17" t="s">
        <v>407</v>
      </c>
      <c r="AIA1" s="17" t="s">
        <v>408</v>
      </c>
      <c r="AIB1" s="17" t="s">
        <v>409</v>
      </c>
      <c r="AIC1" s="17" t="s">
        <v>410</v>
      </c>
      <c r="AID1" s="17" t="s">
        <v>411</v>
      </c>
      <c r="AIE1" s="17" t="s">
        <v>412</v>
      </c>
      <c r="AIF1" s="17" t="s">
        <v>413</v>
      </c>
      <c r="AIG1" s="17" t="s">
        <v>414</v>
      </c>
      <c r="AIH1" s="17" t="s">
        <v>415</v>
      </c>
      <c r="AII1" s="17" t="s">
        <v>416</v>
      </c>
      <c r="AIJ1" s="17" t="s">
        <v>417</v>
      </c>
      <c r="AIK1" s="17" t="s">
        <v>418</v>
      </c>
      <c r="AIL1" s="17" t="s">
        <v>419</v>
      </c>
      <c r="AIM1" s="17" t="s">
        <v>420</v>
      </c>
      <c r="AIN1" s="17" t="s">
        <v>421</v>
      </c>
      <c r="AIO1" s="17" t="s">
        <v>422</v>
      </c>
      <c r="AIP1" s="17" t="s">
        <v>423</v>
      </c>
      <c r="AIQ1" s="17" t="s">
        <v>424</v>
      </c>
      <c r="AIR1" s="17" t="s">
        <v>425</v>
      </c>
      <c r="AIS1" s="17" t="s">
        <v>426</v>
      </c>
      <c r="AIT1" s="17" t="s">
        <v>427</v>
      </c>
      <c r="AIU1" s="17" t="s">
        <v>428</v>
      </c>
      <c r="AIV1" s="17" t="s">
        <v>429</v>
      </c>
      <c r="AIW1" s="17" t="s">
        <v>430</v>
      </c>
      <c r="AIX1" s="17" t="s">
        <v>431</v>
      </c>
      <c r="AIY1" s="17" t="s">
        <v>432</v>
      </c>
      <c r="AIZ1" s="17" t="s">
        <v>433</v>
      </c>
      <c r="AJA1" s="17" t="s">
        <v>434</v>
      </c>
      <c r="AJB1" s="17" t="s">
        <v>435</v>
      </c>
      <c r="AJC1" s="17" t="s">
        <v>436</v>
      </c>
      <c r="AJD1" s="17" t="s">
        <v>437</v>
      </c>
      <c r="AJE1" s="17" t="s">
        <v>438</v>
      </c>
      <c r="AJF1" s="17" t="s">
        <v>439</v>
      </c>
      <c r="AJG1" s="17" t="s">
        <v>440</v>
      </c>
      <c r="AJH1" s="17" t="s">
        <v>441</v>
      </c>
      <c r="AJI1" s="17" t="s">
        <v>442</v>
      </c>
      <c r="AJJ1" s="17" t="s">
        <v>443</v>
      </c>
      <c r="AJK1" s="17" t="s">
        <v>444</v>
      </c>
      <c r="AJL1" s="17" t="s">
        <v>445</v>
      </c>
      <c r="AJM1" s="17" t="s">
        <v>446</v>
      </c>
      <c r="AJN1" s="17" t="s">
        <v>447</v>
      </c>
      <c r="AJO1" s="17" t="s">
        <v>448</v>
      </c>
      <c r="AJP1" s="17" t="s">
        <v>449</v>
      </c>
      <c r="AJQ1" s="17" t="s">
        <v>450</v>
      </c>
      <c r="AJR1" s="17" t="s">
        <v>451</v>
      </c>
      <c r="AJS1" s="17" t="s">
        <v>452</v>
      </c>
      <c r="AJT1" s="17" t="s">
        <v>453</v>
      </c>
      <c r="AJU1" s="17" t="s">
        <v>454</v>
      </c>
      <c r="AJV1" s="17" t="s">
        <v>455</v>
      </c>
      <c r="AJW1" s="17" t="s">
        <v>456</v>
      </c>
      <c r="AJX1" s="17" t="s">
        <v>457</v>
      </c>
      <c r="AJY1" s="17" t="s">
        <v>458</v>
      </c>
      <c r="AJZ1" s="17" t="s">
        <v>459</v>
      </c>
      <c r="AKA1" s="17" t="s">
        <v>460</v>
      </c>
      <c r="AKB1" s="17" t="s">
        <v>461</v>
      </c>
      <c r="AKC1" s="17" t="s">
        <v>462</v>
      </c>
      <c r="AKD1" s="17" t="s">
        <v>463</v>
      </c>
      <c r="AKE1" s="17" t="s">
        <v>464</v>
      </c>
      <c r="AKF1" s="17" t="s">
        <v>465</v>
      </c>
      <c r="AKG1" s="17" t="s">
        <v>466</v>
      </c>
      <c r="AKH1" s="17" t="s">
        <v>467</v>
      </c>
      <c r="AKI1" s="17" t="s">
        <v>468</v>
      </c>
      <c r="AKJ1" s="17" t="s">
        <v>469</v>
      </c>
      <c r="AKK1" s="17" t="s">
        <v>470</v>
      </c>
      <c r="AKL1" s="17" t="s">
        <v>471</v>
      </c>
      <c r="AKM1" s="17" t="s">
        <v>472</v>
      </c>
      <c r="AKN1" s="17" t="s">
        <v>473</v>
      </c>
      <c r="AKO1" s="17" t="s">
        <v>474</v>
      </c>
      <c r="AKP1" s="17" t="s">
        <v>475</v>
      </c>
      <c r="AKQ1" s="17" t="s">
        <v>476</v>
      </c>
      <c r="AKR1" s="17" t="s">
        <v>477</v>
      </c>
      <c r="AKS1" s="17" t="s">
        <v>478</v>
      </c>
      <c r="AKT1" s="17" t="s">
        <v>479</v>
      </c>
      <c r="AKU1" s="17" t="s">
        <v>480</v>
      </c>
      <c r="AKV1" s="17" t="s">
        <v>481</v>
      </c>
      <c r="AKW1" s="17" t="s">
        <v>482</v>
      </c>
      <c r="AKX1" s="17" t="s">
        <v>483</v>
      </c>
      <c r="AKY1" s="17" t="s">
        <v>484</v>
      </c>
      <c r="AKZ1" s="17" t="s">
        <v>485</v>
      </c>
      <c r="ALA1" s="17" t="s">
        <v>486</v>
      </c>
      <c r="ALB1" s="17" t="s">
        <v>487</v>
      </c>
      <c r="ALC1" s="17" t="s">
        <v>488</v>
      </c>
      <c r="ALD1" s="17" t="s">
        <v>489</v>
      </c>
      <c r="ALE1" s="17" t="s">
        <v>490</v>
      </c>
      <c r="ALF1" s="17" t="s">
        <v>491</v>
      </c>
      <c r="ALG1" s="17" t="s">
        <v>492</v>
      </c>
      <c r="ALH1" s="17" t="s">
        <v>493</v>
      </c>
      <c r="ALI1" s="17" t="s">
        <v>494</v>
      </c>
      <c r="ALJ1" s="17" t="s">
        <v>495</v>
      </c>
      <c r="ALK1" s="17" t="s">
        <v>496</v>
      </c>
      <c r="ALL1" s="17" t="s">
        <v>497</v>
      </c>
      <c r="ALM1" s="17" t="s">
        <v>498</v>
      </c>
      <c r="ALN1" s="17" t="s">
        <v>499</v>
      </c>
      <c r="ALO1" s="17" t="s">
        <v>500</v>
      </c>
      <c r="ALP1" s="17" t="s">
        <v>501</v>
      </c>
      <c r="ALQ1" s="17" t="s">
        <v>502</v>
      </c>
      <c r="ALR1" s="17" t="s">
        <v>503</v>
      </c>
      <c r="ALS1" s="17" t="s">
        <v>504</v>
      </c>
      <c r="ALT1" s="17" t="s">
        <v>505</v>
      </c>
      <c r="ALU1" s="17" t="s">
        <v>506</v>
      </c>
      <c r="ALV1" s="17" t="s">
        <v>507</v>
      </c>
      <c r="ALW1" s="17" t="s">
        <v>508</v>
      </c>
      <c r="ALX1" s="17" t="s">
        <v>509</v>
      </c>
      <c r="ALY1" s="17" t="s">
        <v>510</v>
      </c>
      <c r="ALZ1" s="17" t="s">
        <v>511</v>
      </c>
      <c r="AMA1" s="17" t="s">
        <v>512</v>
      </c>
      <c r="AMB1" s="17" t="s">
        <v>513</v>
      </c>
      <c r="AMC1" s="17" t="s">
        <v>514</v>
      </c>
      <c r="AMD1" s="17" t="s">
        <v>515</v>
      </c>
      <c r="AME1" s="17" t="s">
        <v>516</v>
      </c>
      <c r="AMF1" s="17" t="s">
        <v>517</v>
      </c>
      <c r="AMG1" s="17" t="s">
        <v>518</v>
      </c>
      <c r="AMH1" s="17" t="s">
        <v>519</v>
      </c>
      <c r="AMI1" s="17" t="s">
        <v>520</v>
      </c>
      <c r="AMJ1" s="17" t="s">
        <v>521</v>
      </c>
      <c r="AMK1" s="17" t="s">
        <v>522</v>
      </c>
      <c r="AML1" s="17" t="s">
        <v>523</v>
      </c>
      <c r="AMM1" s="17" t="s">
        <v>524</v>
      </c>
      <c r="AMN1" s="17" t="s">
        <v>525</v>
      </c>
      <c r="AMO1" s="17" t="s">
        <v>526</v>
      </c>
      <c r="AMP1" s="17" t="s">
        <v>527</v>
      </c>
      <c r="AMQ1" s="17" t="s">
        <v>528</v>
      </c>
      <c r="AMR1" s="17" t="s">
        <v>529</v>
      </c>
      <c r="AMS1" s="17" t="s">
        <v>530</v>
      </c>
      <c r="AMT1" s="17" t="s">
        <v>531</v>
      </c>
      <c r="AMU1" s="17" t="s">
        <v>532</v>
      </c>
      <c r="AMV1" s="17" t="s">
        <v>533</v>
      </c>
      <c r="AMW1" s="17" t="s">
        <v>534</v>
      </c>
      <c r="AMX1" s="17" t="s">
        <v>535</v>
      </c>
      <c r="AMY1" s="17" t="s">
        <v>536</v>
      </c>
      <c r="AMZ1" s="17" t="s">
        <v>537</v>
      </c>
      <c r="ANA1" s="17" t="s">
        <v>538</v>
      </c>
      <c r="ANB1" s="17" t="s">
        <v>539</v>
      </c>
      <c r="ANC1" s="17" t="s">
        <v>540</v>
      </c>
      <c r="AND1" s="17" t="s">
        <v>541</v>
      </c>
      <c r="ANE1" s="17" t="s">
        <v>542</v>
      </c>
      <c r="ANF1" s="17" t="s">
        <v>543</v>
      </c>
      <c r="ANG1" s="17" t="s">
        <v>544</v>
      </c>
      <c r="ANH1" s="17" t="s">
        <v>545</v>
      </c>
      <c r="ANI1" s="17" t="s">
        <v>546</v>
      </c>
      <c r="ANJ1" s="17" t="s">
        <v>547</v>
      </c>
      <c r="ANK1" s="17" t="s">
        <v>548</v>
      </c>
      <c r="ANL1" s="17" t="s">
        <v>549</v>
      </c>
      <c r="ANM1" s="17" t="s">
        <v>550</v>
      </c>
      <c r="ANN1" s="17" t="s">
        <v>551</v>
      </c>
      <c r="ANO1" s="17" t="s">
        <v>552</v>
      </c>
      <c r="ANP1" s="17" t="s">
        <v>553</v>
      </c>
      <c r="ANQ1" s="17" t="s">
        <v>554</v>
      </c>
      <c r="ANR1" s="17" t="s">
        <v>555</v>
      </c>
      <c r="ANS1" s="17" t="s">
        <v>556</v>
      </c>
      <c r="ANT1" s="17" t="s">
        <v>557</v>
      </c>
      <c r="ANU1" s="17" t="s">
        <v>558</v>
      </c>
      <c r="ANV1" s="17" t="s">
        <v>559</v>
      </c>
      <c r="ANW1" s="17" t="s">
        <v>560</v>
      </c>
      <c r="ANX1" s="17" t="s">
        <v>561</v>
      </c>
      <c r="ANY1" s="17" t="s">
        <v>562</v>
      </c>
      <c r="ANZ1" s="17" t="s">
        <v>563</v>
      </c>
      <c r="AOA1" s="17" t="s">
        <v>564</v>
      </c>
      <c r="AOB1" s="17" t="s">
        <v>565</v>
      </c>
      <c r="AOC1" s="17" t="s">
        <v>566</v>
      </c>
      <c r="AOD1" s="17" t="s">
        <v>567</v>
      </c>
      <c r="AOE1" s="17" t="s">
        <v>568</v>
      </c>
      <c r="AOF1" s="17" t="s">
        <v>569</v>
      </c>
      <c r="AOG1" s="17" t="s">
        <v>570</v>
      </c>
      <c r="AOH1" s="17" t="s">
        <v>571</v>
      </c>
      <c r="AOI1" s="17" t="s">
        <v>572</v>
      </c>
      <c r="AOJ1" s="17" t="s">
        <v>573</v>
      </c>
      <c r="AOK1" s="17" t="s">
        <v>574</v>
      </c>
      <c r="AOL1" s="17" t="s">
        <v>575</v>
      </c>
      <c r="AOM1" s="17" t="s">
        <v>576</v>
      </c>
      <c r="AON1" s="17" t="s">
        <v>577</v>
      </c>
      <c r="AOO1" s="17" t="s">
        <v>578</v>
      </c>
      <c r="AOP1" s="17" t="s">
        <v>579</v>
      </c>
      <c r="AOQ1" s="17" t="s">
        <v>580</v>
      </c>
      <c r="AOR1" s="17" t="s">
        <v>581</v>
      </c>
      <c r="AOS1" s="17" t="s">
        <v>582</v>
      </c>
      <c r="AOT1" s="17" t="s">
        <v>583</v>
      </c>
      <c r="AOU1" s="17" t="s">
        <v>584</v>
      </c>
      <c r="AOV1" s="17" t="s">
        <v>585</v>
      </c>
      <c r="AOW1" s="17" t="s">
        <v>586</v>
      </c>
      <c r="AOX1" s="17" t="s">
        <v>587</v>
      </c>
      <c r="AOY1" s="17" t="s">
        <v>588</v>
      </c>
      <c r="AOZ1" s="17" t="s">
        <v>589</v>
      </c>
      <c r="APA1" s="17" t="s">
        <v>590</v>
      </c>
      <c r="APB1" s="17" t="s">
        <v>591</v>
      </c>
      <c r="APC1" s="17" t="s">
        <v>592</v>
      </c>
      <c r="APD1" s="17" t="s">
        <v>593</v>
      </c>
      <c r="APE1" s="17" t="s">
        <v>594</v>
      </c>
      <c r="APF1" s="17" t="s">
        <v>595</v>
      </c>
      <c r="APG1" s="17" t="s">
        <v>596</v>
      </c>
      <c r="APH1" s="17" t="s">
        <v>597</v>
      </c>
      <c r="API1" s="17" t="s">
        <v>598</v>
      </c>
      <c r="APJ1" s="17" t="s">
        <v>599</v>
      </c>
      <c r="APK1" s="17" t="s">
        <v>600</v>
      </c>
      <c r="APL1" s="17" t="s">
        <v>601</v>
      </c>
      <c r="APM1" s="17" t="s">
        <v>602</v>
      </c>
      <c r="APN1" s="17" t="s">
        <v>603</v>
      </c>
      <c r="APO1" s="17" t="s">
        <v>604</v>
      </c>
      <c r="APP1" s="17" t="s">
        <v>605</v>
      </c>
      <c r="APQ1" s="17" t="s">
        <v>606</v>
      </c>
      <c r="APR1" s="17" t="s">
        <v>607</v>
      </c>
      <c r="APS1" s="17" t="s">
        <v>608</v>
      </c>
      <c r="APT1" s="17" t="s">
        <v>609</v>
      </c>
      <c r="APU1" s="17" t="s">
        <v>610</v>
      </c>
      <c r="APV1" s="17" t="s">
        <v>611</v>
      </c>
      <c r="APW1" s="17" t="s">
        <v>612</v>
      </c>
      <c r="APX1" s="17" t="s">
        <v>613</v>
      </c>
      <c r="APY1" s="17" t="s">
        <v>614</v>
      </c>
      <c r="APZ1" s="17" t="s">
        <v>615</v>
      </c>
      <c r="AQA1" s="17" t="s">
        <v>616</v>
      </c>
      <c r="AQB1" s="17" t="s">
        <v>617</v>
      </c>
      <c r="AQC1" s="17" t="s">
        <v>618</v>
      </c>
      <c r="AQD1" s="17" t="s">
        <v>619</v>
      </c>
      <c r="AQE1" s="17" t="s">
        <v>620</v>
      </c>
      <c r="AQF1" s="17" t="s">
        <v>621</v>
      </c>
      <c r="AQG1" s="17" t="s">
        <v>622</v>
      </c>
      <c r="AQH1" s="17" t="s">
        <v>623</v>
      </c>
      <c r="AQI1" s="17" t="s">
        <v>624</v>
      </c>
      <c r="AQJ1" s="17" t="s">
        <v>625</v>
      </c>
      <c r="AQK1" s="17" t="s">
        <v>626</v>
      </c>
      <c r="AQL1" s="17" t="s">
        <v>627</v>
      </c>
      <c r="AQM1" s="17" t="s">
        <v>628</v>
      </c>
      <c r="AQN1" s="17" t="s">
        <v>629</v>
      </c>
      <c r="AQO1" s="17" t="s">
        <v>630</v>
      </c>
      <c r="AQP1" s="17" t="s">
        <v>631</v>
      </c>
      <c r="AQQ1" s="17" t="s">
        <v>632</v>
      </c>
      <c r="AQR1" s="17" t="s">
        <v>633</v>
      </c>
      <c r="AQS1" s="17" t="s">
        <v>634</v>
      </c>
      <c r="AQT1" s="17" t="s">
        <v>635</v>
      </c>
      <c r="AQU1" s="17" t="s">
        <v>636</v>
      </c>
      <c r="AQV1" s="17" t="s">
        <v>637</v>
      </c>
      <c r="AQW1" s="17" t="s">
        <v>638</v>
      </c>
      <c r="AQX1" s="17" t="s">
        <v>639</v>
      </c>
      <c r="AQY1" s="17" t="s">
        <v>640</v>
      </c>
      <c r="AQZ1" s="17" t="s">
        <v>641</v>
      </c>
      <c r="ARA1" s="17" t="s">
        <v>642</v>
      </c>
      <c r="ARB1" s="17" t="s">
        <v>643</v>
      </c>
      <c r="ARC1" s="17" t="s">
        <v>644</v>
      </c>
      <c r="ARD1" s="17" t="s">
        <v>645</v>
      </c>
      <c r="ARE1" s="17" t="s">
        <v>646</v>
      </c>
      <c r="ARF1" s="17" t="s">
        <v>647</v>
      </c>
      <c r="ARG1" s="17" t="s">
        <v>648</v>
      </c>
      <c r="ARH1" s="17" t="s">
        <v>649</v>
      </c>
      <c r="ARI1" s="17" t="s">
        <v>650</v>
      </c>
      <c r="ARJ1" s="17" t="s">
        <v>651</v>
      </c>
      <c r="ARK1" s="17" t="s">
        <v>652</v>
      </c>
      <c r="ARL1" s="17" t="s">
        <v>653</v>
      </c>
      <c r="ARM1" s="17" t="s">
        <v>654</v>
      </c>
      <c r="ARN1" s="17" t="s">
        <v>655</v>
      </c>
      <c r="ARO1" s="17" t="s">
        <v>656</v>
      </c>
      <c r="ARP1" s="17" t="s">
        <v>657</v>
      </c>
      <c r="ARQ1" s="17" t="s">
        <v>658</v>
      </c>
      <c r="ARR1" s="17" t="s">
        <v>659</v>
      </c>
      <c r="ARS1" s="17" t="s">
        <v>660</v>
      </c>
      <c r="ART1" s="17" t="s">
        <v>661</v>
      </c>
      <c r="ARU1" s="17" t="s">
        <v>662</v>
      </c>
      <c r="ARV1" s="17" t="s">
        <v>663</v>
      </c>
      <c r="ARW1" s="17" t="s">
        <v>664</v>
      </c>
      <c r="ARX1" s="17" t="s">
        <v>665</v>
      </c>
      <c r="ARY1" s="17" t="s">
        <v>666</v>
      </c>
      <c r="ARZ1" s="17" t="s">
        <v>667</v>
      </c>
      <c r="ASA1" s="17" t="s">
        <v>668</v>
      </c>
      <c r="ASB1" s="17" t="s">
        <v>669</v>
      </c>
      <c r="ASC1" s="17" t="s">
        <v>670</v>
      </c>
      <c r="ASD1" s="17" t="s">
        <v>671</v>
      </c>
      <c r="ASE1" s="17" t="s">
        <v>672</v>
      </c>
      <c r="ASF1" s="17" t="s">
        <v>673</v>
      </c>
      <c r="ASG1" s="17" t="s">
        <v>674</v>
      </c>
      <c r="ASH1" s="17" t="s">
        <v>675</v>
      </c>
      <c r="ASI1" s="17" t="s">
        <v>676</v>
      </c>
      <c r="ASJ1" s="17" t="s">
        <v>677</v>
      </c>
      <c r="ASK1" s="17" t="s">
        <v>678</v>
      </c>
      <c r="ASL1" s="17" t="s">
        <v>679</v>
      </c>
      <c r="ASM1" s="17" t="s">
        <v>680</v>
      </c>
      <c r="ASN1" s="17" t="s">
        <v>681</v>
      </c>
      <c r="ASO1" s="17" t="s">
        <v>682</v>
      </c>
      <c r="ASP1" s="17" t="s">
        <v>683</v>
      </c>
      <c r="ASQ1" s="17" t="s">
        <v>684</v>
      </c>
      <c r="ASR1" s="17" t="s">
        <v>685</v>
      </c>
      <c r="ASS1" s="17" t="s">
        <v>686</v>
      </c>
      <c r="AST1" s="17" t="s">
        <v>687</v>
      </c>
      <c r="ASU1" s="17" t="s">
        <v>688</v>
      </c>
      <c r="ASV1" s="17" t="s">
        <v>689</v>
      </c>
      <c r="ASW1" s="17" t="s">
        <v>690</v>
      </c>
      <c r="ASX1" s="17" t="s">
        <v>691</v>
      </c>
      <c r="ASY1" s="17" t="s">
        <v>692</v>
      </c>
      <c r="ASZ1" s="17" t="s">
        <v>693</v>
      </c>
      <c r="ATA1" s="17" t="s">
        <v>694</v>
      </c>
      <c r="ATB1" s="17" t="s">
        <v>695</v>
      </c>
      <c r="ATC1" s="17" t="s">
        <v>696</v>
      </c>
      <c r="ATD1" s="17" t="s">
        <v>697</v>
      </c>
      <c r="ATE1" s="17" t="s">
        <v>698</v>
      </c>
      <c r="ATF1" s="17" t="s">
        <v>699</v>
      </c>
      <c r="ATG1" s="17" t="s">
        <v>700</v>
      </c>
      <c r="ATH1" s="17" t="s">
        <v>701</v>
      </c>
      <c r="ATI1" s="17" t="s">
        <v>702</v>
      </c>
      <c r="ATJ1" s="17" t="s">
        <v>703</v>
      </c>
      <c r="ATK1" s="17" t="s">
        <v>704</v>
      </c>
      <c r="ATL1" s="17" t="s">
        <v>705</v>
      </c>
      <c r="ATM1" s="17" t="s">
        <v>706</v>
      </c>
      <c r="ATN1" s="17" t="s">
        <v>707</v>
      </c>
      <c r="ATO1" s="17" t="s">
        <v>708</v>
      </c>
      <c r="ATP1" s="17" t="s">
        <v>709</v>
      </c>
      <c r="ATQ1" s="17" t="s">
        <v>710</v>
      </c>
      <c r="ATR1" s="17" t="s">
        <v>711</v>
      </c>
      <c r="ATS1" s="17" t="s">
        <v>712</v>
      </c>
      <c r="ATT1" s="17" t="s">
        <v>713</v>
      </c>
      <c r="ATU1" s="17" t="s">
        <v>714</v>
      </c>
      <c r="ATV1" s="17" t="s">
        <v>715</v>
      </c>
      <c r="ATW1" s="17" t="s">
        <v>716</v>
      </c>
      <c r="ATX1" s="17" t="s">
        <v>717</v>
      </c>
      <c r="ATY1" s="17" t="s">
        <v>718</v>
      </c>
      <c r="ATZ1" s="17" t="s">
        <v>719</v>
      </c>
      <c r="AUA1" s="17" t="s">
        <v>720</v>
      </c>
      <c r="AUB1" s="17" t="s">
        <v>721</v>
      </c>
      <c r="AUC1" s="17" t="s">
        <v>722</v>
      </c>
      <c r="AUD1" s="17" t="s">
        <v>723</v>
      </c>
      <c r="AUE1" s="17" t="s">
        <v>724</v>
      </c>
      <c r="AUF1" s="17" t="s">
        <v>725</v>
      </c>
      <c r="AUG1" s="17" t="s">
        <v>726</v>
      </c>
      <c r="AUH1" s="17" t="s">
        <v>727</v>
      </c>
      <c r="AUI1" s="17" t="s">
        <v>728</v>
      </c>
      <c r="AUJ1" s="17" t="s">
        <v>729</v>
      </c>
      <c r="AUK1" s="17" t="s">
        <v>730</v>
      </c>
      <c r="AUL1" s="17" t="s">
        <v>731</v>
      </c>
      <c r="AUM1" s="17" t="s">
        <v>732</v>
      </c>
      <c r="AUN1" s="17" t="s">
        <v>733</v>
      </c>
      <c r="AUO1" s="17" t="s">
        <v>734</v>
      </c>
      <c r="AUP1" s="17" t="s">
        <v>735</v>
      </c>
      <c r="AUQ1" s="17" t="s">
        <v>736</v>
      </c>
      <c r="AUR1" s="17" t="s">
        <v>737</v>
      </c>
      <c r="AUS1" s="17" t="s">
        <v>738</v>
      </c>
      <c r="AUT1" s="17" t="s">
        <v>739</v>
      </c>
      <c r="AUU1" s="17" t="s">
        <v>740</v>
      </c>
      <c r="AUV1" s="17" t="s">
        <v>741</v>
      </c>
      <c r="AUW1" s="17" t="s">
        <v>742</v>
      </c>
      <c r="AUX1" s="17" t="s">
        <v>743</v>
      </c>
      <c r="AUY1" s="17" t="s">
        <v>744</v>
      </c>
      <c r="AUZ1" s="17" t="s">
        <v>745</v>
      </c>
      <c r="AVA1" s="17" t="s">
        <v>746</v>
      </c>
      <c r="AVB1" s="17" t="s">
        <v>747</v>
      </c>
      <c r="AVC1" s="17" t="s">
        <v>748</v>
      </c>
      <c r="AVD1" s="17" t="s">
        <v>749</v>
      </c>
      <c r="AVE1" s="17" t="s">
        <v>750</v>
      </c>
      <c r="AVF1" s="17" t="s">
        <v>751</v>
      </c>
      <c r="AVG1" s="17" t="s">
        <v>752</v>
      </c>
      <c r="AVH1" s="17" t="s">
        <v>753</v>
      </c>
      <c r="AVI1" s="17" t="s">
        <v>754</v>
      </c>
      <c r="AVJ1" s="17" t="s">
        <v>755</v>
      </c>
      <c r="AVK1" s="17" t="s">
        <v>756</v>
      </c>
      <c r="AVL1" s="17" t="s">
        <v>757</v>
      </c>
      <c r="AVM1" s="17" t="s">
        <v>758</v>
      </c>
      <c r="AVN1" s="17" t="s">
        <v>759</v>
      </c>
      <c r="AVO1" s="17" t="s">
        <v>760</v>
      </c>
      <c r="AVP1" s="17" t="s">
        <v>761</v>
      </c>
      <c r="AVQ1" s="17" t="s">
        <v>762</v>
      </c>
      <c r="AVR1" s="17" t="s">
        <v>763</v>
      </c>
      <c r="AVS1" s="17" t="s">
        <v>764</v>
      </c>
      <c r="AVT1" s="17" t="s">
        <v>765</v>
      </c>
      <c r="AVU1" s="17" t="s">
        <v>766</v>
      </c>
      <c r="AVV1" s="17" t="s">
        <v>767</v>
      </c>
      <c r="AVW1" s="17" t="s">
        <v>768</v>
      </c>
      <c r="AVX1" s="17" t="s">
        <v>769</v>
      </c>
      <c r="AVY1" s="17" t="s">
        <v>770</v>
      </c>
      <c r="AVZ1" s="17" t="s">
        <v>771</v>
      </c>
      <c r="AWA1" s="17" t="s">
        <v>772</v>
      </c>
      <c r="AWB1" s="17" t="s">
        <v>773</v>
      </c>
      <c r="AWC1" s="17" t="s">
        <v>774</v>
      </c>
      <c r="AWD1" s="17" t="s">
        <v>775</v>
      </c>
      <c r="AWE1" s="17" t="s">
        <v>776</v>
      </c>
      <c r="AWF1" s="17" t="s">
        <v>777</v>
      </c>
      <c r="AWG1" s="17" t="s">
        <v>778</v>
      </c>
      <c r="AWH1" s="17" t="s">
        <v>779</v>
      </c>
      <c r="AWI1" s="17" t="s">
        <v>780</v>
      </c>
      <c r="AWJ1" s="17" t="s">
        <v>781</v>
      </c>
      <c r="AWK1" s="17" t="s">
        <v>782</v>
      </c>
      <c r="AWL1" s="17" t="s">
        <v>783</v>
      </c>
      <c r="AWM1" s="17" t="s">
        <v>784</v>
      </c>
      <c r="AWN1" s="17" t="s">
        <v>785</v>
      </c>
      <c r="AWO1" s="17" t="s">
        <v>786</v>
      </c>
      <c r="AWP1" s="17" t="s">
        <v>787</v>
      </c>
      <c r="AWQ1" s="17" t="s">
        <v>788</v>
      </c>
      <c r="AWR1" s="17" t="s">
        <v>789</v>
      </c>
      <c r="AWS1" s="17" t="s">
        <v>790</v>
      </c>
      <c r="AWT1" s="17" t="s">
        <v>791</v>
      </c>
      <c r="AWU1" s="17" t="s">
        <v>792</v>
      </c>
      <c r="AWV1" s="17" t="s">
        <v>793</v>
      </c>
      <c r="AWW1" s="17" t="s">
        <v>794</v>
      </c>
      <c r="AWX1" s="17" t="s">
        <v>795</v>
      </c>
      <c r="AWY1" s="17" t="s">
        <v>796</v>
      </c>
      <c r="AWZ1" s="17" t="s">
        <v>797</v>
      </c>
      <c r="AXA1" s="17" t="s">
        <v>798</v>
      </c>
      <c r="AXB1" s="17" t="s">
        <v>799</v>
      </c>
      <c r="AXC1" s="17" t="s">
        <v>800</v>
      </c>
      <c r="AXD1" s="17" t="s">
        <v>801</v>
      </c>
      <c r="AXE1" s="17" t="s">
        <v>802</v>
      </c>
      <c r="AXF1" s="17" t="s">
        <v>803</v>
      </c>
      <c r="AXG1" s="17" t="s">
        <v>804</v>
      </c>
      <c r="AXH1" s="17" t="s">
        <v>805</v>
      </c>
      <c r="AXI1" s="17" t="s">
        <v>806</v>
      </c>
      <c r="AXJ1" s="17" t="s">
        <v>807</v>
      </c>
      <c r="AXK1" s="17" t="s">
        <v>808</v>
      </c>
      <c r="AXL1" s="17" t="s">
        <v>809</v>
      </c>
      <c r="AXM1" s="17" t="s">
        <v>810</v>
      </c>
      <c r="AXN1" s="17" t="s">
        <v>811</v>
      </c>
      <c r="AXO1" s="17" t="s">
        <v>812</v>
      </c>
      <c r="AXP1" s="17" t="s">
        <v>813</v>
      </c>
      <c r="AXQ1" s="17" t="s">
        <v>814</v>
      </c>
      <c r="AXR1" s="17" t="s">
        <v>815</v>
      </c>
      <c r="AXS1" s="17" t="s">
        <v>816</v>
      </c>
      <c r="AXT1" s="17" t="s">
        <v>817</v>
      </c>
      <c r="AXU1" s="17" t="s">
        <v>818</v>
      </c>
      <c r="AXV1" s="17" t="s">
        <v>819</v>
      </c>
      <c r="AXW1" s="17" t="s">
        <v>820</v>
      </c>
      <c r="AXX1" s="17" t="s">
        <v>821</v>
      </c>
      <c r="AXY1" s="17" t="s">
        <v>822</v>
      </c>
      <c r="AXZ1" s="17" t="s">
        <v>823</v>
      </c>
      <c r="AYA1" s="17" t="s">
        <v>824</v>
      </c>
      <c r="AYB1" s="17" t="s">
        <v>825</v>
      </c>
      <c r="AYC1" s="17" t="s">
        <v>826</v>
      </c>
      <c r="AYD1" s="17" t="s">
        <v>827</v>
      </c>
      <c r="AYE1" s="17" t="s">
        <v>828</v>
      </c>
      <c r="AYF1" s="17" t="s">
        <v>829</v>
      </c>
      <c r="AYG1" s="17" t="s">
        <v>830</v>
      </c>
      <c r="AYH1" s="17" t="s">
        <v>831</v>
      </c>
      <c r="AYI1" s="17" t="s">
        <v>832</v>
      </c>
      <c r="AYJ1" s="17" t="s">
        <v>833</v>
      </c>
      <c r="AYK1" s="17" t="s">
        <v>834</v>
      </c>
      <c r="AYL1" s="17" t="s">
        <v>835</v>
      </c>
      <c r="AYM1" s="17" t="s">
        <v>836</v>
      </c>
      <c r="AYN1" s="17" t="s">
        <v>837</v>
      </c>
      <c r="AYO1" s="17" t="s">
        <v>838</v>
      </c>
      <c r="AYP1" s="17" t="s">
        <v>839</v>
      </c>
      <c r="AYQ1" s="17" t="s">
        <v>840</v>
      </c>
      <c r="AYR1" s="17" t="s">
        <v>841</v>
      </c>
      <c r="AYS1" s="17" t="s">
        <v>842</v>
      </c>
      <c r="AYT1" s="17" t="s">
        <v>843</v>
      </c>
      <c r="AYU1" s="17" t="s">
        <v>844</v>
      </c>
      <c r="AYV1" s="17" t="s">
        <v>845</v>
      </c>
      <c r="AYW1" s="17" t="s">
        <v>846</v>
      </c>
      <c r="AYX1" s="17" t="s">
        <v>847</v>
      </c>
      <c r="AYY1" s="17" t="s">
        <v>848</v>
      </c>
      <c r="AYZ1" s="17" t="s">
        <v>849</v>
      </c>
      <c r="AZA1" s="17" t="s">
        <v>850</v>
      </c>
      <c r="AZB1" s="17" t="s">
        <v>851</v>
      </c>
      <c r="AZC1" s="17" t="s">
        <v>852</v>
      </c>
      <c r="AZD1" s="17" t="s">
        <v>853</v>
      </c>
      <c r="AZE1" s="17" t="s">
        <v>854</v>
      </c>
      <c r="AZF1" s="17" t="s">
        <v>855</v>
      </c>
      <c r="AZG1" s="17" t="s">
        <v>856</v>
      </c>
      <c r="AZH1" s="17" t="s">
        <v>857</v>
      </c>
      <c r="AZI1" s="17" t="s">
        <v>858</v>
      </c>
      <c r="AZJ1" s="17" t="s">
        <v>859</v>
      </c>
      <c r="AZK1" s="17" t="s">
        <v>860</v>
      </c>
      <c r="AZL1" s="17" t="s">
        <v>861</v>
      </c>
      <c r="AZM1" s="17" t="s">
        <v>862</v>
      </c>
      <c r="AZN1" s="17" t="s">
        <v>863</v>
      </c>
      <c r="AZO1" s="17" t="s">
        <v>864</v>
      </c>
      <c r="AZP1" s="17" t="s">
        <v>865</v>
      </c>
      <c r="AZQ1" s="17" t="s">
        <v>866</v>
      </c>
      <c r="AZR1" s="17" t="s">
        <v>867</v>
      </c>
      <c r="AZS1" s="17" t="s">
        <v>868</v>
      </c>
      <c r="AZT1" s="17" t="s">
        <v>869</v>
      </c>
      <c r="AZU1" s="17" t="s">
        <v>870</v>
      </c>
      <c r="AZV1" s="17" t="s">
        <v>871</v>
      </c>
      <c r="AZW1" s="17" t="s">
        <v>872</v>
      </c>
      <c r="AZX1" s="17" t="s">
        <v>873</v>
      </c>
      <c r="AZY1" s="17" t="s">
        <v>874</v>
      </c>
      <c r="AZZ1" s="17" t="s">
        <v>875</v>
      </c>
      <c r="BAA1" s="17" t="s">
        <v>876</v>
      </c>
      <c r="BAB1" s="17" t="s">
        <v>877</v>
      </c>
      <c r="BAC1" s="17" t="s">
        <v>878</v>
      </c>
      <c r="BAD1" s="17" t="s">
        <v>879</v>
      </c>
      <c r="BAE1" s="17" t="s">
        <v>880</v>
      </c>
      <c r="BAF1" s="17" t="s">
        <v>881</v>
      </c>
      <c r="BAG1" s="17" t="s">
        <v>882</v>
      </c>
      <c r="BAH1" s="17" t="s">
        <v>883</v>
      </c>
      <c r="BAI1" s="17" t="s">
        <v>884</v>
      </c>
      <c r="BAJ1" s="17" t="s">
        <v>885</v>
      </c>
      <c r="BAK1" s="17" t="s">
        <v>886</v>
      </c>
      <c r="BAL1" s="17" t="s">
        <v>887</v>
      </c>
      <c r="BAM1" s="17" t="s">
        <v>888</v>
      </c>
      <c r="BAN1" s="17" t="s">
        <v>889</v>
      </c>
      <c r="BAO1" s="17" t="s">
        <v>890</v>
      </c>
      <c r="BAP1" s="17" t="s">
        <v>891</v>
      </c>
      <c r="BAQ1" s="17" t="s">
        <v>892</v>
      </c>
      <c r="BAR1" s="17" t="s">
        <v>893</v>
      </c>
      <c r="BAS1" s="17" t="s">
        <v>894</v>
      </c>
      <c r="BAT1" s="17" t="s">
        <v>895</v>
      </c>
      <c r="BAU1" s="17" t="s">
        <v>896</v>
      </c>
      <c r="BAV1" s="17" t="s">
        <v>897</v>
      </c>
      <c r="BAW1" s="17" t="s">
        <v>898</v>
      </c>
      <c r="BAX1" s="17" t="s">
        <v>899</v>
      </c>
      <c r="BAY1" s="17" t="s">
        <v>900</v>
      </c>
      <c r="BAZ1" s="17" t="s">
        <v>901</v>
      </c>
      <c r="BBA1" s="17" t="s">
        <v>902</v>
      </c>
      <c r="BBB1" s="17" t="s">
        <v>903</v>
      </c>
      <c r="BBC1" s="17" t="s">
        <v>904</v>
      </c>
      <c r="BBD1" s="17" t="s">
        <v>905</v>
      </c>
      <c r="BBE1" s="17" t="s">
        <v>906</v>
      </c>
      <c r="BBF1" s="17" t="s">
        <v>907</v>
      </c>
      <c r="BBG1" s="17" t="s">
        <v>908</v>
      </c>
      <c r="BBH1" s="17" t="s">
        <v>909</v>
      </c>
      <c r="BBI1" s="17" t="s">
        <v>910</v>
      </c>
      <c r="BBJ1" s="17" t="s">
        <v>911</v>
      </c>
      <c r="BBK1" s="17" t="s">
        <v>912</v>
      </c>
      <c r="BBL1" s="17" t="s">
        <v>913</v>
      </c>
      <c r="BBM1" s="17" t="s">
        <v>914</v>
      </c>
      <c r="BBN1" s="17" t="s">
        <v>915</v>
      </c>
      <c r="BBO1" s="17" t="s">
        <v>916</v>
      </c>
      <c r="BBP1" s="17" t="s">
        <v>917</v>
      </c>
      <c r="BBQ1" s="17" t="s">
        <v>918</v>
      </c>
      <c r="BBR1" s="17" t="s">
        <v>919</v>
      </c>
      <c r="BBS1" s="17" t="s">
        <v>920</v>
      </c>
      <c r="BBT1" s="17" t="s">
        <v>921</v>
      </c>
      <c r="BBU1" s="17" t="s">
        <v>922</v>
      </c>
      <c r="BBV1" s="17" t="s">
        <v>923</v>
      </c>
      <c r="BBW1" s="17" t="s">
        <v>924</v>
      </c>
      <c r="BBX1" s="17" t="s">
        <v>925</v>
      </c>
      <c r="BBY1" s="17" t="s">
        <v>926</v>
      </c>
      <c r="BBZ1" s="17" t="s">
        <v>927</v>
      </c>
      <c r="BCA1" s="17" t="s">
        <v>928</v>
      </c>
      <c r="BCB1" s="17" t="s">
        <v>929</v>
      </c>
      <c r="BCC1" s="17" t="s">
        <v>930</v>
      </c>
      <c r="BCD1" s="17" t="s">
        <v>931</v>
      </c>
      <c r="BCE1" s="17" t="s">
        <v>932</v>
      </c>
      <c r="BCF1" s="17" t="s">
        <v>933</v>
      </c>
      <c r="BCG1" s="17" t="s">
        <v>934</v>
      </c>
      <c r="BCH1" s="17" t="s">
        <v>935</v>
      </c>
      <c r="BCI1" s="17" t="s">
        <v>936</v>
      </c>
      <c r="BCJ1" s="17" t="s">
        <v>937</v>
      </c>
      <c r="BCK1" s="17" t="s">
        <v>938</v>
      </c>
      <c r="BCL1" s="17" t="s">
        <v>939</v>
      </c>
      <c r="BCM1" s="17" t="s">
        <v>940</v>
      </c>
      <c r="BCN1" s="17" t="s">
        <v>941</v>
      </c>
      <c r="BCO1" s="17" t="s">
        <v>942</v>
      </c>
      <c r="BCP1" s="17" t="s">
        <v>943</v>
      </c>
      <c r="BCQ1" s="17" t="s">
        <v>944</v>
      </c>
      <c r="BCR1" s="17" t="s">
        <v>945</v>
      </c>
      <c r="BCS1" s="17" t="s">
        <v>946</v>
      </c>
      <c r="BCT1" s="17" t="s">
        <v>947</v>
      </c>
      <c r="BCU1" s="17" t="s">
        <v>948</v>
      </c>
      <c r="BCV1" s="17" t="s">
        <v>949</v>
      </c>
      <c r="BCW1" s="17" t="s">
        <v>950</v>
      </c>
      <c r="BCX1" s="17" t="s">
        <v>951</v>
      </c>
      <c r="BCY1" s="17" t="s">
        <v>952</v>
      </c>
      <c r="BCZ1" s="17" t="s">
        <v>953</v>
      </c>
      <c r="BDA1" s="17" t="s">
        <v>954</v>
      </c>
      <c r="BDB1" s="17" t="s">
        <v>955</v>
      </c>
      <c r="BDC1" s="17" t="s">
        <v>956</v>
      </c>
      <c r="BDD1" s="17" t="s">
        <v>957</v>
      </c>
      <c r="BDE1" s="17" t="s">
        <v>958</v>
      </c>
      <c r="BDF1" s="17" t="s">
        <v>959</v>
      </c>
      <c r="BDG1" s="17" t="s">
        <v>960</v>
      </c>
      <c r="BDH1" s="17" t="s">
        <v>961</v>
      </c>
      <c r="BDI1" s="17" t="s">
        <v>962</v>
      </c>
      <c r="BDJ1" s="17" t="s">
        <v>963</v>
      </c>
      <c r="BDK1" s="17" t="s">
        <v>964</v>
      </c>
      <c r="BDL1" s="17" t="s">
        <v>965</v>
      </c>
      <c r="BDM1" s="17" t="s">
        <v>966</v>
      </c>
      <c r="BDN1" s="17" t="s">
        <v>967</v>
      </c>
      <c r="BDO1" s="17" t="s">
        <v>968</v>
      </c>
      <c r="BDP1" s="17" t="s">
        <v>969</v>
      </c>
      <c r="BDQ1" s="17" t="s">
        <v>970</v>
      </c>
      <c r="BDR1" s="17" t="s">
        <v>971</v>
      </c>
      <c r="BDS1" s="17" t="s">
        <v>972</v>
      </c>
      <c r="BDT1" s="17" t="s">
        <v>973</v>
      </c>
      <c r="BDU1" s="17" t="s">
        <v>974</v>
      </c>
      <c r="BDV1" s="17" t="s">
        <v>975</v>
      </c>
      <c r="BDW1" s="17" t="s">
        <v>976</v>
      </c>
      <c r="BDX1" s="17" t="s">
        <v>977</v>
      </c>
      <c r="BDY1" s="17" t="s">
        <v>978</v>
      </c>
      <c r="BDZ1" s="17" t="s">
        <v>979</v>
      </c>
      <c r="BEA1" s="17" t="s">
        <v>980</v>
      </c>
      <c r="BEB1" s="17" t="s">
        <v>981</v>
      </c>
      <c r="BEC1" s="17" t="s">
        <v>982</v>
      </c>
      <c r="BED1" s="17" t="s">
        <v>983</v>
      </c>
      <c r="BEE1" s="17" t="s">
        <v>984</v>
      </c>
      <c r="BEF1" s="17" t="s">
        <v>985</v>
      </c>
      <c r="BEG1" s="17" t="s">
        <v>986</v>
      </c>
      <c r="BEH1" s="17" t="s">
        <v>987</v>
      </c>
      <c r="BEI1" s="17" t="s">
        <v>988</v>
      </c>
      <c r="BEJ1" s="17" t="s">
        <v>989</v>
      </c>
      <c r="BEK1" s="17" t="s">
        <v>990</v>
      </c>
      <c r="BEL1" s="17" t="s">
        <v>991</v>
      </c>
      <c r="BEM1" s="17" t="s">
        <v>992</v>
      </c>
      <c r="BEN1" s="17" t="s">
        <v>993</v>
      </c>
      <c r="BEO1" s="17" t="s">
        <v>994</v>
      </c>
      <c r="BEP1" s="17" t="s">
        <v>995</v>
      </c>
      <c r="BEQ1" s="17" t="s">
        <v>996</v>
      </c>
      <c r="BER1" s="17" t="s">
        <v>997</v>
      </c>
      <c r="BES1" s="17" t="s">
        <v>998</v>
      </c>
      <c r="BET1" s="17" t="s">
        <v>999</v>
      </c>
      <c r="BEU1" s="17" t="s">
        <v>1000</v>
      </c>
      <c r="BEV1" s="17" t="s">
        <v>1001</v>
      </c>
      <c r="BEW1" s="17" t="s">
        <v>1002</v>
      </c>
      <c r="BEX1" s="17" t="s">
        <v>1003</v>
      </c>
      <c r="BEY1" s="17" t="s">
        <v>1004</v>
      </c>
      <c r="BEZ1" s="17" t="s">
        <v>1005</v>
      </c>
      <c r="BFA1" s="17" t="s">
        <v>1006</v>
      </c>
      <c r="BFB1" s="17" t="s">
        <v>1007</v>
      </c>
      <c r="BFC1" s="17" t="s">
        <v>1008</v>
      </c>
      <c r="BFD1" s="17" t="s">
        <v>1009</v>
      </c>
      <c r="BFE1" s="17" t="s">
        <v>1010</v>
      </c>
      <c r="BFF1" s="17" t="s">
        <v>1011</v>
      </c>
      <c r="BFG1" s="17" t="s">
        <v>1012</v>
      </c>
      <c r="BFH1" s="17" t="s">
        <v>1013</v>
      </c>
      <c r="BFI1" s="17" t="s">
        <v>1014</v>
      </c>
      <c r="BFJ1" s="17" t="s">
        <v>1015</v>
      </c>
      <c r="BFK1" s="17" t="s">
        <v>1016</v>
      </c>
      <c r="BFL1" s="17" t="s">
        <v>1017</v>
      </c>
      <c r="BFM1" s="17" t="s">
        <v>1018</v>
      </c>
      <c r="BFN1" s="17" t="s">
        <v>1019</v>
      </c>
      <c r="BFO1" s="17" t="s">
        <v>1020</v>
      </c>
      <c r="BFP1" s="17" t="s">
        <v>1021</v>
      </c>
      <c r="BFQ1" s="17" t="s">
        <v>1022</v>
      </c>
      <c r="BFR1" s="17" t="s">
        <v>1023</v>
      </c>
      <c r="BFS1" s="17" t="s">
        <v>1024</v>
      </c>
      <c r="BFT1" s="17" t="s">
        <v>1025</v>
      </c>
      <c r="BFU1" s="17" t="s">
        <v>1026</v>
      </c>
      <c r="BFV1" s="17" t="s">
        <v>1027</v>
      </c>
      <c r="BFW1" s="17" t="s">
        <v>1028</v>
      </c>
      <c r="BFX1" s="17" t="s">
        <v>1029</v>
      </c>
      <c r="BFY1" s="17" t="s">
        <v>1030</v>
      </c>
      <c r="BFZ1" s="17" t="s">
        <v>1031</v>
      </c>
      <c r="BGA1" s="17" t="s">
        <v>1032</v>
      </c>
      <c r="BGB1" s="17" t="s">
        <v>1033</v>
      </c>
      <c r="BGC1" s="17" t="s">
        <v>1034</v>
      </c>
      <c r="BGD1" s="17" t="s">
        <v>1035</v>
      </c>
      <c r="BGE1" s="17" t="s">
        <v>1036</v>
      </c>
      <c r="BGF1" s="17" t="s">
        <v>1037</v>
      </c>
      <c r="BGG1" s="17" t="s">
        <v>1038</v>
      </c>
      <c r="BGH1" s="17" t="s">
        <v>1039</v>
      </c>
      <c r="BGI1" s="17" t="s">
        <v>1040</v>
      </c>
      <c r="BGJ1" s="17" t="s">
        <v>1041</v>
      </c>
      <c r="BGK1" s="17" t="s">
        <v>1042</v>
      </c>
      <c r="BGL1" s="17" t="s">
        <v>1043</v>
      </c>
      <c r="BGM1" s="17" t="s">
        <v>1044</v>
      </c>
      <c r="BGN1" s="17" t="s">
        <v>1045</v>
      </c>
      <c r="BGO1" s="17" t="s">
        <v>1046</v>
      </c>
      <c r="BGP1" s="17" t="s">
        <v>1047</v>
      </c>
      <c r="BGQ1" s="17" t="s">
        <v>1048</v>
      </c>
      <c r="BGR1" s="17" t="s">
        <v>1049</v>
      </c>
      <c r="BGS1" s="17" t="s">
        <v>1050</v>
      </c>
      <c r="BGT1" s="17" t="s">
        <v>1051</v>
      </c>
      <c r="BGU1" s="17" t="s">
        <v>1052</v>
      </c>
      <c r="BGV1" s="17" t="s">
        <v>1053</v>
      </c>
      <c r="BGW1" s="17" t="s">
        <v>1054</v>
      </c>
      <c r="BGX1" s="17" t="s">
        <v>1055</v>
      </c>
      <c r="BGY1" s="17" t="s">
        <v>1056</v>
      </c>
      <c r="BGZ1" s="17" t="s">
        <v>1057</v>
      </c>
      <c r="BHA1" s="17" t="s">
        <v>1058</v>
      </c>
      <c r="BHB1" s="17" t="s">
        <v>1059</v>
      </c>
      <c r="BHC1" s="17" t="s">
        <v>1060</v>
      </c>
      <c r="BHD1" s="17" t="s">
        <v>1061</v>
      </c>
      <c r="BHE1" s="17" t="s">
        <v>1062</v>
      </c>
      <c r="BHF1" s="17" t="s">
        <v>1063</v>
      </c>
      <c r="BHG1" s="17" t="s">
        <v>1064</v>
      </c>
      <c r="BHH1" s="17" t="s">
        <v>1065</v>
      </c>
      <c r="BHI1" s="17" t="s">
        <v>1066</v>
      </c>
      <c r="BHJ1" s="17" t="s">
        <v>1067</v>
      </c>
      <c r="BHK1" s="17" t="s">
        <v>1068</v>
      </c>
      <c r="BHL1" s="17" t="s">
        <v>1069</v>
      </c>
      <c r="BHM1" s="17" t="s">
        <v>1070</v>
      </c>
      <c r="BHN1" s="17" t="s">
        <v>1071</v>
      </c>
      <c r="BHO1" s="17" t="s">
        <v>1072</v>
      </c>
      <c r="BHP1" s="17" t="s">
        <v>1073</v>
      </c>
      <c r="BHQ1" s="17" t="s">
        <v>1074</v>
      </c>
      <c r="BHR1" s="17" t="s">
        <v>1075</v>
      </c>
      <c r="BHS1" s="17" t="s">
        <v>1076</v>
      </c>
      <c r="BHT1" s="17" t="s">
        <v>1077</v>
      </c>
      <c r="BHU1" s="17" t="s">
        <v>1078</v>
      </c>
      <c r="BHV1" s="17" t="s">
        <v>1079</v>
      </c>
      <c r="BHW1" s="17" t="s">
        <v>1080</v>
      </c>
      <c r="BHX1" s="17" t="s">
        <v>1081</v>
      </c>
      <c r="BHY1" s="17" t="s">
        <v>1082</v>
      </c>
      <c r="BHZ1" s="17" t="s">
        <v>1083</v>
      </c>
      <c r="BIA1" s="17" t="s">
        <v>1084</v>
      </c>
      <c r="BIB1" s="17" t="s">
        <v>1085</v>
      </c>
      <c r="BIC1" s="17" t="s">
        <v>1086</v>
      </c>
      <c r="BID1" s="17" t="s">
        <v>1087</v>
      </c>
      <c r="BIE1" s="17" t="s">
        <v>1088</v>
      </c>
      <c r="BIF1" s="17" t="s">
        <v>1089</v>
      </c>
      <c r="BIG1" s="17" t="s">
        <v>1090</v>
      </c>
      <c r="BIH1" s="17" t="s">
        <v>1091</v>
      </c>
      <c r="BII1" s="17" t="s">
        <v>1092</v>
      </c>
      <c r="BIJ1" s="17" t="s">
        <v>1093</v>
      </c>
      <c r="BIK1" s="17" t="s">
        <v>1094</v>
      </c>
      <c r="BIL1" s="17" t="s">
        <v>1095</v>
      </c>
      <c r="BIM1" s="17" t="s">
        <v>1096</v>
      </c>
      <c r="BIN1" s="17" t="s">
        <v>1097</v>
      </c>
      <c r="BIO1" s="17" t="s">
        <v>1098</v>
      </c>
      <c r="BIP1" s="17" t="s">
        <v>1099</v>
      </c>
      <c r="BIQ1" s="17" t="s">
        <v>1100</v>
      </c>
      <c r="BIR1" s="17" t="s">
        <v>1101</v>
      </c>
      <c r="BIS1" s="17" t="s">
        <v>1102</v>
      </c>
      <c r="BIT1" s="17" t="s">
        <v>1103</v>
      </c>
      <c r="BIU1" s="17" t="s">
        <v>1104</v>
      </c>
      <c r="BIV1" s="17" t="s">
        <v>1105</v>
      </c>
      <c r="BIW1" s="17" t="s">
        <v>1106</v>
      </c>
      <c r="BIX1" s="17" t="s">
        <v>1107</v>
      </c>
      <c r="BIY1" s="17" t="s">
        <v>1108</v>
      </c>
      <c r="BIZ1" s="17" t="s">
        <v>1109</v>
      </c>
      <c r="BJA1" s="17" t="s">
        <v>1110</v>
      </c>
      <c r="BJB1" s="17" t="s">
        <v>1111</v>
      </c>
      <c r="BJC1" s="17" t="s">
        <v>1112</v>
      </c>
      <c r="BJD1" s="17" t="s">
        <v>1113</v>
      </c>
      <c r="BJE1" s="17" t="s">
        <v>1114</v>
      </c>
      <c r="BJF1" s="17" t="s">
        <v>1115</v>
      </c>
      <c r="BJG1" s="17" t="s">
        <v>1116</v>
      </c>
      <c r="BJH1" s="17" t="s">
        <v>1117</v>
      </c>
      <c r="BJI1" s="17" t="s">
        <v>1118</v>
      </c>
      <c r="BJJ1" s="17" t="s">
        <v>1119</v>
      </c>
      <c r="BJK1" s="17" t="s">
        <v>1120</v>
      </c>
      <c r="BJL1" s="17" t="s">
        <v>1121</v>
      </c>
      <c r="BJM1" s="17" t="s">
        <v>1122</v>
      </c>
      <c r="BJN1" s="17" t="s">
        <v>1123</v>
      </c>
      <c r="BJO1" s="17" t="s">
        <v>1124</v>
      </c>
      <c r="BJP1" s="17" t="s">
        <v>1125</v>
      </c>
      <c r="BJQ1" s="17" t="s">
        <v>1126</v>
      </c>
      <c r="BJR1" s="17" t="s">
        <v>1127</v>
      </c>
      <c r="BJS1" s="17" t="s">
        <v>1128</v>
      </c>
      <c r="BJT1" s="17" t="s">
        <v>1129</v>
      </c>
      <c r="BJU1" s="17" t="s">
        <v>1130</v>
      </c>
      <c r="BJV1" s="17" t="s">
        <v>1131</v>
      </c>
      <c r="BJW1" s="17" t="s">
        <v>1132</v>
      </c>
      <c r="BJX1" s="17" t="s">
        <v>1133</v>
      </c>
      <c r="BJY1" s="17" t="s">
        <v>1134</v>
      </c>
      <c r="BJZ1" s="17" t="s">
        <v>1135</v>
      </c>
      <c r="BKA1" s="17" t="s">
        <v>1136</v>
      </c>
      <c r="BKB1" s="17" t="s">
        <v>1137</v>
      </c>
      <c r="BKC1" s="17" t="s">
        <v>1138</v>
      </c>
      <c r="BKD1" s="17" t="s">
        <v>1139</v>
      </c>
      <c r="BKE1" s="17" t="s">
        <v>1140</v>
      </c>
      <c r="BKF1" s="17" t="s">
        <v>1141</v>
      </c>
      <c r="BKG1" s="17" t="s">
        <v>1142</v>
      </c>
      <c r="BKH1" s="17" t="s">
        <v>1143</v>
      </c>
      <c r="BKI1" s="17" t="s">
        <v>1144</v>
      </c>
      <c r="BKJ1" s="17" t="s">
        <v>1145</v>
      </c>
      <c r="BKK1" s="17" t="s">
        <v>1146</v>
      </c>
      <c r="BKL1" s="17" t="s">
        <v>1147</v>
      </c>
      <c r="BKM1" s="17" t="s">
        <v>1148</v>
      </c>
      <c r="BKN1" s="17" t="s">
        <v>1149</v>
      </c>
      <c r="BKO1" s="17" t="s">
        <v>1150</v>
      </c>
      <c r="BKP1" s="17" t="s">
        <v>1151</v>
      </c>
      <c r="BKQ1" s="17" t="s">
        <v>1152</v>
      </c>
      <c r="BKR1" s="17" t="s">
        <v>1153</v>
      </c>
      <c r="BKS1" s="17" t="s">
        <v>1154</v>
      </c>
      <c r="BKT1" s="17" t="s">
        <v>1155</v>
      </c>
      <c r="BKU1" s="17" t="s">
        <v>1156</v>
      </c>
      <c r="BKV1" s="17" t="s">
        <v>1157</v>
      </c>
      <c r="BKW1" s="17" t="s">
        <v>1158</v>
      </c>
      <c r="BKX1" s="17" t="s">
        <v>1159</v>
      </c>
      <c r="BKY1" s="17" t="s">
        <v>1160</v>
      </c>
      <c r="BKZ1" s="17" t="s">
        <v>1161</v>
      </c>
      <c r="BLA1" s="17" t="s">
        <v>1162</v>
      </c>
      <c r="BLB1" s="17" t="s">
        <v>1163</v>
      </c>
      <c r="BLC1" s="17" t="s">
        <v>1164</v>
      </c>
      <c r="BLD1" s="17" t="s">
        <v>1165</v>
      </c>
      <c r="BLE1" s="17" t="s">
        <v>1166</v>
      </c>
      <c r="BLF1" s="17" t="s">
        <v>1167</v>
      </c>
      <c r="BLG1" s="17" t="s">
        <v>1168</v>
      </c>
      <c r="BLH1" s="17" t="s">
        <v>1169</v>
      </c>
      <c r="BLI1" s="17" t="s">
        <v>1170</v>
      </c>
      <c r="BLJ1" s="17" t="s">
        <v>1171</v>
      </c>
      <c r="BLK1" s="17" t="s">
        <v>1172</v>
      </c>
      <c r="BLL1" s="17" t="s">
        <v>1173</v>
      </c>
      <c r="BLM1" s="17" t="s">
        <v>1174</v>
      </c>
      <c r="BLN1" s="17" t="s">
        <v>1175</v>
      </c>
      <c r="BLO1" s="17" t="s">
        <v>1176</v>
      </c>
      <c r="BLP1" s="17" t="s">
        <v>1177</v>
      </c>
      <c r="BLQ1" s="17" t="s">
        <v>1178</v>
      </c>
      <c r="BLR1" s="17" t="s">
        <v>1179</v>
      </c>
      <c r="BLS1" s="17" t="s">
        <v>1180</v>
      </c>
      <c r="BLT1" s="17" t="s">
        <v>1181</v>
      </c>
      <c r="BLU1" s="17" t="s">
        <v>1182</v>
      </c>
      <c r="BLV1" s="17" t="s">
        <v>1183</v>
      </c>
      <c r="BLW1" s="17" t="s">
        <v>1184</v>
      </c>
      <c r="BLX1" s="17" t="s">
        <v>1185</v>
      </c>
      <c r="BLY1" s="17" t="s">
        <v>1186</v>
      </c>
      <c r="BLZ1" s="17" t="s">
        <v>1187</v>
      </c>
      <c r="BMA1" s="17" t="s">
        <v>1188</v>
      </c>
      <c r="BMB1" s="17" t="s">
        <v>1189</v>
      </c>
      <c r="BMC1" s="17" t="s">
        <v>1190</v>
      </c>
      <c r="BMD1" s="17" t="s">
        <v>1191</v>
      </c>
      <c r="BME1" s="17" t="s">
        <v>1192</v>
      </c>
      <c r="BMF1" s="17" t="s">
        <v>1193</v>
      </c>
      <c r="BMG1" s="17" t="s">
        <v>1194</v>
      </c>
      <c r="BMH1" s="17" t="s">
        <v>1195</v>
      </c>
      <c r="BMI1" s="17" t="s">
        <v>1196</v>
      </c>
      <c r="BMJ1" s="17" t="s">
        <v>1197</v>
      </c>
      <c r="BMK1" s="17" t="s">
        <v>1198</v>
      </c>
      <c r="BML1" s="17" t="s">
        <v>1199</v>
      </c>
      <c r="BMM1" s="17" t="s">
        <v>1200</v>
      </c>
      <c r="BMN1" s="17" t="s">
        <v>1201</v>
      </c>
      <c r="BMO1" s="17" t="s">
        <v>1202</v>
      </c>
      <c r="BMP1" s="17" t="s">
        <v>1203</v>
      </c>
      <c r="BMQ1" s="17" t="s">
        <v>1204</v>
      </c>
      <c r="BMR1" s="17" t="s">
        <v>1205</v>
      </c>
      <c r="BMS1" s="17" t="s">
        <v>1206</v>
      </c>
      <c r="BMT1" s="17" t="s">
        <v>1207</v>
      </c>
      <c r="BMU1" s="17" t="s">
        <v>1208</v>
      </c>
      <c r="BMV1" s="17" t="s">
        <v>1209</v>
      </c>
      <c r="BMW1" s="17" t="s">
        <v>1210</v>
      </c>
      <c r="BMX1" s="17" t="s">
        <v>1211</v>
      </c>
      <c r="BMY1" s="17" t="s">
        <v>1212</v>
      </c>
      <c r="BMZ1" s="17" t="s">
        <v>1213</v>
      </c>
      <c r="BNA1" s="17" t="s">
        <v>1214</v>
      </c>
      <c r="BNB1" s="17" t="s">
        <v>1215</v>
      </c>
      <c r="BNC1" s="17" t="s">
        <v>1216</v>
      </c>
      <c r="BND1" s="17" t="s">
        <v>1217</v>
      </c>
      <c r="BNE1" s="17" t="s">
        <v>1218</v>
      </c>
      <c r="BNF1" s="17" t="s">
        <v>1219</v>
      </c>
      <c r="BNG1" s="17" t="s">
        <v>1220</v>
      </c>
      <c r="BNH1" s="17" t="s">
        <v>1221</v>
      </c>
      <c r="BNI1" s="17" t="s">
        <v>1222</v>
      </c>
      <c r="BNJ1" s="17" t="s">
        <v>1223</v>
      </c>
      <c r="BNK1" s="17" t="s">
        <v>1224</v>
      </c>
      <c r="BNL1" s="17" t="s">
        <v>1225</v>
      </c>
      <c r="BNM1" s="17" t="s">
        <v>1226</v>
      </c>
      <c r="BNN1" s="17" t="s">
        <v>1227</v>
      </c>
      <c r="BNO1" s="17" t="s">
        <v>1228</v>
      </c>
      <c r="BNP1" s="17" t="s">
        <v>1229</v>
      </c>
      <c r="BNQ1" s="17" t="s">
        <v>1230</v>
      </c>
      <c r="BNR1" s="17" t="s">
        <v>1231</v>
      </c>
      <c r="BNS1" s="17" t="s">
        <v>1232</v>
      </c>
      <c r="BNT1" s="17" t="s">
        <v>1233</v>
      </c>
      <c r="BNU1" s="17" t="s">
        <v>1234</v>
      </c>
      <c r="BNV1" s="17" t="s">
        <v>1235</v>
      </c>
      <c r="BNW1" s="17" t="s">
        <v>1236</v>
      </c>
      <c r="BNX1" s="17" t="s">
        <v>1237</v>
      </c>
      <c r="BNY1" s="17" t="s">
        <v>1238</v>
      </c>
      <c r="BNZ1" s="17" t="s">
        <v>1239</v>
      </c>
      <c r="BOA1" s="17" t="s">
        <v>1240</v>
      </c>
      <c r="BOB1" s="17" t="s">
        <v>1241</v>
      </c>
      <c r="BOC1" s="17" t="s">
        <v>1242</v>
      </c>
      <c r="BOD1" s="17" t="s">
        <v>1243</v>
      </c>
      <c r="BOE1" s="17" t="s">
        <v>1244</v>
      </c>
      <c r="BOF1" s="17" t="s">
        <v>1245</v>
      </c>
      <c r="BOG1" s="17" t="s">
        <v>1246</v>
      </c>
      <c r="BOH1" s="17" t="s">
        <v>1247</v>
      </c>
      <c r="BOI1" s="17" t="s">
        <v>1248</v>
      </c>
      <c r="BOJ1" s="17" t="s">
        <v>1249</v>
      </c>
      <c r="BOK1" s="17" t="s">
        <v>1250</v>
      </c>
      <c r="BOL1" s="17" t="s">
        <v>1251</v>
      </c>
      <c r="BOM1" s="17" t="s">
        <v>1252</v>
      </c>
      <c r="BON1" s="17" t="s">
        <v>1253</v>
      </c>
      <c r="BOO1" s="17" t="s">
        <v>1254</v>
      </c>
      <c r="BOP1" s="17" t="s">
        <v>1255</v>
      </c>
      <c r="BOQ1" s="17" t="s">
        <v>1256</v>
      </c>
      <c r="BOR1" s="17" t="s">
        <v>1257</v>
      </c>
      <c r="BOS1" s="17" t="s">
        <v>1258</v>
      </c>
      <c r="BOT1" s="17" t="s">
        <v>1259</v>
      </c>
      <c r="BOU1" s="17" t="s">
        <v>1260</v>
      </c>
      <c r="BOV1" s="17" t="s">
        <v>1261</v>
      </c>
      <c r="BOW1" s="17" t="s">
        <v>1262</v>
      </c>
      <c r="BOX1" s="17" t="s">
        <v>1263</v>
      </c>
      <c r="BOY1" s="17" t="s">
        <v>1264</v>
      </c>
      <c r="BOZ1" s="17" t="s">
        <v>1265</v>
      </c>
      <c r="BPA1" s="17" t="s">
        <v>1266</v>
      </c>
      <c r="BPB1" s="17" t="s">
        <v>1267</v>
      </c>
      <c r="BPC1" s="17" t="s">
        <v>1268</v>
      </c>
      <c r="BPD1" s="17" t="s">
        <v>1269</v>
      </c>
      <c r="BPE1" s="17" t="s">
        <v>1270</v>
      </c>
      <c r="BPF1" s="17" t="s">
        <v>1271</v>
      </c>
      <c r="BPG1" s="17" t="s">
        <v>1272</v>
      </c>
      <c r="BPH1" s="17" t="s">
        <v>1273</v>
      </c>
      <c r="BPI1" s="17" t="s">
        <v>1274</v>
      </c>
      <c r="BPJ1" s="17" t="s">
        <v>1275</v>
      </c>
      <c r="BPK1" s="17" t="s">
        <v>1276</v>
      </c>
      <c r="BPL1" s="17" t="s">
        <v>1277</v>
      </c>
      <c r="BPM1" s="17" t="s">
        <v>1278</v>
      </c>
      <c r="BPN1" s="17" t="s">
        <v>1279</v>
      </c>
      <c r="BPO1" s="17" t="s">
        <v>1280</v>
      </c>
      <c r="BPP1" s="17" t="s">
        <v>1281</v>
      </c>
      <c r="BPQ1" s="17" t="s">
        <v>1282</v>
      </c>
      <c r="BPR1" s="17" t="s">
        <v>1283</v>
      </c>
      <c r="BPS1" s="17" t="s">
        <v>1284</v>
      </c>
      <c r="BPT1" s="17" t="s">
        <v>1285</v>
      </c>
      <c r="BPU1" s="17" t="s">
        <v>1286</v>
      </c>
      <c r="BPV1" s="17" t="s">
        <v>1287</v>
      </c>
      <c r="BPW1" s="17" t="s">
        <v>1288</v>
      </c>
      <c r="BPX1" s="17" t="s">
        <v>1289</v>
      </c>
      <c r="BPY1" s="17" t="s">
        <v>1290</v>
      </c>
      <c r="BPZ1" s="17" t="s">
        <v>1291</v>
      </c>
      <c r="BQA1" s="17" t="s">
        <v>1292</v>
      </c>
      <c r="BQB1" s="17" t="s">
        <v>1293</v>
      </c>
      <c r="BQC1" s="17" t="s">
        <v>1294</v>
      </c>
      <c r="BQD1" s="17" t="s">
        <v>1295</v>
      </c>
      <c r="BQE1" s="17" t="s">
        <v>1296</v>
      </c>
      <c r="BQF1" s="17" t="s">
        <v>1297</v>
      </c>
      <c r="BQG1" s="17" t="s">
        <v>1298</v>
      </c>
      <c r="BQH1" s="17" t="s">
        <v>1299</v>
      </c>
      <c r="BQI1" s="17" t="s">
        <v>1300</v>
      </c>
      <c r="BQJ1" s="17" t="s">
        <v>1301</v>
      </c>
      <c r="BQK1" s="17" t="s">
        <v>1302</v>
      </c>
      <c r="BQL1" s="17" t="s">
        <v>1303</v>
      </c>
      <c r="BQM1" s="17" t="s">
        <v>1304</v>
      </c>
      <c r="BQN1" s="17" t="s">
        <v>1305</v>
      </c>
      <c r="BQO1" s="17" t="s">
        <v>1306</v>
      </c>
      <c r="BQP1" s="17" t="s">
        <v>1307</v>
      </c>
      <c r="BQQ1" s="17" t="s">
        <v>1308</v>
      </c>
      <c r="BQR1" s="17" t="s">
        <v>1309</v>
      </c>
      <c r="BQS1" s="17" t="s">
        <v>1310</v>
      </c>
      <c r="BQT1" s="17" t="s">
        <v>1311</v>
      </c>
      <c r="BQU1" s="17" t="s">
        <v>1312</v>
      </c>
      <c r="BQV1" s="17" t="s">
        <v>1313</v>
      </c>
      <c r="BQW1" s="17" t="s">
        <v>1314</v>
      </c>
      <c r="BQX1" s="17" t="s">
        <v>1315</v>
      </c>
      <c r="BQY1" s="17" t="s">
        <v>1316</v>
      </c>
      <c r="BQZ1" s="17" t="s">
        <v>1317</v>
      </c>
      <c r="BRA1" s="17" t="s">
        <v>1318</v>
      </c>
      <c r="BRB1" s="17" t="s">
        <v>1319</v>
      </c>
      <c r="BRC1" s="17" t="s">
        <v>1320</v>
      </c>
      <c r="BRD1" s="17" t="s">
        <v>1321</v>
      </c>
      <c r="BRE1" s="17" t="s">
        <v>1322</v>
      </c>
      <c r="BRF1" s="17" t="s">
        <v>1323</v>
      </c>
      <c r="BRG1" s="17" t="s">
        <v>1324</v>
      </c>
      <c r="BRH1" s="17" t="s">
        <v>1325</v>
      </c>
      <c r="BRI1" s="17" t="s">
        <v>1326</v>
      </c>
      <c r="BRJ1" s="17" t="s">
        <v>1327</v>
      </c>
      <c r="BRK1" s="17" t="s">
        <v>1328</v>
      </c>
      <c r="BRL1" s="17" t="s">
        <v>1329</v>
      </c>
      <c r="BRM1" s="17" t="s">
        <v>1330</v>
      </c>
      <c r="BRN1" s="17" t="s">
        <v>1331</v>
      </c>
      <c r="BRO1" s="17" t="s">
        <v>1332</v>
      </c>
      <c r="BRP1" s="17" t="s">
        <v>1333</v>
      </c>
      <c r="BRQ1" s="17" t="s">
        <v>1334</v>
      </c>
      <c r="BRR1" s="17" t="s">
        <v>1335</v>
      </c>
      <c r="BRS1" s="17" t="s">
        <v>1336</v>
      </c>
      <c r="BRT1" s="17" t="s">
        <v>1337</v>
      </c>
      <c r="BRU1" s="17" t="s">
        <v>1338</v>
      </c>
      <c r="BRV1" s="17" t="s">
        <v>1339</v>
      </c>
      <c r="BRW1" s="17" t="s">
        <v>1340</v>
      </c>
      <c r="BRX1" s="17" t="s">
        <v>1341</v>
      </c>
      <c r="BRY1" s="17" t="s">
        <v>1342</v>
      </c>
      <c r="BRZ1" s="17" t="s">
        <v>1343</v>
      </c>
      <c r="BSA1" s="17" t="s">
        <v>1344</v>
      </c>
      <c r="BSB1" s="17" t="s">
        <v>1345</v>
      </c>
      <c r="BSC1" s="17" t="s">
        <v>1346</v>
      </c>
      <c r="BSD1" s="17" t="s">
        <v>1347</v>
      </c>
      <c r="BSE1" s="17" t="s">
        <v>1348</v>
      </c>
      <c r="BSF1" s="17" t="s">
        <v>1349</v>
      </c>
      <c r="BSG1" s="17" t="s">
        <v>1350</v>
      </c>
      <c r="BSH1" s="17" t="s">
        <v>1351</v>
      </c>
      <c r="BSI1" s="17" t="s">
        <v>1352</v>
      </c>
      <c r="BSJ1" s="17" t="s">
        <v>1353</v>
      </c>
      <c r="BSK1" s="17" t="s">
        <v>1354</v>
      </c>
      <c r="BSL1" s="17" t="s">
        <v>1355</v>
      </c>
      <c r="BSM1" s="17" t="s">
        <v>1356</v>
      </c>
      <c r="BSN1" s="17" t="s">
        <v>1357</v>
      </c>
      <c r="BSO1" s="17" t="s">
        <v>1358</v>
      </c>
      <c r="BSP1" s="17" t="s">
        <v>1359</v>
      </c>
      <c r="BSQ1" s="17" t="s">
        <v>1360</v>
      </c>
      <c r="BSR1" s="17" t="s">
        <v>1361</v>
      </c>
      <c r="BSS1" s="17" t="s">
        <v>1362</v>
      </c>
      <c r="BST1" s="17" t="s">
        <v>1363</v>
      </c>
      <c r="BSU1" s="17" t="s">
        <v>1364</v>
      </c>
      <c r="BSV1" s="17" t="s">
        <v>1365</v>
      </c>
      <c r="BSW1" s="17" t="s">
        <v>1366</v>
      </c>
      <c r="BSX1" s="17" t="s">
        <v>1367</v>
      </c>
      <c r="BSY1" s="17" t="s">
        <v>1368</v>
      </c>
      <c r="BSZ1" s="17" t="s">
        <v>1369</v>
      </c>
      <c r="BTA1" s="17" t="s">
        <v>1370</v>
      </c>
      <c r="BTB1" s="17" t="s">
        <v>1371</v>
      </c>
      <c r="BTC1" s="17" t="s">
        <v>1372</v>
      </c>
      <c r="BTD1" s="17" t="s">
        <v>1373</v>
      </c>
      <c r="BTE1" s="17" t="s">
        <v>1374</v>
      </c>
      <c r="BTF1" s="17" t="s">
        <v>1375</v>
      </c>
      <c r="BTG1" s="17" t="s">
        <v>1376</v>
      </c>
      <c r="BTH1" s="17" t="s">
        <v>1377</v>
      </c>
      <c r="BTI1" s="17" t="s">
        <v>1378</v>
      </c>
      <c r="BTJ1" s="17" t="s">
        <v>1379</v>
      </c>
      <c r="BTK1" s="17" t="s">
        <v>1380</v>
      </c>
      <c r="BTL1" s="17" t="s">
        <v>1381</v>
      </c>
      <c r="BTM1" s="17" t="s">
        <v>1382</v>
      </c>
      <c r="BTN1" s="17" t="s">
        <v>1383</v>
      </c>
      <c r="BTO1" s="17" t="s">
        <v>1384</v>
      </c>
      <c r="BTP1" s="17" t="s">
        <v>1385</v>
      </c>
      <c r="BTQ1" s="17" t="s">
        <v>1386</v>
      </c>
      <c r="BTR1" s="17" t="s">
        <v>1387</v>
      </c>
      <c r="BTS1" s="17" t="s">
        <v>1388</v>
      </c>
      <c r="BTT1" s="17" t="s">
        <v>1389</v>
      </c>
      <c r="BTU1" s="17" t="s">
        <v>1390</v>
      </c>
      <c r="BTV1" s="17" t="s">
        <v>1391</v>
      </c>
      <c r="BTW1" s="17" t="s">
        <v>1392</v>
      </c>
      <c r="BTX1" s="17" t="s">
        <v>1393</v>
      </c>
      <c r="BTY1" s="17" t="s">
        <v>1394</v>
      </c>
      <c r="BTZ1" s="17" t="s">
        <v>1395</v>
      </c>
      <c r="BUA1" s="17" t="s">
        <v>1396</v>
      </c>
      <c r="BUB1" s="17" t="s">
        <v>1397</v>
      </c>
      <c r="BUC1" s="17" t="s">
        <v>1398</v>
      </c>
      <c r="BUD1" s="17" t="s">
        <v>1399</v>
      </c>
      <c r="BUE1" s="17" t="s">
        <v>1400</v>
      </c>
      <c r="BUF1" s="17" t="s">
        <v>1401</v>
      </c>
      <c r="BUG1" s="17" t="s">
        <v>1402</v>
      </c>
      <c r="BUH1" s="17" t="s">
        <v>1403</v>
      </c>
      <c r="BUI1" s="17" t="s">
        <v>1404</v>
      </c>
      <c r="BUJ1" s="17" t="s">
        <v>1405</v>
      </c>
      <c r="BUK1" s="17" t="s">
        <v>1406</v>
      </c>
      <c r="BUL1" s="17" t="s">
        <v>1407</v>
      </c>
      <c r="BUM1" s="17" t="s">
        <v>1408</v>
      </c>
      <c r="BUN1" s="17" t="s">
        <v>1409</v>
      </c>
      <c r="BUO1" s="17" t="s">
        <v>1410</v>
      </c>
      <c r="BUP1" s="17" t="s">
        <v>1411</v>
      </c>
      <c r="BUQ1" s="17" t="s">
        <v>1412</v>
      </c>
      <c r="BUR1" s="17" t="s">
        <v>1413</v>
      </c>
      <c r="BUS1" s="17" t="s">
        <v>1414</v>
      </c>
      <c r="BUT1" s="17" t="s">
        <v>1415</v>
      </c>
      <c r="BUU1" s="17" t="s">
        <v>1416</v>
      </c>
      <c r="BUV1" s="17" t="s">
        <v>1417</v>
      </c>
      <c r="BUW1" s="17" t="s">
        <v>1418</v>
      </c>
      <c r="BUX1" s="17" t="s">
        <v>1419</v>
      </c>
      <c r="BUY1" s="17" t="s">
        <v>1420</v>
      </c>
      <c r="BUZ1" s="17" t="s">
        <v>1421</v>
      </c>
      <c r="BVA1" s="17" t="s">
        <v>1422</v>
      </c>
      <c r="BVB1" s="17" t="s">
        <v>1423</v>
      </c>
      <c r="BVC1" s="17" t="s">
        <v>1424</v>
      </c>
      <c r="BVD1" s="17" t="s">
        <v>1425</v>
      </c>
      <c r="BVE1" s="17" t="s">
        <v>1426</v>
      </c>
      <c r="BVF1" s="17" t="s">
        <v>1427</v>
      </c>
      <c r="BVG1" s="17" t="s">
        <v>1428</v>
      </c>
      <c r="BVH1" s="17" t="s">
        <v>1429</v>
      </c>
      <c r="BVI1" s="17" t="s">
        <v>1430</v>
      </c>
      <c r="BVJ1" s="17" t="s">
        <v>1431</v>
      </c>
      <c r="BVK1" s="17" t="s">
        <v>1432</v>
      </c>
      <c r="BVL1" s="17" t="s">
        <v>1433</v>
      </c>
      <c r="BVM1" s="17" t="s">
        <v>1434</v>
      </c>
      <c r="BVN1" s="17" t="s">
        <v>1435</v>
      </c>
      <c r="BVO1" s="17" t="s">
        <v>1436</v>
      </c>
      <c r="BVP1" s="17" t="s">
        <v>1437</v>
      </c>
      <c r="BVQ1" s="17" t="s">
        <v>1438</v>
      </c>
      <c r="BVR1" s="17" t="s">
        <v>1439</v>
      </c>
      <c r="BVS1" s="17" t="s">
        <v>1440</v>
      </c>
      <c r="BVT1" s="17" t="s">
        <v>1441</v>
      </c>
      <c r="BVU1" s="17" t="s">
        <v>1442</v>
      </c>
      <c r="BVV1" s="17" t="s">
        <v>1443</v>
      </c>
      <c r="BVW1" s="17" t="s">
        <v>1444</v>
      </c>
      <c r="BVX1" s="17" t="s">
        <v>1445</v>
      </c>
      <c r="BVY1" s="17" t="s">
        <v>1446</v>
      </c>
      <c r="BVZ1" s="17" t="s">
        <v>1447</v>
      </c>
      <c r="BWA1" s="17" t="s">
        <v>1448</v>
      </c>
      <c r="BWB1" s="17" t="s">
        <v>1449</v>
      </c>
      <c r="BWC1" s="17" t="s">
        <v>1450</v>
      </c>
      <c r="BWD1" s="17" t="s">
        <v>1451</v>
      </c>
      <c r="BWE1" s="17" t="s">
        <v>1452</v>
      </c>
      <c r="BWF1" s="17" t="s">
        <v>1453</v>
      </c>
      <c r="BWG1" s="17" t="s">
        <v>1454</v>
      </c>
      <c r="BWH1" s="17" t="s">
        <v>1455</v>
      </c>
      <c r="BWI1" s="17" t="s">
        <v>1456</v>
      </c>
      <c r="BWJ1" s="17" t="s">
        <v>1457</v>
      </c>
      <c r="BWK1" s="17" t="s">
        <v>1458</v>
      </c>
      <c r="BWL1" s="17" t="s">
        <v>1459</v>
      </c>
      <c r="BWM1" s="17" t="s">
        <v>1460</v>
      </c>
      <c r="BWN1" s="17" t="s">
        <v>1461</v>
      </c>
      <c r="BWO1" s="17" t="s">
        <v>1462</v>
      </c>
      <c r="BWP1" s="17" t="s">
        <v>1463</v>
      </c>
      <c r="BWQ1" s="17" t="s">
        <v>1464</v>
      </c>
      <c r="BWR1" s="17" t="s">
        <v>1465</v>
      </c>
      <c r="BWS1" s="17" t="s">
        <v>1466</v>
      </c>
      <c r="BWT1" s="17" t="s">
        <v>1467</v>
      </c>
      <c r="BWU1" s="17" t="s">
        <v>1468</v>
      </c>
      <c r="BWV1" s="17" t="s">
        <v>1469</v>
      </c>
      <c r="BWW1" s="17" t="s">
        <v>1470</v>
      </c>
      <c r="BWX1" s="17" t="s">
        <v>1471</v>
      </c>
      <c r="BWY1" s="17" t="s">
        <v>1472</v>
      </c>
      <c r="BWZ1" s="17" t="s">
        <v>1473</v>
      </c>
      <c r="BXA1" s="17" t="s">
        <v>1474</v>
      </c>
      <c r="BXB1" s="17" t="s">
        <v>1475</v>
      </c>
      <c r="BXC1" s="17" t="s">
        <v>1476</v>
      </c>
      <c r="BXD1" s="17" t="s">
        <v>1477</v>
      </c>
      <c r="BXE1" s="17" t="s">
        <v>1478</v>
      </c>
      <c r="BXF1" s="17" t="s">
        <v>1479</v>
      </c>
      <c r="BXG1" s="17" t="s">
        <v>1480</v>
      </c>
      <c r="BXH1" s="17" t="s">
        <v>1481</v>
      </c>
      <c r="BXI1" s="17" t="s">
        <v>1482</v>
      </c>
      <c r="BXJ1" s="17" t="s">
        <v>1483</v>
      </c>
      <c r="BXK1" s="17" t="s">
        <v>1484</v>
      </c>
      <c r="BXL1" s="17" t="s">
        <v>1485</v>
      </c>
      <c r="BXM1" s="17" t="s">
        <v>1486</v>
      </c>
      <c r="BXN1" s="17" t="s">
        <v>1487</v>
      </c>
      <c r="BXO1" s="17" t="s">
        <v>1488</v>
      </c>
      <c r="BXP1" s="17" t="s">
        <v>1489</v>
      </c>
      <c r="BXQ1" s="17" t="s">
        <v>1490</v>
      </c>
      <c r="BXR1" s="17" t="s">
        <v>1491</v>
      </c>
      <c r="BXS1" s="17" t="s">
        <v>1492</v>
      </c>
      <c r="BXT1" s="17" t="s">
        <v>1493</v>
      </c>
      <c r="BXU1" s="17" t="s">
        <v>1494</v>
      </c>
      <c r="BXV1" s="17" t="s">
        <v>1495</v>
      </c>
      <c r="BXW1" s="17" t="s">
        <v>1496</v>
      </c>
      <c r="BXX1" s="17" t="s">
        <v>1497</v>
      </c>
      <c r="BXY1" s="17" t="s">
        <v>1498</v>
      </c>
      <c r="BXZ1" s="17" t="s">
        <v>1499</v>
      </c>
      <c r="BYA1" s="17" t="s">
        <v>1500</v>
      </c>
      <c r="BYB1" s="17" t="s">
        <v>1501</v>
      </c>
      <c r="BYC1" s="17" t="s">
        <v>1502</v>
      </c>
      <c r="BYD1" s="17" t="s">
        <v>1503</v>
      </c>
      <c r="BYE1" s="17" t="s">
        <v>1504</v>
      </c>
      <c r="BYF1" s="17" t="s">
        <v>1505</v>
      </c>
      <c r="BYG1" s="17" t="s">
        <v>1506</v>
      </c>
      <c r="BYH1" s="17" t="s">
        <v>1507</v>
      </c>
      <c r="BYI1" s="17" t="s">
        <v>1508</v>
      </c>
      <c r="BYJ1" s="17" t="s">
        <v>1509</v>
      </c>
      <c r="BYK1" s="17" t="s">
        <v>1510</v>
      </c>
      <c r="BYL1" s="17" t="s">
        <v>1511</v>
      </c>
      <c r="BYM1" s="17" t="s">
        <v>1512</v>
      </c>
      <c r="BYN1" s="17" t="s">
        <v>1513</v>
      </c>
      <c r="BYO1" s="17" t="s">
        <v>1514</v>
      </c>
      <c r="BYP1" s="17" t="s">
        <v>1515</v>
      </c>
      <c r="BYQ1" s="17" t="s">
        <v>1516</v>
      </c>
      <c r="BYR1" s="17" t="s">
        <v>1517</v>
      </c>
      <c r="BYS1" s="17" t="s">
        <v>1518</v>
      </c>
      <c r="BYT1" s="17" t="s">
        <v>1519</v>
      </c>
      <c r="BYU1" s="17" t="s">
        <v>1520</v>
      </c>
      <c r="BYV1" s="17" t="s">
        <v>1521</v>
      </c>
      <c r="BYW1" s="17" t="s">
        <v>1522</v>
      </c>
      <c r="BYX1" s="17" t="s">
        <v>1523</v>
      </c>
      <c r="BYY1" s="17" t="s">
        <v>1524</v>
      </c>
      <c r="BYZ1" s="17" t="s">
        <v>1525</v>
      </c>
      <c r="BZA1" s="17" t="s">
        <v>1526</v>
      </c>
      <c r="BZB1" s="17" t="s">
        <v>1527</v>
      </c>
      <c r="BZC1" s="17" t="s">
        <v>1528</v>
      </c>
      <c r="BZD1" s="17" t="s">
        <v>1529</v>
      </c>
      <c r="BZE1" s="17" t="s">
        <v>1530</v>
      </c>
      <c r="BZF1" s="17" t="s">
        <v>1531</v>
      </c>
      <c r="BZG1" s="17" t="s">
        <v>1532</v>
      </c>
      <c r="BZH1" s="17" t="s">
        <v>1533</v>
      </c>
      <c r="BZI1" s="17" t="s">
        <v>1534</v>
      </c>
      <c r="BZJ1" s="17" t="s">
        <v>1535</v>
      </c>
      <c r="BZK1" s="17" t="s">
        <v>1536</v>
      </c>
      <c r="BZL1" s="17" t="s">
        <v>1537</v>
      </c>
      <c r="BZM1" s="17" t="s">
        <v>1538</v>
      </c>
      <c r="BZN1" s="17" t="s">
        <v>1539</v>
      </c>
      <c r="BZO1" s="17" t="s">
        <v>1540</v>
      </c>
      <c r="BZP1" s="17" t="s">
        <v>1541</v>
      </c>
      <c r="BZQ1" s="17" t="s">
        <v>1542</v>
      </c>
      <c r="BZR1" s="17" t="s">
        <v>1543</v>
      </c>
      <c r="BZS1" s="17" t="s">
        <v>1544</v>
      </c>
      <c r="BZT1" s="17" t="s">
        <v>1545</v>
      </c>
      <c r="BZU1" s="17" t="s">
        <v>1546</v>
      </c>
      <c r="BZV1" s="17" t="s">
        <v>1547</v>
      </c>
      <c r="BZW1" s="17" t="s">
        <v>1548</v>
      </c>
      <c r="BZX1" s="17" t="s">
        <v>1549</v>
      </c>
      <c r="BZY1" s="17" t="s">
        <v>1550</v>
      </c>
      <c r="BZZ1" s="17" t="s">
        <v>1551</v>
      </c>
      <c r="CAA1" s="17" t="s">
        <v>1552</v>
      </c>
      <c r="CAB1" s="17" t="s">
        <v>1553</v>
      </c>
      <c r="CAC1" s="17" t="s">
        <v>1554</v>
      </c>
      <c r="CAD1" s="17" t="s">
        <v>1555</v>
      </c>
      <c r="CAE1" s="17" t="s">
        <v>1556</v>
      </c>
      <c r="CAF1" s="17" t="s">
        <v>1557</v>
      </c>
      <c r="CAG1" s="17" t="s">
        <v>1558</v>
      </c>
      <c r="CAH1" s="17" t="s">
        <v>1559</v>
      </c>
      <c r="CAI1" s="17" t="s">
        <v>1560</v>
      </c>
      <c r="CAJ1" s="17" t="s">
        <v>1561</v>
      </c>
      <c r="CAK1" s="17" t="s">
        <v>1562</v>
      </c>
      <c r="CAL1" s="17" t="s">
        <v>1563</v>
      </c>
      <c r="CAM1" s="17" t="s">
        <v>1564</v>
      </c>
      <c r="CAN1" s="17" t="s">
        <v>1565</v>
      </c>
      <c r="CAO1" s="17" t="s">
        <v>1566</v>
      </c>
      <c r="CAP1" s="17" t="s">
        <v>1567</v>
      </c>
      <c r="CAQ1" s="17" t="s">
        <v>1568</v>
      </c>
      <c r="CAR1" s="17" t="s">
        <v>1569</v>
      </c>
      <c r="CAS1" s="17" t="s">
        <v>1570</v>
      </c>
      <c r="CAT1" s="17" t="s">
        <v>1571</v>
      </c>
      <c r="CAU1" s="17" t="s">
        <v>1572</v>
      </c>
      <c r="CAV1" s="17" t="s">
        <v>1573</v>
      </c>
      <c r="CAW1" s="17" t="s">
        <v>1574</v>
      </c>
      <c r="CAX1" s="17" t="s">
        <v>1575</v>
      </c>
      <c r="CAY1" s="17" t="s">
        <v>1576</v>
      </c>
      <c r="CAZ1" s="17" t="s">
        <v>1577</v>
      </c>
      <c r="CBA1" s="17" t="s">
        <v>1578</v>
      </c>
      <c r="CBB1" s="17" t="s">
        <v>1579</v>
      </c>
      <c r="CBC1" s="17" t="s">
        <v>1580</v>
      </c>
      <c r="CBD1" s="17" t="s">
        <v>1581</v>
      </c>
      <c r="CBE1" s="17" t="s">
        <v>1582</v>
      </c>
      <c r="CBF1" s="17" t="s">
        <v>1583</v>
      </c>
      <c r="CBG1" s="17" t="s">
        <v>1584</v>
      </c>
      <c r="CBH1" s="17" t="s">
        <v>1585</v>
      </c>
      <c r="CBI1" s="17" t="s">
        <v>1586</v>
      </c>
      <c r="CBJ1" s="17" t="s">
        <v>1587</v>
      </c>
      <c r="CBK1" s="17" t="s">
        <v>1588</v>
      </c>
      <c r="CBL1" s="17" t="s">
        <v>1589</v>
      </c>
      <c r="CBM1" s="17" t="s">
        <v>1590</v>
      </c>
      <c r="CBN1" s="17" t="s">
        <v>1591</v>
      </c>
      <c r="CBO1" s="17" t="s">
        <v>1592</v>
      </c>
      <c r="CBP1" s="17" t="s">
        <v>1593</v>
      </c>
      <c r="CBQ1" s="17" t="s">
        <v>1594</v>
      </c>
      <c r="CBR1" s="17" t="s">
        <v>1595</v>
      </c>
      <c r="CBS1" s="17" t="s">
        <v>1596</v>
      </c>
      <c r="CBT1" s="17" t="s">
        <v>1597</v>
      </c>
      <c r="CBU1" s="17" t="s">
        <v>1598</v>
      </c>
      <c r="CBV1" s="17" t="s">
        <v>1599</v>
      </c>
      <c r="CBW1" s="17" t="s">
        <v>1600</v>
      </c>
      <c r="CBX1" s="17" t="s">
        <v>1601</v>
      </c>
      <c r="CBY1" s="17" t="s">
        <v>1602</v>
      </c>
      <c r="CBZ1" s="17" t="s">
        <v>1603</v>
      </c>
      <c r="CCA1" s="17" t="s">
        <v>1604</v>
      </c>
      <c r="CCB1" s="17" t="s">
        <v>1605</v>
      </c>
      <c r="CCC1" s="17" t="s">
        <v>1606</v>
      </c>
      <c r="CCD1" s="17" t="s">
        <v>1607</v>
      </c>
      <c r="CCE1" s="17" t="s">
        <v>1608</v>
      </c>
      <c r="CCF1" s="17" t="s">
        <v>1609</v>
      </c>
      <c r="CCG1" s="17" t="s">
        <v>1610</v>
      </c>
      <c r="CCH1" s="17" t="s">
        <v>1611</v>
      </c>
      <c r="CCI1" s="17" t="s">
        <v>1612</v>
      </c>
      <c r="CCJ1" s="17" t="s">
        <v>1613</v>
      </c>
      <c r="CCK1" s="17" t="s">
        <v>1614</v>
      </c>
      <c r="CCL1" s="17" t="s">
        <v>1615</v>
      </c>
      <c r="CCM1" s="17" t="s">
        <v>1616</v>
      </c>
      <c r="CCN1" s="17" t="s">
        <v>1617</v>
      </c>
      <c r="CCO1" s="17" t="s">
        <v>1618</v>
      </c>
      <c r="CCP1" s="17" t="s">
        <v>1619</v>
      </c>
      <c r="CCQ1" s="17" t="s">
        <v>1620</v>
      </c>
      <c r="CCR1" s="17" t="s">
        <v>1621</v>
      </c>
      <c r="CCS1" s="17" t="s">
        <v>1622</v>
      </c>
      <c r="CCT1" s="17" t="s">
        <v>1623</v>
      </c>
      <c r="CCU1" s="17" t="s">
        <v>1624</v>
      </c>
      <c r="CCV1" s="17" t="s">
        <v>1625</v>
      </c>
      <c r="CCW1" s="17" t="s">
        <v>1626</v>
      </c>
      <c r="CCX1" s="17" t="s">
        <v>1627</v>
      </c>
      <c r="CCY1" s="17" t="s">
        <v>1628</v>
      </c>
      <c r="CCZ1" s="17" t="s">
        <v>1629</v>
      </c>
      <c r="CDA1" s="17" t="s">
        <v>1630</v>
      </c>
      <c r="CDB1" s="17" t="s">
        <v>1631</v>
      </c>
      <c r="CDC1" s="17" t="s">
        <v>1632</v>
      </c>
      <c r="CDD1" s="17" t="s">
        <v>1633</v>
      </c>
      <c r="CDE1" s="17" t="s">
        <v>1634</v>
      </c>
      <c r="CDF1" s="17" t="s">
        <v>1635</v>
      </c>
      <c r="CDG1" s="17" t="s">
        <v>1636</v>
      </c>
      <c r="CDH1" s="17" t="s">
        <v>1637</v>
      </c>
      <c r="CDI1" s="17" t="s">
        <v>1638</v>
      </c>
      <c r="CDJ1" s="17" t="s">
        <v>1639</v>
      </c>
      <c r="CDK1" s="17" t="s">
        <v>1640</v>
      </c>
      <c r="CDL1" s="17" t="s">
        <v>1641</v>
      </c>
      <c r="CDM1" s="17" t="s">
        <v>1642</v>
      </c>
      <c r="CDN1" s="17" t="s">
        <v>1643</v>
      </c>
      <c r="CDO1" s="17" t="s">
        <v>1644</v>
      </c>
      <c r="CDP1" s="17" t="s">
        <v>1645</v>
      </c>
      <c r="CDQ1" s="17" t="s">
        <v>1646</v>
      </c>
      <c r="CDR1" s="17" t="s">
        <v>1647</v>
      </c>
      <c r="CDS1" s="17" t="s">
        <v>1648</v>
      </c>
      <c r="CDT1" s="17" t="s">
        <v>1649</v>
      </c>
      <c r="CDU1" s="17" t="s">
        <v>1650</v>
      </c>
      <c r="CDV1" s="17" t="s">
        <v>1651</v>
      </c>
      <c r="CDW1" s="17" t="s">
        <v>1652</v>
      </c>
      <c r="CDX1" s="17" t="s">
        <v>1653</v>
      </c>
      <c r="CDY1" s="17" t="s">
        <v>1654</v>
      </c>
      <c r="CDZ1" s="17" t="s">
        <v>1655</v>
      </c>
      <c r="CEA1" s="17" t="s">
        <v>1656</v>
      </c>
      <c r="CEB1" s="17" t="s">
        <v>1657</v>
      </c>
      <c r="CEC1" s="17" t="s">
        <v>1658</v>
      </c>
      <c r="CED1" s="17" t="s">
        <v>1659</v>
      </c>
      <c r="CEE1" s="17" t="s">
        <v>1660</v>
      </c>
      <c r="CEF1" s="17" t="s">
        <v>1661</v>
      </c>
      <c r="CEG1" s="17" t="s">
        <v>1662</v>
      </c>
      <c r="CEH1" s="17" t="s">
        <v>1663</v>
      </c>
      <c r="CEI1" s="17" t="s">
        <v>1664</v>
      </c>
      <c r="CEJ1" s="17" t="s">
        <v>1665</v>
      </c>
      <c r="CEK1" s="17" t="s">
        <v>1666</v>
      </c>
      <c r="CEL1" s="17" t="s">
        <v>1667</v>
      </c>
      <c r="CEM1" s="17" t="s">
        <v>1668</v>
      </c>
      <c r="CEN1" s="17" t="s">
        <v>1669</v>
      </c>
      <c r="CEO1" s="17" t="s">
        <v>1670</v>
      </c>
      <c r="CEP1" s="17" t="s">
        <v>1671</v>
      </c>
      <c r="CEQ1" s="17" t="s">
        <v>1672</v>
      </c>
      <c r="CER1" s="17" t="s">
        <v>1673</v>
      </c>
      <c r="CES1" s="17" t="s">
        <v>1674</v>
      </c>
      <c r="CET1" s="17" t="s">
        <v>1675</v>
      </c>
      <c r="CEU1" s="17" t="s">
        <v>1676</v>
      </c>
      <c r="CEV1" s="17" t="s">
        <v>1677</v>
      </c>
      <c r="CEW1" s="17" t="s">
        <v>1678</v>
      </c>
      <c r="CEX1" s="17" t="s">
        <v>1679</v>
      </c>
      <c r="CEY1" s="17" t="s">
        <v>1680</v>
      </c>
      <c r="CEZ1" s="17" t="s">
        <v>1681</v>
      </c>
      <c r="CFA1" s="17" t="s">
        <v>1682</v>
      </c>
      <c r="CFB1" s="17" t="s">
        <v>1683</v>
      </c>
      <c r="CFC1" s="17" t="s">
        <v>1684</v>
      </c>
      <c r="CFD1" s="17" t="s">
        <v>1685</v>
      </c>
      <c r="CFE1" s="17" t="s">
        <v>1686</v>
      </c>
      <c r="CFF1" s="17" t="s">
        <v>1687</v>
      </c>
      <c r="CFG1" s="17" t="s">
        <v>1688</v>
      </c>
      <c r="CFH1" s="17" t="s">
        <v>1689</v>
      </c>
      <c r="CFI1" s="17" t="s">
        <v>1690</v>
      </c>
      <c r="CFJ1" s="17" t="s">
        <v>1691</v>
      </c>
      <c r="CFK1" s="17" t="s">
        <v>1692</v>
      </c>
      <c r="CFL1" s="17" t="s">
        <v>1693</v>
      </c>
      <c r="CFM1" s="17" t="s">
        <v>1694</v>
      </c>
      <c r="CFN1" s="17" t="s">
        <v>1695</v>
      </c>
      <c r="CFO1" s="17" t="s">
        <v>1696</v>
      </c>
      <c r="CFP1" s="17" t="s">
        <v>1697</v>
      </c>
      <c r="CFQ1" s="17" t="s">
        <v>1698</v>
      </c>
      <c r="CFR1" s="17" t="s">
        <v>1699</v>
      </c>
      <c r="CFS1" s="17" t="s">
        <v>1700</v>
      </c>
      <c r="CFT1" s="17" t="s">
        <v>1701</v>
      </c>
      <c r="CFU1" s="17" t="s">
        <v>1702</v>
      </c>
      <c r="CFV1" s="17" t="s">
        <v>1703</v>
      </c>
      <c r="CFW1" s="17" t="s">
        <v>1704</v>
      </c>
      <c r="CFX1" s="17" t="s">
        <v>1705</v>
      </c>
      <c r="CFY1" s="17" t="s">
        <v>1706</v>
      </c>
      <c r="CFZ1" s="17" t="s">
        <v>1707</v>
      </c>
      <c r="CGA1" s="17" t="s">
        <v>1708</v>
      </c>
      <c r="CGB1" s="17" t="s">
        <v>1709</v>
      </c>
      <c r="CGC1" s="17" t="s">
        <v>1710</v>
      </c>
      <c r="CGD1" s="17" t="s">
        <v>1711</v>
      </c>
      <c r="CGE1" s="17" t="s">
        <v>1712</v>
      </c>
      <c r="CGF1" s="17" t="s">
        <v>1713</v>
      </c>
      <c r="CGG1" s="17" t="s">
        <v>1714</v>
      </c>
      <c r="CGH1" s="17" t="s">
        <v>1715</v>
      </c>
      <c r="CGI1" s="17" t="s">
        <v>1716</v>
      </c>
      <c r="CGJ1" s="17" t="s">
        <v>1717</v>
      </c>
      <c r="CGK1" s="17" t="s">
        <v>1718</v>
      </c>
      <c r="CGL1" s="17" t="s">
        <v>1719</v>
      </c>
      <c r="CGM1" s="17" t="s">
        <v>1720</v>
      </c>
      <c r="CGN1" s="17" t="s">
        <v>1721</v>
      </c>
      <c r="CGO1" s="17" t="s">
        <v>1722</v>
      </c>
      <c r="CGP1" s="17" t="s">
        <v>1723</v>
      </c>
      <c r="CGQ1" s="17" t="s">
        <v>1724</v>
      </c>
      <c r="CGR1" s="17" t="s">
        <v>1725</v>
      </c>
      <c r="CGS1" s="17" t="s">
        <v>1726</v>
      </c>
      <c r="CGT1" s="17" t="s">
        <v>1727</v>
      </c>
      <c r="CGU1" s="17" t="s">
        <v>1728</v>
      </c>
      <c r="CGV1" s="17" t="s">
        <v>1729</v>
      </c>
      <c r="CGW1" s="17" t="s">
        <v>1730</v>
      </c>
      <c r="CGX1" s="17" t="s">
        <v>1731</v>
      </c>
      <c r="CGY1" s="17" t="s">
        <v>1732</v>
      </c>
      <c r="CGZ1" s="17" t="s">
        <v>1733</v>
      </c>
      <c r="CHA1" s="17" t="s">
        <v>1734</v>
      </c>
      <c r="CHB1" s="17" t="s">
        <v>1735</v>
      </c>
      <c r="CHC1" s="17" t="s">
        <v>1736</v>
      </c>
      <c r="CHD1" s="17" t="s">
        <v>1737</v>
      </c>
      <c r="CHE1" s="17" t="s">
        <v>1738</v>
      </c>
      <c r="CHF1" s="17" t="s">
        <v>1739</v>
      </c>
      <c r="CHG1" s="17" t="s">
        <v>1740</v>
      </c>
      <c r="CHH1" s="17" t="s">
        <v>1741</v>
      </c>
      <c r="CHI1" s="17" t="s">
        <v>1742</v>
      </c>
      <c r="CHJ1" s="17" t="s">
        <v>1743</v>
      </c>
      <c r="CHK1" s="17" t="s">
        <v>1744</v>
      </c>
      <c r="CHL1" s="17" t="s">
        <v>1745</v>
      </c>
      <c r="CHM1" s="17" t="s">
        <v>1746</v>
      </c>
      <c r="CHN1" s="17" t="s">
        <v>1747</v>
      </c>
      <c r="CHO1" s="17" t="s">
        <v>1748</v>
      </c>
      <c r="CHP1" s="17" t="s">
        <v>1749</v>
      </c>
      <c r="CHQ1" s="17" t="s">
        <v>1750</v>
      </c>
      <c r="CHR1" s="17" t="s">
        <v>1751</v>
      </c>
      <c r="CHS1" s="17" t="s">
        <v>1752</v>
      </c>
      <c r="CHT1" s="17" t="s">
        <v>1753</v>
      </c>
      <c r="CHU1" s="17" t="s">
        <v>1754</v>
      </c>
      <c r="CHV1" s="17" t="s">
        <v>1755</v>
      </c>
      <c r="CHW1" s="17" t="s">
        <v>1756</v>
      </c>
      <c r="CHX1" s="17" t="s">
        <v>1757</v>
      </c>
      <c r="CHY1" s="17" t="s">
        <v>1758</v>
      </c>
      <c r="CHZ1" s="17" t="s">
        <v>1759</v>
      </c>
      <c r="CIA1" s="17" t="s">
        <v>1760</v>
      </c>
      <c r="CIB1" s="17" t="s">
        <v>1761</v>
      </c>
      <c r="CIC1" s="17" t="s">
        <v>1762</v>
      </c>
      <c r="CID1" s="17" t="s">
        <v>1763</v>
      </c>
      <c r="CIE1" s="17" t="s">
        <v>1764</v>
      </c>
      <c r="CIF1" s="17" t="s">
        <v>1765</v>
      </c>
      <c r="CIG1" s="17" t="s">
        <v>1766</v>
      </c>
      <c r="CIH1" s="17" t="s">
        <v>1767</v>
      </c>
      <c r="CII1" s="17" t="s">
        <v>1768</v>
      </c>
      <c r="CIJ1" s="17" t="s">
        <v>1769</v>
      </c>
      <c r="CIK1" s="17" t="s">
        <v>1770</v>
      </c>
      <c r="CIL1" s="17" t="s">
        <v>1771</v>
      </c>
      <c r="CIM1" s="17" t="s">
        <v>1772</v>
      </c>
      <c r="CIN1" s="17" t="s">
        <v>1773</v>
      </c>
      <c r="CIO1" s="17" t="s">
        <v>1774</v>
      </c>
      <c r="CIP1" s="17" t="s">
        <v>1775</v>
      </c>
      <c r="CIQ1" s="17" t="s">
        <v>1776</v>
      </c>
      <c r="CIR1" s="17" t="s">
        <v>1777</v>
      </c>
      <c r="CIS1" s="17" t="s">
        <v>1778</v>
      </c>
      <c r="CIT1" s="17" t="s">
        <v>1779</v>
      </c>
      <c r="CIU1" s="17" t="s">
        <v>1780</v>
      </c>
      <c r="CIV1" s="17" t="s">
        <v>1781</v>
      </c>
      <c r="CIW1" s="17" t="s">
        <v>1782</v>
      </c>
      <c r="CIX1" s="17" t="s">
        <v>1783</v>
      </c>
      <c r="CIY1" s="17" t="s">
        <v>1784</v>
      </c>
      <c r="CIZ1" s="17" t="s">
        <v>1785</v>
      </c>
      <c r="CJA1" s="17" t="s">
        <v>1786</v>
      </c>
      <c r="CJB1" s="17" t="s">
        <v>1787</v>
      </c>
      <c r="CJC1" s="17" t="s">
        <v>1788</v>
      </c>
      <c r="CJD1" s="17" t="s">
        <v>1789</v>
      </c>
      <c r="CJE1" s="17" t="s">
        <v>1790</v>
      </c>
      <c r="CJF1" s="17" t="s">
        <v>1791</v>
      </c>
      <c r="CJG1" s="17" t="s">
        <v>1792</v>
      </c>
      <c r="CJH1" s="17" t="s">
        <v>1793</v>
      </c>
      <c r="CJI1" s="17" t="s">
        <v>1794</v>
      </c>
      <c r="CJJ1" s="17" t="s">
        <v>1795</v>
      </c>
      <c r="CJK1" s="17" t="s">
        <v>1796</v>
      </c>
      <c r="CJL1" s="17" t="s">
        <v>1797</v>
      </c>
      <c r="CJM1" s="17" t="s">
        <v>1798</v>
      </c>
      <c r="CJN1" s="17" t="s">
        <v>1799</v>
      </c>
      <c r="CJO1" s="17" t="s">
        <v>1800</v>
      </c>
      <c r="CJP1" s="17" t="s">
        <v>1801</v>
      </c>
      <c r="CJQ1" s="17" t="s">
        <v>1802</v>
      </c>
      <c r="CJR1" s="17" t="s">
        <v>1803</v>
      </c>
      <c r="CJS1" s="17" t="s">
        <v>1804</v>
      </c>
      <c r="CJT1" s="17" t="s">
        <v>1805</v>
      </c>
      <c r="CJU1" s="17" t="s">
        <v>1806</v>
      </c>
      <c r="CJV1" s="17" t="s">
        <v>1807</v>
      </c>
      <c r="CJW1" s="17" t="s">
        <v>1808</v>
      </c>
      <c r="CJX1" s="17" t="s">
        <v>1809</v>
      </c>
      <c r="CJY1" s="17" t="s">
        <v>1810</v>
      </c>
      <c r="CJZ1" s="17" t="s">
        <v>1811</v>
      </c>
      <c r="CKA1" s="17" t="s">
        <v>1812</v>
      </c>
      <c r="CKB1" s="17" t="s">
        <v>1813</v>
      </c>
      <c r="CKC1" s="17" t="s">
        <v>1814</v>
      </c>
      <c r="CKD1" s="17" t="s">
        <v>1815</v>
      </c>
      <c r="CKE1" s="17" t="s">
        <v>1816</v>
      </c>
      <c r="CKF1" s="17" t="s">
        <v>1817</v>
      </c>
      <c r="CKG1" s="17" t="s">
        <v>1818</v>
      </c>
      <c r="CKH1" s="17" t="s">
        <v>1819</v>
      </c>
      <c r="CKI1" s="17" t="s">
        <v>1820</v>
      </c>
      <c r="CKJ1" s="17" t="s">
        <v>1821</v>
      </c>
      <c r="CKK1" s="17" t="s">
        <v>1822</v>
      </c>
      <c r="CKL1" s="17" t="s">
        <v>1823</v>
      </c>
      <c r="CKM1" s="17" t="s">
        <v>1824</v>
      </c>
      <c r="CKN1" s="17" t="s">
        <v>1825</v>
      </c>
      <c r="CKO1" s="17" t="s">
        <v>1826</v>
      </c>
      <c r="CKP1" s="17" t="s">
        <v>1827</v>
      </c>
      <c r="CKQ1" s="17" t="s">
        <v>1828</v>
      </c>
      <c r="CKR1" s="17" t="s">
        <v>1829</v>
      </c>
      <c r="CKS1" s="17" t="s">
        <v>1830</v>
      </c>
      <c r="CKT1" s="17" t="s">
        <v>1831</v>
      </c>
      <c r="CKU1" s="17" t="s">
        <v>1832</v>
      </c>
      <c r="CKV1" s="17" t="s">
        <v>1833</v>
      </c>
      <c r="CKW1" s="17" t="s">
        <v>1834</v>
      </c>
      <c r="CKX1" s="17" t="s">
        <v>1835</v>
      </c>
      <c r="CKY1" s="17" t="s">
        <v>1836</v>
      </c>
      <c r="CKZ1" s="17" t="s">
        <v>1837</v>
      </c>
      <c r="CLA1" s="17" t="s">
        <v>1838</v>
      </c>
      <c r="CLB1" s="17" t="s">
        <v>1839</v>
      </c>
      <c r="CLC1" s="17" t="s">
        <v>1840</v>
      </c>
      <c r="CLD1" s="17" t="s">
        <v>1841</v>
      </c>
      <c r="CLE1" s="17" t="s">
        <v>1842</v>
      </c>
      <c r="CLF1" s="17" t="s">
        <v>1843</v>
      </c>
      <c r="CLG1" s="17" t="s">
        <v>1844</v>
      </c>
      <c r="CLH1" s="17" t="s">
        <v>1845</v>
      </c>
      <c r="CLI1" s="17" t="s">
        <v>1846</v>
      </c>
      <c r="CLJ1" s="17" t="s">
        <v>1847</v>
      </c>
      <c r="CLK1" s="17" t="s">
        <v>1848</v>
      </c>
      <c r="CLL1" s="17" t="s">
        <v>1849</v>
      </c>
      <c r="CLM1" s="17" t="s">
        <v>1850</v>
      </c>
      <c r="CLN1" s="17" t="s">
        <v>1851</v>
      </c>
      <c r="CLO1" s="17" t="s">
        <v>1852</v>
      </c>
      <c r="CLP1" s="17" t="s">
        <v>1853</v>
      </c>
      <c r="CLQ1" s="17" t="s">
        <v>1854</v>
      </c>
      <c r="CLR1" s="17" t="s">
        <v>1855</v>
      </c>
      <c r="CLS1" s="17" t="s">
        <v>1856</v>
      </c>
      <c r="CLT1" s="17" t="s">
        <v>1857</v>
      </c>
      <c r="CLU1" s="17" t="s">
        <v>1858</v>
      </c>
      <c r="CLV1" s="17" t="s">
        <v>1859</v>
      </c>
      <c r="CLW1" s="17" t="s">
        <v>1860</v>
      </c>
      <c r="CLX1" s="17" t="s">
        <v>1861</v>
      </c>
      <c r="CLY1" s="17" t="s">
        <v>1862</v>
      </c>
      <c r="CLZ1" s="17" t="s">
        <v>1863</v>
      </c>
      <c r="CMA1" s="17" t="s">
        <v>1864</v>
      </c>
      <c r="CMB1" s="17" t="s">
        <v>1865</v>
      </c>
      <c r="CMC1" s="17" t="s">
        <v>1866</v>
      </c>
      <c r="CMD1" s="17" t="s">
        <v>1867</v>
      </c>
      <c r="CME1" s="17" t="s">
        <v>1868</v>
      </c>
      <c r="CMF1" s="17" t="s">
        <v>1869</v>
      </c>
      <c r="CMG1" s="17" t="s">
        <v>1870</v>
      </c>
      <c r="CMH1" s="17" t="s">
        <v>1871</v>
      </c>
      <c r="CMI1" s="17" t="s">
        <v>1872</v>
      </c>
      <c r="CMJ1" s="17" t="s">
        <v>1873</v>
      </c>
      <c r="CMK1" s="17" t="s">
        <v>1874</v>
      </c>
      <c r="CML1" s="17" t="s">
        <v>1875</v>
      </c>
      <c r="CMM1" s="17" t="s">
        <v>1876</v>
      </c>
      <c r="CMN1" s="17" t="s">
        <v>1877</v>
      </c>
      <c r="CMO1" s="17" t="s">
        <v>1878</v>
      </c>
      <c r="CMP1" s="17" t="s">
        <v>1879</v>
      </c>
      <c r="CMQ1" s="17" t="s">
        <v>1880</v>
      </c>
      <c r="CMR1" s="17" t="s">
        <v>1881</v>
      </c>
      <c r="CMS1" s="17" t="s">
        <v>1882</v>
      </c>
      <c r="CMT1" s="17" t="s">
        <v>1883</v>
      </c>
      <c r="CMU1" s="17" t="s">
        <v>1884</v>
      </c>
      <c r="CMV1" s="17" t="s">
        <v>1885</v>
      </c>
      <c r="CMW1" s="17" t="s">
        <v>1886</v>
      </c>
      <c r="CMX1" s="17" t="s">
        <v>1887</v>
      </c>
      <c r="CMY1" s="17" t="s">
        <v>1888</v>
      </c>
      <c r="CMZ1" s="17" t="s">
        <v>1889</v>
      </c>
      <c r="CNA1" s="17" t="s">
        <v>1890</v>
      </c>
      <c r="CNB1" s="17" t="s">
        <v>1891</v>
      </c>
      <c r="CNC1" s="17" t="s">
        <v>1892</v>
      </c>
      <c r="CND1" s="17" t="s">
        <v>1893</v>
      </c>
      <c r="CNE1" s="17" t="s">
        <v>1894</v>
      </c>
      <c r="CNF1" s="17" t="s">
        <v>1895</v>
      </c>
      <c r="CNG1" s="17" t="s">
        <v>1896</v>
      </c>
      <c r="CNH1" s="17" t="s">
        <v>1897</v>
      </c>
      <c r="CNI1" s="17" t="s">
        <v>1898</v>
      </c>
      <c r="CNJ1" s="17" t="s">
        <v>1899</v>
      </c>
      <c r="CNK1" s="17" t="s">
        <v>1900</v>
      </c>
      <c r="CNL1" s="17" t="s">
        <v>1901</v>
      </c>
      <c r="CNM1" s="17" t="s">
        <v>1902</v>
      </c>
      <c r="CNN1" s="17" t="s">
        <v>1903</v>
      </c>
      <c r="CNO1" s="17" t="s">
        <v>1904</v>
      </c>
      <c r="CNP1" s="17" t="s">
        <v>1905</v>
      </c>
      <c r="CNQ1" s="17" t="s">
        <v>1906</v>
      </c>
      <c r="CNR1" s="17" t="s">
        <v>1907</v>
      </c>
      <c r="CNS1" s="17" t="s">
        <v>1908</v>
      </c>
      <c r="CNT1" s="17" t="s">
        <v>1909</v>
      </c>
      <c r="CNU1" s="17" t="s">
        <v>1910</v>
      </c>
      <c r="CNV1" s="17" t="s">
        <v>1911</v>
      </c>
      <c r="CNW1" s="17" t="s">
        <v>1912</v>
      </c>
      <c r="CNX1" s="17" t="s">
        <v>1913</v>
      </c>
      <c r="CNY1" s="17" t="s">
        <v>1914</v>
      </c>
      <c r="CNZ1" s="17" t="s">
        <v>1915</v>
      </c>
      <c r="COA1" s="17" t="s">
        <v>1916</v>
      </c>
      <c r="COB1" s="17" t="s">
        <v>1917</v>
      </c>
      <c r="COC1" s="17" t="s">
        <v>1918</v>
      </c>
      <c r="COD1" s="17" t="s">
        <v>1919</v>
      </c>
      <c r="COE1" s="17" t="s">
        <v>1920</v>
      </c>
      <c r="COF1" s="17" t="s">
        <v>1921</v>
      </c>
      <c r="COG1" s="17" t="s">
        <v>1922</v>
      </c>
      <c r="COH1" s="17" t="s">
        <v>1923</v>
      </c>
      <c r="COI1" s="17" t="s">
        <v>1924</v>
      </c>
      <c r="COJ1" s="17" t="s">
        <v>1925</v>
      </c>
      <c r="COK1" s="17" t="s">
        <v>1926</v>
      </c>
      <c r="COL1" s="17" t="s">
        <v>1927</v>
      </c>
      <c r="COM1" s="17" t="s">
        <v>1928</v>
      </c>
      <c r="CON1" s="17" t="s">
        <v>1929</v>
      </c>
      <c r="COO1" s="17" t="s">
        <v>1930</v>
      </c>
      <c r="COP1" s="17" t="s">
        <v>1931</v>
      </c>
      <c r="COQ1" s="17" t="s">
        <v>1932</v>
      </c>
      <c r="COR1" s="17" t="s">
        <v>1933</v>
      </c>
      <c r="COS1" s="17" t="s">
        <v>1934</v>
      </c>
      <c r="COT1" s="17" t="s">
        <v>1935</v>
      </c>
      <c r="COU1" s="17" t="s">
        <v>1936</v>
      </c>
      <c r="COV1" s="17" t="s">
        <v>1937</v>
      </c>
      <c r="COW1" s="17" t="s">
        <v>1938</v>
      </c>
      <c r="COX1" s="17" t="s">
        <v>1939</v>
      </c>
      <c r="COY1" s="17" t="s">
        <v>1940</v>
      </c>
      <c r="COZ1" s="17" t="s">
        <v>1941</v>
      </c>
      <c r="CPA1" s="17" t="s">
        <v>1942</v>
      </c>
      <c r="CPB1" s="17" t="s">
        <v>1943</v>
      </c>
      <c r="CPC1" s="17" t="s">
        <v>1944</v>
      </c>
      <c r="CPD1" s="17" t="s">
        <v>1945</v>
      </c>
      <c r="CPE1" s="17" t="s">
        <v>1946</v>
      </c>
      <c r="CPF1" s="17" t="s">
        <v>1947</v>
      </c>
      <c r="CPG1" s="17" t="s">
        <v>1948</v>
      </c>
      <c r="CPH1" s="17" t="s">
        <v>1949</v>
      </c>
      <c r="CPI1" s="17" t="s">
        <v>1950</v>
      </c>
      <c r="CPJ1" s="17" t="s">
        <v>1951</v>
      </c>
      <c r="CPK1" s="17" t="s">
        <v>1952</v>
      </c>
      <c r="CPL1" s="17" t="s">
        <v>1953</v>
      </c>
      <c r="CPM1" s="17" t="s">
        <v>1954</v>
      </c>
      <c r="CPN1" s="17" t="s">
        <v>1955</v>
      </c>
      <c r="CPO1" s="17" t="s">
        <v>1956</v>
      </c>
      <c r="CPP1" s="17" t="s">
        <v>1957</v>
      </c>
      <c r="CPQ1" s="17" t="s">
        <v>1958</v>
      </c>
      <c r="CPR1" s="17" t="s">
        <v>1959</v>
      </c>
      <c r="CPS1" s="17" t="s">
        <v>1960</v>
      </c>
      <c r="CPT1" s="17" t="s">
        <v>1961</v>
      </c>
      <c r="CPU1" s="17" t="s">
        <v>1962</v>
      </c>
      <c r="CPV1" s="17" t="s">
        <v>1963</v>
      </c>
      <c r="CPW1" s="17" t="s">
        <v>1964</v>
      </c>
      <c r="CPX1" s="17" t="s">
        <v>1965</v>
      </c>
      <c r="CPY1" s="17" t="s">
        <v>1966</v>
      </c>
      <c r="CPZ1" s="17" t="s">
        <v>1967</v>
      </c>
      <c r="CQA1" s="17" t="s">
        <v>1968</v>
      </c>
      <c r="CQB1" s="17" t="s">
        <v>1969</v>
      </c>
      <c r="CQC1" s="17" t="s">
        <v>1970</v>
      </c>
      <c r="CQD1" s="17" t="s">
        <v>1971</v>
      </c>
      <c r="CQE1" s="17" t="s">
        <v>1972</v>
      </c>
      <c r="CQF1" s="17" t="s">
        <v>1973</v>
      </c>
      <c r="CQG1" s="17" t="s">
        <v>1974</v>
      </c>
      <c r="CQH1" s="17" t="s">
        <v>1975</v>
      </c>
      <c r="CQI1" s="17" t="s">
        <v>1976</v>
      </c>
      <c r="CQJ1" s="17" t="s">
        <v>1977</v>
      </c>
      <c r="CQK1" s="17" t="s">
        <v>1978</v>
      </c>
      <c r="CQL1" s="17" t="s">
        <v>1979</v>
      </c>
      <c r="CQM1" s="17" t="s">
        <v>1980</v>
      </c>
      <c r="CQN1" s="17" t="s">
        <v>1981</v>
      </c>
      <c r="CQO1" s="17" t="s">
        <v>1982</v>
      </c>
      <c r="CQP1" s="17" t="s">
        <v>1983</v>
      </c>
      <c r="CQQ1" s="17" t="s">
        <v>1984</v>
      </c>
      <c r="CQR1" s="17" t="s">
        <v>1985</v>
      </c>
      <c r="CQS1" s="17" t="s">
        <v>1986</v>
      </c>
      <c r="CQT1" s="17" t="s">
        <v>1987</v>
      </c>
      <c r="CQU1" s="17" t="s">
        <v>1988</v>
      </c>
      <c r="CQV1" s="17" t="s">
        <v>1989</v>
      </c>
      <c r="CQW1" s="17" t="s">
        <v>1990</v>
      </c>
      <c r="CQX1" s="17" t="s">
        <v>1991</v>
      </c>
      <c r="CQY1" s="17" t="s">
        <v>1992</v>
      </c>
      <c r="CQZ1" s="17" t="s">
        <v>1993</v>
      </c>
      <c r="CRA1" s="17" t="s">
        <v>1994</v>
      </c>
      <c r="CRB1" s="17" t="s">
        <v>1995</v>
      </c>
      <c r="CRC1" s="17" t="s">
        <v>1996</v>
      </c>
      <c r="CRD1" s="17" t="s">
        <v>1997</v>
      </c>
      <c r="CRE1" s="17" t="s">
        <v>1998</v>
      </c>
      <c r="CRF1" s="17" t="s">
        <v>1999</v>
      </c>
      <c r="CRG1" s="17" t="s">
        <v>2000</v>
      </c>
      <c r="CRH1" s="17" t="s">
        <v>2001</v>
      </c>
      <c r="CRI1" s="17" t="s">
        <v>2002</v>
      </c>
      <c r="CRJ1" s="17" t="s">
        <v>2003</v>
      </c>
      <c r="CRK1" s="17" t="s">
        <v>2004</v>
      </c>
      <c r="CRL1" s="17" t="s">
        <v>2005</v>
      </c>
      <c r="CRM1" s="17" t="s">
        <v>2006</v>
      </c>
      <c r="CRN1" s="17" t="s">
        <v>2007</v>
      </c>
      <c r="CRO1" s="17" t="s">
        <v>2008</v>
      </c>
      <c r="CRP1" s="17" t="s">
        <v>2009</v>
      </c>
      <c r="CRQ1" s="17" t="s">
        <v>2010</v>
      </c>
      <c r="CRR1" s="17" t="s">
        <v>2011</v>
      </c>
      <c r="CRS1" s="17" t="s">
        <v>2012</v>
      </c>
      <c r="CRT1" s="17" t="s">
        <v>2013</v>
      </c>
      <c r="CRU1" s="17" t="s">
        <v>2014</v>
      </c>
      <c r="CRV1" s="17" t="s">
        <v>2015</v>
      </c>
      <c r="CRW1" s="17" t="s">
        <v>2016</v>
      </c>
      <c r="CRX1" s="17" t="s">
        <v>2017</v>
      </c>
      <c r="CRY1" s="17" t="s">
        <v>2018</v>
      </c>
      <c r="CRZ1" s="17" t="s">
        <v>2019</v>
      </c>
      <c r="CSA1" s="17" t="s">
        <v>2020</v>
      </c>
      <c r="CSB1" s="17" t="s">
        <v>2021</v>
      </c>
      <c r="CSC1" s="17" t="s">
        <v>2022</v>
      </c>
      <c r="CSD1" s="17" t="s">
        <v>2023</v>
      </c>
      <c r="CSE1" s="17" t="s">
        <v>2024</v>
      </c>
      <c r="CSF1" s="17" t="s">
        <v>2025</v>
      </c>
      <c r="CSG1" s="17" t="s">
        <v>2026</v>
      </c>
      <c r="CSH1" s="17" t="s">
        <v>2027</v>
      </c>
      <c r="CSI1" s="17" t="s">
        <v>2028</v>
      </c>
      <c r="CSJ1" s="17" t="s">
        <v>2029</v>
      </c>
      <c r="CSK1" s="17" t="s">
        <v>2030</v>
      </c>
      <c r="CSL1" s="17" t="s">
        <v>2031</v>
      </c>
      <c r="CSM1" s="17" t="s">
        <v>2032</v>
      </c>
      <c r="CSN1" s="17" t="s">
        <v>2033</v>
      </c>
      <c r="CSO1" s="17" t="s">
        <v>2034</v>
      </c>
      <c r="CSP1" s="17" t="s">
        <v>2035</v>
      </c>
      <c r="CSQ1" s="17" t="s">
        <v>2036</v>
      </c>
      <c r="CSR1" s="17" t="s">
        <v>2037</v>
      </c>
      <c r="CSS1" s="17" t="s">
        <v>2038</v>
      </c>
      <c r="CST1" s="17" t="s">
        <v>2039</v>
      </c>
      <c r="CSU1" s="17" t="s">
        <v>2040</v>
      </c>
      <c r="CSV1" s="17" t="s">
        <v>2041</v>
      </c>
      <c r="CSW1" s="17" t="s">
        <v>2042</v>
      </c>
      <c r="CSX1" s="17" t="s">
        <v>2043</v>
      </c>
      <c r="CSY1" s="17" t="s">
        <v>2044</v>
      </c>
      <c r="CSZ1" s="17" t="s">
        <v>2045</v>
      </c>
      <c r="CTA1" s="17" t="s">
        <v>2046</v>
      </c>
      <c r="CTB1" s="17" t="s">
        <v>2047</v>
      </c>
      <c r="CTC1" s="17" t="s">
        <v>2048</v>
      </c>
      <c r="CTD1" s="17" t="s">
        <v>2049</v>
      </c>
      <c r="CTE1" s="17" t="s">
        <v>2050</v>
      </c>
      <c r="CTF1" s="17" t="s">
        <v>2051</v>
      </c>
      <c r="CTG1" s="17" t="s">
        <v>2052</v>
      </c>
      <c r="CTH1" s="17" t="s">
        <v>2053</v>
      </c>
      <c r="CTI1" s="17" t="s">
        <v>2054</v>
      </c>
      <c r="CTJ1" s="17" t="s">
        <v>2055</v>
      </c>
      <c r="CTK1" s="17" t="s">
        <v>2056</v>
      </c>
      <c r="CTL1" s="17" t="s">
        <v>2057</v>
      </c>
      <c r="CTM1" s="17" t="s">
        <v>2058</v>
      </c>
      <c r="CTN1" s="17" t="s">
        <v>2059</v>
      </c>
      <c r="CTO1" s="17" t="s">
        <v>2060</v>
      </c>
      <c r="CTP1" s="17" t="s">
        <v>2061</v>
      </c>
      <c r="CTQ1" s="17" t="s">
        <v>2062</v>
      </c>
      <c r="CTR1" s="17" t="s">
        <v>2063</v>
      </c>
      <c r="CTS1" s="17" t="s">
        <v>2064</v>
      </c>
      <c r="CTT1" s="17" t="s">
        <v>2065</v>
      </c>
      <c r="CTU1" s="17" t="s">
        <v>2066</v>
      </c>
      <c r="CTV1" s="17" t="s">
        <v>2067</v>
      </c>
      <c r="CTW1" s="17" t="s">
        <v>2068</v>
      </c>
      <c r="CTX1" s="17" t="s">
        <v>2069</v>
      </c>
      <c r="CTY1" s="17" t="s">
        <v>2070</v>
      </c>
      <c r="CTZ1" s="17" t="s">
        <v>2071</v>
      </c>
      <c r="CUA1" s="17" t="s">
        <v>2072</v>
      </c>
      <c r="CUB1" s="17" t="s">
        <v>2073</v>
      </c>
      <c r="CUC1" s="17" t="s">
        <v>2074</v>
      </c>
      <c r="CUD1" s="17" t="s">
        <v>2075</v>
      </c>
      <c r="CUE1" s="17" t="s">
        <v>2076</v>
      </c>
      <c r="CUF1" s="17" t="s">
        <v>2077</v>
      </c>
      <c r="CUG1" s="17" t="s">
        <v>2078</v>
      </c>
      <c r="CUH1" s="17" t="s">
        <v>2079</v>
      </c>
      <c r="CUI1" s="17" t="s">
        <v>2080</v>
      </c>
      <c r="CUJ1" s="17" t="s">
        <v>2081</v>
      </c>
      <c r="CUK1" s="17" t="s">
        <v>2082</v>
      </c>
      <c r="CUL1" s="17" t="s">
        <v>2083</v>
      </c>
      <c r="CUM1" s="17" t="s">
        <v>2084</v>
      </c>
      <c r="CUN1" s="17" t="s">
        <v>2085</v>
      </c>
      <c r="CUO1" s="17" t="s">
        <v>2086</v>
      </c>
      <c r="CUP1" s="17" t="s">
        <v>2087</v>
      </c>
      <c r="CUQ1" s="17" t="s">
        <v>2088</v>
      </c>
      <c r="CUR1" s="17" t="s">
        <v>2089</v>
      </c>
      <c r="CUS1" s="17" t="s">
        <v>2090</v>
      </c>
      <c r="CUT1" s="17" t="s">
        <v>2091</v>
      </c>
      <c r="CUU1" s="17" t="s">
        <v>2092</v>
      </c>
      <c r="CUV1" s="17" t="s">
        <v>2093</v>
      </c>
      <c r="CUW1" s="17" t="s">
        <v>2094</v>
      </c>
      <c r="CUX1" s="17" t="s">
        <v>2095</v>
      </c>
      <c r="CUY1" s="17" t="s">
        <v>2096</v>
      </c>
      <c r="CUZ1" s="17" t="s">
        <v>2097</v>
      </c>
      <c r="CVA1" s="17" t="s">
        <v>2098</v>
      </c>
      <c r="CVB1" s="17" t="s">
        <v>2099</v>
      </c>
      <c r="CVC1" s="17" t="s">
        <v>2100</v>
      </c>
      <c r="CVD1" s="17" t="s">
        <v>2101</v>
      </c>
      <c r="CVE1" s="17" t="s">
        <v>2102</v>
      </c>
      <c r="CVF1" s="17" t="s">
        <v>2103</v>
      </c>
      <c r="CVG1" s="17" t="s">
        <v>2104</v>
      </c>
      <c r="CVH1" s="17" t="s">
        <v>2105</v>
      </c>
      <c r="CVI1" s="17" t="s">
        <v>2106</v>
      </c>
      <c r="CVJ1" s="17" t="s">
        <v>2107</v>
      </c>
      <c r="CVK1" s="17" t="s">
        <v>2108</v>
      </c>
      <c r="CVL1" s="17" t="s">
        <v>2109</v>
      </c>
      <c r="CVM1" s="17" t="s">
        <v>2110</v>
      </c>
      <c r="CVN1" s="17" t="s">
        <v>2111</v>
      </c>
      <c r="CVO1" s="17" t="s">
        <v>2112</v>
      </c>
      <c r="CVP1" s="17" t="s">
        <v>2113</v>
      </c>
      <c r="CVQ1" s="17" t="s">
        <v>2114</v>
      </c>
      <c r="CVR1" s="17" t="s">
        <v>2115</v>
      </c>
      <c r="CVS1" s="17" t="s">
        <v>2116</v>
      </c>
      <c r="CVT1" s="17" t="s">
        <v>2117</v>
      </c>
      <c r="CVU1" s="17" t="s">
        <v>2118</v>
      </c>
      <c r="CVV1" s="17" t="s">
        <v>2119</v>
      </c>
      <c r="CVW1" s="17" t="s">
        <v>2120</v>
      </c>
      <c r="CVX1" s="17" t="s">
        <v>2121</v>
      </c>
      <c r="CVY1" s="17" t="s">
        <v>2122</v>
      </c>
      <c r="CVZ1" s="17" t="s">
        <v>2123</v>
      </c>
      <c r="CWA1" s="17" t="s">
        <v>2124</v>
      </c>
      <c r="CWB1" s="17" t="s">
        <v>2125</v>
      </c>
      <c r="CWC1" s="17" t="s">
        <v>2126</v>
      </c>
      <c r="CWD1" s="17" t="s">
        <v>2127</v>
      </c>
      <c r="CWE1" s="17" t="s">
        <v>2128</v>
      </c>
      <c r="CWF1" s="17" t="s">
        <v>2129</v>
      </c>
      <c r="CWG1" s="17" t="s">
        <v>2130</v>
      </c>
      <c r="CWH1" s="17" t="s">
        <v>2131</v>
      </c>
      <c r="CWI1" s="17" t="s">
        <v>2132</v>
      </c>
      <c r="CWJ1" s="17" t="s">
        <v>2133</v>
      </c>
      <c r="CWK1" s="17" t="s">
        <v>2134</v>
      </c>
      <c r="CWL1" s="17" t="s">
        <v>2135</v>
      </c>
      <c r="CWM1" s="17" t="s">
        <v>2136</v>
      </c>
      <c r="CWN1" s="17" t="s">
        <v>2137</v>
      </c>
      <c r="CWO1" s="17" t="s">
        <v>2138</v>
      </c>
      <c r="CWP1" s="17" t="s">
        <v>2139</v>
      </c>
      <c r="CWQ1" s="17" t="s">
        <v>2140</v>
      </c>
      <c r="CWR1" s="17" t="s">
        <v>2141</v>
      </c>
      <c r="CWS1" s="17" t="s">
        <v>2142</v>
      </c>
      <c r="CWT1" s="17" t="s">
        <v>2143</v>
      </c>
      <c r="CWU1" s="17" t="s">
        <v>2144</v>
      </c>
      <c r="CWV1" s="17" t="s">
        <v>2145</v>
      </c>
      <c r="CWW1" s="17" t="s">
        <v>2146</v>
      </c>
      <c r="CWX1" s="17" t="s">
        <v>2147</v>
      </c>
      <c r="CWY1" s="17" t="s">
        <v>2148</v>
      </c>
      <c r="CWZ1" s="17" t="s">
        <v>2149</v>
      </c>
      <c r="CXA1" s="17" t="s">
        <v>2150</v>
      </c>
      <c r="CXB1" s="17" t="s">
        <v>2151</v>
      </c>
      <c r="CXC1" s="17" t="s">
        <v>2152</v>
      </c>
      <c r="CXD1" s="17" t="s">
        <v>2153</v>
      </c>
      <c r="CXE1" s="17" t="s">
        <v>2154</v>
      </c>
      <c r="CXF1" s="17" t="s">
        <v>2155</v>
      </c>
      <c r="CXG1" s="17" t="s">
        <v>2156</v>
      </c>
      <c r="CXH1" s="17" t="s">
        <v>2157</v>
      </c>
      <c r="CXI1" s="17" t="s">
        <v>2158</v>
      </c>
      <c r="CXJ1" s="17" t="s">
        <v>2159</v>
      </c>
      <c r="CXK1" s="17" t="s">
        <v>2160</v>
      </c>
      <c r="CXL1" s="17" t="s">
        <v>2161</v>
      </c>
      <c r="CXM1" s="17" t="s">
        <v>2162</v>
      </c>
      <c r="CXN1" s="17" t="s">
        <v>2163</v>
      </c>
      <c r="CXO1" s="17" t="s">
        <v>2164</v>
      </c>
      <c r="CXP1" s="17" t="s">
        <v>2165</v>
      </c>
      <c r="CXQ1" s="17" t="s">
        <v>2166</v>
      </c>
      <c r="CXR1" s="17" t="s">
        <v>2167</v>
      </c>
      <c r="CXS1" s="17" t="s">
        <v>2168</v>
      </c>
      <c r="CXT1" s="17" t="s">
        <v>2169</v>
      </c>
      <c r="CXU1" s="17" t="s">
        <v>2170</v>
      </c>
      <c r="CXV1" s="17" t="s">
        <v>2171</v>
      </c>
      <c r="CXW1" s="17" t="s">
        <v>2172</v>
      </c>
      <c r="CXX1" s="17" t="s">
        <v>2173</v>
      </c>
      <c r="CXY1" s="17" t="s">
        <v>2174</v>
      </c>
      <c r="CXZ1" s="17" t="s">
        <v>2175</v>
      </c>
      <c r="CYA1" s="17" t="s">
        <v>2176</v>
      </c>
      <c r="CYB1" s="17" t="s">
        <v>2177</v>
      </c>
      <c r="CYC1" s="17" t="s">
        <v>2178</v>
      </c>
      <c r="CYD1" s="17" t="s">
        <v>2179</v>
      </c>
      <c r="CYE1" s="17" t="s">
        <v>2180</v>
      </c>
      <c r="CYF1" s="17" t="s">
        <v>2181</v>
      </c>
      <c r="CYG1" s="17" t="s">
        <v>2182</v>
      </c>
      <c r="CYH1" s="17" t="s">
        <v>2183</v>
      </c>
      <c r="CYI1" s="17" t="s">
        <v>2184</v>
      </c>
      <c r="CYJ1" s="17" t="s">
        <v>2185</v>
      </c>
      <c r="CYK1" s="17" t="s">
        <v>2186</v>
      </c>
      <c r="CYL1" s="17" t="s">
        <v>2187</v>
      </c>
      <c r="CYM1" s="17" t="s">
        <v>2188</v>
      </c>
      <c r="CYN1" s="17" t="s">
        <v>2189</v>
      </c>
      <c r="CYO1" s="17" t="s">
        <v>2190</v>
      </c>
      <c r="CYP1" s="17" t="s">
        <v>2191</v>
      </c>
      <c r="CYQ1" s="17" t="s">
        <v>2192</v>
      </c>
      <c r="CYR1" s="17" t="s">
        <v>2193</v>
      </c>
      <c r="CYS1" s="17" t="s">
        <v>2194</v>
      </c>
      <c r="CYT1" s="17" t="s">
        <v>2195</v>
      </c>
      <c r="CYU1" s="17" t="s">
        <v>2196</v>
      </c>
      <c r="CYV1" s="17" t="s">
        <v>2197</v>
      </c>
      <c r="CYW1" s="17" t="s">
        <v>2198</v>
      </c>
      <c r="CYX1" s="17" t="s">
        <v>2199</v>
      </c>
      <c r="CYY1" s="17" t="s">
        <v>2200</v>
      </c>
      <c r="CYZ1" s="17" t="s">
        <v>2201</v>
      </c>
      <c r="CZA1" s="17" t="s">
        <v>2202</v>
      </c>
      <c r="CZB1" s="17" t="s">
        <v>2203</v>
      </c>
      <c r="CZC1" s="17" t="s">
        <v>2204</v>
      </c>
      <c r="CZD1" s="17" t="s">
        <v>2205</v>
      </c>
      <c r="CZE1" s="17" t="s">
        <v>2206</v>
      </c>
      <c r="CZF1" s="17" t="s">
        <v>2207</v>
      </c>
      <c r="CZG1" s="17" t="s">
        <v>2208</v>
      </c>
      <c r="CZH1" s="17" t="s">
        <v>2209</v>
      </c>
      <c r="CZI1" s="17" t="s">
        <v>2210</v>
      </c>
      <c r="CZJ1" s="17" t="s">
        <v>2211</v>
      </c>
      <c r="CZK1" s="17" t="s">
        <v>2212</v>
      </c>
      <c r="CZL1" s="17" t="s">
        <v>2213</v>
      </c>
      <c r="CZM1" s="17" t="s">
        <v>2214</v>
      </c>
      <c r="CZN1" s="17" t="s">
        <v>2215</v>
      </c>
      <c r="CZO1" s="17" t="s">
        <v>2216</v>
      </c>
      <c r="CZP1" s="17" t="s">
        <v>2217</v>
      </c>
      <c r="CZQ1" s="17" t="s">
        <v>2218</v>
      </c>
      <c r="CZR1" s="17" t="s">
        <v>2219</v>
      </c>
      <c r="CZS1" s="17" t="s">
        <v>2220</v>
      </c>
      <c r="CZT1" s="17" t="s">
        <v>2221</v>
      </c>
      <c r="CZU1" s="17" t="s">
        <v>2222</v>
      </c>
      <c r="CZV1" s="17" t="s">
        <v>2223</v>
      </c>
      <c r="CZW1" s="17" t="s">
        <v>2224</v>
      </c>
      <c r="CZX1" s="17" t="s">
        <v>2225</v>
      </c>
      <c r="CZY1" s="17" t="s">
        <v>2226</v>
      </c>
      <c r="CZZ1" s="17" t="s">
        <v>2227</v>
      </c>
      <c r="DAA1" s="17" t="s">
        <v>2228</v>
      </c>
      <c r="DAB1" s="17" t="s">
        <v>2229</v>
      </c>
      <c r="DAC1" s="17" t="s">
        <v>2230</v>
      </c>
      <c r="DAD1" s="17" t="s">
        <v>2231</v>
      </c>
      <c r="DAE1" s="17" t="s">
        <v>2232</v>
      </c>
      <c r="DAF1" s="17" t="s">
        <v>2233</v>
      </c>
      <c r="DAG1" s="17" t="s">
        <v>2234</v>
      </c>
      <c r="DAH1" s="17" t="s">
        <v>2235</v>
      </c>
      <c r="DAI1" s="17" t="s">
        <v>2236</v>
      </c>
      <c r="DAJ1" s="17" t="s">
        <v>2237</v>
      </c>
      <c r="DAK1" s="17" t="s">
        <v>2238</v>
      </c>
      <c r="DAL1" s="17" t="s">
        <v>2239</v>
      </c>
      <c r="DAM1" s="17" t="s">
        <v>2240</v>
      </c>
      <c r="DAN1" s="17" t="s">
        <v>2241</v>
      </c>
      <c r="DAO1" s="17" t="s">
        <v>2242</v>
      </c>
      <c r="DAP1" s="17" t="s">
        <v>2243</v>
      </c>
      <c r="DAQ1" s="17" t="s">
        <v>2244</v>
      </c>
      <c r="DAR1" s="17" t="s">
        <v>2245</v>
      </c>
      <c r="DAS1" s="17" t="s">
        <v>2246</v>
      </c>
      <c r="DAT1" s="17" t="s">
        <v>2247</v>
      </c>
      <c r="DAU1" s="17" t="s">
        <v>2248</v>
      </c>
      <c r="DAV1" s="17" t="s">
        <v>2249</v>
      </c>
      <c r="DAW1" s="17" t="s">
        <v>2250</v>
      </c>
      <c r="DAX1" s="17" t="s">
        <v>2251</v>
      </c>
      <c r="DAY1" s="17" t="s">
        <v>2252</v>
      </c>
      <c r="DAZ1" s="17" t="s">
        <v>2253</v>
      </c>
      <c r="DBA1" s="17" t="s">
        <v>2254</v>
      </c>
      <c r="DBB1" s="17" t="s">
        <v>2255</v>
      </c>
      <c r="DBC1" s="17" t="s">
        <v>2256</v>
      </c>
      <c r="DBD1" s="17" t="s">
        <v>2257</v>
      </c>
      <c r="DBE1" s="17" t="s">
        <v>2258</v>
      </c>
      <c r="DBF1" s="17" t="s">
        <v>2259</v>
      </c>
      <c r="DBG1" s="17" t="s">
        <v>2260</v>
      </c>
      <c r="DBH1" s="17" t="s">
        <v>2261</v>
      </c>
      <c r="DBI1" s="17" t="s">
        <v>2262</v>
      </c>
      <c r="DBJ1" s="17" t="s">
        <v>2263</v>
      </c>
      <c r="DBK1" s="17" t="s">
        <v>2264</v>
      </c>
      <c r="DBL1" s="17" t="s">
        <v>2265</v>
      </c>
      <c r="DBM1" s="17" t="s">
        <v>2266</v>
      </c>
      <c r="DBN1" s="17" t="s">
        <v>2267</v>
      </c>
      <c r="DBO1" s="17" t="s">
        <v>2268</v>
      </c>
      <c r="DBP1" s="17" t="s">
        <v>2269</v>
      </c>
      <c r="DBQ1" s="17" t="s">
        <v>2270</v>
      </c>
      <c r="DBR1" s="17" t="s">
        <v>2271</v>
      </c>
      <c r="DBS1" s="17" t="s">
        <v>2272</v>
      </c>
      <c r="DBT1" s="17" t="s">
        <v>2273</v>
      </c>
      <c r="DBU1" s="17" t="s">
        <v>2274</v>
      </c>
      <c r="DBV1" s="17" t="s">
        <v>2275</v>
      </c>
      <c r="DBW1" s="17" t="s">
        <v>2276</v>
      </c>
      <c r="DBX1" s="17" t="s">
        <v>2277</v>
      </c>
      <c r="DBY1" s="17" t="s">
        <v>2278</v>
      </c>
      <c r="DBZ1" s="17" t="s">
        <v>2279</v>
      </c>
      <c r="DCA1" s="17" t="s">
        <v>2280</v>
      </c>
      <c r="DCB1" s="17" t="s">
        <v>2281</v>
      </c>
      <c r="DCC1" s="17" t="s">
        <v>2282</v>
      </c>
      <c r="DCD1" s="17" t="s">
        <v>2283</v>
      </c>
      <c r="DCE1" s="17" t="s">
        <v>2284</v>
      </c>
      <c r="DCF1" s="17" t="s">
        <v>2285</v>
      </c>
      <c r="DCG1" s="17" t="s">
        <v>2286</v>
      </c>
      <c r="DCH1" s="17" t="s">
        <v>2287</v>
      </c>
      <c r="DCI1" s="17" t="s">
        <v>2288</v>
      </c>
      <c r="DCJ1" s="17" t="s">
        <v>2289</v>
      </c>
      <c r="DCK1" s="17" t="s">
        <v>2290</v>
      </c>
      <c r="DCL1" s="17" t="s">
        <v>2291</v>
      </c>
      <c r="DCM1" s="17" t="s">
        <v>2292</v>
      </c>
      <c r="DCN1" s="17" t="s">
        <v>2293</v>
      </c>
      <c r="DCO1" s="17" t="s">
        <v>2294</v>
      </c>
      <c r="DCP1" s="17" t="s">
        <v>2295</v>
      </c>
      <c r="DCQ1" s="17" t="s">
        <v>2296</v>
      </c>
      <c r="DCR1" s="17" t="s">
        <v>2297</v>
      </c>
      <c r="DCS1" s="17" t="s">
        <v>2298</v>
      </c>
      <c r="DCT1" s="17" t="s">
        <v>2299</v>
      </c>
      <c r="DCU1" s="17" t="s">
        <v>2300</v>
      </c>
      <c r="DCV1" s="17" t="s">
        <v>2301</v>
      </c>
      <c r="DCW1" s="17" t="s">
        <v>2302</v>
      </c>
      <c r="DCX1" s="17" t="s">
        <v>2303</v>
      </c>
      <c r="DCY1" s="17" t="s">
        <v>2304</v>
      </c>
      <c r="DCZ1" s="17" t="s">
        <v>2305</v>
      </c>
      <c r="DDA1" s="17" t="s">
        <v>2306</v>
      </c>
      <c r="DDB1" s="17" t="s">
        <v>2307</v>
      </c>
      <c r="DDC1" s="17" t="s">
        <v>2308</v>
      </c>
      <c r="DDD1" s="17" t="s">
        <v>2309</v>
      </c>
      <c r="DDE1" s="17" t="s">
        <v>2310</v>
      </c>
      <c r="DDF1" s="17" t="s">
        <v>2311</v>
      </c>
      <c r="DDG1" s="17" t="s">
        <v>2312</v>
      </c>
      <c r="DDH1" s="17" t="s">
        <v>2313</v>
      </c>
      <c r="DDI1" s="17" t="s">
        <v>2314</v>
      </c>
      <c r="DDJ1" s="17" t="s">
        <v>2315</v>
      </c>
      <c r="DDK1" s="17" t="s">
        <v>2316</v>
      </c>
      <c r="DDL1" s="17" t="s">
        <v>2317</v>
      </c>
      <c r="DDM1" s="17" t="s">
        <v>2318</v>
      </c>
      <c r="DDN1" s="17" t="s">
        <v>2319</v>
      </c>
      <c r="DDO1" s="17" t="s">
        <v>2320</v>
      </c>
      <c r="DDP1" s="17" t="s">
        <v>2321</v>
      </c>
      <c r="DDQ1" s="17" t="s">
        <v>2322</v>
      </c>
      <c r="DDR1" s="17" t="s">
        <v>2323</v>
      </c>
      <c r="DDS1" s="17" t="s">
        <v>2324</v>
      </c>
      <c r="DDT1" s="17" t="s">
        <v>2325</v>
      </c>
      <c r="DDU1" s="17" t="s">
        <v>2326</v>
      </c>
      <c r="DDV1" s="17" t="s">
        <v>2327</v>
      </c>
      <c r="DDW1" s="17" t="s">
        <v>2328</v>
      </c>
      <c r="DDX1" s="17" t="s">
        <v>2329</v>
      </c>
      <c r="DDY1" s="17" t="s">
        <v>2330</v>
      </c>
      <c r="DDZ1" s="17" t="s">
        <v>2331</v>
      </c>
      <c r="DEA1" s="17" t="s">
        <v>2332</v>
      </c>
      <c r="DEB1" s="17" t="s">
        <v>2333</v>
      </c>
      <c r="DEC1" s="17" t="s">
        <v>2334</v>
      </c>
      <c r="DED1" s="17" t="s">
        <v>2335</v>
      </c>
      <c r="DEE1" s="17" t="s">
        <v>2336</v>
      </c>
      <c r="DEF1" s="17" t="s">
        <v>2337</v>
      </c>
      <c r="DEG1" s="17" t="s">
        <v>2338</v>
      </c>
      <c r="DEH1" s="17" t="s">
        <v>2339</v>
      </c>
      <c r="DEI1" s="17" t="s">
        <v>2340</v>
      </c>
      <c r="DEJ1" s="17" t="s">
        <v>2341</v>
      </c>
      <c r="DEK1" s="17" t="s">
        <v>2342</v>
      </c>
      <c r="DEL1" s="17" t="s">
        <v>2343</v>
      </c>
      <c r="DEM1" s="17" t="s">
        <v>2344</v>
      </c>
      <c r="DEN1" s="17" t="s">
        <v>2345</v>
      </c>
      <c r="DEO1" s="17" t="s">
        <v>2346</v>
      </c>
      <c r="DEP1" s="17" t="s">
        <v>2347</v>
      </c>
      <c r="DEQ1" s="17" t="s">
        <v>2348</v>
      </c>
      <c r="DER1" s="17" t="s">
        <v>2349</v>
      </c>
      <c r="DES1" s="17" t="s">
        <v>2350</v>
      </c>
      <c r="DET1" s="17" t="s">
        <v>2351</v>
      </c>
      <c r="DEU1" s="17" t="s">
        <v>2352</v>
      </c>
      <c r="DEV1" s="17" t="s">
        <v>2353</v>
      </c>
      <c r="DEW1" s="17" t="s">
        <v>2354</v>
      </c>
      <c r="DEX1" s="17" t="s">
        <v>2355</v>
      </c>
      <c r="DEY1" s="17" t="s">
        <v>2356</v>
      </c>
      <c r="DEZ1" s="17" t="s">
        <v>2357</v>
      </c>
      <c r="DFA1" s="17" t="s">
        <v>2358</v>
      </c>
      <c r="DFB1" s="17" t="s">
        <v>2359</v>
      </c>
      <c r="DFC1" s="17" t="s">
        <v>2360</v>
      </c>
      <c r="DFD1" s="17" t="s">
        <v>2361</v>
      </c>
      <c r="DFE1" s="17" t="s">
        <v>2362</v>
      </c>
      <c r="DFF1" s="17" t="s">
        <v>2363</v>
      </c>
      <c r="DFG1" s="17" t="s">
        <v>2364</v>
      </c>
      <c r="DFH1" s="17" t="s">
        <v>2365</v>
      </c>
      <c r="DFI1" s="17" t="s">
        <v>2366</v>
      </c>
      <c r="DFJ1" s="17" t="s">
        <v>2367</v>
      </c>
      <c r="DFK1" s="17" t="s">
        <v>2368</v>
      </c>
      <c r="DFL1" s="17" t="s">
        <v>2369</v>
      </c>
      <c r="DFM1" s="17" t="s">
        <v>2370</v>
      </c>
      <c r="DFN1" s="17" t="s">
        <v>2371</v>
      </c>
      <c r="DFO1" s="17" t="s">
        <v>2372</v>
      </c>
      <c r="DFP1" s="17" t="s">
        <v>2373</v>
      </c>
      <c r="DFQ1" s="17" t="s">
        <v>2374</v>
      </c>
      <c r="DFR1" s="17" t="s">
        <v>2375</v>
      </c>
      <c r="DFS1" s="17" t="s">
        <v>2376</v>
      </c>
      <c r="DFT1" s="17" t="s">
        <v>2377</v>
      </c>
      <c r="DFU1" s="17" t="s">
        <v>2378</v>
      </c>
      <c r="DFV1" s="17" t="s">
        <v>2379</v>
      </c>
      <c r="DFW1" s="17" t="s">
        <v>2380</v>
      </c>
      <c r="DFX1" s="17" t="s">
        <v>2381</v>
      </c>
      <c r="DFY1" s="17" t="s">
        <v>2382</v>
      </c>
      <c r="DFZ1" s="17" t="s">
        <v>2383</v>
      </c>
      <c r="DGA1" s="17" t="s">
        <v>2384</v>
      </c>
      <c r="DGB1" s="17" t="s">
        <v>2385</v>
      </c>
      <c r="DGC1" s="17" t="s">
        <v>2386</v>
      </c>
      <c r="DGD1" s="17" t="s">
        <v>2387</v>
      </c>
      <c r="DGE1" s="17" t="s">
        <v>2388</v>
      </c>
      <c r="DGF1" s="17" t="s">
        <v>2389</v>
      </c>
      <c r="DGG1" s="17" t="s">
        <v>2390</v>
      </c>
      <c r="DGH1" s="17" t="s">
        <v>2391</v>
      </c>
      <c r="DGI1" s="17" t="s">
        <v>2392</v>
      </c>
      <c r="DGJ1" s="17" t="s">
        <v>2393</v>
      </c>
      <c r="DGK1" s="17" t="s">
        <v>2394</v>
      </c>
      <c r="DGL1" s="17" t="s">
        <v>2395</v>
      </c>
      <c r="DGM1" s="17" t="s">
        <v>2396</v>
      </c>
      <c r="DGN1" s="17" t="s">
        <v>2397</v>
      </c>
      <c r="DGO1" s="17" t="s">
        <v>2398</v>
      </c>
      <c r="DGP1" s="17" t="s">
        <v>2399</v>
      </c>
      <c r="DGQ1" s="17" t="s">
        <v>2400</v>
      </c>
      <c r="DGR1" s="17" t="s">
        <v>2401</v>
      </c>
      <c r="DGS1" s="17" t="s">
        <v>2402</v>
      </c>
      <c r="DGT1" s="17" t="s">
        <v>2403</v>
      </c>
      <c r="DGU1" s="17" t="s">
        <v>2404</v>
      </c>
      <c r="DGV1" s="17" t="s">
        <v>2405</v>
      </c>
      <c r="DGW1" s="17" t="s">
        <v>2406</v>
      </c>
      <c r="DGX1" s="17" t="s">
        <v>2407</v>
      </c>
      <c r="DGY1" s="17" t="s">
        <v>2408</v>
      </c>
      <c r="DGZ1" s="17" t="s">
        <v>2409</v>
      </c>
      <c r="DHA1" s="17" t="s">
        <v>2410</v>
      </c>
      <c r="DHB1" s="17" t="s">
        <v>2411</v>
      </c>
      <c r="DHC1" s="17" t="s">
        <v>2412</v>
      </c>
      <c r="DHD1" s="17" t="s">
        <v>2413</v>
      </c>
      <c r="DHE1" s="17" t="s">
        <v>2414</v>
      </c>
      <c r="DHF1" s="17" t="s">
        <v>2415</v>
      </c>
      <c r="DHG1" s="17" t="s">
        <v>2416</v>
      </c>
      <c r="DHH1" s="17" t="s">
        <v>2417</v>
      </c>
      <c r="DHI1" s="17" t="s">
        <v>2418</v>
      </c>
      <c r="DHJ1" s="17" t="s">
        <v>2419</v>
      </c>
      <c r="DHK1" s="17" t="s">
        <v>2420</v>
      </c>
      <c r="DHL1" s="17" t="s">
        <v>2421</v>
      </c>
      <c r="DHM1" s="17" t="s">
        <v>2422</v>
      </c>
      <c r="DHN1" s="17" t="s">
        <v>2423</v>
      </c>
      <c r="DHO1" s="17" t="s">
        <v>2424</v>
      </c>
      <c r="DHP1" s="17" t="s">
        <v>2425</v>
      </c>
      <c r="DHQ1" s="17" t="s">
        <v>2426</v>
      </c>
      <c r="DHR1" s="17" t="s">
        <v>2427</v>
      </c>
      <c r="DHS1" s="17" t="s">
        <v>2428</v>
      </c>
      <c r="DHT1" s="17" t="s">
        <v>2429</v>
      </c>
      <c r="DHU1" s="17" t="s">
        <v>2430</v>
      </c>
      <c r="DHV1" s="17" t="s">
        <v>2431</v>
      </c>
      <c r="DHW1" s="17" t="s">
        <v>2432</v>
      </c>
      <c r="DHX1" s="17" t="s">
        <v>2433</v>
      </c>
      <c r="DHY1" s="17" t="s">
        <v>2434</v>
      </c>
      <c r="DHZ1" s="17" t="s">
        <v>2435</v>
      </c>
      <c r="DIA1" s="17" t="s">
        <v>2436</v>
      </c>
      <c r="DIB1" s="17" t="s">
        <v>2437</v>
      </c>
      <c r="DIC1" s="17" t="s">
        <v>2438</v>
      </c>
      <c r="DID1" s="17" t="s">
        <v>2439</v>
      </c>
      <c r="DIE1" s="17" t="s">
        <v>2440</v>
      </c>
      <c r="DIF1" s="17" t="s">
        <v>2441</v>
      </c>
      <c r="DIG1" s="17" t="s">
        <v>2442</v>
      </c>
      <c r="DIH1" s="17" t="s">
        <v>2443</v>
      </c>
      <c r="DII1" s="17" t="s">
        <v>2444</v>
      </c>
      <c r="DIJ1" s="17" t="s">
        <v>2445</v>
      </c>
      <c r="DIK1" s="17" t="s">
        <v>2446</v>
      </c>
      <c r="DIL1" s="17" t="s">
        <v>2447</v>
      </c>
      <c r="DIM1" s="17" t="s">
        <v>2448</v>
      </c>
      <c r="DIN1" s="17" t="s">
        <v>2449</v>
      </c>
      <c r="DIO1" s="17" t="s">
        <v>2450</v>
      </c>
      <c r="DIP1" s="17" t="s">
        <v>2451</v>
      </c>
      <c r="DIQ1" s="17" t="s">
        <v>2452</v>
      </c>
      <c r="DIR1" s="17" t="s">
        <v>2453</v>
      </c>
      <c r="DIS1" s="17" t="s">
        <v>2454</v>
      </c>
      <c r="DIT1" s="17" t="s">
        <v>2455</v>
      </c>
      <c r="DIU1" s="17" t="s">
        <v>2456</v>
      </c>
      <c r="DIV1" s="17" t="s">
        <v>2457</v>
      </c>
      <c r="DIW1" s="17" t="s">
        <v>2458</v>
      </c>
      <c r="DIX1" s="17" t="s">
        <v>2459</v>
      </c>
      <c r="DIY1" s="17" t="s">
        <v>2460</v>
      </c>
      <c r="DIZ1" s="17" t="s">
        <v>2461</v>
      </c>
      <c r="DJA1" s="17" t="s">
        <v>2462</v>
      </c>
      <c r="DJB1" s="17" t="s">
        <v>2463</v>
      </c>
      <c r="DJC1" s="17" t="s">
        <v>2464</v>
      </c>
      <c r="DJD1" s="17" t="s">
        <v>2465</v>
      </c>
      <c r="DJE1" s="17" t="s">
        <v>2466</v>
      </c>
      <c r="DJF1" s="17" t="s">
        <v>2467</v>
      </c>
      <c r="DJG1" s="17" t="s">
        <v>2468</v>
      </c>
      <c r="DJH1" s="17" t="s">
        <v>2469</v>
      </c>
      <c r="DJI1" s="17" t="s">
        <v>2470</v>
      </c>
      <c r="DJJ1" s="17" t="s">
        <v>2471</v>
      </c>
      <c r="DJK1" s="17" t="s">
        <v>2472</v>
      </c>
      <c r="DJL1" s="17" t="s">
        <v>2473</v>
      </c>
      <c r="DJM1" s="17" t="s">
        <v>2474</v>
      </c>
      <c r="DJN1" s="17" t="s">
        <v>2475</v>
      </c>
      <c r="DJO1" s="17" t="s">
        <v>2476</v>
      </c>
      <c r="DJP1" s="17" t="s">
        <v>2477</v>
      </c>
      <c r="DJQ1" s="17" t="s">
        <v>2478</v>
      </c>
      <c r="DJR1" s="17" t="s">
        <v>2479</v>
      </c>
      <c r="DJS1" s="17" t="s">
        <v>2480</v>
      </c>
      <c r="DJT1" s="17" t="s">
        <v>2481</v>
      </c>
      <c r="DJU1" s="17" t="s">
        <v>2482</v>
      </c>
      <c r="DJV1" s="17" t="s">
        <v>2483</v>
      </c>
      <c r="DJW1" s="17" t="s">
        <v>2484</v>
      </c>
      <c r="DJX1" s="17" t="s">
        <v>2485</v>
      </c>
      <c r="DJY1" s="17" t="s">
        <v>2486</v>
      </c>
      <c r="DJZ1" s="17" t="s">
        <v>2487</v>
      </c>
      <c r="DKA1" s="17" t="s">
        <v>2488</v>
      </c>
      <c r="DKB1" s="17" t="s">
        <v>2489</v>
      </c>
      <c r="DKC1" s="17" t="s">
        <v>2490</v>
      </c>
      <c r="DKD1" s="17" t="s">
        <v>2491</v>
      </c>
      <c r="DKE1" s="17" t="s">
        <v>2492</v>
      </c>
      <c r="DKF1" s="17" t="s">
        <v>2493</v>
      </c>
      <c r="DKG1" s="17" t="s">
        <v>2494</v>
      </c>
      <c r="DKH1" s="17" t="s">
        <v>2495</v>
      </c>
      <c r="DKI1" s="17" t="s">
        <v>2496</v>
      </c>
      <c r="DKJ1" s="17" t="s">
        <v>2497</v>
      </c>
      <c r="DKK1" s="17" t="s">
        <v>2498</v>
      </c>
      <c r="DKL1" s="17" t="s">
        <v>2499</v>
      </c>
      <c r="DKM1" s="17" t="s">
        <v>2500</v>
      </c>
      <c r="DKN1" s="17" t="s">
        <v>2501</v>
      </c>
      <c r="DKO1" s="17" t="s">
        <v>2502</v>
      </c>
      <c r="DKP1" s="17" t="s">
        <v>2503</v>
      </c>
      <c r="DKQ1" s="17" t="s">
        <v>2504</v>
      </c>
      <c r="DKR1" s="17" t="s">
        <v>2505</v>
      </c>
      <c r="DKS1" s="17" t="s">
        <v>2506</v>
      </c>
      <c r="DKT1" s="17" t="s">
        <v>2507</v>
      </c>
      <c r="DKU1" s="17" t="s">
        <v>2508</v>
      </c>
      <c r="DKV1" s="17" t="s">
        <v>2509</v>
      </c>
      <c r="DKW1" s="17" t="s">
        <v>2510</v>
      </c>
      <c r="DKX1" s="17" t="s">
        <v>2511</v>
      </c>
      <c r="DKY1" s="17" t="s">
        <v>2512</v>
      </c>
      <c r="DKZ1" s="17" t="s">
        <v>2513</v>
      </c>
      <c r="DLA1" s="17" t="s">
        <v>2514</v>
      </c>
      <c r="DLB1" s="17" t="s">
        <v>2515</v>
      </c>
      <c r="DLC1" s="17" t="s">
        <v>2516</v>
      </c>
      <c r="DLD1" s="17" t="s">
        <v>2517</v>
      </c>
      <c r="DLE1" s="17" t="s">
        <v>2518</v>
      </c>
      <c r="DLF1" s="17" t="s">
        <v>2519</v>
      </c>
      <c r="DLG1" s="17" t="s">
        <v>2520</v>
      </c>
      <c r="DLH1" s="17" t="s">
        <v>2521</v>
      </c>
      <c r="DLI1" s="17" t="s">
        <v>2522</v>
      </c>
      <c r="DLJ1" s="17" t="s">
        <v>2523</v>
      </c>
      <c r="DLK1" s="17" t="s">
        <v>2524</v>
      </c>
      <c r="DLL1" s="17" t="s">
        <v>2525</v>
      </c>
      <c r="DLM1" s="17" t="s">
        <v>2526</v>
      </c>
      <c r="DLN1" s="17" t="s">
        <v>2527</v>
      </c>
      <c r="DLO1" s="17" t="s">
        <v>2528</v>
      </c>
      <c r="DLP1" s="17" t="s">
        <v>2529</v>
      </c>
      <c r="DLQ1" s="17" t="s">
        <v>2530</v>
      </c>
      <c r="DLR1" s="17" t="s">
        <v>2531</v>
      </c>
      <c r="DLS1" s="17" t="s">
        <v>2532</v>
      </c>
      <c r="DLT1" s="17" t="s">
        <v>2533</v>
      </c>
      <c r="DLU1" s="17" t="s">
        <v>2534</v>
      </c>
      <c r="DLV1" s="17" t="s">
        <v>2535</v>
      </c>
      <c r="DLW1" s="17" t="s">
        <v>2536</v>
      </c>
      <c r="DLX1" s="17" t="s">
        <v>2537</v>
      </c>
      <c r="DLY1" s="17" t="s">
        <v>2538</v>
      </c>
      <c r="DLZ1" s="17" t="s">
        <v>2539</v>
      </c>
      <c r="DMA1" s="17" t="s">
        <v>2540</v>
      </c>
      <c r="DMB1" s="17" t="s">
        <v>2541</v>
      </c>
      <c r="DMC1" s="17" t="s">
        <v>2542</v>
      </c>
      <c r="DMD1" s="17" t="s">
        <v>2543</v>
      </c>
      <c r="DME1" s="17" t="s">
        <v>2544</v>
      </c>
      <c r="DMF1" s="17" t="s">
        <v>2545</v>
      </c>
      <c r="DMG1" s="17" t="s">
        <v>2546</v>
      </c>
      <c r="DMH1" s="17" t="s">
        <v>2547</v>
      </c>
      <c r="DMI1" s="17" t="s">
        <v>2548</v>
      </c>
      <c r="DMJ1" s="17" t="s">
        <v>2549</v>
      </c>
      <c r="DMK1" s="17" t="s">
        <v>2550</v>
      </c>
      <c r="DML1" s="17" t="s">
        <v>2551</v>
      </c>
      <c r="DMM1" s="17" t="s">
        <v>2552</v>
      </c>
      <c r="DMN1" s="17" t="s">
        <v>2553</v>
      </c>
      <c r="DMO1" s="17" t="s">
        <v>2554</v>
      </c>
      <c r="DMP1" s="17" t="s">
        <v>2555</v>
      </c>
      <c r="DMQ1" s="17" t="s">
        <v>2556</v>
      </c>
      <c r="DMR1" s="17" t="s">
        <v>2557</v>
      </c>
      <c r="DMS1" s="17" t="s">
        <v>2558</v>
      </c>
      <c r="DMT1" s="17" t="s">
        <v>2559</v>
      </c>
      <c r="DMU1" s="17" t="s">
        <v>2560</v>
      </c>
      <c r="DMV1" s="17" t="s">
        <v>2561</v>
      </c>
      <c r="DMW1" s="17" t="s">
        <v>2562</v>
      </c>
      <c r="DMX1" s="17" t="s">
        <v>2563</v>
      </c>
      <c r="DMY1" s="17" t="s">
        <v>2564</v>
      </c>
      <c r="DMZ1" s="17" t="s">
        <v>2565</v>
      </c>
      <c r="DNA1" s="17" t="s">
        <v>2566</v>
      </c>
      <c r="DNB1" s="17" t="s">
        <v>2567</v>
      </c>
      <c r="DNC1" s="17" t="s">
        <v>2568</v>
      </c>
      <c r="DND1" s="17" t="s">
        <v>2569</v>
      </c>
      <c r="DNE1" s="17" t="s">
        <v>2570</v>
      </c>
      <c r="DNF1" s="17" t="s">
        <v>2571</v>
      </c>
      <c r="DNG1" s="17" t="s">
        <v>2572</v>
      </c>
      <c r="DNH1" s="17" t="s">
        <v>2573</v>
      </c>
      <c r="DNI1" s="17" t="s">
        <v>2574</v>
      </c>
      <c r="DNJ1" s="17" t="s">
        <v>2575</v>
      </c>
      <c r="DNK1" s="17" t="s">
        <v>2576</v>
      </c>
      <c r="DNL1" s="17" t="s">
        <v>2577</v>
      </c>
      <c r="DNM1" s="17" t="s">
        <v>2578</v>
      </c>
      <c r="DNN1" s="17" t="s">
        <v>2579</v>
      </c>
      <c r="DNO1" s="17" t="s">
        <v>2580</v>
      </c>
      <c r="DNP1" s="17" t="s">
        <v>2581</v>
      </c>
      <c r="DNQ1" s="17" t="s">
        <v>2582</v>
      </c>
      <c r="DNR1" s="17" t="s">
        <v>2583</v>
      </c>
      <c r="DNS1" s="17" t="s">
        <v>2584</v>
      </c>
      <c r="DNT1" s="17" t="s">
        <v>2585</v>
      </c>
      <c r="DNU1" s="17" t="s">
        <v>2586</v>
      </c>
      <c r="DNV1" s="17" t="s">
        <v>2587</v>
      </c>
      <c r="DNW1" s="17" t="s">
        <v>2588</v>
      </c>
      <c r="DNX1" s="17" t="s">
        <v>2589</v>
      </c>
      <c r="DNY1" s="17" t="s">
        <v>2590</v>
      </c>
      <c r="DNZ1" s="17" t="s">
        <v>2591</v>
      </c>
      <c r="DOA1" s="17" t="s">
        <v>2592</v>
      </c>
      <c r="DOB1" s="17" t="s">
        <v>2593</v>
      </c>
      <c r="DOC1" s="17" t="s">
        <v>2594</v>
      </c>
      <c r="DOD1" s="17" t="s">
        <v>2595</v>
      </c>
      <c r="DOE1" s="17" t="s">
        <v>2596</v>
      </c>
      <c r="DOF1" s="17" t="s">
        <v>2597</v>
      </c>
      <c r="DOG1" s="17" t="s">
        <v>2598</v>
      </c>
      <c r="DOH1" s="17" t="s">
        <v>2599</v>
      </c>
      <c r="DOI1" s="17" t="s">
        <v>2600</v>
      </c>
      <c r="DOJ1" s="17" t="s">
        <v>2601</v>
      </c>
      <c r="DOK1" s="17" t="s">
        <v>2602</v>
      </c>
      <c r="DOL1" s="17" t="s">
        <v>2603</v>
      </c>
      <c r="DOM1" s="17" t="s">
        <v>2604</v>
      </c>
      <c r="DON1" s="17" t="s">
        <v>2605</v>
      </c>
      <c r="DOO1" s="17" t="s">
        <v>2606</v>
      </c>
      <c r="DOP1" s="17" t="s">
        <v>2607</v>
      </c>
      <c r="DOQ1" s="17" t="s">
        <v>2608</v>
      </c>
      <c r="DOR1" s="17" t="s">
        <v>2609</v>
      </c>
      <c r="DOS1" s="17" t="s">
        <v>2610</v>
      </c>
      <c r="DOT1" s="17" t="s">
        <v>2611</v>
      </c>
      <c r="DOU1" s="17" t="s">
        <v>2612</v>
      </c>
      <c r="DOV1" s="17" t="s">
        <v>2613</v>
      </c>
      <c r="DOW1" s="17" t="s">
        <v>2614</v>
      </c>
      <c r="DOX1" s="17" t="s">
        <v>2615</v>
      </c>
      <c r="DOY1" s="17" t="s">
        <v>2616</v>
      </c>
      <c r="DOZ1" s="17" t="s">
        <v>2617</v>
      </c>
      <c r="DPA1" s="17" t="s">
        <v>2618</v>
      </c>
      <c r="DPB1" s="17" t="s">
        <v>2619</v>
      </c>
      <c r="DPC1" s="17" t="s">
        <v>2620</v>
      </c>
      <c r="DPD1" s="17" t="s">
        <v>2621</v>
      </c>
      <c r="DPE1" s="17" t="s">
        <v>2622</v>
      </c>
      <c r="DPF1" s="17" t="s">
        <v>2623</v>
      </c>
      <c r="DPG1" s="17" t="s">
        <v>2624</v>
      </c>
      <c r="DPH1" s="17" t="s">
        <v>2625</v>
      </c>
      <c r="DPI1" s="17" t="s">
        <v>2626</v>
      </c>
      <c r="DPJ1" s="17" t="s">
        <v>2627</v>
      </c>
      <c r="DPK1" s="17" t="s">
        <v>2628</v>
      </c>
      <c r="DPL1" s="17" t="s">
        <v>2629</v>
      </c>
      <c r="DPM1" s="17" t="s">
        <v>2630</v>
      </c>
      <c r="DPN1" s="17" t="s">
        <v>2631</v>
      </c>
      <c r="DPO1" s="17" t="s">
        <v>2632</v>
      </c>
      <c r="DPP1" s="17" t="s">
        <v>2633</v>
      </c>
      <c r="DPQ1" s="17" t="s">
        <v>2634</v>
      </c>
      <c r="DPR1" s="17" t="s">
        <v>2635</v>
      </c>
      <c r="DPS1" s="17" t="s">
        <v>2636</v>
      </c>
      <c r="DPT1" s="17" t="s">
        <v>2637</v>
      </c>
      <c r="DPU1" s="17" t="s">
        <v>2638</v>
      </c>
      <c r="DPV1" s="17" t="s">
        <v>2639</v>
      </c>
      <c r="DPW1" s="17" t="s">
        <v>2640</v>
      </c>
      <c r="DPX1" s="17" t="s">
        <v>2641</v>
      </c>
      <c r="DPY1" s="17" t="s">
        <v>2642</v>
      </c>
      <c r="DPZ1" s="17" t="s">
        <v>2643</v>
      </c>
      <c r="DQA1" s="17" t="s">
        <v>2644</v>
      </c>
      <c r="DQB1" s="17" t="s">
        <v>2645</v>
      </c>
      <c r="DQC1" s="17" t="s">
        <v>2646</v>
      </c>
      <c r="DQD1" s="17" t="s">
        <v>2647</v>
      </c>
      <c r="DQE1" s="17" t="s">
        <v>2648</v>
      </c>
      <c r="DQF1" s="17" t="s">
        <v>2649</v>
      </c>
      <c r="DQG1" s="17" t="s">
        <v>2650</v>
      </c>
      <c r="DQH1" s="17" t="s">
        <v>2651</v>
      </c>
      <c r="DQI1" s="17" t="s">
        <v>2652</v>
      </c>
      <c r="DQJ1" s="17" t="s">
        <v>2653</v>
      </c>
      <c r="DQK1" s="17" t="s">
        <v>2654</v>
      </c>
      <c r="DQL1" s="17" t="s">
        <v>2655</v>
      </c>
      <c r="DQM1" s="17" t="s">
        <v>2656</v>
      </c>
      <c r="DQN1" s="17" t="s">
        <v>2657</v>
      </c>
      <c r="DQO1" s="17" t="s">
        <v>2658</v>
      </c>
      <c r="DQP1" s="17" t="s">
        <v>2659</v>
      </c>
      <c r="DQQ1" s="17" t="s">
        <v>2660</v>
      </c>
      <c r="DQR1" s="17" t="s">
        <v>2661</v>
      </c>
      <c r="DQS1" s="17" t="s">
        <v>2662</v>
      </c>
      <c r="DQT1" s="17" t="s">
        <v>2663</v>
      </c>
      <c r="DQU1" s="17" t="s">
        <v>2664</v>
      </c>
      <c r="DQV1" s="17" t="s">
        <v>2665</v>
      </c>
      <c r="DQW1" s="17" t="s">
        <v>2666</v>
      </c>
      <c r="DQX1" s="17" t="s">
        <v>2667</v>
      </c>
      <c r="DQY1" s="17" t="s">
        <v>2668</v>
      </c>
      <c r="DQZ1" s="17" t="s">
        <v>2669</v>
      </c>
      <c r="DRA1" s="17" t="s">
        <v>2670</v>
      </c>
      <c r="DRB1" s="17" t="s">
        <v>2671</v>
      </c>
      <c r="DRC1" s="17" t="s">
        <v>2672</v>
      </c>
      <c r="DRD1" s="17" t="s">
        <v>2673</v>
      </c>
      <c r="DRE1" s="17" t="s">
        <v>2674</v>
      </c>
      <c r="DRF1" s="17" t="s">
        <v>2675</v>
      </c>
      <c r="DRG1" s="17" t="s">
        <v>2676</v>
      </c>
      <c r="DRH1" s="17" t="s">
        <v>2677</v>
      </c>
      <c r="DRI1" s="17" t="s">
        <v>2678</v>
      </c>
      <c r="DRJ1" s="17" t="s">
        <v>2679</v>
      </c>
      <c r="DRK1" s="17" t="s">
        <v>2680</v>
      </c>
      <c r="DRL1" s="17" t="s">
        <v>2681</v>
      </c>
      <c r="DRM1" s="17" t="s">
        <v>2682</v>
      </c>
      <c r="DRN1" s="17" t="s">
        <v>2683</v>
      </c>
      <c r="DRO1" s="17" t="s">
        <v>2684</v>
      </c>
      <c r="DRP1" s="17" t="s">
        <v>2685</v>
      </c>
      <c r="DRQ1" s="17" t="s">
        <v>2686</v>
      </c>
      <c r="DRR1" s="17" t="s">
        <v>2687</v>
      </c>
      <c r="DRS1" s="17" t="s">
        <v>2688</v>
      </c>
      <c r="DRT1" s="17" t="s">
        <v>2689</v>
      </c>
      <c r="DRU1" s="17" t="s">
        <v>2690</v>
      </c>
      <c r="DRV1" s="17" t="s">
        <v>2691</v>
      </c>
      <c r="DRW1" s="17" t="s">
        <v>2692</v>
      </c>
      <c r="DRX1" s="17" t="s">
        <v>2693</v>
      </c>
      <c r="DRY1" s="17" t="s">
        <v>2694</v>
      </c>
      <c r="DRZ1" s="17" t="s">
        <v>2695</v>
      </c>
      <c r="DSA1" s="17" t="s">
        <v>2696</v>
      </c>
      <c r="DSB1" s="17" t="s">
        <v>2697</v>
      </c>
      <c r="DSC1" s="17" t="s">
        <v>2698</v>
      </c>
      <c r="DSD1" s="17" t="s">
        <v>2699</v>
      </c>
      <c r="DSE1" s="17" t="s">
        <v>2700</v>
      </c>
      <c r="DSF1" s="17" t="s">
        <v>2701</v>
      </c>
      <c r="DSG1" s="17" t="s">
        <v>2702</v>
      </c>
      <c r="DSH1" s="17" t="s">
        <v>2703</v>
      </c>
      <c r="DSI1" s="17" t="s">
        <v>2704</v>
      </c>
      <c r="DSJ1" s="17" t="s">
        <v>2705</v>
      </c>
      <c r="DSK1" s="17" t="s">
        <v>2706</v>
      </c>
      <c r="DSL1" s="17" t="s">
        <v>2707</v>
      </c>
      <c r="DSM1" s="17" t="s">
        <v>2708</v>
      </c>
      <c r="DSN1" s="17" t="s">
        <v>2709</v>
      </c>
      <c r="DSO1" s="17" t="s">
        <v>2710</v>
      </c>
      <c r="DSP1" s="17" t="s">
        <v>2711</v>
      </c>
      <c r="DSQ1" s="17" t="s">
        <v>2712</v>
      </c>
      <c r="DSR1" s="17" t="s">
        <v>2713</v>
      </c>
      <c r="DSS1" s="17" t="s">
        <v>2714</v>
      </c>
      <c r="DST1" s="17" t="s">
        <v>2715</v>
      </c>
      <c r="DSU1" s="17" t="s">
        <v>2716</v>
      </c>
      <c r="DSV1" s="17" t="s">
        <v>2717</v>
      </c>
      <c r="DSW1" s="17" t="s">
        <v>2718</v>
      </c>
      <c r="DSX1" s="17" t="s">
        <v>2719</v>
      </c>
      <c r="DSY1" s="17" t="s">
        <v>2720</v>
      </c>
      <c r="DSZ1" s="17" t="s">
        <v>2721</v>
      </c>
      <c r="DTA1" s="17" t="s">
        <v>2722</v>
      </c>
      <c r="DTB1" s="17" t="s">
        <v>2723</v>
      </c>
      <c r="DTC1" s="17" t="s">
        <v>2724</v>
      </c>
      <c r="DTD1" s="17" t="s">
        <v>2725</v>
      </c>
      <c r="DTE1" s="17" t="s">
        <v>2726</v>
      </c>
      <c r="DTF1" s="17" t="s">
        <v>2727</v>
      </c>
      <c r="DTG1" s="17" t="s">
        <v>2728</v>
      </c>
      <c r="DTH1" s="17" t="s">
        <v>2729</v>
      </c>
      <c r="DTI1" s="17" t="s">
        <v>2730</v>
      </c>
      <c r="DTJ1" s="17" t="s">
        <v>2731</v>
      </c>
      <c r="DTK1" s="17" t="s">
        <v>2732</v>
      </c>
      <c r="DTL1" s="17" t="s">
        <v>2733</v>
      </c>
      <c r="DTM1" s="17" t="s">
        <v>2734</v>
      </c>
      <c r="DTN1" s="17" t="s">
        <v>2735</v>
      </c>
      <c r="DTO1" s="17" t="s">
        <v>2736</v>
      </c>
      <c r="DTP1" s="17" t="s">
        <v>2737</v>
      </c>
      <c r="DTQ1" s="17" t="s">
        <v>2738</v>
      </c>
      <c r="DTR1" s="17" t="s">
        <v>2739</v>
      </c>
      <c r="DTS1" s="17" t="s">
        <v>2740</v>
      </c>
      <c r="DTT1" s="17" t="s">
        <v>2741</v>
      </c>
      <c r="DTU1" s="17" t="s">
        <v>2742</v>
      </c>
      <c r="DTV1" s="17" t="s">
        <v>2743</v>
      </c>
      <c r="DTW1" s="17" t="s">
        <v>2744</v>
      </c>
      <c r="DTX1" s="17" t="s">
        <v>2745</v>
      </c>
      <c r="DTY1" s="17" t="s">
        <v>2746</v>
      </c>
      <c r="DTZ1" s="17" t="s">
        <v>2747</v>
      </c>
      <c r="DUA1" s="17" t="s">
        <v>2748</v>
      </c>
      <c r="DUB1" s="17" t="s">
        <v>2749</v>
      </c>
      <c r="DUC1" s="17" t="s">
        <v>2750</v>
      </c>
      <c r="DUD1" s="17" t="s">
        <v>2751</v>
      </c>
      <c r="DUE1" s="17" t="s">
        <v>2752</v>
      </c>
      <c r="DUF1" s="17" t="s">
        <v>2753</v>
      </c>
      <c r="DUG1" s="17" t="s">
        <v>2754</v>
      </c>
      <c r="DUH1" s="17" t="s">
        <v>2755</v>
      </c>
      <c r="DUI1" s="17" t="s">
        <v>2756</v>
      </c>
      <c r="DUJ1" s="17" t="s">
        <v>2757</v>
      </c>
      <c r="DUK1" s="17" t="s">
        <v>2758</v>
      </c>
      <c r="DUL1" s="17" t="s">
        <v>2759</v>
      </c>
      <c r="DUM1" s="17" t="s">
        <v>2760</v>
      </c>
      <c r="DUN1" s="17" t="s">
        <v>2761</v>
      </c>
      <c r="DUO1" s="17" t="s">
        <v>2762</v>
      </c>
      <c r="DUP1" s="17" t="s">
        <v>2763</v>
      </c>
      <c r="DUQ1" s="17" t="s">
        <v>2764</v>
      </c>
      <c r="DUR1" s="17" t="s">
        <v>2765</v>
      </c>
      <c r="DUS1" s="17" t="s">
        <v>2766</v>
      </c>
      <c r="DUT1" s="17" t="s">
        <v>2767</v>
      </c>
      <c r="DUU1" s="17" t="s">
        <v>2768</v>
      </c>
      <c r="DUV1" s="17" t="s">
        <v>2769</v>
      </c>
      <c r="DUW1" s="17" t="s">
        <v>2770</v>
      </c>
      <c r="DUX1" s="17" t="s">
        <v>2771</v>
      </c>
      <c r="DUY1" s="17" t="s">
        <v>2772</v>
      </c>
      <c r="DUZ1" s="17" t="s">
        <v>2773</v>
      </c>
      <c r="DVA1" s="17" t="s">
        <v>2774</v>
      </c>
      <c r="DVB1" s="17" t="s">
        <v>2775</v>
      </c>
      <c r="DVC1" s="17" t="s">
        <v>2776</v>
      </c>
      <c r="DVD1" s="17" t="s">
        <v>2777</v>
      </c>
      <c r="DVE1" s="17" t="s">
        <v>2778</v>
      </c>
      <c r="DVF1" s="17" t="s">
        <v>2779</v>
      </c>
      <c r="DVG1" s="17" t="s">
        <v>2780</v>
      </c>
      <c r="DVH1" s="17" t="s">
        <v>2781</v>
      </c>
      <c r="DVI1" s="17" t="s">
        <v>2782</v>
      </c>
      <c r="DVJ1" s="17" t="s">
        <v>2783</v>
      </c>
      <c r="DVK1" s="17" t="s">
        <v>2784</v>
      </c>
      <c r="DVL1" s="17" t="s">
        <v>2785</v>
      </c>
      <c r="DVM1" s="17" t="s">
        <v>2786</v>
      </c>
      <c r="DVN1" s="17" t="s">
        <v>2787</v>
      </c>
      <c r="DVO1" s="17" t="s">
        <v>2788</v>
      </c>
      <c r="DVP1" s="17" t="s">
        <v>2789</v>
      </c>
      <c r="DVQ1" s="17" t="s">
        <v>2790</v>
      </c>
      <c r="DVR1" s="17" t="s">
        <v>2791</v>
      </c>
      <c r="DVS1" s="17" t="s">
        <v>2792</v>
      </c>
      <c r="DVT1" s="17" t="s">
        <v>2793</v>
      </c>
      <c r="DVU1" s="17" t="s">
        <v>2794</v>
      </c>
      <c r="DVV1" s="17" t="s">
        <v>2795</v>
      </c>
      <c r="DVW1" s="17" t="s">
        <v>2796</v>
      </c>
      <c r="DVX1" s="17" t="s">
        <v>2797</v>
      </c>
      <c r="DVY1" s="17" t="s">
        <v>2798</v>
      </c>
      <c r="DVZ1" s="17" t="s">
        <v>2799</v>
      </c>
      <c r="DWA1" s="17" t="s">
        <v>2800</v>
      </c>
      <c r="DWB1" s="17" t="s">
        <v>2801</v>
      </c>
      <c r="DWC1" s="17" t="s">
        <v>2802</v>
      </c>
      <c r="DWD1" s="17" t="s">
        <v>2803</v>
      </c>
      <c r="DWE1" s="17" t="s">
        <v>2804</v>
      </c>
      <c r="DWF1" s="17" t="s">
        <v>2805</v>
      </c>
      <c r="DWG1" s="17" t="s">
        <v>2806</v>
      </c>
      <c r="DWH1" s="17" t="s">
        <v>2807</v>
      </c>
      <c r="DWI1" s="17" t="s">
        <v>2808</v>
      </c>
      <c r="DWJ1" s="17" t="s">
        <v>2809</v>
      </c>
      <c r="DWK1" s="17" t="s">
        <v>2810</v>
      </c>
      <c r="DWL1" s="17" t="s">
        <v>2811</v>
      </c>
      <c r="DWM1" s="17" t="s">
        <v>2812</v>
      </c>
      <c r="DWN1" s="17" t="s">
        <v>2813</v>
      </c>
      <c r="DWO1" s="17" t="s">
        <v>2814</v>
      </c>
      <c r="DWP1" s="17" t="s">
        <v>2815</v>
      </c>
      <c r="DWQ1" s="17" t="s">
        <v>2816</v>
      </c>
      <c r="DWR1" s="17" t="s">
        <v>2817</v>
      </c>
      <c r="DWS1" s="17" t="s">
        <v>2818</v>
      </c>
      <c r="DWT1" s="17" t="s">
        <v>2819</v>
      </c>
      <c r="DWU1" s="17" t="s">
        <v>2820</v>
      </c>
      <c r="DWV1" s="17" t="s">
        <v>2821</v>
      </c>
      <c r="DWW1" s="17" t="s">
        <v>2822</v>
      </c>
      <c r="DWX1" s="17" t="s">
        <v>2823</v>
      </c>
      <c r="DWY1" s="17" t="s">
        <v>2824</v>
      </c>
      <c r="DWZ1" s="17" t="s">
        <v>2825</v>
      </c>
      <c r="DXA1" s="17" t="s">
        <v>2826</v>
      </c>
      <c r="DXB1" s="17" t="s">
        <v>2827</v>
      </c>
      <c r="DXC1" s="17" t="s">
        <v>2828</v>
      </c>
      <c r="DXD1" s="17" t="s">
        <v>2829</v>
      </c>
      <c r="DXE1" s="17" t="s">
        <v>2830</v>
      </c>
      <c r="DXF1" s="17" t="s">
        <v>2831</v>
      </c>
      <c r="DXG1" s="17" t="s">
        <v>2832</v>
      </c>
      <c r="DXH1" s="17" t="s">
        <v>2833</v>
      </c>
      <c r="DXI1" s="17" t="s">
        <v>2834</v>
      </c>
      <c r="DXJ1" s="17" t="s">
        <v>2835</v>
      </c>
      <c r="DXK1" s="17" t="s">
        <v>2836</v>
      </c>
      <c r="DXL1" s="17" t="s">
        <v>2837</v>
      </c>
      <c r="DXM1" s="17" t="s">
        <v>2838</v>
      </c>
      <c r="DXN1" s="17" t="s">
        <v>2839</v>
      </c>
      <c r="DXO1" s="17" t="s">
        <v>2840</v>
      </c>
      <c r="DXP1" s="17" t="s">
        <v>2841</v>
      </c>
      <c r="DXQ1" s="17" t="s">
        <v>2842</v>
      </c>
      <c r="DXR1" s="17" t="s">
        <v>2843</v>
      </c>
      <c r="DXS1" s="17" t="s">
        <v>2844</v>
      </c>
      <c r="DXT1" s="17" t="s">
        <v>2845</v>
      </c>
      <c r="DXU1" s="17" t="s">
        <v>2846</v>
      </c>
      <c r="DXV1" s="17" t="s">
        <v>2847</v>
      </c>
      <c r="DXW1" s="17" t="s">
        <v>2848</v>
      </c>
      <c r="DXX1" s="17" t="s">
        <v>2849</v>
      </c>
      <c r="DXY1" s="17" t="s">
        <v>2850</v>
      </c>
      <c r="DXZ1" s="17" t="s">
        <v>2851</v>
      </c>
      <c r="DYA1" s="17" t="s">
        <v>2852</v>
      </c>
      <c r="DYB1" s="17" t="s">
        <v>2853</v>
      </c>
      <c r="DYC1" s="17" t="s">
        <v>2854</v>
      </c>
      <c r="DYD1" s="17" t="s">
        <v>2855</v>
      </c>
      <c r="DYE1" s="17" t="s">
        <v>2856</v>
      </c>
      <c r="DYF1" s="17" t="s">
        <v>2857</v>
      </c>
      <c r="DYG1" s="17" t="s">
        <v>2858</v>
      </c>
      <c r="DYH1" s="17" t="s">
        <v>2859</v>
      </c>
      <c r="DYI1" s="17" t="s">
        <v>2860</v>
      </c>
      <c r="DYJ1" s="17" t="s">
        <v>2861</v>
      </c>
      <c r="DYK1" s="17" t="s">
        <v>2862</v>
      </c>
      <c r="DYL1" s="17" t="s">
        <v>2863</v>
      </c>
      <c r="DYM1" s="17" t="s">
        <v>2864</v>
      </c>
      <c r="DYN1" s="17" t="s">
        <v>2865</v>
      </c>
      <c r="DYO1" s="17" t="s">
        <v>2866</v>
      </c>
      <c r="DYP1" s="17" t="s">
        <v>2867</v>
      </c>
      <c r="DYQ1" s="17" t="s">
        <v>2868</v>
      </c>
      <c r="DYR1" s="17" t="s">
        <v>2869</v>
      </c>
      <c r="DYS1" s="17" t="s">
        <v>2870</v>
      </c>
      <c r="DYT1" s="17" t="s">
        <v>2871</v>
      </c>
      <c r="DYU1" s="17" t="s">
        <v>2872</v>
      </c>
      <c r="DYV1" s="17" t="s">
        <v>2873</v>
      </c>
      <c r="DYW1" s="17" t="s">
        <v>2874</v>
      </c>
      <c r="DYX1" s="17" t="s">
        <v>2875</v>
      </c>
      <c r="DYY1" s="17" t="s">
        <v>2876</v>
      </c>
      <c r="DYZ1" s="17" t="s">
        <v>2877</v>
      </c>
      <c r="DZA1" s="17" t="s">
        <v>2878</v>
      </c>
      <c r="DZB1" s="17" t="s">
        <v>2879</v>
      </c>
      <c r="DZC1" s="17" t="s">
        <v>2880</v>
      </c>
      <c r="DZD1" s="17" t="s">
        <v>2881</v>
      </c>
      <c r="DZE1" s="17" t="s">
        <v>2882</v>
      </c>
      <c r="DZF1" s="17" t="s">
        <v>2883</v>
      </c>
      <c r="DZG1" s="17" t="s">
        <v>2884</v>
      </c>
      <c r="DZH1" s="17" t="s">
        <v>2885</v>
      </c>
      <c r="DZI1" s="17" t="s">
        <v>2886</v>
      </c>
      <c r="DZJ1" s="17" t="s">
        <v>2887</v>
      </c>
      <c r="DZK1" s="17" t="s">
        <v>2888</v>
      </c>
      <c r="DZL1" s="17" t="s">
        <v>2889</v>
      </c>
      <c r="DZM1" s="17" t="s">
        <v>2890</v>
      </c>
      <c r="DZN1" s="17" t="s">
        <v>2891</v>
      </c>
      <c r="DZO1" s="17" t="s">
        <v>2892</v>
      </c>
      <c r="DZP1" s="17" t="s">
        <v>2893</v>
      </c>
      <c r="DZQ1" s="17" t="s">
        <v>2894</v>
      </c>
      <c r="DZR1" s="17" t="s">
        <v>2895</v>
      </c>
      <c r="DZS1" s="17" t="s">
        <v>2896</v>
      </c>
      <c r="DZT1" s="17" t="s">
        <v>2897</v>
      </c>
      <c r="DZU1" s="17" t="s">
        <v>2898</v>
      </c>
      <c r="DZV1" s="17" t="s">
        <v>2899</v>
      </c>
      <c r="DZW1" s="17" t="s">
        <v>2900</v>
      </c>
      <c r="DZX1" s="17" t="s">
        <v>2901</v>
      </c>
      <c r="DZY1" s="17" t="s">
        <v>2902</v>
      </c>
      <c r="DZZ1" s="17" t="s">
        <v>2903</v>
      </c>
      <c r="EAA1" s="17" t="s">
        <v>2904</v>
      </c>
      <c r="EAB1" s="17" t="s">
        <v>2905</v>
      </c>
      <c r="EAC1" s="17" t="s">
        <v>2906</v>
      </c>
      <c r="EAD1" s="17" t="s">
        <v>2907</v>
      </c>
      <c r="EAE1" s="17" t="s">
        <v>2908</v>
      </c>
      <c r="EAF1" s="17" t="s">
        <v>2909</v>
      </c>
      <c r="EAG1" s="17" t="s">
        <v>2910</v>
      </c>
      <c r="EAH1" s="17" t="s">
        <v>2911</v>
      </c>
      <c r="EAI1" s="17" t="s">
        <v>2912</v>
      </c>
      <c r="EAJ1" s="17" t="s">
        <v>2913</v>
      </c>
      <c r="EAK1" s="17" t="s">
        <v>2914</v>
      </c>
      <c r="EAL1" s="17" t="s">
        <v>2915</v>
      </c>
      <c r="EAM1" s="17" t="s">
        <v>2916</v>
      </c>
      <c r="EAN1" s="17" t="s">
        <v>2917</v>
      </c>
      <c r="EAO1" s="17" t="s">
        <v>2918</v>
      </c>
      <c r="EAP1" s="17" t="s">
        <v>2919</v>
      </c>
      <c r="EAQ1" s="17" t="s">
        <v>2920</v>
      </c>
      <c r="EAR1" s="17" t="s">
        <v>2921</v>
      </c>
      <c r="EAS1" s="17" t="s">
        <v>2922</v>
      </c>
      <c r="EAT1" s="17" t="s">
        <v>2923</v>
      </c>
      <c r="EAU1" s="17" t="s">
        <v>2924</v>
      </c>
      <c r="EAV1" s="17" t="s">
        <v>2925</v>
      </c>
      <c r="EAW1" s="17" t="s">
        <v>2926</v>
      </c>
      <c r="EAX1" s="17" t="s">
        <v>2927</v>
      </c>
      <c r="EAY1" s="17" t="s">
        <v>2928</v>
      </c>
      <c r="EAZ1" s="17" t="s">
        <v>2929</v>
      </c>
      <c r="EBA1" s="17" t="s">
        <v>2930</v>
      </c>
      <c r="EBB1" s="17" t="s">
        <v>2931</v>
      </c>
      <c r="EBC1" s="17" t="s">
        <v>2932</v>
      </c>
      <c r="EBD1" s="17" t="s">
        <v>2933</v>
      </c>
      <c r="EBE1" s="17" t="s">
        <v>2934</v>
      </c>
      <c r="EBF1" s="17" t="s">
        <v>2935</v>
      </c>
      <c r="EBG1" s="17" t="s">
        <v>2936</v>
      </c>
      <c r="EBH1" s="17" t="s">
        <v>2937</v>
      </c>
      <c r="EBI1" s="17" t="s">
        <v>2938</v>
      </c>
      <c r="EBJ1" s="17" t="s">
        <v>2939</v>
      </c>
      <c r="EBK1" s="17" t="s">
        <v>2940</v>
      </c>
      <c r="EBL1" s="17" t="s">
        <v>2941</v>
      </c>
      <c r="EBM1" s="17" t="s">
        <v>2942</v>
      </c>
      <c r="EBN1" s="17" t="s">
        <v>2943</v>
      </c>
      <c r="EBO1" s="17" t="s">
        <v>2944</v>
      </c>
      <c r="EBP1" s="17" t="s">
        <v>2945</v>
      </c>
      <c r="EBQ1" s="17" t="s">
        <v>2946</v>
      </c>
      <c r="EBR1" s="17" t="s">
        <v>2947</v>
      </c>
      <c r="EBS1" s="17" t="s">
        <v>2948</v>
      </c>
      <c r="EBT1" s="17" t="s">
        <v>2949</v>
      </c>
      <c r="EBU1" s="17" t="s">
        <v>2950</v>
      </c>
      <c r="EBV1" s="17" t="s">
        <v>2951</v>
      </c>
      <c r="EBW1" s="17" t="s">
        <v>2952</v>
      </c>
      <c r="EBX1" s="17" t="s">
        <v>2953</v>
      </c>
      <c r="EBY1" s="17" t="s">
        <v>2954</v>
      </c>
      <c r="EBZ1" s="17" t="s">
        <v>2955</v>
      </c>
      <c r="ECA1" s="17" t="s">
        <v>2956</v>
      </c>
      <c r="ECB1" s="17" t="s">
        <v>2957</v>
      </c>
      <c r="ECC1" s="17" t="s">
        <v>2958</v>
      </c>
      <c r="ECD1" s="17" t="s">
        <v>2959</v>
      </c>
      <c r="ECE1" s="17" t="s">
        <v>2960</v>
      </c>
      <c r="ECF1" s="17" t="s">
        <v>2961</v>
      </c>
      <c r="ECG1" s="17" t="s">
        <v>2962</v>
      </c>
      <c r="ECH1" s="17" t="s">
        <v>2963</v>
      </c>
      <c r="ECI1" s="17" t="s">
        <v>2964</v>
      </c>
      <c r="ECJ1" s="17" t="s">
        <v>2965</v>
      </c>
      <c r="ECK1" s="17" t="s">
        <v>2966</v>
      </c>
      <c r="ECL1" s="17" t="s">
        <v>2967</v>
      </c>
      <c r="ECM1" s="17" t="s">
        <v>2968</v>
      </c>
      <c r="ECN1" s="17" t="s">
        <v>2969</v>
      </c>
      <c r="ECO1" s="17" t="s">
        <v>2970</v>
      </c>
      <c r="ECP1" s="17" t="s">
        <v>2971</v>
      </c>
      <c r="ECQ1" s="17" t="s">
        <v>2972</v>
      </c>
      <c r="ECR1" s="17" t="s">
        <v>2973</v>
      </c>
      <c r="ECS1" s="17" t="s">
        <v>2974</v>
      </c>
      <c r="ECT1" s="17" t="s">
        <v>2975</v>
      </c>
      <c r="ECU1" s="17" t="s">
        <v>2976</v>
      </c>
      <c r="ECV1" s="17" t="s">
        <v>2977</v>
      </c>
      <c r="ECW1" s="17" t="s">
        <v>2978</v>
      </c>
      <c r="ECX1" s="17" t="s">
        <v>2979</v>
      </c>
      <c r="ECY1" s="17" t="s">
        <v>2980</v>
      </c>
      <c r="ECZ1" s="17" t="s">
        <v>2981</v>
      </c>
      <c r="EDA1" s="17" t="s">
        <v>2982</v>
      </c>
      <c r="EDB1" s="17" t="s">
        <v>2983</v>
      </c>
      <c r="EDC1" s="17" t="s">
        <v>2984</v>
      </c>
      <c r="EDD1" s="17" t="s">
        <v>2985</v>
      </c>
      <c r="EDE1" s="17" t="s">
        <v>2986</v>
      </c>
      <c r="EDF1" s="17" t="s">
        <v>2987</v>
      </c>
      <c r="EDG1" s="17" t="s">
        <v>2988</v>
      </c>
      <c r="EDH1" s="17" t="s">
        <v>2989</v>
      </c>
      <c r="EDI1" s="17" t="s">
        <v>2990</v>
      </c>
      <c r="EDJ1" s="17" t="s">
        <v>2991</v>
      </c>
      <c r="EDK1" s="17" t="s">
        <v>2992</v>
      </c>
      <c r="EDL1" s="17" t="s">
        <v>2993</v>
      </c>
      <c r="EDM1" s="17" t="s">
        <v>2994</v>
      </c>
      <c r="EDN1" s="17" t="s">
        <v>2995</v>
      </c>
      <c r="EDO1" s="17" t="s">
        <v>2996</v>
      </c>
      <c r="EDP1" s="17" t="s">
        <v>2997</v>
      </c>
      <c r="EDQ1" s="17" t="s">
        <v>2998</v>
      </c>
      <c r="EDR1" s="17" t="s">
        <v>2999</v>
      </c>
      <c r="EDS1" s="17" t="s">
        <v>3000</v>
      </c>
      <c r="EDT1" s="17" t="s">
        <v>3001</v>
      </c>
      <c r="EDU1" s="17" t="s">
        <v>3002</v>
      </c>
      <c r="EDV1" s="17" t="s">
        <v>3003</v>
      </c>
      <c r="EDW1" s="17" t="s">
        <v>3004</v>
      </c>
      <c r="EDX1" s="17" t="s">
        <v>3005</v>
      </c>
      <c r="EDY1" s="17" t="s">
        <v>3006</v>
      </c>
      <c r="EDZ1" s="17" t="s">
        <v>3007</v>
      </c>
      <c r="EEA1" s="17" t="s">
        <v>3008</v>
      </c>
      <c r="EEB1" s="17" t="s">
        <v>3009</v>
      </c>
      <c r="EEC1" s="17" t="s">
        <v>3010</v>
      </c>
      <c r="EED1" s="17" t="s">
        <v>3011</v>
      </c>
      <c r="EEE1" s="17" t="s">
        <v>3012</v>
      </c>
      <c r="EEF1" s="17" t="s">
        <v>3013</v>
      </c>
      <c r="EEG1" s="17" t="s">
        <v>3014</v>
      </c>
      <c r="EEH1" s="17" t="s">
        <v>3015</v>
      </c>
      <c r="EEI1" s="17" t="s">
        <v>3016</v>
      </c>
      <c r="EEJ1" s="17" t="s">
        <v>3017</v>
      </c>
      <c r="EEK1" s="17" t="s">
        <v>3018</v>
      </c>
      <c r="EEL1" s="17" t="s">
        <v>3019</v>
      </c>
      <c r="EEM1" s="17" t="s">
        <v>3020</v>
      </c>
      <c r="EEN1" s="17" t="s">
        <v>3021</v>
      </c>
      <c r="EEO1" s="17" t="s">
        <v>3022</v>
      </c>
      <c r="EEP1" s="17" t="s">
        <v>3023</v>
      </c>
      <c r="EEQ1" s="17" t="s">
        <v>3024</v>
      </c>
      <c r="EER1" s="17" t="s">
        <v>3025</v>
      </c>
      <c r="EES1" s="17" t="s">
        <v>3026</v>
      </c>
      <c r="EET1" s="17" t="s">
        <v>3027</v>
      </c>
      <c r="EEU1" s="17" t="s">
        <v>3028</v>
      </c>
      <c r="EEV1" s="17" t="s">
        <v>3029</v>
      </c>
      <c r="EEW1" s="17" t="s">
        <v>3030</v>
      </c>
      <c r="EEX1" s="17" t="s">
        <v>3031</v>
      </c>
      <c r="EEY1" s="17" t="s">
        <v>3032</v>
      </c>
      <c r="EEZ1" s="17" t="s">
        <v>3033</v>
      </c>
      <c r="EFA1" s="17" t="s">
        <v>3034</v>
      </c>
      <c r="EFB1" s="17" t="s">
        <v>3035</v>
      </c>
      <c r="EFC1" s="17" t="s">
        <v>3036</v>
      </c>
      <c r="EFD1" s="17" t="s">
        <v>3037</v>
      </c>
      <c r="EFE1" s="17" t="s">
        <v>3038</v>
      </c>
      <c r="EFF1" s="17" t="s">
        <v>3039</v>
      </c>
      <c r="EFG1" s="17" t="s">
        <v>3040</v>
      </c>
      <c r="EFH1" s="17" t="s">
        <v>3041</v>
      </c>
      <c r="EFI1" s="17" t="s">
        <v>3042</v>
      </c>
      <c r="EFJ1" s="17" t="s">
        <v>3043</v>
      </c>
      <c r="EFK1" s="17" t="s">
        <v>3044</v>
      </c>
      <c r="EFL1" s="17" t="s">
        <v>3045</v>
      </c>
      <c r="EFM1" s="17" t="s">
        <v>3046</v>
      </c>
      <c r="EFN1" s="17" t="s">
        <v>3047</v>
      </c>
      <c r="EFO1" s="17" t="s">
        <v>3048</v>
      </c>
      <c r="EFP1" s="17" t="s">
        <v>3049</v>
      </c>
      <c r="EFQ1" s="17" t="s">
        <v>3050</v>
      </c>
      <c r="EFR1" s="17" t="s">
        <v>3051</v>
      </c>
      <c r="EFS1" s="17" t="s">
        <v>3052</v>
      </c>
      <c r="EFT1" s="17" t="s">
        <v>3053</v>
      </c>
      <c r="EFU1" s="17" t="s">
        <v>3054</v>
      </c>
      <c r="EFV1" s="17" t="s">
        <v>3055</v>
      </c>
      <c r="EFW1" s="17" t="s">
        <v>3056</v>
      </c>
      <c r="EFX1" s="17" t="s">
        <v>3057</v>
      </c>
      <c r="EFY1" s="17" t="s">
        <v>3058</v>
      </c>
      <c r="EFZ1" s="17" t="s">
        <v>3059</v>
      </c>
      <c r="EGA1" s="17" t="s">
        <v>3060</v>
      </c>
      <c r="EGB1" s="17" t="s">
        <v>3061</v>
      </c>
      <c r="EGC1" s="17" t="s">
        <v>3062</v>
      </c>
      <c r="EGD1" s="17" t="s">
        <v>3063</v>
      </c>
      <c r="EGE1" s="17" t="s">
        <v>3064</v>
      </c>
      <c r="EGF1" s="17" t="s">
        <v>3065</v>
      </c>
      <c r="EGG1" s="17" t="s">
        <v>3066</v>
      </c>
      <c r="EGH1" s="17" t="s">
        <v>3067</v>
      </c>
      <c r="EGI1" s="17" t="s">
        <v>3068</v>
      </c>
      <c r="EGJ1" s="17" t="s">
        <v>3069</v>
      </c>
      <c r="EGK1" s="17" t="s">
        <v>3070</v>
      </c>
      <c r="EGL1" s="17" t="s">
        <v>3071</v>
      </c>
      <c r="EGM1" s="17" t="s">
        <v>3072</v>
      </c>
      <c r="EGN1" s="17" t="s">
        <v>3073</v>
      </c>
      <c r="EGO1" s="17" t="s">
        <v>3074</v>
      </c>
      <c r="EGP1" s="17" t="s">
        <v>3075</v>
      </c>
      <c r="EGQ1" s="17" t="s">
        <v>3076</v>
      </c>
      <c r="EGR1" s="17" t="s">
        <v>3077</v>
      </c>
      <c r="EGS1" s="17" t="s">
        <v>3078</v>
      </c>
      <c r="EGT1" s="17" t="s">
        <v>3079</v>
      </c>
      <c r="EGU1" s="17" t="s">
        <v>3080</v>
      </c>
      <c r="EGV1" s="17" t="s">
        <v>3081</v>
      </c>
      <c r="EGW1" s="17" t="s">
        <v>3082</v>
      </c>
      <c r="EGX1" s="17" t="s">
        <v>3083</v>
      </c>
      <c r="EGY1" s="17" t="s">
        <v>3084</v>
      </c>
      <c r="EGZ1" s="17" t="s">
        <v>3085</v>
      </c>
      <c r="EHA1" s="17" t="s">
        <v>3086</v>
      </c>
      <c r="EHB1" s="17" t="s">
        <v>3087</v>
      </c>
      <c r="EHC1" s="17" t="s">
        <v>3088</v>
      </c>
      <c r="EHD1" s="17" t="s">
        <v>3089</v>
      </c>
      <c r="EHE1" s="17" t="s">
        <v>3090</v>
      </c>
      <c r="EHF1" s="17" t="s">
        <v>3091</v>
      </c>
      <c r="EHG1" s="17" t="s">
        <v>3092</v>
      </c>
      <c r="EHH1" s="17" t="s">
        <v>3093</v>
      </c>
      <c r="EHI1" s="17" t="s">
        <v>3094</v>
      </c>
      <c r="EHJ1" s="17" t="s">
        <v>3095</v>
      </c>
      <c r="EHK1" s="17" t="s">
        <v>3096</v>
      </c>
      <c r="EHL1" s="17" t="s">
        <v>3097</v>
      </c>
      <c r="EHM1" s="17" t="s">
        <v>3098</v>
      </c>
      <c r="EHN1" s="17" t="s">
        <v>3099</v>
      </c>
      <c r="EHO1" s="17" t="s">
        <v>3100</v>
      </c>
      <c r="EHP1" s="17" t="s">
        <v>3101</v>
      </c>
      <c r="EHQ1" s="17" t="s">
        <v>3102</v>
      </c>
      <c r="EHR1" s="17" t="s">
        <v>3103</v>
      </c>
      <c r="EHS1" s="17" t="s">
        <v>3104</v>
      </c>
      <c r="EHT1" s="17" t="s">
        <v>3105</v>
      </c>
      <c r="EHU1" s="17" t="s">
        <v>3106</v>
      </c>
      <c r="EHV1" s="17" t="s">
        <v>3107</v>
      </c>
      <c r="EHW1" s="17" t="s">
        <v>3108</v>
      </c>
      <c r="EHX1" s="17" t="s">
        <v>3109</v>
      </c>
      <c r="EHY1" s="17" t="s">
        <v>3110</v>
      </c>
      <c r="EHZ1" s="17" t="s">
        <v>3111</v>
      </c>
      <c r="EIA1" s="17" t="s">
        <v>3112</v>
      </c>
      <c r="EIB1" s="17" t="s">
        <v>3113</v>
      </c>
      <c r="EIC1" s="17" t="s">
        <v>3114</v>
      </c>
      <c r="EID1" s="17" t="s">
        <v>3115</v>
      </c>
      <c r="EIE1" s="17" t="s">
        <v>3116</v>
      </c>
      <c r="EIF1" s="17" t="s">
        <v>3117</v>
      </c>
      <c r="EIG1" s="17" t="s">
        <v>3118</v>
      </c>
      <c r="EIH1" s="17" t="s">
        <v>3119</v>
      </c>
      <c r="EII1" s="17" t="s">
        <v>3120</v>
      </c>
      <c r="EIJ1" s="17" t="s">
        <v>3121</v>
      </c>
      <c r="EIK1" s="17" t="s">
        <v>3122</v>
      </c>
      <c r="EIL1" s="17" t="s">
        <v>3123</v>
      </c>
      <c r="EIM1" s="17" t="s">
        <v>3124</v>
      </c>
      <c r="EIN1" s="17" t="s">
        <v>3125</v>
      </c>
      <c r="EIO1" s="17" t="s">
        <v>3126</v>
      </c>
      <c r="EIP1" s="17" t="s">
        <v>3127</v>
      </c>
      <c r="EIQ1" s="17" t="s">
        <v>3128</v>
      </c>
      <c r="EIR1" s="17" t="s">
        <v>3129</v>
      </c>
      <c r="EIS1" s="17" t="s">
        <v>3130</v>
      </c>
      <c r="EIT1" s="17" t="s">
        <v>3131</v>
      </c>
      <c r="EIU1" s="17" t="s">
        <v>3132</v>
      </c>
      <c r="EIV1" s="17" t="s">
        <v>3133</v>
      </c>
      <c r="EIW1" s="17" t="s">
        <v>3134</v>
      </c>
      <c r="EIX1" s="17" t="s">
        <v>3135</v>
      </c>
      <c r="EIY1" s="17" t="s">
        <v>3136</v>
      </c>
      <c r="EIZ1" s="17" t="s">
        <v>3137</v>
      </c>
      <c r="EJA1" s="17" t="s">
        <v>3138</v>
      </c>
      <c r="EJB1" s="17" t="s">
        <v>3139</v>
      </c>
      <c r="EJC1" s="17" t="s">
        <v>3140</v>
      </c>
      <c r="EJD1" s="17" t="s">
        <v>3141</v>
      </c>
      <c r="EJE1" s="17" t="s">
        <v>3142</v>
      </c>
      <c r="EJF1" s="17" t="s">
        <v>3143</v>
      </c>
      <c r="EJG1" s="17" t="s">
        <v>3144</v>
      </c>
      <c r="EJH1" s="17" t="s">
        <v>3145</v>
      </c>
      <c r="EJI1" s="17" t="s">
        <v>3146</v>
      </c>
      <c r="EJJ1" s="17" t="s">
        <v>3147</v>
      </c>
      <c r="EJK1" s="17" t="s">
        <v>3148</v>
      </c>
      <c r="EJL1" s="17" t="s">
        <v>3149</v>
      </c>
      <c r="EJM1" s="17" t="s">
        <v>3150</v>
      </c>
      <c r="EJN1" s="17" t="s">
        <v>3151</v>
      </c>
      <c r="EJO1" s="17" t="s">
        <v>3152</v>
      </c>
      <c r="EJP1" s="17" t="s">
        <v>3153</v>
      </c>
      <c r="EJQ1" s="17" t="s">
        <v>3154</v>
      </c>
      <c r="EJR1" s="17" t="s">
        <v>3155</v>
      </c>
      <c r="EJS1" s="17" t="s">
        <v>3156</v>
      </c>
      <c r="EJT1" s="17" t="s">
        <v>3157</v>
      </c>
      <c r="EJU1" s="17" t="s">
        <v>3158</v>
      </c>
      <c r="EJV1" s="17" t="s">
        <v>3159</v>
      </c>
      <c r="EJW1" s="17" t="s">
        <v>3160</v>
      </c>
      <c r="EJX1" s="17" t="s">
        <v>3161</v>
      </c>
      <c r="EJY1" s="17" t="s">
        <v>3162</v>
      </c>
      <c r="EJZ1" s="17" t="s">
        <v>3163</v>
      </c>
      <c r="EKA1" s="17" t="s">
        <v>3164</v>
      </c>
      <c r="EKB1" s="17" t="s">
        <v>3165</v>
      </c>
      <c r="EKC1" s="17" t="s">
        <v>3166</v>
      </c>
      <c r="EKD1" s="17" t="s">
        <v>3167</v>
      </c>
      <c r="EKE1" s="17" t="s">
        <v>3168</v>
      </c>
      <c r="EKF1" s="17" t="s">
        <v>3169</v>
      </c>
      <c r="EKG1" s="17" t="s">
        <v>3170</v>
      </c>
      <c r="EKH1" s="17" t="s">
        <v>3171</v>
      </c>
      <c r="EKI1" s="17" t="s">
        <v>3172</v>
      </c>
      <c r="EKJ1" s="17" t="s">
        <v>3173</v>
      </c>
      <c r="EKK1" s="17" t="s">
        <v>3174</v>
      </c>
      <c r="EKL1" s="17" t="s">
        <v>3175</v>
      </c>
      <c r="EKM1" s="17" t="s">
        <v>3176</v>
      </c>
      <c r="EKN1" s="17" t="s">
        <v>3177</v>
      </c>
      <c r="EKO1" s="17" t="s">
        <v>3178</v>
      </c>
      <c r="EKP1" s="17" t="s">
        <v>3179</v>
      </c>
      <c r="EKQ1" s="17" t="s">
        <v>3180</v>
      </c>
      <c r="EKR1" s="17" t="s">
        <v>3181</v>
      </c>
      <c r="EKS1" s="17" t="s">
        <v>3182</v>
      </c>
      <c r="EKT1" s="17" t="s">
        <v>3183</v>
      </c>
      <c r="EKU1" s="17" t="s">
        <v>3184</v>
      </c>
      <c r="EKV1" s="17" t="s">
        <v>3185</v>
      </c>
      <c r="EKW1" s="17" t="s">
        <v>3186</v>
      </c>
      <c r="EKX1" s="17" t="s">
        <v>3187</v>
      </c>
      <c r="EKY1" s="17" t="s">
        <v>3188</v>
      </c>
      <c r="EKZ1" s="17" t="s">
        <v>3189</v>
      </c>
      <c r="ELA1" s="17" t="s">
        <v>3190</v>
      </c>
      <c r="ELB1" s="17" t="s">
        <v>3191</v>
      </c>
      <c r="ELC1" s="17" t="s">
        <v>3192</v>
      </c>
      <c r="ELD1" s="17" t="s">
        <v>3193</v>
      </c>
      <c r="ELE1" s="17" t="s">
        <v>3194</v>
      </c>
      <c r="ELF1" s="17" t="s">
        <v>3195</v>
      </c>
      <c r="ELG1" s="17" t="s">
        <v>3196</v>
      </c>
      <c r="ELH1" s="17" t="s">
        <v>3197</v>
      </c>
      <c r="ELI1" s="17" t="s">
        <v>3198</v>
      </c>
      <c r="ELJ1" s="17" t="s">
        <v>3199</v>
      </c>
      <c r="ELK1" s="17" t="s">
        <v>3200</v>
      </c>
      <c r="ELL1" s="17" t="s">
        <v>3201</v>
      </c>
      <c r="ELM1" s="17" t="s">
        <v>3202</v>
      </c>
      <c r="ELN1" s="17" t="s">
        <v>3203</v>
      </c>
      <c r="ELO1" s="17" t="s">
        <v>3204</v>
      </c>
      <c r="ELP1" s="17" t="s">
        <v>3205</v>
      </c>
      <c r="ELQ1" s="17" t="s">
        <v>3206</v>
      </c>
      <c r="ELR1" s="17" t="s">
        <v>3207</v>
      </c>
      <c r="ELS1" s="17" t="s">
        <v>3208</v>
      </c>
      <c r="ELT1" s="17" t="s">
        <v>3209</v>
      </c>
      <c r="ELU1" s="17" t="s">
        <v>3210</v>
      </c>
      <c r="ELV1" s="17" t="s">
        <v>3211</v>
      </c>
      <c r="ELW1" s="17" t="s">
        <v>3212</v>
      </c>
      <c r="ELX1" s="17" t="s">
        <v>3213</v>
      </c>
      <c r="ELY1" s="17" t="s">
        <v>3214</v>
      </c>
      <c r="ELZ1" s="17" t="s">
        <v>3215</v>
      </c>
      <c r="EMA1" s="17" t="s">
        <v>3216</v>
      </c>
      <c r="EMB1" s="17" t="s">
        <v>3217</v>
      </c>
      <c r="EMC1" s="17" t="s">
        <v>3218</v>
      </c>
      <c r="EMD1" s="17" t="s">
        <v>3219</v>
      </c>
      <c r="EME1" s="17" t="s">
        <v>3220</v>
      </c>
      <c r="EMF1" s="17" t="s">
        <v>3221</v>
      </c>
      <c r="EMG1" s="17" t="s">
        <v>3222</v>
      </c>
      <c r="EMH1" s="17" t="s">
        <v>3223</v>
      </c>
      <c r="EMI1" s="17" t="s">
        <v>3224</v>
      </c>
      <c r="EMJ1" s="17" t="s">
        <v>3225</v>
      </c>
      <c r="EMK1" s="17" t="s">
        <v>3226</v>
      </c>
      <c r="EML1" s="17" t="s">
        <v>3227</v>
      </c>
      <c r="EMM1" s="17" t="s">
        <v>3228</v>
      </c>
      <c r="EMN1" s="17" t="s">
        <v>3229</v>
      </c>
      <c r="EMO1" s="17" t="s">
        <v>3230</v>
      </c>
      <c r="EMP1" s="17" t="s">
        <v>3231</v>
      </c>
      <c r="EMQ1" s="17" t="s">
        <v>3232</v>
      </c>
      <c r="EMR1" s="17" t="s">
        <v>3233</v>
      </c>
      <c r="EMS1" s="17" t="s">
        <v>3234</v>
      </c>
      <c r="EMT1" s="17" t="s">
        <v>3235</v>
      </c>
      <c r="EMU1" s="17" t="s">
        <v>3236</v>
      </c>
      <c r="EMV1" s="17" t="s">
        <v>3237</v>
      </c>
      <c r="EMW1" s="17" t="s">
        <v>3238</v>
      </c>
      <c r="EMX1" s="17" t="s">
        <v>3239</v>
      </c>
      <c r="EMY1" s="17" t="s">
        <v>3240</v>
      </c>
      <c r="EMZ1" s="17" t="s">
        <v>3241</v>
      </c>
      <c r="ENA1" s="17" t="s">
        <v>3242</v>
      </c>
      <c r="ENB1" s="17" t="s">
        <v>3243</v>
      </c>
      <c r="ENC1" s="17" t="s">
        <v>3244</v>
      </c>
      <c r="END1" s="17" t="s">
        <v>3245</v>
      </c>
      <c r="ENE1" s="17" t="s">
        <v>3246</v>
      </c>
      <c r="ENF1" s="17" t="s">
        <v>3247</v>
      </c>
      <c r="ENG1" s="17" t="s">
        <v>3248</v>
      </c>
      <c r="ENH1" s="17" t="s">
        <v>3249</v>
      </c>
      <c r="ENI1" s="17" t="s">
        <v>3250</v>
      </c>
      <c r="ENJ1" s="17" t="s">
        <v>3251</v>
      </c>
      <c r="ENK1" s="17" t="s">
        <v>3252</v>
      </c>
      <c r="ENL1" s="17" t="s">
        <v>3253</v>
      </c>
      <c r="ENM1" s="17" t="s">
        <v>3254</v>
      </c>
      <c r="ENN1" s="17" t="s">
        <v>3255</v>
      </c>
      <c r="ENO1" s="17" t="s">
        <v>3256</v>
      </c>
      <c r="ENP1" s="17" t="s">
        <v>3257</v>
      </c>
      <c r="ENQ1" s="17" t="s">
        <v>3258</v>
      </c>
      <c r="ENR1" s="17" t="s">
        <v>3259</v>
      </c>
      <c r="ENS1" s="17" t="s">
        <v>3260</v>
      </c>
      <c r="ENT1" s="17" t="s">
        <v>3261</v>
      </c>
      <c r="ENU1" s="17" t="s">
        <v>3262</v>
      </c>
      <c r="ENV1" s="17" t="s">
        <v>3263</v>
      </c>
      <c r="ENW1" s="17" t="s">
        <v>3264</v>
      </c>
      <c r="ENX1" s="17" t="s">
        <v>3265</v>
      </c>
      <c r="ENY1" s="17" t="s">
        <v>3266</v>
      </c>
      <c r="ENZ1" s="17" t="s">
        <v>3267</v>
      </c>
      <c r="EOA1" s="17" t="s">
        <v>3268</v>
      </c>
      <c r="EOB1" s="17" t="s">
        <v>3269</v>
      </c>
      <c r="EOC1" s="17" t="s">
        <v>3270</v>
      </c>
      <c r="EOD1" s="17" t="s">
        <v>3271</v>
      </c>
      <c r="EOE1" s="17" t="s">
        <v>3272</v>
      </c>
      <c r="EOF1" s="17" t="s">
        <v>3273</v>
      </c>
      <c r="EOG1" s="17" t="s">
        <v>3274</v>
      </c>
      <c r="EOH1" s="17" t="s">
        <v>3275</v>
      </c>
      <c r="EOI1" s="17" t="s">
        <v>3276</v>
      </c>
      <c r="EOJ1" s="17" t="s">
        <v>3277</v>
      </c>
      <c r="EOK1" s="17" t="s">
        <v>3278</v>
      </c>
      <c r="EOL1" s="17" t="s">
        <v>3279</v>
      </c>
      <c r="EOM1" s="17" t="s">
        <v>3280</v>
      </c>
      <c r="EON1" s="17" t="s">
        <v>3281</v>
      </c>
      <c r="EOO1" s="17" t="s">
        <v>3282</v>
      </c>
      <c r="EOP1" s="17" t="s">
        <v>3283</v>
      </c>
      <c r="EOQ1" s="17" t="s">
        <v>3284</v>
      </c>
      <c r="EOR1" s="17" t="s">
        <v>3285</v>
      </c>
      <c r="EOS1" s="17" t="s">
        <v>3286</v>
      </c>
      <c r="EOT1" s="17" t="s">
        <v>3287</v>
      </c>
      <c r="EOU1" s="17" t="s">
        <v>3288</v>
      </c>
      <c r="EOV1" s="17" t="s">
        <v>3289</v>
      </c>
      <c r="EOW1" s="17" t="s">
        <v>3290</v>
      </c>
      <c r="EOX1" s="17" t="s">
        <v>3291</v>
      </c>
      <c r="EOY1" s="17" t="s">
        <v>3292</v>
      </c>
      <c r="EOZ1" s="17" t="s">
        <v>3293</v>
      </c>
      <c r="EPA1" s="17" t="s">
        <v>3294</v>
      </c>
      <c r="EPB1" s="17" t="s">
        <v>3295</v>
      </c>
      <c r="EPC1" s="17" t="s">
        <v>3296</v>
      </c>
      <c r="EPD1" s="17" t="s">
        <v>3297</v>
      </c>
      <c r="EPE1" s="17" t="s">
        <v>3298</v>
      </c>
      <c r="EPF1" s="17" t="s">
        <v>3299</v>
      </c>
      <c r="EPG1" s="17" t="s">
        <v>3300</v>
      </c>
      <c r="EPH1" s="17" t="s">
        <v>3301</v>
      </c>
      <c r="EPI1" s="17" t="s">
        <v>3302</v>
      </c>
      <c r="EPJ1" s="17" t="s">
        <v>3303</v>
      </c>
      <c r="EPK1" s="17" t="s">
        <v>3304</v>
      </c>
      <c r="EPL1" s="17" t="s">
        <v>3305</v>
      </c>
      <c r="EPM1" s="17" t="s">
        <v>3306</v>
      </c>
      <c r="EPN1" s="17" t="s">
        <v>3307</v>
      </c>
      <c r="EPO1" s="17" t="s">
        <v>3308</v>
      </c>
      <c r="EPP1" s="17" t="s">
        <v>3309</v>
      </c>
      <c r="EPQ1" s="17" t="s">
        <v>3310</v>
      </c>
      <c r="EPR1" s="17" t="s">
        <v>3311</v>
      </c>
      <c r="EPS1" s="17" t="s">
        <v>3312</v>
      </c>
      <c r="EPT1" s="17" t="s">
        <v>3313</v>
      </c>
      <c r="EPU1" s="17" t="s">
        <v>3314</v>
      </c>
      <c r="EPV1" s="17" t="s">
        <v>3315</v>
      </c>
      <c r="EPW1" s="17" t="s">
        <v>3316</v>
      </c>
      <c r="EPX1" s="17" t="s">
        <v>3317</v>
      </c>
      <c r="EPY1" s="17" t="s">
        <v>3318</v>
      </c>
      <c r="EPZ1" s="17" t="s">
        <v>3319</v>
      </c>
      <c r="EQA1" s="17" t="s">
        <v>3320</v>
      </c>
      <c r="EQB1" s="17" t="s">
        <v>3321</v>
      </c>
      <c r="EQC1" s="17" t="s">
        <v>3322</v>
      </c>
      <c r="EQD1" s="17" t="s">
        <v>3323</v>
      </c>
      <c r="EQE1" s="17" t="s">
        <v>3324</v>
      </c>
      <c r="EQF1" s="17" t="s">
        <v>3325</v>
      </c>
      <c r="EQG1" s="17" t="s">
        <v>3326</v>
      </c>
      <c r="EQH1" s="17" t="s">
        <v>3327</v>
      </c>
      <c r="EQI1" s="17" t="s">
        <v>3328</v>
      </c>
      <c r="EQJ1" s="17" t="s">
        <v>3329</v>
      </c>
      <c r="EQK1" s="17" t="s">
        <v>3330</v>
      </c>
      <c r="EQL1" s="17" t="s">
        <v>3331</v>
      </c>
      <c r="EQM1" s="17" t="s">
        <v>3332</v>
      </c>
      <c r="EQN1" s="17" t="s">
        <v>3333</v>
      </c>
      <c r="EQO1" s="17" t="s">
        <v>3334</v>
      </c>
      <c r="EQP1" s="17" t="s">
        <v>3335</v>
      </c>
      <c r="EQQ1" s="17" t="s">
        <v>3336</v>
      </c>
      <c r="EQR1" s="17" t="s">
        <v>3337</v>
      </c>
      <c r="EQS1" s="17" t="s">
        <v>3338</v>
      </c>
      <c r="EQT1" s="17" t="s">
        <v>3339</v>
      </c>
      <c r="EQU1" s="17" t="s">
        <v>3340</v>
      </c>
      <c r="EQV1" s="17" t="s">
        <v>3341</v>
      </c>
      <c r="EQW1" s="17" t="s">
        <v>3342</v>
      </c>
      <c r="EQX1" s="17" t="s">
        <v>3343</v>
      </c>
      <c r="EQY1" s="17" t="s">
        <v>3344</v>
      </c>
      <c r="EQZ1" s="17" t="s">
        <v>3345</v>
      </c>
      <c r="ERA1" s="17" t="s">
        <v>3346</v>
      </c>
      <c r="ERB1" s="17" t="s">
        <v>3347</v>
      </c>
      <c r="ERC1" s="17" t="s">
        <v>3348</v>
      </c>
      <c r="ERD1" s="17" t="s">
        <v>3349</v>
      </c>
      <c r="ERE1" s="17" t="s">
        <v>3350</v>
      </c>
      <c r="ERF1" s="17" t="s">
        <v>3351</v>
      </c>
      <c r="ERG1" s="17" t="s">
        <v>3352</v>
      </c>
      <c r="ERH1" s="17" t="s">
        <v>3353</v>
      </c>
      <c r="ERI1" s="17" t="s">
        <v>3354</v>
      </c>
      <c r="ERJ1" s="17" t="s">
        <v>3355</v>
      </c>
      <c r="ERK1" s="17" t="s">
        <v>3356</v>
      </c>
      <c r="ERL1" s="17" t="s">
        <v>3357</v>
      </c>
      <c r="ERM1" s="17" t="s">
        <v>3358</v>
      </c>
      <c r="ERN1" s="17" t="s">
        <v>3359</v>
      </c>
      <c r="ERO1" s="17" t="s">
        <v>3360</v>
      </c>
      <c r="ERP1" s="17" t="s">
        <v>3361</v>
      </c>
      <c r="ERQ1" s="17" t="s">
        <v>3362</v>
      </c>
      <c r="ERR1" s="17" t="s">
        <v>3363</v>
      </c>
      <c r="ERS1" s="17" t="s">
        <v>3364</v>
      </c>
      <c r="ERT1" s="17" t="s">
        <v>3365</v>
      </c>
      <c r="ERU1" s="17" t="s">
        <v>3366</v>
      </c>
      <c r="ERV1" s="17" t="s">
        <v>3367</v>
      </c>
      <c r="ERW1" s="17" t="s">
        <v>3368</v>
      </c>
      <c r="ERX1" s="17" t="s">
        <v>3369</v>
      </c>
      <c r="ERY1" s="17" t="s">
        <v>3370</v>
      </c>
      <c r="ERZ1" s="17" t="s">
        <v>3371</v>
      </c>
      <c r="ESA1" s="17" t="s">
        <v>3372</v>
      </c>
      <c r="ESB1" s="17" t="s">
        <v>3373</v>
      </c>
      <c r="ESC1" s="17" t="s">
        <v>3374</v>
      </c>
      <c r="ESD1" s="17" t="s">
        <v>3375</v>
      </c>
      <c r="ESE1" s="17" t="s">
        <v>3376</v>
      </c>
      <c r="ESF1" s="17" t="s">
        <v>3377</v>
      </c>
      <c r="ESG1" s="17" t="s">
        <v>3378</v>
      </c>
      <c r="ESH1" s="17" t="s">
        <v>3379</v>
      </c>
      <c r="ESI1" s="17" t="s">
        <v>3380</v>
      </c>
      <c r="ESJ1" s="17" t="s">
        <v>3381</v>
      </c>
      <c r="ESK1" s="17" t="s">
        <v>3382</v>
      </c>
      <c r="ESL1" s="17" t="s">
        <v>3383</v>
      </c>
      <c r="ESM1" s="17" t="s">
        <v>3384</v>
      </c>
      <c r="ESN1" s="17" t="s">
        <v>3385</v>
      </c>
      <c r="ESO1" s="17" t="s">
        <v>3386</v>
      </c>
      <c r="ESP1" s="17" t="s">
        <v>3387</v>
      </c>
      <c r="ESQ1" s="17" t="s">
        <v>3388</v>
      </c>
      <c r="ESR1" s="17" t="s">
        <v>3389</v>
      </c>
      <c r="ESS1" s="17" t="s">
        <v>3390</v>
      </c>
      <c r="EST1" s="17" t="s">
        <v>3391</v>
      </c>
      <c r="ESU1" s="17" t="s">
        <v>3392</v>
      </c>
      <c r="ESV1" s="17" t="s">
        <v>3393</v>
      </c>
      <c r="ESW1" s="17" t="s">
        <v>3394</v>
      </c>
      <c r="ESX1" s="17" t="s">
        <v>3395</v>
      </c>
      <c r="ESY1" s="17" t="s">
        <v>3396</v>
      </c>
      <c r="ESZ1" s="17" t="s">
        <v>3397</v>
      </c>
      <c r="ETA1" s="17" t="s">
        <v>3398</v>
      </c>
      <c r="ETB1" s="17" t="s">
        <v>3399</v>
      </c>
      <c r="ETC1" s="17" t="s">
        <v>3400</v>
      </c>
      <c r="ETD1" s="17" t="s">
        <v>3401</v>
      </c>
      <c r="ETE1" s="17" t="s">
        <v>3402</v>
      </c>
      <c r="ETF1" s="17" t="s">
        <v>3403</v>
      </c>
      <c r="ETG1" s="17" t="s">
        <v>3404</v>
      </c>
      <c r="ETH1" s="17" t="s">
        <v>3405</v>
      </c>
      <c r="ETI1" s="17" t="s">
        <v>3406</v>
      </c>
      <c r="ETJ1" s="17" t="s">
        <v>3407</v>
      </c>
      <c r="ETK1" s="17" t="s">
        <v>3408</v>
      </c>
      <c r="ETL1" s="17" t="s">
        <v>3409</v>
      </c>
      <c r="ETM1" s="17" t="s">
        <v>3410</v>
      </c>
      <c r="ETN1" s="17" t="s">
        <v>3411</v>
      </c>
      <c r="ETO1" s="17" t="s">
        <v>3412</v>
      </c>
      <c r="ETP1" s="17" t="s">
        <v>3413</v>
      </c>
      <c r="ETQ1" s="17" t="s">
        <v>3414</v>
      </c>
      <c r="ETR1" s="17" t="s">
        <v>3415</v>
      </c>
      <c r="ETS1" s="17" t="s">
        <v>3416</v>
      </c>
      <c r="ETT1" s="17" t="s">
        <v>3417</v>
      </c>
      <c r="ETU1" s="17" t="s">
        <v>3418</v>
      </c>
      <c r="ETV1" s="17" t="s">
        <v>3419</v>
      </c>
      <c r="ETW1" s="17" t="s">
        <v>3420</v>
      </c>
      <c r="ETX1" s="17" t="s">
        <v>3421</v>
      </c>
      <c r="ETY1" s="17" t="s">
        <v>3422</v>
      </c>
      <c r="ETZ1" s="17" t="s">
        <v>3423</v>
      </c>
      <c r="EUA1" s="17" t="s">
        <v>3424</v>
      </c>
      <c r="EUB1" s="17" t="s">
        <v>3425</v>
      </c>
      <c r="EUC1" s="17" t="s">
        <v>3426</v>
      </c>
      <c r="EUD1" s="17" t="s">
        <v>3427</v>
      </c>
      <c r="EUE1" s="17" t="s">
        <v>3428</v>
      </c>
      <c r="EUF1" s="17" t="s">
        <v>3429</v>
      </c>
      <c r="EUG1" s="17" t="s">
        <v>3430</v>
      </c>
      <c r="EUH1" s="17" t="s">
        <v>3431</v>
      </c>
      <c r="EUI1" s="17" t="s">
        <v>3432</v>
      </c>
      <c r="EUJ1" s="17" t="s">
        <v>3433</v>
      </c>
      <c r="EUK1" s="17" t="s">
        <v>3434</v>
      </c>
      <c r="EUL1" s="17" t="s">
        <v>3435</v>
      </c>
      <c r="EUM1" s="17" t="s">
        <v>3436</v>
      </c>
      <c r="EUN1" s="17" t="s">
        <v>3437</v>
      </c>
      <c r="EUO1" s="17" t="s">
        <v>3438</v>
      </c>
      <c r="EUP1" s="17" t="s">
        <v>3439</v>
      </c>
      <c r="EUQ1" s="17" t="s">
        <v>3440</v>
      </c>
      <c r="EUR1" s="17" t="s">
        <v>3441</v>
      </c>
      <c r="EUS1" s="17" t="s">
        <v>3442</v>
      </c>
      <c r="EUT1" s="17" t="s">
        <v>3443</v>
      </c>
      <c r="EUU1" s="17" t="s">
        <v>3444</v>
      </c>
      <c r="EUV1" s="17" t="s">
        <v>3445</v>
      </c>
      <c r="EUW1" s="17" t="s">
        <v>3446</v>
      </c>
      <c r="EUX1" s="17" t="s">
        <v>3447</v>
      </c>
      <c r="EUY1" s="17" t="s">
        <v>3448</v>
      </c>
      <c r="EUZ1" s="17" t="s">
        <v>3449</v>
      </c>
      <c r="EVA1" s="17" t="s">
        <v>3450</v>
      </c>
      <c r="EVB1" s="17" t="s">
        <v>3451</v>
      </c>
      <c r="EVC1" s="17" t="s">
        <v>3452</v>
      </c>
      <c r="EVD1" s="17" t="s">
        <v>3453</v>
      </c>
      <c r="EVE1" s="17" t="s">
        <v>3454</v>
      </c>
      <c r="EVF1" s="17" t="s">
        <v>3455</v>
      </c>
      <c r="EVG1" s="17" t="s">
        <v>3456</v>
      </c>
      <c r="EVH1" s="17" t="s">
        <v>3457</v>
      </c>
      <c r="EVI1" s="17" t="s">
        <v>3458</v>
      </c>
      <c r="EVJ1" s="17" t="s">
        <v>3459</v>
      </c>
      <c r="EVK1" s="17" t="s">
        <v>3460</v>
      </c>
      <c r="EVL1" s="17" t="s">
        <v>3461</v>
      </c>
      <c r="EVM1" s="17" t="s">
        <v>3462</v>
      </c>
      <c r="EVN1" s="17" t="s">
        <v>3463</v>
      </c>
      <c r="EVO1" s="17" t="s">
        <v>3464</v>
      </c>
      <c r="EVP1" s="17" t="s">
        <v>3465</v>
      </c>
      <c r="EVQ1" s="17" t="s">
        <v>3466</v>
      </c>
      <c r="EVR1" s="17" t="s">
        <v>3467</v>
      </c>
      <c r="EVS1" s="17" t="s">
        <v>3468</v>
      </c>
      <c r="EVT1" s="17" t="s">
        <v>3469</v>
      </c>
      <c r="EVU1" s="17" t="s">
        <v>3470</v>
      </c>
      <c r="EVV1" s="17" t="s">
        <v>3471</v>
      </c>
      <c r="EVW1" s="17" t="s">
        <v>3472</v>
      </c>
      <c r="EVX1" s="17" t="s">
        <v>3473</v>
      </c>
      <c r="EVY1" s="17" t="s">
        <v>3474</v>
      </c>
      <c r="EVZ1" s="17" t="s">
        <v>3475</v>
      </c>
      <c r="EWA1" s="17" t="s">
        <v>3476</v>
      </c>
      <c r="EWB1" s="17" t="s">
        <v>3477</v>
      </c>
      <c r="EWC1" s="17" t="s">
        <v>3478</v>
      </c>
      <c r="EWD1" s="17" t="s">
        <v>3479</v>
      </c>
      <c r="EWE1" s="17" t="s">
        <v>3480</v>
      </c>
      <c r="EWF1" s="17" t="s">
        <v>3481</v>
      </c>
      <c r="EWG1" s="17" t="s">
        <v>3482</v>
      </c>
      <c r="EWH1" s="17" t="s">
        <v>3483</v>
      </c>
      <c r="EWI1" s="17" t="s">
        <v>3484</v>
      </c>
      <c r="EWJ1" s="17" t="s">
        <v>3485</v>
      </c>
      <c r="EWK1" s="17" t="s">
        <v>3486</v>
      </c>
      <c r="EWL1" s="17" t="s">
        <v>3487</v>
      </c>
      <c r="EWM1" s="17" t="s">
        <v>3488</v>
      </c>
      <c r="EWN1" s="17" t="s">
        <v>3489</v>
      </c>
      <c r="EWO1" s="17" t="s">
        <v>3490</v>
      </c>
      <c r="EWP1" s="17" t="s">
        <v>3491</v>
      </c>
      <c r="EWQ1" s="17" t="s">
        <v>3492</v>
      </c>
      <c r="EWR1" s="17" t="s">
        <v>3493</v>
      </c>
      <c r="EWS1" s="17" t="s">
        <v>3494</v>
      </c>
      <c r="EWT1" s="17" t="s">
        <v>3495</v>
      </c>
      <c r="EWU1" s="17" t="s">
        <v>3496</v>
      </c>
      <c r="EWV1" s="17" t="s">
        <v>3497</v>
      </c>
      <c r="EWW1" s="17" t="s">
        <v>3498</v>
      </c>
      <c r="EWX1" s="17" t="s">
        <v>3499</v>
      </c>
      <c r="EWY1" s="17" t="s">
        <v>3500</v>
      </c>
      <c r="EWZ1" s="17" t="s">
        <v>3501</v>
      </c>
      <c r="EXA1" s="17" t="s">
        <v>3502</v>
      </c>
      <c r="EXB1" s="17" t="s">
        <v>3503</v>
      </c>
      <c r="EXC1" s="17" t="s">
        <v>3504</v>
      </c>
      <c r="EXD1" s="17" t="s">
        <v>3505</v>
      </c>
      <c r="EXE1" s="17" t="s">
        <v>3506</v>
      </c>
      <c r="EXF1" s="17" t="s">
        <v>3507</v>
      </c>
      <c r="EXG1" s="17" t="s">
        <v>3508</v>
      </c>
      <c r="EXH1" s="17" t="s">
        <v>3509</v>
      </c>
      <c r="EXI1" s="17" t="s">
        <v>3510</v>
      </c>
      <c r="EXJ1" s="17" t="s">
        <v>3511</v>
      </c>
      <c r="EXK1" s="17" t="s">
        <v>3512</v>
      </c>
      <c r="EXL1" s="17" t="s">
        <v>3513</v>
      </c>
      <c r="EXM1" s="17" t="s">
        <v>3514</v>
      </c>
      <c r="EXN1" s="17" t="s">
        <v>3515</v>
      </c>
      <c r="EXO1" s="17" t="s">
        <v>3516</v>
      </c>
      <c r="EXP1" s="17" t="s">
        <v>3517</v>
      </c>
      <c r="EXQ1" s="17" t="s">
        <v>3518</v>
      </c>
      <c r="EXR1" s="17" t="s">
        <v>3519</v>
      </c>
      <c r="EXS1" s="17" t="s">
        <v>3520</v>
      </c>
      <c r="EXT1" s="17" t="s">
        <v>3521</v>
      </c>
      <c r="EXU1" s="17" t="s">
        <v>3522</v>
      </c>
      <c r="EXV1" s="17" t="s">
        <v>3523</v>
      </c>
      <c r="EXW1" s="17" t="s">
        <v>3524</v>
      </c>
      <c r="EXX1" s="17" t="s">
        <v>3525</v>
      </c>
      <c r="EXY1" s="17" t="s">
        <v>3526</v>
      </c>
      <c r="EXZ1" s="17" t="s">
        <v>3527</v>
      </c>
      <c r="EYA1" s="17" t="s">
        <v>3528</v>
      </c>
      <c r="EYB1" s="17" t="s">
        <v>3529</v>
      </c>
      <c r="EYC1" s="17" t="s">
        <v>3530</v>
      </c>
      <c r="EYD1" s="17" t="s">
        <v>3531</v>
      </c>
      <c r="EYE1" s="17" t="s">
        <v>3532</v>
      </c>
      <c r="EYF1" s="17" t="s">
        <v>3533</v>
      </c>
      <c r="EYG1" s="17" t="s">
        <v>3534</v>
      </c>
      <c r="EYH1" s="17" t="s">
        <v>3535</v>
      </c>
      <c r="EYI1" s="17" t="s">
        <v>3536</v>
      </c>
      <c r="EYJ1" s="17" t="s">
        <v>3537</v>
      </c>
      <c r="EYK1" s="17" t="s">
        <v>3538</v>
      </c>
      <c r="EYL1" s="17" t="s">
        <v>3539</v>
      </c>
      <c r="EYM1" s="17" t="s">
        <v>3540</v>
      </c>
      <c r="EYN1" s="17" t="s">
        <v>3541</v>
      </c>
      <c r="EYO1" s="17" t="s">
        <v>3542</v>
      </c>
      <c r="EYP1" s="17" t="s">
        <v>3543</v>
      </c>
      <c r="EYQ1" s="17" t="s">
        <v>3544</v>
      </c>
      <c r="EYR1" s="17" t="s">
        <v>3545</v>
      </c>
      <c r="EYS1" s="17" t="s">
        <v>3546</v>
      </c>
      <c r="EYT1" s="17" t="s">
        <v>3547</v>
      </c>
      <c r="EYU1" s="17" t="s">
        <v>3548</v>
      </c>
      <c r="EYV1" s="17" t="s">
        <v>3549</v>
      </c>
      <c r="EYW1" s="17" t="s">
        <v>3550</v>
      </c>
      <c r="EYX1" s="17" t="s">
        <v>3551</v>
      </c>
      <c r="EYY1" s="17" t="s">
        <v>3552</v>
      </c>
      <c r="EYZ1" s="17" t="s">
        <v>3553</v>
      </c>
      <c r="EZA1" s="17" t="s">
        <v>3554</v>
      </c>
      <c r="EZB1" s="17" t="s">
        <v>3555</v>
      </c>
      <c r="EZC1" s="17" t="s">
        <v>3556</v>
      </c>
      <c r="EZD1" s="17" t="s">
        <v>3557</v>
      </c>
      <c r="EZE1" s="17" t="s">
        <v>3558</v>
      </c>
      <c r="EZF1" s="17" t="s">
        <v>3559</v>
      </c>
      <c r="EZG1" s="17" t="s">
        <v>3560</v>
      </c>
      <c r="EZH1" s="17" t="s">
        <v>3561</v>
      </c>
      <c r="EZI1" s="17" t="s">
        <v>3562</v>
      </c>
      <c r="EZJ1" s="17" t="s">
        <v>3563</v>
      </c>
      <c r="EZK1" s="17" t="s">
        <v>3564</v>
      </c>
      <c r="EZL1" s="17" t="s">
        <v>3565</v>
      </c>
      <c r="EZM1" s="17" t="s">
        <v>3566</v>
      </c>
      <c r="EZN1" s="17" t="s">
        <v>3567</v>
      </c>
      <c r="EZO1" s="17" t="s">
        <v>3568</v>
      </c>
      <c r="EZP1" s="17" t="s">
        <v>3569</v>
      </c>
      <c r="EZQ1" s="17" t="s">
        <v>3570</v>
      </c>
      <c r="EZR1" s="17" t="s">
        <v>3571</v>
      </c>
      <c r="EZS1" s="17" t="s">
        <v>3572</v>
      </c>
      <c r="EZT1" s="17" t="s">
        <v>3573</v>
      </c>
      <c r="EZU1" s="17" t="s">
        <v>3574</v>
      </c>
      <c r="EZV1" s="17" t="s">
        <v>3575</v>
      </c>
      <c r="EZW1" s="17" t="s">
        <v>3576</v>
      </c>
      <c r="EZX1" s="17" t="s">
        <v>3577</v>
      </c>
      <c r="EZY1" s="17" t="s">
        <v>3578</v>
      </c>
      <c r="EZZ1" s="17" t="s">
        <v>3579</v>
      </c>
      <c r="FAA1" s="17" t="s">
        <v>3580</v>
      </c>
      <c r="FAB1" s="17" t="s">
        <v>3581</v>
      </c>
      <c r="FAC1" s="17" t="s">
        <v>3582</v>
      </c>
      <c r="FAD1" s="17" t="s">
        <v>3583</v>
      </c>
      <c r="FAE1" s="17" t="s">
        <v>3584</v>
      </c>
      <c r="FAF1" s="17" t="s">
        <v>3585</v>
      </c>
      <c r="FAG1" s="17" t="s">
        <v>3586</v>
      </c>
      <c r="FAH1" s="17" t="s">
        <v>3587</v>
      </c>
      <c r="FAI1" s="17" t="s">
        <v>3588</v>
      </c>
      <c r="FAJ1" s="17" t="s">
        <v>3589</v>
      </c>
      <c r="FAK1" s="17" t="s">
        <v>3590</v>
      </c>
      <c r="FAL1" s="17" t="s">
        <v>3591</v>
      </c>
      <c r="FAM1" s="17" t="s">
        <v>3592</v>
      </c>
      <c r="FAN1" s="17" t="s">
        <v>3593</v>
      </c>
      <c r="FAO1" s="17" t="s">
        <v>3594</v>
      </c>
      <c r="FAP1" s="17" t="s">
        <v>3595</v>
      </c>
      <c r="FAQ1" s="17" t="s">
        <v>3596</v>
      </c>
      <c r="FAR1" s="17" t="s">
        <v>3597</v>
      </c>
      <c r="FAS1" s="17" t="s">
        <v>3598</v>
      </c>
      <c r="FAT1" s="17" t="s">
        <v>3599</v>
      </c>
      <c r="FAU1" s="17" t="s">
        <v>3600</v>
      </c>
      <c r="FAV1" s="17" t="s">
        <v>3601</v>
      </c>
      <c r="FAW1" s="17" t="s">
        <v>3602</v>
      </c>
      <c r="FAX1" s="17" t="s">
        <v>3603</v>
      </c>
      <c r="FAY1" s="17" t="s">
        <v>3604</v>
      </c>
      <c r="FAZ1" s="17" t="s">
        <v>3605</v>
      </c>
      <c r="FBA1" s="17" t="s">
        <v>3606</v>
      </c>
      <c r="FBB1" s="17" t="s">
        <v>3607</v>
      </c>
      <c r="FBC1" s="17" t="s">
        <v>3608</v>
      </c>
      <c r="FBD1" s="17" t="s">
        <v>3609</v>
      </c>
      <c r="FBE1" s="17" t="s">
        <v>3610</v>
      </c>
      <c r="FBF1" s="17" t="s">
        <v>3611</v>
      </c>
      <c r="FBG1" s="17" t="s">
        <v>3612</v>
      </c>
      <c r="FBH1" s="17" t="s">
        <v>3613</v>
      </c>
      <c r="FBI1" s="17" t="s">
        <v>3614</v>
      </c>
      <c r="FBJ1" s="17" t="s">
        <v>3615</v>
      </c>
      <c r="FBK1" s="17" t="s">
        <v>3616</v>
      </c>
      <c r="FBL1" s="17" t="s">
        <v>3617</v>
      </c>
      <c r="FBM1" s="17" t="s">
        <v>3618</v>
      </c>
      <c r="FBN1" s="17" t="s">
        <v>3619</v>
      </c>
      <c r="FBO1" s="17" t="s">
        <v>3620</v>
      </c>
      <c r="FBP1" s="17" t="s">
        <v>3621</v>
      </c>
      <c r="FBQ1" s="17" t="s">
        <v>3622</v>
      </c>
      <c r="FBR1" s="17" t="s">
        <v>3623</v>
      </c>
      <c r="FBS1" s="17" t="s">
        <v>3624</v>
      </c>
      <c r="FBT1" s="17" t="s">
        <v>3625</v>
      </c>
      <c r="FBU1" s="17" t="s">
        <v>3626</v>
      </c>
      <c r="FBV1" s="17" t="s">
        <v>3627</v>
      </c>
      <c r="FBW1" s="17" t="s">
        <v>3628</v>
      </c>
      <c r="FBX1" s="17" t="s">
        <v>3629</v>
      </c>
      <c r="FBY1" s="17" t="s">
        <v>3630</v>
      </c>
      <c r="FBZ1" s="17" t="s">
        <v>3631</v>
      </c>
      <c r="FCA1" s="17" t="s">
        <v>3632</v>
      </c>
      <c r="FCB1" s="17" t="s">
        <v>3633</v>
      </c>
      <c r="FCC1" s="17" t="s">
        <v>3634</v>
      </c>
      <c r="FCD1" s="17" t="s">
        <v>3635</v>
      </c>
      <c r="FCE1" s="17" t="s">
        <v>3636</v>
      </c>
      <c r="FCF1" s="17" t="s">
        <v>3637</v>
      </c>
      <c r="FCG1" s="17" t="s">
        <v>3638</v>
      </c>
      <c r="FCH1" s="17" t="s">
        <v>3639</v>
      </c>
      <c r="FCI1" s="17" t="s">
        <v>3640</v>
      </c>
      <c r="FCJ1" s="17" t="s">
        <v>3641</v>
      </c>
      <c r="FCK1" s="17" t="s">
        <v>3642</v>
      </c>
      <c r="FCL1" s="17" t="s">
        <v>3643</v>
      </c>
      <c r="FCM1" s="17" t="s">
        <v>3644</v>
      </c>
      <c r="FCN1" s="17" t="s">
        <v>3645</v>
      </c>
      <c r="FCO1" s="17" t="s">
        <v>3646</v>
      </c>
      <c r="FCP1" s="17" t="s">
        <v>3647</v>
      </c>
      <c r="FCQ1" s="17" t="s">
        <v>3648</v>
      </c>
      <c r="FCR1" s="17" t="s">
        <v>3649</v>
      </c>
      <c r="FCS1" s="17" t="s">
        <v>3650</v>
      </c>
      <c r="FCT1" s="17" t="s">
        <v>3651</v>
      </c>
      <c r="FCU1" s="17" t="s">
        <v>3652</v>
      </c>
      <c r="FCV1" s="17" t="s">
        <v>3653</v>
      </c>
      <c r="FCW1" s="17" t="s">
        <v>3654</v>
      </c>
      <c r="FCX1" s="17" t="s">
        <v>3655</v>
      </c>
      <c r="FCY1" s="17" t="s">
        <v>3656</v>
      </c>
      <c r="FCZ1" s="17" t="s">
        <v>3657</v>
      </c>
      <c r="FDA1" s="17" t="s">
        <v>3658</v>
      </c>
      <c r="FDB1" s="17" t="s">
        <v>3659</v>
      </c>
      <c r="FDC1" s="17" t="s">
        <v>3660</v>
      </c>
      <c r="FDD1" s="17" t="s">
        <v>3661</v>
      </c>
      <c r="FDE1" s="17" t="s">
        <v>3662</v>
      </c>
      <c r="FDF1" s="17" t="s">
        <v>3663</v>
      </c>
      <c r="FDG1" s="17" t="s">
        <v>3664</v>
      </c>
      <c r="FDH1" s="17" t="s">
        <v>3665</v>
      </c>
      <c r="FDI1" s="17" t="s">
        <v>3666</v>
      </c>
      <c r="FDJ1" s="17" t="s">
        <v>3667</v>
      </c>
      <c r="FDK1" s="17" t="s">
        <v>3668</v>
      </c>
      <c r="FDL1" s="17" t="s">
        <v>3669</v>
      </c>
      <c r="FDM1" s="17" t="s">
        <v>3670</v>
      </c>
      <c r="FDN1" s="17" t="s">
        <v>3671</v>
      </c>
      <c r="FDO1" s="17" t="s">
        <v>3672</v>
      </c>
      <c r="FDP1" s="17" t="s">
        <v>3673</v>
      </c>
      <c r="FDQ1" s="17" t="s">
        <v>3674</v>
      </c>
      <c r="FDR1" s="17" t="s">
        <v>3675</v>
      </c>
      <c r="FDS1" s="17" t="s">
        <v>3676</v>
      </c>
      <c r="FDT1" s="17" t="s">
        <v>3677</v>
      </c>
      <c r="FDU1" s="17" t="s">
        <v>3678</v>
      </c>
      <c r="FDV1" s="17" t="s">
        <v>3679</v>
      </c>
      <c r="FDW1" s="17" t="s">
        <v>3680</v>
      </c>
      <c r="FDX1" s="17" t="s">
        <v>3681</v>
      </c>
      <c r="FDY1" s="17" t="s">
        <v>3682</v>
      </c>
      <c r="FDZ1" s="17" t="s">
        <v>3683</v>
      </c>
      <c r="FEA1" s="17" t="s">
        <v>3684</v>
      </c>
      <c r="FEB1" s="17" t="s">
        <v>3685</v>
      </c>
      <c r="FEC1" s="17" t="s">
        <v>3686</v>
      </c>
      <c r="FED1" s="17" t="s">
        <v>3687</v>
      </c>
      <c r="FEE1" s="17" t="s">
        <v>3688</v>
      </c>
      <c r="FEF1" s="17" t="s">
        <v>3689</v>
      </c>
      <c r="FEG1" s="17" t="s">
        <v>3690</v>
      </c>
      <c r="FEH1" s="17" t="s">
        <v>3691</v>
      </c>
      <c r="FEI1" s="17" t="s">
        <v>3692</v>
      </c>
      <c r="FEJ1" s="17" t="s">
        <v>3693</v>
      </c>
      <c r="FEK1" s="17" t="s">
        <v>3694</v>
      </c>
      <c r="FEL1" s="17" t="s">
        <v>3695</v>
      </c>
      <c r="FEM1" s="17" t="s">
        <v>3696</v>
      </c>
      <c r="FEN1" s="17" t="s">
        <v>3697</v>
      </c>
      <c r="FEO1" s="17" t="s">
        <v>3698</v>
      </c>
      <c r="FEP1" s="17" t="s">
        <v>3699</v>
      </c>
      <c r="FEQ1" s="17" t="s">
        <v>3700</v>
      </c>
      <c r="FER1" s="17" t="s">
        <v>3701</v>
      </c>
      <c r="FES1" s="17" t="s">
        <v>3702</v>
      </c>
      <c r="FET1" s="17" t="s">
        <v>3703</v>
      </c>
      <c r="FEU1" s="17" t="s">
        <v>3704</v>
      </c>
      <c r="FEV1" s="17" t="s">
        <v>3705</v>
      </c>
      <c r="FEW1" s="17" t="s">
        <v>3706</v>
      </c>
      <c r="FEX1" s="17" t="s">
        <v>3707</v>
      </c>
      <c r="FEY1" s="17" t="s">
        <v>3708</v>
      </c>
      <c r="FEZ1" s="17" t="s">
        <v>3709</v>
      </c>
      <c r="FFA1" s="17" t="s">
        <v>3710</v>
      </c>
      <c r="FFB1" s="17" t="s">
        <v>3711</v>
      </c>
      <c r="FFC1" s="17" t="s">
        <v>3712</v>
      </c>
      <c r="FFD1" s="17" t="s">
        <v>3713</v>
      </c>
      <c r="FFE1" s="17" t="s">
        <v>3714</v>
      </c>
      <c r="FFF1" s="17" t="s">
        <v>3715</v>
      </c>
      <c r="FFG1" s="17" t="s">
        <v>3716</v>
      </c>
      <c r="FFH1" s="17" t="s">
        <v>3717</v>
      </c>
      <c r="FFI1" s="17" t="s">
        <v>3718</v>
      </c>
      <c r="FFJ1" s="17" t="s">
        <v>3719</v>
      </c>
      <c r="FFK1" s="17" t="s">
        <v>3720</v>
      </c>
      <c r="FFL1" s="17" t="s">
        <v>3721</v>
      </c>
      <c r="FFM1" s="17" t="s">
        <v>3722</v>
      </c>
      <c r="FFN1" s="17" t="s">
        <v>3723</v>
      </c>
      <c r="FFO1" s="17" t="s">
        <v>3724</v>
      </c>
      <c r="FFP1" s="17" t="s">
        <v>3725</v>
      </c>
      <c r="FFQ1" s="17" t="s">
        <v>3726</v>
      </c>
      <c r="FFR1" s="17" t="s">
        <v>3727</v>
      </c>
      <c r="FFS1" s="17" t="s">
        <v>3728</v>
      </c>
      <c r="FFT1" s="17" t="s">
        <v>3729</v>
      </c>
      <c r="FFU1" s="17" t="s">
        <v>3730</v>
      </c>
      <c r="FFV1" s="17" t="s">
        <v>3731</v>
      </c>
      <c r="FFW1" s="17" t="s">
        <v>3732</v>
      </c>
      <c r="FFX1" s="17" t="s">
        <v>3733</v>
      </c>
      <c r="FFY1" s="17" t="s">
        <v>3734</v>
      </c>
      <c r="FFZ1" s="17" t="s">
        <v>3735</v>
      </c>
      <c r="FGA1" s="17" t="s">
        <v>3736</v>
      </c>
      <c r="FGB1" s="17" t="s">
        <v>3737</v>
      </c>
      <c r="FGC1" s="17" t="s">
        <v>3738</v>
      </c>
      <c r="FGD1" s="17" t="s">
        <v>3739</v>
      </c>
      <c r="FGE1" s="17" t="s">
        <v>3740</v>
      </c>
      <c r="FGF1" s="17" t="s">
        <v>3741</v>
      </c>
      <c r="FGG1" s="17" t="s">
        <v>3742</v>
      </c>
      <c r="FGH1" s="17" t="s">
        <v>3743</v>
      </c>
      <c r="FGI1" s="17" t="s">
        <v>3744</v>
      </c>
      <c r="FGJ1" s="17" t="s">
        <v>3745</v>
      </c>
      <c r="FGK1" s="17" t="s">
        <v>3746</v>
      </c>
      <c r="FGL1" s="17" t="s">
        <v>3747</v>
      </c>
      <c r="FGM1" s="17" t="s">
        <v>3748</v>
      </c>
      <c r="FGN1" s="17" t="s">
        <v>3749</v>
      </c>
      <c r="FGO1" s="17" t="s">
        <v>3750</v>
      </c>
      <c r="FGP1" s="17" t="s">
        <v>3751</v>
      </c>
      <c r="FGQ1" s="17" t="s">
        <v>3752</v>
      </c>
      <c r="FGR1" s="17" t="s">
        <v>3753</v>
      </c>
      <c r="FGS1" s="17" t="s">
        <v>3754</v>
      </c>
      <c r="FGT1" s="17" t="s">
        <v>3755</v>
      </c>
      <c r="FGU1" s="17" t="s">
        <v>3756</v>
      </c>
      <c r="FGV1" s="17" t="s">
        <v>3757</v>
      </c>
      <c r="FGW1" s="17" t="s">
        <v>3758</v>
      </c>
      <c r="FGX1" s="17" t="s">
        <v>3759</v>
      </c>
      <c r="FGY1" s="17" t="s">
        <v>3760</v>
      </c>
      <c r="FGZ1" s="17" t="s">
        <v>3761</v>
      </c>
      <c r="FHA1" s="17" t="s">
        <v>3762</v>
      </c>
      <c r="FHB1" s="17" t="s">
        <v>3763</v>
      </c>
      <c r="FHC1" s="17" t="s">
        <v>3764</v>
      </c>
      <c r="FHD1" s="17" t="s">
        <v>3765</v>
      </c>
      <c r="FHE1" s="17" t="s">
        <v>3766</v>
      </c>
      <c r="FHF1" s="17" t="s">
        <v>3767</v>
      </c>
      <c r="FHG1" s="17" t="s">
        <v>3768</v>
      </c>
      <c r="FHH1" s="17" t="s">
        <v>3769</v>
      </c>
      <c r="FHI1" s="17" t="s">
        <v>3770</v>
      </c>
      <c r="FHJ1" s="17" t="s">
        <v>3771</v>
      </c>
      <c r="FHK1" s="17" t="s">
        <v>3772</v>
      </c>
      <c r="FHL1" s="17" t="s">
        <v>3773</v>
      </c>
      <c r="FHM1" s="17" t="s">
        <v>3774</v>
      </c>
      <c r="FHN1" s="17" t="s">
        <v>3775</v>
      </c>
      <c r="FHO1" s="17" t="s">
        <v>3776</v>
      </c>
      <c r="FHP1" s="17" t="s">
        <v>3777</v>
      </c>
      <c r="FHQ1" s="17" t="s">
        <v>3778</v>
      </c>
      <c r="FHR1" s="17" t="s">
        <v>3779</v>
      </c>
      <c r="FHS1" s="17" t="s">
        <v>3780</v>
      </c>
      <c r="FHT1" s="17" t="s">
        <v>3781</v>
      </c>
      <c r="FHU1" s="17" t="s">
        <v>3782</v>
      </c>
      <c r="FHV1" s="17" t="s">
        <v>3783</v>
      </c>
      <c r="FHW1" s="17" t="s">
        <v>3784</v>
      </c>
      <c r="FHX1" s="17" t="s">
        <v>3785</v>
      </c>
      <c r="FHY1" s="17" t="s">
        <v>3786</v>
      </c>
      <c r="FHZ1" s="17" t="s">
        <v>3787</v>
      </c>
      <c r="FIA1" s="17" t="s">
        <v>3788</v>
      </c>
      <c r="FIB1" s="17" t="s">
        <v>3789</v>
      </c>
      <c r="FIC1" s="17" t="s">
        <v>3790</v>
      </c>
      <c r="FID1" s="17" t="s">
        <v>3791</v>
      </c>
      <c r="FIE1" s="17" t="s">
        <v>3792</v>
      </c>
      <c r="FIF1" s="17" t="s">
        <v>3793</v>
      </c>
      <c r="FIG1" s="17" t="s">
        <v>3794</v>
      </c>
      <c r="FIH1" s="17" t="s">
        <v>3795</v>
      </c>
      <c r="FII1" s="17" t="s">
        <v>3796</v>
      </c>
      <c r="FIJ1" s="17" t="s">
        <v>3797</v>
      </c>
      <c r="FIK1" s="17" t="s">
        <v>3798</v>
      </c>
      <c r="FIL1" s="17" t="s">
        <v>3799</v>
      </c>
      <c r="FIM1" s="17" t="s">
        <v>3800</v>
      </c>
      <c r="FIN1" s="17" t="s">
        <v>3801</v>
      </c>
      <c r="FIO1" s="17" t="s">
        <v>3802</v>
      </c>
      <c r="FIP1" s="17" t="s">
        <v>3803</v>
      </c>
      <c r="FIQ1" s="17" t="s">
        <v>3804</v>
      </c>
      <c r="FIR1" s="17" t="s">
        <v>3805</v>
      </c>
      <c r="FIS1" s="17" t="s">
        <v>3806</v>
      </c>
      <c r="FIT1" s="17" t="s">
        <v>3807</v>
      </c>
      <c r="FIU1" s="17" t="s">
        <v>3808</v>
      </c>
      <c r="FIV1" s="17" t="s">
        <v>3809</v>
      </c>
      <c r="FIW1" s="17" t="s">
        <v>3810</v>
      </c>
      <c r="FIX1" s="17" t="s">
        <v>3811</v>
      </c>
      <c r="FIY1" s="17" t="s">
        <v>3812</v>
      </c>
      <c r="FIZ1" s="17" t="s">
        <v>3813</v>
      </c>
      <c r="FJA1" s="17" t="s">
        <v>3814</v>
      </c>
      <c r="FJB1" s="17" t="s">
        <v>3815</v>
      </c>
      <c r="FJC1" s="17" t="s">
        <v>3816</v>
      </c>
      <c r="FJD1" s="17" t="s">
        <v>3817</v>
      </c>
      <c r="FJE1" s="17" t="s">
        <v>3818</v>
      </c>
      <c r="FJF1" s="17" t="s">
        <v>3819</v>
      </c>
      <c r="FJG1" s="17" t="s">
        <v>3820</v>
      </c>
      <c r="FJH1" s="17" t="s">
        <v>3821</v>
      </c>
      <c r="FJI1" s="17" t="s">
        <v>3822</v>
      </c>
      <c r="FJJ1" s="17" t="s">
        <v>3823</v>
      </c>
      <c r="FJK1" s="17" t="s">
        <v>3824</v>
      </c>
      <c r="FJL1" s="17" t="s">
        <v>3825</v>
      </c>
      <c r="FJM1" s="17" t="s">
        <v>3826</v>
      </c>
      <c r="FJN1" s="17" t="s">
        <v>3827</v>
      </c>
      <c r="FJO1" s="17" t="s">
        <v>3828</v>
      </c>
      <c r="FJP1" s="17" t="s">
        <v>3829</v>
      </c>
      <c r="FJQ1" s="17" t="s">
        <v>3830</v>
      </c>
      <c r="FJR1" s="17" t="s">
        <v>3831</v>
      </c>
      <c r="FJS1" s="17" t="s">
        <v>3832</v>
      </c>
      <c r="FJT1" s="17" t="s">
        <v>3833</v>
      </c>
      <c r="FJU1" s="17" t="s">
        <v>3834</v>
      </c>
      <c r="FJV1" s="17" t="s">
        <v>3835</v>
      </c>
      <c r="FJW1" s="17" t="s">
        <v>3836</v>
      </c>
      <c r="FJX1" s="17" t="s">
        <v>3837</v>
      </c>
      <c r="FJY1" s="17" t="s">
        <v>3838</v>
      </c>
      <c r="FJZ1" s="17" t="s">
        <v>3839</v>
      </c>
      <c r="FKA1" s="17" t="s">
        <v>3840</v>
      </c>
      <c r="FKB1" s="17" t="s">
        <v>3841</v>
      </c>
      <c r="FKC1" s="17" t="s">
        <v>3842</v>
      </c>
      <c r="FKD1" s="17" t="s">
        <v>3843</v>
      </c>
      <c r="FKE1" s="17" t="s">
        <v>3844</v>
      </c>
      <c r="FKF1" s="17" t="s">
        <v>3845</v>
      </c>
      <c r="FKG1" s="17" t="s">
        <v>3846</v>
      </c>
      <c r="FKH1" s="17" t="s">
        <v>3847</v>
      </c>
      <c r="FKI1" s="17" t="s">
        <v>3848</v>
      </c>
      <c r="FKJ1" s="17" t="s">
        <v>3849</v>
      </c>
      <c r="FKK1" s="17" t="s">
        <v>3850</v>
      </c>
      <c r="FKL1" s="17" t="s">
        <v>3851</v>
      </c>
      <c r="FKM1" s="17" t="s">
        <v>3852</v>
      </c>
      <c r="FKN1" s="17" t="s">
        <v>3853</v>
      </c>
      <c r="FKO1" s="17" t="s">
        <v>3854</v>
      </c>
      <c r="FKP1" s="17" t="s">
        <v>3855</v>
      </c>
      <c r="FKQ1" s="17" t="s">
        <v>3856</v>
      </c>
      <c r="FKR1" s="17" t="s">
        <v>3857</v>
      </c>
      <c r="FKS1" s="17" t="s">
        <v>3858</v>
      </c>
      <c r="FKT1" s="17" t="s">
        <v>3859</v>
      </c>
      <c r="FKU1" s="17" t="s">
        <v>3860</v>
      </c>
      <c r="FKV1" s="17" t="s">
        <v>3861</v>
      </c>
      <c r="FKW1" s="17" t="s">
        <v>3862</v>
      </c>
      <c r="FKX1" s="17" t="s">
        <v>3863</v>
      </c>
      <c r="FKY1" s="17" t="s">
        <v>3864</v>
      </c>
      <c r="FKZ1" s="17" t="s">
        <v>3865</v>
      </c>
      <c r="FLA1" s="17" t="s">
        <v>3866</v>
      </c>
      <c r="FLB1" s="17" t="s">
        <v>3867</v>
      </c>
      <c r="FLC1" s="17" t="s">
        <v>3868</v>
      </c>
      <c r="FLD1" s="17" t="s">
        <v>3869</v>
      </c>
      <c r="FLE1" s="17" t="s">
        <v>3870</v>
      </c>
      <c r="FLF1" s="17" t="s">
        <v>3871</v>
      </c>
      <c r="FLG1" s="17" t="s">
        <v>3872</v>
      </c>
      <c r="FLH1" s="17" t="s">
        <v>3873</v>
      </c>
      <c r="FLI1" s="17" t="s">
        <v>3874</v>
      </c>
      <c r="FLJ1" s="17" t="s">
        <v>3875</v>
      </c>
      <c r="FLK1" s="17" t="s">
        <v>3876</v>
      </c>
      <c r="FLL1" s="17" t="s">
        <v>3877</v>
      </c>
      <c r="FLM1" s="17" t="s">
        <v>3878</v>
      </c>
      <c r="FLN1" s="17" t="s">
        <v>3879</v>
      </c>
      <c r="FLO1" s="17" t="s">
        <v>3880</v>
      </c>
      <c r="FLP1" s="17" t="s">
        <v>3881</v>
      </c>
      <c r="FLQ1" s="17" t="s">
        <v>3882</v>
      </c>
      <c r="FLR1" s="17" t="s">
        <v>3883</v>
      </c>
      <c r="FLS1" s="17" t="s">
        <v>3884</v>
      </c>
      <c r="FLT1" s="17" t="s">
        <v>3885</v>
      </c>
      <c r="FLU1" s="17" t="s">
        <v>3886</v>
      </c>
      <c r="FLV1" s="17" t="s">
        <v>3887</v>
      </c>
      <c r="FLW1" s="17" t="s">
        <v>3888</v>
      </c>
      <c r="FLX1" s="17" t="s">
        <v>3889</v>
      </c>
      <c r="FLY1" s="17" t="s">
        <v>3890</v>
      </c>
      <c r="FLZ1" s="17" t="s">
        <v>3891</v>
      </c>
      <c r="FMA1" s="17" t="s">
        <v>3892</v>
      </c>
      <c r="FMB1" s="17" t="s">
        <v>3893</v>
      </c>
      <c r="FMC1" s="17" t="s">
        <v>3894</v>
      </c>
      <c r="FMD1" s="17" t="s">
        <v>3895</v>
      </c>
      <c r="FME1" s="17" t="s">
        <v>3896</v>
      </c>
      <c r="FMF1" s="17" t="s">
        <v>3897</v>
      </c>
      <c r="FMG1" s="17" t="s">
        <v>3898</v>
      </c>
      <c r="FMH1" s="17" t="s">
        <v>3899</v>
      </c>
      <c r="FMI1" s="17" t="s">
        <v>3900</v>
      </c>
      <c r="FMJ1" s="17" t="s">
        <v>3901</v>
      </c>
      <c r="FMK1" s="17" t="s">
        <v>3902</v>
      </c>
      <c r="FML1" s="17" t="s">
        <v>3903</v>
      </c>
      <c r="FMM1" s="17" t="s">
        <v>3904</v>
      </c>
      <c r="FMN1" s="17" t="s">
        <v>3905</v>
      </c>
      <c r="FMO1" s="17" t="s">
        <v>3906</v>
      </c>
      <c r="FMP1" s="17" t="s">
        <v>3907</v>
      </c>
      <c r="FMQ1" s="17" t="s">
        <v>3908</v>
      </c>
      <c r="FMR1" s="17" t="s">
        <v>3909</v>
      </c>
      <c r="FMS1" s="17" t="s">
        <v>3910</v>
      </c>
      <c r="FMT1" s="17" t="s">
        <v>3911</v>
      </c>
      <c r="FMU1" s="17" t="s">
        <v>3912</v>
      </c>
      <c r="FMV1" s="17" t="s">
        <v>3913</v>
      </c>
      <c r="FMW1" s="17" t="s">
        <v>3914</v>
      </c>
      <c r="FMX1" s="17" t="s">
        <v>3915</v>
      </c>
      <c r="FMY1" s="17" t="s">
        <v>3916</v>
      </c>
      <c r="FMZ1" s="17" t="s">
        <v>3917</v>
      </c>
      <c r="FNA1" s="17" t="s">
        <v>3918</v>
      </c>
      <c r="FNB1" s="17" t="s">
        <v>3919</v>
      </c>
      <c r="FNC1" s="17" t="s">
        <v>3920</v>
      </c>
      <c r="FND1" s="17" t="s">
        <v>3921</v>
      </c>
      <c r="FNE1" s="17" t="s">
        <v>3922</v>
      </c>
      <c r="FNF1" s="17" t="s">
        <v>3923</v>
      </c>
      <c r="FNG1" s="17" t="s">
        <v>3924</v>
      </c>
      <c r="FNH1" s="17" t="s">
        <v>3925</v>
      </c>
      <c r="FNI1" s="17" t="s">
        <v>3926</v>
      </c>
      <c r="FNJ1" s="17" t="s">
        <v>3927</v>
      </c>
      <c r="FNK1" s="17" t="s">
        <v>3928</v>
      </c>
      <c r="FNL1" s="17" t="s">
        <v>3929</v>
      </c>
      <c r="FNM1" s="17" t="s">
        <v>3930</v>
      </c>
      <c r="FNN1" s="17" t="s">
        <v>3931</v>
      </c>
      <c r="FNO1" s="17" t="s">
        <v>3932</v>
      </c>
      <c r="FNP1" s="17" t="s">
        <v>3933</v>
      </c>
      <c r="FNQ1" s="17" t="s">
        <v>3934</v>
      </c>
      <c r="FNR1" s="17" t="s">
        <v>3935</v>
      </c>
      <c r="FNS1" s="17" t="s">
        <v>3936</v>
      </c>
      <c r="FNT1" s="17" t="s">
        <v>3937</v>
      </c>
      <c r="FNU1" s="17" t="s">
        <v>3938</v>
      </c>
      <c r="FNV1" s="17" t="s">
        <v>3939</v>
      </c>
      <c r="FNW1" s="17" t="s">
        <v>3940</v>
      </c>
      <c r="FNX1" s="17" t="s">
        <v>3941</v>
      </c>
      <c r="FNY1" s="17" t="s">
        <v>3942</v>
      </c>
      <c r="FNZ1" s="17" t="s">
        <v>3943</v>
      </c>
      <c r="FOA1" s="17" t="s">
        <v>3944</v>
      </c>
      <c r="FOB1" s="17" t="s">
        <v>3945</v>
      </c>
      <c r="FOC1" s="17" t="s">
        <v>3946</v>
      </c>
      <c r="FOD1" s="17" t="s">
        <v>3947</v>
      </c>
      <c r="FOE1" s="17" t="s">
        <v>3948</v>
      </c>
      <c r="FOF1" s="17" t="s">
        <v>3949</v>
      </c>
      <c r="FOG1" s="17" t="s">
        <v>3950</v>
      </c>
      <c r="FOH1" s="17" t="s">
        <v>3951</v>
      </c>
      <c r="FOI1" s="17" t="s">
        <v>3952</v>
      </c>
      <c r="FOJ1" s="17" t="s">
        <v>3953</v>
      </c>
      <c r="FOK1" s="17" t="s">
        <v>3954</v>
      </c>
      <c r="FOL1" s="17" t="s">
        <v>3955</v>
      </c>
      <c r="FOM1" s="17" t="s">
        <v>3956</v>
      </c>
      <c r="FON1" s="17" t="s">
        <v>3957</v>
      </c>
      <c r="FOO1" s="17" t="s">
        <v>3958</v>
      </c>
      <c r="FOP1" s="17" t="s">
        <v>3959</v>
      </c>
      <c r="FOQ1" s="17" t="s">
        <v>3960</v>
      </c>
      <c r="FOR1" s="17" t="s">
        <v>3961</v>
      </c>
      <c r="FOS1" s="17" t="s">
        <v>3962</v>
      </c>
      <c r="FOT1" s="17" t="s">
        <v>3963</v>
      </c>
      <c r="FOU1" s="17" t="s">
        <v>3964</v>
      </c>
      <c r="FOV1" s="17" t="s">
        <v>3965</v>
      </c>
      <c r="FOW1" s="17" t="s">
        <v>3966</v>
      </c>
      <c r="FOX1" s="17" t="s">
        <v>3967</v>
      </c>
      <c r="FOY1" s="17" t="s">
        <v>3968</v>
      </c>
      <c r="FOZ1" s="17" t="s">
        <v>3969</v>
      </c>
      <c r="FPA1" s="17" t="s">
        <v>3970</v>
      </c>
      <c r="FPB1" s="17" t="s">
        <v>3971</v>
      </c>
      <c r="FPC1" s="17" t="s">
        <v>3972</v>
      </c>
      <c r="FPD1" s="17" t="s">
        <v>3973</v>
      </c>
      <c r="FPE1" s="17" t="s">
        <v>3974</v>
      </c>
      <c r="FPF1" s="17" t="s">
        <v>3975</v>
      </c>
      <c r="FPG1" s="17" t="s">
        <v>3976</v>
      </c>
      <c r="FPH1" s="17" t="s">
        <v>3977</v>
      </c>
      <c r="FPI1" s="17" t="s">
        <v>3978</v>
      </c>
      <c r="FPJ1" s="17" t="s">
        <v>3979</v>
      </c>
      <c r="FPK1" s="17" t="s">
        <v>3980</v>
      </c>
      <c r="FPL1" s="17" t="s">
        <v>3981</v>
      </c>
      <c r="FPM1" s="17" t="s">
        <v>3982</v>
      </c>
      <c r="FPN1" s="17" t="s">
        <v>3983</v>
      </c>
      <c r="FPO1" s="17" t="s">
        <v>3984</v>
      </c>
      <c r="FPP1" s="17" t="s">
        <v>3985</v>
      </c>
      <c r="FPQ1" s="17" t="s">
        <v>3986</v>
      </c>
      <c r="FPR1" s="17" t="s">
        <v>3987</v>
      </c>
      <c r="FPS1" s="17" t="s">
        <v>3988</v>
      </c>
      <c r="FPT1" s="17" t="s">
        <v>3989</v>
      </c>
      <c r="FPU1" s="17" t="s">
        <v>3990</v>
      </c>
      <c r="FPV1" s="17" t="s">
        <v>3991</v>
      </c>
      <c r="FPW1" s="17" t="s">
        <v>3992</v>
      </c>
      <c r="FPX1" s="17" t="s">
        <v>3993</v>
      </c>
      <c r="FPY1" s="17" t="s">
        <v>3994</v>
      </c>
      <c r="FPZ1" s="17" t="s">
        <v>3995</v>
      </c>
      <c r="FQA1" s="17" t="s">
        <v>3996</v>
      </c>
      <c r="FQB1" s="17" t="s">
        <v>3997</v>
      </c>
      <c r="FQC1" s="17" t="s">
        <v>3998</v>
      </c>
      <c r="FQD1" s="17" t="s">
        <v>3999</v>
      </c>
      <c r="FQE1" s="17" t="s">
        <v>4000</v>
      </c>
      <c r="FQF1" s="17" t="s">
        <v>4001</v>
      </c>
      <c r="FQG1" s="17" t="s">
        <v>4002</v>
      </c>
      <c r="FQH1" s="17" t="s">
        <v>4003</v>
      </c>
      <c r="FQI1" s="17" t="s">
        <v>4004</v>
      </c>
      <c r="FQJ1" s="17" t="s">
        <v>4005</v>
      </c>
      <c r="FQK1" s="17" t="s">
        <v>4006</v>
      </c>
      <c r="FQL1" s="17" t="s">
        <v>4007</v>
      </c>
      <c r="FQM1" s="17" t="s">
        <v>4008</v>
      </c>
      <c r="FQN1" s="17" t="s">
        <v>4009</v>
      </c>
      <c r="FQO1" s="17" t="s">
        <v>4010</v>
      </c>
      <c r="FQP1" s="17" t="s">
        <v>4011</v>
      </c>
      <c r="FQQ1" s="17" t="s">
        <v>4012</v>
      </c>
      <c r="FQR1" s="17" t="s">
        <v>4013</v>
      </c>
      <c r="FQS1" s="17" t="s">
        <v>4014</v>
      </c>
      <c r="FQT1" s="17" t="s">
        <v>4015</v>
      </c>
      <c r="FQU1" s="17" t="s">
        <v>4016</v>
      </c>
      <c r="FQV1" s="17" t="s">
        <v>4017</v>
      </c>
      <c r="FQW1" s="17" t="s">
        <v>4018</v>
      </c>
      <c r="FQX1" s="17" t="s">
        <v>4019</v>
      </c>
      <c r="FQY1" s="17" t="s">
        <v>4020</v>
      </c>
      <c r="FQZ1" s="17" t="s">
        <v>4021</v>
      </c>
      <c r="FRA1" s="17" t="s">
        <v>4022</v>
      </c>
      <c r="FRB1" s="17" t="s">
        <v>4023</v>
      </c>
      <c r="FRC1" s="17" t="s">
        <v>4024</v>
      </c>
      <c r="FRD1" s="17" t="s">
        <v>4025</v>
      </c>
      <c r="FRE1" s="17" t="s">
        <v>4026</v>
      </c>
      <c r="FRF1" s="17" t="s">
        <v>4027</v>
      </c>
      <c r="FRG1" s="17" t="s">
        <v>4028</v>
      </c>
      <c r="FRH1" s="17" t="s">
        <v>4029</v>
      </c>
      <c r="FRI1" s="17" t="s">
        <v>4030</v>
      </c>
      <c r="FRJ1" s="17" t="s">
        <v>4031</v>
      </c>
      <c r="FRK1" s="17" t="s">
        <v>4032</v>
      </c>
      <c r="FRL1" s="17" t="s">
        <v>4033</v>
      </c>
      <c r="FRM1" s="17" t="s">
        <v>4034</v>
      </c>
      <c r="FRN1" s="17" t="s">
        <v>4035</v>
      </c>
      <c r="FRO1" s="17" t="s">
        <v>4036</v>
      </c>
      <c r="FRP1" s="17" t="s">
        <v>4037</v>
      </c>
      <c r="FRQ1" s="17" t="s">
        <v>4038</v>
      </c>
      <c r="FRR1" s="17" t="s">
        <v>4039</v>
      </c>
      <c r="FRS1" s="17" t="s">
        <v>4040</v>
      </c>
      <c r="FRT1" s="17" t="s">
        <v>4041</v>
      </c>
      <c r="FRU1" s="17" t="s">
        <v>4042</v>
      </c>
      <c r="FRV1" s="17" t="s">
        <v>4043</v>
      </c>
      <c r="FRW1" s="17" t="s">
        <v>4044</v>
      </c>
      <c r="FRX1" s="17" t="s">
        <v>4045</v>
      </c>
      <c r="FRY1" s="17" t="s">
        <v>4046</v>
      </c>
      <c r="FRZ1" s="17" t="s">
        <v>4047</v>
      </c>
      <c r="FSA1" s="17" t="s">
        <v>4048</v>
      </c>
      <c r="FSB1" s="17" t="s">
        <v>4049</v>
      </c>
      <c r="FSC1" s="17" t="s">
        <v>4050</v>
      </c>
      <c r="FSD1" s="17" t="s">
        <v>4051</v>
      </c>
      <c r="FSE1" s="17" t="s">
        <v>4052</v>
      </c>
      <c r="FSF1" s="17" t="s">
        <v>4053</v>
      </c>
      <c r="FSG1" s="17" t="s">
        <v>4054</v>
      </c>
      <c r="FSH1" s="17" t="s">
        <v>4055</v>
      </c>
      <c r="FSI1" s="17" t="s">
        <v>4056</v>
      </c>
      <c r="FSJ1" s="17" t="s">
        <v>4057</v>
      </c>
      <c r="FSK1" s="17" t="s">
        <v>4058</v>
      </c>
      <c r="FSL1" s="17" t="s">
        <v>4059</v>
      </c>
      <c r="FSM1" s="17" t="s">
        <v>4060</v>
      </c>
      <c r="FSN1" s="17" t="s">
        <v>4061</v>
      </c>
      <c r="FSO1" s="17" t="s">
        <v>4062</v>
      </c>
      <c r="FSP1" s="17" t="s">
        <v>4063</v>
      </c>
      <c r="FSQ1" s="17" t="s">
        <v>4064</v>
      </c>
      <c r="FSR1" s="17" t="s">
        <v>4065</v>
      </c>
      <c r="FSS1" s="17" t="s">
        <v>4066</v>
      </c>
      <c r="FST1" s="17" t="s">
        <v>4067</v>
      </c>
      <c r="FSU1" s="17" t="s">
        <v>4068</v>
      </c>
      <c r="FSV1" s="17" t="s">
        <v>4069</v>
      </c>
      <c r="FSW1" s="17" t="s">
        <v>4070</v>
      </c>
      <c r="FSX1" s="17" t="s">
        <v>4071</v>
      </c>
      <c r="FSY1" s="17" t="s">
        <v>4072</v>
      </c>
      <c r="FSZ1" s="17" t="s">
        <v>4073</v>
      </c>
      <c r="FTA1" s="17" t="s">
        <v>4074</v>
      </c>
      <c r="FTB1" s="17" t="s">
        <v>4075</v>
      </c>
      <c r="FTC1" s="17" t="s">
        <v>4076</v>
      </c>
      <c r="FTD1" s="17" t="s">
        <v>4077</v>
      </c>
      <c r="FTE1" s="17" t="s">
        <v>4078</v>
      </c>
      <c r="FTF1" s="17" t="s">
        <v>4079</v>
      </c>
      <c r="FTG1" s="17" t="s">
        <v>4080</v>
      </c>
      <c r="FTH1" s="17" t="s">
        <v>4081</v>
      </c>
      <c r="FTI1" s="17" t="s">
        <v>4082</v>
      </c>
      <c r="FTJ1" s="17" t="s">
        <v>4083</v>
      </c>
      <c r="FTK1" s="17" t="s">
        <v>4084</v>
      </c>
      <c r="FTL1" s="17" t="s">
        <v>4085</v>
      </c>
      <c r="FTM1" s="17" t="s">
        <v>4086</v>
      </c>
      <c r="FTN1" s="17" t="s">
        <v>4087</v>
      </c>
      <c r="FTO1" s="17" t="s">
        <v>4088</v>
      </c>
      <c r="FTP1" s="17" t="s">
        <v>4089</v>
      </c>
      <c r="FTQ1" s="17" t="s">
        <v>4090</v>
      </c>
      <c r="FTR1" s="17" t="s">
        <v>4091</v>
      </c>
      <c r="FTS1" s="17" t="s">
        <v>4092</v>
      </c>
      <c r="FTT1" s="17" t="s">
        <v>4093</v>
      </c>
      <c r="FTU1" s="17" t="s">
        <v>4094</v>
      </c>
      <c r="FTV1" s="17" t="s">
        <v>4095</v>
      </c>
      <c r="FTW1" s="17" t="s">
        <v>4096</v>
      </c>
      <c r="FTX1" s="17" t="s">
        <v>4097</v>
      </c>
      <c r="FTY1" s="17" t="s">
        <v>4098</v>
      </c>
      <c r="FTZ1" s="17" t="s">
        <v>4099</v>
      </c>
      <c r="FUA1" s="17" t="s">
        <v>4100</v>
      </c>
      <c r="FUB1" s="17" t="s">
        <v>4101</v>
      </c>
      <c r="FUC1" s="17" t="s">
        <v>4102</v>
      </c>
      <c r="FUD1" s="17" t="s">
        <v>4103</v>
      </c>
      <c r="FUE1" s="17" t="s">
        <v>4104</v>
      </c>
      <c r="FUF1" s="17" t="s">
        <v>4105</v>
      </c>
      <c r="FUG1" s="17" t="s">
        <v>4106</v>
      </c>
      <c r="FUH1" s="17" t="s">
        <v>4107</v>
      </c>
      <c r="FUI1" s="17" t="s">
        <v>4108</v>
      </c>
      <c r="FUJ1" s="17" t="s">
        <v>4109</v>
      </c>
      <c r="FUK1" s="17" t="s">
        <v>4110</v>
      </c>
      <c r="FUL1" s="17" t="s">
        <v>4111</v>
      </c>
      <c r="FUM1" s="17" t="s">
        <v>4112</v>
      </c>
      <c r="FUN1" s="17" t="s">
        <v>4113</v>
      </c>
      <c r="FUO1" s="17" t="s">
        <v>4114</v>
      </c>
      <c r="FUP1" s="17" t="s">
        <v>4115</v>
      </c>
      <c r="FUQ1" s="17" t="s">
        <v>4116</v>
      </c>
      <c r="FUR1" s="17" t="s">
        <v>4117</v>
      </c>
      <c r="FUS1" s="17" t="s">
        <v>4118</v>
      </c>
      <c r="FUT1" s="17" t="s">
        <v>4119</v>
      </c>
      <c r="FUU1" s="17" t="s">
        <v>4120</v>
      </c>
      <c r="FUV1" s="17" t="s">
        <v>4121</v>
      </c>
      <c r="FUW1" s="17" t="s">
        <v>4122</v>
      </c>
      <c r="FUX1" s="17" t="s">
        <v>4123</v>
      </c>
      <c r="FUY1" s="17" t="s">
        <v>4124</v>
      </c>
      <c r="FUZ1" s="17" t="s">
        <v>4125</v>
      </c>
      <c r="FVA1" s="17" t="s">
        <v>4126</v>
      </c>
      <c r="FVB1" s="17" t="s">
        <v>4127</v>
      </c>
      <c r="FVC1" s="17" t="s">
        <v>4128</v>
      </c>
      <c r="FVD1" s="17" t="s">
        <v>4129</v>
      </c>
      <c r="FVE1" s="17" t="s">
        <v>4130</v>
      </c>
      <c r="FVF1" s="17" t="s">
        <v>4131</v>
      </c>
      <c r="FVG1" s="17" t="s">
        <v>4132</v>
      </c>
      <c r="FVH1" s="17" t="s">
        <v>4133</v>
      </c>
      <c r="FVI1" s="17" t="s">
        <v>4134</v>
      </c>
      <c r="FVJ1" s="17" t="s">
        <v>4135</v>
      </c>
      <c r="FVK1" s="17" t="s">
        <v>4136</v>
      </c>
      <c r="FVL1" s="17" t="s">
        <v>4137</v>
      </c>
      <c r="FVM1" s="17" t="s">
        <v>4138</v>
      </c>
      <c r="FVN1" s="17" t="s">
        <v>4139</v>
      </c>
      <c r="FVO1" s="17" t="s">
        <v>4140</v>
      </c>
      <c r="FVP1" s="17" t="s">
        <v>4141</v>
      </c>
      <c r="FVQ1" s="17" t="s">
        <v>4142</v>
      </c>
      <c r="FVR1" s="17" t="s">
        <v>4143</v>
      </c>
      <c r="FVS1" s="17" t="s">
        <v>4144</v>
      </c>
      <c r="FVT1" s="17" t="s">
        <v>4145</v>
      </c>
      <c r="FVU1" s="17" t="s">
        <v>4146</v>
      </c>
      <c r="FVV1" s="17" t="s">
        <v>4147</v>
      </c>
      <c r="FVW1" s="17" t="s">
        <v>4148</v>
      </c>
      <c r="FVX1" s="17" t="s">
        <v>4149</v>
      </c>
      <c r="FVY1" s="17" t="s">
        <v>4150</v>
      </c>
      <c r="FVZ1" s="17" t="s">
        <v>4151</v>
      </c>
      <c r="FWA1" s="17" t="s">
        <v>4152</v>
      </c>
      <c r="FWB1" s="17" t="s">
        <v>4153</v>
      </c>
      <c r="FWC1" s="17" t="s">
        <v>4154</v>
      </c>
      <c r="FWD1" s="17" t="s">
        <v>4155</v>
      </c>
      <c r="FWE1" s="17" t="s">
        <v>4156</v>
      </c>
      <c r="FWF1" s="17" t="s">
        <v>4157</v>
      </c>
      <c r="FWG1" s="17" t="s">
        <v>4158</v>
      </c>
      <c r="FWH1" s="17" t="s">
        <v>4159</v>
      </c>
      <c r="FWI1" s="17" t="s">
        <v>4160</v>
      </c>
      <c r="FWJ1" s="17" t="s">
        <v>4161</v>
      </c>
      <c r="FWK1" s="17" t="s">
        <v>4162</v>
      </c>
      <c r="FWL1" s="17" t="s">
        <v>4163</v>
      </c>
      <c r="FWM1" s="17" t="s">
        <v>4164</v>
      </c>
      <c r="FWN1" s="17" t="s">
        <v>4165</v>
      </c>
      <c r="FWO1" s="17" t="s">
        <v>4166</v>
      </c>
      <c r="FWP1" s="17" t="s">
        <v>4167</v>
      </c>
      <c r="FWQ1" s="17" t="s">
        <v>4168</v>
      </c>
      <c r="FWR1" s="17" t="s">
        <v>4169</v>
      </c>
      <c r="FWS1" s="17" t="s">
        <v>4170</v>
      </c>
      <c r="FWT1" s="17" t="s">
        <v>4171</v>
      </c>
      <c r="FWU1" s="17" t="s">
        <v>4172</v>
      </c>
      <c r="FWV1" s="17" t="s">
        <v>4173</v>
      </c>
      <c r="FWW1" s="17" t="s">
        <v>4174</v>
      </c>
      <c r="FWX1" s="17" t="s">
        <v>4175</v>
      </c>
      <c r="FWY1" s="17" t="s">
        <v>4176</v>
      </c>
      <c r="FWZ1" s="17" t="s">
        <v>4177</v>
      </c>
      <c r="FXA1" s="17" t="s">
        <v>4178</v>
      </c>
      <c r="FXB1" s="17" t="s">
        <v>4179</v>
      </c>
      <c r="FXC1" s="17" t="s">
        <v>4180</v>
      </c>
      <c r="FXD1" s="17" t="s">
        <v>4181</v>
      </c>
      <c r="FXE1" s="17" t="s">
        <v>4182</v>
      </c>
      <c r="FXF1" s="17" t="s">
        <v>4183</v>
      </c>
      <c r="FXG1" s="17" t="s">
        <v>4184</v>
      </c>
      <c r="FXH1" s="17" t="s">
        <v>4185</v>
      </c>
      <c r="FXI1" s="17" t="s">
        <v>4186</v>
      </c>
      <c r="FXJ1" s="17" t="s">
        <v>4187</v>
      </c>
      <c r="FXK1" s="17" t="s">
        <v>4188</v>
      </c>
      <c r="FXL1" s="17" t="s">
        <v>4189</v>
      </c>
      <c r="FXM1" s="17" t="s">
        <v>4190</v>
      </c>
      <c r="FXN1" s="17" t="s">
        <v>4191</v>
      </c>
      <c r="FXO1" s="17" t="s">
        <v>4192</v>
      </c>
      <c r="FXP1" s="17" t="s">
        <v>4193</v>
      </c>
      <c r="FXQ1" s="17" t="s">
        <v>4194</v>
      </c>
      <c r="FXR1" s="17" t="s">
        <v>4195</v>
      </c>
      <c r="FXS1" s="17" t="s">
        <v>4196</v>
      </c>
      <c r="FXT1" s="17" t="s">
        <v>4197</v>
      </c>
      <c r="FXU1" s="17" t="s">
        <v>4198</v>
      </c>
      <c r="FXV1" s="17" t="s">
        <v>4199</v>
      </c>
      <c r="FXW1" s="17" t="s">
        <v>4200</v>
      </c>
      <c r="FXX1" s="17" t="s">
        <v>4201</v>
      </c>
      <c r="FXY1" s="17" t="s">
        <v>4202</v>
      </c>
      <c r="FXZ1" s="17" t="s">
        <v>4203</v>
      </c>
      <c r="FYA1" s="17" t="s">
        <v>4204</v>
      </c>
      <c r="FYB1" s="17" t="s">
        <v>4205</v>
      </c>
      <c r="FYC1" s="17" t="s">
        <v>4206</v>
      </c>
      <c r="FYD1" s="17" t="s">
        <v>4207</v>
      </c>
      <c r="FYE1" s="17" t="s">
        <v>4208</v>
      </c>
      <c r="FYF1" s="17" t="s">
        <v>4209</v>
      </c>
      <c r="FYG1" s="17" t="s">
        <v>4210</v>
      </c>
      <c r="FYH1" s="17" t="s">
        <v>4211</v>
      </c>
      <c r="FYI1" s="17" t="s">
        <v>4212</v>
      </c>
      <c r="FYJ1" s="17" t="s">
        <v>4213</v>
      </c>
      <c r="FYK1" s="17" t="s">
        <v>4214</v>
      </c>
      <c r="FYL1" s="17" t="s">
        <v>4215</v>
      </c>
      <c r="FYM1" s="17" t="s">
        <v>4216</v>
      </c>
      <c r="FYN1" s="17" t="s">
        <v>4217</v>
      </c>
      <c r="FYO1" s="17" t="s">
        <v>4218</v>
      </c>
      <c r="FYP1" s="17" t="s">
        <v>4219</v>
      </c>
      <c r="FYQ1" s="17" t="s">
        <v>4220</v>
      </c>
      <c r="FYR1" s="17" t="s">
        <v>4221</v>
      </c>
      <c r="FYS1" s="17" t="s">
        <v>4222</v>
      </c>
      <c r="FYT1" s="17" t="s">
        <v>4223</v>
      </c>
      <c r="FYU1" s="17" t="s">
        <v>4224</v>
      </c>
      <c r="FYV1" s="17" t="s">
        <v>4225</v>
      </c>
      <c r="FYW1" s="17" t="s">
        <v>4226</v>
      </c>
      <c r="FYX1" s="17" t="s">
        <v>4227</v>
      </c>
      <c r="FYY1" s="17" t="s">
        <v>4228</v>
      </c>
      <c r="FYZ1" s="17" t="s">
        <v>4229</v>
      </c>
      <c r="FZA1" s="17" t="s">
        <v>4230</v>
      </c>
      <c r="FZB1" s="17" t="s">
        <v>4231</v>
      </c>
      <c r="FZC1" s="17" t="s">
        <v>4232</v>
      </c>
      <c r="FZD1" s="17" t="s">
        <v>4233</v>
      </c>
      <c r="FZE1" s="17" t="s">
        <v>4234</v>
      </c>
      <c r="FZF1" s="17" t="s">
        <v>4235</v>
      </c>
      <c r="FZG1" s="17" t="s">
        <v>4236</v>
      </c>
      <c r="FZH1" s="17" t="s">
        <v>4237</v>
      </c>
      <c r="FZI1" s="17" t="s">
        <v>4238</v>
      </c>
      <c r="FZJ1" s="17" t="s">
        <v>4239</v>
      </c>
      <c r="FZK1" s="17" t="s">
        <v>4240</v>
      </c>
      <c r="FZL1" s="17" t="s">
        <v>4241</v>
      </c>
      <c r="FZM1" s="17" t="s">
        <v>4242</v>
      </c>
      <c r="FZN1" s="17" t="s">
        <v>4243</v>
      </c>
      <c r="FZO1" s="17" t="s">
        <v>4244</v>
      </c>
      <c r="FZP1" s="17" t="s">
        <v>4245</v>
      </c>
      <c r="FZQ1" s="17" t="s">
        <v>4246</v>
      </c>
      <c r="FZR1" s="17" t="s">
        <v>4247</v>
      </c>
      <c r="FZS1" s="17" t="s">
        <v>4248</v>
      </c>
      <c r="FZT1" s="17" t="s">
        <v>4249</v>
      </c>
      <c r="FZU1" s="17" t="s">
        <v>4250</v>
      </c>
      <c r="FZV1" s="17" t="s">
        <v>4251</v>
      </c>
      <c r="FZW1" s="17" t="s">
        <v>4252</v>
      </c>
      <c r="FZX1" s="17" t="s">
        <v>4253</v>
      </c>
      <c r="FZY1" s="17" t="s">
        <v>4254</v>
      </c>
      <c r="FZZ1" s="17" t="s">
        <v>4255</v>
      </c>
      <c r="GAA1" s="17" t="s">
        <v>4256</v>
      </c>
      <c r="GAB1" s="17" t="s">
        <v>4257</v>
      </c>
      <c r="GAC1" s="17" t="s">
        <v>4258</v>
      </c>
      <c r="GAD1" s="17" t="s">
        <v>4259</v>
      </c>
      <c r="GAE1" s="17" t="s">
        <v>4260</v>
      </c>
      <c r="GAF1" s="17" t="s">
        <v>4261</v>
      </c>
      <c r="GAG1" s="17" t="s">
        <v>4262</v>
      </c>
      <c r="GAH1" s="17" t="s">
        <v>4263</v>
      </c>
      <c r="GAI1" s="17" t="s">
        <v>4264</v>
      </c>
      <c r="GAJ1" s="17" t="s">
        <v>4265</v>
      </c>
      <c r="GAK1" s="17" t="s">
        <v>4266</v>
      </c>
      <c r="GAL1" s="17" t="s">
        <v>4267</v>
      </c>
      <c r="GAM1" s="17" t="s">
        <v>4268</v>
      </c>
      <c r="GAN1" s="17" t="s">
        <v>4269</v>
      </c>
      <c r="GAO1" s="17" t="s">
        <v>4270</v>
      </c>
      <c r="GAP1" s="17" t="s">
        <v>4271</v>
      </c>
      <c r="GAQ1" s="17" t="s">
        <v>4272</v>
      </c>
      <c r="GAR1" s="17" t="s">
        <v>4273</v>
      </c>
      <c r="GAS1" s="17" t="s">
        <v>4274</v>
      </c>
      <c r="GAT1" s="17" t="s">
        <v>4275</v>
      </c>
      <c r="GAU1" s="17" t="s">
        <v>4276</v>
      </c>
      <c r="GAV1" s="17" t="s">
        <v>4277</v>
      </c>
      <c r="GAW1" s="17" t="s">
        <v>4278</v>
      </c>
      <c r="GAX1" s="17" t="s">
        <v>4279</v>
      </c>
      <c r="GAY1" s="17" t="s">
        <v>4280</v>
      </c>
      <c r="GAZ1" s="17" t="s">
        <v>4281</v>
      </c>
      <c r="GBA1" s="17" t="s">
        <v>4282</v>
      </c>
      <c r="GBB1" s="17" t="s">
        <v>4283</v>
      </c>
      <c r="GBC1" s="17" t="s">
        <v>4284</v>
      </c>
      <c r="GBD1" s="17" t="s">
        <v>4285</v>
      </c>
      <c r="GBE1" s="17" t="s">
        <v>4286</v>
      </c>
      <c r="GBF1" s="17" t="s">
        <v>4287</v>
      </c>
      <c r="GBG1" s="17" t="s">
        <v>4288</v>
      </c>
      <c r="GBH1" s="17" t="s">
        <v>4289</v>
      </c>
      <c r="GBI1" s="17" t="s">
        <v>4290</v>
      </c>
      <c r="GBJ1" s="17" t="s">
        <v>4291</v>
      </c>
      <c r="GBK1" s="17" t="s">
        <v>4292</v>
      </c>
      <c r="GBL1" s="17" t="s">
        <v>4293</v>
      </c>
      <c r="GBM1" s="17" t="s">
        <v>4294</v>
      </c>
      <c r="GBN1" s="17" t="s">
        <v>4295</v>
      </c>
      <c r="GBO1" s="17" t="s">
        <v>4296</v>
      </c>
      <c r="GBP1" s="17" t="s">
        <v>4297</v>
      </c>
      <c r="GBQ1" s="17" t="s">
        <v>4298</v>
      </c>
      <c r="GBR1" s="17" t="s">
        <v>4299</v>
      </c>
      <c r="GBS1" s="17" t="s">
        <v>4300</v>
      </c>
      <c r="GBT1" s="17" t="s">
        <v>4301</v>
      </c>
      <c r="GBU1" s="17" t="s">
        <v>4302</v>
      </c>
      <c r="GBV1" s="17" t="s">
        <v>4303</v>
      </c>
      <c r="GBW1" s="17" t="s">
        <v>4304</v>
      </c>
      <c r="GBX1" s="17" t="s">
        <v>4305</v>
      </c>
      <c r="GBY1" s="17" t="s">
        <v>4306</v>
      </c>
      <c r="GBZ1" s="17" t="s">
        <v>4307</v>
      </c>
      <c r="GCA1" s="17" t="s">
        <v>4308</v>
      </c>
      <c r="GCB1" s="17" t="s">
        <v>4309</v>
      </c>
      <c r="GCC1" s="17" t="s">
        <v>4310</v>
      </c>
      <c r="GCD1" s="17" t="s">
        <v>4311</v>
      </c>
      <c r="GCE1" s="17" t="s">
        <v>4312</v>
      </c>
      <c r="GCF1" s="17" t="s">
        <v>4313</v>
      </c>
      <c r="GCG1" s="17" t="s">
        <v>4314</v>
      </c>
      <c r="GCH1" s="17" t="s">
        <v>4315</v>
      </c>
      <c r="GCI1" s="17" t="s">
        <v>4316</v>
      </c>
      <c r="GCJ1" s="17" t="s">
        <v>4317</v>
      </c>
      <c r="GCK1" s="17" t="s">
        <v>4318</v>
      </c>
      <c r="GCL1" s="17" t="s">
        <v>4319</v>
      </c>
      <c r="GCM1" s="17" t="s">
        <v>4320</v>
      </c>
      <c r="GCN1" s="17" t="s">
        <v>4321</v>
      </c>
      <c r="GCO1" s="17" t="s">
        <v>4322</v>
      </c>
      <c r="GCP1" s="17" t="s">
        <v>4323</v>
      </c>
      <c r="GCQ1" s="17" t="s">
        <v>4324</v>
      </c>
      <c r="GCR1" s="17" t="s">
        <v>4325</v>
      </c>
      <c r="GCS1" s="17" t="s">
        <v>4326</v>
      </c>
      <c r="GCT1" s="17" t="s">
        <v>4327</v>
      </c>
      <c r="GCU1" s="17" t="s">
        <v>4328</v>
      </c>
      <c r="GCV1" s="17" t="s">
        <v>4329</v>
      </c>
      <c r="GCW1" s="17" t="s">
        <v>4330</v>
      </c>
      <c r="GCX1" s="17" t="s">
        <v>4331</v>
      </c>
      <c r="GCY1" s="17" t="s">
        <v>4332</v>
      </c>
      <c r="GCZ1" s="17" t="s">
        <v>4333</v>
      </c>
      <c r="GDA1" s="17" t="s">
        <v>4334</v>
      </c>
      <c r="GDB1" s="17" t="s">
        <v>4335</v>
      </c>
      <c r="GDC1" s="17" t="s">
        <v>4336</v>
      </c>
      <c r="GDD1" s="17" t="s">
        <v>4337</v>
      </c>
      <c r="GDE1" s="17" t="s">
        <v>4338</v>
      </c>
      <c r="GDF1" s="17" t="s">
        <v>4339</v>
      </c>
      <c r="GDG1" s="17" t="s">
        <v>4340</v>
      </c>
      <c r="GDH1" s="17" t="s">
        <v>4341</v>
      </c>
      <c r="GDI1" s="17" t="s">
        <v>4342</v>
      </c>
      <c r="GDJ1" s="17" t="s">
        <v>4343</v>
      </c>
      <c r="GDK1" s="17" t="s">
        <v>4344</v>
      </c>
      <c r="GDL1" s="17" t="s">
        <v>4345</v>
      </c>
      <c r="GDM1" s="17" t="s">
        <v>4346</v>
      </c>
      <c r="GDN1" s="17" t="s">
        <v>4347</v>
      </c>
      <c r="GDO1" s="17" t="s">
        <v>4348</v>
      </c>
      <c r="GDP1" s="17" t="s">
        <v>4349</v>
      </c>
      <c r="GDQ1" s="17" t="s">
        <v>4350</v>
      </c>
      <c r="GDR1" s="17" t="s">
        <v>4351</v>
      </c>
      <c r="GDS1" s="17" t="s">
        <v>4352</v>
      </c>
      <c r="GDT1" s="17" t="s">
        <v>4353</v>
      </c>
      <c r="GDU1" s="17" t="s">
        <v>4354</v>
      </c>
      <c r="GDV1" s="17" t="s">
        <v>4355</v>
      </c>
      <c r="GDW1" s="17" t="s">
        <v>4356</v>
      </c>
      <c r="GDX1" s="17" t="s">
        <v>4357</v>
      </c>
      <c r="GDY1" s="17" t="s">
        <v>4358</v>
      </c>
      <c r="GDZ1" s="17" t="s">
        <v>4359</v>
      </c>
      <c r="GEA1" s="17" t="s">
        <v>4360</v>
      </c>
      <c r="GEB1" s="17" t="s">
        <v>4361</v>
      </c>
      <c r="GEC1" s="17" t="s">
        <v>4362</v>
      </c>
      <c r="GED1" s="17" t="s">
        <v>4363</v>
      </c>
      <c r="GEE1" s="17" t="s">
        <v>4364</v>
      </c>
      <c r="GEF1" s="17" t="s">
        <v>4365</v>
      </c>
      <c r="GEG1" s="17" t="s">
        <v>4366</v>
      </c>
      <c r="GEH1" s="17" t="s">
        <v>4367</v>
      </c>
      <c r="GEI1" s="17" t="s">
        <v>4368</v>
      </c>
      <c r="GEJ1" s="17" t="s">
        <v>4369</v>
      </c>
      <c r="GEK1" s="17" t="s">
        <v>4370</v>
      </c>
      <c r="GEL1" s="17" t="s">
        <v>4371</v>
      </c>
      <c r="GEM1" s="17" t="s">
        <v>4372</v>
      </c>
      <c r="GEN1" s="17" t="s">
        <v>4373</v>
      </c>
      <c r="GEO1" s="17" t="s">
        <v>4374</v>
      </c>
      <c r="GEP1" s="17" t="s">
        <v>4375</v>
      </c>
      <c r="GEQ1" s="17" t="s">
        <v>4376</v>
      </c>
      <c r="GER1" s="17" t="s">
        <v>4377</v>
      </c>
      <c r="GES1" s="17" t="s">
        <v>4378</v>
      </c>
      <c r="GET1" s="17" t="s">
        <v>4379</v>
      </c>
      <c r="GEU1" s="17" t="s">
        <v>4380</v>
      </c>
      <c r="GEV1" s="17" t="s">
        <v>4381</v>
      </c>
      <c r="GEW1" s="17" t="s">
        <v>4382</v>
      </c>
      <c r="GEX1" s="17" t="s">
        <v>4383</v>
      </c>
      <c r="GEY1" s="17" t="s">
        <v>4384</v>
      </c>
      <c r="GEZ1" s="17" t="s">
        <v>4385</v>
      </c>
      <c r="GFA1" s="17" t="s">
        <v>4386</v>
      </c>
      <c r="GFB1" s="17" t="s">
        <v>4387</v>
      </c>
      <c r="GFC1" s="17" t="s">
        <v>4388</v>
      </c>
      <c r="GFD1" s="17" t="s">
        <v>4389</v>
      </c>
      <c r="GFE1" s="17" t="s">
        <v>4390</v>
      </c>
      <c r="GFF1" s="17" t="s">
        <v>4391</v>
      </c>
      <c r="GFG1" s="17" t="s">
        <v>4392</v>
      </c>
      <c r="GFH1" s="17" t="s">
        <v>4393</v>
      </c>
      <c r="GFI1" s="17" t="s">
        <v>4394</v>
      </c>
      <c r="GFJ1" s="17" t="s">
        <v>4395</v>
      </c>
      <c r="GFK1" s="17" t="s">
        <v>4396</v>
      </c>
      <c r="GFL1" s="17" t="s">
        <v>4397</v>
      </c>
      <c r="GFM1" s="17" t="s">
        <v>4398</v>
      </c>
      <c r="GFN1" s="17" t="s">
        <v>4399</v>
      </c>
      <c r="GFO1" s="17" t="s">
        <v>4400</v>
      </c>
      <c r="GFP1" s="17" t="s">
        <v>4401</v>
      </c>
      <c r="GFQ1" s="17" t="s">
        <v>4402</v>
      </c>
      <c r="GFR1" s="17" t="s">
        <v>4403</v>
      </c>
      <c r="GFS1" s="17" t="s">
        <v>4404</v>
      </c>
      <c r="GFT1" s="17" t="s">
        <v>4405</v>
      </c>
      <c r="GFU1" s="17" t="s">
        <v>4406</v>
      </c>
      <c r="GFV1" s="17" t="s">
        <v>4407</v>
      </c>
      <c r="GFW1" s="17" t="s">
        <v>4408</v>
      </c>
      <c r="GFX1" s="17" t="s">
        <v>4409</v>
      </c>
      <c r="GFY1" s="17" t="s">
        <v>4410</v>
      </c>
      <c r="GFZ1" s="17" t="s">
        <v>4411</v>
      </c>
      <c r="GGA1" s="17" t="s">
        <v>4412</v>
      </c>
      <c r="GGB1" s="17" t="s">
        <v>4413</v>
      </c>
      <c r="GGC1" s="17" t="s">
        <v>4414</v>
      </c>
      <c r="GGD1" s="17" t="s">
        <v>4415</v>
      </c>
      <c r="GGE1" s="17" t="s">
        <v>4416</v>
      </c>
      <c r="GGF1" s="17" t="s">
        <v>4417</v>
      </c>
      <c r="GGG1" s="17" t="s">
        <v>4418</v>
      </c>
      <c r="GGH1" s="17" t="s">
        <v>4419</v>
      </c>
      <c r="GGI1" s="17" t="s">
        <v>4420</v>
      </c>
      <c r="GGJ1" s="17" t="s">
        <v>4421</v>
      </c>
      <c r="GGK1" s="17" t="s">
        <v>4422</v>
      </c>
      <c r="GGL1" s="17" t="s">
        <v>4423</v>
      </c>
      <c r="GGM1" s="17" t="s">
        <v>4424</v>
      </c>
      <c r="GGN1" s="17" t="s">
        <v>4425</v>
      </c>
      <c r="GGO1" s="17" t="s">
        <v>4426</v>
      </c>
      <c r="GGP1" s="17" t="s">
        <v>4427</v>
      </c>
      <c r="GGQ1" s="17" t="s">
        <v>4428</v>
      </c>
      <c r="GGR1" s="17" t="s">
        <v>4429</v>
      </c>
      <c r="GGS1" s="17" t="s">
        <v>4430</v>
      </c>
      <c r="GGT1" s="17" t="s">
        <v>4431</v>
      </c>
      <c r="GGU1" s="17" t="s">
        <v>4432</v>
      </c>
      <c r="GGV1" s="17" t="s">
        <v>4433</v>
      </c>
      <c r="GGW1" s="17" t="s">
        <v>4434</v>
      </c>
      <c r="GGX1" s="17" t="s">
        <v>4435</v>
      </c>
      <c r="GGY1" s="17" t="s">
        <v>4436</v>
      </c>
      <c r="GGZ1" s="17" t="s">
        <v>4437</v>
      </c>
      <c r="GHA1" s="17" t="s">
        <v>4438</v>
      </c>
      <c r="GHB1" s="17" t="s">
        <v>4439</v>
      </c>
      <c r="GHC1" s="17" t="s">
        <v>4440</v>
      </c>
      <c r="GHD1" s="17" t="s">
        <v>4441</v>
      </c>
      <c r="GHE1" s="17" t="s">
        <v>4442</v>
      </c>
      <c r="GHF1" s="17" t="s">
        <v>4443</v>
      </c>
      <c r="GHG1" s="17" t="s">
        <v>4444</v>
      </c>
      <c r="GHH1" s="17" t="s">
        <v>4445</v>
      </c>
      <c r="GHI1" s="17" t="s">
        <v>4446</v>
      </c>
      <c r="GHJ1" s="17" t="s">
        <v>4447</v>
      </c>
      <c r="GHK1" s="17" t="s">
        <v>4448</v>
      </c>
      <c r="GHL1" s="17" t="s">
        <v>4449</v>
      </c>
      <c r="GHM1" s="17" t="s">
        <v>4450</v>
      </c>
      <c r="GHN1" s="17" t="s">
        <v>4451</v>
      </c>
      <c r="GHO1" s="17" t="s">
        <v>4452</v>
      </c>
      <c r="GHP1" s="17" t="s">
        <v>4453</v>
      </c>
      <c r="GHQ1" s="17" t="s">
        <v>4454</v>
      </c>
      <c r="GHR1" s="17" t="s">
        <v>4455</v>
      </c>
      <c r="GHS1" s="17" t="s">
        <v>4456</v>
      </c>
      <c r="GHT1" s="17" t="s">
        <v>4457</v>
      </c>
      <c r="GHU1" s="17" t="s">
        <v>4458</v>
      </c>
      <c r="GHV1" s="17" t="s">
        <v>4459</v>
      </c>
      <c r="GHW1" s="17" t="s">
        <v>4460</v>
      </c>
      <c r="GHX1" s="17" t="s">
        <v>4461</v>
      </c>
      <c r="GHY1" s="17" t="s">
        <v>4462</v>
      </c>
      <c r="GHZ1" s="17" t="s">
        <v>4463</v>
      </c>
      <c r="GIA1" s="17" t="s">
        <v>4464</v>
      </c>
      <c r="GIB1" s="17" t="s">
        <v>4465</v>
      </c>
      <c r="GIC1" s="17" t="s">
        <v>4466</v>
      </c>
      <c r="GID1" s="17" t="s">
        <v>4467</v>
      </c>
      <c r="GIE1" s="17" t="s">
        <v>4468</v>
      </c>
      <c r="GIF1" s="17" t="s">
        <v>4469</v>
      </c>
      <c r="GIG1" s="17" t="s">
        <v>4470</v>
      </c>
      <c r="GIH1" s="17" t="s">
        <v>4471</v>
      </c>
      <c r="GII1" s="17" t="s">
        <v>4472</v>
      </c>
      <c r="GIJ1" s="17" t="s">
        <v>4473</v>
      </c>
      <c r="GIK1" s="17" t="s">
        <v>4474</v>
      </c>
      <c r="GIL1" s="17" t="s">
        <v>4475</v>
      </c>
      <c r="GIM1" s="17" t="s">
        <v>4476</v>
      </c>
      <c r="GIN1" s="17" t="s">
        <v>4477</v>
      </c>
      <c r="GIO1" s="17" t="s">
        <v>4478</v>
      </c>
      <c r="GIP1" s="17" t="s">
        <v>4479</v>
      </c>
      <c r="GIQ1" s="17" t="s">
        <v>4480</v>
      </c>
      <c r="GIR1" s="17" t="s">
        <v>4481</v>
      </c>
      <c r="GIS1" s="17" t="s">
        <v>4482</v>
      </c>
      <c r="GIT1" s="17" t="s">
        <v>4483</v>
      </c>
      <c r="GIU1" s="17" t="s">
        <v>4484</v>
      </c>
      <c r="GIV1" s="17" t="s">
        <v>4485</v>
      </c>
      <c r="GIW1" s="17" t="s">
        <v>4486</v>
      </c>
      <c r="GIX1" s="17" t="s">
        <v>4487</v>
      </c>
      <c r="GIY1" s="17" t="s">
        <v>4488</v>
      </c>
      <c r="GIZ1" s="17" t="s">
        <v>4489</v>
      </c>
      <c r="GJA1" s="17" t="s">
        <v>4490</v>
      </c>
      <c r="GJB1" s="17" t="s">
        <v>4491</v>
      </c>
      <c r="GJC1" s="17" t="s">
        <v>4492</v>
      </c>
      <c r="GJD1" s="17" t="s">
        <v>4493</v>
      </c>
      <c r="GJE1" s="17" t="s">
        <v>4494</v>
      </c>
      <c r="GJF1" s="17" t="s">
        <v>4495</v>
      </c>
      <c r="GJG1" s="17" t="s">
        <v>4496</v>
      </c>
      <c r="GJH1" s="17" t="s">
        <v>4497</v>
      </c>
      <c r="GJI1" s="17" t="s">
        <v>4498</v>
      </c>
      <c r="GJJ1" s="17" t="s">
        <v>4499</v>
      </c>
      <c r="GJK1" s="17" t="s">
        <v>4500</v>
      </c>
      <c r="GJL1" s="17" t="s">
        <v>4501</v>
      </c>
      <c r="GJM1" s="17" t="s">
        <v>4502</v>
      </c>
      <c r="GJN1" s="17" t="s">
        <v>4503</v>
      </c>
      <c r="GJO1" s="17" t="s">
        <v>4504</v>
      </c>
      <c r="GJP1" s="17" t="s">
        <v>4505</v>
      </c>
      <c r="GJQ1" s="17" t="s">
        <v>4506</v>
      </c>
      <c r="GJR1" s="17" t="s">
        <v>4507</v>
      </c>
      <c r="GJS1" s="17" t="s">
        <v>4508</v>
      </c>
      <c r="GJT1" s="17" t="s">
        <v>4509</v>
      </c>
      <c r="GJU1" s="17" t="s">
        <v>4510</v>
      </c>
      <c r="GJV1" s="17" t="s">
        <v>4511</v>
      </c>
      <c r="GJW1" s="17" t="s">
        <v>4512</v>
      </c>
      <c r="GJX1" s="17" t="s">
        <v>4513</v>
      </c>
      <c r="GJY1" s="17" t="s">
        <v>4514</v>
      </c>
      <c r="GJZ1" s="17" t="s">
        <v>4515</v>
      </c>
      <c r="GKA1" s="17" t="s">
        <v>4516</v>
      </c>
      <c r="GKB1" s="17" t="s">
        <v>4517</v>
      </c>
      <c r="GKC1" s="17" t="s">
        <v>4518</v>
      </c>
      <c r="GKD1" s="17" t="s">
        <v>4519</v>
      </c>
      <c r="GKE1" s="17" t="s">
        <v>4520</v>
      </c>
      <c r="GKF1" s="17" t="s">
        <v>4521</v>
      </c>
      <c r="GKG1" s="17" t="s">
        <v>4522</v>
      </c>
      <c r="GKH1" s="17" t="s">
        <v>4523</v>
      </c>
      <c r="GKI1" s="17" t="s">
        <v>4524</v>
      </c>
      <c r="GKJ1" s="17" t="s">
        <v>4525</v>
      </c>
      <c r="GKK1" s="17" t="s">
        <v>4526</v>
      </c>
      <c r="GKL1" s="17" t="s">
        <v>4527</v>
      </c>
      <c r="GKM1" s="17" t="s">
        <v>4528</v>
      </c>
      <c r="GKN1" s="17" t="s">
        <v>4529</v>
      </c>
      <c r="GKO1" s="17" t="s">
        <v>4530</v>
      </c>
      <c r="GKP1" s="17" t="s">
        <v>4531</v>
      </c>
      <c r="GKQ1" s="17" t="s">
        <v>4532</v>
      </c>
      <c r="GKR1" s="17" t="s">
        <v>4533</v>
      </c>
      <c r="GKS1" s="17" t="s">
        <v>4534</v>
      </c>
      <c r="GKT1" s="17" t="s">
        <v>4535</v>
      </c>
      <c r="GKU1" s="17" t="s">
        <v>4536</v>
      </c>
      <c r="GKV1" s="17" t="s">
        <v>4537</v>
      </c>
      <c r="GKW1" s="17" t="s">
        <v>4538</v>
      </c>
      <c r="GKX1" s="17" t="s">
        <v>4539</v>
      </c>
      <c r="GKY1" s="17" t="s">
        <v>4540</v>
      </c>
      <c r="GKZ1" s="17" t="s">
        <v>4541</v>
      </c>
      <c r="GLA1" s="17" t="s">
        <v>4542</v>
      </c>
      <c r="GLB1" s="17" t="s">
        <v>4543</v>
      </c>
      <c r="GLC1" s="17" t="s">
        <v>4544</v>
      </c>
      <c r="GLD1" s="17" t="s">
        <v>4545</v>
      </c>
      <c r="GLE1" s="17" t="s">
        <v>4546</v>
      </c>
      <c r="GLF1" s="17" t="s">
        <v>4547</v>
      </c>
      <c r="GLG1" s="17" t="s">
        <v>4548</v>
      </c>
      <c r="GLH1" s="17" t="s">
        <v>4549</v>
      </c>
      <c r="GLI1" s="17" t="s">
        <v>4550</v>
      </c>
      <c r="GLJ1" s="17" t="s">
        <v>4551</v>
      </c>
      <c r="GLK1" s="17" t="s">
        <v>4552</v>
      </c>
      <c r="GLL1" s="17" t="s">
        <v>4553</v>
      </c>
      <c r="GLM1" s="17" t="s">
        <v>4554</v>
      </c>
      <c r="GLN1" s="17" t="s">
        <v>4555</v>
      </c>
      <c r="GLO1" s="17" t="s">
        <v>4556</v>
      </c>
      <c r="GLP1" s="17" t="s">
        <v>4557</v>
      </c>
      <c r="GLQ1" s="17" t="s">
        <v>4558</v>
      </c>
      <c r="GLR1" s="17" t="s">
        <v>4559</v>
      </c>
      <c r="GLS1" s="17" t="s">
        <v>4560</v>
      </c>
      <c r="GLT1" s="17" t="s">
        <v>4561</v>
      </c>
      <c r="GLU1" s="17" t="s">
        <v>4562</v>
      </c>
      <c r="GLV1" s="17" t="s">
        <v>4563</v>
      </c>
      <c r="GLW1" s="17" t="s">
        <v>4564</v>
      </c>
      <c r="GLX1" s="17" t="s">
        <v>4565</v>
      </c>
      <c r="GLY1" s="17" t="s">
        <v>4566</v>
      </c>
      <c r="GLZ1" s="17" t="s">
        <v>4567</v>
      </c>
      <c r="GMA1" s="17" t="s">
        <v>4568</v>
      </c>
      <c r="GMB1" s="17" t="s">
        <v>4569</v>
      </c>
      <c r="GMC1" s="17" t="s">
        <v>4570</v>
      </c>
      <c r="GMD1" s="17" t="s">
        <v>4571</v>
      </c>
      <c r="GME1" s="17" t="s">
        <v>4572</v>
      </c>
      <c r="GMF1" s="17" t="s">
        <v>4573</v>
      </c>
      <c r="GMG1" s="17" t="s">
        <v>4574</v>
      </c>
      <c r="GMH1" s="17" t="s">
        <v>4575</v>
      </c>
      <c r="GMI1" s="17" t="s">
        <v>4576</v>
      </c>
      <c r="GMJ1" s="17" t="s">
        <v>4577</v>
      </c>
      <c r="GMK1" s="17" t="s">
        <v>4578</v>
      </c>
      <c r="GML1" s="17" t="s">
        <v>4579</v>
      </c>
      <c r="GMM1" s="17" t="s">
        <v>4580</v>
      </c>
      <c r="GMN1" s="17" t="s">
        <v>4581</v>
      </c>
      <c r="GMO1" s="17" t="s">
        <v>4582</v>
      </c>
      <c r="GMP1" s="17" t="s">
        <v>4583</v>
      </c>
      <c r="GMQ1" s="17" t="s">
        <v>4584</v>
      </c>
      <c r="GMR1" s="17" t="s">
        <v>4585</v>
      </c>
      <c r="GMS1" s="17" t="s">
        <v>4586</v>
      </c>
      <c r="GMT1" s="17" t="s">
        <v>4587</v>
      </c>
      <c r="GMU1" s="17" t="s">
        <v>4588</v>
      </c>
      <c r="GMV1" s="17" t="s">
        <v>4589</v>
      </c>
      <c r="GMW1" s="17" t="s">
        <v>4590</v>
      </c>
      <c r="GMX1" s="17" t="s">
        <v>4591</v>
      </c>
      <c r="GMY1" s="17" t="s">
        <v>4592</v>
      </c>
      <c r="GMZ1" s="17" t="s">
        <v>4593</v>
      </c>
      <c r="GNA1" s="17" t="s">
        <v>4594</v>
      </c>
      <c r="GNB1" s="17" t="s">
        <v>4595</v>
      </c>
      <c r="GNC1" s="17" t="s">
        <v>4596</v>
      </c>
      <c r="GND1" s="17" t="s">
        <v>4597</v>
      </c>
      <c r="GNE1" s="17" t="s">
        <v>4598</v>
      </c>
      <c r="GNF1" s="17" t="s">
        <v>4599</v>
      </c>
      <c r="GNG1" s="17" t="s">
        <v>4600</v>
      </c>
      <c r="GNH1" s="17" t="s">
        <v>4601</v>
      </c>
      <c r="GNI1" s="17" t="s">
        <v>4602</v>
      </c>
      <c r="GNJ1" s="17" t="s">
        <v>4603</v>
      </c>
      <c r="GNK1" s="17" t="s">
        <v>4604</v>
      </c>
      <c r="GNL1" s="17" t="s">
        <v>4605</v>
      </c>
      <c r="GNM1" s="17" t="s">
        <v>4606</v>
      </c>
      <c r="GNN1" s="17" t="s">
        <v>4607</v>
      </c>
      <c r="GNO1" s="17" t="s">
        <v>4608</v>
      </c>
      <c r="GNP1" s="17" t="s">
        <v>4609</v>
      </c>
      <c r="GNQ1" s="17" t="s">
        <v>4610</v>
      </c>
      <c r="GNR1" s="17" t="s">
        <v>4611</v>
      </c>
      <c r="GNS1" s="17" t="s">
        <v>4612</v>
      </c>
      <c r="GNT1" s="17" t="s">
        <v>4613</v>
      </c>
      <c r="GNU1" s="17" t="s">
        <v>4614</v>
      </c>
      <c r="GNV1" s="17" t="s">
        <v>4615</v>
      </c>
      <c r="GNW1" s="17" t="s">
        <v>4616</v>
      </c>
      <c r="GNX1" s="17" t="s">
        <v>4617</v>
      </c>
      <c r="GNY1" s="17" t="s">
        <v>4618</v>
      </c>
      <c r="GNZ1" s="17" t="s">
        <v>4619</v>
      </c>
      <c r="GOA1" s="17" t="s">
        <v>4620</v>
      </c>
      <c r="GOB1" s="17" t="s">
        <v>4621</v>
      </c>
      <c r="GOC1" s="17" t="s">
        <v>4622</v>
      </c>
      <c r="GOD1" s="17" t="s">
        <v>4623</v>
      </c>
      <c r="GOE1" s="17" t="s">
        <v>4624</v>
      </c>
      <c r="GOF1" s="17" t="s">
        <v>4625</v>
      </c>
      <c r="GOG1" s="17" t="s">
        <v>4626</v>
      </c>
      <c r="GOH1" s="17" t="s">
        <v>4627</v>
      </c>
      <c r="GOI1" s="17" t="s">
        <v>4628</v>
      </c>
      <c r="GOJ1" s="17" t="s">
        <v>4629</v>
      </c>
      <c r="GOK1" s="17" t="s">
        <v>4630</v>
      </c>
      <c r="GOL1" s="17" t="s">
        <v>4631</v>
      </c>
      <c r="GOM1" s="17" t="s">
        <v>4632</v>
      </c>
      <c r="GON1" s="17" t="s">
        <v>4633</v>
      </c>
      <c r="GOO1" s="17" t="s">
        <v>4634</v>
      </c>
      <c r="GOP1" s="17" t="s">
        <v>4635</v>
      </c>
      <c r="GOQ1" s="17" t="s">
        <v>4636</v>
      </c>
      <c r="GOR1" s="17" t="s">
        <v>4637</v>
      </c>
      <c r="GOS1" s="17" t="s">
        <v>4638</v>
      </c>
      <c r="GOT1" s="17" t="s">
        <v>4639</v>
      </c>
      <c r="GOU1" s="17" t="s">
        <v>4640</v>
      </c>
      <c r="GOV1" s="17" t="s">
        <v>4641</v>
      </c>
      <c r="GOW1" s="17" t="s">
        <v>4642</v>
      </c>
      <c r="GOX1" s="17" t="s">
        <v>4643</v>
      </c>
      <c r="GOY1" s="17" t="s">
        <v>4644</v>
      </c>
      <c r="GOZ1" s="17" t="s">
        <v>4645</v>
      </c>
      <c r="GPA1" s="17" t="s">
        <v>4646</v>
      </c>
      <c r="GPB1" s="17" t="s">
        <v>4647</v>
      </c>
      <c r="GPC1" s="17" t="s">
        <v>4648</v>
      </c>
      <c r="GPD1" s="17" t="s">
        <v>4649</v>
      </c>
      <c r="GPE1" s="17" t="s">
        <v>4650</v>
      </c>
      <c r="GPF1" s="17" t="s">
        <v>4651</v>
      </c>
      <c r="GPG1" s="17" t="s">
        <v>4652</v>
      </c>
      <c r="GPH1" s="17" t="s">
        <v>4653</v>
      </c>
      <c r="GPI1" s="17" t="s">
        <v>4654</v>
      </c>
      <c r="GPJ1" s="17" t="s">
        <v>4655</v>
      </c>
      <c r="GPK1" s="17" t="s">
        <v>4656</v>
      </c>
      <c r="GPL1" s="17" t="s">
        <v>4657</v>
      </c>
      <c r="GPM1" s="17" t="s">
        <v>4658</v>
      </c>
      <c r="GPN1" s="17" t="s">
        <v>4659</v>
      </c>
      <c r="GPO1" s="17" t="s">
        <v>4660</v>
      </c>
      <c r="GPP1" s="17" t="s">
        <v>4661</v>
      </c>
      <c r="GPQ1" s="17" t="s">
        <v>4662</v>
      </c>
      <c r="GPR1" s="17" t="s">
        <v>4663</v>
      </c>
      <c r="GPS1" s="17" t="s">
        <v>4664</v>
      </c>
      <c r="GPT1" s="17" t="s">
        <v>4665</v>
      </c>
      <c r="GPU1" s="17" t="s">
        <v>4666</v>
      </c>
      <c r="GPV1" s="17" t="s">
        <v>4667</v>
      </c>
      <c r="GPW1" s="17" t="s">
        <v>4668</v>
      </c>
      <c r="GPX1" s="17" t="s">
        <v>4669</v>
      </c>
      <c r="GPY1" s="17" t="s">
        <v>4670</v>
      </c>
      <c r="GPZ1" s="17" t="s">
        <v>4671</v>
      </c>
      <c r="GQA1" s="17" t="s">
        <v>4672</v>
      </c>
      <c r="GQB1" s="17" t="s">
        <v>4673</v>
      </c>
      <c r="GQC1" s="17" t="s">
        <v>4674</v>
      </c>
      <c r="GQD1" s="17" t="s">
        <v>4675</v>
      </c>
      <c r="GQE1" s="17" t="s">
        <v>4676</v>
      </c>
      <c r="GQF1" s="17" t="s">
        <v>4677</v>
      </c>
      <c r="GQG1" s="17" t="s">
        <v>4678</v>
      </c>
      <c r="GQH1" s="17" t="s">
        <v>4679</v>
      </c>
      <c r="GQI1" s="17" t="s">
        <v>4680</v>
      </c>
      <c r="GQJ1" s="17" t="s">
        <v>4681</v>
      </c>
      <c r="GQK1" s="17" t="s">
        <v>4682</v>
      </c>
      <c r="GQL1" s="17" t="s">
        <v>4683</v>
      </c>
      <c r="GQM1" s="17" t="s">
        <v>4684</v>
      </c>
      <c r="GQN1" s="17" t="s">
        <v>4685</v>
      </c>
      <c r="GQO1" s="17" t="s">
        <v>4686</v>
      </c>
      <c r="GQP1" s="17" t="s">
        <v>4687</v>
      </c>
      <c r="GQQ1" s="17" t="s">
        <v>4688</v>
      </c>
      <c r="GQR1" s="17" t="s">
        <v>4689</v>
      </c>
      <c r="GQS1" s="17" t="s">
        <v>4690</v>
      </c>
      <c r="GQT1" s="17" t="s">
        <v>4691</v>
      </c>
      <c r="GQU1" s="17" t="s">
        <v>4692</v>
      </c>
      <c r="GQV1" s="17" t="s">
        <v>4693</v>
      </c>
      <c r="GQW1" s="17" t="s">
        <v>4694</v>
      </c>
      <c r="GQX1" s="17" t="s">
        <v>4695</v>
      </c>
      <c r="GQY1" s="17" t="s">
        <v>4696</v>
      </c>
      <c r="GQZ1" s="17" t="s">
        <v>4697</v>
      </c>
      <c r="GRA1" s="17" t="s">
        <v>4698</v>
      </c>
      <c r="GRB1" s="17" t="s">
        <v>4699</v>
      </c>
      <c r="GRC1" s="17" t="s">
        <v>4700</v>
      </c>
      <c r="GRD1" s="17" t="s">
        <v>4701</v>
      </c>
      <c r="GRE1" s="17" t="s">
        <v>4702</v>
      </c>
      <c r="GRF1" s="17" t="s">
        <v>4703</v>
      </c>
      <c r="GRG1" s="17" t="s">
        <v>4704</v>
      </c>
      <c r="GRH1" s="17" t="s">
        <v>4705</v>
      </c>
      <c r="GRI1" s="17" t="s">
        <v>4706</v>
      </c>
      <c r="GRJ1" s="17" t="s">
        <v>4707</v>
      </c>
      <c r="GRK1" s="17" t="s">
        <v>4708</v>
      </c>
      <c r="GRL1" s="17" t="s">
        <v>4709</v>
      </c>
      <c r="GRM1" s="17" t="s">
        <v>4710</v>
      </c>
      <c r="GRN1" s="17" t="s">
        <v>4711</v>
      </c>
      <c r="GRO1" s="17" t="s">
        <v>4712</v>
      </c>
      <c r="GRP1" s="17" t="s">
        <v>4713</v>
      </c>
      <c r="GRQ1" s="17" t="s">
        <v>4714</v>
      </c>
      <c r="GRR1" s="17" t="s">
        <v>4715</v>
      </c>
      <c r="GRS1" s="17" t="s">
        <v>4716</v>
      </c>
      <c r="GRT1" s="17" t="s">
        <v>4717</v>
      </c>
      <c r="GRU1" s="17" t="s">
        <v>4718</v>
      </c>
      <c r="GRV1" s="17" t="s">
        <v>4719</v>
      </c>
      <c r="GRW1" s="17" t="s">
        <v>4720</v>
      </c>
      <c r="GRX1" s="17" t="s">
        <v>4721</v>
      </c>
      <c r="GRY1" s="17" t="s">
        <v>4722</v>
      </c>
      <c r="GRZ1" s="17" t="s">
        <v>4723</v>
      </c>
      <c r="GSA1" s="17" t="s">
        <v>4724</v>
      </c>
      <c r="GSB1" s="17" t="s">
        <v>4725</v>
      </c>
      <c r="GSC1" s="17" t="s">
        <v>4726</v>
      </c>
      <c r="GSD1" s="17" t="s">
        <v>4727</v>
      </c>
      <c r="GSE1" s="17" t="s">
        <v>4728</v>
      </c>
      <c r="GSF1" s="17" t="s">
        <v>4729</v>
      </c>
      <c r="GSG1" s="17" t="s">
        <v>4730</v>
      </c>
      <c r="GSH1" s="17" t="s">
        <v>4731</v>
      </c>
      <c r="GSI1" s="17" t="s">
        <v>4732</v>
      </c>
      <c r="GSJ1" s="17" t="s">
        <v>4733</v>
      </c>
      <c r="GSK1" s="17" t="s">
        <v>4734</v>
      </c>
      <c r="GSL1" s="17" t="s">
        <v>4735</v>
      </c>
      <c r="GSM1" s="17" t="s">
        <v>4736</v>
      </c>
      <c r="GSN1" s="17" t="s">
        <v>4737</v>
      </c>
      <c r="GSO1" s="17" t="s">
        <v>4738</v>
      </c>
      <c r="GSP1" s="17" t="s">
        <v>4739</v>
      </c>
      <c r="GSQ1" s="17" t="s">
        <v>4740</v>
      </c>
      <c r="GSR1" s="17" t="s">
        <v>4741</v>
      </c>
      <c r="GSS1" s="17" t="s">
        <v>4742</v>
      </c>
      <c r="GST1" s="17" t="s">
        <v>4743</v>
      </c>
      <c r="GSU1" s="17" t="s">
        <v>4744</v>
      </c>
      <c r="GSV1" s="17" t="s">
        <v>4745</v>
      </c>
      <c r="GSW1" s="17" t="s">
        <v>4746</v>
      </c>
      <c r="GSX1" s="17" t="s">
        <v>4747</v>
      </c>
      <c r="GSY1" s="17" t="s">
        <v>4748</v>
      </c>
      <c r="GSZ1" s="17" t="s">
        <v>4749</v>
      </c>
      <c r="GTA1" s="17" t="s">
        <v>4750</v>
      </c>
      <c r="GTB1" s="17" t="s">
        <v>4751</v>
      </c>
      <c r="GTC1" s="17" t="s">
        <v>4752</v>
      </c>
      <c r="GTD1" s="17" t="s">
        <v>4753</v>
      </c>
      <c r="GTE1" s="17" t="s">
        <v>4754</v>
      </c>
      <c r="GTF1" s="17" t="s">
        <v>4755</v>
      </c>
      <c r="GTG1" s="17" t="s">
        <v>4756</v>
      </c>
      <c r="GTH1" s="17" t="s">
        <v>4757</v>
      </c>
      <c r="GTI1" s="17" t="s">
        <v>4758</v>
      </c>
      <c r="GTJ1" s="17" t="s">
        <v>4759</v>
      </c>
      <c r="GTK1" s="17" t="s">
        <v>4760</v>
      </c>
      <c r="GTL1" s="17" t="s">
        <v>4761</v>
      </c>
      <c r="GTM1" s="17" t="s">
        <v>4762</v>
      </c>
      <c r="GTN1" s="17" t="s">
        <v>4763</v>
      </c>
      <c r="GTO1" s="17" t="s">
        <v>4764</v>
      </c>
      <c r="GTP1" s="17" t="s">
        <v>4765</v>
      </c>
      <c r="GTQ1" s="17" t="s">
        <v>4766</v>
      </c>
      <c r="GTR1" s="17" t="s">
        <v>4767</v>
      </c>
      <c r="GTS1" s="17" t="s">
        <v>4768</v>
      </c>
      <c r="GTT1" s="17" t="s">
        <v>4769</v>
      </c>
      <c r="GTU1" s="17" t="s">
        <v>4770</v>
      </c>
      <c r="GTV1" s="17" t="s">
        <v>4771</v>
      </c>
      <c r="GTW1" s="17" t="s">
        <v>4772</v>
      </c>
      <c r="GTX1" s="17" t="s">
        <v>4773</v>
      </c>
      <c r="GTY1" s="17" t="s">
        <v>4774</v>
      </c>
      <c r="GTZ1" s="17" t="s">
        <v>4775</v>
      </c>
      <c r="GUA1" s="17" t="s">
        <v>4776</v>
      </c>
      <c r="GUB1" s="17" t="s">
        <v>4777</v>
      </c>
      <c r="GUC1" s="17" t="s">
        <v>4778</v>
      </c>
      <c r="GUD1" s="17" t="s">
        <v>4779</v>
      </c>
      <c r="GUE1" s="17" t="s">
        <v>4780</v>
      </c>
      <c r="GUF1" s="17" t="s">
        <v>4781</v>
      </c>
      <c r="GUG1" s="17" t="s">
        <v>4782</v>
      </c>
      <c r="GUH1" s="17" t="s">
        <v>4783</v>
      </c>
      <c r="GUI1" s="17" t="s">
        <v>4784</v>
      </c>
      <c r="GUJ1" s="17" t="s">
        <v>4785</v>
      </c>
      <c r="GUK1" s="17" t="s">
        <v>4786</v>
      </c>
      <c r="GUL1" s="17" t="s">
        <v>4787</v>
      </c>
      <c r="GUM1" s="17" t="s">
        <v>4788</v>
      </c>
      <c r="GUN1" s="17" t="s">
        <v>4789</v>
      </c>
      <c r="GUO1" s="17" t="s">
        <v>4790</v>
      </c>
      <c r="GUP1" s="17" t="s">
        <v>4791</v>
      </c>
      <c r="GUQ1" s="17" t="s">
        <v>4792</v>
      </c>
      <c r="GUR1" s="17" t="s">
        <v>4793</v>
      </c>
      <c r="GUS1" s="17" t="s">
        <v>4794</v>
      </c>
      <c r="GUT1" s="17" t="s">
        <v>4795</v>
      </c>
      <c r="GUU1" s="17" t="s">
        <v>4796</v>
      </c>
      <c r="GUV1" s="17" t="s">
        <v>4797</v>
      </c>
      <c r="GUW1" s="17" t="s">
        <v>4798</v>
      </c>
      <c r="GUX1" s="17" t="s">
        <v>4799</v>
      </c>
      <c r="GUY1" s="17" t="s">
        <v>4800</v>
      </c>
      <c r="GUZ1" s="17" t="s">
        <v>4801</v>
      </c>
      <c r="GVA1" s="17" t="s">
        <v>4802</v>
      </c>
      <c r="GVB1" s="17" t="s">
        <v>4803</v>
      </c>
      <c r="GVC1" s="17" t="s">
        <v>4804</v>
      </c>
      <c r="GVD1" s="17" t="s">
        <v>4805</v>
      </c>
      <c r="GVE1" s="17" t="s">
        <v>4806</v>
      </c>
      <c r="GVF1" s="17" t="s">
        <v>4807</v>
      </c>
      <c r="GVG1" s="17" t="s">
        <v>4808</v>
      </c>
      <c r="GVH1" s="17" t="s">
        <v>4809</v>
      </c>
      <c r="GVI1" s="17" t="s">
        <v>4810</v>
      </c>
      <c r="GVJ1" s="17" t="s">
        <v>4811</v>
      </c>
      <c r="GVK1" s="17" t="s">
        <v>4812</v>
      </c>
      <c r="GVL1" s="17" t="s">
        <v>4813</v>
      </c>
      <c r="GVM1" s="17" t="s">
        <v>4814</v>
      </c>
      <c r="GVN1" s="17" t="s">
        <v>4815</v>
      </c>
      <c r="GVO1" s="17" t="s">
        <v>4816</v>
      </c>
      <c r="GVP1" s="17" t="s">
        <v>4817</v>
      </c>
      <c r="GVQ1" s="17" t="s">
        <v>4818</v>
      </c>
      <c r="GVR1" s="17" t="s">
        <v>4819</v>
      </c>
      <c r="GVS1" s="17" t="s">
        <v>4820</v>
      </c>
      <c r="GVT1" s="17" t="s">
        <v>4821</v>
      </c>
      <c r="GVU1" s="17" t="s">
        <v>4822</v>
      </c>
      <c r="GVV1" s="17" t="s">
        <v>4823</v>
      </c>
      <c r="GVW1" s="17" t="s">
        <v>4824</v>
      </c>
      <c r="GVX1" s="17" t="s">
        <v>4825</v>
      </c>
      <c r="GVY1" s="17" t="s">
        <v>4826</v>
      </c>
      <c r="GVZ1" s="17" t="s">
        <v>4827</v>
      </c>
      <c r="GWA1" s="17" t="s">
        <v>4828</v>
      </c>
      <c r="GWB1" s="17" t="s">
        <v>4829</v>
      </c>
      <c r="GWC1" s="17" t="s">
        <v>4830</v>
      </c>
      <c r="GWD1" s="17" t="s">
        <v>4831</v>
      </c>
      <c r="GWE1" s="17" t="s">
        <v>4832</v>
      </c>
      <c r="GWF1" s="17" t="s">
        <v>4833</v>
      </c>
      <c r="GWG1" s="17" t="s">
        <v>4834</v>
      </c>
      <c r="GWH1" s="17" t="s">
        <v>4835</v>
      </c>
      <c r="GWI1" s="17" t="s">
        <v>4836</v>
      </c>
      <c r="GWJ1" s="17" t="s">
        <v>4837</v>
      </c>
      <c r="GWK1" s="17" t="s">
        <v>4838</v>
      </c>
      <c r="GWL1" s="17" t="s">
        <v>4839</v>
      </c>
      <c r="GWM1" s="17" t="s">
        <v>4840</v>
      </c>
      <c r="GWN1" s="17" t="s">
        <v>4841</v>
      </c>
      <c r="GWO1" s="17" t="s">
        <v>4842</v>
      </c>
      <c r="GWP1" s="17" t="s">
        <v>4843</v>
      </c>
      <c r="GWQ1" s="17" t="s">
        <v>4844</v>
      </c>
      <c r="GWR1" s="17" t="s">
        <v>4845</v>
      </c>
      <c r="GWS1" s="17" t="s">
        <v>4846</v>
      </c>
      <c r="GWT1" s="17" t="s">
        <v>4847</v>
      </c>
      <c r="GWU1" s="17" t="s">
        <v>4848</v>
      </c>
      <c r="GWV1" s="17" t="s">
        <v>4849</v>
      </c>
      <c r="GWW1" s="17" t="s">
        <v>4850</v>
      </c>
      <c r="GWX1" s="17" t="s">
        <v>4851</v>
      </c>
      <c r="GWY1" s="17" t="s">
        <v>4852</v>
      </c>
      <c r="GWZ1" s="17" t="s">
        <v>4853</v>
      </c>
      <c r="GXA1" s="17" t="s">
        <v>4854</v>
      </c>
      <c r="GXB1" s="17" t="s">
        <v>4855</v>
      </c>
      <c r="GXC1" s="17" t="s">
        <v>4856</v>
      </c>
      <c r="GXD1" s="17" t="s">
        <v>4857</v>
      </c>
      <c r="GXE1" s="17" t="s">
        <v>4858</v>
      </c>
      <c r="GXF1" s="17" t="s">
        <v>4859</v>
      </c>
      <c r="GXG1" s="17" t="s">
        <v>4860</v>
      </c>
      <c r="GXH1" s="17" t="s">
        <v>4861</v>
      </c>
      <c r="GXI1" s="17" t="s">
        <v>4862</v>
      </c>
      <c r="GXJ1" s="17" t="s">
        <v>4863</v>
      </c>
      <c r="GXK1" s="17" t="s">
        <v>4864</v>
      </c>
      <c r="GXL1" s="17" t="s">
        <v>4865</v>
      </c>
      <c r="GXM1" s="17" t="s">
        <v>4866</v>
      </c>
      <c r="GXN1" s="17" t="s">
        <v>4867</v>
      </c>
      <c r="GXO1" s="17" t="s">
        <v>4868</v>
      </c>
      <c r="GXP1" s="17" t="s">
        <v>4869</v>
      </c>
      <c r="GXQ1" s="17" t="s">
        <v>4870</v>
      </c>
      <c r="GXR1" s="17" t="s">
        <v>4871</v>
      </c>
      <c r="GXS1" s="17" t="s">
        <v>4872</v>
      </c>
      <c r="GXT1" s="17" t="s">
        <v>4873</v>
      </c>
      <c r="GXU1" s="17" t="s">
        <v>4874</v>
      </c>
      <c r="GXV1" s="17" t="s">
        <v>4875</v>
      </c>
      <c r="GXW1" s="17" t="s">
        <v>4876</v>
      </c>
      <c r="GXX1" s="17" t="s">
        <v>4877</v>
      </c>
      <c r="GXY1" s="17" t="s">
        <v>4878</v>
      </c>
      <c r="GXZ1" s="17" t="s">
        <v>4879</v>
      </c>
      <c r="GYA1" s="17" t="s">
        <v>4880</v>
      </c>
      <c r="GYB1" s="17" t="s">
        <v>4881</v>
      </c>
      <c r="GYC1" s="17" t="s">
        <v>4882</v>
      </c>
      <c r="GYD1" s="17" t="s">
        <v>4883</v>
      </c>
      <c r="GYE1" s="17" t="s">
        <v>4884</v>
      </c>
      <c r="GYF1" s="17" t="s">
        <v>4885</v>
      </c>
      <c r="GYG1" s="17" t="s">
        <v>4886</v>
      </c>
      <c r="GYH1" s="17" t="s">
        <v>4887</v>
      </c>
      <c r="GYI1" s="17" t="s">
        <v>4888</v>
      </c>
      <c r="GYJ1" s="17" t="s">
        <v>4889</v>
      </c>
      <c r="GYK1" s="17" t="s">
        <v>4890</v>
      </c>
      <c r="GYL1" s="17" t="s">
        <v>4891</v>
      </c>
      <c r="GYM1" s="17" t="s">
        <v>4892</v>
      </c>
      <c r="GYN1" s="17" t="s">
        <v>4893</v>
      </c>
      <c r="GYO1" s="17" t="s">
        <v>4894</v>
      </c>
      <c r="GYP1" s="17" t="s">
        <v>4895</v>
      </c>
      <c r="GYQ1" s="17" t="s">
        <v>4896</v>
      </c>
      <c r="GYR1" s="17" t="s">
        <v>4897</v>
      </c>
      <c r="GYS1" s="17" t="s">
        <v>4898</v>
      </c>
      <c r="GYT1" s="17" t="s">
        <v>4899</v>
      </c>
      <c r="GYU1" s="17" t="s">
        <v>4900</v>
      </c>
      <c r="GYV1" s="17" t="s">
        <v>4901</v>
      </c>
      <c r="GYW1" s="17" t="s">
        <v>4902</v>
      </c>
      <c r="GYX1" s="17" t="s">
        <v>4903</v>
      </c>
      <c r="GYY1" s="17" t="s">
        <v>4904</v>
      </c>
      <c r="GYZ1" s="17" t="s">
        <v>4905</v>
      </c>
      <c r="GZA1" s="17" t="s">
        <v>4906</v>
      </c>
      <c r="GZB1" s="17" t="s">
        <v>4907</v>
      </c>
      <c r="GZC1" s="17" t="s">
        <v>4908</v>
      </c>
      <c r="GZD1" s="17" t="s">
        <v>4909</v>
      </c>
      <c r="GZE1" s="17" t="s">
        <v>4910</v>
      </c>
      <c r="GZF1" s="17" t="s">
        <v>4911</v>
      </c>
      <c r="GZG1" s="17" t="s">
        <v>4912</v>
      </c>
      <c r="GZH1" s="17" t="s">
        <v>4913</v>
      </c>
      <c r="GZI1" s="17" t="s">
        <v>4914</v>
      </c>
      <c r="GZJ1" s="17" t="s">
        <v>4915</v>
      </c>
      <c r="GZK1" s="17" t="s">
        <v>4916</v>
      </c>
      <c r="GZL1" s="17" t="s">
        <v>4917</v>
      </c>
      <c r="GZM1" s="17" t="s">
        <v>4918</v>
      </c>
      <c r="GZN1" s="17" t="s">
        <v>4919</v>
      </c>
      <c r="GZO1" s="17" t="s">
        <v>4920</v>
      </c>
      <c r="GZP1" s="17" t="s">
        <v>4921</v>
      </c>
      <c r="GZQ1" s="17" t="s">
        <v>4922</v>
      </c>
      <c r="GZR1" s="17" t="s">
        <v>4923</v>
      </c>
      <c r="GZS1" s="17" t="s">
        <v>4924</v>
      </c>
      <c r="GZT1" s="17" t="s">
        <v>4925</v>
      </c>
      <c r="GZU1" s="17" t="s">
        <v>4926</v>
      </c>
      <c r="GZV1" s="17" t="s">
        <v>4927</v>
      </c>
      <c r="GZW1" s="17" t="s">
        <v>4928</v>
      </c>
      <c r="GZX1" s="17" t="s">
        <v>4929</v>
      </c>
      <c r="GZY1" s="17" t="s">
        <v>4930</v>
      </c>
      <c r="GZZ1" s="17" t="s">
        <v>4931</v>
      </c>
      <c r="HAA1" s="17" t="s">
        <v>4932</v>
      </c>
      <c r="HAB1" s="17" t="s">
        <v>4933</v>
      </c>
      <c r="HAC1" s="17" t="s">
        <v>4934</v>
      </c>
      <c r="HAD1" s="17" t="s">
        <v>4935</v>
      </c>
      <c r="HAE1" s="17" t="s">
        <v>4936</v>
      </c>
      <c r="HAF1" s="17" t="s">
        <v>4937</v>
      </c>
      <c r="HAG1" s="17" t="s">
        <v>4938</v>
      </c>
      <c r="HAH1" s="17" t="s">
        <v>4939</v>
      </c>
      <c r="HAI1" s="17" t="s">
        <v>4940</v>
      </c>
      <c r="HAJ1" s="17" t="s">
        <v>4941</v>
      </c>
      <c r="HAK1" s="17" t="s">
        <v>4942</v>
      </c>
      <c r="HAL1" s="17" t="s">
        <v>4943</v>
      </c>
      <c r="HAM1" s="17" t="s">
        <v>4944</v>
      </c>
      <c r="HAN1" s="17" t="s">
        <v>4945</v>
      </c>
      <c r="HAO1" s="17" t="s">
        <v>4946</v>
      </c>
      <c r="HAP1" s="17" t="s">
        <v>4947</v>
      </c>
      <c r="HAQ1" s="17" t="s">
        <v>4948</v>
      </c>
      <c r="HAR1" s="17" t="s">
        <v>4949</v>
      </c>
      <c r="HAS1" s="17" t="s">
        <v>4950</v>
      </c>
      <c r="HAT1" s="17" t="s">
        <v>4951</v>
      </c>
      <c r="HAU1" s="17" t="s">
        <v>4952</v>
      </c>
      <c r="HAV1" s="17" t="s">
        <v>4953</v>
      </c>
      <c r="HAW1" s="17" t="s">
        <v>4954</v>
      </c>
      <c r="HAX1" s="17" t="s">
        <v>4955</v>
      </c>
      <c r="HAY1" s="17" t="s">
        <v>4956</v>
      </c>
      <c r="HAZ1" s="17" t="s">
        <v>4957</v>
      </c>
      <c r="HBA1" s="17" t="s">
        <v>4958</v>
      </c>
      <c r="HBB1" s="17" t="s">
        <v>4959</v>
      </c>
      <c r="HBC1" s="17" t="s">
        <v>4960</v>
      </c>
      <c r="HBD1" s="17" t="s">
        <v>4961</v>
      </c>
      <c r="HBE1" s="17" t="s">
        <v>4962</v>
      </c>
      <c r="HBF1" s="17" t="s">
        <v>4963</v>
      </c>
      <c r="HBG1" s="17" t="s">
        <v>4964</v>
      </c>
      <c r="HBH1" s="17" t="s">
        <v>4965</v>
      </c>
      <c r="HBI1" s="17" t="s">
        <v>4966</v>
      </c>
      <c r="HBJ1" s="17" t="s">
        <v>4967</v>
      </c>
      <c r="HBK1" s="17" t="s">
        <v>4968</v>
      </c>
      <c r="HBL1" s="17" t="s">
        <v>4969</v>
      </c>
      <c r="HBM1" s="17" t="s">
        <v>4970</v>
      </c>
      <c r="HBN1" s="17" t="s">
        <v>4971</v>
      </c>
      <c r="HBO1" s="17" t="s">
        <v>4972</v>
      </c>
      <c r="HBP1" s="17" t="s">
        <v>4973</v>
      </c>
      <c r="HBQ1" s="17" t="s">
        <v>4974</v>
      </c>
      <c r="HBR1" s="17" t="s">
        <v>4975</v>
      </c>
      <c r="HBS1" s="17" t="s">
        <v>4976</v>
      </c>
      <c r="HBT1" s="17" t="s">
        <v>4977</v>
      </c>
      <c r="HBU1" s="17" t="s">
        <v>4978</v>
      </c>
      <c r="HBV1" s="17" t="s">
        <v>4979</v>
      </c>
      <c r="HBW1" s="17" t="s">
        <v>4980</v>
      </c>
      <c r="HBX1" s="17" t="s">
        <v>4981</v>
      </c>
      <c r="HBY1" s="17" t="s">
        <v>4982</v>
      </c>
      <c r="HBZ1" s="17" t="s">
        <v>4983</v>
      </c>
      <c r="HCA1" s="17" t="s">
        <v>4984</v>
      </c>
      <c r="HCB1" s="17" t="s">
        <v>4985</v>
      </c>
      <c r="HCC1" s="17" t="s">
        <v>4986</v>
      </c>
      <c r="HCD1" s="17" t="s">
        <v>4987</v>
      </c>
      <c r="HCE1" s="17" t="s">
        <v>4988</v>
      </c>
      <c r="HCF1" s="17" t="s">
        <v>4989</v>
      </c>
      <c r="HCG1" s="17" t="s">
        <v>4990</v>
      </c>
      <c r="HCH1" s="17" t="s">
        <v>4991</v>
      </c>
      <c r="HCI1" s="17" t="s">
        <v>4992</v>
      </c>
      <c r="HCJ1" s="17" t="s">
        <v>4993</v>
      </c>
      <c r="HCK1" s="17" t="s">
        <v>4994</v>
      </c>
      <c r="HCL1" s="17" t="s">
        <v>4995</v>
      </c>
      <c r="HCM1" s="17" t="s">
        <v>4996</v>
      </c>
      <c r="HCN1" s="17" t="s">
        <v>4997</v>
      </c>
      <c r="HCO1" s="17" t="s">
        <v>4998</v>
      </c>
      <c r="HCP1" s="17" t="s">
        <v>4999</v>
      </c>
      <c r="HCQ1" s="17" t="s">
        <v>5000</v>
      </c>
      <c r="HCR1" s="17" t="s">
        <v>5001</v>
      </c>
      <c r="HCS1" s="17" t="s">
        <v>5002</v>
      </c>
      <c r="HCT1" s="17" t="s">
        <v>5003</v>
      </c>
      <c r="HCU1" s="17" t="s">
        <v>5004</v>
      </c>
      <c r="HCV1" s="17" t="s">
        <v>5005</v>
      </c>
      <c r="HCW1" s="17" t="s">
        <v>5006</v>
      </c>
      <c r="HCX1" s="17" t="s">
        <v>5007</v>
      </c>
      <c r="HCY1" s="17" t="s">
        <v>5008</v>
      </c>
      <c r="HCZ1" s="17" t="s">
        <v>5009</v>
      </c>
      <c r="HDA1" s="17" t="s">
        <v>5010</v>
      </c>
      <c r="HDB1" s="17" t="s">
        <v>5011</v>
      </c>
      <c r="HDC1" s="17" t="s">
        <v>5012</v>
      </c>
      <c r="HDD1" s="17" t="s">
        <v>5013</v>
      </c>
      <c r="HDE1" s="17" t="s">
        <v>5014</v>
      </c>
      <c r="HDF1" s="17" t="s">
        <v>5015</v>
      </c>
      <c r="HDG1" s="17" t="s">
        <v>5016</v>
      </c>
      <c r="HDH1" s="17" t="s">
        <v>5017</v>
      </c>
      <c r="HDI1" s="17" t="s">
        <v>5018</v>
      </c>
      <c r="HDJ1" s="17" t="s">
        <v>5019</v>
      </c>
      <c r="HDK1" s="17" t="s">
        <v>5020</v>
      </c>
      <c r="HDL1" s="17" t="s">
        <v>5021</v>
      </c>
      <c r="HDM1" s="17" t="s">
        <v>5022</v>
      </c>
      <c r="HDN1" s="17" t="s">
        <v>5023</v>
      </c>
      <c r="HDO1" s="17" t="s">
        <v>5024</v>
      </c>
      <c r="HDP1" s="17" t="s">
        <v>5025</v>
      </c>
      <c r="HDQ1" s="17" t="s">
        <v>5026</v>
      </c>
      <c r="HDR1" s="17" t="s">
        <v>5027</v>
      </c>
      <c r="HDS1" s="17" t="s">
        <v>5028</v>
      </c>
      <c r="HDT1" s="17" t="s">
        <v>5029</v>
      </c>
      <c r="HDU1" s="17" t="s">
        <v>5030</v>
      </c>
      <c r="HDV1" s="17" t="s">
        <v>5031</v>
      </c>
      <c r="HDW1" s="17" t="s">
        <v>5032</v>
      </c>
      <c r="HDX1" s="17" t="s">
        <v>5033</v>
      </c>
      <c r="HDY1" s="17" t="s">
        <v>5034</v>
      </c>
      <c r="HDZ1" s="17" t="s">
        <v>5035</v>
      </c>
      <c r="HEA1" s="17" t="s">
        <v>5036</v>
      </c>
      <c r="HEB1" s="17" t="s">
        <v>5037</v>
      </c>
      <c r="HEC1" s="17" t="s">
        <v>5038</v>
      </c>
      <c r="HED1" s="17" t="s">
        <v>5039</v>
      </c>
      <c r="HEE1" s="17" t="s">
        <v>5040</v>
      </c>
      <c r="HEF1" s="17" t="s">
        <v>5041</v>
      </c>
      <c r="HEG1" s="17" t="s">
        <v>5042</v>
      </c>
      <c r="HEH1" s="17" t="s">
        <v>5043</v>
      </c>
      <c r="HEI1" s="17" t="s">
        <v>5044</v>
      </c>
      <c r="HEJ1" s="17" t="s">
        <v>5045</v>
      </c>
      <c r="HEK1" s="17" t="s">
        <v>5046</v>
      </c>
      <c r="HEL1" s="17" t="s">
        <v>5047</v>
      </c>
      <c r="HEM1" s="17" t="s">
        <v>5048</v>
      </c>
      <c r="HEN1" s="17" t="s">
        <v>5049</v>
      </c>
      <c r="HEO1" s="17" t="s">
        <v>5050</v>
      </c>
      <c r="HEP1" s="17" t="s">
        <v>5051</v>
      </c>
      <c r="HEQ1" s="17" t="s">
        <v>5052</v>
      </c>
      <c r="HER1" s="17" t="s">
        <v>5053</v>
      </c>
      <c r="HES1" s="17" t="s">
        <v>5054</v>
      </c>
      <c r="HET1" s="17" t="s">
        <v>5055</v>
      </c>
      <c r="HEU1" s="17" t="s">
        <v>5056</v>
      </c>
      <c r="HEV1" s="17" t="s">
        <v>5057</v>
      </c>
      <c r="HEW1" s="17" t="s">
        <v>5058</v>
      </c>
      <c r="HEX1" s="17" t="s">
        <v>5059</v>
      </c>
      <c r="HEY1" s="17" t="s">
        <v>5060</v>
      </c>
      <c r="HEZ1" s="17" t="s">
        <v>5061</v>
      </c>
      <c r="HFA1" s="17" t="s">
        <v>5062</v>
      </c>
      <c r="HFB1" s="17" t="s">
        <v>5063</v>
      </c>
      <c r="HFC1" s="17" t="s">
        <v>5064</v>
      </c>
      <c r="HFD1" s="17" t="s">
        <v>5065</v>
      </c>
      <c r="HFE1" s="17" t="s">
        <v>5066</v>
      </c>
      <c r="HFF1" s="17" t="s">
        <v>5067</v>
      </c>
      <c r="HFG1" s="17" t="s">
        <v>5068</v>
      </c>
      <c r="HFH1" s="17" t="s">
        <v>5069</v>
      </c>
      <c r="HFI1" s="17" t="s">
        <v>5070</v>
      </c>
      <c r="HFJ1" s="17" t="s">
        <v>5071</v>
      </c>
      <c r="HFK1" s="17" t="s">
        <v>5072</v>
      </c>
      <c r="HFL1" s="17" t="s">
        <v>5073</v>
      </c>
      <c r="HFM1" s="17" t="s">
        <v>5074</v>
      </c>
      <c r="HFN1" s="17" t="s">
        <v>5075</v>
      </c>
      <c r="HFO1" s="17" t="s">
        <v>5076</v>
      </c>
      <c r="HFP1" s="17" t="s">
        <v>5077</v>
      </c>
      <c r="HFQ1" s="17" t="s">
        <v>5078</v>
      </c>
      <c r="HFR1" s="17" t="s">
        <v>5079</v>
      </c>
      <c r="HFS1" s="17" t="s">
        <v>5080</v>
      </c>
      <c r="HFT1" s="17" t="s">
        <v>5081</v>
      </c>
      <c r="HFU1" s="17" t="s">
        <v>5082</v>
      </c>
      <c r="HFV1" s="17" t="s">
        <v>5083</v>
      </c>
      <c r="HFW1" s="17" t="s">
        <v>5084</v>
      </c>
      <c r="HFX1" s="17" t="s">
        <v>5085</v>
      </c>
      <c r="HFY1" s="17" t="s">
        <v>5086</v>
      </c>
      <c r="HFZ1" s="17" t="s">
        <v>5087</v>
      </c>
      <c r="HGA1" s="17" t="s">
        <v>5088</v>
      </c>
      <c r="HGB1" s="17" t="s">
        <v>5089</v>
      </c>
      <c r="HGC1" s="17" t="s">
        <v>5090</v>
      </c>
      <c r="HGD1" s="17" t="s">
        <v>5091</v>
      </c>
      <c r="HGE1" s="17" t="s">
        <v>5092</v>
      </c>
      <c r="HGF1" s="17" t="s">
        <v>5093</v>
      </c>
      <c r="HGG1" s="17" t="s">
        <v>5094</v>
      </c>
      <c r="HGH1" s="17" t="s">
        <v>5095</v>
      </c>
      <c r="HGI1" s="17" t="s">
        <v>5096</v>
      </c>
      <c r="HGJ1" s="17" t="s">
        <v>5097</v>
      </c>
      <c r="HGK1" s="17" t="s">
        <v>5098</v>
      </c>
      <c r="HGL1" s="17" t="s">
        <v>5099</v>
      </c>
      <c r="HGM1" s="17" t="s">
        <v>5100</v>
      </c>
      <c r="HGN1" s="17" t="s">
        <v>5101</v>
      </c>
      <c r="HGO1" s="17" t="s">
        <v>5102</v>
      </c>
      <c r="HGP1" s="17" t="s">
        <v>5103</v>
      </c>
      <c r="HGQ1" s="17" t="s">
        <v>5104</v>
      </c>
      <c r="HGR1" s="17" t="s">
        <v>5105</v>
      </c>
      <c r="HGS1" s="17" t="s">
        <v>5106</v>
      </c>
      <c r="HGT1" s="17" t="s">
        <v>5107</v>
      </c>
      <c r="HGU1" s="17" t="s">
        <v>5108</v>
      </c>
      <c r="HGV1" s="17" t="s">
        <v>5109</v>
      </c>
      <c r="HGW1" s="17" t="s">
        <v>5110</v>
      </c>
      <c r="HGX1" s="17" t="s">
        <v>5111</v>
      </c>
      <c r="HGY1" s="17" t="s">
        <v>5112</v>
      </c>
      <c r="HGZ1" s="17" t="s">
        <v>5113</v>
      </c>
      <c r="HHA1" s="17" t="s">
        <v>5114</v>
      </c>
      <c r="HHB1" s="17" t="s">
        <v>5115</v>
      </c>
      <c r="HHC1" s="17" t="s">
        <v>5116</v>
      </c>
      <c r="HHD1" s="17" t="s">
        <v>5117</v>
      </c>
      <c r="HHE1" s="17" t="s">
        <v>5118</v>
      </c>
      <c r="HHF1" s="17" t="s">
        <v>5119</v>
      </c>
      <c r="HHG1" s="17" t="s">
        <v>5120</v>
      </c>
      <c r="HHH1" s="17" t="s">
        <v>5121</v>
      </c>
      <c r="HHI1" s="17" t="s">
        <v>5122</v>
      </c>
      <c r="HHJ1" s="17" t="s">
        <v>5123</v>
      </c>
      <c r="HHK1" s="17" t="s">
        <v>5124</v>
      </c>
      <c r="HHL1" s="17" t="s">
        <v>5125</v>
      </c>
      <c r="HHM1" s="17" t="s">
        <v>5126</v>
      </c>
      <c r="HHN1" s="17" t="s">
        <v>5127</v>
      </c>
      <c r="HHO1" s="17" t="s">
        <v>5128</v>
      </c>
      <c r="HHP1" s="17" t="s">
        <v>5129</v>
      </c>
      <c r="HHQ1" s="17" t="s">
        <v>5130</v>
      </c>
      <c r="HHR1" s="17" t="s">
        <v>5131</v>
      </c>
      <c r="HHS1" s="17" t="s">
        <v>5132</v>
      </c>
      <c r="HHT1" s="17" t="s">
        <v>5133</v>
      </c>
      <c r="HHU1" s="17" t="s">
        <v>5134</v>
      </c>
      <c r="HHV1" s="17" t="s">
        <v>5135</v>
      </c>
      <c r="HHW1" s="17" t="s">
        <v>5136</v>
      </c>
      <c r="HHX1" s="17" t="s">
        <v>5137</v>
      </c>
      <c r="HHY1" s="17" t="s">
        <v>5138</v>
      </c>
      <c r="HHZ1" s="17" t="s">
        <v>5139</v>
      </c>
      <c r="HIA1" s="17" t="s">
        <v>5140</v>
      </c>
      <c r="HIB1" s="17" t="s">
        <v>5141</v>
      </c>
      <c r="HIC1" s="17" t="s">
        <v>5142</v>
      </c>
      <c r="HID1" s="17" t="s">
        <v>5143</v>
      </c>
      <c r="HIE1" s="17" t="s">
        <v>5144</v>
      </c>
      <c r="HIF1" s="17" t="s">
        <v>5145</v>
      </c>
      <c r="HIG1" s="17" t="s">
        <v>5146</v>
      </c>
      <c r="HIH1" s="17" t="s">
        <v>5147</v>
      </c>
      <c r="HII1" s="17" t="s">
        <v>5148</v>
      </c>
      <c r="HIJ1" s="17" t="s">
        <v>5149</v>
      </c>
      <c r="HIK1" s="17" t="s">
        <v>5150</v>
      </c>
      <c r="HIL1" s="17" t="s">
        <v>5151</v>
      </c>
      <c r="HIM1" s="17" t="s">
        <v>5152</v>
      </c>
      <c r="HIN1" s="17" t="s">
        <v>5153</v>
      </c>
      <c r="HIO1" s="17" t="s">
        <v>5154</v>
      </c>
      <c r="HIP1" s="17" t="s">
        <v>5155</v>
      </c>
      <c r="HIQ1" s="17" t="s">
        <v>5156</v>
      </c>
      <c r="HIR1" s="17" t="s">
        <v>5157</v>
      </c>
      <c r="HIS1" s="17" t="s">
        <v>5158</v>
      </c>
      <c r="HIT1" s="17" t="s">
        <v>5159</v>
      </c>
      <c r="HIU1" s="17" t="s">
        <v>5160</v>
      </c>
      <c r="HIV1" s="17" t="s">
        <v>5161</v>
      </c>
      <c r="HIW1" s="17" t="s">
        <v>5162</v>
      </c>
      <c r="HIX1" s="17" t="s">
        <v>5163</v>
      </c>
      <c r="HIY1" s="17" t="s">
        <v>5164</v>
      </c>
      <c r="HIZ1" s="17" t="s">
        <v>5165</v>
      </c>
      <c r="HJA1" s="17" t="s">
        <v>5166</v>
      </c>
      <c r="HJB1" s="17" t="s">
        <v>5167</v>
      </c>
      <c r="HJC1" s="17" t="s">
        <v>5168</v>
      </c>
      <c r="HJD1" s="17" t="s">
        <v>5169</v>
      </c>
      <c r="HJE1" s="17" t="s">
        <v>5170</v>
      </c>
      <c r="HJF1" s="17" t="s">
        <v>5171</v>
      </c>
      <c r="HJG1" s="17" t="s">
        <v>5172</v>
      </c>
      <c r="HJH1" s="17" t="s">
        <v>5173</v>
      </c>
      <c r="HJI1" s="17" t="s">
        <v>5174</v>
      </c>
      <c r="HJJ1" s="17" t="s">
        <v>5175</v>
      </c>
      <c r="HJK1" s="17" t="s">
        <v>5176</v>
      </c>
      <c r="HJL1" s="17" t="s">
        <v>5177</v>
      </c>
      <c r="HJM1" s="17" t="s">
        <v>5178</v>
      </c>
      <c r="HJN1" s="17" t="s">
        <v>5179</v>
      </c>
      <c r="HJO1" s="17" t="s">
        <v>5180</v>
      </c>
      <c r="HJP1" s="17" t="s">
        <v>5181</v>
      </c>
      <c r="HJQ1" s="17" t="s">
        <v>5182</v>
      </c>
      <c r="HJR1" s="17" t="s">
        <v>5183</v>
      </c>
      <c r="HJS1" s="17" t="s">
        <v>5184</v>
      </c>
      <c r="HJT1" s="17" t="s">
        <v>5185</v>
      </c>
      <c r="HJU1" s="17" t="s">
        <v>5186</v>
      </c>
      <c r="HJV1" s="17" t="s">
        <v>5187</v>
      </c>
      <c r="HJW1" s="17" t="s">
        <v>5188</v>
      </c>
      <c r="HJX1" s="17" t="s">
        <v>5189</v>
      </c>
      <c r="HJY1" s="17" t="s">
        <v>5190</v>
      </c>
      <c r="HJZ1" s="17" t="s">
        <v>5191</v>
      </c>
      <c r="HKA1" s="17" t="s">
        <v>5192</v>
      </c>
      <c r="HKB1" s="17" t="s">
        <v>5193</v>
      </c>
      <c r="HKC1" s="17" t="s">
        <v>5194</v>
      </c>
      <c r="HKD1" s="17" t="s">
        <v>5195</v>
      </c>
      <c r="HKE1" s="17" t="s">
        <v>5196</v>
      </c>
      <c r="HKF1" s="17" t="s">
        <v>5197</v>
      </c>
      <c r="HKG1" s="17" t="s">
        <v>5198</v>
      </c>
      <c r="HKH1" s="17" t="s">
        <v>5199</v>
      </c>
      <c r="HKI1" s="17" t="s">
        <v>5200</v>
      </c>
      <c r="HKJ1" s="17" t="s">
        <v>5201</v>
      </c>
      <c r="HKK1" s="17" t="s">
        <v>5202</v>
      </c>
      <c r="HKL1" s="17" t="s">
        <v>5203</v>
      </c>
      <c r="HKM1" s="17" t="s">
        <v>5204</v>
      </c>
      <c r="HKN1" s="17" t="s">
        <v>5205</v>
      </c>
      <c r="HKO1" s="17" t="s">
        <v>5206</v>
      </c>
      <c r="HKP1" s="17" t="s">
        <v>5207</v>
      </c>
      <c r="HKQ1" s="17" t="s">
        <v>5208</v>
      </c>
      <c r="HKR1" s="17" t="s">
        <v>5209</v>
      </c>
      <c r="HKS1" s="17" t="s">
        <v>5210</v>
      </c>
      <c r="HKT1" s="17" t="s">
        <v>5211</v>
      </c>
      <c r="HKU1" s="17" t="s">
        <v>5212</v>
      </c>
      <c r="HKV1" s="17" t="s">
        <v>5213</v>
      </c>
      <c r="HKW1" s="17" t="s">
        <v>5214</v>
      </c>
      <c r="HKX1" s="17" t="s">
        <v>5215</v>
      </c>
      <c r="HKY1" s="17" t="s">
        <v>5216</v>
      </c>
      <c r="HKZ1" s="17" t="s">
        <v>5217</v>
      </c>
      <c r="HLA1" s="17" t="s">
        <v>5218</v>
      </c>
      <c r="HLB1" s="17" t="s">
        <v>5219</v>
      </c>
      <c r="HLC1" s="17" t="s">
        <v>5220</v>
      </c>
      <c r="HLD1" s="17" t="s">
        <v>5221</v>
      </c>
      <c r="HLE1" s="17" t="s">
        <v>5222</v>
      </c>
      <c r="HLF1" s="17" t="s">
        <v>5223</v>
      </c>
      <c r="HLG1" s="17" t="s">
        <v>5224</v>
      </c>
      <c r="HLH1" s="17" t="s">
        <v>5225</v>
      </c>
      <c r="HLI1" s="17" t="s">
        <v>5226</v>
      </c>
      <c r="HLJ1" s="17" t="s">
        <v>5227</v>
      </c>
      <c r="HLK1" s="17" t="s">
        <v>5228</v>
      </c>
      <c r="HLL1" s="17" t="s">
        <v>5229</v>
      </c>
      <c r="HLM1" s="17" t="s">
        <v>5230</v>
      </c>
      <c r="HLN1" s="17" t="s">
        <v>5231</v>
      </c>
      <c r="HLO1" s="17" t="s">
        <v>5232</v>
      </c>
      <c r="HLP1" s="17" t="s">
        <v>5233</v>
      </c>
      <c r="HLQ1" s="17" t="s">
        <v>5234</v>
      </c>
      <c r="HLR1" s="17" t="s">
        <v>5235</v>
      </c>
      <c r="HLS1" s="17" t="s">
        <v>5236</v>
      </c>
      <c r="HLT1" s="17" t="s">
        <v>5237</v>
      </c>
      <c r="HLU1" s="17" t="s">
        <v>5238</v>
      </c>
      <c r="HLV1" s="17" t="s">
        <v>5239</v>
      </c>
      <c r="HLW1" s="17" t="s">
        <v>5240</v>
      </c>
      <c r="HLX1" s="17" t="s">
        <v>5241</v>
      </c>
      <c r="HLY1" s="17" t="s">
        <v>5242</v>
      </c>
      <c r="HLZ1" s="17" t="s">
        <v>5243</v>
      </c>
      <c r="HMA1" s="17" t="s">
        <v>5244</v>
      </c>
      <c r="HMB1" s="17" t="s">
        <v>5245</v>
      </c>
      <c r="HMC1" s="17" t="s">
        <v>5246</v>
      </c>
      <c r="HMD1" s="17" t="s">
        <v>5247</v>
      </c>
      <c r="HME1" s="17" t="s">
        <v>5248</v>
      </c>
      <c r="HMF1" s="17" t="s">
        <v>5249</v>
      </c>
      <c r="HMG1" s="17" t="s">
        <v>5250</v>
      </c>
      <c r="HMH1" s="17" t="s">
        <v>5251</v>
      </c>
      <c r="HMI1" s="17" t="s">
        <v>5252</v>
      </c>
      <c r="HMJ1" s="17" t="s">
        <v>5253</v>
      </c>
      <c r="HMK1" s="17" t="s">
        <v>5254</v>
      </c>
      <c r="HML1" s="17" t="s">
        <v>5255</v>
      </c>
      <c r="HMM1" s="17" t="s">
        <v>5256</v>
      </c>
      <c r="HMN1" s="17" t="s">
        <v>5257</v>
      </c>
      <c r="HMO1" s="17" t="s">
        <v>5258</v>
      </c>
      <c r="HMP1" s="17" t="s">
        <v>5259</v>
      </c>
      <c r="HMQ1" s="17" t="s">
        <v>5260</v>
      </c>
      <c r="HMR1" s="17" t="s">
        <v>5261</v>
      </c>
      <c r="HMS1" s="17" t="s">
        <v>5262</v>
      </c>
      <c r="HMT1" s="17" t="s">
        <v>5263</v>
      </c>
      <c r="HMU1" s="17" t="s">
        <v>5264</v>
      </c>
      <c r="HMV1" s="17" t="s">
        <v>5265</v>
      </c>
      <c r="HMW1" s="17" t="s">
        <v>5266</v>
      </c>
      <c r="HMX1" s="17" t="s">
        <v>5267</v>
      </c>
      <c r="HMY1" s="17" t="s">
        <v>5268</v>
      </c>
      <c r="HMZ1" s="17" t="s">
        <v>5269</v>
      </c>
      <c r="HNA1" s="17" t="s">
        <v>5270</v>
      </c>
      <c r="HNB1" s="17" t="s">
        <v>5271</v>
      </c>
      <c r="HNC1" s="17" t="s">
        <v>5272</v>
      </c>
      <c r="HND1" s="17" t="s">
        <v>5273</v>
      </c>
      <c r="HNE1" s="17" t="s">
        <v>5274</v>
      </c>
      <c r="HNF1" s="17" t="s">
        <v>5275</v>
      </c>
      <c r="HNG1" s="17" t="s">
        <v>5276</v>
      </c>
      <c r="HNH1" s="17" t="s">
        <v>5277</v>
      </c>
      <c r="HNI1" s="17" t="s">
        <v>5278</v>
      </c>
      <c r="HNJ1" s="17" t="s">
        <v>5279</v>
      </c>
      <c r="HNK1" s="17" t="s">
        <v>5280</v>
      </c>
      <c r="HNL1" s="17" t="s">
        <v>5281</v>
      </c>
      <c r="HNM1" s="17" t="s">
        <v>5282</v>
      </c>
      <c r="HNN1" s="17" t="s">
        <v>5283</v>
      </c>
      <c r="HNO1" s="17" t="s">
        <v>5284</v>
      </c>
      <c r="HNP1" s="17" t="s">
        <v>5285</v>
      </c>
      <c r="HNQ1" s="17" t="s">
        <v>5286</v>
      </c>
      <c r="HNR1" s="17" t="s">
        <v>5287</v>
      </c>
      <c r="HNS1" s="17" t="s">
        <v>5288</v>
      </c>
      <c r="HNT1" s="17" t="s">
        <v>5289</v>
      </c>
      <c r="HNU1" s="17" t="s">
        <v>5290</v>
      </c>
      <c r="HNV1" s="17" t="s">
        <v>5291</v>
      </c>
      <c r="HNW1" s="17" t="s">
        <v>5292</v>
      </c>
      <c r="HNX1" s="17" t="s">
        <v>5293</v>
      </c>
      <c r="HNY1" s="17" t="s">
        <v>5294</v>
      </c>
      <c r="HNZ1" s="17" t="s">
        <v>5295</v>
      </c>
      <c r="HOA1" s="17" t="s">
        <v>5296</v>
      </c>
      <c r="HOB1" s="17" t="s">
        <v>5297</v>
      </c>
      <c r="HOC1" s="17" t="s">
        <v>5298</v>
      </c>
      <c r="HOD1" s="17" t="s">
        <v>5299</v>
      </c>
      <c r="HOE1" s="17" t="s">
        <v>5300</v>
      </c>
      <c r="HOF1" s="17" t="s">
        <v>5301</v>
      </c>
      <c r="HOG1" s="17" t="s">
        <v>5302</v>
      </c>
      <c r="HOH1" s="17" t="s">
        <v>5303</v>
      </c>
      <c r="HOI1" s="17" t="s">
        <v>5304</v>
      </c>
      <c r="HOJ1" s="17" t="s">
        <v>5305</v>
      </c>
      <c r="HOK1" s="17" t="s">
        <v>5306</v>
      </c>
      <c r="HOL1" s="17" t="s">
        <v>5307</v>
      </c>
      <c r="HOM1" s="17" t="s">
        <v>5308</v>
      </c>
      <c r="HON1" s="17" t="s">
        <v>5309</v>
      </c>
      <c r="HOO1" s="17" t="s">
        <v>5310</v>
      </c>
      <c r="HOP1" s="17" t="s">
        <v>5311</v>
      </c>
      <c r="HOQ1" s="17" t="s">
        <v>5312</v>
      </c>
      <c r="HOR1" s="17" t="s">
        <v>5313</v>
      </c>
      <c r="HOS1" s="17" t="s">
        <v>5314</v>
      </c>
      <c r="HOT1" s="17" t="s">
        <v>5315</v>
      </c>
      <c r="HOU1" s="17" t="s">
        <v>5316</v>
      </c>
      <c r="HOV1" s="17" t="s">
        <v>5317</v>
      </c>
      <c r="HOW1" s="17" t="s">
        <v>5318</v>
      </c>
      <c r="HOX1" s="17" t="s">
        <v>5319</v>
      </c>
      <c r="HOY1" s="17" t="s">
        <v>5320</v>
      </c>
      <c r="HOZ1" s="17" t="s">
        <v>5321</v>
      </c>
      <c r="HPA1" s="17" t="s">
        <v>5322</v>
      </c>
      <c r="HPB1" s="17" t="s">
        <v>5323</v>
      </c>
      <c r="HPC1" s="17" t="s">
        <v>5324</v>
      </c>
      <c r="HPD1" s="17" t="s">
        <v>5325</v>
      </c>
      <c r="HPE1" s="17" t="s">
        <v>5326</v>
      </c>
      <c r="HPF1" s="17" t="s">
        <v>5327</v>
      </c>
      <c r="HPG1" s="17" t="s">
        <v>5328</v>
      </c>
      <c r="HPH1" s="17" t="s">
        <v>5329</v>
      </c>
      <c r="HPI1" s="17" t="s">
        <v>5330</v>
      </c>
      <c r="HPJ1" s="17" t="s">
        <v>5331</v>
      </c>
      <c r="HPK1" s="17" t="s">
        <v>5332</v>
      </c>
      <c r="HPL1" s="17" t="s">
        <v>5333</v>
      </c>
      <c r="HPM1" s="17" t="s">
        <v>5334</v>
      </c>
      <c r="HPN1" s="17" t="s">
        <v>5335</v>
      </c>
      <c r="HPO1" s="17" t="s">
        <v>5336</v>
      </c>
      <c r="HPP1" s="17" t="s">
        <v>5337</v>
      </c>
      <c r="HPQ1" s="17" t="s">
        <v>5338</v>
      </c>
      <c r="HPR1" s="17" t="s">
        <v>5339</v>
      </c>
      <c r="HPS1" s="17" t="s">
        <v>5340</v>
      </c>
      <c r="HPT1" s="17" t="s">
        <v>5341</v>
      </c>
      <c r="HPU1" s="17" t="s">
        <v>5342</v>
      </c>
      <c r="HPV1" s="17" t="s">
        <v>5343</v>
      </c>
      <c r="HPW1" s="17" t="s">
        <v>5344</v>
      </c>
      <c r="HPX1" s="17" t="s">
        <v>5345</v>
      </c>
      <c r="HPY1" s="17" t="s">
        <v>5346</v>
      </c>
      <c r="HPZ1" s="17" t="s">
        <v>5347</v>
      </c>
      <c r="HQA1" s="17" t="s">
        <v>5348</v>
      </c>
      <c r="HQB1" s="17" t="s">
        <v>5349</v>
      </c>
      <c r="HQC1" s="17" t="s">
        <v>5350</v>
      </c>
      <c r="HQD1" s="17" t="s">
        <v>5351</v>
      </c>
      <c r="HQE1" s="17" t="s">
        <v>5352</v>
      </c>
      <c r="HQF1" s="17" t="s">
        <v>5353</v>
      </c>
      <c r="HQG1" s="17" t="s">
        <v>5354</v>
      </c>
      <c r="HQH1" s="17" t="s">
        <v>5355</v>
      </c>
      <c r="HQI1" s="17" t="s">
        <v>5356</v>
      </c>
      <c r="HQJ1" s="17" t="s">
        <v>5357</v>
      </c>
      <c r="HQK1" s="17" t="s">
        <v>5358</v>
      </c>
      <c r="HQL1" s="17" t="s">
        <v>5359</v>
      </c>
      <c r="HQM1" s="17" t="s">
        <v>5360</v>
      </c>
      <c r="HQN1" s="17" t="s">
        <v>5361</v>
      </c>
      <c r="HQO1" s="17" t="s">
        <v>5362</v>
      </c>
      <c r="HQP1" s="17" t="s">
        <v>5363</v>
      </c>
      <c r="HQQ1" s="17" t="s">
        <v>5364</v>
      </c>
      <c r="HQR1" s="17" t="s">
        <v>5365</v>
      </c>
      <c r="HQS1" s="17" t="s">
        <v>5366</v>
      </c>
      <c r="HQT1" s="17" t="s">
        <v>5367</v>
      </c>
      <c r="HQU1" s="17" t="s">
        <v>5368</v>
      </c>
      <c r="HQV1" s="17" t="s">
        <v>5369</v>
      </c>
      <c r="HQW1" s="17" t="s">
        <v>5370</v>
      </c>
      <c r="HQX1" s="17" t="s">
        <v>5371</v>
      </c>
      <c r="HQY1" s="17" t="s">
        <v>5372</v>
      </c>
      <c r="HQZ1" s="17" t="s">
        <v>5373</v>
      </c>
      <c r="HRA1" s="17" t="s">
        <v>5374</v>
      </c>
      <c r="HRB1" s="17" t="s">
        <v>5375</v>
      </c>
      <c r="HRC1" s="17" t="s">
        <v>5376</v>
      </c>
      <c r="HRD1" s="17" t="s">
        <v>5377</v>
      </c>
      <c r="HRE1" s="17" t="s">
        <v>5378</v>
      </c>
      <c r="HRF1" s="17" t="s">
        <v>5379</v>
      </c>
      <c r="HRG1" s="17" t="s">
        <v>5380</v>
      </c>
      <c r="HRH1" s="17" t="s">
        <v>5381</v>
      </c>
      <c r="HRI1" s="17" t="s">
        <v>5382</v>
      </c>
      <c r="HRJ1" s="17" t="s">
        <v>5383</v>
      </c>
      <c r="HRK1" s="17" t="s">
        <v>5384</v>
      </c>
      <c r="HRL1" s="17" t="s">
        <v>5385</v>
      </c>
      <c r="HRM1" s="17" t="s">
        <v>5386</v>
      </c>
      <c r="HRN1" s="17" t="s">
        <v>5387</v>
      </c>
      <c r="HRO1" s="17" t="s">
        <v>5388</v>
      </c>
      <c r="HRP1" s="17" t="s">
        <v>5389</v>
      </c>
      <c r="HRQ1" s="17" t="s">
        <v>5390</v>
      </c>
      <c r="HRR1" s="17" t="s">
        <v>5391</v>
      </c>
      <c r="HRS1" s="17" t="s">
        <v>5392</v>
      </c>
      <c r="HRT1" s="17" t="s">
        <v>5393</v>
      </c>
      <c r="HRU1" s="17" t="s">
        <v>5394</v>
      </c>
      <c r="HRV1" s="17" t="s">
        <v>5395</v>
      </c>
      <c r="HRW1" s="17" t="s">
        <v>5396</v>
      </c>
      <c r="HRX1" s="17" t="s">
        <v>5397</v>
      </c>
      <c r="HRY1" s="17" t="s">
        <v>5398</v>
      </c>
      <c r="HRZ1" s="17" t="s">
        <v>5399</v>
      </c>
      <c r="HSA1" s="17" t="s">
        <v>5400</v>
      </c>
      <c r="HSB1" s="17" t="s">
        <v>5401</v>
      </c>
      <c r="HSC1" s="17" t="s">
        <v>5402</v>
      </c>
      <c r="HSD1" s="17" t="s">
        <v>5403</v>
      </c>
      <c r="HSE1" s="17" t="s">
        <v>5404</v>
      </c>
      <c r="HSF1" s="17" t="s">
        <v>5405</v>
      </c>
      <c r="HSG1" s="17" t="s">
        <v>5406</v>
      </c>
      <c r="HSH1" s="17" t="s">
        <v>5407</v>
      </c>
      <c r="HSI1" s="17" t="s">
        <v>5408</v>
      </c>
      <c r="HSJ1" s="17" t="s">
        <v>5409</v>
      </c>
      <c r="HSK1" s="17" t="s">
        <v>5410</v>
      </c>
      <c r="HSL1" s="17" t="s">
        <v>5411</v>
      </c>
      <c r="HSM1" s="17" t="s">
        <v>5412</v>
      </c>
      <c r="HSN1" s="17" t="s">
        <v>5413</v>
      </c>
      <c r="HSO1" s="17" t="s">
        <v>5414</v>
      </c>
      <c r="HSP1" s="17" t="s">
        <v>5415</v>
      </c>
      <c r="HSQ1" s="17" t="s">
        <v>5416</v>
      </c>
      <c r="HSR1" s="17" t="s">
        <v>5417</v>
      </c>
      <c r="HSS1" s="17" t="s">
        <v>5418</v>
      </c>
      <c r="HST1" s="17" t="s">
        <v>5419</v>
      </c>
      <c r="HSU1" s="17" t="s">
        <v>5420</v>
      </c>
      <c r="HSV1" s="17" t="s">
        <v>5421</v>
      </c>
      <c r="HSW1" s="17" t="s">
        <v>5422</v>
      </c>
      <c r="HSX1" s="17" t="s">
        <v>5423</v>
      </c>
      <c r="HSY1" s="17" t="s">
        <v>5424</v>
      </c>
      <c r="HSZ1" s="17" t="s">
        <v>5425</v>
      </c>
      <c r="HTA1" s="17" t="s">
        <v>5426</v>
      </c>
      <c r="HTB1" s="17" t="s">
        <v>5427</v>
      </c>
      <c r="HTC1" s="17" t="s">
        <v>5428</v>
      </c>
      <c r="HTD1" s="17" t="s">
        <v>5429</v>
      </c>
      <c r="HTE1" s="17" t="s">
        <v>5430</v>
      </c>
      <c r="HTF1" s="17" t="s">
        <v>5431</v>
      </c>
      <c r="HTG1" s="17" t="s">
        <v>5432</v>
      </c>
      <c r="HTH1" s="17" t="s">
        <v>5433</v>
      </c>
      <c r="HTI1" s="17" t="s">
        <v>5434</v>
      </c>
      <c r="HTJ1" s="17" t="s">
        <v>5435</v>
      </c>
      <c r="HTK1" s="17" t="s">
        <v>5436</v>
      </c>
      <c r="HTL1" s="17" t="s">
        <v>5437</v>
      </c>
      <c r="HTM1" s="17" t="s">
        <v>5438</v>
      </c>
      <c r="HTN1" s="17" t="s">
        <v>5439</v>
      </c>
      <c r="HTO1" s="17" t="s">
        <v>5440</v>
      </c>
      <c r="HTP1" s="17" t="s">
        <v>5441</v>
      </c>
      <c r="HTQ1" s="17" t="s">
        <v>5442</v>
      </c>
      <c r="HTR1" s="17" t="s">
        <v>5443</v>
      </c>
      <c r="HTS1" s="17" t="s">
        <v>5444</v>
      </c>
      <c r="HTT1" s="17" t="s">
        <v>5445</v>
      </c>
      <c r="HTU1" s="17" t="s">
        <v>5446</v>
      </c>
      <c r="HTV1" s="17" t="s">
        <v>5447</v>
      </c>
      <c r="HTW1" s="17" t="s">
        <v>5448</v>
      </c>
      <c r="HTX1" s="17" t="s">
        <v>5449</v>
      </c>
      <c r="HTY1" s="17" t="s">
        <v>5450</v>
      </c>
      <c r="HTZ1" s="17" t="s">
        <v>5451</v>
      </c>
      <c r="HUA1" s="17" t="s">
        <v>5452</v>
      </c>
      <c r="HUB1" s="17" t="s">
        <v>5453</v>
      </c>
      <c r="HUC1" s="17" t="s">
        <v>5454</v>
      </c>
      <c r="HUD1" s="17" t="s">
        <v>5455</v>
      </c>
      <c r="HUE1" s="17" t="s">
        <v>5456</v>
      </c>
      <c r="HUF1" s="17" t="s">
        <v>5457</v>
      </c>
      <c r="HUG1" s="17" t="s">
        <v>5458</v>
      </c>
      <c r="HUH1" s="17" t="s">
        <v>5459</v>
      </c>
      <c r="HUI1" s="17" t="s">
        <v>5460</v>
      </c>
      <c r="HUJ1" s="17" t="s">
        <v>5461</v>
      </c>
      <c r="HUK1" s="17" t="s">
        <v>5462</v>
      </c>
      <c r="HUL1" s="17" t="s">
        <v>5463</v>
      </c>
      <c r="HUM1" s="17" t="s">
        <v>5464</v>
      </c>
      <c r="HUN1" s="17" t="s">
        <v>5465</v>
      </c>
      <c r="HUO1" s="17" t="s">
        <v>5466</v>
      </c>
      <c r="HUP1" s="17" t="s">
        <v>5467</v>
      </c>
      <c r="HUQ1" s="17" t="s">
        <v>5468</v>
      </c>
      <c r="HUR1" s="17" t="s">
        <v>5469</v>
      </c>
      <c r="HUS1" s="17" t="s">
        <v>5470</v>
      </c>
      <c r="HUT1" s="17" t="s">
        <v>5471</v>
      </c>
      <c r="HUU1" s="17" t="s">
        <v>5472</v>
      </c>
      <c r="HUV1" s="17" t="s">
        <v>5473</v>
      </c>
      <c r="HUW1" s="17" t="s">
        <v>5474</v>
      </c>
      <c r="HUX1" s="17" t="s">
        <v>5475</v>
      </c>
      <c r="HUY1" s="17" t="s">
        <v>5476</v>
      </c>
      <c r="HUZ1" s="17" t="s">
        <v>5477</v>
      </c>
      <c r="HVA1" s="17" t="s">
        <v>5478</v>
      </c>
      <c r="HVB1" s="17" t="s">
        <v>5479</v>
      </c>
      <c r="HVC1" s="17" t="s">
        <v>5480</v>
      </c>
      <c r="HVD1" s="17" t="s">
        <v>5481</v>
      </c>
      <c r="HVE1" s="17" t="s">
        <v>5482</v>
      </c>
      <c r="HVF1" s="17" t="s">
        <v>5483</v>
      </c>
      <c r="HVG1" s="17" t="s">
        <v>5484</v>
      </c>
      <c r="HVH1" s="17" t="s">
        <v>5485</v>
      </c>
      <c r="HVI1" s="17" t="s">
        <v>5486</v>
      </c>
      <c r="HVJ1" s="17" t="s">
        <v>5487</v>
      </c>
      <c r="HVK1" s="17" t="s">
        <v>5488</v>
      </c>
      <c r="HVL1" s="17" t="s">
        <v>5489</v>
      </c>
      <c r="HVM1" s="17" t="s">
        <v>5490</v>
      </c>
      <c r="HVN1" s="17" t="s">
        <v>5491</v>
      </c>
      <c r="HVO1" s="17" t="s">
        <v>5492</v>
      </c>
      <c r="HVP1" s="17" t="s">
        <v>5493</v>
      </c>
      <c r="HVQ1" s="17" t="s">
        <v>5494</v>
      </c>
      <c r="HVR1" s="17" t="s">
        <v>5495</v>
      </c>
      <c r="HVS1" s="17" t="s">
        <v>5496</v>
      </c>
      <c r="HVT1" s="17" t="s">
        <v>5497</v>
      </c>
      <c r="HVU1" s="17" t="s">
        <v>5498</v>
      </c>
      <c r="HVV1" s="17" t="s">
        <v>5499</v>
      </c>
      <c r="HVW1" s="17" t="s">
        <v>5500</v>
      </c>
      <c r="HVX1" s="17" t="s">
        <v>5501</v>
      </c>
      <c r="HVY1" s="17" t="s">
        <v>5502</v>
      </c>
      <c r="HVZ1" s="17" t="s">
        <v>5503</v>
      </c>
      <c r="HWA1" s="17" t="s">
        <v>5504</v>
      </c>
      <c r="HWB1" s="17" t="s">
        <v>5505</v>
      </c>
      <c r="HWC1" s="17" t="s">
        <v>5506</v>
      </c>
      <c r="HWD1" s="17" t="s">
        <v>5507</v>
      </c>
      <c r="HWE1" s="17" t="s">
        <v>5508</v>
      </c>
      <c r="HWF1" s="17" t="s">
        <v>5509</v>
      </c>
      <c r="HWG1" s="17" t="s">
        <v>5510</v>
      </c>
      <c r="HWH1" s="17" t="s">
        <v>5511</v>
      </c>
      <c r="HWI1" s="17" t="s">
        <v>5512</v>
      </c>
      <c r="HWJ1" s="17" t="s">
        <v>5513</v>
      </c>
      <c r="HWK1" s="17" t="s">
        <v>5514</v>
      </c>
      <c r="HWL1" s="17" t="s">
        <v>5515</v>
      </c>
      <c r="HWM1" s="17" t="s">
        <v>5516</v>
      </c>
      <c r="HWN1" s="17" t="s">
        <v>5517</v>
      </c>
      <c r="HWO1" s="17" t="s">
        <v>5518</v>
      </c>
      <c r="HWP1" s="17" t="s">
        <v>5519</v>
      </c>
      <c r="HWQ1" s="17" t="s">
        <v>5520</v>
      </c>
      <c r="HWR1" s="17" t="s">
        <v>5521</v>
      </c>
      <c r="HWS1" s="17" t="s">
        <v>5522</v>
      </c>
      <c r="HWT1" s="17" t="s">
        <v>5523</v>
      </c>
      <c r="HWU1" s="17" t="s">
        <v>5524</v>
      </c>
      <c r="HWV1" s="17" t="s">
        <v>5525</v>
      </c>
      <c r="HWW1" s="17" t="s">
        <v>5526</v>
      </c>
      <c r="HWX1" s="17" t="s">
        <v>5527</v>
      </c>
      <c r="HWY1" s="17" t="s">
        <v>5528</v>
      </c>
      <c r="HWZ1" s="17" t="s">
        <v>5529</v>
      </c>
      <c r="HXA1" s="17" t="s">
        <v>5530</v>
      </c>
      <c r="HXB1" s="17" t="s">
        <v>5531</v>
      </c>
      <c r="HXC1" s="17" t="s">
        <v>5532</v>
      </c>
      <c r="HXD1" s="17" t="s">
        <v>5533</v>
      </c>
      <c r="HXE1" s="17" t="s">
        <v>5534</v>
      </c>
      <c r="HXF1" s="17" t="s">
        <v>5535</v>
      </c>
      <c r="HXG1" s="17" t="s">
        <v>5536</v>
      </c>
      <c r="HXH1" s="17" t="s">
        <v>5537</v>
      </c>
      <c r="HXI1" s="17" t="s">
        <v>5538</v>
      </c>
      <c r="HXJ1" s="17" t="s">
        <v>5539</v>
      </c>
      <c r="HXK1" s="17" t="s">
        <v>5540</v>
      </c>
      <c r="HXL1" s="17" t="s">
        <v>5541</v>
      </c>
      <c r="HXM1" s="17" t="s">
        <v>5542</v>
      </c>
      <c r="HXN1" s="17" t="s">
        <v>5543</v>
      </c>
      <c r="HXO1" s="17" t="s">
        <v>5544</v>
      </c>
      <c r="HXP1" s="17" t="s">
        <v>5545</v>
      </c>
      <c r="HXQ1" s="17" t="s">
        <v>5546</v>
      </c>
      <c r="HXR1" s="17" t="s">
        <v>5547</v>
      </c>
      <c r="HXS1" s="17" t="s">
        <v>5548</v>
      </c>
      <c r="HXT1" s="17" t="s">
        <v>5549</v>
      </c>
      <c r="HXU1" s="17" t="s">
        <v>5550</v>
      </c>
      <c r="HXV1" s="17" t="s">
        <v>5551</v>
      </c>
      <c r="HXW1" s="17" t="s">
        <v>5552</v>
      </c>
      <c r="HXX1" s="17" t="s">
        <v>5553</v>
      </c>
      <c r="HXY1" s="17" t="s">
        <v>5554</v>
      </c>
      <c r="HXZ1" s="17" t="s">
        <v>5555</v>
      </c>
      <c r="HYA1" s="17" t="s">
        <v>5556</v>
      </c>
      <c r="HYB1" s="17" t="s">
        <v>5557</v>
      </c>
      <c r="HYC1" s="17" t="s">
        <v>5558</v>
      </c>
      <c r="HYD1" s="17" t="s">
        <v>5559</v>
      </c>
      <c r="HYE1" s="17" t="s">
        <v>5560</v>
      </c>
      <c r="HYF1" s="17" t="s">
        <v>5561</v>
      </c>
      <c r="HYG1" s="17" t="s">
        <v>5562</v>
      </c>
      <c r="HYH1" s="17" t="s">
        <v>5563</v>
      </c>
      <c r="HYI1" s="17" t="s">
        <v>5564</v>
      </c>
      <c r="HYJ1" s="17" t="s">
        <v>5565</v>
      </c>
      <c r="HYK1" s="17" t="s">
        <v>5566</v>
      </c>
      <c r="HYL1" s="17" t="s">
        <v>5567</v>
      </c>
      <c r="HYM1" s="17" t="s">
        <v>5568</v>
      </c>
      <c r="HYN1" s="17" t="s">
        <v>5569</v>
      </c>
      <c r="HYO1" s="17" t="s">
        <v>5570</v>
      </c>
      <c r="HYP1" s="17" t="s">
        <v>5571</v>
      </c>
      <c r="HYQ1" s="17" t="s">
        <v>5572</v>
      </c>
      <c r="HYR1" s="17" t="s">
        <v>5573</v>
      </c>
      <c r="HYS1" s="17" t="s">
        <v>5574</v>
      </c>
      <c r="HYT1" s="17" t="s">
        <v>5575</v>
      </c>
      <c r="HYU1" s="17" t="s">
        <v>5576</v>
      </c>
      <c r="HYV1" s="17" t="s">
        <v>5577</v>
      </c>
      <c r="HYW1" s="17" t="s">
        <v>5578</v>
      </c>
      <c r="HYX1" s="17" t="s">
        <v>5579</v>
      </c>
      <c r="HYY1" s="17" t="s">
        <v>5580</v>
      </c>
      <c r="HYZ1" s="17" t="s">
        <v>5581</v>
      </c>
      <c r="HZA1" s="17" t="s">
        <v>5582</v>
      </c>
      <c r="HZB1" s="17" t="s">
        <v>5583</v>
      </c>
      <c r="HZC1" s="17" t="s">
        <v>5584</v>
      </c>
      <c r="HZD1" s="17" t="s">
        <v>5585</v>
      </c>
      <c r="HZE1" s="17" t="s">
        <v>5586</v>
      </c>
      <c r="HZF1" s="17" t="s">
        <v>5587</v>
      </c>
      <c r="HZG1" s="17" t="s">
        <v>5588</v>
      </c>
      <c r="HZH1" s="17" t="s">
        <v>5589</v>
      </c>
      <c r="HZI1" s="17" t="s">
        <v>5590</v>
      </c>
      <c r="HZJ1" s="17" t="s">
        <v>5591</v>
      </c>
      <c r="HZK1" s="17" t="s">
        <v>5592</v>
      </c>
      <c r="HZL1" s="17" t="s">
        <v>5593</v>
      </c>
      <c r="HZM1" s="17" t="s">
        <v>5594</v>
      </c>
      <c r="HZN1" s="17" t="s">
        <v>5595</v>
      </c>
      <c r="HZO1" s="17" t="s">
        <v>5596</v>
      </c>
      <c r="HZP1" s="17" t="s">
        <v>5597</v>
      </c>
      <c r="HZQ1" s="17" t="s">
        <v>5598</v>
      </c>
      <c r="HZR1" s="17" t="s">
        <v>5599</v>
      </c>
      <c r="HZS1" s="17" t="s">
        <v>5600</v>
      </c>
      <c r="HZT1" s="17" t="s">
        <v>5601</v>
      </c>
      <c r="HZU1" s="17" t="s">
        <v>5602</v>
      </c>
      <c r="HZV1" s="17" t="s">
        <v>5603</v>
      </c>
      <c r="HZW1" s="17" t="s">
        <v>5604</v>
      </c>
      <c r="HZX1" s="17" t="s">
        <v>5605</v>
      </c>
      <c r="HZY1" s="17" t="s">
        <v>5606</v>
      </c>
      <c r="HZZ1" s="17" t="s">
        <v>5607</v>
      </c>
      <c r="IAA1" s="17" t="s">
        <v>5608</v>
      </c>
      <c r="IAB1" s="17" t="s">
        <v>5609</v>
      </c>
      <c r="IAC1" s="17" t="s">
        <v>5610</v>
      </c>
      <c r="IAD1" s="17" t="s">
        <v>5611</v>
      </c>
      <c r="IAE1" s="17" t="s">
        <v>5612</v>
      </c>
      <c r="IAF1" s="17" t="s">
        <v>5613</v>
      </c>
      <c r="IAG1" s="17" t="s">
        <v>5614</v>
      </c>
      <c r="IAH1" s="17" t="s">
        <v>5615</v>
      </c>
      <c r="IAI1" s="17" t="s">
        <v>5616</v>
      </c>
      <c r="IAJ1" s="17" t="s">
        <v>5617</v>
      </c>
      <c r="IAK1" s="17" t="s">
        <v>5618</v>
      </c>
      <c r="IAL1" s="17" t="s">
        <v>5619</v>
      </c>
      <c r="IAM1" s="17" t="s">
        <v>5620</v>
      </c>
      <c r="IAN1" s="17" t="s">
        <v>5621</v>
      </c>
      <c r="IAO1" s="17" t="s">
        <v>5622</v>
      </c>
      <c r="IAP1" s="17" t="s">
        <v>5623</v>
      </c>
      <c r="IAQ1" s="17" t="s">
        <v>5624</v>
      </c>
      <c r="IAR1" s="17" t="s">
        <v>5625</v>
      </c>
      <c r="IAS1" s="17" t="s">
        <v>5626</v>
      </c>
      <c r="IAT1" s="17" t="s">
        <v>5627</v>
      </c>
      <c r="IAU1" s="17" t="s">
        <v>5628</v>
      </c>
      <c r="IAV1" s="17" t="s">
        <v>5629</v>
      </c>
      <c r="IAW1" s="17" t="s">
        <v>5630</v>
      </c>
      <c r="IAX1" s="17" t="s">
        <v>5631</v>
      </c>
      <c r="IAY1" s="17" t="s">
        <v>5632</v>
      </c>
      <c r="IAZ1" s="17" t="s">
        <v>5633</v>
      </c>
      <c r="IBA1" s="17" t="s">
        <v>5634</v>
      </c>
      <c r="IBB1" s="17" t="s">
        <v>5635</v>
      </c>
      <c r="IBC1" s="17" t="s">
        <v>5636</v>
      </c>
      <c r="IBD1" s="17" t="s">
        <v>5637</v>
      </c>
      <c r="IBE1" s="17" t="s">
        <v>5638</v>
      </c>
      <c r="IBF1" s="17" t="s">
        <v>5639</v>
      </c>
      <c r="IBG1" s="17" t="s">
        <v>5640</v>
      </c>
      <c r="IBH1" s="17" t="s">
        <v>5641</v>
      </c>
      <c r="IBI1" s="17" t="s">
        <v>5642</v>
      </c>
      <c r="IBJ1" s="17" t="s">
        <v>5643</v>
      </c>
      <c r="IBK1" s="17" t="s">
        <v>5644</v>
      </c>
      <c r="IBL1" s="17" t="s">
        <v>5645</v>
      </c>
      <c r="IBM1" s="17" t="s">
        <v>5646</v>
      </c>
      <c r="IBN1" s="17" t="s">
        <v>5647</v>
      </c>
      <c r="IBO1" s="17" t="s">
        <v>5648</v>
      </c>
      <c r="IBP1" s="17" t="s">
        <v>5649</v>
      </c>
      <c r="IBQ1" s="17" t="s">
        <v>5650</v>
      </c>
      <c r="IBR1" s="17" t="s">
        <v>5651</v>
      </c>
      <c r="IBS1" s="17" t="s">
        <v>5652</v>
      </c>
      <c r="IBT1" s="17" t="s">
        <v>5653</v>
      </c>
      <c r="IBU1" s="17" t="s">
        <v>5654</v>
      </c>
      <c r="IBV1" s="17" t="s">
        <v>5655</v>
      </c>
      <c r="IBW1" s="17" t="s">
        <v>5656</v>
      </c>
      <c r="IBX1" s="17" t="s">
        <v>5657</v>
      </c>
      <c r="IBY1" s="17" t="s">
        <v>5658</v>
      </c>
      <c r="IBZ1" s="17" t="s">
        <v>5659</v>
      </c>
      <c r="ICA1" s="17" t="s">
        <v>5660</v>
      </c>
      <c r="ICB1" s="17" t="s">
        <v>5661</v>
      </c>
      <c r="ICC1" s="17" t="s">
        <v>5662</v>
      </c>
      <c r="ICD1" s="17" t="s">
        <v>5663</v>
      </c>
      <c r="ICE1" s="17" t="s">
        <v>5664</v>
      </c>
      <c r="ICF1" s="17" t="s">
        <v>5665</v>
      </c>
      <c r="ICG1" s="17" t="s">
        <v>5666</v>
      </c>
      <c r="ICH1" s="17" t="s">
        <v>5667</v>
      </c>
      <c r="ICI1" s="17" t="s">
        <v>5668</v>
      </c>
      <c r="ICJ1" s="17" t="s">
        <v>5669</v>
      </c>
      <c r="ICK1" s="17" t="s">
        <v>5670</v>
      </c>
      <c r="ICL1" s="17" t="s">
        <v>5671</v>
      </c>
      <c r="ICM1" s="17" t="s">
        <v>5672</v>
      </c>
      <c r="ICN1" s="17" t="s">
        <v>5673</v>
      </c>
      <c r="ICO1" s="17" t="s">
        <v>5674</v>
      </c>
      <c r="ICP1" s="17" t="s">
        <v>5675</v>
      </c>
      <c r="ICQ1" s="17" t="s">
        <v>5676</v>
      </c>
      <c r="ICR1" s="17" t="s">
        <v>5677</v>
      </c>
      <c r="ICS1" s="17" t="s">
        <v>5678</v>
      </c>
      <c r="ICT1" s="17" t="s">
        <v>5679</v>
      </c>
      <c r="ICU1" s="17" t="s">
        <v>5680</v>
      </c>
      <c r="ICV1" s="17" t="s">
        <v>5681</v>
      </c>
      <c r="ICW1" s="17" t="s">
        <v>5682</v>
      </c>
      <c r="ICX1" s="17" t="s">
        <v>5683</v>
      </c>
      <c r="ICY1" s="17" t="s">
        <v>5684</v>
      </c>
      <c r="ICZ1" s="17" t="s">
        <v>5685</v>
      </c>
      <c r="IDA1" s="17" t="s">
        <v>5686</v>
      </c>
      <c r="IDB1" s="17" t="s">
        <v>5687</v>
      </c>
      <c r="IDC1" s="17" t="s">
        <v>5688</v>
      </c>
      <c r="IDD1" s="17" t="s">
        <v>5689</v>
      </c>
      <c r="IDE1" s="17" t="s">
        <v>5690</v>
      </c>
      <c r="IDF1" s="17" t="s">
        <v>5691</v>
      </c>
      <c r="IDG1" s="17" t="s">
        <v>5692</v>
      </c>
      <c r="IDH1" s="17" t="s">
        <v>5693</v>
      </c>
      <c r="IDI1" s="17" t="s">
        <v>5694</v>
      </c>
      <c r="IDJ1" s="17" t="s">
        <v>5695</v>
      </c>
      <c r="IDK1" s="17" t="s">
        <v>5696</v>
      </c>
      <c r="IDL1" s="17" t="s">
        <v>5697</v>
      </c>
      <c r="IDM1" s="17" t="s">
        <v>5698</v>
      </c>
      <c r="IDN1" s="17" t="s">
        <v>5699</v>
      </c>
      <c r="IDO1" s="17" t="s">
        <v>5700</v>
      </c>
      <c r="IDP1" s="17" t="s">
        <v>5701</v>
      </c>
      <c r="IDQ1" s="17" t="s">
        <v>5702</v>
      </c>
      <c r="IDR1" s="17" t="s">
        <v>5703</v>
      </c>
      <c r="IDS1" s="17" t="s">
        <v>5704</v>
      </c>
      <c r="IDT1" s="17" t="s">
        <v>5705</v>
      </c>
      <c r="IDU1" s="17" t="s">
        <v>5706</v>
      </c>
      <c r="IDV1" s="17" t="s">
        <v>5707</v>
      </c>
      <c r="IDW1" s="17" t="s">
        <v>5708</v>
      </c>
      <c r="IDX1" s="17" t="s">
        <v>5709</v>
      </c>
      <c r="IDY1" s="17" t="s">
        <v>5710</v>
      </c>
      <c r="IDZ1" s="17" t="s">
        <v>5711</v>
      </c>
      <c r="IEA1" s="17" t="s">
        <v>5712</v>
      </c>
      <c r="IEB1" s="17" t="s">
        <v>5713</v>
      </c>
      <c r="IEC1" s="17" t="s">
        <v>5714</v>
      </c>
      <c r="IED1" s="17" t="s">
        <v>5715</v>
      </c>
      <c r="IEE1" s="17" t="s">
        <v>5716</v>
      </c>
      <c r="IEF1" s="17" t="s">
        <v>5717</v>
      </c>
      <c r="IEG1" s="17" t="s">
        <v>5718</v>
      </c>
      <c r="IEH1" s="17" t="s">
        <v>5719</v>
      </c>
      <c r="IEI1" s="17" t="s">
        <v>5720</v>
      </c>
      <c r="IEJ1" s="17" t="s">
        <v>5721</v>
      </c>
      <c r="IEK1" s="17" t="s">
        <v>5722</v>
      </c>
      <c r="IEL1" s="17" t="s">
        <v>5723</v>
      </c>
      <c r="IEM1" s="17" t="s">
        <v>5724</v>
      </c>
      <c r="IEN1" s="17" t="s">
        <v>5725</v>
      </c>
      <c r="IEO1" s="17" t="s">
        <v>5726</v>
      </c>
      <c r="IEP1" s="17" t="s">
        <v>5727</v>
      </c>
      <c r="IEQ1" s="17" t="s">
        <v>5728</v>
      </c>
      <c r="IER1" s="17" t="s">
        <v>5729</v>
      </c>
      <c r="IES1" s="17" t="s">
        <v>5730</v>
      </c>
      <c r="IET1" s="17" t="s">
        <v>5731</v>
      </c>
      <c r="IEU1" s="17" t="s">
        <v>5732</v>
      </c>
      <c r="IEV1" s="17" t="s">
        <v>5733</v>
      </c>
      <c r="IEW1" s="17" t="s">
        <v>5734</v>
      </c>
      <c r="IEX1" s="17" t="s">
        <v>5735</v>
      </c>
      <c r="IEY1" s="17" t="s">
        <v>5736</v>
      </c>
      <c r="IEZ1" s="17" t="s">
        <v>5737</v>
      </c>
      <c r="IFA1" s="17" t="s">
        <v>5738</v>
      </c>
      <c r="IFB1" s="17" t="s">
        <v>5739</v>
      </c>
      <c r="IFC1" s="17" t="s">
        <v>5740</v>
      </c>
      <c r="IFD1" s="17" t="s">
        <v>5741</v>
      </c>
      <c r="IFE1" s="17" t="s">
        <v>5742</v>
      </c>
      <c r="IFF1" s="17" t="s">
        <v>5743</v>
      </c>
      <c r="IFG1" s="17" t="s">
        <v>5744</v>
      </c>
      <c r="IFH1" s="17" t="s">
        <v>5745</v>
      </c>
      <c r="IFI1" s="17" t="s">
        <v>5746</v>
      </c>
      <c r="IFJ1" s="17" t="s">
        <v>5747</v>
      </c>
      <c r="IFK1" s="17" t="s">
        <v>5748</v>
      </c>
      <c r="IFL1" s="17" t="s">
        <v>5749</v>
      </c>
      <c r="IFM1" s="17" t="s">
        <v>5750</v>
      </c>
      <c r="IFN1" s="17" t="s">
        <v>5751</v>
      </c>
      <c r="IFO1" s="17" t="s">
        <v>5752</v>
      </c>
      <c r="IFP1" s="17" t="s">
        <v>5753</v>
      </c>
      <c r="IFQ1" s="17" t="s">
        <v>5754</v>
      </c>
      <c r="IFR1" s="17" t="s">
        <v>5755</v>
      </c>
      <c r="IFS1" s="17" t="s">
        <v>5756</v>
      </c>
      <c r="IFT1" s="17" t="s">
        <v>5757</v>
      </c>
      <c r="IFU1" s="17" t="s">
        <v>5758</v>
      </c>
      <c r="IFV1" s="17" t="s">
        <v>5759</v>
      </c>
      <c r="IFW1" s="17" t="s">
        <v>5760</v>
      </c>
      <c r="IFX1" s="17" t="s">
        <v>5761</v>
      </c>
      <c r="IFY1" s="17" t="s">
        <v>5762</v>
      </c>
      <c r="IFZ1" s="17" t="s">
        <v>5763</v>
      </c>
      <c r="IGA1" s="17" t="s">
        <v>5764</v>
      </c>
      <c r="IGB1" s="17" t="s">
        <v>5765</v>
      </c>
      <c r="IGC1" s="17" t="s">
        <v>5766</v>
      </c>
      <c r="IGD1" s="17" t="s">
        <v>5767</v>
      </c>
      <c r="IGE1" s="17" t="s">
        <v>5768</v>
      </c>
      <c r="IGF1" s="17" t="s">
        <v>5769</v>
      </c>
      <c r="IGG1" s="17" t="s">
        <v>5770</v>
      </c>
      <c r="IGH1" s="17" t="s">
        <v>5771</v>
      </c>
      <c r="IGI1" s="17" t="s">
        <v>5772</v>
      </c>
      <c r="IGJ1" s="17" t="s">
        <v>5773</v>
      </c>
      <c r="IGK1" s="17" t="s">
        <v>5774</v>
      </c>
      <c r="IGL1" s="17" t="s">
        <v>5775</v>
      </c>
      <c r="IGM1" s="17" t="s">
        <v>5776</v>
      </c>
      <c r="IGN1" s="17" t="s">
        <v>5777</v>
      </c>
      <c r="IGO1" s="17" t="s">
        <v>5778</v>
      </c>
      <c r="IGP1" s="17" t="s">
        <v>5779</v>
      </c>
      <c r="IGQ1" s="17" t="s">
        <v>5780</v>
      </c>
      <c r="IGR1" s="17" t="s">
        <v>5781</v>
      </c>
      <c r="IGS1" s="17" t="s">
        <v>5782</v>
      </c>
      <c r="IGT1" s="17" t="s">
        <v>5783</v>
      </c>
      <c r="IGU1" s="17" t="s">
        <v>5784</v>
      </c>
      <c r="IGV1" s="17" t="s">
        <v>5785</v>
      </c>
      <c r="IGW1" s="17" t="s">
        <v>5786</v>
      </c>
      <c r="IGX1" s="17" t="s">
        <v>5787</v>
      </c>
      <c r="IGY1" s="17" t="s">
        <v>5788</v>
      </c>
      <c r="IGZ1" s="17" t="s">
        <v>5789</v>
      </c>
      <c r="IHA1" s="17" t="s">
        <v>5790</v>
      </c>
      <c r="IHB1" s="17" t="s">
        <v>5791</v>
      </c>
      <c r="IHC1" s="17" t="s">
        <v>5792</v>
      </c>
      <c r="IHD1" s="17" t="s">
        <v>5793</v>
      </c>
      <c r="IHE1" s="17" t="s">
        <v>5794</v>
      </c>
      <c r="IHF1" s="17" t="s">
        <v>5795</v>
      </c>
      <c r="IHG1" s="17" t="s">
        <v>5796</v>
      </c>
      <c r="IHH1" s="17" t="s">
        <v>5797</v>
      </c>
      <c r="IHI1" s="17" t="s">
        <v>5798</v>
      </c>
      <c r="IHJ1" s="17" t="s">
        <v>5799</v>
      </c>
      <c r="IHK1" s="17" t="s">
        <v>5800</v>
      </c>
      <c r="IHL1" s="17" t="s">
        <v>5801</v>
      </c>
      <c r="IHM1" s="17" t="s">
        <v>5802</v>
      </c>
      <c r="IHN1" s="17" t="s">
        <v>5803</v>
      </c>
      <c r="IHO1" s="17" t="s">
        <v>5804</v>
      </c>
      <c r="IHP1" s="17" t="s">
        <v>5805</v>
      </c>
      <c r="IHQ1" s="17" t="s">
        <v>5806</v>
      </c>
      <c r="IHR1" s="17" t="s">
        <v>5807</v>
      </c>
      <c r="IHS1" s="17" t="s">
        <v>5808</v>
      </c>
      <c r="IHT1" s="17" t="s">
        <v>5809</v>
      </c>
      <c r="IHU1" s="17" t="s">
        <v>5810</v>
      </c>
      <c r="IHV1" s="17" t="s">
        <v>5811</v>
      </c>
      <c r="IHW1" s="17" t="s">
        <v>5812</v>
      </c>
      <c r="IHX1" s="17" t="s">
        <v>5813</v>
      </c>
      <c r="IHY1" s="17" t="s">
        <v>5814</v>
      </c>
      <c r="IHZ1" s="17" t="s">
        <v>5815</v>
      </c>
      <c r="IIA1" s="17" t="s">
        <v>5816</v>
      </c>
      <c r="IIB1" s="17" t="s">
        <v>5817</v>
      </c>
      <c r="IIC1" s="17" t="s">
        <v>5818</v>
      </c>
      <c r="IID1" s="17" t="s">
        <v>5819</v>
      </c>
      <c r="IIE1" s="17" t="s">
        <v>5820</v>
      </c>
      <c r="IIF1" s="17" t="s">
        <v>5821</v>
      </c>
      <c r="IIG1" s="17" t="s">
        <v>5822</v>
      </c>
      <c r="IIH1" s="17" t="s">
        <v>5823</v>
      </c>
      <c r="III1" s="17" t="s">
        <v>5824</v>
      </c>
      <c r="IIJ1" s="17" t="s">
        <v>5825</v>
      </c>
      <c r="IIK1" s="17" t="s">
        <v>5826</v>
      </c>
      <c r="IIL1" s="17" t="s">
        <v>5827</v>
      </c>
      <c r="IIM1" s="17" t="s">
        <v>5828</v>
      </c>
      <c r="IIN1" s="17" t="s">
        <v>5829</v>
      </c>
      <c r="IIO1" s="17" t="s">
        <v>5830</v>
      </c>
      <c r="IIP1" s="17" t="s">
        <v>5831</v>
      </c>
      <c r="IIQ1" s="17" t="s">
        <v>5832</v>
      </c>
      <c r="IIR1" s="17" t="s">
        <v>5833</v>
      </c>
      <c r="IIS1" s="17" t="s">
        <v>5834</v>
      </c>
      <c r="IIT1" s="17" t="s">
        <v>5835</v>
      </c>
      <c r="IIU1" s="17" t="s">
        <v>5836</v>
      </c>
      <c r="IIV1" s="17" t="s">
        <v>5837</v>
      </c>
      <c r="IIW1" s="17" t="s">
        <v>5838</v>
      </c>
      <c r="IIX1" s="17" t="s">
        <v>5839</v>
      </c>
      <c r="IIY1" s="17" t="s">
        <v>5840</v>
      </c>
      <c r="IIZ1" s="17" t="s">
        <v>5841</v>
      </c>
      <c r="IJA1" s="17" t="s">
        <v>5842</v>
      </c>
      <c r="IJB1" s="17" t="s">
        <v>5843</v>
      </c>
      <c r="IJC1" s="17" t="s">
        <v>5844</v>
      </c>
      <c r="IJD1" s="17" t="s">
        <v>5845</v>
      </c>
      <c r="IJE1" s="17" t="s">
        <v>5846</v>
      </c>
      <c r="IJF1" s="17" t="s">
        <v>5847</v>
      </c>
      <c r="IJG1" s="17" t="s">
        <v>5848</v>
      </c>
      <c r="IJH1" s="17" t="s">
        <v>5849</v>
      </c>
      <c r="IJI1" s="17" t="s">
        <v>5850</v>
      </c>
      <c r="IJJ1" s="17" t="s">
        <v>5851</v>
      </c>
      <c r="IJK1" s="17" t="s">
        <v>5852</v>
      </c>
      <c r="IJL1" s="17" t="s">
        <v>5853</v>
      </c>
      <c r="IJM1" s="17" t="s">
        <v>5854</v>
      </c>
      <c r="IJN1" s="17" t="s">
        <v>5855</v>
      </c>
      <c r="IJO1" s="17" t="s">
        <v>5856</v>
      </c>
      <c r="IJP1" s="17" t="s">
        <v>5857</v>
      </c>
      <c r="IJQ1" s="17" t="s">
        <v>5858</v>
      </c>
      <c r="IJR1" s="17" t="s">
        <v>5859</v>
      </c>
      <c r="IJS1" s="17" t="s">
        <v>5860</v>
      </c>
      <c r="IJT1" s="17" t="s">
        <v>5861</v>
      </c>
      <c r="IJU1" s="17" t="s">
        <v>5862</v>
      </c>
      <c r="IJV1" s="17" t="s">
        <v>5863</v>
      </c>
      <c r="IJW1" s="17" t="s">
        <v>5864</v>
      </c>
      <c r="IJX1" s="17" t="s">
        <v>5865</v>
      </c>
      <c r="IJY1" s="17" t="s">
        <v>5866</v>
      </c>
      <c r="IJZ1" s="17" t="s">
        <v>5867</v>
      </c>
      <c r="IKA1" s="17" t="s">
        <v>5868</v>
      </c>
      <c r="IKB1" s="17" t="s">
        <v>5869</v>
      </c>
      <c r="IKC1" s="17" t="s">
        <v>5870</v>
      </c>
      <c r="IKD1" s="17" t="s">
        <v>5871</v>
      </c>
      <c r="IKE1" s="17" t="s">
        <v>5872</v>
      </c>
      <c r="IKF1" s="17" t="s">
        <v>5873</v>
      </c>
      <c r="IKG1" s="17" t="s">
        <v>5874</v>
      </c>
      <c r="IKH1" s="17" t="s">
        <v>5875</v>
      </c>
      <c r="IKI1" s="17" t="s">
        <v>5876</v>
      </c>
      <c r="IKJ1" s="17" t="s">
        <v>5877</v>
      </c>
      <c r="IKK1" s="17" t="s">
        <v>5878</v>
      </c>
      <c r="IKL1" s="17" t="s">
        <v>5879</v>
      </c>
      <c r="IKM1" s="17" t="s">
        <v>5880</v>
      </c>
      <c r="IKN1" s="17" t="s">
        <v>5881</v>
      </c>
      <c r="IKO1" s="17" t="s">
        <v>5882</v>
      </c>
      <c r="IKP1" s="17" t="s">
        <v>5883</v>
      </c>
      <c r="IKQ1" s="17" t="s">
        <v>5884</v>
      </c>
      <c r="IKR1" s="17" t="s">
        <v>5885</v>
      </c>
      <c r="IKS1" s="17" t="s">
        <v>5886</v>
      </c>
      <c r="IKT1" s="17" t="s">
        <v>5887</v>
      </c>
      <c r="IKU1" s="17" t="s">
        <v>5888</v>
      </c>
      <c r="IKV1" s="17" t="s">
        <v>5889</v>
      </c>
      <c r="IKW1" s="17" t="s">
        <v>5890</v>
      </c>
      <c r="IKX1" s="17" t="s">
        <v>5891</v>
      </c>
      <c r="IKY1" s="17" t="s">
        <v>5892</v>
      </c>
      <c r="IKZ1" s="17" t="s">
        <v>5893</v>
      </c>
      <c r="ILA1" s="17" t="s">
        <v>5894</v>
      </c>
      <c r="ILB1" s="17" t="s">
        <v>5895</v>
      </c>
      <c r="ILC1" s="17" t="s">
        <v>5896</v>
      </c>
      <c r="ILD1" s="17" t="s">
        <v>5897</v>
      </c>
      <c r="ILE1" s="17" t="s">
        <v>5898</v>
      </c>
      <c r="ILF1" s="17" t="s">
        <v>5899</v>
      </c>
      <c r="ILG1" s="17" t="s">
        <v>5900</v>
      </c>
      <c r="ILH1" s="17" t="s">
        <v>5901</v>
      </c>
      <c r="ILI1" s="17" t="s">
        <v>5902</v>
      </c>
      <c r="ILJ1" s="17" t="s">
        <v>5903</v>
      </c>
      <c r="ILK1" s="17" t="s">
        <v>5904</v>
      </c>
      <c r="ILL1" s="17" t="s">
        <v>5905</v>
      </c>
      <c r="ILM1" s="17" t="s">
        <v>5906</v>
      </c>
      <c r="ILN1" s="17" t="s">
        <v>5907</v>
      </c>
      <c r="ILO1" s="17" t="s">
        <v>5908</v>
      </c>
      <c r="ILP1" s="17" t="s">
        <v>5909</v>
      </c>
      <c r="ILQ1" s="17" t="s">
        <v>5910</v>
      </c>
      <c r="ILR1" s="17" t="s">
        <v>5911</v>
      </c>
      <c r="ILS1" s="17" t="s">
        <v>5912</v>
      </c>
      <c r="ILT1" s="17" t="s">
        <v>5913</v>
      </c>
      <c r="ILU1" s="17" t="s">
        <v>5914</v>
      </c>
      <c r="ILV1" s="17" t="s">
        <v>5915</v>
      </c>
      <c r="ILW1" s="17" t="s">
        <v>5916</v>
      </c>
      <c r="ILX1" s="17" t="s">
        <v>5917</v>
      </c>
      <c r="ILY1" s="17" t="s">
        <v>5918</v>
      </c>
      <c r="ILZ1" s="17" t="s">
        <v>5919</v>
      </c>
      <c r="IMA1" s="17" t="s">
        <v>5920</v>
      </c>
      <c r="IMB1" s="17" t="s">
        <v>5921</v>
      </c>
      <c r="IMC1" s="17" t="s">
        <v>5922</v>
      </c>
      <c r="IMD1" s="17" t="s">
        <v>5923</v>
      </c>
      <c r="IME1" s="17" t="s">
        <v>5924</v>
      </c>
      <c r="IMF1" s="17" t="s">
        <v>5925</v>
      </c>
      <c r="IMG1" s="17" t="s">
        <v>5926</v>
      </c>
      <c r="IMH1" s="17" t="s">
        <v>5927</v>
      </c>
      <c r="IMI1" s="17" t="s">
        <v>5928</v>
      </c>
      <c r="IMJ1" s="17" t="s">
        <v>5929</v>
      </c>
      <c r="IMK1" s="17" t="s">
        <v>5930</v>
      </c>
      <c r="IML1" s="17" t="s">
        <v>5931</v>
      </c>
      <c r="IMM1" s="17" t="s">
        <v>5932</v>
      </c>
      <c r="IMN1" s="17" t="s">
        <v>5933</v>
      </c>
      <c r="IMO1" s="17" t="s">
        <v>5934</v>
      </c>
      <c r="IMP1" s="17" t="s">
        <v>5935</v>
      </c>
      <c r="IMQ1" s="17" t="s">
        <v>5936</v>
      </c>
      <c r="IMR1" s="17" t="s">
        <v>5937</v>
      </c>
      <c r="IMS1" s="17" t="s">
        <v>5938</v>
      </c>
      <c r="IMT1" s="17" t="s">
        <v>5939</v>
      </c>
      <c r="IMU1" s="17" t="s">
        <v>5940</v>
      </c>
      <c r="IMV1" s="17" t="s">
        <v>5941</v>
      </c>
      <c r="IMW1" s="17" t="s">
        <v>5942</v>
      </c>
      <c r="IMX1" s="17" t="s">
        <v>5943</v>
      </c>
      <c r="IMY1" s="17" t="s">
        <v>5944</v>
      </c>
      <c r="IMZ1" s="17" t="s">
        <v>5945</v>
      </c>
      <c r="INA1" s="17" t="s">
        <v>5946</v>
      </c>
      <c r="INB1" s="17" t="s">
        <v>5947</v>
      </c>
      <c r="INC1" s="17" t="s">
        <v>5948</v>
      </c>
      <c r="IND1" s="17" t="s">
        <v>5949</v>
      </c>
      <c r="INE1" s="17" t="s">
        <v>5950</v>
      </c>
      <c r="INF1" s="17" t="s">
        <v>5951</v>
      </c>
      <c r="ING1" s="17" t="s">
        <v>5952</v>
      </c>
      <c r="INH1" s="17" t="s">
        <v>5953</v>
      </c>
      <c r="INI1" s="17" t="s">
        <v>5954</v>
      </c>
      <c r="INJ1" s="17" t="s">
        <v>5955</v>
      </c>
      <c r="INK1" s="17" t="s">
        <v>5956</v>
      </c>
      <c r="INL1" s="17" t="s">
        <v>5957</v>
      </c>
      <c r="INM1" s="17" t="s">
        <v>5958</v>
      </c>
      <c r="INN1" s="17" t="s">
        <v>5959</v>
      </c>
      <c r="INO1" s="17" t="s">
        <v>5960</v>
      </c>
      <c r="INP1" s="17" t="s">
        <v>5961</v>
      </c>
      <c r="INQ1" s="17" t="s">
        <v>5962</v>
      </c>
      <c r="INR1" s="17" t="s">
        <v>5963</v>
      </c>
      <c r="INS1" s="17" t="s">
        <v>5964</v>
      </c>
      <c r="INT1" s="17" t="s">
        <v>5965</v>
      </c>
      <c r="INU1" s="17" t="s">
        <v>5966</v>
      </c>
      <c r="INV1" s="17" t="s">
        <v>5967</v>
      </c>
      <c r="INW1" s="17" t="s">
        <v>5968</v>
      </c>
      <c r="INX1" s="17" t="s">
        <v>5969</v>
      </c>
      <c r="INY1" s="17" t="s">
        <v>5970</v>
      </c>
      <c r="INZ1" s="17" t="s">
        <v>5971</v>
      </c>
      <c r="IOA1" s="17" t="s">
        <v>5972</v>
      </c>
      <c r="IOB1" s="17" t="s">
        <v>5973</v>
      </c>
      <c r="IOC1" s="17" t="s">
        <v>5974</v>
      </c>
      <c r="IOD1" s="17" t="s">
        <v>5975</v>
      </c>
      <c r="IOE1" s="17" t="s">
        <v>5976</v>
      </c>
      <c r="IOF1" s="17" t="s">
        <v>5977</v>
      </c>
      <c r="IOG1" s="17" t="s">
        <v>5978</v>
      </c>
      <c r="IOH1" s="17" t="s">
        <v>5979</v>
      </c>
      <c r="IOI1" s="17" t="s">
        <v>5980</v>
      </c>
      <c r="IOJ1" s="17" t="s">
        <v>5981</v>
      </c>
      <c r="IOK1" s="17" t="s">
        <v>5982</v>
      </c>
      <c r="IOL1" s="17" t="s">
        <v>5983</v>
      </c>
      <c r="IOM1" s="17" t="s">
        <v>5984</v>
      </c>
      <c r="ION1" s="17" t="s">
        <v>5985</v>
      </c>
      <c r="IOO1" s="17" t="s">
        <v>5986</v>
      </c>
      <c r="IOP1" s="17" t="s">
        <v>5987</v>
      </c>
      <c r="IOQ1" s="17" t="s">
        <v>5988</v>
      </c>
      <c r="IOR1" s="17" t="s">
        <v>5989</v>
      </c>
      <c r="IOS1" s="17" t="s">
        <v>5990</v>
      </c>
      <c r="IOT1" s="17" t="s">
        <v>5991</v>
      </c>
      <c r="IOU1" s="17" t="s">
        <v>5992</v>
      </c>
      <c r="IOV1" s="17" t="s">
        <v>5993</v>
      </c>
      <c r="IOW1" s="17" t="s">
        <v>5994</v>
      </c>
      <c r="IOX1" s="17" t="s">
        <v>5995</v>
      </c>
      <c r="IOY1" s="17" t="s">
        <v>5996</v>
      </c>
      <c r="IOZ1" s="17" t="s">
        <v>5997</v>
      </c>
      <c r="IPA1" s="17" t="s">
        <v>5998</v>
      </c>
      <c r="IPB1" s="17" t="s">
        <v>5999</v>
      </c>
      <c r="IPC1" s="17" t="s">
        <v>6000</v>
      </c>
      <c r="IPD1" s="17" t="s">
        <v>6001</v>
      </c>
      <c r="IPE1" s="17" t="s">
        <v>6002</v>
      </c>
      <c r="IPF1" s="17" t="s">
        <v>6003</v>
      </c>
      <c r="IPG1" s="17" t="s">
        <v>6004</v>
      </c>
      <c r="IPH1" s="17" t="s">
        <v>6005</v>
      </c>
      <c r="IPI1" s="17" t="s">
        <v>6006</v>
      </c>
      <c r="IPJ1" s="17" t="s">
        <v>6007</v>
      </c>
      <c r="IPK1" s="17" t="s">
        <v>6008</v>
      </c>
      <c r="IPL1" s="17" t="s">
        <v>6009</v>
      </c>
      <c r="IPM1" s="17" t="s">
        <v>6010</v>
      </c>
      <c r="IPN1" s="17" t="s">
        <v>6011</v>
      </c>
      <c r="IPO1" s="17" t="s">
        <v>6012</v>
      </c>
      <c r="IPP1" s="17" t="s">
        <v>6013</v>
      </c>
      <c r="IPQ1" s="17" t="s">
        <v>6014</v>
      </c>
      <c r="IPR1" s="17" t="s">
        <v>6015</v>
      </c>
      <c r="IPS1" s="17" t="s">
        <v>6016</v>
      </c>
      <c r="IPT1" s="17" t="s">
        <v>6017</v>
      </c>
      <c r="IPU1" s="17" t="s">
        <v>6018</v>
      </c>
      <c r="IPV1" s="17" t="s">
        <v>6019</v>
      </c>
      <c r="IPW1" s="17" t="s">
        <v>6020</v>
      </c>
      <c r="IPX1" s="17" t="s">
        <v>6021</v>
      </c>
      <c r="IPY1" s="17" t="s">
        <v>6022</v>
      </c>
      <c r="IPZ1" s="17" t="s">
        <v>6023</v>
      </c>
      <c r="IQA1" s="17" t="s">
        <v>6024</v>
      </c>
      <c r="IQB1" s="17" t="s">
        <v>6025</v>
      </c>
      <c r="IQC1" s="17" t="s">
        <v>6026</v>
      </c>
      <c r="IQD1" s="17" t="s">
        <v>6027</v>
      </c>
      <c r="IQE1" s="17" t="s">
        <v>6028</v>
      </c>
      <c r="IQF1" s="17" t="s">
        <v>6029</v>
      </c>
      <c r="IQG1" s="17" t="s">
        <v>6030</v>
      </c>
      <c r="IQH1" s="17" t="s">
        <v>6031</v>
      </c>
      <c r="IQI1" s="17" t="s">
        <v>6032</v>
      </c>
      <c r="IQJ1" s="17" t="s">
        <v>6033</v>
      </c>
      <c r="IQK1" s="17" t="s">
        <v>6034</v>
      </c>
      <c r="IQL1" s="17" t="s">
        <v>6035</v>
      </c>
      <c r="IQM1" s="17" t="s">
        <v>6036</v>
      </c>
      <c r="IQN1" s="17" t="s">
        <v>6037</v>
      </c>
      <c r="IQO1" s="17" t="s">
        <v>6038</v>
      </c>
      <c r="IQP1" s="17" t="s">
        <v>6039</v>
      </c>
      <c r="IQQ1" s="17" t="s">
        <v>6040</v>
      </c>
      <c r="IQR1" s="17" t="s">
        <v>6041</v>
      </c>
      <c r="IQS1" s="17" t="s">
        <v>6042</v>
      </c>
      <c r="IQT1" s="17" t="s">
        <v>6043</v>
      </c>
      <c r="IQU1" s="17" t="s">
        <v>6044</v>
      </c>
      <c r="IQV1" s="17" t="s">
        <v>6045</v>
      </c>
      <c r="IQW1" s="17" t="s">
        <v>6046</v>
      </c>
      <c r="IQX1" s="17" t="s">
        <v>6047</v>
      </c>
      <c r="IQY1" s="17" t="s">
        <v>6048</v>
      </c>
      <c r="IQZ1" s="17" t="s">
        <v>6049</v>
      </c>
      <c r="IRA1" s="17" t="s">
        <v>6050</v>
      </c>
      <c r="IRB1" s="17" t="s">
        <v>6051</v>
      </c>
      <c r="IRC1" s="17" t="s">
        <v>6052</v>
      </c>
      <c r="IRD1" s="17" t="s">
        <v>6053</v>
      </c>
      <c r="IRE1" s="17" t="s">
        <v>6054</v>
      </c>
      <c r="IRF1" s="17" t="s">
        <v>6055</v>
      </c>
      <c r="IRG1" s="17" t="s">
        <v>6056</v>
      </c>
      <c r="IRH1" s="17" t="s">
        <v>6057</v>
      </c>
      <c r="IRI1" s="17" t="s">
        <v>6058</v>
      </c>
      <c r="IRJ1" s="17" t="s">
        <v>6059</v>
      </c>
      <c r="IRK1" s="17" t="s">
        <v>6060</v>
      </c>
      <c r="IRL1" s="17" t="s">
        <v>6061</v>
      </c>
      <c r="IRM1" s="17" t="s">
        <v>6062</v>
      </c>
      <c r="IRN1" s="17" t="s">
        <v>6063</v>
      </c>
      <c r="IRO1" s="17" t="s">
        <v>6064</v>
      </c>
      <c r="IRP1" s="17" t="s">
        <v>6065</v>
      </c>
      <c r="IRQ1" s="17" t="s">
        <v>6066</v>
      </c>
      <c r="IRR1" s="17" t="s">
        <v>6067</v>
      </c>
      <c r="IRS1" s="17" t="s">
        <v>6068</v>
      </c>
      <c r="IRT1" s="17" t="s">
        <v>6069</v>
      </c>
      <c r="IRU1" s="17" t="s">
        <v>6070</v>
      </c>
      <c r="IRV1" s="17" t="s">
        <v>6071</v>
      </c>
      <c r="IRW1" s="17" t="s">
        <v>6072</v>
      </c>
      <c r="IRX1" s="17" t="s">
        <v>6073</v>
      </c>
      <c r="IRY1" s="17" t="s">
        <v>6074</v>
      </c>
      <c r="IRZ1" s="17" t="s">
        <v>6075</v>
      </c>
      <c r="ISA1" s="17" t="s">
        <v>6076</v>
      </c>
      <c r="ISB1" s="17" t="s">
        <v>6077</v>
      </c>
      <c r="ISC1" s="17" t="s">
        <v>6078</v>
      </c>
      <c r="ISD1" s="17" t="s">
        <v>6079</v>
      </c>
      <c r="ISE1" s="17" t="s">
        <v>6080</v>
      </c>
      <c r="ISF1" s="17" t="s">
        <v>6081</v>
      </c>
      <c r="ISG1" s="17" t="s">
        <v>6082</v>
      </c>
      <c r="ISH1" s="17" t="s">
        <v>6083</v>
      </c>
      <c r="ISI1" s="17" t="s">
        <v>6084</v>
      </c>
      <c r="ISJ1" s="17" t="s">
        <v>6085</v>
      </c>
      <c r="ISK1" s="17" t="s">
        <v>6086</v>
      </c>
      <c r="ISL1" s="17" t="s">
        <v>6087</v>
      </c>
      <c r="ISM1" s="17" t="s">
        <v>6088</v>
      </c>
      <c r="ISN1" s="17" t="s">
        <v>6089</v>
      </c>
      <c r="ISO1" s="17" t="s">
        <v>6090</v>
      </c>
      <c r="ISP1" s="17" t="s">
        <v>6091</v>
      </c>
      <c r="ISQ1" s="17" t="s">
        <v>6092</v>
      </c>
      <c r="ISR1" s="17" t="s">
        <v>6093</v>
      </c>
      <c r="ISS1" s="17" t="s">
        <v>6094</v>
      </c>
      <c r="IST1" s="17" t="s">
        <v>6095</v>
      </c>
      <c r="ISU1" s="17" t="s">
        <v>6096</v>
      </c>
      <c r="ISV1" s="17" t="s">
        <v>6097</v>
      </c>
      <c r="ISW1" s="17" t="s">
        <v>6098</v>
      </c>
      <c r="ISX1" s="17" t="s">
        <v>6099</v>
      </c>
      <c r="ISY1" s="17" t="s">
        <v>6100</v>
      </c>
      <c r="ISZ1" s="17" t="s">
        <v>6101</v>
      </c>
      <c r="ITA1" s="17" t="s">
        <v>6102</v>
      </c>
      <c r="ITB1" s="17" t="s">
        <v>6103</v>
      </c>
      <c r="ITC1" s="17" t="s">
        <v>6104</v>
      </c>
      <c r="ITD1" s="17" t="s">
        <v>6105</v>
      </c>
      <c r="ITE1" s="17" t="s">
        <v>6106</v>
      </c>
      <c r="ITF1" s="17" t="s">
        <v>6107</v>
      </c>
      <c r="ITG1" s="17" t="s">
        <v>6108</v>
      </c>
      <c r="ITH1" s="17" t="s">
        <v>6109</v>
      </c>
      <c r="ITI1" s="17" t="s">
        <v>6110</v>
      </c>
      <c r="ITJ1" s="17" t="s">
        <v>6111</v>
      </c>
      <c r="ITK1" s="17" t="s">
        <v>6112</v>
      </c>
      <c r="ITL1" s="17" t="s">
        <v>6113</v>
      </c>
      <c r="ITM1" s="17" t="s">
        <v>6114</v>
      </c>
      <c r="ITN1" s="17" t="s">
        <v>6115</v>
      </c>
      <c r="ITO1" s="17" t="s">
        <v>6116</v>
      </c>
      <c r="ITP1" s="17" t="s">
        <v>6117</v>
      </c>
      <c r="ITQ1" s="17" t="s">
        <v>6118</v>
      </c>
      <c r="ITR1" s="17" t="s">
        <v>6119</v>
      </c>
      <c r="ITS1" s="17" t="s">
        <v>6120</v>
      </c>
      <c r="ITT1" s="17" t="s">
        <v>6121</v>
      </c>
      <c r="ITU1" s="17" t="s">
        <v>6122</v>
      </c>
      <c r="ITV1" s="17" t="s">
        <v>6123</v>
      </c>
      <c r="ITW1" s="17" t="s">
        <v>6124</v>
      </c>
      <c r="ITX1" s="17" t="s">
        <v>6125</v>
      </c>
      <c r="ITY1" s="17" t="s">
        <v>6126</v>
      </c>
      <c r="ITZ1" s="17" t="s">
        <v>6127</v>
      </c>
      <c r="IUA1" s="17" t="s">
        <v>6128</v>
      </c>
      <c r="IUB1" s="17" t="s">
        <v>6129</v>
      </c>
      <c r="IUC1" s="17" t="s">
        <v>6130</v>
      </c>
      <c r="IUD1" s="17" t="s">
        <v>6131</v>
      </c>
      <c r="IUE1" s="17" t="s">
        <v>6132</v>
      </c>
      <c r="IUF1" s="17" t="s">
        <v>6133</v>
      </c>
      <c r="IUG1" s="17" t="s">
        <v>6134</v>
      </c>
      <c r="IUH1" s="17" t="s">
        <v>6135</v>
      </c>
      <c r="IUI1" s="17" t="s">
        <v>6136</v>
      </c>
      <c r="IUJ1" s="17" t="s">
        <v>6137</v>
      </c>
      <c r="IUK1" s="17" t="s">
        <v>6138</v>
      </c>
      <c r="IUL1" s="17" t="s">
        <v>6139</v>
      </c>
      <c r="IUM1" s="17" t="s">
        <v>6140</v>
      </c>
      <c r="IUN1" s="17" t="s">
        <v>6141</v>
      </c>
      <c r="IUO1" s="17" t="s">
        <v>6142</v>
      </c>
      <c r="IUP1" s="17" t="s">
        <v>6143</v>
      </c>
      <c r="IUQ1" s="17" t="s">
        <v>6144</v>
      </c>
      <c r="IUR1" s="17" t="s">
        <v>6145</v>
      </c>
      <c r="IUS1" s="17" t="s">
        <v>6146</v>
      </c>
      <c r="IUT1" s="17" t="s">
        <v>6147</v>
      </c>
      <c r="IUU1" s="17" t="s">
        <v>6148</v>
      </c>
      <c r="IUV1" s="17" t="s">
        <v>6149</v>
      </c>
      <c r="IUW1" s="17" t="s">
        <v>6150</v>
      </c>
      <c r="IUX1" s="17" t="s">
        <v>6151</v>
      </c>
      <c r="IUY1" s="17" t="s">
        <v>6152</v>
      </c>
      <c r="IUZ1" s="17" t="s">
        <v>6153</v>
      </c>
      <c r="IVA1" s="17" t="s">
        <v>6154</v>
      </c>
      <c r="IVB1" s="17" t="s">
        <v>6155</v>
      </c>
      <c r="IVC1" s="17" t="s">
        <v>6156</v>
      </c>
      <c r="IVD1" s="17" t="s">
        <v>6157</v>
      </c>
      <c r="IVE1" s="17" t="s">
        <v>6158</v>
      </c>
      <c r="IVF1" s="17" t="s">
        <v>6159</v>
      </c>
      <c r="IVG1" s="17" t="s">
        <v>6160</v>
      </c>
      <c r="IVH1" s="17" t="s">
        <v>6161</v>
      </c>
      <c r="IVI1" s="17" t="s">
        <v>6162</v>
      </c>
      <c r="IVJ1" s="17" t="s">
        <v>6163</v>
      </c>
      <c r="IVK1" s="17" t="s">
        <v>6164</v>
      </c>
      <c r="IVL1" s="17" t="s">
        <v>6165</v>
      </c>
      <c r="IVM1" s="17" t="s">
        <v>6166</v>
      </c>
      <c r="IVN1" s="17" t="s">
        <v>6167</v>
      </c>
      <c r="IVO1" s="17" t="s">
        <v>6168</v>
      </c>
      <c r="IVP1" s="17" t="s">
        <v>6169</v>
      </c>
      <c r="IVQ1" s="17" t="s">
        <v>6170</v>
      </c>
      <c r="IVR1" s="17" t="s">
        <v>6171</v>
      </c>
      <c r="IVS1" s="17" t="s">
        <v>6172</v>
      </c>
      <c r="IVT1" s="17" t="s">
        <v>6173</v>
      </c>
      <c r="IVU1" s="17" t="s">
        <v>6174</v>
      </c>
      <c r="IVV1" s="17" t="s">
        <v>6175</v>
      </c>
      <c r="IVW1" s="17" t="s">
        <v>6176</v>
      </c>
      <c r="IVX1" s="17" t="s">
        <v>6177</v>
      </c>
      <c r="IVY1" s="17" t="s">
        <v>6178</v>
      </c>
      <c r="IVZ1" s="17" t="s">
        <v>6179</v>
      </c>
      <c r="IWA1" s="17" t="s">
        <v>6180</v>
      </c>
      <c r="IWB1" s="17" t="s">
        <v>6181</v>
      </c>
      <c r="IWC1" s="17" t="s">
        <v>6182</v>
      </c>
      <c r="IWD1" s="17" t="s">
        <v>6183</v>
      </c>
      <c r="IWE1" s="17" t="s">
        <v>6184</v>
      </c>
      <c r="IWF1" s="17" t="s">
        <v>6185</v>
      </c>
      <c r="IWG1" s="17" t="s">
        <v>6186</v>
      </c>
      <c r="IWH1" s="17" t="s">
        <v>6187</v>
      </c>
      <c r="IWI1" s="17" t="s">
        <v>6188</v>
      </c>
      <c r="IWJ1" s="17" t="s">
        <v>6189</v>
      </c>
      <c r="IWK1" s="17" t="s">
        <v>6190</v>
      </c>
      <c r="IWL1" s="17" t="s">
        <v>6191</v>
      </c>
      <c r="IWM1" s="17" t="s">
        <v>6192</v>
      </c>
      <c r="IWN1" s="17" t="s">
        <v>6193</v>
      </c>
      <c r="IWO1" s="17" t="s">
        <v>6194</v>
      </c>
      <c r="IWP1" s="17" t="s">
        <v>6195</v>
      </c>
      <c r="IWQ1" s="17" t="s">
        <v>6196</v>
      </c>
      <c r="IWR1" s="17" t="s">
        <v>6197</v>
      </c>
      <c r="IWS1" s="17" t="s">
        <v>6198</v>
      </c>
      <c r="IWT1" s="17" t="s">
        <v>6199</v>
      </c>
      <c r="IWU1" s="17" t="s">
        <v>6200</v>
      </c>
      <c r="IWV1" s="17" t="s">
        <v>6201</v>
      </c>
      <c r="IWW1" s="17" t="s">
        <v>6202</v>
      </c>
      <c r="IWX1" s="17" t="s">
        <v>6203</v>
      </c>
      <c r="IWY1" s="17" t="s">
        <v>6204</v>
      </c>
      <c r="IWZ1" s="17" t="s">
        <v>6205</v>
      </c>
      <c r="IXA1" s="17" t="s">
        <v>6206</v>
      </c>
      <c r="IXB1" s="17" t="s">
        <v>6207</v>
      </c>
      <c r="IXC1" s="17" t="s">
        <v>6208</v>
      </c>
      <c r="IXD1" s="17" t="s">
        <v>6209</v>
      </c>
      <c r="IXE1" s="17" t="s">
        <v>6210</v>
      </c>
      <c r="IXF1" s="17" t="s">
        <v>6211</v>
      </c>
      <c r="IXG1" s="17" t="s">
        <v>6212</v>
      </c>
      <c r="IXH1" s="17" t="s">
        <v>6213</v>
      </c>
      <c r="IXI1" s="17" t="s">
        <v>6214</v>
      </c>
      <c r="IXJ1" s="17" t="s">
        <v>6215</v>
      </c>
      <c r="IXK1" s="17" t="s">
        <v>6216</v>
      </c>
      <c r="IXL1" s="17" t="s">
        <v>6217</v>
      </c>
      <c r="IXM1" s="17" t="s">
        <v>6218</v>
      </c>
      <c r="IXN1" s="17" t="s">
        <v>6219</v>
      </c>
      <c r="IXO1" s="17" t="s">
        <v>6220</v>
      </c>
      <c r="IXP1" s="17" t="s">
        <v>6221</v>
      </c>
      <c r="IXQ1" s="17" t="s">
        <v>6222</v>
      </c>
      <c r="IXR1" s="17" t="s">
        <v>6223</v>
      </c>
      <c r="IXS1" s="17" t="s">
        <v>6224</v>
      </c>
      <c r="IXT1" s="17" t="s">
        <v>6225</v>
      </c>
      <c r="IXU1" s="17" t="s">
        <v>6226</v>
      </c>
      <c r="IXV1" s="17" t="s">
        <v>6227</v>
      </c>
      <c r="IXW1" s="17" t="s">
        <v>6228</v>
      </c>
      <c r="IXX1" s="17" t="s">
        <v>6229</v>
      </c>
      <c r="IXY1" s="17" t="s">
        <v>6230</v>
      </c>
      <c r="IXZ1" s="17" t="s">
        <v>6231</v>
      </c>
      <c r="IYA1" s="17" t="s">
        <v>6232</v>
      </c>
      <c r="IYB1" s="17" t="s">
        <v>6233</v>
      </c>
      <c r="IYC1" s="17" t="s">
        <v>6234</v>
      </c>
      <c r="IYD1" s="17" t="s">
        <v>6235</v>
      </c>
      <c r="IYE1" s="17" t="s">
        <v>6236</v>
      </c>
      <c r="IYF1" s="17" t="s">
        <v>6237</v>
      </c>
      <c r="IYG1" s="17" t="s">
        <v>6238</v>
      </c>
      <c r="IYH1" s="17" t="s">
        <v>6239</v>
      </c>
      <c r="IYI1" s="17" t="s">
        <v>6240</v>
      </c>
      <c r="IYJ1" s="17" t="s">
        <v>6241</v>
      </c>
      <c r="IYK1" s="17" t="s">
        <v>6242</v>
      </c>
      <c r="IYL1" s="17" t="s">
        <v>6243</v>
      </c>
      <c r="IYM1" s="17" t="s">
        <v>6244</v>
      </c>
      <c r="IYN1" s="17" t="s">
        <v>6245</v>
      </c>
      <c r="IYO1" s="17" t="s">
        <v>6246</v>
      </c>
      <c r="IYP1" s="17" t="s">
        <v>6247</v>
      </c>
      <c r="IYQ1" s="17" t="s">
        <v>6248</v>
      </c>
      <c r="IYR1" s="17" t="s">
        <v>6249</v>
      </c>
      <c r="IYS1" s="17" t="s">
        <v>6250</v>
      </c>
      <c r="IYT1" s="17" t="s">
        <v>6251</v>
      </c>
      <c r="IYU1" s="17" t="s">
        <v>6252</v>
      </c>
      <c r="IYV1" s="17" t="s">
        <v>6253</v>
      </c>
      <c r="IYW1" s="17" t="s">
        <v>6254</v>
      </c>
      <c r="IYX1" s="17" t="s">
        <v>6255</v>
      </c>
      <c r="IYY1" s="17" t="s">
        <v>6256</v>
      </c>
      <c r="IYZ1" s="17" t="s">
        <v>6257</v>
      </c>
      <c r="IZA1" s="17" t="s">
        <v>6258</v>
      </c>
      <c r="IZB1" s="17" t="s">
        <v>6259</v>
      </c>
      <c r="IZC1" s="17" t="s">
        <v>6260</v>
      </c>
      <c r="IZD1" s="17" t="s">
        <v>6261</v>
      </c>
      <c r="IZE1" s="17" t="s">
        <v>6262</v>
      </c>
      <c r="IZF1" s="17" t="s">
        <v>6263</v>
      </c>
      <c r="IZG1" s="17" t="s">
        <v>6264</v>
      </c>
      <c r="IZH1" s="17" t="s">
        <v>6265</v>
      </c>
      <c r="IZI1" s="17" t="s">
        <v>6266</v>
      </c>
      <c r="IZJ1" s="17" t="s">
        <v>6267</v>
      </c>
      <c r="IZK1" s="17" t="s">
        <v>6268</v>
      </c>
      <c r="IZL1" s="17" t="s">
        <v>6269</v>
      </c>
      <c r="IZM1" s="17" t="s">
        <v>6270</v>
      </c>
      <c r="IZN1" s="17" t="s">
        <v>6271</v>
      </c>
      <c r="IZO1" s="17" t="s">
        <v>6272</v>
      </c>
      <c r="IZP1" s="17" t="s">
        <v>6273</v>
      </c>
      <c r="IZQ1" s="17" t="s">
        <v>6274</v>
      </c>
      <c r="IZR1" s="17" t="s">
        <v>6275</v>
      </c>
      <c r="IZS1" s="17" t="s">
        <v>6276</v>
      </c>
      <c r="IZT1" s="17" t="s">
        <v>6277</v>
      </c>
      <c r="IZU1" s="17" t="s">
        <v>6278</v>
      </c>
      <c r="IZV1" s="17" t="s">
        <v>6279</v>
      </c>
      <c r="IZW1" s="17" t="s">
        <v>6280</v>
      </c>
      <c r="IZX1" s="17" t="s">
        <v>6281</v>
      </c>
      <c r="IZY1" s="17" t="s">
        <v>6282</v>
      </c>
      <c r="IZZ1" s="17" t="s">
        <v>6283</v>
      </c>
      <c r="JAA1" s="17" t="s">
        <v>6284</v>
      </c>
      <c r="JAB1" s="17" t="s">
        <v>6285</v>
      </c>
      <c r="JAC1" s="17" t="s">
        <v>6286</v>
      </c>
      <c r="JAD1" s="17" t="s">
        <v>6287</v>
      </c>
      <c r="JAE1" s="17" t="s">
        <v>6288</v>
      </c>
      <c r="JAF1" s="17" t="s">
        <v>6289</v>
      </c>
      <c r="JAG1" s="17" t="s">
        <v>6290</v>
      </c>
      <c r="JAH1" s="17" t="s">
        <v>6291</v>
      </c>
      <c r="JAI1" s="17" t="s">
        <v>6292</v>
      </c>
      <c r="JAJ1" s="17" t="s">
        <v>6293</v>
      </c>
      <c r="JAK1" s="17" t="s">
        <v>6294</v>
      </c>
      <c r="JAL1" s="17" t="s">
        <v>6295</v>
      </c>
      <c r="JAM1" s="17" t="s">
        <v>6296</v>
      </c>
      <c r="JAN1" s="17" t="s">
        <v>6297</v>
      </c>
      <c r="JAO1" s="17" t="s">
        <v>6298</v>
      </c>
      <c r="JAP1" s="17" t="s">
        <v>6299</v>
      </c>
      <c r="JAQ1" s="17" t="s">
        <v>6300</v>
      </c>
      <c r="JAR1" s="17" t="s">
        <v>6301</v>
      </c>
      <c r="JAS1" s="17" t="s">
        <v>6302</v>
      </c>
      <c r="JAT1" s="17" t="s">
        <v>6303</v>
      </c>
      <c r="JAU1" s="17" t="s">
        <v>6304</v>
      </c>
      <c r="JAV1" s="17" t="s">
        <v>6305</v>
      </c>
      <c r="JAW1" s="17" t="s">
        <v>6306</v>
      </c>
      <c r="JAX1" s="17" t="s">
        <v>6307</v>
      </c>
      <c r="JAY1" s="17" t="s">
        <v>6308</v>
      </c>
      <c r="JAZ1" s="17" t="s">
        <v>6309</v>
      </c>
      <c r="JBA1" s="17" t="s">
        <v>6310</v>
      </c>
      <c r="JBB1" s="17" t="s">
        <v>6311</v>
      </c>
      <c r="JBC1" s="17" t="s">
        <v>6312</v>
      </c>
      <c r="JBD1" s="17" t="s">
        <v>6313</v>
      </c>
      <c r="JBE1" s="17" t="s">
        <v>6314</v>
      </c>
      <c r="JBF1" s="17" t="s">
        <v>6315</v>
      </c>
      <c r="JBG1" s="17" t="s">
        <v>6316</v>
      </c>
      <c r="JBH1" s="17" t="s">
        <v>6317</v>
      </c>
      <c r="JBI1" s="17" t="s">
        <v>6318</v>
      </c>
      <c r="JBJ1" s="17" t="s">
        <v>6319</v>
      </c>
      <c r="JBK1" s="17" t="s">
        <v>6320</v>
      </c>
      <c r="JBL1" s="17" t="s">
        <v>6321</v>
      </c>
      <c r="JBM1" s="17" t="s">
        <v>6322</v>
      </c>
      <c r="JBN1" s="17" t="s">
        <v>6323</v>
      </c>
      <c r="JBO1" s="17" t="s">
        <v>6324</v>
      </c>
      <c r="JBP1" s="17" t="s">
        <v>6325</v>
      </c>
      <c r="JBQ1" s="17" t="s">
        <v>6326</v>
      </c>
      <c r="JBR1" s="17" t="s">
        <v>6327</v>
      </c>
      <c r="JBS1" s="17" t="s">
        <v>6328</v>
      </c>
      <c r="JBT1" s="17" t="s">
        <v>6329</v>
      </c>
      <c r="JBU1" s="17" t="s">
        <v>6330</v>
      </c>
      <c r="JBV1" s="17" t="s">
        <v>6331</v>
      </c>
      <c r="JBW1" s="17" t="s">
        <v>6332</v>
      </c>
      <c r="JBX1" s="17" t="s">
        <v>6333</v>
      </c>
      <c r="JBY1" s="17" t="s">
        <v>6334</v>
      </c>
      <c r="JBZ1" s="17" t="s">
        <v>6335</v>
      </c>
      <c r="JCA1" s="17" t="s">
        <v>6336</v>
      </c>
      <c r="JCB1" s="17" t="s">
        <v>6337</v>
      </c>
      <c r="JCC1" s="17" t="s">
        <v>6338</v>
      </c>
      <c r="JCD1" s="17" t="s">
        <v>6339</v>
      </c>
      <c r="JCE1" s="17" t="s">
        <v>6340</v>
      </c>
      <c r="JCF1" s="17" t="s">
        <v>6341</v>
      </c>
      <c r="JCG1" s="17" t="s">
        <v>6342</v>
      </c>
      <c r="JCH1" s="17" t="s">
        <v>6343</v>
      </c>
      <c r="JCI1" s="17" t="s">
        <v>6344</v>
      </c>
      <c r="JCJ1" s="17" t="s">
        <v>6345</v>
      </c>
      <c r="JCK1" s="17" t="s">
        <v>6346</v>
      </c>
      <c r="JCL1" s="17" t="s">
        <v>6347</v>
      </c>
      <c r="JCM1" s="17" t="s">
        <v>6348</v>
      </c>
      <c r="JCN1" s="17" t="s">
        <v>6349</v>
      </c>
      <c r="JCO1" s="17" t="s">
        <v>6350</v>
      </c>
      <c r="JCP1" s="17" t="s">
        <v>6351</v>
      </c>
      <c r="JCQ1" s="17" t="s">
        <v>6352</v>
      </c>
      <c r="JCR1" s="17" t="s">
        <v>6353</v>
      </c>
      <c r="JCS1" s="17" t="s">
        <v>6354</v>
      </c>
      <c r="JCT1" s="17" t="s">
        <v>6355</v>
      </c>
      <c r="JCU1" s="17" t="s">
        <v>6356</v>
      </c>
      <c r="JCV1" s="17" t="s">
        <v>6357</v>
      </c>
      <c r="JCW1" s="17" t="s">
        <v>6358</v>
      </c>
      <c r="JCX1" s="17" t="s">
        <v>6359</v>
      </c>
      <c r="JCY1" s="17" t="s">
        <v>6360</v>
      </c>
      <c r="JCZ1" s="17" t="s">
        <v>6361</v>
      </c>
      <c r="JDA1" s="17" t="s">
        <v>6362</v>
      </c>
      <c r="JDB1" s="17" t="s">
        <v>6363</v>
      </c>
      <c r="JDC1" s="17" t="s">
        <v>6364</v>
      </c>
      <c r="JDD1" s="17" t="s">
        <v>6365</v>
      </c>
      <c r="JDE1" s="17" t="s">
        <v>6366</v>
      </c>
      <c r="JDF1" s="17" t="s">
        <v>6367</v>
      </c>
      <c r="JDG1" s="17" t="s">
        <v>6368</v>
      </c>
      <c r="JDH1" s="17" t="s">
        <v>6369</v>
      </c>
      <c r="JDI1" s="17" t="s">
        <v>6370</v>
      </c>
      <c r="JDJ1" s="17" t="s">
        <v>6371</v>
      </c>
      <c r="JDK1" s="17" t="s">
        <v>6372</v>
      </c>
      <c r="JDL1" s="17" t="s">
        <v>6373</v>
      </c>
      <c r="JDM1" s="17" t="s">
        <v>6374</v>
      </c>
      <c r="JDN1" s="17" t="s">
        <v>6375</v>
      </c>
      <c r="JDO1" s="17" t="s">
        <v>6376</v>
      </c>
      <c r="JDP1" s="17" t="s">
        <v>6377</v>
      </c>
      <c r="JDQ1" s="17" t="s">
        <v>6378</v>
      </c>
      <c r="JDR1" s="17" t="s">
        <v>6379</v>
      </c>
      <c r="JDS1" s="17" t="s">
        <v>6380</v>
      </c>
      <c r="JDT1" s="17" t="s">
        <v>6381</v>
      </c>
      <c r="JDU1" s="17" t="s">
        <v>6382</v>
      </c>
      <c r="JDV1" s="17" t="s">
        <v>6383</v>
      </c>
      <c r="JDW1" s="17" t="s">
        <v>6384</v>
      </c>
      <c r="JDX1" s="17" t="s">
        <v>6385</v>
      </c>
      <c r="JDY1" s="17" t="s">
        <v>6386</v>
      </c>
      <c r="JDZ1" s="17" t="s">
        <v>6387</v>
      </c>
      <c r="JEA1" s="17" t="s">
        <v>6388</v>
      </c>
      <c r="JEB1" s="17" t="s">
        <v>6389</v>
      </c>
      <c r="JEC1" s="17" t="s">
        <v>6390</v>
      </c>
      <c r="JED1" s="17" t="s">
        <v>6391</v>
      </c>
      <c r="JEE1" s="17" t="s">
        <v>6392</v>
      </c>
      <c r="JEF1" s="17" t="s">
        <v>6393</v>
      </c>
      <c r="JEG1" s="17" t="s">
        <v>6394</v>
      </c>
      <c r="JEH1" s="17" t="s">
        <v>6395</v>
      </c>
      <c r="JEI1" s="17" t="s">
        <v>6396</v>
      </c>
      <c r="JEJ1" s="17" t="s">
        <v>6397</v>
      </c>
      <c r="JEK1" s="17" t="s">
        <v>6398</v>
      </c>
      <c r="JEL1" s="17" t="s">
        <v>6399</v>
      </c>
      <c r="JEM1" s="17" t="s">
        <v>6400</v>
      </c>
      <c r="JEN1" s="17" t="s">
        <v>6401</v>
      </c>
      <c r="JEO1" s="17" t="s">
        <v>6402</v>
      </c>
      <c r="JEP1" s="17" t="s">
        <v>6403</v>
      </c>
      <c r="JEQ1" s="17" t="s">
        <v>6404</v>
      </c>
      <c r="JER1" s="17" t="s">
        <v>6405</v>
      </c>
      <c r="JES1" s="17" t="s">
        <v>6406</v>
      </c>
      <c r="JET1" s="17" t="s">
        <v>6407</v>
      </c>
      <c r="JEU1" s="17" t="s">
        <v>6408</v>
      </c>
      <c r="JEV1" s="17" t="s">
        <v>6409</v>
      </c>
      <c r="JEW1" s="17" t="s">
        <v>6410</v>
      </c>
      <c r="JEX1" s="17" t="s">
        <v>6411</v>
      </c>
      <c r="JEY1" s="17" t="s">
        <v>6412</v>
      </c>
      <c r="JEZ1" s="17" t="s">
        <v>6413</v>
      </c>
      <c r="JFA1" s="17" t="s">
        <v>6414</v>
      </c>
      <c r="JFB1" s="17" t="s">
        <v>6415</v>
      </c>
      <c r="JFC1" s="17" t="s">
        <v>6416</v>
      </c>
      <c r="JFD1" s="17" t="s">
        <v>6417</v>
      </c>
      <c r="JFE1" s="17" t="s">
        <v>6418</v>
      </c>
      <c r="JFF1" s="17" t="s">
        <v>6419</v>
      </c>
      <c r="JFG1" s="17" t="s">
        <v>6420</v>
      </c>
      <c r="JFH1" s="17" t="s">
        <v>6421</v>
      </c>
      <c r="JFI1" s="17" t="s">
        <v>6422</v>
      </c>
      <c r="JFJ1" s="17" t="s">
        <v>6423</v>
      </c>
      <c r="JFK1" s="17" t="s">
        <v>6424</v>
      </c>
      <c r="JFL1" s="17" t="s">
        <v>6425</v>
      </c>
      <c r="JFM1" s="17" t="s">
        <v>6426</v>
      </c>
      <c r="JFN1" s="17" t="s">
        <v>6427</v>
      </c>
      <c r="JFO1" s="17" t="s">
        <v>6428</v>
      </c>
      <c r="JFP1" s="17" t="s">
        <v>6429</v>
      </c>
      <c r="JFQ1" s="17" t="s">
        <v>6430</v>
      </c>
      <c r="JFR1" s="17" t="s">
        <v>6431</v>
      </c>
      <c r="JFS1" s="17" t="s">
        <v>6432</v>
      </c>
      <c r="JFT1" s="17" t="s">
        <v>6433</v>
      </c>
      <c r="JFU1" s="17" t="s">
        <v>6434</v>
      </c>
      <c r="JFV1" s="17" t="s">
        <v>6435</v>
      </c>
      <c r="JFW1" s="17" t="s">
        <v>6436</v>
      </c>
      <c r="JFX1" s="17" t="s">
        <v>6437</v>
      </c>
      <c r="JFY1" s="17" t="s">
        <v>6438</v>
      </c>
      <c r="JFZ1" s="17" t="s">
        <v>6439</v>
      </c>
      <c r="JGA1" s="17" t="s">
        <v>6440</v>
      </c>
      <c r="JGB1" s="17" t="s">
        <v>6441</v>
      </c>
      <c r="JGC1" s="17" t="s">
        <v>6442</v>
      </c>
      <c r="JGD1" s="17" t="s">
        <v>6443</v>
      </c>
      <c r="JGE1" s="17" t="s">
        <v>6444</v>
      </c>
      <c r="JGF1" s="17" t="s">
        <v>6445</v>
      </c>
      <c r="JGG1" s="17" t="s">
        <v>6446</v>
      </c>
      <c r="JGH1" s="17" t="s">
        <v>6447</v>
      </c>
      <c r="JGI1" s="17" t="s">
        <v>6448</v>
      </c>
      <c r="JGJ1" s="17" t="s">
        <v>6449</v>
      </c>
      <c r="JGK1" s="17" t="s">
        <v>6450</v>
      </c>
      <c r="JGL1" s="17" t="s">
        <v>6451</v>
      </c>
      <c r="JGM1" s="17" t="s">
        <v>6452</v>
      </c>
      <c r="JGN1" s="17" t="s">
        <v>6453</v>
      </c>
      <c r="JGO1" s="17" t="s">
        <v>6454</v>
      </c>
      <c r="JGP1" s="17" t="s">
        <v>6455</v>
      </c>
      <c r="JGQ1" s="17" t="s">
        <v>6456</v>
      </c>
      <c r="JGR1" s="17" t="s">
        <v>6457</v>
      </c>
      <c r="JGS1" s="17" t="s">
        <v>6458</v>
      </c>
      <c r="JGT1" s="17" t="s">
        <v>6459</v>
      </c>
      <c r="JGU1" s="17" t="s">
        <v>6460</v>
      </c>
      <c r="JGV1" s="17" t="s">
        <v>6461</v>
      </c>
      <c r="JGW1" s="17" t="s">
        <v>6462</v>
      </c>
      <c r="JGX1" s="17" t="s">
        <v>6463</v>
      </c>
      <c r="JGY1" s="17" t="s">
        <v>6464</v>
      </c>
      <c r="JGZ1" s="17" t="s">
        <v>6465</v>
      </c>
      <c r="JHA1" s="17" t="s">
        <v>6466</v>
      </c>
      <c r="JHB1" s="17" t="s">
        <v>6467</v>
      </c>
      <c r="JHC1" s="17" t="s">
        <v>6468</v>
      </c>
      <c r="JHD1" s="17" t="s">
        <v>6469</v>
      </c>
      <c r="JHE1" s="17" t="s">
        <v>6470</v>
      </c>
      <c r="JHF1" s="17" t="s">
        <v>6471</v>
      </c>
      <c r="JHG1" s="17" t="s">
        <v>6472</v>
      </c>
      <c r="JHH1" s="17" t="s">
        <v>6473</v>
      </c>
      <c r="JHI1" s="17" t="s">
        <v>6474</v>
      </c>
      <c r="JHJ1" s="17" t="s">
        <v>6475</v>
      </c>
      <c r="JHK1" s="17" t="s">
        <v>6476</v>
      </c>
      <c r="JHL1" s="17" t="s">
        <v>6477</v>
      </c>
      <c r="JHM1" s="17" t="s">
        <v>6478</v>
      </c>
      <c r="JHN1" s="17" t="s">
        <v>6479</v>
      </c>
      <c r="JHO1" s="17" t="s">
        <v>6480</v>
      </c>
      <c r="JHP1" s="17" t="s">
        <v>6481</v>
      </c>
      <c r="JHQ1" s="17" t="s">
        <v>6482</v>
      </c>
      <c r="JHR1" s="17" t="s">
        <v>6483</v>
      </c>
      <c r="JHS1" s="17" t="s">
        <v>6484</v>
      </c>
      <c r="JHT1" s="17" t="s">
        <v>6485</v>
      </c>
      <c r="JHU1" s="17" t="s">
        <v>6486</v>
      </c>
      <c r="JHV1" s="17" t="s">
        <v>6487</v>
      </c>
      <c r="JHW1" s="17" t="s">
        <v>6488</v>
      </c>
      <c r="JHX1" s="17" t="s">
        <v>6489</v>
      </c>
      <c r="JHY1" s="17" t="s">
        <v>6490</v>
      </c>
      <c r="JHZ1" s="17" t="s">
        <v>6491</v>
      </c>
      <c r="JIA1" s="17" t="s">
        <v>6492</v>
      </c>
      <c r="JIB1" s="17" t="s">
        <v>6493</v>
      </c>
      <c r="JIC1" s="17" t="s">
        <v>6494</v>
      </c>
      <c r="JID1" s="17" t="s">
        <v>6495</v>
      </c>
      <c r="JIE1" s="17" t="s">
        <v>6496</v>
      </c>
      <c r="JIF1" s="17" t="s">
        <v>6497</v>
      </c>
      <c r="JIG1" s="17" t="s">
        <v>6498</v>
      </c>
      <c r="JIH1" s="17" t="s">
        <v>6499</v>
      </c>
      <c r="JII1" s="17" t="s">
        <v>6500</v>
      </c>
      <c r="JIJ1" s="17" t="s">
        <v>6501</v>
      </c>
      <c r="JIK1" s="17" t="s">
        <v>6502</v>
      </c>
      <c r="JIL1" s="17" t="s">
        <v>6503</v>
      </c>
      <c r="JIM1" s="17" t="s">
        <v>6504</v>
      </c>
      <c r="JIN1" s="17" t="s">
        <v>6505</v>
      </c>
      <c r="JIO1" s="17" t="s">
        <v>6506</v>
      </c>
      <c r="JIP1" s="17" t="s">
        <v>6507</v>
      </c>
      <c r="JIQ1" s="17" t="s">
        <v>6508</v>
      </c>
      <c r="JIR1" s="17" t="s">
        <v>6509</v>
      </c>
      <c r="JIS1" s="17" t="s">
        <v>6510</v>
      </c>
      <c r="JIT1" s="17" t="s">
        <v>6511</v>
      </c>
      <c r="JIU1" s="17" t="s">
        <v>6512</v>
      </c>
      <c r="JIV1" s="17" t="s">
        <v>6513</v>
      </c>
      <c r="JIW1" s="17" t="s">
        <v>6514</v>
      </c>
      <c r="JIX1" s="17" t="s">
        <v>6515</v>
      </c>
      <c r="JIY1" s="17" t="s">
        <v>6516</v>
      </c>
      <c r="JIZ1" s="17" t="s">
        <v>6517</v>
      </c>
      <c r="JJA1" s="17" t="s">
        <v>6518</v>
      </c>
      <c r="JJB1" s="17" t="s">
        <v>6519</v>
      </c>
      <c r="JJC1" s="17" t="s">
        <v>6520</v>
      </c>
      <c r="JJD1" s="17" t="s">
        <v>6521</v>
      </c>
      <c r="JJE1" s="17" t="s">
        <v>6522</v>
      </c>
      <c r="JJF1" s="17" t="s">
        <v>6523</v>
      </c>
      <c r="JJG1" s="17" t="s">
        <v>6524</v>
      </c>
      <c r="JJH1" s="17" t="s">
        <v>6525</v>
      </c>
      <c r="JJI1" s="17" t="s">
        <v>6526</v>
      </c>
      <c r="JJJ1" s="17" t="s">
        <v>6527</v>
      </c>
      <c r="JJK1" s="17" t="s">
        <v>6528</v>
      </c>
      <c r="JJL1" s="17" t="s">
        <v>6529</v>
      </c>
      <c r="JJM1" s="17" t="s">
        <v>6530</v>
      </c>
      <c r="JJN1" s="17" t="s">
        <v>6531</v>
      </c>
      <c r="JJO1" s="17" t="s">
        <v>6532</v>
      </c>
      <c r="JJP1" s="17" t="s">
        <v>6533</v>
      </c>
      <c r="JJQ1" s="17" t="s">
        <v>6534</v>
      </c>
      <c r="JJR1" s="17" t="s">
        <v>6535</v>
      </c>
      <c r="JJS1" s="17" t="s">
        <v>6536</v>
      </c>
      <c r="JJT1" s="17" t="s">
        <v>6537</v>
      </c>
      <c r="JJU1" s="17" t="s">
        <v>6538</v>
      </c>
      <c r="JJV1" s="17" t="s">
        <v>6539</v>
      </c>
      <c r="JJW1" s="17" t="s">
        <v>6540</v>
      </c>
      <c r="JJX1" s="17" t="s">
        <v>6541</v>
      </c>
      <c r="JJY1" s="17" t="s">
        <v>6542</v>
      </c>
      <c r="JJZ1" s="17" t="s">
        <v>6543</v>
      </c>
      <c r="JKA1" s="17" t="s">
        <v>6544</v>
      </c>
      <c r="JKB1" s="17" t="s">
        <v>6545</v>
      </c>
      <c r="JKC1" s="17" t="s">
        <v>6546</v>
      </c>
      <c r="JKD1" s="17" t="s">
        <v>6547</v>
      </c>
      <c r="JKE1" s="17" t="s">
        <v>6548</v>
      </c>
      <c r="JKF1" s="17" t="s">
        <v>6549</v>
      </c>
      <c r="JKG1" s="17" t="s">
        <v>6550</v>
      </c>
      <c r="JKH1" s="17" t="s">
        <v>6551</v>
      </c>
      <c r="JKI1" s="17" t="s">
        <v>6552</v>
      </c>
      <c r="JKJ1" s="17" t="s">
        <v>6553</v>
      </c>
      <c r="JKK1" s="17" t="s">
        <v>6554</v>
      </c>
      <c r="JKL1" s="17" t="s">
        <v>6555</v>
      </c>
      <c r="JKM1" s="17" t="s">
        <v>6556</v>
      </c>
      <c r="JKN1" s="17" t="s">
        <v>6557</v>
      </c>
      <c r="JKO1" s="17" t="s">
        <v>6558</v>
      </c>
      <c r="JKP1" s="17" t="s">
        <v>6559</v>
      </c>
      <c r="JKQ1" s="17" t="s">
        <v>6560</v>
      </c>
      <c r="JKR1" s="17" t="s">
        <v>6561</v>
      </c>
      <c r="JKS1" s="17" t="s">
        <v>6562</v>
      </c>
      <c r="JKT1" s="17" t="s">
        <v>6563</v>
      </c>
      <c r="JKU1" s="17" t="s">
        <v>6564</v>
      </c>
      <c r="JKV1" s="17" t="s">
        <v>6565</v>
      </c>
      <c r="JKW1" s="17" t="s">
        <v>6566</v>
      </c>
      <c r="JKX1" s="17" t="s">
        <v>6567</v>
      </c>
      <c r="JKY1" s="17" t="s">
        <v>6568</v>
      </c>
      <c r="JKZ1" s="17" t="s">
        <v>6569</v>
      </c>
      <c r="JLA1" s="17" t="s">
        <v>6570</v>
      </c>
      <c r="JLB1" s="17" t="s">
        <v>6571</v>
      </c>
      <c r="JLC1" s="17" t="s">
        <v>6572</v>
      </c>
      <c r="JLD1" s="17" t="s">
        <v>6573</v>
      </c>
      <c r="JLE1" s="17" t="s">
        <v>6574</v>
      </c>
      <c r="JLF1" s="17" t="s">
        <v>6575</v>
      </c>
      <c r="JLG1" s="17" t="s">
        <v>6576</v>
      </c>
      <c r="JLH1" s="17" t="s">
        <v>6577</v>
      </c>
      <c r="JLI1" s="17" t="s">
        <v>6578</v>
      </c>
      <c r="JLJ1" s="17" t="s">
        <v>6579</v>
      </c>
      <c r="JLK1" s="17" t="s">
        <v>6580</v>
      </c>
      <c r="JLL1" s="17" t="s">
        <v>6581</v>
      </c>
      <c r="JLM1" s="17" t="s">
        <v>6582</v>
      </c>
      <c r="JLN1" s="17" t="s">
        <v>6583</v>
      </c>
      <c r="JLO1" s="17" t="s">
        <v>6584</v>
      </c>
      <c r="JLP1" s="17" t="s">
        <v>6585</v>
      </c>
      <c r="JLQ1" s="17" t="s">
        <v>6586</v>
      </c>
      <c r="JLR1" s="17" t="s">
        <v>6587</v>
      </c>
      <c r="JLS1" s="17" t="s">
        <v>6588</v>
      </c>
      <c r="JLT1" s="17" t="s">
        <v>6589</v>
      </c>
      <c r="JLU1" s="17" t="s">
        <v>6590</v>
      </c>
      <c r="JLV1" s="17" t="s">
        <v>6591</v>
      </c>
      <c r="JLW1" s="17" t="s">
        <v>6592</v>
      </c>
      <c r="JLX1" s="17" t="s">
        <v>6593</v>
      </c>
      <c r="JLY1" s="17" t="s">
        <v>6594</v>
      </c>
      <c r="JLZ1" s="17" t="s">
        <v>6595</v>
      </c>
      <c r="JMA1" s="17" t="s">
        <v>6596</v>
      </c>
      <c r="JMB1" s="17" t="s">
        <v>6597</v>
      </c>
      <c r="JMC1" s="17" t="s">
        <v>6598</v>
      </c>
      <c r="JMD1" s="17" t="s">
        <v>6599</v>
      </c>
      <c r="JME1" s="17" t="s">
        <v>6600</v>
      </c>
      <c r="JMF1" s="17" t="s">
        <v>6601</v>
      </c>
      <c r="JMG1" s="17" t="s">
        <v>6602</v>
      </c>
      <c r="JMH1" s="17" t="s">
        <v>6603</v>
      </c>
      <c r="JMI1" s="17" t="s">
        <v>6604</v>
      </c>
      <c r="JMJ1" s="17" t="s">
        <v>6605</v>
      </c>
      <c r="JMK1" s="17" t="s">
        <v>6606</v>
      </c>
      <c r="JML1" s="17" t="s">
        <v>6607</v>
      </c>
      <c r="JMM1" s="17" t="s">
        <v>6608</v>
      </c>
      <c r="JMN1" s="17" t="s">
        <v>6609</v>
      </c>
      <c r="JMO1" s="17" t="s">
        <v>6610</v>
      </c>
      <c r="JMP1" s="17" t="s">
        <v>6611</v>
      </c>
      <c r="JMQ1" s="17" t="s">
        <v>6612</v>
      </c>
      <c r="JMR1" s="17" t="s">
        <v>6613</v>
      </c>
      <c r="JMS1" s="17" t="s">
        <v>6614</v>
      </c>
      <c r="JMT1" s="17" t="s">
        <v>6615</v>
      </c>
      <c r="JMU1" s="17" t="s">
        <v>6616</v>
      </c>
      <c r="JMV1" s="17" t="s">
        <v>6617</v>
      </c>
      <c r="JMW1" s="17" t="s">
        <v>6618</v>
      </c>
      <c r="JMX1" s="17" t="s">
        <v>6619</v>
      </c>
      <c r="JMY1" s="17" t="s">
        <v>6620</v>
      </c>
      <c r="JMZ1" s="17" t="s">
        <v>6621</v>
      </c>
      <c r="JNA1" s="17" t="s">
        <v>6622</v>
      </c>
      <c r="JNB1" s="17" t="s">
        <v>6623</v>
      </c>
      <c r="JNC1" s="17" t="s">
        <v>6624</v>
      </c>
      <c r="JND1" s="17" t="s">
        <v>6625</v>
      </c>
      <c r="JNE1" s="17" t="s">
        <v>6626</v>
      </c>
      <c r="JNF1" s="17" t="s">
        <v>6627</v>
      </c>
      <c r="JNG1" s="17" t="s">
        <v>6628</v>
      </c>
      <c r="JNH1" s="17" t="s">
        <v>6629</v>
      </c>
      <c r="JNI1" s="17" t="s">
        <v>6630</v>
      </c>
      <c r="JNJ1" s="17" t="s">
        <v>6631</v>
      </c>
      <c r="JNK1" s="17" t="s">
        <v>6632</v>
      </c>
      <c r="JNL1" s="17" t="s">
        <v>6633</v>
      </c>
      <c r="JNM1" s="17" t="s">
        <v>6634</v>
      </c>
      <c r="JNN1" s="17" t="s">
        <v>6635</v>
      </c>
      <c r="JNO1" s="17" t="s">
        <v>6636</v>
      </c>
      <c r="JNP1" s="17" t="s">
        <v>6637</v>
      </c>
      <c r="JNQ1" s="17" t="s">
        <v>6638</v>
      </c>
      <c r="JNR1" s="17" t="s">
        <v>6639</v>
      </c>
      <c r="JNS1" s="17" t="s">
        <v>6640</v>
      </c>
      <c r="JNT1" s="17" t="s">
        <v>6641</v>
      </c>
      <c r="JNU1" s="17" t="s">
        <v>6642</v>
      </c>
      <c r="JNV1" s="17" t="s">
        <v>6643</v>
      </c>
      <c r="JNW1" s="17" t="s">
        <v>6644</v>
      </c>
      <c r="JNX1" s="17" t="s">
        <v>6645</v>
      </c>
      <c r="JNY1" s="17" t="s">
        <v>6646</v>
      </c>
      <c r="JNZ1" s="17" t="s">
        <v>6647</v>
      </c>
      <c r="JOA1" s="17" t="s">
        <v>6648</v>
      </c>
      <c r="JOB1" s="17" t="s">
        <v>6649</v>
      </c>
      <c r="JOC1" s="17" t="s">
        <v>6650</v>
      </c>
      <c r="JOD1" s="17" t="s">
        <v>6651</v>
      </c>
      <c r="JOE1" s="17" t="s">
        <v>6652</v>
      </c>
      <c r="JOF1" s="17" t="s">
        <v>6653</v>
      </c>
      <c r="JOG1" s="17" t="s">
        <v>6654</v>
      </c>
      <c r="JOH1" s="17" t="s">
        <v>6655</v>
      </c>
      <c r="JOI1" s="17" t="s">
        <v>6656</v>
      </c>
      <c r="JOJ1" s="17" t="s">
        <v>6657</v>
      </c>
      <c r="JOK1" s="17" t="s">
        <v>6658</v>
      </c>
      <c r="JOL1" s="17" t="s">
        <v>6659</v>
      </c>
      <c r="JOM1" s="17" t="s">
        <v>6660</v>
      </c>
      <c r="JON1" s="17" t="s">
        <v>6661</v>
      </c>
      <c r="JOO1" s="17" t="s">
        <v>6662</v>
      </c>
      <c r="JOP1" s="17" t="s">
        <v>6663</v>
      </c>
      <c r="JOQ1" s="17" t="s">
        <v>6664</v>
      </c>
      <c r="JOR1" s="17" t="s">
        <v>6665</v>
      </c>
      <c r="JOS1" s="17" t="s">
        <v>6666</v>
      </c>
      <c r="JOT1" s="17" t="s">
        <v>6667</v>
      </c>
      <c r="JOU1" s="17" t="s">
        <v>6668</v>
      </c>
      <c r="JOV1" s="17" t="s">
        <v>6669</v>
      </c>
      <c r="JOW1" s="17" t="s">
        <v>6670</v>
      </c>
      <c r="JOX1" s="17" t="s">
        <v>6671</v>
      </c>
      <c r="JOY1" s="17" t="s">
        <v>6672</v>
      </c>
      <c r="JOZ1" s="17" t="s">
        <v>6673</v>
      </c>
      <c r="JPA1" s="17" t="s">
        <v>6674</v>
      </c>
      <c r="JPB1" s="17" t="s">
        <v>6675</v>
      </c>
      <c r="JPC1" s="17" t="s">
        <v>6676</v>
      </c>
      <c r="JPD1" s="17" t="s">
        <v>6677</v>
      </c>
      <c r="JPE1" s="17" t="s">
        <v>6678</v>
      </c>
      <c r="JPF1" s="17" t="s">
        <v>6679</v>
      </c>
      <c r="JPG1" s="17" t="s">
        <v>6680</v>
      </c>
      <c r="JPH1" s="17" t="s">
        <v>6681</v>
      </c>
      <c r="JPI1" s="17" t="s">
        <v>6682</v>
      </c>
      <c r="JPJ1" s="17" t="s">
        <v>6683</v>
      </c>
      <c r="JPK1" s="17" t="s">
        <v>6684</v>
      </c>
      <c r="JPL1" s="17" t="s">
        <v>6685</v>
      </c>
      <c r="JPM1" s="17" t="s">
        <v>6686</v>
      </c>
      <c r="JPN1" s="17" t="s">
        <v>6687</v>
      </c>
      <c r="JPO1" s="17" t="s">
        <v>6688</v>
      </c>
      <c r="JPP1" s="17" t="s">
        <v>6689</v>
      </c>
      <c r="JPQ1" s="17" t="s">
        <v>6690</v>
      </c>
      <c r="JPR1" s="17" t="s">
        <v>6691</v>
      </c>
      <c r="JPS1" s="17" t="s">
        <v>6692</v>
      </c>
      <c r="JPT1" s="17" t="s">
        <v>6693</v>
      </c>
      <c r="JPU1" s="17" t="s">
        <v>6694</v>
      </c>
      <c r="JPV1" s="17" t="s">
        <v>6695</v>
      </c>
      <c r="JPW1" s="17" t="s">
        <v>6696</v>
      </c>
      <c r="JPX1" s="17" t="s">
        <v>6697</v>
      </c>
      <c r="JPY1" s="17" t="s">
        <v>6698</v>
      </c>
      <c r="JPZ1" s="17" t="s">
        <v>6699</v>
      </c>
      <c r="JQA1" s="17" t="s">
        <v>6700</v>
      </c>
      <c r="JQB1" s="17" t="s">
        <v>6701</v>
      </c>
      <c r="JQC1" s="17" t="s">
        <v>6702</v>
      </c>
      <c r="JQD1" s="17" t="s">
        <v>6703</v>
      </c>
      <c r="JQE1" s="17" t="s">
        <v>6704</v>
      </c>
      <c r="JQF1" s="17" t="s">
        <v>6705</v>
      </c>
      <c r="JQG1" s="17" t="s">
        <v>6706</v>
      </c>
      <c r="JQH1" s="17" t="s">
        <v>6707</v>
      </c>
      <c r="JQI1" s="17" t="s">
        <v>6708</v>
      </c>
      <c r="JQJ1" s="17" t="s">
        <v>6709</v>
      </c>
      <c r="JQK1" s="17" t="s">
        <v>6710</v>
      </c>
      <c r="JQL1" s="17" t="s">
        <v>6711</v>
      </c>
      <c r="JQM1" s="17" t="s">
        <v>6712</v>
      </c>
      <c r="JQN1" s="17" t="s">
        <v>6713</v>
      </c>
      <c r="JQO1" s="17" t="s">
        <v>6714</v>
      </c>
      <c r="JQP1" s="17" t="s">
        <v>6715</v>
      </c>
      <c r="JQQ1" s="17" t="s">
        <v>6716</v>
      </c>
      <c r="JQR1" s="17" t="s">
        <v>6717</v>
      </c>
      <c r="JQS1" s="17" t="s">
        <v>6718</v>
      </c>
      <c r="JQT1" s="17" t="s">
        <v>6719</v>
      </c>
      <c r="JQU1" s="17" t="s">
        <v>6720</v>
      </c>
      <c r="JQV1" s="17" t="s">
        <v>6721</v>
      </c>
      <c r="JQW1" s="17" t="s">
        <v>6722</v>
      </c>
      <c r="JQX1" s="17" t="s">
        <v>6723</v>
      </c>
      <c r="JQY1" s="17" t="s">
        <v>6724</v>
      </c>
      <c r="JQZ1" s="17" t="s">
        <v>6725</v>
      </c>
      <c r="JRA1" s="17" t="s">
        <v>6726</v>
      </c>
      <c r="JRB1" s="17" t="s">
        <v>6727</v>
      </c>
      <c r="JRC1" s="17" t="s">
        <v>6728</v>
      </c>
      <c r="JRD1" s="17" t="s">
        <v>6729</v>
      </c>
      <c r="JRE1" s="17" t="s">
        <v>6730</v>
      </c>
      <c r="JRF1" s="17" t="s">
        <v>6731</v>
      </c>
      <c r="JRG1" s="17" t="s">
        <v>6732</v>
      </c>
      <c r="JRH1" s="17" t="s">
        <v>6733</v>
      </c>
      <c r="JRI1" s="17" t="s">
        <v>6734</v>
      </c>
      <c r="JRJ1" s="17" t="s">
        <v>6735</v>
      </c>
      <c r="JRK1" s="17" t="s">
        <v>6736</v>
      </c>
      <c r="JRL1" s="17" t="s">
        <v>6737</v>
      </c>
      <c r="JRM1" s="17" t="s">
        <v>6738</v>
      </c>
      <c r="JRN1" s="17" t="s">
        <v>6739</v>
      </c>
      <c r="JRO1" s="17" t="s">
        <v>6740</v>
      </c>
      <c r="JRP1" s="17" t="s">
        <v>6741</v>
      </c>
      <c r="JRQ1" s="17" t="s">
        <v>6742</v>
      </c>
      <c r="JRR1" s="17" t="s">
        <v>6743</v>
      </c>
      <c r="JRS1" s="17" t="s">
        <v>6744</v>
      </c>
      <c r="JRT1" s="17" t="s">
        <v>6745</v>
      </c>
      <c r="JRU1" s="17" t="s">
        <v>6746</v>
      </c>
      <c r="JRV1" s="17" t="s">
        <v>6747</v>
      </c>
      <c r="JRW1" s="17" t="s">
        <v>6748</v>
      </c>
      <c r="JRX1" s="17" t="s">
        <v>6749</v>
      </c>
      <c r="JRY1" s="17" t="s">
        <v>6750</v>
      </c>
      <c r="JRZ1" s="17" t="s">
        <v>6751</v>
      </c>
      <c r="JSA1" s="17" t="s">
        <v>6752</v>
      </c>
      <c r="JSB1" s="17" t="s">
        <v>6753</v>
      </c>
      <c r="JSC1" s="17" t="s">
        <v>6754</v>
      </c>
      <c r="JSD1" s="17" t="s">
        <v>6755</v>
      </c>
      <c r="JSE1" s="17" t="s">
        <v>6756</v>
      </c>
      <c r="JSF1" s="17" t="s">
        <v>6757</v>
      </c>
      <c r="JSG1" s="17" t="s">
        <v>6758</v>
      </c>
      <c r="JSH1" s="17" t="s">
        <v>6759</v>
      </c>
      <c r="JSI1" s="17" t="s">
        <v>6760</v>
      </c>
      <c r="JSJ1" s="17" t="s">
        <v>6761</v>
      </c>
      <c r="JSK1" s="17" t="s">
        <v>6762</v>
      </c>
      <c r="JSL1" s="17" t="s">
        <v>6763</v>
      </c>
      <c r="JSM1" s="17" t="s">
        <v>6764</v>
      </c>
      <c r="JSN1" s="17" t="s">
        <v>6765</v>
      </c>
      <c r="JSO1" s="17" t="s">
        <v>6766</v>
      </c>
      <c r="JSP1" s="17" t="s">
        <v>6767</v>
      </c>
      <c r="JSQ1" s="17" t="s">
        <v>6768</v>
      </c>
      <c r="JSR1" s="17" t="s">
        <v>6769</v>
      </c>
      <c r="JSS1" s="17" t="s">
        <v>6770</v>
      </c>
      <c r="JST1" s="17" t="s">
        <v>6771</v>
      </c>
      <c r="JSU1" s="17" t="s">
        <v>6772</v>
      </c>
      <c r="JSV1" s="17" t="s">
        <v>6773</v>
      </c>
      <c r="JSW1" s="17" t="s">
        <v>6774</v>
      </c>
      <c r="JSX1" s="17" t="s">
        <v>6775</v>
      </c>
      <c r="JSY1" s="17" t="s">
        <v>6776</v>
      </c>
      <c r="JSZ1" s="17" t="s">
        <v>6777</v>
      </c>
      <c r="JTA1" s="17" t="s">
        <v>6778</v>
      </c>
      <c r="JTB1" s="17" t="s">
        <v>6779</v>
      </c>
      <c r="JTC1" s="17" t="s">
        <v>6780</v>
      </c>
      <c r="JTD1" s="17" t="s">
        <v>6781</v>
      </c>
      <c r="JTE1" s="17" t="s">
        <v>6782</v>
      </c>
      <c r="JTF1" s="17" t="s">
        <v>6783</v>
      </c>
      <c r="JTG1" s="17" t="s">
        <v>6784</v>
      </c>
      <c r="JTH1" s="17" t="s">
        <v>6785</v>
      </c>
      <c r="JTI1" s="17" t="s">
        <v>6786</v>
      </c>
      <c r="JTJ1" s="17" t="s">
        <v>6787</v>
      </c>
      <c r="JTK1" s="17" t="s">
        <v>6788</v>
      </c>
      <c r="JTL1" s="17" t="s">
        <v>6789</v>
      </c>
      <c r="JTM1" s="17" t="s">
        <v>6790</v>
      </c>
      <c r="JTN1" s="17" t="s">
        <v>6791</v>
      </c>
      <c r="JTO1" s="17" t="s">
        <v>6792</v>
      </c>
      <c r="JTP1" s="17" t="s">
        <v>6793</v>
      </c>
      <c r="JTQ1" s="17" t="s">
        <v>6794</v>
      </c>
      <c r="JTR1" s="17" t="s">
        <v>6795</v>
      </c>
      <c r="JTS1" s="17" t="s">
        <v>6796</v>
      </c>
      <c r="JTT1" s="17" t="s">
        <v>6797</v>
      </c>
      <c r="JTU1" s="17" t="s">
        <v>6798</v>
      </c>
      <c r="JTV1" s="17" t="s">
        <v>6799</v>
      </c>
      <c r="JTW1" s="17" t="s">
        <v>6800</v>
      </c>
      <c r="JTX1" s="17" t="s">
        <v>6801</v>
      </c>
      <c r="JTY1" s="17" t="s">
        <v>6802</v>
      </c>
      <c r="JTZ1" s="17" t="s">
        <v>6803</v>
      </c>
      <c r="JUA1" s="17" t="s">
        <v>6804</v>
      </c>
      <c r="JUB1" s="17" t="s">
        <v>6805</v>
      </c>
      <c r="JUC1" s="17" t="s">
        <v>6806</v>
      </c>
      <c r="JUD1" s="17" t="s">
        <v>6807</v>
      </c>
      <c r="JUE1" s="17" t="s">
        <v>6808</v>
      </c>
      <c r="JUF1" s="17" t="s">
        <v>6809</v>
      </c>
      <c r="JUG1" s="17" t="s">
        <v>6810</v>
      </c>
      <c r="JUH1" s="17" t="s">
        <v>6811</v>
      </c>
      <c r="JUI1" s="17" t="s">
        <v>6812</v>
      </c>
      <c r="JUJ1" s="17" t="s">
        <v>6813</v>
      </c>
      <c r="JUK1" s="17" t="s">
        <v>6814</v>
      </c>
      <c r="JUL1" s="17" t="s">
        <v>6815</v>
      </c>
      <c r="JUM1" s="17" t="s">
        <v>6816</v>
      </c>
      <c r="JUN1" s="17" t="s">
        <v>6817</v>
      </c>
      <c r="JUO1" s="17" t="s">
        <v>6818</v>
      </c>
      <c r="JUP1" s="17" t="s">
        <v>6819</v>
      </c>
      <c r="JUQ1" s="17" t="s">
        <v>6820</v>
      </c>
      <c r="JUR1" s="17" t="s">
        <v>6821</v>
      </c>
      <c r="JUS1" s="17" t="s">
        <v>6822</v>
      </c>
      <c r="JUT1" s="17" t="s">
        <v>6823</v>
      </c>
      <c r="JUU1" s="17" t="s">
        <v>6824</v>
      </c>
      <c r="JUV1" s="17" t="s">
        <v>6825</v>
      </c>
      <c r="JUW1" s="17" t="s">
        <v>6826</v>
      </c>
      <c r="JUX1" s="17" t="s">
        <v>6827</v>
      </c>
      <c r="JUY1" s="17" t="s">
        <v>6828</v>
      </c>
      <c r="JUZ1" s="17" t="s">
        <v>6829</v>
      </c>
      <c r="JVA1" s="17" t="s">
        <v>6830</v>
      </c>
      <c r="JVB1" s="17" t="s">
        <v>6831</v>
      </c>
      <c r="JVC1" s="17" t="s">
        <v>6832</v>
      </c>
      <c r="JVD1" s="17" t="s">
        <v>6833</v>
      </c>
      <c r="JVE1" s="17" t="s">
        <v>6834</v>
      </c>
      <c r="JVF1" s="17" t="s">
        <v>6835</v>
      </c>
      <c r="JVG1" s="17" t="s">
        <v>6836</v>
      </c>
      <c r="JVH1" s="17" t="s">
        <v>6837</v>
      </c>
      <c r="JVI1" s="17" t="s">
        <v>6838</v>
      </c>
      <c r="JVJ1" s="17" t="s">
        <v>6839</v>
      </c>
      <c r="JVK1" s="17" t="s">
        <v>6840</v>
      </c>
      <c r="JVL1" s="17" t="s">
        <v>6841</v>
      </c>
      <c r="JVM1" s="17" t="s">
        <v>6842</v>
      </c>
      <c r="JVN1" s="17" t="s">
        <v>6843</v>
      </c>
      <c r="JVO1" s="17" t="s">
        <v>6844</v>
      </c>
      <c r="JVP1" s="17" t="s">
        <v>6845</v>
      </c>
      <c r="JVQ1" s="17" t="s">
        <v>6846</v>
      </c>
      <c r="JVR1" s="17" t="s">
        <v>6847</v>
      </c>
      <c r="JVS1" s="17" t="s">
        <v>6848</v>
      </c>
      <c r="JVT1" s="17" t="s">
        <v>6849</v>
      </c>
      <c r="JVU1" s="17" t="s">
        <v>6850</v>
      </c>
      <c r="JVV1" s="17" t="s">
        <v>6851</v>
      </c>
      <c r="JVW1" s="17" t="s">
        <v>6852</v>
      </c>
      <c r="JVX1" s="17" t="s">
        <v>6853</v>
      </c>
      <c r="JVY1" s="17" t="s">
        <v>6854</v>
      </c>
      <c r="JVZ1" s="17" t="s">
        <v>6855</v>
      </c>
      <c r="JWA1" s="17" t="s">
        <v>6856</v>
      </c>
      <c r="JWB1" s="17" t="s">
        <v>6857</v>
      </c>
      <c r="JWC1" s="17" t="s">
        <v>6858</v>
      </c>
      <c r="JWD1" s="17" t="s">
        <v>6859</v>
      </c>
      <c r="JWE1" s="17" t="s">
        <v>6860</v>
      </c>
      <c r="JWF1" s="17" t="s">
        <v>6861</v>
      </c>
      <c r="JWG1" s="17" t="s">
        <v>6862</v>
      </c>
      <c r="JWH1" s="17" t="s">
        <v>6863</v>
      </c>
      <c r="JWI1" s="17" t="s">
        <v>6864</v>
      </c>
      <c r="JWJ1" s="17" t="s">
        <v>6865</v>
      </c>
      <c r="JWK1" s="17" t="s">
        <v>6866</v>
      </c>
      <c r="JWL1" s="17" t="s">
        <v>6867</v>
      </c>
      <c r="JWM1" s="17" t="s">
        <v>6868</v>
      </c>
      <c r="JWN1" s="17" t="s">
        <v>6869</v>
      </c>
      <c r="JWO1" s="17" t="s">
        <v>6870</v>
      </c>
      <c r="JWP1" s="17" t="s">
        <v>6871</v>
      </c>
      <c r="JWQ1" s="17" t="s">
        <v>6872</v>
      </c>
      <c r="JWR1" s="17" t="s">
        <v>6873</v>
      </c>
      <c r="JWS1" s="17" t="s">
        <v>6874</v>
      </c>
      <c r="JWT1" s="17" t="s">
        <v>6875</v>
      </c>
      <c r="JWU1" s="17" t="s">
        <v>6876</v>
      </c>
      <c r="JWV1" s="17" t="s">
        <v>6877</v>
      </c>
      <c r="JWW1" s="17" t="s">
        <v>6878</v>
      </c>
      <c r="JWX1" s="17" t="s">
        <v>6879</v>
      </c>
      <c r="JWY1" s="17" t="s">
        <v>6880</v>
      </c>
      <c r="JWZ1" s="17" t="s">
        <v>6881</v>
      </c>
      <c r="JXA1" s="17" t="s">
        <v>6882</v>
      </c>
      <c r="JXB1" s="17" t="s">
        <v>6883</v>
      </c>
      <c r="JXC1" s="17" t="s">
        <v>6884</v>
      </c>
      <c r="JXD1" s="17" t="s">
        <v>6885</v>
      </c>
      <c r="JXE1" s="17" t="s">
        <v>6886</v>
      </c>
      <c r="JXF1" s="17" t="s">
        <v>6887</v>
      </c>
      <c r="JXG1" s="17" t="s">
        <v>6888</v>
      </c>
      <c r="JXH1" s="17" t="s">
        <v>6889</v>
      </c>
      <c r="JXI1" s="17" t="s">
        <v>6890</v>
      </c>
      <c r="JXJ1" s="17" t="s">
        <v>6891</v>
      </c>
      <c r="JXK1" s="17" t="s">
        <v>6892</v>
      </c>
      <c r="JXL1" s="17" t="s">
        <v>6893</v>
      </c>
      <c r="JXM1" s="17" t="s">
        <v>6894</v>
      </c>
      <c r="JXN1" s="17" t="s">
        <v>6895</v>
      </c>
      <c r="JXO1" s="17" t="s">
        <v>6896</v>
      </c>
      <c r="JXP1" s="17" t="s">
        <v>6897</v>
      </c>
      <c r="JXQ1" s="17" t="s">
        <v>6898</v>
      </c>
      <c r="JXR1" s="17" t="s">
        <v>6899</v>
      </c>
      <c r="JXS1" s="17" t="s">
        <v>6900</v>
      </c>
      <c r="JXT1" s="17" t="s">
        <v>6901</v>
      </c>
      <c r="JXU1" s="17" t="s">
        <v>6902</v>
      </c>
      <c r="JXV1" s="17" t="s">
        <v>6903</v>
      </c>
      <c r="JXW1" s="17" t="s">
        <v>6904</v>
      </c>
      <c r="JXX1" s="17" t="s">
        <v>6905</v>
      </c>
      <c r="JXY1" s="17" t="s">
        <v>6906</v>
      </c>
      <c r="JXZ1" s="17" t="s">
        <v>6907</v>
      </c>
      <c r="JYA1" s="17" t="s">
        <v>6908</v>
      </c>
      <c r="JYB1" s="17" t="s">
        <v>6909</v>
      </c>
      <c r="JYC1" s="17" t="s">
        <v>6910</v>
      </c>
      <c r="JYD1" s="17" t="s">
        <v>6911</v>
      </c>
      <c r="JYE1" s="17" t="s">
        <v>6912</v>
      </c>
      <c r="JYF1" s="17" t="s">
        <v>6913</v>
      </c>
      <c r="JYG1" s="17" t="s">
        <v>6914</v>
      </c>
      <c r="JYH1" s="17" t="s">
        <v>6915</v>
      </c>
      <c r="JYI1" s="17" t="s">
        <v>6916</v>
      </c>
      <c r="JYJ1" s="17" t="s">
        <v>6917</v>
      </c>
      <c r="JYK1" s="17" t="s">
        <v>6918</v>
      </c>
      <c r="JYL1" s="17" t="s">
        <v>6919</v>
      </c>
      <c r="JYM1" s="17" t="s">
        <v>6920</v>
      </c>
      <c r="JYN1" s="17" t="s">
        <v>6921</v>
      </c>
      <c r="JYO1" s="17" t="s">
        <v>6922</v>
      </c>
      <c r="JYP1" s="17" t="s">
        <v>6923</v>
      </c>
      <c r="JYQ1" s="17" t="s">
        <v>6924</v>
      </c>
      <c r="JYR1" s="17" t="s">
        <v>6925</v>
      </c>
      <c r="JYS1" s="17" t="s">
        <v>6926</v>
      </c>
      <c r="JYT1" s="17" t="s">
        <v>6927</v>
      </c>
      <c r="JYU1" s="17" t="s">
        <v>6928</v>
      </c>
      <c r="JYV1" s="17" t="s">
        <v>6929</v>
      </c>
      <c r="JYW1" s="17" t="s">
        <v>6930</v>
      </c>
      <c r="JYX1" s="17" t="s">
        <v>6931</v>
      </c>
      <c r="JYY1" s="17" t="s">
        <v>6932</v>
      </c>
      <c r="JYZ1" s="17" t="s">
        <v>6933</v>
      </c>
      <c r="JZA1" s="17" t="s">
        <v>6934</v>
      </c>
      <c r="JZB1" s="17" t="s">
        <v>6935</v>
      </c>
      <c r="JZC1" s="17" t="s">
        <v>6936</v>
      </c>
      <c r="JZD1" s="17" t="s">
        <v>6937</v>
      </c>
      <c r="JZE1" s="17" t="s">
        <v>6938</v>
      </c>
      <c r="JZF1" s="17" t="s">
        <v>6939</v>
      </c>
      <c r="JZG1" s="17" t="s">
        <v>6940</v>
      </c>
      <c r="JZH1" s="17" t="s">
        <v>6941</v>
      </c>
      <c r="JZI1" s="17" t="s">
        <v>6942</v>
      </c>
      <c r="JZJ1" s="17" t="s">
        <v>6943</v>
      </c>
      <c r="JZK1" s="17" t="s">
        <v>6944</v>
      </c>
      <c r="JZL1" s="17" t="s">
        <v>6945</v>
      </c>
      <c r="JZM1" s="17" t="s">
        <v>6946</v>
      </c>
      <c r="JZN1" s="17" t="s">
        <v>6947</v>
      </c>
      <c r="JZO1" s="17" t="s">
        <v>6948</v>
      </c>
      <c r="JZP1" s="17" t="s">
        <v>6949</v>
      </c>
      <c r="JZQ1" s="17" t="s">
        <v>6950</v>
      </c>
      <c r="JZR1" s="17" t="s">
        <v>6951</v>
      </c>
      <c r="JZS1" s="17" t="s">
        <v>6952</v>
      </c>
      <c r="JZT1" s="17" t="s">
        <v>6953</v>
      </c>
      <c r="JZU1" s="17" t="s">
        <v>6954</v>
      </c>
      <c r="JZV1" s="17" t="s">
        <v>6955</v>
      </c>
      <c r="JZW1" s="17" t="s">
        <v>6956</v>
      </c>
      <c r="JZX1" s="17" t="s">
        <v>6957</v>
      </c>
      <c r="JZY1" s="17" t="s">
        <v>6958</v>
      </c>
      <c r="JZZ1" s="17" t="s">
        <v>6959</v>
      </c>
      <c r="KAA1" s="17" t="s">
        <v>6960</v>
      </c>
      <c r="KAB1" s="17" t="s">
        <v>6961</v>
      </c>
      <c r="KAC1" s="17" t="s">
        <v>6962</v>
      </c>
      <c r="KAD1" s="17" t="s">
        <v>6963</v>
      </c>
      <c r="KAE1" s="17" t="s">
        <v>6964</v>
      </c>
      <c r="KAF1" s="17" t="s">
        <v>6965</v>
      </c>
      <c r="KAG1" s="17" t="s">
        <v>6966</v>
      </c>
      <c r="KAH1" s="17" t="s">
        <v>6967</v>
      </c>
      <c r="KAI1" s="17" t="s">
        <v>6968</v>
      </c>
      <c r="KAJ1" s="17" t="s">
        <v>6969</v>
      </c>
      <c r="KAK1" s="17" t="s">
        <v>6970</v>
      </c>
      <c r="KAL1" s="17" t="s">
        <v>6971</v>
      </c>
      <c r="KAM1" s="17" t="s">
        <v>6972</v>
      </c>
      <c r="KAN1" s="17" t="s">
        <v>6973</v>
      </c>
      <c r="KAO1" s="17" t="s">
        <v>6974</v>
      </c>
      <c r="KAP1" s="17" t="s">
        <v>6975</v>
      </c>
      <c r="KAQ1" s="17" t="s">
        <v>6976</v>
      </c>
      <c r="KAR1" s="17" t="s">
        <v>6977</v>
      </c>
      <c r="KAS1" s="17" t="s">
        <v>6978</v>
      </c>
      <c r="KAT1" s="17" t="s">
        <v>6979</v>
      </c>
      <c r="KAU1" s="17" t="s">
        <v>6980</v>
      </c>
      <c r="KAV1" s="17" t="s">
        <v>6981</v>
      </c>
      <c r="KAW1" s="17" t="s">
        <v>6982</v>
      </c>
      <c r="KAX1" s="17" t="s">
        <v>6983</v>
      </c>
      <c r="KAY1" s="17" t="s">
        <v>6984</v>
      </c>
      <c r="KAZ1" s="17" t="s">
        <v>6985</v>
      </c>
      <c r="KBA1" s="17" t="s">
        <v>6986</v>
      </c>
      <c r="KBB1" s="17" t="s">
        <v>6987</v>
      </c>
      <c r="KBC1" s="17" t="s">
        <v>6988</v>
      </c>
      <c r="KBD1" s="17" t="s">
        <v>6989</v>
      </c>
      <c r="KBE1" s="17" t="s">
        <v>6990</v>
      </c>
      <c r="KBF1" s="17" t="s">
        <v>6991</v>
      </c>
      <c r="KBG1" s="17" t="s">
        <v>6992</v>
      </c>
      <c r="KBH1" s="17" t="s">
        <v>6993</v>
      </c>
      <c r="KBI1" s="17" t="s">
        <v>6994</v>
      </c>
      <c r="KBJ1" s="17" t="s">
        <v>6995</v>
      </c>
      <c r="KBK1" s="17" t="s">
        <v>6996</v>
      </c>
      <c r="KBL1" s="17" t="s">
        <v>6997</v>
      </c>
      <c r="KBM1" s="17" t="s">
        <v>6998</v>
      </c>
      <c r="KBN1" s="17" t="s">
        <v>6999</v>
      </c>
      <c r="KBO1" s="17" t="s">
        <v>7000</v>
      </c>
      <c r="KBP1" s="17" t="s">
        <v>7001</v>
      </c>
      <c r="KBQ1" s="17" t="s">
        <v>7002</v>
      </c>
      <c r="KBR1" s="17" t="s">
        <v>7003</v>
      </c>
      <c r="KBS1" s="17" t="s">
        <v>7004</v>
      </c>
      <c r="KBT1" s="17" t="s">
        <v>7005</v>
      </c>
      <c r="KBU1" s="17" t="s">
        <v>7006</v>
      </c>
      <c r="KBV1" s="17" t="s">
        <v>7007</v>
      </c>
      <c r="KBW1" s="17" t="s">
        <v>7008</v>
      </c>
      <c r="KBX1" s="17" t="s">
        <v>7009</v>
      </c>
      <c r="KBY1" s="17" t="s">
        <v>7010</v>
      </c>
      <c r="KBZ1" s="17" t="s">
        <v>7011</v>
      </c>
      <c r="KCA1" s="17" t="s">
        <v>7012</v>
      </c>
      <c r="KCB1" s="17" t="s">
        <v>7013</v>
      </c>
      <c r="KCC1" s="17" t="s">
        <v>7014</v>
      </c>
      <c r="KCD1" s="17" t="s">
        <v>7015</v>
      </c>
      <c r="KCE1" s="17" t="s">
        <v>7016</v>
      </c>
      <c r="KCF1" s="17" t="s">
        <v>7017</v>
      </c>
      <c r="KCG1" s="17" t="s">
        <v>7018</v>
      </c>
      <c r="KCH1" s="17" t="s">
        <v>7019</v>
      </c>
      <c r="KCI1" s="17" t="s">
        <v>7020</v>
      </c>
      <c r="KCJ1" s="17" t="s">
        <v>7021</v>
      </c>
      <c r="KCK1" s="17" t="s">
        <v>7022</v>
      </c>
      <c r="KCL1" s="17" t="s">
        <v>7023</v>
      </c>
      <c r="KCM1" s="17" t="s">
        <v>7024</v>
      </c>
      <c r="KCN1" s="17" t="s">
        <v>7025</v>
      </c>
      <c r="KCO1" s="17" t="s">
        <v>7026</v>
      </c>
      <c r="KCP1" s="17" t="s">
        <v>7027</v>
      </c>
      <c r="KCQ1" s="17" t="s">
        <v>7028</v>
      </c>
      <c r="KCR1" s="17" t="s">
        <v>7029</v>
      </c>
      <c r="KCS1" s="17" t="s">
        <v>7030</v>
      </c>
      <c r="KCT1" s="17" t="s">
        <v>7031</v>
      </c>
      <c r="KCU1" s="17" t="s">
        <v>7032</v>
      </c>
      <c r="KCV1" s="17" t="s">
        <v>7033</v>
      </c>
      <c r="KCW1" s="17" t="s">
        <v>7034</v>
      </c>
      <c r="KCX1" s="17" t="s">
        <v>7035</v>
      </c>
      <c r="KCY1" s="17" t="s">
        <v>7036</v>
      </c>
      <c r="KCZ1" s="17" t="s">
        <v>7037</v>
      </c>
      <c r="KDA1" s="17" t="s">
        <v>7038</v>
      </c>
      <c r="KDB1" s="17" t="s">
        <v>7039</v>
      </c>
      <c r="KDC1" s="17" t="s">
        <v>7040</v>
      </c>
      <c r="KDD1" s="17" t="s">
        <v>7041</v>
      </c>
      <c r="KDE1" s="17" t="s">
        <v>7042</v>
      </c>
      <c r="KDF1" s="17" t="s">
        <v>7043</v>
      </c>
      <c r="KDG1" s="17" t="s">
        <v>7044</v>
      </c>
      <c r="KDH1" s="17" t="s">
        <v>7045</v>
      </c>
      <c r="KDI1" s="17" t="s">
        <v>7046</v>
      </c>
      <c r="KDJ1" s="17" t="s">
        <v>7047</v>
      </c>
      <c r="KDK1" s="17" t="s">
        <v>7048</v>
      </c>
      <c r="KDL1" s="17" t="s">
        <v>7049</v>
      </c>
      <c r="KDM1" s="17" t="s">
        <v>7050</v>
      </c>
      <c r="KDN1" s="17" t="s">
        <v>7051</v>
      </c>
      <c r="KDO1" s="17" t="s">
        <v>7052</v>
      </c>
      <c r="KDP1" s="17" t="s">
        <v>7053</v>
      </c>
      <c r="KDQ1" s="17" t="s">
        <v>7054</v>
      </c>
      <c r="KDR1" s="17" t="s">
        <v>7055</v>
      </c>
      <c r="KDS1" s="17" t="s">
        <v>7056</v>
      </c>
      <c r="KDT1" s="17" t="s">
        <v>7057</v>
      </c>
      <c r="KDU1" s="17" t="s">
        <v>7058</v>
      </c>
      <c r="KDV1" s="17" t="s">
        <v>7059</v>
      </c>
      <c r="KDW1" s="17" t="s">
        <v>7060</v>
      </c>
      <c r="KDX1" s="17" t="s">
        <v>7061</v>
      </c>
      <c r="KDY1" s="17" t="s">
        <v>7062</v>
      </c>
      <c r="KDZ1" s="17" t="s">
        <v>7063</v>
      </c>
      <c r="KEA1" s="17" t="s">
        <v>7064</v>
      </c>
      <c r="KEB1" s="17" t="s">
        <v>7065</v>
      </c>
      <c r="KEC1" s="17" t="s">
        <v>7066</v>
      </c>
      <c r="KED1" s="17" t="s">
        <v>7067</v>
      </c>
      <c r="KEE1" s="17" t="s">
        <v>7068</v>
      </c>
      <c r="KEF1" s="17" t="s">
        <v>7069</v>
      </c>
      <c r="KEG1" s="17" t="s">
        <v>7070</v>
      </c>
      <c r="KEH1" s="17" t="s">
        <v>7071</v>
      </c>
      <c r="KEI1" s="17" t="s">
        <v>7072</v>
      </c>
      <c r="KEJ1" s="17" t="s">
        <v>7073</v>
      </c>
      <c r="KEK1" s="17" t="s">
        <v>7074</v>
      </c>
      <c r="KEL1" s="17" t="s">
        <v>7075</v>
      </c>
      <c r="KEM1" s="17" t="s">
        <v>7076</v>
      </c>
      <c r="KEN1" s="17" t="s">
        <v>7077</v>
      </c>
      <c r="KEO1" s="17" t="s">
        <v>7078</v>
      </c>
      <c r="KEP1" s="17" t="s">
        <v>7079</v>
      </c>
      <c r="KEQ1" s="17" t="s">
        <v>7080</v>
      </c>
      <c r="KER1" s="17" t="s">
        <v>7081</v>
      </c>
      <c r="KES1" s="17" t="s">
        <v>7082</v>
      </c>
      <c r="KET1" s="17" t="s">
        <v>7083</v>
      </c>
      <c r="KEU1" s="17" t="s">
        <v>7084</v>
      </c>
      <c r="KEV1" s="17" t="s">
        <v>7085</v>
      </c>
      <c r="KEW1" s="17" t="s">
        <v>7086</v>
      </c>
      <c r="KEX1" s="17" t="s">
        <v>7087</v>
      </c>
      <c r="KEY1" s="17" t="s">
        <v>7088</v>
      </c>
      <c r="KEZ1" s="17" t="s">
        <v>7089</v>
      </c>
      <c r="KFA1" s="17" t="s">
        <v>7090</v>
      </c>
      <c r="KFB1" s="17" t="s">
        <v>7091</v>
      </c>
      <c r="KFC1" s="17" t="s">
        <v>7092</v>
      </c>
      <c r="KFD1" s="17" t="s">
        <v>7093</v>
      </c>
      <c r="KFE1" s="17" t="s">
        <v>7094</v>
      </c>
      <c r="KFF1" s="17" t="s">
        <v>7095</v>
      </c>
      <c r="KFG1" s="17" t="s">
        <v>7096</v>
      </c>
      <c r="KFH1" s="17" t="s">
        <v>7097</v>
      </c>
      <c r="KFI1" s="17" t="s">
        <v>7098</v>
      </c>
      <c r="KFJ1" s="17" t="s">
        <v>7099</v>
      </c>
      <c r="KFK1" s="17" t="s">
        <v>7100</v>
      </c>
      <c r="KFL1" s="17" t="s">
        <v>7101</v>
      </c>
      <c r="KFM1" s="17" t="s">
        <v>7102</v>
      </c>
      <c r="KFN1" s="17" t="s">
        <v>7103</v>
      </c>
      <c r="KFO1" s="17" t="s">
        <v>7104</v>
      </c>
      <c r="KFP1" s="17" t="s">
        <v>7105</v>
      </c>
      <c r="KFQ1" s="17" t="s">
        <v>7106</v>
      </c>
      <c r="KFR1" s="17" t="s">
        <v>7107</v>
      </c>
      <c r="KFS1" s="17" t="s">
        <v>7108</v>
      </c>
      <c r="KFT1" s="17" t="s">
        <v>7109</v>
      </c>
      <c r="KFU1" s="17" t="s">
        <v>7110</v>
      </c>
      <c r="KFV1" s="17" t="s">
        <v>7111</v>
      </c>
      <c r="KFW1" s="17" t="s">
        <v>7112</v>
      </c>
      <c r="KFX1" s="17" t="s">
        <v>7113</v>
      </c>
      <c r="KFY1" s="17" t="s">
        <v>7114</v>
      </c>
      <c r="KFZ1" s="17" t="s">
        <v>7115</v>
      </c>
      <c r="KGA1" s="17" t="s">
        <v>7116</v>
      </c>
      <c r="KGB1" s="17" t="s">
        <v>7117</v>
      </c>
      <c r="KGC1" s="17" t="s">
        <v>7118</v>
      </c>
      <c r="KGD1" s="17" t="s">
        <v>7119</v>
      </c>
      <c r="KGE1" s="17" t="s">
        <v>7120</v>
      </c>
      <c r="KGF1" s="17" t="s">
        <v>7121</v>
      </c>
      <c r="KGG1" s="17" t="s">
        <v>7122</v>
      </c>
      <c r="KGH1" s="17" t="s">
        <v>7123</v>
      </c>
      <c r="KGI1" s="17" t="s">
        <v>7124</v>
      </c>
      <c r="KGJ1" s="17" t="s">
        <v>7125</v>
      </c>
      <c r="KGK1" s="17" t="s">
        <v>7126</v>
      </c>
      <c r="KGL1" s="17" t="s">
        <v>7127</v>
      </c>
      <c r="KGM1" s="17" t="s">
        <v>7128</v>
      </c>
      <c r="KGN1" s="17" t="s">
        <v>7129</v>
      </c>
      <c r="KGO1" s="17" t="s">
        <v>7130</v>
      </c>
      <c r="KGP1" s="17" t="s">
        <v>7131</v>
      </c>
      <c r="KGQ1" s="17" t="s">
        <v>7132</v>
      </c>
      <c r="KGR1" s="17" t="s">
        <v>7133</v>
      </c>
      <c r="KGS1" s="17" t="s">
        <v>7134</v>
      </c>
      <c r="KGT1" s="17" t="s">
        <v>7135</v>
      </c>
      <c r="KGU1" s="17" t="s">
        <v>7136</v>
      </c>
      <c r="KGV1" s="17" t="s">
        <v>7137</v>
      </c>
      <c r="KGW1" s="17" t="s">
        <v>7138</v>
      </c>
      <c r="KGX1" s="17" t="s">
        <v>7139</v>
      </c>
      <c r="KGY1" s="17" t="s">
        <v>7140</v>
      </c>
      <c r="KGZ1" s="17" t="s">
        <v>7141</v>
      </c>
      <c r="KHA1" s="17" t="s">
        <v>7142</v>
      </c>
      <c r="KHB1" s="17" t="s">
        <v>7143</v>
      </c>
      <c r="KHC1" s="17" t="s">
        <v>7144</v>
      </c>
      <c r="KHD1" s="17" t="s">
        <v>7145</v>
      </c>
      <c r="KHE1" s="17" t="s">
        <v>7146</v>
      </c>
      <c r="KHF1" s="17" t="s">
        <v>7147</v>
      </c>
      <c r="KHG1" s="17" t="s">
        <v>7148</v>
      </c>
      <c r="KHH1" s="17" t="s">
        <v>7149</v>
      </c>
      <c r="KHI1" s="17" t="s">
        <v>7150</v>
      </c>
      <c r="KHJ1" s="17" t="s">
        <v>7151</v>
      </c>
      <c r="KHK1" s="17" t="s">
        <v>7152</v>
      </c>
      <c r="KHL1" s="17" t="s">
        <v>7153</v>
      </c>
      <c r="KHM1" s="17" t="s">
        <v>7154</v>
      </c>
      <c r="KHN1" s="17" t="s">
        <v>7155</v>
      </c>
      <c r="KHO1" s="17" t="s">
        <v>7156</v>
      </c>
      <c r="KHP1" s="17" t="s">
        <v>7157</v>
      </c>
      <c r="KHQ1" s="17" t="s">
        <v>7158</v>
      </c>
      <c r="KHR1" s="17" t="s">
        <v>7159</v>
      </c>
      <c r="KHS1" s="17" t="s">
        <v>7160</v>
      </c>
      <c r="KHT1" s="17" t="s">
        <v>7161</v>
      </c>
      <c r="KHU1" s="17" t="s">
        <v>7162</v>
      </c>
      <c r="KHV1" s="17" t="s">
        <v>7163</v>
      </c>
      <c r="KHW1" s="17" t="s">
        <v>7164</v>
      </c>
      <c r="KHX1" s="17" t="s">
        <v>7165</v>
      </c>
      <c r="KHY1" s="17" t="s">
        <v>7166</v>
      </c>
      <c r="KHZ1" s="17" t="s">
        <v>7167</v>
      </c>
      <c r="KIA1" s="17" t="s">
        <v>7168</v>
      </c>
      <c r="KIB1" s="17" t="s">
        <v>7169</v>
      </c>
      <c r="KIC1" s="17" t="s">
        <v>7170</v>
      </c>
      <c r="KID1" s="17" t="s">
        <v>7171</v>
      </c>
      <c r="KIE1" s="17" t="s">
        <v>7172</v>
      </c>
      <c r="KIF1" s="17" t="s">
        <v>7173</v>
      </c>
      <c r="KIG1" s="17" t="s">
        <v>7174</v>
      </c>
      <c r="KIH1" s="17" t="s">
        <v>7175</v>
      </c>
      <c r="KII1" s="17" t="s">
        <v>7176</v>
      </c>
      <c r="KIJ1" s="17" t="s">
        <v>7177</v>
      </c>
      <c r="KIK1" s="17" t="s">
        <v>7178</v>
      </c>
      <c r="KIL1" s="17" t="s">
        <v>7179</v>
      </c>
      <c r="KIM1" s="17" t="s">
        <v>7180</v>
      </c>
      <c r="KIN1" s="17" t="s">
        <v>7181</v>
      </c>
      <c r="KIO1" s="17" t="s">
        <v>7182</v>
      </c>
      <c r="KIP1" s="17" t="s">
        <v>7183</v>
      </c>
      <c r="KIQ1" s="17" t="s">
        <v>7184</v>
      </c>
      <c r="KIR1" s="17" t="s">
        <v>7185</v>
      </c>
      <c r="KIS1" s="17" t="s">
        <v>7186</v>
      </c>
      <c r="KIT1" s="17" t="s">
        <v>7187</v>
      </c>
      <c r="KIU1" s="17" t="s">
        <v>7188</v>
      </c>
      <c r="KIV1" s="17" t="s">
        <v>7189</v>
      </c>
      <c r="KIW1" s="17" t="s">
        <v>7190</v>
      </c>
      <c r="KIX1" s="17" t="s">
        <v>7191</v>
      </c>
      <c r="KIY1" s="17" t="s">
        <v>7192</v>
      </c>
      <c r="KIZ1" s="17" t="s">
        <v>7193</v>
      </c>
      <c r="KJA1" s="17" t="s">
        <v>7194</v>
      </c>
      <c r="KJB1" s="17" t="s">
        <v>7195</v>
      </c>
      <c r="KJC1" s="17" t="s">
        <v>7196</v>
      </c>
      <c r="KJD1" s="17" t="s">
        <v>7197</v>
      </c>
      <c r="KJE1" s="17" t="s">
        <v>7198</v>
      </c>
      <c r="KJF1" s="17" t="s">
        <v>7199</v>
      </c>
      <c r="KJG1" s="17" t="s">
        <v>7200</v>
      </c>
      <c r="KJH1" s="17" t="s">
        <v>7201</v>
      </c>
      <c r="KJI1" s="17" t="s">
        <v>7202</v>
      </c>
      <c r="KJJ1" s="17" t="s">
        <v>7203</v>
      </c>
      <c r="KJK1" s="17" t="s">
        <v>7204</v>
      </c>
      <c r="KJL1" s="17" t="s">
        <v>7205</v>
      </c>
      <c r="KJM1" s="17" t="s">
        <v>7206</v>
      </c>
      <c r="KJN1" s="17" t="s">
        <v>7207</v>
      </c>
      <c r="KJO1" s="17" t="s">
        <v>7208</v>
      </c>
      <c r="KJP1" s="17" t="s">
        <v>7209</v>
      </c>
      <c r="KJQ1" s="17" t="s">
        <v>7210</v>
      </c>
      <c r="KJR1" s="17" t="s">
        <v>7211</v>
      </c>
      <c r="KJS1" s="17" t="s">
        <v>7212</v>
      </c>
      <c r="KJT1" s="17" t="s">
        <v>7213</v>
      </c>
      <c r="KJU1" s="17" t="s">
        <v>7214</v>
      </c>
      <c r="KJV1" s="17" t="s">
        <v>7215</v>
      </c>
      <c r="KJW1" s="17" t="s">
        <v>7216</v>
      </c>
      <c r="KJX1" s="17" t="s">
        <v>7217</v>
      </c>
      <c r="KJY1" s="17" t="s">
        <v>7218</v>
      </c>
      <c r="KJZ1" s="17" t="s">
        <v>7219</v>
      </c>
      <c r="KKA1" s="17" t="s">
        <v>7220</v>
      </c>
      <c r="KKB1" s="17" t="s">
        <v>7221</v>
      </c>
      <c r="KKC1" s="17" t="s">
        <v>7222</v>
      </c>
      <c r="KKD1" s="17" t="s">
        <v>7223</v>
      </c>
      <c r="KKE1" s="17" t="s">
        <v>7224</v>
      </c>
      <c r="KKF1" s="17" t="s">
        <v>7225</v>
      </c>
      <c r="KKG1" s="17" t="s">
        <v>7226</v>
      </c>
      <c r="KKH1" s="17" t="s">
        <v>7227</v>
      </c>
      <c r="KKI1" s="17" t="s">
        <v>7228</v>
      </c>
      <c r="KKJ1" s="17" t="s">
        <v>7229</v>
      </c>
      <c r="KKK1" s="17" t="s">
        <v>7230</v>
      </c>
      <c r="KKL1" s="17" t="s">
        <v>7231</v>
      </c>
      <c r="KKM1" s="17" t="s">
        <v>7232</v>
      </c>
      <c r="KKN1" s="17" t="s">
        <v>7233</v>
      </c>
      <c r="KKO1" s="17" t="s">
        <v>7234</v>
      </c>
      <c r="KKP1" s="17" t="s">
        <v>7235</v>
      </c>
      <c r="KKQ1" s="17" t="s">
        <v>7236</v>
      </c>
      <c r="KKR1" s="17" t="s">
        <v>7237</v>
      </c>
      <c r="KKS1" s="17" t="s">
        <v>7238</v>
      </c>
      <c r="KKT1" s="17" t="s">
        <v>7239</v>
      </c>
      <c r="KKU1" s="17" t="s">
        <v>7240</v>
      </c>
      <c r="KKV1" s="17" t="s">
        <v>7241</v>
      </c>
      <c r="KKW1" s="17" t="s">
        <v>7242</v>
      </c>
      <c r="KKX1" s="17" t="s">
        <v>7243</v>
      </c>
      <c r="KKY1" s="17" t="s">
        <v>7244</v>
      </c>
      <c r="KKZ1" s="17" t="s">
        <v>7245</v>
      </c>
      <c r="KLA1" s="17" t="s">
        <v>7246</v>
      </c>
      <c r="KLB1" s="17" t="s">
        <v>7247</v>
      </c>
      <c r="KLC1" s="17" t="s">
        <v>7248</v>
      </c>
      <c r="KLD1" s="17" t="s">
        <v>7249</v>
      </c>
      <c r="KLE1" s="17" t="s">
        <v>7250</v>
      </c>
      <c r="KLF1" s="17" t="s">
        <v>7251</v>
      </c>
      <c r="KLG1" s="17" t="s">
        <v>7252</v>
      </c>
      <c r="KLH1" s="17" t="s">
        <v>7253</v>
      </c>
      <c r="KLI1" s="17" t="s">
        <v>7254</v>
      </c>
      <c r="KLJ1" s="17" t="s">
        <v>7255</v>
      </c>
      <c r="KLK1" s="17" t="s">
        <v>7256</v>
      </c>
      <c r="KLL1" s="17" t="s">
        <v>7257</v>
      </c>
      <c r="KLM1" s="17" t="s">
        <v>7258</v>
      </c>
      <c r="KLN1" s="17" t="s">
        <v>7259</v>
      </c>
      <c r="KLO1" s="17" t="s">
        <v>7260</v>
      </c>
      <c r="KLP1" s="17" t="s">
        <v>7261</v>
      </c>
      <c r="KLQ1" s="17" t="s">
        <v>7262</v>
      </c>
      <c r="KLR1" s="17" t="s">
        <v>7263</v>
      </c>
      <c r="KLS1" s="17" t="s">
        <v>7264</v>
      </c>
      <c r="KLT1" s="17" t="s">
        <v>7265</v>
      </c>
      <c r="KLU1" s="17" t="s">
        <v>7266</v>
      </c>
      <c r="KLV1" s="17" t="s">
        <v>7267</v>
      </c>
      <c r="KLW1" s="17" t="s">
        <v>7268</v>
      </c>
      <c r="KLX1" s="17" t="s">
        <v>7269</v>
      </c>
      <c r="KLY1" s="17" t="s">
        <v>7270</v>
      </c>
      <c r="KLZ1" s="17" t="s">
        <v>7271</v>
      </c>
      <c r="KMA1" s="17" t="s">
        <v>7272</v>
      </c>
      <c r="KMB1" s="17" t="s">
        <v>7273</v>
      </c>
      <c r="KMC1" s="17" t="s">
        <v>7274</v>
      </c>
      <c r="KMD1" s="17" t="s">
        <v>7275</v>
      </c>
      <c r="KME1" s="17" t="s">
        <v>7276</v>
      </c>
      <c r="KMF1" s="17" t="s">
        <v>7277</v>
      </c>
      <c r="KMG1" s="17" t="s">
        <v>7278</v>
      </c>
      <c r="KMH1" s="17" t="s">
        <v>7279</v>
      </c>
      <c r="KMI1" s="17" t="s">
        <v>7280</v>
      </c>
      <c r="KMJ1" s="17" t="s">
        <v>7281</v>
      </c>
      <c r="KMK1" s="17" t="s">
        <v>7282</v>
      </c>
      <c r="KML1" s="17" t="s">
        <v>7283</v>
      </c>
      <c r="KMM1" s="17" t="s">
        <v>7284</v>
      </c>
      <c r="KMN1" s="17" t="s">
        <v>7285</v>
      </c>
      <c r="KMO1" s="17" t="s">
        <v>7286</v>
      </c>
      <c r="KMP1" s="17" t="s">
        <v>7287</v>
      </c>
      <c r="KMQ1" s="17" t="s">
        <v>7288</v>
      </c>
      <c r="KMR1" s="17" t="s">
        <v>7289</v>
      </c>
      <c r="KMS1" s="17" t="s">
        <v>7290</v>
      </c>
      <c r="KMT1" s="17" t="s">
        <v>7291</v>
      </c>
      <c r="KMU1" s="17" t="s">
        <v>7292</v>
      </c>
      <c r="KMV1" s="17" t="s">
        <v>7293</v>
      </c>
      <c r="KMW1" s="17" t="s">
        <v>7294</v>
      </c>
      <c r="KMX1" s="17" t="s">
        <v>7295</v>
      </c>
      <c r="KMY1" s="17" t="s">
        <v>7296</v>
      </c>
      <c r="KMZ1" s="17" t="s">
        <v>7297</v>
      </c>
      <c r="KNA1" s="17" t="s">
        <v>7298</v>
      </c>
      <c r="KNB1" s="17" t="s">
        <v>7299</v>
      </c>
      <c r="KNC1" s="17" t="s">
        <v>7300</v>
      </c>
      <c r="KND1" s="17" t="s">
        <v>7301</v>
      </c>
      <c r="KNE1" s="17" t="s">
        <v>7302</v>
      </c>
      <c r="KNF1" s="17" t="s">
        <v>7303</v>
      </c>
      <c r="KNG1" s="17" t="s">
        <v>7304</v>
      </c>
      <c r="KNH1" s="17" t="s">
        <v>7305</v>
      </c>
      <c r="KNI1" s="17" t="s">
        <v>7306</v>
      </c>
      <c r="KNJ1" s="17" t="s">
        <v>7307</v>
      </c>
      <c r="KNK1" s="17" t="s">
        <v>7308</v>
      </c>
      <c r="KNL1" s="17" t="s">
        <v>7309</v>
      </c>
      <c r="KNM1" s="17" t="s">
        <v>7310</v>
      </c>
      <c r="KNN1" s="17" t="s">
        <v>7311</v>
      </c>
      <c r="KNO1" s="17" t="s">
        <v>7312</v>
      </c>
      <c r="KNP1" s="17" t="s">
        <v>7313</v>
      </c>
      <c r="KNQ1" s="17" t="s">
        <v>7314</v>
      </c>
      <c r="KNR1" s="17" t="s">
        <v>7315</v>
      </c>
      <c r="KNS1" s="17" t="s">
        <v>7316</v>
      </c>
      <c r="KNT1" s="17" t="s">
        <v>7317</v>
      </c>
      <c r="KNU1" s="17" t="s">
        <v>7318</v>
      </c>
      <c r="KNV1" s="17" t="s">
        <v>7319</v>
      </c>
      <c r="KNW1" s="17" t="s">
        <v>7320</v>
      </c>
      <c r="KNX1" s="17" t="s">
        <v>7321</v>
      </c>
      <c r="KNY1" s="17" t="s">
        <v>7322</v>
      </c>
      <c r="KNZ1" s="17" t="s">
        <v>7323</v>
      </c>
      <c r="KOA1" s="17" t="s">
        <v>7324</v>
      </c>
      <c r="KOB1" s="17" t="s">
        <v>7325</v>
      </c>
      <c r="KOC1" s="17" t="s">
        <v>7326</v>
      </c>
      <c r="KOD1" s="17" t="s">
        <v>7327</v>
      </c>
      <c r="KOE1" s="17" t="s">
        <v>7328</v>
      </c>
      <c r="KOF1" s="17" t="s">
        <v>7329</v>
      </c>
      <c r="KOG1" s="17" t="s">
        <v>7330</v>
      </c>
      <c r="KOH1" s="17" t="s">
        <v>7331</v>
      </c>
      <c r="KOI1" s="17" t="s">
        <v>7332</v>
      </c>
      <c r="KOJ1" s="17" t="s">
        <v>7333</v>
      </c>
      <c r="KOK1" s="17" t="s">
        <v>7334</v>
      </c>
      <c r="KOL1" s="17" t="s">
        <v>7335</v>
      </c>
      <c r="KOM1" s="17" t="s">
        <v>7336</v>
      </c>
      <c r="KON1" s="17" t="s">
        <v>7337</v>
      </c>
      <c r="KOO1" s="17" t="s">
        <v>7338</v>
      </c>
      <c r="KOP1" s="17" t="s">
        <v>7339</v>
      </c>
      <c r="KOQ1" s="17" t="s">
        <v>7340</v>
      </c>
      <c r="KOR1" s="17" t="s">
        <v>7341</v>
      </c>
      <c r="KOS1" s="17" t="s">
        <v>7342</v>
      </c>
      <c r="KOT1" s="17" t="s">
        <v>7343</v>
      </c>
      <c r="KOU1" s="17" t="s">
        <v>7344</v>
      </c>
      <c r="KOV1" s="17" t="s">
        <v>7345</v>
      </c>
      <c r="KOW1" s="17" t="s">
        <v>7346</v>
      </c>
      <c r="KOX1" s="17" t="s">
        <v>7347</v>
      </c>
      <c r="KOY1" s="17" t="s">
        <v>7348</v>
      </c>
      <c r="KOZ1" s="17" t="s">
        <v>7349</v>
      </c>
      <c r="KPA1" s="17" t="s">
        <v>7350</v>
      </c>
      <c r="KPB1" s="17" t="s">
        <v>7351</v>
      </c>
      <c r="KPC1" s="17" t="s">
        <v>7352</v>
      </c>
      <c r="KPD1" s="17" t="s">
        <v>7353</v>
      </c>
      <c r="KPE1" s="17" t="s">
        <v>7354</v>
      </c>
      <c r="KPF1" s="17" t="s">
        <v>7355</v>
      </c>
      <c r="KPG1" s="17" t="s">
        <v>7356</v>
      </c>
      <c r="KPH1" s="17" t="s">
        <v>7357</v>
      </c>
      <c r="KPI1" s="17" t="s">
        <v>7358</v>
      </c>
      <c r="KPJ1" s="17" t="s">
        <v>7359</v>
      </c>
      <c r="KPK1" s="17" t="s">
        <v>7360</v>
      </c>
      <c r="KPL1" s="17" t="s">
        <v>7361</v>
      </c>
      <c r="KPM1" s="17" t="s">
        <v>7362</v>
      </c>
      <c r="KPN1" s="17" t="s">
        <v>7363</v>
      </c>
      <c r="KPO1" s="17" t="s">
        <v>7364</v>
      </c>
      <c r="KPP1" s="17" t="s">
        <v>7365</v>
      </c>
      <c r="KPQ1" s="17" t="s">
        <v>7366</v>
      </c>
      <c r="KPR1" s="17" t="s">
        <v>7367</v>
      </c>
      <c r="KPS1" s="17" t="s">
        <v>7368</v>
      </c>
      <c r="KPT1" s="17" t="s">
        <v>7369</v>
      </c>
      <c r="KPU1" s="17" t="s">
        <v>7370</v>
      </c>
      <c r="KPV1" s="17" t="s">
        <v>7371</v>
      </c>
      <c r="KPW1" s="17" t="s">
        <v>7372</v>
      </c>
      <c r="KPX1" s="17" t="s">
        <v>7373</v>
      </c>
      <c r="KPY1" s="17" t="s">
        <v>7374</v>
      </c>
      <c r="KPZ1" s="17" t="s">
        <v>7375</v>
      </c>
      <c r="KQA1" s="17" t="s">
        <v>7376</v>
      </c>
      <c r="KQB1" s="17" t="s">
        <v>7377</v>
      </c>
      <c r="KQC1" s="17" t="s">
        <v>7378</v>
      </c>
      <c r="KQD1" s="17" t="s">
        <v>7379</v>
      </c>
      <c r="KQE1" s="17" t="s">
        <v>7380</v>
      </c>
      <c r="KQF1" s="17" t="s">
        <v>7381</v>
      </c>
      <c r="KQG1" s="17" t="s">
        <v>7382</v>
      </c>
      <c r="KQH1" s="17" t="s">
        <v>7383</v>
      </c>
      <c r="KQI1" s="17" t="s">
        <v>7384</v>
      </c>
      <c r="KQJ1" s="17" t="s">
        <v>7385</v>
      </c>
      <c r="KQK1" s="17" t="s">
        <v>7386</v>
      </c>
      <c r="KQL1" s="17" t="s">
        <v>7387</v>
      </c>
      <c r="KQM1" s="17" t="s">
        <v>7388</v>
      </c>
      <c r="KQN1" s="17" t="s">
        <v>7389</v>
      </c>
      <c r="KQO1" s="17" t="s">
        <v>7390</v>
      </c>
      <c r="KQP1" s="17" t="s">
        <v>7391</v>
      </c>
      <c r="KQQ1" s="17" t="s">
        <v>7392</v>
      </c>
      <c r="KQR1" s="17" t="s">
        <v>7393</v>
      </c>
      <c r="KQS1" s="17" t="s">
        <v>7394</v>
      </c>
      <c r="KQT1" s="17" t="s">
        <v>7395</v>
      </c>
      <c r="KQU1" s="17" t="s">
        <v>7396</v>
      </c>
      <c r="KQV1" s="17" t="s">
        <v>7397</v>
      </c>
      <c r="KQW1" s="17" t="s">
        <v>7398</v>
      </c>
      <c r="KQX1" s="17" t="s">
        <v>7399</v>
      </c>
      <c r="KQY1" s="17" t="s">
        <v>7400</v>
      </c>
      <c r="KQZ1" s="17" t="s">
        <v>7401</v>
      </c>
      <c r="KRA1" s="17" t="s">
        <v>7402</v>
      </c>
      <c r="KRB1" s="17" t="s">
        <v>7403</v>
      </c>
      <c r="KRC1" s="17" t="s">
        <v>7404</v>
      </c>
      <c r="KRD1" s="17" t="s">
        <v>7405</v>
      </c>
      <c r="KRE1" s="17" t="s">
        <v>7406</v>
      </c>
      <c r="KRF1" s="17" t="s">
        <v>7407</v>
      </c>
      <c r="KRG1" s="17" t="s">
        <v>7408</v>
      </c>
      <c r="KRH1" s="17" t="s">
        <v>7409</v>
      </c>
      <c r="KRI1" s="17" t="s">
        <v>7410</v>
      </c>
      <c r="KRJ1" s="17" t="s">
        <v>7411</v>
      </c>
      <c r="KRK1" s="17" t="s">
        <v>7412</v>
      </c>
      <c r="KRL1" s="17" t="s">
        <v>7413</v>
      </c>
      <c r="KRM1" s="17" t="s">
        <v>7414</v>
      </c>
      <c r="KRN1" s="17" t="s">
        <v>7415</v>
      </c>
      <c r="KRO1" s="17" t="s">
        <v>7416</v>
      </c>
      <c r="KRP1" s="17" t="s">
        <v>7417</v>
      </c>
      <c r="KRQ1" s="17" t="s">
        <v>7418</v>
      </c>
      <c r="KRR1" s="17" t="s">
        <v>7419</v>
      </c>
      <c r="KRS1" s="17" t="s">
        <v>7420</v>
      </c>
      <c r="KRT1" s="17" t="s">
        <v>7421</v>
      </c>
      <c r="KRU1" s="17" t="s">
        <v>7422</v>
      </c>
      <c r="KRV1" s="17" t="s">
        <v>7423</v>
      </c>
      <c r="KRW1" s="17" t="s">
        <v>7424</v>
      </c>
      <c r="KRX1" s="17" t="s">
        <v>7425</v>
      </c>
      <c r="KRY1" s="17" t="s">
        <v>7426</v>
      </c>
      <c r="KRZ1" s="17" t="s">
        <v>7427</v>
      </c>
      <c r="KSA1" s="17" t="s">
        <v>7428</v>
      </c>
      <c r="KSB1" s="17" t="s">
        <v>7429</v>
      </c>
      <c r="KSC1" s="17" t="s">
        <v>7430</v>
      </c>
      <c r="KSD1" s="17" t="s">
        <v>7431</v>
      </c>
      <c r="KSE1" s="17" t="s">
        <v>7432</v>
      </c>
      <c r="KSF1" s="17" t="s">
        <v>7433</v>
      </c>
      <c r="KSG1" s="17" t="s">
        <v>7434</v>
      </c>
      <c r="KSH1" s="17" t="s">
        <v>7435</v>
      </c>
      <c r="KSI1" s="17" t="s">
        <v>7436</v>
      </c>
      <c r="KSJ1" s="17" t="s">
        <v>7437</v>
      </c>
      <c r="KSK1" s="17" t="s">
        <v>7438</v>
      </c>
      <c r="KSL1" s="17" t="s">
        <v>7439</v>
      </c>
      <c r="KSM1" s="17" t="s">
        <v>7440</v>
      </c>
      <c r="KSN1" s="17" t="s">
        <v>7441</v>
      </c>
      <c r="KSO1" s="17" t="s">
        <v>7442</v>
      </c>
      <c r="KSP1" s="17" t="s">
        <v>7443</v>
      </c>
      <c r="KSQ1" s="17" t="s">
        <v>7444</v>
      </c>
      <c r="KSR1" s="17" t="s">
        <v>7445</v>
      </c>
      <c r="KSS1" s="17" t="s">
        <v>7446</v>
      </c>
      <c r="KST1" s="17" t="s">
        <v>7447</v>
      </c>
      <c r="KSU1" s="17" t="s">
        <v>7448</v>
      </c>
      <c r="KSV1" s="17" t="s">
        <v>7449</v>
      </c>
      <c r="KSW1" s="17" t="s">
        <v>7450</v>
      </c>
      <c r="KSX1" s="17" t="s">
        <v>7451</v>
      </c>
      <c r="KSY1" s="17" t="s">
        <v>7452</v>
      </c>
      <c r="KSZ1" s="17" t="s">
        <v>7453</v>
      </c>
      <c r="KTA1" s="17" t="s">
        <v>7454</v>
      </c>
      <c r="KTB1" s="17" t="s">
        <v>7455</v>
      </c>
      <c r="KTC1" s="17" t="s">
        <v>7456</v>
      </c>
      <c r="KTD1" s="17" t="s">
        <v>7457</v>
      </c>
      <c r="KTE1" s="17" t="s">
        <v>7458</v>
      </c>
      <c r="KTF1" s="17" t="s">
        <v>7459</v>
      </c>
      <c r="KTG1" s="17" t="s">
        <v>7460</v>
      </c>
      <c r="KTH1" s="17" t="s">
        <v>7461</v>
      </c>
      <c r="KTI1" s="17" t="s">
        <v>7462</v>
      </c>
      <c r="KTJ1" s="17" t="s">
        <v>7463</v>
      </c>
      <c r="KTK1" s="17" t="s">
        <v>7464</v>
      </c>
      <c r="KTL1" s="17" t="s">
        <v>7465</v>
      </c>
      <c r="KTM1" s="17" t="s">
        <v>7466</v>
      </c>
      <c r="KTN1" s="17" t="s">
        <v>7467</v>
      </c>
      <c r="KTO1" s="17" t="s">
        <v>7468</v>
      </c>
      <c r="KTP1" s="17" t="s">
        <v>7469</v>
      </c>
      <c r="KTQ1" s="17" t="s">
        <v>7470</v>
      </c>
      <c r="KTR1" s="17" t="s">
        <v>7471</v>
      </c>
      <c r="KTS1" s="17" t="s">
        <v>7472</v>
      </c>
      <c r="KTT1" s="17" t="s">
        <v>7473</v>
      </c>
      <c r="KTU1" s="17" t="s">
        <v>7474</v>
      </c>
      <c r="KTV1" s="17" t="s">
        <v>7475</v>
      </c>
      <c r="KTW1" s="17" t="s">
        <v>7476</v>
      </c>
      <c r="KTX1" s="17" t="s">
        <v>7477</v>
      </c>
      <c r="KTY1" s="17" t="s">
        <v>7478</v>
      </c>
      <c r="KTZ1" s="17" t="s">
        <v>7479</v>
      </c>
      <c r="KUA1" s="17" t="s">
        <v>7480</v>
      </c>
      <c r="KUB1" s="17" t="s">
        <v>7481</v>
      </c>
      <c r="KUC1" s="17" t="s">
        <v>7482</v>
      </c>
      <c r="KUD1" s="17" t="s">
        <v>7483</v>
      </c>
      <c r="KUE1" s="17" t="s">
        <v>7484</v>
      </c>
      <c r="KUF1" s="17" t="s">
        <v>7485</v>
      </c>
      <c r="KUG1" s="17" t="s">
        <v>7486</v>
      </c>
      <c r="KUH1" s="17" t="s">
        <v>7487</v>
      </c>
      <c r="KUI1" s="17" t="s">
        <v>7488</v>
      </c>
      <c r="KUJ1" s="17" t="s">
        <v>7489</v>
      </c>
      <c r="KUK1" s="17" t="s">
        <v>7490</v>
      </c>
      <c r="KUL1" s="17" t="s">
        <v>7491</v>
      </c>
      <c r="KUM1" s="17" t="s">
        <v>7492</v>
      </c>
      <c r="KUN1" s="17" t="s">
        <v>7493</v>
      </c>
      <c r="KUO1" s="17" t="s">
        <v>7494</v>
      </c>
      <c r="KUP1" s="17" t="s">
        <v>7495</v>
      </c>
      <c r="KUQ1" s="17" t="s">
        <v>7496</v>
      </c>
      <c r="KUR1" s="17" t="s">
        <v>7497</v>
      </c>
      <c r="KUS1" s="17" t="s">
        <v>7498</v>
      </c>
      <c r="KUT1" s="17" t="s">
        <v>7499</v>
      </c>
      <c r="KUU1" s="17" t="s">
        <v>7500</v>
      </c>
      <c r="KUV1" s="17" t="s">
        <v>7501</v>
      </c>
      <c r="KUW1" s="17" t="s">
        <v>7502</v>
      </c>
      <c r="KUX1" s="17" t="s">
        <v>7503</v>
      </c>
      <c r="KUY1" s="17" t="s">
        <v>7504</v>
      </c>
      <c r="KUZ1" s="17" t="s">
        <v>7505</v>
      </c>
      <c r="KVA1" s="17" t="s">
        <v>7506</v>
      </c>
      <c r="KVB1" s="17" t="s">
        <v>7507</v>
      </c>
      <c r="KVC1" s="17" t="s">
        <v>7508</v>
      </c>
      <c r="KVD1" s="17" t="s">
        <v>7509</v>
      </c>
      <c r="KVE1" s="17" t="s">
        <v>7510</v>
      </c>
      <c r="KVF1" s="17" t="s">
        <v>7511</v>
      </c>
      <c r="KVG1" s="17" t="s">
        <v>7512</v>
      </c>
      <c r="KVH1" s="17" t="s">
        <v>7513</v>
      </c>
      <c r="KVI1" s="17" t="s">
        <v>7514</v>
      </c>
      <c r="KVJ1" s="17" t="s">
        <v>7515</v>
      </c>
      <c r="KVK1" s="17" t="s">
        <v>7516</v>
      </c>
      <c r="KVL1" s="17" t="s">
        <v>7517</v>
      </c>
      <c r="KVM1" s="17" t="s">
        <v>7518</v>
      </c>
      <c r="KVN1" s="17" t="s">
        <v>7519</v>
      </c>
      <c r="KVO1" s="17" t="s">
        <v>7520</v>
      </c>
      <c r="KVP1" s="17" t="s">
        <v>7521</v>
      </c>
      <c r="KVQ1" s="17" t="s">
        <v>7522</v>
      </c>
      <c r="KVR1" s="17" t="s">
        <v>7523</v>
      </c>
      <c r="KVS1" s="17" t="s">
        <v>7524</v>
      </c>
      <c r="KVT1" s="17" t="s">
        <v>7525</v>
      </c>
      <c r="KVU1" s="17" t="s">
        <v>7526</v>
      </c>
      <c r="KVV1" s="17" t="s">
        <v>7527</v>
      </c>
      <c r="KVW1" s="17" t="s">
        <v>7528</v>
      </c>
      <c r="KVX1" s="17" t="s">
        <v>7529</v>
      </c>
      <c r="KVY1" s="17" t="s">
        <v>7530</v>
      </c>
      <c r="KVZ1" s="17" t="s">
        <v>7531</v>
      </c>
      <c r="KWA1" s="17" t="s">
        <v>7532</v>
      </c>
      <c r="KWB1" s="17" t="s">
        <v>7533</v>
      </c>
      <c r="KWC1" s="17" t="s">
        <v>7534</v>
      </c>
      <c r="KWD1" s="17" t="s">
        <v>7535</v>
      </c>
      <c r="KWE1" s="17" t="s">
        <v>7536</v>
      </c>
      <c r="KWF1" s="17" t="s">
        <v>7537</v>
      </c>
      <c r="KWG1" s="17" t="s">
        <v>7538</v>
      </c>
      <c r="KWH1" s="17" t="s">
        <v>7539</v>
      </c>
      <c r="KWI1" s="17" t="s">
        <v>7540</v>
      </c>
      <c r="KWJ1" s="17" t="s">
        <v>7541</v>
      </c>
      <c r="KWK1" s="17" t="s">
        <v>7542</v>
      </c>
      <c r="KWL1" s="17" t="s">
        <v>7543</v>
      </c>
      <c r="KWM1" s="17" t="s">
        <v>7544</v>
      </c>
      <c r="KWN1" s="17" t="s">
        <v>7545</v>
      </c>
      <c r="KWO1" s="17" t="s">
        <v>7546</v>
      </c>
      <c r="KWP1" s="17" t="s">
        <v>7547</v>
      </c>
      <c r="KWQ1" s="17" t="s">
        <v>7548</v>
      </c>
      <c r="KWR1" s="17" t="s">
        <v>7549</v>
      </c>
      <c r="KWS1" s="17" t="s">
        <v>7550</v>
      </c>
      <c r="KWT1" s="17" t="s">
        <v>7551</v>
      </c>
      <c r="KWU1" s="17" t="s">
        <v>7552</v>
      </c>
      <c r="KWV1" s="17" t="s">
        <v>7553</v>
      </c>
      <c r="KWW1" s="17" t="s">
        <v>7554</v>
      </c>
      <c r="KWX1" s="17" t="s">
        <v>7555</v>
      </c>
      <c r="KWY1" s="17" t="s">
        <v>7556</v>
      </c>
      <c r="KWZ1" s="17" t="s">
        <v>7557</v>
      </c>
      <c r="KXA1" s="17" t="s">
        <v>7558</v>
      </c>
      <c r="KXB1" s="17" t="s">
        <v>7559</v>
      </c>
      <c r="KXC1" s="17" t="s">
        <v>7560</v>
      </c>
      <c r="KXD1" s="17" t="s">
        <v>7561</v>
      </c>
      <c r="KXE1" s="17" t="s">
        <v>7562</v>
      </c>
      <c r="KXF1" s="17" t="s">
        <v>7563</v>
      </c>
      <c r="KXG1" s="17" t="s">
        <v>7564</v>
      </c>
      <c r="KXH1" s="17" t="s">
        <v>7565</v>
      </c>
      <c r="KXI1" s="17" t="s">
        <v>7566</v>
      </c>
      <c r="KXJ1" s="17" t="s">
        <v>7567</v>
      </c>
      <c r="KXK1" s="17" t="s">
        <v>7568</v>
      </c>
      <c r="KXL1" s="17" t="s">
        <v>7569</v>
      </c>
      <c r="KXM1" s="17" t="s">
        <v>7570</v>
      </c>
      <c r="KXN1" s="17" t="s">
        <v>7571</v>
      </c>
      <c r="KXO1" s="17" t="s">
        <v>7572</v>
      </c>
      <c r="KXP1" s="17" t="s">
        <v>7573</v>
      </c>
      <c r="KXQ1" s="17" t="s">
        <v>7574</v>
      </c>
      <c r="KXR1" s="17" t="s">
        <v>7575</v>
      </c>
      <c r="KXS1" s="17" t="s">
        <v>7576</v>
      </c>
      <c r="KXT1" s="17" t="s">
        <v>7577</v>
      </c>
      <c r="KXU1" s="17" t="s">
        <v>7578</v>
      </c>
      <c r="KXV1" s="17" t="s">
        <v>7579</v>
      </c>
      <c r="KXW1" s="17" t="s">
        <v>7580</v>
      </c>
      <c r="KXX1" s="17" t="s">
        <v>7581</v>
      </c>
      <c r="KXY1" s="17" t="s">
        <v>7582</v>
      </c>
      <c r="KXZ1" s="17" t="s">
        <v>7583</v>
      </c>
      <c r="KYA1" s="17" t="s">
        <v>7584</v>
      </c>
      <c r="KYB1" s="17" t="s">
        <v>7585</v>
      </c>
      <c r="KYC1" s="17" t="s">
        <v>7586</v>
      </c>
      <c r="KYD1" s="17" t="s">
        <v>7587</v>
      </c>
      <c r="KYE1" s="17" t="s">
        <v>7588</v>
      </c>
      <c r="KYF1" s="17" t="s">
        <v>7589</v>
      </c>
      <c r="KYG1" s="17" t="s">
        <v>7590</v>
      </c>
      <c r="KYH1" s="17" t="s">
        <v>7591</v>
      </c>
      <c r="KYI1" s="17" t="s">
        <v>7592</v>
      </c>
      <c r="KYJ1" s="17" t="s">
        <v>7593</v>
      </c>
      <c r="KYK1" s="17" t="s">
        <v>7594</v>
      </c>
      <c r="KYL1" s="17" t="s">
        <v>7595</v>
      </c>
      <c r="KYM1" s="17" t="s">
        <v>7596</v>
      </c>
      <c r="KYN1" s="17" t="s">
        <v>7597</v>
      </c>
      <c r="KYO1" s="17" t="s">
        <v>7598</v>
      </c>
      <c r="KYP1" s="17" t="s">
        <v>7599</v>
      </c>
      <c r="KYQ1" s="17" t="s">
        <v>7600</v>
      </c>
      <c r="KYR1" s="17" t="s">
        <v>7601</v>
      </c>
      <c r="KYS1" s="17" t="s">
        <v>7602</v>
      </c>
      <c r="KYT1" s="17" t="s">
        <v>7603</v>
      </c>
      <c r="KYU1" s="17" t="s">
        <v>7604</v>
      </c>
      <c r="KYV1" s="17" t="s">
        <v>7605</v>
      </c>
      <c r="KYW1" s="17" t="s">
        <v>7606</v>
      </c>
      <c r="KYX1" s="17" t="s">
        <v>7607</v>
      </c>
      <c r="KYY1" s="17" t="s">
        <v>7608</v>
      </c>
      <c r="KYZ1" s="17" t="s">
        <v>7609</v>
      </c>
      <c r="KZA1" s="17" t="s">
        <v>7610</v>
      </c>
      <c r="KZB1" s="17" t="s">
        <v>7611</v>
      </c>
      <c r="KZC1" s="17" t="s">
        <v>7612</v>
      </c>
      <c r="KZD1" s="17" t="s">
        <v>7613</v>
      </c>
      <c r="KZE1" s="17" t="s">
        <v>7614</v>
      </c>
      <c r="KZF1" s="17" t="s">
        <v>7615</v>
      </c>
      <c r="KZG1" s="17" t="s">
        <v>7616</v>
      </c>
      <c r="KZH1" s="17" t="s">
        <v>7617</v>
      </c>
      <c r="KZI1" s="17" t="s">
        <v>7618</v>
      </c>
      <c r="KZJ1" s="17" t="s">
        <v>7619</v>
      </c>
      <c r="KZK1" s="17" t="s">
        <v>7620</v>
      </c>
      <c r="KZL1" s="17" t="s">
        <v>7621</v>
      </c>
      <c r="KZM1" s="17" t="s">
        <v>7622</v>
      </c>
      <c r="KZN1" s="17" t="s">
        <v>7623</v>
      </c>
      <c r="KZO1" s="17" t="s">
        <v>7624</v>
      </c>
      <c r="KZP1" s="17" t="s">
        <v>7625</v>
      </c>
      <c r="KZQ1" s="17" t="s">
        <v>7626</v>
      </c>
      <c r="KZR1" s="17" t="s">
        <v>7627</v>
      </c>
      <c r="KZS1" s="17" t="s">
        <v>7628</v>
      </c>
      <c r="KZT1" s="17" t="s">
        <v>7629</v>
      </c>
      <c r="KZU1" s="17" t="s">
        <v>7630</v>
      </c>
      <c r="KZV1" s="17" t="s">
        <v>7631</v>
      </c>
      <c r="KZW1" s="17" t="s">
        <v>7632</v>
      </c>
      <c r="KZX1" s="17" t="s">
        <v>7633</v>
      </c>
      <c r="KZY1" s="17" t="s">
        <v>7634</v>
      </c>
      <c r="KZZ1" s="17" t="s">
        <v>7635</v>
      </c>
      <c r="LAA1" s="17" t="s">
        <v>7636</v>
      </c>
      <c r="LAB1" s="17" t="s">
        <v>7637</v>
      </c>
      <c r="LAC1" s="17" t="s">
        <v>7638</v>
      </c>
      <c r="LAD1" s="17" t="s">
        <v>7639</v>
      </c>
      <c r="LAE1" s="17" t="s">
        <v>7640</v>
      </c>
      <c r="LAF1" s="17" t="s">
        <v>7641</v>
      </c>
      <c r="LAG1" s="17" t="s">
        <v>7642</v>
      </c>
      <c r="LAH1" s="17" t="s">
        <v>7643</v>
      </c>
      <c r="LAI1" s="17" t="s">
        <v>7644</v>
      </c>
      <c r="LAJ1" s="17" t="s">
        <v>7645</v>
      </c>
      <c r="LAK1" s="17" t="s">
        <v>7646</v>
      </c>
      <c r="LAL1" s="17" t="s">
        <v>7647</v>
      </c>
      <c r="LAM1" s="17" t="s">
        <v>7648</v>
      </c>
      <c r="LAN1" s="17" t="s">
        <v>7649</v>
      </c>
      <c r="LAO1" s="17" t="s">
        <v>7650</v>
      </c>
      <c r="LAP1" s="17" t="s">
        <v>7651</v>
      </c>
      <c r="LAQ1" s="17" t="s">
        <v>7652</v>
      </c>
      <c r="LAR1" s="17" t="s">
        <v>7653</v>
      </c>
      <c r="LAS1" s="17" t="s">
        <v>7654</v>
      </c>
      <c r="LAT1" s="17" t="s">
        <v>7655</v>
      </c>
      <c r="LAU1" s="17" t="s">
        <v>7656</v>
      </c>
      <c r="LAV1" s="17" t="s">
        <v>7657</v>
      </c>
      <c r="LAW1" s="17" t="s">
        <v>7658</v>
      </c>
      <c r="LAX1" s="17" t="s">
        <v>7659</v>
      </c>
      <c r="LAY1" s="17" t="s">
        <v>7660</v>
      </c>
      <c r="LAZ1" s="17" t="s">
        <v>7661</v>
      </c>
      <c r="LBA1" s="17" t="s">
        <v>7662</v>
      </c>
      <c r="LBB1" s="17" t="s">
        <v>7663</v>
      </c>
      <c r="LBC1" s="17" t="s">
        <v>7664</v>
      </c>
      <c r="LBD1" s="17" t="s">
        <v>7665</v>
      </c>
      <c r="LBE1" s="17" t="s">
        <v>7666</v>
      </c>
      <c r="LBF1" s="17" t="s">
        <v>7667</v>
      </c>
      <c r="LBG1" s="17" t="s">
        <v>7668</v>
      </c>
      <c r="LBH1" s="17" t="s">
        <v>7669</v>
      </c>
      <c r="LBI1" s="17" t="s">
        <v>7670</v>
      </c>
      <c r="LBJ1" s="17" t="s">
        <v>7671</v>
      </c>
      <c r="LBK1" s="17" t="s">
        <v>7672</v>
      </c>
      <c r="LBL1" s="17" t="s">
        <v>7673</v>
      </c>
      <c r="LBM1" s="17" t="s">
        <v>7674</v>
      </c>
      <c r="LBN1" s="17" t="s">
        <v>7675</v>
      </c>
      <c r="LBO1" s="17" t="s">
        <v>7676</v>
      </c>
      <c r="LBP1" s="17" t="s">
        <v>7677</v>
      </c>
      <c r="LBQ1" s="17" t="s">
        <v>7678</v>
      </c>
      <c r="LBR1" s="17" t="s">
        <v>7679</v>
      </c>
      <c r="LBS1" s="17" t="s">
        <v>7680</v>
      </c>
      <c r="LBT1" s="17" t="s">
        <v>7681</v>
      </c>
      <c r="LBU1" s="17" t="s">
        <v>7682</v>
      </c>
      <c r="LBV1" s="17" t="s">
        <v>7683</v>
      </c>
      <c r="LBW1" s="17" t="s">
        <v>7684</v>
      </c>
      <c r="LBX1" s="17" t="s">
        <v>7685</v>
      </c>
      <c r="LBY1" s="17" t="s">
        <v>7686</v>
      </c>
      <c r="LBZ1" s="17" t="s">
        <v>7687</v>
      </c>
      <c r="LCA1" s="17" t="s">
        <v>7688</v>
      </c>
      <c r="LCB1" s="17" t="s">
        <v>7689</v>
      </c>
      <c r="LCC1" s="17" t="s">
        <v>7690</v>
      </c>
      <c r="LCD1" s="17" t="s">
        <v>7691</v>
      </c>
      <c r="LCE1" s="17" t="s">
        <v>7692</v>
      </c>
      <c r="LCF1" s="17" t="s">
        <v>7693</v>
      </c>
      <c r="LCG1" s="17" t="s">
        <v>7694</v>
      </c>
      <c r="LCH1" s="17" t="s">
        <v>7695</v>
      </c>
      <c r="LCI1" s="17" t="s">
        <v>7696</v>
      </c>
      <c r="LCJ1" s="17" t="s">
        <v>7697</v>
      </c>
      <c r="LCK1" s="17" t="s">
        <v>7698</v>
      </c>
      <c r="LCL1" s="17" t="s">
        <v>7699</v>
      </c>
      <c r="LCM1" s="17" t="s">
        <v>7700</v>
      </c>
      <c r="LCN1" s="17" t="s">
        <v>7701</v>
      </c>
      <c r="LCO1" s="17" t="s">
        <v>7702</v>
      </c>
      <c r="LCP1" s="17" t="s">
        <v>7703</v>
      </c>
      <c r="LCQ1" s="17" t="s">
        <v>7704</v>
      </c>
      <c r="LCR1" s="17" t="s">
        <v>7705</v>
      </c>
      <c r="LCS1" s="17" t="s">
        <v>7706</v>
      </c>
      <c r="LCT1" s="17" t="s">
        <v>7707</v>
      </c>
      <c r="LCU1" s="17" t="s">
        <v>7708</v>
      </c>
      <c r="LCV1" s="17" t="s">
        <v>7709</v>
      </c>
      <c r="LCW1" s="17" t="s">
        <v>7710</v>
      </c>
      <c r="LCX1" s="17" t="s">
        <v>7711</v>
      </c>
      <c r="LCY1" s="17" t="s">
        <v>7712</v>
      </c>
      <c r="LCZ1" s="17" t="s">
        <v>7713</v>
      </c>
      <c r="LDA1" s="17" t="s">
        <v>7714</v>
      </c>
      <c r="LDB1" s="17" t="s">
        <v>7715</v>
      </c>
      <c r="LDC1" s="17" t="s">
        <v>7716</v>
      </c>
      <c r="LDD1" s="17" t="s">
        <v>7717</v>
      </c>
      <c r="LDE1" s="17" t="s">
        <v>7718</v>
      </c>
      <c r="LDF1" s="17" t="s">
        <v>7719</v>
      </c>
      <c r="LDG1" s="17" t="s">
        <v>7720</v>
      </c>
      <c r="LDH1" s="17" t="s">
        <v>7721</v>
      </c>
      <c r="LDI1" s="17" t="s">
        <v>7722</v>
      </c>
      <c r="LDJ1" s="17" t="s">
        <v>7723</v>
      </c>
      <c r="LDK1" s="17" t="s">
        <v>7724</v>
      </c>
      <c r="LDL1" s="17" t="s">
        <v>7725</v>
      </c>
      <c r="LDM1" s="17" t="s">
        <v>7726</v>
      </c>
      <c r="LDN1" s="17" t="s">
        <v>7727</v>
      </c>
      <c r="LDO1" s="17" t="s">
        <v>7728</v>
      </c>
      <c r="LDP1" s="17" t="s">
        <v>7729</v>
      </c>
      <c r="LDQ1" s="17" t="s">
        <v>7730</v>
      </c>
      <c r="LDR1" s="17" t="s">
        <v>7731</v>
      </c>
      <c r="LDS1" s="17" t="s">
        <v>7732</v>
      </c>
      <c r="LDT1" s="17" t="s">
        <v>7733</v>
      </c>
      <c r="LDU1" s="17" t="s">
        <v>7734</v>
      </c>
      <c r="LDV1" s="17" t="s">
        <v>7735</v>
      </c>
      <c r="LDW1" s="17" t="s">
        <v>7736</v>
      </c>
      <c r="LDX1" s="17" t="s">
        <v>7737</v>
      </c>
      <c r="LDY1" s="17" t="s">
        <v>7738</v>
      </c>
      <c r="LDZ1" s="17" t="s">
        <v>7739</v>
      </c>
      <c r="LEA1" s="17" t="s">
        <v>7740</v>
      </c>
      <c r="LEB1" s="17" t="s">
        <v>7741</v>
      </c>
      <c r="LEC1" s="17" t="s">
        <v>7742</v>
      </c>
      <c r="LED1" s="17" t="s">
        <v>7743</v>
      </c>
      <c r="LEE1" s="17" t="s">
        <v>7744</v>
      </c>
      <c r="LEF1" s="17" t="s">
        <v>7745</v>
      </c>
      <c r="LEG1" s="17" t="s">
        <v>7746</v>
      </c>
      <c r="LEH1" s="17" t="s">
        <v>7747</v>
      </c>
      <c r="LEI1" s="17" t="s">
        <v>7748</v>
      </c>
      <c r="LEJ1" s="17" t="s">
        <v>7749</v>
      </c>
      <c r="LEK1" s="17" t="s">
        <v>7750</v>
      </c>
      <c r="LEL1" s="17" t="s">
        <v>7751</v>
      </c>
      <c r="LEM1" s="17" t="s">
        <v>7752</v>
      </c>
      <c r="LEN1" s="17" t="s">
        <v>7753</v>
      </c>
      <c r="LEO1" s="17" t="s">
        <v>7754</v>
      </c>
      <c r="LEP1" s="17" t="s">
        <v>7755</v>
      </c>
      <c r="LEQ1" s="17" t="s">
        <v>7756</v>
      </c>
      <c r="LER1" s="17" t="s">
        <v>7757</v>
      </c>
      <c r="LES1" s="17" t="s">
        <v>7758</v>
      </c>
      <c r="LET1" s="17" t="s">
        <v>7759</v>
      </c>
      <c r="LEU1" s="17" t="s">
        <v>7760</v>
      </c>
      <c r="LEV1" s="17" t="s">
        <v>7761</v>
      </c>
      <c r="LEW1" s="17" t="s">
        <v>7762</v>
      </c>
      <c r="LEX1" s="17" t="s">
        <v>7763</v>
      </c>
      <c r="LEY1" s="17" t="s">
        <v>7764</v>
      </c>
      <c r="LEZ1" s="17" t="s">
        <v>7765</v>
      </c>
      <c r="LFA1" s="17" t="s">
        <v>7766</v>
      </c>
      <c r="LFB1" s="17" t="s">
        <v>7767</v>
      </c>
      <c r="LFC1" s="17" t="s">
        <v>7768</v>
      </c>
      <c r="LFD1" s="17" t="s">
        <v>7769</v>
      </c>
      <c r="LFE1" s="17" t="s">
        <v>7770</v>
      </c>
      <c r="LFF1" s="17" t="s">
        <v>7771</v>
      </c>
      <c r="LFG1" s="17" t="s">
        <v>7772</v>
      </c>
      <c r="LFH1" s="17" t="s">
        <v>7773</v>
      </c>
      <c r="LFI1" s="17" t="s">
        <v>7774</v>
      </c>
      <c r="LFJ1" s="17" t="s">
        <v>7775</v>
      </c>
      <c r="LFK1" s="17" t="s">
        <v>7776</v>
      </c>
      <c r="LFL1" s="17" t="s">
        <v>7777</v>
      </c>
      <c r="LFM1" s="17" t="s">
        <v>7778</v>
      </c>
      <c r="LFN1" s="17" t="s">
        <v>7779</v>
      </c>
      <c r="LFO1" s="17" t="s">
        <v>7780</v>
      </c>
      <c r="LFP1" s="17" t="s">
        <v>7781</v>
      </c>
      <c r="LFQ1" s="17" t="s">
        <v>7782</v>
      </c>
      <c r="LFR1" s="17" t="s">
        <v>7783</v>
      </c>
      <c r="LFS1" s="17" t="s">
        <v>7784</v>
      </c>
      <c r="LFT1" s="17" t="s">
        <v>7785</v>
      </c>
      <c r="LFU1" s="17" t="s">
        <v>7786</v>
      </c>
      <c r="LFV1" s="17" t="s">
        <v>7787</v>
      </c>
      <c r="LFW1" s="17" t="s">
        <v>7788</v>
      </c>
      <c r="LFX1" s="17" t="s">
        <v>7789</v>
      </c>
      <c r="LFY1" s="17" t="s">
        <v>7790</v>
      </c>
      <c r="LFZ1" s="17" t="s">
        <v>7791</v>
      </c>
      <c r="LGA1" s="17" t="s">
        <v>7792</v>
      </c>
      <c r="LGB1" s="17" t="s">
        <v>7793</v>
      </c>
      <c r="LGC1" s="17" t="s">
        <v>7794</v>
      </c>
      <c r="LGD1" s="17" t="s">
        <v>7795</v>
      </c>
      <c r="LGE1" s="17" t="s">
        <v>7796</v>
      </c>
      <c r="LGF1" s="17" t="s">
        <v>7797</v>
      </c>
      <c r="LGG1" s="17" t="s">
        <v>7798</v>
      </c>
      <c r="LGH1" s="17" t="s">
        <v>7799</v>
      </c>
      <c r="LGI1" s="17" t="s">
        <v>7800</v>
      </c>
      <c r="LGJ1" s="17" t="s">
        <v>7801</v>
      </c>
      <c r="LGK1" s="17" t="s">
        <v>7802</v>
      </c>
      <c r="LGL1" s="17" t="s">
        <v>7803</v>
      </c>
      <c r="LGM1" s="17" t="s">
        <v>7804</v>
      </c>
      <c r="LGN1" s="17" t="s">
        <v>7805</v>
      </c>
      <c r="LGO1" s="17" t="s">
        <v>7806</v>
      </c>
      <c r="LGP1" s="17" t="s">
        <v>7807</v>
      </c>
      <c r="LGQ1" s="17" t="s">
        <v>7808</v>
      </c>
      <c r="LGR1" s="17" t="s">
        <v>7809</v>
      </c>
      <c r="LGS1" s="17" t="s">
        <v>7810</v>
      </c>
      <c r="LGT1" s="17" t="s">
        <v>7811</v>
      </c>
      <c r="LGU1" s="17" t="s">
        <v>7812</v>
      </c>
      <c r="LGV1" s="17" t="s">
        <v>7813</v>
      </c>
      <c r="LGW1" s="17" t="s">
        <v>7814</v>
      </c>
      <c r="LGX1" s="17" t="s">
        <v>7815</v>
      </c>
      <c r="LGY1" s="17" t="s">
        <v>7816</v>
      </c>
      <c r="LGZ1" s="17" t="s">
        <v>7817</v>
      </c>
      <c r="LHA1" s="17" t="s">
        <v>7818</v>
      </c>
      <c r="LHB1" s="17" t="s">
        <v>7819</v>
      </c>
      <c r="LHC1" s="17" t="s">
        <v>7820</v>
      </c>
      <c r="LHD1" s="17" t="s">
        <v>7821</v>
      </c>
      <c r="LHE1" s="17" t="s">
        <v>7822</v>
      </c>
      <c r="LHF1" s="17" t="s">
        <v>7823</v>
      </c>
      <c r="LHG1" s="17" t="s">
        <v>7824</v>
      </c>
      <c r="LHH1" s="17" t="s">
        <v>7825</v>
      </c>
      <c r="LHI1" s="17" t="s">
        <v>7826</v>
      </c>
      <c r="LHJ1" s="17" t="s">
        <v>7827</v>
      </c>
      <c r="LHK1" s="17" t="s">
        <v>7828</v>
      </c>
      <c r="LHL1" s="17" t="s">
        <v>7829</v>
      </c>
      <c r="LHM1" s="17" t="s">
        <v>7830</v>
      </c>
      <c r="LHN1" s="17" t="s">
        <v>7831</v>
      </c>
      <c r="LHO1" s="17" t="s">
        <v>7832</v>
      </c>
      <c r="LHP1" s="17" t="s">
        <v>7833</v>
      </c>
      <c r="LHQ1" s="17" t="s">
        <v>7834</v>
      </c>
      <c r="LHR1" s="17" t="s">
        <v>7835</v>
      </c>
      <c r="LHS1" s="17" t="s">
        <v>7836</v>
      </c>
      <c r="LHT1" s="17" t="s">
        <v>7837</v>
      </c>
      <c r="LHU1" s="17" t="s">
        <v>7838</v>
      </c>
      <c r="LHV1" s="17" t="s">
        <v>7839</v>
      </c>
      <c r="LHW1" s="17" t="s">
        <v>7840</v>
      </c>
      <c r="LHX1" s="17" t="s">
        <v>7841</v>
      </c>
      <c r="LHY1" s="17" t="s">
        <v>7842</v>
      </c>
      <c r="LHZ1" s="17" t="s">
        <v>7843</v>
      </c>
      <c r="LIA1" s="17" t="s">
        <v>7844</v>
      </c>
      <c r="LIB1" s="17" t="s">
        <v>7845</v>
      </c>
      <c r="LIC1" s="17" t="s">
        <v>7846</v>
      </c>
      <c r="LID1" s="17" t="s">
        <v>7847</v>
      </c>
      <c r="LIE1" s="17" t="s">
        <v>7848</v>
      </c>
      <c r="LIF1" s="17" t="s">
        <v>7849</v>
      </c>
      <c r="LIG1" s="17" t="s">
        <v>7850</v>
      </c>
      <c r="LIH1" s="17" t="s">
        <v>7851</v>
      </c>
      <c r="LII1" s="17" t="s">
        <v>7852</v>
      </c>
      <c r="LIJ1" s="17" t="s">
        <v>7853</v>
      </c>
      <c r="LIK1" s="17" t="s">
        <v>7854</v>
      </c>
      <c r="LIL1" s="17" t="s">
        <v>7855</v>
      </c>
      <c r="LIM1" s="17" t="s">
        <v>7856</v>
      </c>
      <c r="LIN1" s="17" t="s">
        <v>7857</v>
      </c>
      <c r="LIO1" s="17" t="s">
        <v>7858</v>
      </c>
      <c r="LIP1" s="17" t="s">
        <v>7859</v>
      </c>
      <c r="LIQ1" s="17" t="s">
        <v>7860</v>
      </c>
      <c r="LIR1" s="17" t="s">
        <v>7861</v>
      </c>
      <c r="LIS1" s="17" t="s">
        <v>7862</v>
      </c>
      <c r="LIT1" s="17" t="s">
        <v>7863</v>
      </c>
      <c r="LIU1" s="17" t="s">
        <v>7864</v>
      </c>
      <c r="LIV1" s="17" t="s">
        <v>7865</v>
      </c>
      <c r="LIW1" s="17" t="s">
        <v>7866</v>
      </c>
      <c r="LIX1" s="17" t="s">
        <v>7867</v>
      </c>
      <c r="LIY1" s="17" t="s">
        <v>7868</v>
      </c>
      <c r="LIZ1" s="17" t="s">
        <v>7869</v>
      </c>
      <c r="LJA1" s="17" t="s">
        <v>7870</v>
      </c>
      <c r="LJB1" s="17" t="s">
        <v>7871</v>
      </c>
      <c r="LJC1" s="17" t="s">
        <v>7872</v>
      </c>
      <c r="LJD1" s="17" t="s">
        <v>7873</v>
      </c>
      <c r="LJE1" s="17" t="s">
        <v>7874</v>
      </c>
      <c r="LJF1" s="17" t="s">
        <v>7875</v>
      </c>
      <c r="LJG1" s="17" t="s">
        <v>7876</v>
      </c>
      <c r="LJH1" s="17" t="s">
        <v>7877</v>
      </c>
      <c r="LJI1" s="17" t="s">
        <v>7878</v>
      </c>
      <c r="LJJ1" s="17" t="s">
        <v>7879</v>
      </c>
      <c r="LJK1" s="17" t="s">
        <v>7880</v>
      </c>
      <c r="LJL1" s="17" t="s">
        <v>7881</v>
      </c>
      <c r="LJM1" s="17" t="s">
        <v>7882</v>
      </c>
      <c r="LJN1" s="17" t="s">
        <v>7883</v>
      </c>
      <c r="LJO1" s="17" t="s">
        <v>7884</v>
      </c>
      <c r="LJP1" s="17" t="s">
        <v>7885</v>
      </c>
      <c r="LJQ1" s="17" t="s">
        <v>7886</v>
      </c>
      <c r="LJR1" s="17" t="s">
        <v>7887</v>
      </c>
      <c r="LJS1" s="17" t="s">
        <v>7888</v>
      </c>
      <c r="LJT1" s="17" t="s">
        <v>7889</v>
      </c>
      <c r="LJU1" s="17" t="s">
        <v>7890</v>
      </c>
      <c r="LJV1" s="17" t="s">
        <v>7891</v>
      </c>
      <c r="LJW1" s="17" t="s">
        <v>7892</v>
      </c>
      <c r="LJX1" s="17" t="s">
        <v>7893</v>
      </c>
      <c r="LJY1" s="17" t="s">
        <v>7894</v>
      </c>
      <c r="LJZ1" s="17" t="s">
        <v>7895</v>
      </c>
      <c r="LKA1" s="17" t="s">
        <v>7896</v>
      </c>
      <c r="LKB1" s="17" t="s">
        <v>7897</v>
      </c>
      <c r="LKC1" s="17" t="s">
        <v>7898</v>
      </c>
      <c r="LKD1" s="17" t="s">
        <v>7899</v>
      </c>
      <c r="LKE1" s="17" t="s">
        <v>7900</v>
      </c>
      <c r="LKF1" s="17" t="s">
        <v>7901</v>
      </c>
      <c r="LKG1" s="17" t="s">
        <v>7902</v>
      </c>
      <c r="LKH1" s="17" t="s">
        <v>7903</v>
      </c>
      <c r="LKI1" s="17" t="s">
        <v>7904</v>
      </c>
      <c r="LKJ1" s="17" t="s">
        <v>7905</v>
      </c>
      <c r="LKK1" s="17" t="s">
        <v>7906</v>
      </c>
      <c r="LKL1" s="17" t="s">
        <v>7907</v>
      </c>
      <c r="LKM1" s="17" t="s">
        <v>7908</v>
      </c>
      <c r="LKN1" s="17" t="s">
        <v>7909</v>
      </c>
      <c r="LKO1" s="17" t="s">
        <v>7910</v>
      </c>
      <c r="LKP1" s="17" t="s">
        <v>7911</v>
      </c>
      <c r="LKQ1" s="17" t="s">
        <v>7912</v>
      </c>
      <c r="LKR1" s="17" t="s">
        <v>7913</v>
      </c>
      <c r="LKS1" s="17" t="s">
        <v>7914</v>
      </c>
      <c r="LKT1" s="17" t="s">
        <v>7915</v>
      </c>
      <c r="LKU1" s="17" t="s">
        <v>7916</v>
      </c>
      <c r="LKV1" s="17" t="s">
        <v>7917</v>
      </c>
      <c r="LKW1" s="17" t="s">
        <v>7918</v>
      </c>
      <c r="LKX1" s="17" t="s">
        <v>7919</v>
      </c>
      <c r="LKY1" s="17" t="s">
        <v>7920</v>
      </c>
      <c r="LKZ1" s="17" t="s">
        <v>7921</v>
      </c>
      <c r="LLA1" s="17" t="s">
        <v>7922</v>
      </c>
      <c r="LLB1" s="17" t="s">
        <v>7923</v>
      </c>
      <c r="LLC1" s="17" t="s">
        <v>7924</v>
      </c>
      <c r="LLD1" s="17" t="s">
        <v>7925</v>
      </c>
      <c r="LLE1" s="17" t="s">
        <v>7926</v>
      </c>
      <c r="LLF1" s="17" t="s">
        <v>7927</v>
      </c>
      <c r="LLG1" s="17" t="s">
        <v>7928</v>
      </c>
      <c r="LLH1" s="17" t="s">
        <v>7929</v>
      </c>
      <c r="LLI1" s="17" t="s">
        <v>7930</v>
      </c>
      <c r="LLJ1" s="17" t="s">
        <v>7931</v>
      </c>
      <c r="LLK1" s="17" t="s">
        <v>7932</v>
      </c>
      <c r="LLL1" s="17" t="s">
        <v>7933</v>
      </c>
      <c r="LLM1" s="17" t="s">
        <v>7934</v>
      </c>
      <c r="LLN1" s="17" t="s">
        <v>7935</v>
      </c>
      <c r="LLO1" s="17" t="s">
        <v>7936</v>
      </c>
      <c r="LLP1" s="17" t="s">
        <v>7937</v>
      </c>
      <c r="LLQ1" s="17" t="s">
        <v>7938</v>
      </c>
      <c r="LLR1" s="17" t="s">
        <v>7939</v>
      </c>
      <c r="LLS1" s="17" t="s">
        <v>7940</v>
      </c>
      <c r="LLT1" s="17" t="s">
        <v>7941</v>
      </c>
      <c r="LLU1" s="17" t="s">
        <v>7942</v>
      </c>
      <c r="LLV1" s="17" t="s">
        <v>7943</v>
      </c>
      <c r="LLW1" s="17" t="s">
        <v>7944</v>
      </c>
      <c r="LLX1" s="17" t="s">
        <v>7945</v>
      </c>
      <c r="LLY1" s="17" t="s">
        <v>7946</v>
      </c>
      <c r="LLZ1" s="17" t="s">
        <v>7947</v>
      </c>
      <c r="LMA1" s="17" t="s">
        <v>7948</v>
      </c>
      <c r="LMB1" s="17" t="s">
        <v>7949</v>
      </c>
      <c r="LMC1" s="17" t="s">
        <v>7950</v>
      </c>
      <c r="LMD1" s="17" t="s">
        <v>7951</v>
      </c>
      <c r="LME1" s="17" t="s">
        <v>7952</v>
      </c>
      <c r="LMF1" s="17" t="s">
        <v>7953</v>
      </c>
      <c r="LMG1" s="17" t="s">
        <v>7954</v>
      </c>
      <c r="LMH1" s="17" t="s">
        <v>7955</v>
      </c>
      <c r="LMI1" s="17" t="s">
        <v>7956</v>
      </c>
      <c r="LMJ1" s="17" t="s">
        <v>7957</v>
      </c>
      <c r="LMK1" s="17" t="s">
        <v>7958</v>
      </c>
      <c r="LML1" s="17" t="s">
        <v>7959</v>
      </c>
      <c r="LMM1" s="17" t="s">
        <v>7960</v>
      </c>
      <c r="LMN1" s="17" t="s">
        <v>7961</v>
      </c>
      <c r="LMO1" s="17" t="s">
        <v>7962</v>
      </c>
      <c r="LMP1" s="17" t="s">
        <v>7963</v>
      </c>
      <c r="LMQ1" s="17" t="s">
        <v>7964</v>
      </c>
      <c r="LMR1" s="17" t="s">
        <v>7965</v>
      </c>
      <c r="LMS1" s="17" t="s">
        <v>7966</v>
      </c>
      <c r="LMT1" s="17" t="s">
        <v>7967</v>
      </c>
      <c r="LMU1" s="17" t="s">
        <v>7968</v>
      </c>
      <c r="LMV1" s="17" t="s">
        <v>7969</v>
      </c>
      <c r="LMW1" s="17" t="s">
        <v>7970</v>
      </c>
      <c r="LMX1" s="17" t="s">
        <v>7971</v>
      </c>
      <c r="LMY1" s="17" t="s">
        <v>7972</v>
      </c>
      <c r="LMZ1" s="17" t="s">
        <v>7973</v>
      </c>
      <c r="LNA1" s="17" t="s">
        <v>7974</v>
      </c>
      <c r="LNB1" s="17" t="s">
        <v>7975</v>
      </c>
      <c r="LNC1" s="17" t="s">
        <v>7976</v>
      </c>
      <c r="LND1" s="17" t="s">
        <v>7977</v>
      </c>
      <c r="LNE1" s="17" t="s">
        <v>7978</v>
      </c>
      <c r="LNF1" s="17" t="s">
        <v>7979</v>
      </c>
      <c r="LNG1" s="17" t="s">
        <v>7980</v>
      </c>
      <c r="LNH1" s="17" t="s">
        <v>7981</v>
      </c>
      <c r="LNI1" s="17" t="s">
        <v>7982</v>
      </c>
      <c r="LNJ1" s="17" t="s">
        <v>7983</v>
      </c>
      <c r="LNK1" s="17" t="s">
        <v>7984</v>
      </c>
      <c r="LNL1" s="17" t="s">
        <v>7985</v>
      </c>
      <c r="LNM1" s="17" t="s">
        <v>7986</v>
      </c>
      <c r="LNN1" s="17" t="s">
        <v>7987</v>
      </c>
      <c r="LNO1" s="17" t="s">
        <v>7988</v>
      </c>
      <c r="LNP1" s="17" t="s">
        <v>7989</v>
      </c>
      <c r="LNQ1" s="17" t="s">
        <v>7990</v>
      </c>
      <c r="LNR1" s="17" t="s">
        <v>7991</v>
      </c>
      <c r="LNS1" s="17" t="s">
        <v>7992</v>
      </c>
      <c r="LNT1" s="17" t="s">
        <v>7993</v>
      </c>
      <c r="LNU1" s="17" t="s">
        <v>7994</v>
      </c>
      <c r="LNV1" s="17" t="s">
        <v>7995</v>
      </c>
      <c r="LNW1" s="17" t="s">
        <v>7996</v>
      </c>
      <c r="LNX1" s="17" t="s">
        <v>7997</v>
      </c>
      <c r="LNY1" s="17" t="s">
        <v>7998</v>
      </c>
      <c r="LNZ1" s="17" t="s">
        <v>7999</v>
      </c>
      <c r="LOA1" s="17" t="s">
        <v>8000</v>
      </c>
      <c r="LOB1" s="17" t="s">
        <v>8001</v>
      </c>
      <c r="LOC1" s="17" t="s">
        <v>8002</v>
      </c>
      <c r="LOD1" s="17" t="s">
        <v>8003</v>
      </c>
      <c r="LOE1" s="17" t="s">
        <v>8004</v>
      </c>
      <c r="LOF1" s="17" t="s">
        <v>8005</v>
      </c>
      <c r="LOG1" s="17" t="s">
        <v>8006</v>
      </c>
      <c r="LOH1" s="17" t="s">
        <v>8007</v>
      </c>
      <c r="LOI1" s="17" t="s">
        <v>8008</v>
      </c>
      <c r="LOJ1" s="17" t="s">
        <v>8009</v>
      </c>
      <c r="LOK1" s="17" t="s">
        <v>8010</v>
      </c>
      <c r="LOL1" s="17" t="s">
        <v>8011</v>
      </c>
      <c r="LOM1" s="17" t="s">
        <v>8012</v>
      </c>
      <c r="LON1" s="17" t="s">
        <v>8013</v>
      </c>
      <c r="LOO1" s="17" t="s">
        <v>8014</v>
      </c>
      <c r="LOP1" s="17" t="s">
        <v>8015</v>
      </c>
      <c r="LOQ1" s="17" t="s">
        <v>8016</v>
      </c>
      <c r="LOR1" s="17" t="s">
        <v>8017</v>
      </c>
      <c r="LOS1" s="17" t="s">
        <v>8018</v>
      </c>
      <c r="LOT1" s="17" t="s">
        <v>8019</v>
      </c>
      <c r="LOU1" s="17" t="s">
        <v>8020</v>
      </c>
      <c r="LOV1" s="17" t="s">
        <v>8021</v>
      </c>
      <c r="LOW1" s="17" t="s">
        <v>8022</v>
      </c>
      <c r="LOX1" s="17" t="s">
        <v>8023</v>
      </c>
      <c r="LOY1" s="17" t="s">
        <v>8024</v>
      </c>
      <c r="LOZ1" s="17" t="s">
        <v>8025</v>
      </c>
      <c r="LPA1" s="17" t="s">
        <v>8026</v>
      </c>
      <c r="LPB1" s="17" t="s">
        <v>8027</v>
      </c>
      <c r="LPC1" s="17" t="s">
        <v>8028</v>
      </c>
      <c r="LPD1" s="17" t="s">
        <v>8029</v>
      </c>
      <c r="LPE1" s="17" t="s">
        <v>8030</v>
      </c>
      <c r="LPF1" s="17" t="s">
        <v>8031</v>
      </c>
      <c r="LPG1" s="17" t="s">
        <v>8032</v>
      </c>
      <c r="LPH1" s="17" t="s">
        <v>8033</v>
      </c>
      <c r="LPI1" s="17" t="s">
        <v>8034</v>
      </c>
      <c r="LPJ1" s="17" t="s">
        <v>8035</v>
      </c>
      <c r="LPK1" s="17" t="s">
        <v>8036</v>
      </c>
      <c r="LPL1" s="17" t="s">
        <v>8037</v>
      </c>
      <c r="LPM1" s="17" t="s">
        <v>8038</v>
      </c>
      <c r="LPN1" s="17" t="s">
        <v>8039</v>
      </c>
      <c r="LPO1" s="17" t="s">
        <v>8040</v>
      </c>
      <c r="LPP1" s="17" t="s">
        <v>8041</v>
      </c>
      <c r="LPQ1" s="17" t="s">
        <v>8042</v>
      </c>
      <c r="LPR1" s="17" t="s">
        <v>8043</v>
      </c>
      <c r="LPS1" s="17" t="s">
        <v>8044</v>
      </c>
      <c r="LPT1" s="17" t="s">
        <v>8045</v>
      </c>
      <c r="LPU1" s="17" t="s">
        <v>8046</v>
      </c>
      <c r="LPV1" s="17" t="s">
        <v>8047</v>
      </c>
      <c r="LPW1" s="17" t="s">
        <v>8048</v>
      </c>
      <c r="LPX1" s="17" t="s">
        <v>8049</v>
      </c>
      <c r="LPY1" s="17" t="s">
        <v>8050</v>
      </c>
      <c r="LPZ1" s="17" t="s">
        <v>8051</v>
      </c>
      <c r="LQA1" s="17" t="s">
        <v>8052</v>
      </c>
      <c r="LQB1" s="17" t="s">
        <v>8053</v>
      </c>
      <c r="LQC1" s="17" t="s">
        <v>8054</v>
      </c>
      <c r="LQD1" s="17" t="s">
        <v>8055</v>
      </c>
      <c r="LQE1" s="17" t="s">
        <v>8056</v>
      </c>
      <c r="LQF1" s="17" t="s">
        <v>8057</v>
      </c>
      <c r="LQG1" s="17" t="s">
        <v>8058</v>
      </c>
      <c r="LQH1" s="17" t="s">
        <v>8059</v>
      </c>
      <c r="LQI1" s="17" t="s">
        <v>8060</v>
      </c>
      <c r="LQJ1" s="17" t="s">
        <v>8061</v>
      </c>
      <c r="LQK1" s="17" t="s">
        <v>8062</v>
      </c>
      <c r="LQL1" s="17" t="s">
        <v>8063</v>
      </c>
      <c r="LQM1" s="17" t="s">
        <v>8064</v>
      </c>
      <c r="LQN1" s="17" t="s">
        <v>8065</v>
      </c>
      <c r="LQO1" s="17" t="s">
        <v>8066</v>
      </c>
      <c r="LQP1" s="17" t="s">
        <v>8067</v>
      </c>
      <c r="LQQ1" s="17" t="s">
        <v>8068</v>
      </c>
      <c r="LQR1" s="17" t="s">
        <v>8069</v>
      </c>
      <c r="LQS1" s="17" t="s">
        <v>8070</v>
      </c>
      <c r="LQT1" s="17" t="s">
        <v>8071</v>
      </c>
      <c r="LQU1" s="17" t="s">
        <v>8072</v>
      </c>
      <c r="LQV1" s="17" t="s">
        <v>8073</v>
      </c>
      <c r="LQW1" s="17" t="s">
        <v>8074</v>
      </c>
      <c r="LQX1" s="17" t="s">
        <v>8075</v>
      </c>
      <c r="LQY1" s="17" t="s">
        <v>8076</v>
      </c>
      <c r="LQZ1" s="17" t="s">
        <v>8077</v>
      </c>
      <c r="LRA1" s="17" t="s">
        <v>8078</v>
      </c>
      <c r="LRB1" s="17" t="s">
        <v>8079</v>
      </c>
      <c r="LRC1" s="17" t="s">
        <v>8080</v>
      </c>
      <c r="LRD1" s="17" t="s">
        <v>8081</v>
      </c>
      <c r="LRE1" s="17" t="s">
        <v>8082</v>
      </c>
      <c r="LRF1" s="17" t="s">
        <v>8083</v>
      </c>
      <c r="LRG1" s="17" t="s">
        <v>8084</v>
      </c>
      <c r="LRH1" s="17" t="s">
        <v>8085</v>
      </c>
      <c r="LRI1" s="17" t="s">
        <v>8086</v>
      </c>
      <c r="LRJ1" s="17" t="s">
        <v>8087</v>
      </c>
      <c r="LRK1" s="17" t="s">
        <v>8088</v>
      </c>
      <c r="LRL1" s="17" t="s">
        <v>8089</v>
      </c>
      <c r="LRM1" s="17" t="s">
        <v>8090</v>
      </c>
      <c r="LRN1" s="17" t="s">
        <v>8091</v>
      </c>
      <c r="LRO1" s="17" t="s">
        <v>8092</v>
      </c>
      <c r="LRP1" s="17" t="s">
        <v>8093</v>
      </c>
      <c r="LRQ1" s="17" t="s">
        <v>8094</v>
      </c>
      <c r="LRR1" s="17" t="s">
        <v>8095</v>
      </c>
      <c r="LRS1" s="17" t="s">
        <v>8096</v>
      </c>
      <c r="LRT1" s="17" t="s">
        <v>8097</v>
      </c>
      <c r="LRU1" s="17" t="s">
        <v>8098</v>
      </c>
      <c r="LRV1" s="17" t="s">
        <v>8099</v>
      </c>
      <c r="LRW1" s="17" t="s">
        <v>8100</v>
      </c>
      <c r="LRX1" s="17" t="s">
        <v>8101</v>
      </c>
      <c r="LRY1" s="17" t="s">
        <v>8102</v>
      </c>
      <c r="LRZ1" s="17" t="s">
        <v>8103</v>
      </c>
      <c r="LSA1" s="17" t="s">
        <v>8104</v>
      </c>
      <c r="LSB1" s="17" t="s">
        <v>8105</v>
      </c>
      <c r="LSC1" s="17" t="s">
        <v>8106</v>
      </c>
      <c r="LSD1" s="17" t="s">
        <v>8107</v>
      </c>
      <c r="LSE1" s="17" t="s">
        <v>8108</v>
      </c>
      <c r="LSF1" s="17" t="s">
        <v>8109</v>
      </c>
      <c r="LSG1" s="17" t="s">
        <v>8110</v>
      </c>
      <c r="LSH1" s="17" t="s">
        <v>8111</v>
      </c>
      <c r="LSI1" s="17" t="s">
        <v>8112</v>
      </c>
      <c r="LSJ1" s="17" t="s">
        <v>8113</v>
      </c>
      <c r="LSK1" s="17" t="s">
        <v>8114</v>
      </c>
      <c r="LSL1" s="17" t="s">
        <v>8115</v>
      </c>
      <c r="LSM1" s="17" t="s">
        <v>8116</v>
      </c>
      <c r="LSN1" s="17" t="s">
        <v>8117</v>
      </c>
      <c r="LSO1" s="17" t="s">
        <v>8118</v>
      </c>
      <c r="LSP1" s="17" t="s">
        <v>8119</v>
      </c>
      <c r="LSQ1" s="17" t="s">
        <v>8120</v>
      </c>
      <c r="LSR1" s="17" t="s">
        <v>8121</v>
      </c>
      <c r="LSS1" s="17" t="s">
        <v>8122</v>
      </c>
      <c r="LST1" s="17" t="s">
        <v>8123</v>
      </c>
      <c r="LSU1" s="17" t="s">
        <v>8124</v>
      </c>
      <c r="LSV1" s="17" t="s">
        <v>8125</v>
      </c>
      <c r="LSW1" s="17" t="s">
        <v>8126</v>
      </c>
      <c r="LSX1" s="17" t="s">
        <v>8127</v>
      </c>
      <c r="LSY1" s="17" t="s">
        <v>8128</v>
      </c>
      <c r="LSZ1" s="17" t="s">
        <v>8129</v>
      </c>
      <c r="LTA1" s="17" t="s">
        <v>8130</v>
      </c>
      <c r="LTB1" s="17" t="s">
        <v>8131</v>
      </c>
      <c r="LTC1" s="17" t="s">
        <v>8132</v>
      </c>
      <c r="LTD1" s="17" t="s">
        <v>8133</v>
      </c>
      <c r="LTE1" s="17" t="s">
        <v>8134</v>
      </c>
      <c r="LTF1" s="17" t="s">
        <v>8135</v>
      </c>
      <c r="LTG1" s="17" t="s">
        <v>8136</v>
      </c>
      <c r="LTH1" s="17" t="s">
        <v>8137</v>
      </c>
      <c r="LTI1" s="17" t="s">
        <v>8138</v>
      </c>
      <c r="LTJ1" s="17" t="s">
        <v>8139</v>
      </c>
      <c r="LTK1" s="17" t="s">
        <v>8140</v>
      </c>
      <c r="LTL1" s="17" t="s">
        <v>8141</v>
      </c>
      <c r="LTM1" s="17" t="s">
        <v>8142</v>
      </c>
      <c r="LTN1" s="17" t="s">
        <v>8143</v>
      </c>
      <c r="LTO1" s="17" t="s">
        <v>8144</v>
      </c>
      <c r="LTP1" s="17" t="s">
        <v>8145</v>
      </c>
      <c r="LTQ1" s="17" t="s">
        <v>8146</v>
      </c>
      <c r="LTR1" s="17" t="s">
        <v>8147</v>
      </c>
      <c r="LTS1" s="17" t="s">
        <v>8148</v>
      </c>
      <c r="LTT1" s="17" t="s">
        <v>8149</v>
      </c>
      <c r="LTU1" s="17" t="s">
        <v>8150</v>
      </c>
      <c r="LTV1" s="17" t="s">
        <v>8151</v>
      </c>
      <c r="LTW1" s="17" t="s">
        <v>8152</v>
      </c>
      <c r="LTX1" s="17" t="s">
        <v>8153</v>
      </c>
      <c r="LTY1" s="17" t="s">
        <v>8154</v>
      </c>
      <c r="LTZ1" s="17" t="s">
        <v>8155</v>
      </c>
      <c r="LUA1" s="17" t="s">
        <v>8156</v>
      </c>
      <c r="LUB1" s="17" t="s">
        <v>8157</v>
      </c>
      <c r="LUC1" s="17" t="s">
        <v>8158</v>
      </c>
      <c r="LUD1" s="17" t="s">
        <v>8159</v>
      </c>
      <c r="LUE1" s="17" t="s">
        <v>8160</v>
      </c>
      <c r="LUF1" s="17" t="s">
        <v>8161</v>
      </c>
      <c r="LUG1" s="17" t="s">
        <v>8162</v>
      </c>
      <c r="LUH1" s="17" t="s">
        <v>8163</v>
      </c>
      <c r="LUI1" s="17" t="s">
        <v>8164</v>
      </c>
      <c r="LUJ1" s="17" t="s">
        <v>8165</v>
      </c>
      <c r="LUK1" s="17" t="s">
        <v>8166</v>
      </c>
      <c r="LUL1" s="17" t="s">
        <v>8167</v>
      </c>
      <c r="LUM1" s="17" t="s">
        <v>8168</v>
      </c>
      <c r="LUN1" s="17" t="s">
        <v>8169</v>
      </c>
      <c r="LUO1" s="17" t="s">
        <v>8170</v>
      </c>
      <c r="LUP1" s="17" t="s">
        <v>8171</v>
      </c>
      <c r="LUQ1" s="17" t="s">
        <v>8172</v>
      </c>
      <c r="LUR1" s="17" t="s">
        <v>8173</v>
      </c>
      <c r="LUS1" s="17" t="s">
        <v>8174</v>
      </c>
      <c r="LUT1" s="17" t="s">
        <v>8175</v>
      </c>
      <c r="LUU1" s="17" t="s">
        <v>8176</v>
      </c>
      <c r="LUV1" s="17" t="s">
        <v>8177</v>
      </c>
      <c r="LUW1" s="17" t="s">
        <v>8178</v>
      </c>
      <c r="LUX1" s="17" t="s">
        <v>8179</v>
      </c>
      <c r="LUY1" s="17" t="s">
        <v>8180</v>
      </c>
      <c r="LUZ1" s="17" t="s">
        <v>8181</v>
      </c>
      <c r="LVA1" s="17" t="s">
        <v>8182</v>
      </c>
      <c r="LVB1" s="17" t="s">
        <v>8183</v>
      </c>
      <c r="LVC1" s="17" t="s">
        <v>8184</v>
      </c>
      <c r="LVD1" s="17" t="s">
        <v>8185</v>
      </c>
      <c r="LVE1" s="17" t="s">
        <v>8186</v>
      </c>
      <c r="LVF1" s="17" t="s">
        <v>8187</v>
      </c>
      <c r="LVG1" s="17" t="s">
        <v>8188</v>
      </c>
      <c r="LVH1" s="17" t="s">
        <v>8189</v>
      </c>
      <c r="LVI1" s="17" t="s">
        <v>8190</v>
      </c>
      <c r="LVJ1" s="17" t="s">
        <v>8191</v>
      </c>
      <c r="LVK1" s="17" t="s">
        <v>8192</v>
      </c>
      <c r="LVL1" s="17" t="s">
        <v>8193</v>
      </c>
      <c r="LVM1" s="17" t="s">
        <v>8194</v>
      </c>
      <c r="LVN1" s="17" t="s">
        <v>8195</v>
      </c>
      <c r="LVO1" s="17" t="s">
        <v>8196</v>
      </c>
      <c r="LVP1" s="17" t="s">
        <v>8197</v>
      </c>
      <c r="LVQ1" s="17" t="s">
        <v>8198</v>
      </c>
      <c r="LVR1" s="17" t="s">
        <v>8199</v>
      </c>
      <c r="LVS1" s="17" t="s">
        <v>8200</v>
      </c>
      <c r="LVT1" s="17" t="s">
        <v>8201</v>
      </c>
      <c r="LVU1" s="17" t="s">
        <v>8202</v>
      </c>
      <c r="LVV1" s="17" t="s">
        <v>8203</v>
      </c>
      <c r="LVW1" s="17" t="s">
        <v>8204</v>
      </c>
      <c r="LVX1" s="17" t="s">
        <v>8205</v>
      </c>
      <c r="LVY1" s="17" t="s">
        <v>8206</v>
      </c>
      <c r="LVZ1" s="17" t="s">
        <v>8207</v>
      </c>
      <c r="LWA1" s="17" t="s">
        <v>8208</v>
      </c>
      <c r="LWB1" s="17" t="s">
        <v>8209</v>
      </c>
      <c r="LWC1" s="17" t="s">
        <v>8210</v>
      </c>
      <c r="LWD1" s="17" t="s">
        <v>8211</v>
      </c>
      <c r="LWE1" s="17" t="s">
        <v>8212</v>
      </c>
      <c r="LWF1" s="17" t="s">
        <v>8213</v>
      </c>
      <c r="LWG1" s="17" t="s">
        <v>8214</v>
      </c>
      <c r="LWH1" s="17" t="s">
        <v>8215</v>
      </c>
      <c r="LWI1" s="17" t="s">
        <v>8216</v>
      </c>
      <c r="LWJ1" s="17" t="s">
        <v>8217</v>
      </c>
      <c r="LWK1" s="17" t="s">
        <v>8218</v>
      </c>
      <c r="LWL1" s="17" t="s">
        <v>8219</v>
      </c>
      <c r="LWM1" s="17" t="s">
        <v>8220</v>
      </c>
      <c r="LWN1" s="17" t="s">
        <v>8221</v>
      </c>
      <c r="LWO1" s="17" t="s">
        <v>8222</v>
      </c>
      <c r="LWP1" s="17" t="s">
        <v>8223</v>
      </c>
      <c r="LWQ1" s="17" t="s">
        <v>8224</v>
      </c>
      <c r="LWR1" s="17" t="s">
        <v>8225</v>
      </c>
      <c r="LWS1" s="17" t="s">
        <v>8226</v>
      </c>
      <c r="LWT1" s="17" t="s">
        <v>8227</v>
      </c>
      <c r="LWU1" s="17" t="s">
        <v>8228</v>
      </c>
      <c r="LWV1" s="17" t="s">
        <v>8229</v>
      </c>
      <c r="LWW1" s="17" t="s">
        <v>8230</v>
      </c>
      <c r="LWX1" s="17" t="s">
        <v>8231</v>
      </c>
      <c r="LWY1" s="17" t="s">
        <v>8232</v>
      </c>
      <c r="LWZ1" s="17" t="s">
        <v>8233</v>
      </c>
      <c r="LXA1" s="17" t="s">
        <v>8234</v>
      </c>
      <c r="LXB1" s="17" t="s">
        <v>8235</v>
      </c>
      <c r="LXC1" s="17" t="s">
        <v>8236</v>
      </c>
      <c r="LXD1" s="17" t="s">
        <v>8237</v>
      </c>
      <c r="LXE1" s="17" t="s">
        <v>8238</v>
      </c>
      <c r="LXF1" s="17" t="s">
        <v>8239</v>
      </c>
      <c r="LXG1" s="17" t="s">
        <v>8240</v>
      </c>
      <c r="LXH1" s="17" t="s">
        <v>8241</v>
      </c>
      <c r="LXI1" s="17" t="s">
        <v>8242</v>
      </c>
      <c r="LXJ1" s="17" t="s">
        <v>8243</v>
      </c>
      <c r="LXK1" s="17" t="s">
        <v>8244</v>
      </c>
      <c r="LXL1" s="17" t="s">
        <v>8245</v>
      </c>
      <c r="LXM1" s="17" t="s">
        <v>8246</v>
      </c>
      <c r="LXN1" s="17" t="s">
        <v>8247</v>
      </c>
      <c r="LXO1" s="17" t="s">
        <v>8248</v>
      </c>
      <c r="LXP1" s="17" t="s">
        <v>8249</v>
      </c>
      <c r="LXQ1" s="17" t="s">
        <v>8250</v>
      </c>
      <c r="LXR1" s="17" t="s">
        <v>8251</v>
      </c>
      <c r="LXS1" s="17" t="s">
        <v>8252</v>
      </c>
      <c r="LXT1" s="17" t="s">
        <v>8253</v>
      </c>
      <c r="LXU1" s="17" t="s">
        <v>8254</v>
      </c>
      <c r="LXV1" s="17" t="s">
        <v>8255</v>
      </c>
      <c r="LXW1" s="17" t="s">
        <v>8256</v>
      </c>
      <c r="LXX1" s="17" t="s">
        <v>8257</v>
      </c>
      <c r="LXY1" s="17" t="s">
        <v>8258</v>
      </c>
      <c r="LXZ1" s="17" t="s">
        <v>8259</v>
      </c>
      <c r="LYA1" s="17" t="s">
        <v>8260</v>
      </c>
      <c r="LYB1" s="17" t="s">
        <v>8261</v>
      </c>
      <c r="LYC1" s="17" t="s">
        <v>8262</v>
      </c>
      <c r="LYD1" s="17" t="s">
        <v>8263</v>
      </c>
      <c r="LYE1" s="17" t="s">
        <v>8264</v>
      </c>
      <c r="LYF1" s="17" t="s">
        <v>8265</v>
      </c>
      <c r="LYG1" s="17" t="s">
        <v>8266</v>
      </c>
      <c r="LYH1" s="17" t="s">
        <v>8267</v>
      </c>
      <c r="LYI1" s="17" t="s">
        <v>8268</v>
      </c>
      <c r="LYJ1" s="17" t="s">
        <v>8269</v>
      </c>
      <c r="LYK1" s="17" t="s">
        <v>8270</v>
      </c>
      <c r="LYL1" s="17" t="s">
        <v>8271</v>
      </c>
      <c r="LYM1" s="17" t="s">
        <v>8272</v>
      </c>
      <c r="LYN1" s="17" t="s">
        <v>8273</v>
      </c>
      <c r="LYO1" s="17" t="s">
        <v>8274</v>
      </c>
      <c r="LYP1" s="17" t="s">
        <v>8275</v>
      </c>
      <c r="LYQ1" s="17" t="s">
        <v>8276</v>
      </c>
      <c r="LYR1" s="17" t="s">
        <v>8277</v>
      </c>
      <c r="LYS1" s="17" t="s">
        <v>8278</v>
      </c>
      <c r="LYT1" s="17" t="s">
        <v>8279</v>
      </c>
      <c r="LYU1" s="17" t="s">
        <v>8280</v>
      </c>
      <c r="LYV1" s="17" t="s">
        <v>8281</v>
      </c>
      <c r="LYW1" s="17" t="s">
        <v>8282</v>
      </c>
      <c r="LYX1" s="17" t="s">
        <v>8283</v>
      </c>
      <c r="LYY1" s="17" t="s">
        <v>8284</v>
      </c>
      <c r="LYZ1" s="17" t="s">
        <v>8285</v>
      </c>
      <c r="LZA1" s="17" t="s">
        <v>8286</v>
      </c>
      <c r="LZB1" s="17" t="s">
        <v>8287</v>
      </c>
      <c r="LZC1" s="17" t="s">
        <v>8288</v>
      </c>
      <c r="LZD1" s="17" t="s">
        <v>8289</v>
      </c>
      <c r="LZE1" s="17" t="s">
        <v>8290</v>
      </c>
      <c r="LZF1" s="17" t="s">
        <v>8291</v>
      </c>
      <c r="LZG1" s="17" t="s">
        <v>8292</v>
      </c>
      <c r="LZH1" s="17" t="s">
        <v>8293</v>
      </c>
      <c r="LZI1" s="17" t="s">
        <v>8294</v>
      </c>
      <c r="LZJ1" s="17" t="s">
        <v>8295</v>
      </c>
      <c r="LZK1" s="17" t="s">
        <v>8296</v>
      </c>
      <c r="LZL1" s="17" t="s">
        <v>8297</v>
      </c>
      <c r="LZM1" s="17" t="s">
        <v>8298</v>
      </c>
      <c r="LZN1" s="17" t="s">
        <v>8299</v>
      </c>
      <c r="LZO1" s="17" t="s">
        <v>8300</v>
      </c>
      <c r="LZP1" s="17" t="s">
        <v>8301</v>
      </c>
      <c r="LZQ1" s="17" t="s">
        <v>8302</v>
      </c>
      <c r="LZR1" s="17" t="s">
        <v>8303</v>
      </c>
      <c r="LZS1" s="17" t="s">
        <v>8304</v>
      </c>
      <c r="LZT1" s="17" t="s">
        <v>8305</v>
      </c>
      <c r="LZU1" s="17" t="s">
        <v>8306</v>
      </c>
      <c r="LZV1" s="17" t="s">
        <v>8307</v>
      </c>
      <c r="LZW1" s="17" t="s">
        <v>8308</v>
      </c>
      <c r="LZX1" s="17" t="s">
        <v>8309</v>
      </c>
      <c r="LZY1" s="17" t="s">
        <v>8310</v>
      </c>
      <c r="LZZ1" s="17" t="s">
        <v>8311</v>
      </c>
      <c r="MAA1" s="17" t="s">
        <v>8312</v>
      </c>
      <c r="MAB1" s="17" t="s">
        <v>8313</v>
      </c>
      <c r="MAC1" s="17" t="s">
        <v>8314</v>
      </c>
      <c r="MAD1" s="17" t="s">
        <v>8315</v>
      </c>
      <c r="MAE1" s="17" t="s">
        <v>8316</v>
      </c>
      <c r="MAF1" s="17" t="s">
        <v>8317</v>
      </c>
      <c r="MAG1" s="17" t="s">
        <v>8318</v>
      </c>
      <c r="MAH1" s="17" t="s">
        <v>8319</v>
      </c>
      <c r="MAI1" s="17" t="s">
        <v>8320</v>
      </c>
      <c r="MAJ1" s="17" t="s">
        <v>8321</v>
      </c>
      <c r="MAK1" s="17" t="s">
        <v>8322</v>
      </c>
      <c r="MAL1" s="17" t="s">
        <v>8323</v>
      </c>
      <c r="MAM1" s="17" t="s">
        <v>8324</v>
      </c>
      <c r="MAN1" s="17" t="s">
        <v>8325</v>
      </c>
      <c r="MAO1" s="17" t="s">
        <v>8326</v>
      </c>
      <c r="MAP1" s="17" t="s">
        <v>8327</v>
      </c>
      <c r="MAQ1" s="17" t="s">
        <v>8328</v>
      </c>
      <c r="MAR1" s="17" t="s">
        <v>8329</v>
      </c>
      <c r="MAS1" s="17" t="s">
        <v>8330</v>
      </c>
      <c r="MAT1" s="17" t="s">
        <v>8331</v>
      </c>
      <c r="MAU1" s="17" t="s">
        <v>8332</v>
      </c>
      <c r="MAV1" s="17" t="s">
        <v>8333</v>
      </c>
      <c r="MAW1" s="17" t="s">
        <v>8334</v>
      </c>
      <c r="MAX1" s="17" t="s">
        <v>8335</v>
      </c>
      <c r="MAY1" s="17" t="s">
        <v>8336</v>
      </c>
      <c r="MAZ1" s="17" t="s">
        <v>8337</v>
      </c>
      <c r="MBA1" s="17" t="s">
        <v>8338</v>
      </c>
      <c r="MBB1" s="17" t="s">
        <v>8339</v>
      </c>
      <c r="MBC1" s="17" t="s">
        <v>8340</v>
      </c>
      <c r="MBD1" s="17" t="s">
        <v>8341</v>
      </c>
      <c r="MBE1" s="17" t="s">
        <v>8342</v>
      </c>
      <c r="MBF1" s="17" t="s">
        <v>8343</v>
      </c>
      <c r="MBG1" s="17" t="s">
        <v>8344</v>
      </c>
      <c r="MBH1" s="17" t="s">
        <v>8345</v>
      </c>
      <c r="MBI1" s="17" t="s">
        <v>8346</v>
      </c>
      <c r="MBJ1" s="17" t="s">
        <v>8347</v>
      </c>
      <c r="MBK1" s="17" t="s">
        <v>8348</v>
      </c>
      <c r="MBL1" s="17" t="s">
        <v>8349</v>
      </c>
      <c r="MBM1" s="17" t="s">
        <v>8350</v>
      </c>
      <c r="MBN1" s="17" t="s">
        <v>8351</v>
      </c>
      <c r="MBO1" s="17" t="s">
        <v>8352</v>
      </c>
      <c r="MBP1" s="17" t="s">
        <v>8353</v>
      </c>
      <c r="MBQ1" s="17" t="s">
        <v>8354</v>
      </c>
      <c r="MBR1" s="17" t="s">
        <v>8355</v>
      </c>
      <c r="MBS1" s="17" t="s">
        <v>8356</v>
      </c>
      <c r="MBT1" s="17" t="s">
        <v>8357</v>
      </c>
      <c r="MBU1" s="17" t="s">
        <v>8358</v>
      </c>
      <c r="MBV1" s="17" t="s">
        <v>8359</v>
      </c>
      <c r="MBW1" s="17" t="s">
        <v>8360</v>
      </c>
      <c r="MBX1" s="17" t="s">
        <v>8361</v>
      </c>
      <c r="MBY1" s="17" t="s">
        <v>8362</v>
      </c>
      <c r="MBZ1" s="17" t="s">
        <v>8363</v>
      </c>
      <c r="MCA1" s="17" t="s">
        <v>8364</v>
      </c>
      <c r="MCB1" s="17" t="s">
        <v>8365</v>
      </c>
      <c r="MCC1" s="17" t="s">
        <v>8366</v>
      </c>
      <c r="MCD1" s="17" t="s">
        <v>8367</v>
      </c>
      <c r="MCE1" s="17" t="s">
        <v>8368</v>
      </c>
      <c r="MCF1" s="17" t="s">
        <v>8369</v>
      </c>
      <c r="MCG1" s="17" t="s">
        <v>8370</v>
      </c>
      <c r="MCH1" s="17" t="s">
        <v>8371</v>
      </c>
      <c r="MCI1" s="17" t="s">
        <v>8372</v>
      </c>
      <c r="MCJ1" s="17" t="s">
        <v>8373</v>
      </c>
      <c r="MCK1" s="17" t="s">
        <v>8374</v>
      </c>
      <c r="MCL1" s="17" t="s">
        <v>8375</v>
      </c>
      <c r="MCM1" s="17" t="s">
        <v>8376</v>
      </c>
      <c r="MCN1" s="17" t="s">
        <v>8377</v>
      </c>
      <c r="MCO1" s="17" t="s">
        <v>8378</v>
      </c>
      <c r="MCP1" s="17" t="s">
        <v>8379</v>
      </c>
      <c r="MCQ1" s="17" t="s">
        <v>8380</v>
      </c>
      <c r="MCR1" s="17" t="s">
        <v>8381</v>
      </c>
      <c r="MCS1" s="17" t="s">
        <v>8382</v>
      </c>
      <c r="MCT1" s="17" t="s">
        <v>8383</v>
      </c>
      <c r="MCU1" s="17" t="s">
        <v>8384</v>
      </c>
      <c r="MCV1" s="17" t="s">
        <v>8385</v>
      </c>
      <c r="MCW1" s="17" t="s">
        <v>8386</v>
      </c>
      <c r="MCX1" s="17" t="s">
        <v>8387</v>
      </c>
      <c r="MCY1" s="17" t="s">
        <v>8388</v>
      </c>
      <c r="MCZ1" s="17" t="s">
        <v>8389</v>
      </c>
      <c r="MDA1" s="17" t="s">
        <v>8390</v>
      </c>
      <c r="MDB1" s="17" t="s">
        <v>8391</v>
      </c>
      <c r="MDC1" s="17" t="s">
        <v>8392</v>
      </c>
      <c r="MDD1" s="17" t="s">
        <v>8393</v>
      </c>
      <c r="MDE1" s="17" t="s">
        <v>8394</v>
      </c>
      <c r="MDF1" s="17" t="s">
        <v>8395</v>
      </c>
      <c r="MDG1" s="17" t="s">
        <v>8396</v>
      </c>
      <c r="MDH1" s="17" t="s">
        <v>8397</v>
      </c>
      <c r="MDI1" s="17" t="s">
        <v>8398</v>
      </c>
      <c r="MDJ1" s="17" t="s">
        <v>8399</v>
      </c>
      <c r="MDK1" s="17" t="s">
        <v>8400</v>
      </c>
      <c r="MDL1" s="17" t="s">
        <v>8401</v>
      </c>
      <c r="MDM1" s="17" t="s">
        <v>8402</v>
      </c>
      <c r="MDN1" s="17" t="s">
        <v>8403</v>
      </c>
      <c r="MDO1" s="17" t="s">
        <v>8404</v>
      </c>
      <c r="MDP1" s="17" t="s">
        <v>8405</v>
      </c>
      <c r="MDQ1" s="17" t="s">
        <v>8406</v>
      </c>
      <c r="MDR1" s="17" t="s">
        <v>8407</v>
      </c>
      <c r="MDS1" s="17" t="s">
        <v>8408</v>
      </c>
      <c r="MDT1" s="17" t="s">
        <v>8409</v>
      </c>
      <c r="MDU1" s="17" t="s">
        <v>8410</v>
      </c>
      <c r="MDV1" s="17" t="s">
        <v>8411</v>
      </c>
      <c r="MDW1" s="17" t="s">
        <v>8412</v>
      </c>
      <c r="MDX1" s="17" t="s">
        <v>8413</v>
      </c>
      <c r="MDY1" s="17" t="s">
        <v>8414</v>
      </c>
      <c r="MDZ1" s="17" t="s">
        <v>8415</v>
      </c>
      <c r="MEA1" s="17" t="s">
        <v>8416</v>
      </c>
      <c r="MEB1" s="17" t="s">
        <v>8417</v>
      </c>
      <c r="MEC1" s="17" t="s">
        <v>8418</v>
      </c>
      <c r="MED1" s="17" t="s">
        <v>8419</v>
      </c>
      <c r="MEE1" s="17" t="s">
        <v>8420</v>
      </c>
      <c r="MEF1" s="17" t="s">
        <v>8421</v>
      </c>
      <c r="MEG1" s="17" t="s">
        <v>8422</v>
      </c>
      <c r="MEH1" s="17" t="s">
        <v>8423</v>
      </c>
      <c r="MEI1" s="17" t="s">
        <v>8424</v>
      </c>
      <c r="MEJ1" s="17" t="s">
        <v>8425</v>
      </c>
      <c r="MEK1" s="17" t="s">
        <v>8426</v>
      </c>
      <c r="MEL1" s="17" t="s">
        <v>8427</v>
      </c>
      <c r="MEM1" s="17" t="s">
        <v>8428</v>
      </c>
      <c r="MEN1" s="17" t="s">
        <v>8429</v>
      </c>
      <c r="MEO1" s="17" t="s">
        <v>8430</v>
      </c>
      <c r="MEP1" s="17" t="s">
        <v>8431</v>
      </c>
      <c r="MEQ1" s="17" t="s">
        <v>8432</v>
      </c>
      <c r="MER1" s="17" t="s">
        <v>8433</v>
      </c>
      <c r="MES1" s="17" t="s">
        <v>8434</v>
      </c>
      <c r="MET1" s="17" t="s">
        <v>8435</v>
      </c>
      <c r="MEU1" s="17" t="s">
        <v>8436</v>
      </c>
      <c r="MEV1" s="17" t="s">
        <v>8437</v>
      </c>
      <c r="MEW1" s="17" t="s">
        <v>8438</v>
      </c>
      <c r="MEX1" s="17" t="s">
        <v>8439</v>
      </c>
      <c r="MEY1" s="17" t="s">
        <v>8440</v>
      </c>
      <c r="MEZ1" s="17" t="s">
        <v>8441</v>
      </c>
      <c r="MFA1" s="17" t="s">
        <v>8442</v>
      </c>
      <c r="MFB1" s="17" t="s">
        <v>8443</v>
      </c>
      <c r="MFC1" s="17" t="s">
        <v>8444</v>
      </c>
      <c r="MFD1" s="17" t="s">
        <v>8445</v>
      </c>
      <c r="MFE1" s="17" t="s">
        <v>8446</v>
      </c>
      <c r="MFF1" s="17" t="s">
        <v>8447</v>
      </c>
      <c r="MFG1" s="17" t="s">
        <v>8448</v>
      </c>
      <c r="MFH1" s="17" t="s">
        <v>8449</v>
      </c>
      <c r="MFI1" s="17" t="s">
        <v>8450</v>
      </c>
      <c r="MFJ1" s="17" t="s">
        <v>8451</v>
      </c>
      <c r="MFK1" s="17" t="s">
        <v>8452</v>
      </c>
      <c r="MFL1" s="17" t="s">
        <v>8453</v>
      </c>
      <c r="MFM1" s="17" t="s">
        <v>8454</v>
      </c>
      <c r="MFN1" s="17" t="s">
        <v>8455</v>
      </c>
      <c r="MFO1" s="17" t="s">
        <v>8456</v>
      </c>
      <c r="MFP1" s="17" t="s">
        <v>8457</v>
      </c>
      <c r="MFQ1" s="17" t="s">
        <v>8458</v>
      </c>
      <c r="MFR1" s="17" t="s">
        <v>8459</v>
      </c>
      <c r="MFS1" s="17" t="s">
        <v>8460</v>
      </c>
      <c r="MFT1" s="17" t="s">
        <v>8461</v>
      </c>
      <c r="MFU1" s="17" t="s">
        <v>8462</v>
      </c>
      <c r="MFV1" s="17" t="s">
        <v>8463</v>
      </c>
      <c r="MFW1" s="17" t="s">
        <v>8464</v>
      </c>
      <c r="MFX1" s="17" t="s">
        <v>8465</v>
      </c>
      <c r="MFY1" s="17" t="s">
        <v>8466</v>
      </c>
      <c r="MFZ1" s="17" t="s">
        <v>8467</v>
      </c>
      <c r="MGA1" s="17" t="s">
        <v>8468</v>
      </c>
      <c r="MGB1" s="17" t="s">
        <v>8469</v>
      </c>
      <c r="MGC1" s="17" t="s">
        <v>8470</v>
      </c>
      <c r="MGD1" s="17" t="s">
        <v>8471</v>
      </c>
      <c r="MGE1" s="17" t="s">
        <v>8472</v>
      </c>
      <c r="MGF1" s="17" t="s">
        <v>8473</v>
      </c>
      <c r="MGG1" s="17" t="s">
        <v>8474</v>
      </c>
      <c r="MGH1" s="17" t="s">
        <v>8475</v>
      </c>
      <c r="MGI1" s="17" t="s">
        <v>8476</v>
      </c>
      <c r="MGJ1" s="17" t="s">
        <v>8477</v>
      </c>
      <c r="MGK1" s="17" t="s">
        <v>8478</v>
      </c>
      <c r="MGL1" s="17" t="s">
        <v>8479</v>
      </c>
      <c r="MGM1" s="17" t="s">
        <v>8480</v>
      </c>
      <c r="MGN1" s="17" t="s">
        <v>8481</v>
      </c>
      <c r="MGO1" s="17" t="s">
        <v>8482</v>
      </c>
      <c r="MGP1" s="17" t="s">
        <v>8483</v>
      </c>
      <c r="MGQ1" s="17" t="s">
        <v>8484</v>
      </c>
      <c r="MGR1" s="17" t="s">
        <v>8485</v>
      </c>
      <c r="MGS1" s="17" t="s">
        <v>8486</v>
      </c>
      <c r="MGT1" s="17" t="s">
        <v>8487</v>
      </c>
      <c r="MGU1" s="17" t="s">
        <v>8488</v>
      </c>
      <c r="MGV1" s="17" t="s">
        <v>8489</v>
      </c>
      <c r="MGW1" s="17" t="s">
        <v>8490</v>
      </c>
      <c r="MGX1" s="17" t="s">
        <v>8491</v>
      </c>
      <c r="MGY1" s="17" t="s">
        <v>8492</v>
      </c>
      <c r="MGZ1" s="17" t="s">
        <v>8493</v>
      </c>
      <c r="MHA1" s="17" t="s">
        <v>8494</v>
      </c>
      <c r="MHB1" s="17" t="s">
        <v>8495</v>
      </c>
      <c r="MHC1" s="17" t="s">
        <v>8496</v>
      </c>
      <c r="MHD1" s="17" t="s">
        <v>8497</v>
      </c>
      <c r="MHE1" s="17" t="s">
        <v>8498</v>
      </c>
      <c r="MHF1" s="17" t="s">
        <v>8499</v>
      </c>
      <c r="MHG1" s="17" t="s">
        <v>8500</v>
      </c>
      <c r="MHH1" s="17" t="s">
        <v>8501</v>
      </c>
      <c r="MHI1" s="17" t="s">
        <v>8502</v>
      </c>
      <c r="MHJ1" s="17" t="s">
        <v>8503</v>
      </c>
      <c r="MHK1" s="17" t="s">
        <v>8504</v>
      </c>
      <c r="MHL1" s="17" t="s">
        <v>8505</v>
      </c>
      <c r="MHM1" s="17" t="s">
        <v>8506</v>
      </c>
      <c r="MHN1" s="17" t="s">
        <v>8507</v>
      </c>
      <c r="MHO1" s="17" t="s">
        <v>8508</v>
      </c>
      <c r="MHP1" s="17" t="s">
        <v>8509</v>
      </c>
      <c r="MHQ1" s="17" t="s">
        <v>8510</v>
      </c>
      <c r="MHR1" s="17" t="s">
        <v>8511</v>
      </c>
      <c r="MHS1" s="17" t="s">
        <v>8512</v>
      </c>
      <c r="MHT1" s="17" t="s">
        <v>8513</v>
      </c>
      <c r="MHU1" s="17" t="s">
        <v>8514</v>
      </c>
      <c r="MHV1" s="17" t="s">
        <v>8515</v>
      </c>
      <c r="MHW1" s="17" t="s">
        <v>8516</v>
      </c>
      <c r="MHX1" s="17" t="s">
        <v>8517</v>
      </c>
      <c r="MHY1" s="17" t="s">
        <v>8518</v>
      </c>
      <c r="MHZ1" s="17" t="s">
        <v>8519</v>
      </c>
      <c r="MIA1" s="17" t="s">
        <v>8520</v>
      </c>
      <c r="MIB1" s="17" t="s">
        <v>8521</v>
      </c>
      <c r="MIC1" s="17" t="s">
        <v>8522</v>
      </c>
      <c r="MID1" s="17" t="s">
        <v>8523</v>
      </c>
      <c r="MIE1" s="17" t="s">
        <v>8524</v>
      </c>
      <c r="MIF1" s="17" t="s">
        <v>8525</v>
      </c>
      <c r="MIG1" s="17" t="s">
        <v>8526</v>
      </c>
      <c r="MIH1" s="17" t="s">
        <v>8527</v>
      </c>
      <c r="MII1" s="17" t="s">
        <v>8528</v>
      </c>
      <c r="MIJ1" s="17" t="s">
        <v>8529</v>
      </c>
      <c r="MIK1" s="17" t="s">
        <v>8530</v>
      </c>
      <c r="MIL1" s="17" t="s">
        <v>8531</v>
      </c>
      <c r="MIM1" s="17" t="s">
        <v>8532</v>
      </c>
      <c r="MIN1" s="17" t="s">
        <v>8533</v>
      </c>
      <c r="MIO1" s="17" t="s">
        <v>8534</v>
      </c>
      <c r="MIP1" s="17" t="s">
        <v>8535</v>
      </c>
      <c r="MIQ1" s="17" t="s">
        <v>8536</v>
      </c>
      <c r="MIR1" s="17" t="s">
        <v>8537</v>
      </c>
      <c r="MIS1" s="17" t="s">
        <v>8538</v>
      </c>
      <c r="MIT1" s="17" t="s">
        <v>8539</v>
      </c>
      <c r="MIU1" s="17" t="s">
        <v>8540</v>
      </c>
      <c r="MIV1" s="17" t="s">
        <v>8541</v>
      </c>
      <c r="MIW1" s="17" t="s">
        <v>8542</v>
      </c>
      <c r="MIX1" s="17" t="s">
        <v>8543</v>
      </c>
      <c r="MIY1" s="17" t="s">
        <v>8544</v>
      </c>
      <c r="MIZ1" s="17" t="s">
        <v>8545</v>
      </c>
      <c r="MJA1" s="17" t="s">
        <v>8546</v>
      </c>
      <c r="MJB1" s="17" t="s">
        <v>8547</v>
      </c>
      <c r="MJC1" s="17" t="s">
        <v>8548</v>
      </c>
      <c r="MJD1" s="17" t="s">
        <v>8549</v>
      </c>
      <c r="MJE1" s="17" t="s">
        <v>8550</v>
      </c>
      <c r="MJF1" s="17" t="s">
        <v>8551</v>
      </c>
      <c r="MJG1" s="17" t="s">
        <v>8552</v>
      </c>
      <c r="MJH1" s="17" t="s">
        <v>8553</v>
      </c>
      <c r="MJI1" s="17" t="s">
        <v>8554</v>
      </c>
      <c r="MJJ1" s="17" t="s">
        <v>8555</v>
      </c>
      <c r="MJK1" s="17" t="s">
        <v>8556</v>
      </c>
      <c r="MJL1" s="17" t="s">
        <v>8557</v>
      </c>
    </row>
    <row r="2" customFormat="false" ht="19.5" hidden="false" customHeight="true" outlineLevel="0" collapsed="false">
      <c r="A2" s="2" t="s">
        <v>8558</v>
      </c>
      <c r="B2" s="2" t="s">
        <v>8559</v>
      </c>
      <c r="C2" s="2" t="str">
        <f aca="false">_xlfn.CONCAT(A2, " ","(",B2,")")</f>
        <v>Dryobates minor (Lesser Spotted Woodpecker)</v>
      </c>
      <c r="D2" s="2" t="s">
        <v>8560</v>
      </c>
      <c r="E2" s="2" t="s">
        <v>8561</v>
      </c>
      <c r="F2" s="2" t="s">
        <v>8562</v>
      </c>
      <c r="G2" s="2" t="s">
        <v>8563</v>
      </c>
      <c r="H2" s="2" t="str">
        <f aca="false">VLOOKUP(A2,'[1]NE red list'!A$1:H$1048576,5,FALSE())</f>
        <v>EN</v>
      </c>
      <c r="I2" s="2" t="s">
        <v>8564</v>
      </c>
      <c r="J2" s="2" t="s">
        <v>8565</v>
      </c>
      <c r="L2" s="2" t="s">
        <v>8566</v>
      </c>
      <c r="N2" s="2" t="str">
        <f aca="false">_xlfn.CONCAT(Q2," ",R2," ",S2)</f>
        <v>woodland parkland </v>
      </c>
      <c r="O2" s="3" t="s">
        <v>14</v>
      </c>
      <c r="P2" s="2" t="s">
        <v>8567</v>
      </c>
      <c r="Q2" s="2" t="s">
        <v>16</v>
      </c>
      <c r="R2" s="2" t="s">
        <v>8568</v>
      </c>
      <c r="T2" s="2" t="s">
        <v>8569</v>
      </c>
      <c r="U2" s="2" t="s">
        <v>8570</v>
      </c>
      <c r="W2" s="2" t="s">
        <v>8571</v>
      </c>
      <c r="X2" s="2" t="s">
        <v>8572</v>
      </c>
      <c r="Y2" s="2" t="s">
        <v>8573</v>
      </c>
      <c r="Z2" s="2" t="s">
        <v>8574</v>
      </c>
      <c r="AG2" s="7" t="s">
        <v>8575</v>
      </c>
      <c r="AI2" s="7" t="s">
        <v>8576</v>
      </c>
      <c r="AS2" s="2"/>
      <c r="AV2" s="11"/>
      <c r="BD2" s="2" t="s">
        <v>8577</v>
      </c>
      <c r="BL2" s="2" t="s">
        <v>8578</v>
      </c>
      <c r="MJM2" s="2"/>
    </row>
    <row r="3" customFormat="false" ht="19.5" hidden="false" customHeight="true" outlineLevel="0" collapsed="false">
      <c r="A3" s="2" t="s">
        <v>8579</v>
      </c>
      <c r="C3" s="2" t="str">
        <f aca="false">_xlfn.CONCAT(A3, " ","(",B3,")")</f>
        <v>Abdera flexuosa ()</v>
      </c>
      <c r="D3" s="2" t="s">
        <v>8580</v>
      </c>
      <c r="E3" s="2" t="s">
        <v>8581</v>
      </c>
      <c r="F3" s="2" t="s">
        <v>8582</v>
      </c>
      <c r="G3" s="2" t="s">
        <v>8583</v>
      </c>
      <c r="H3" s="2" t="str">
        <f aca="false">VLOOKUP(A3,'[1]NE red list'!A$1:H$1048576,5,FALSE())</f>
        <v>LC</v>
      </c>
      <c r="I3" s="2" t="s">
        <v>8564</v>
      </c>
      <c r="J3" s="2" t="s">
        <v>8584</v>
      </c>
      <c r="K3" s="2" t="s">
        <v>8585</v>
      </c>
      <c r="L3" s="2" t="s">
        <v>8586</v>
      </c>
      <c r="N3" s="2" t="str">
        <f aca="false">_xlfn.CONCAT(Q3," ",R3," ",S3)</f>
        <v>woodland parkland </v>
      </c>
      <c r="O3" s="2" t="s">
        <v>14</v>
      </c>
      <c r="P3" s="2" t="s">
        <v>8587</v>
      </c>
      <c r="Q3" s="2" t="s">
        <v>16</v>
      </c>
      <c r="R3" s="2" t="s">
        <v>8568</v>
      </c>
      <c r="T3" s="2"/>
      <c r="U3" s="2" t="s">
        <v>8570</v>
      </c>
      <c r="V3" s="2" t="s">
        <v>8588</v>
      </c>
      <c r="W3" s="2" t="s">
        <v>8587</v>
      </c>
      <c r="X3" s="2" t="s">
        <v>8589</v>
      </c>
      <c r="Y3" s="2" t="s">
        <v>8573</v>
      </c>
      <c r="Z3" s="2" t="s">
        <v>8574</v>
      </c>
      <c r="AG3" s="7" t="s">
        <v>8575</v>
      </c>
      <c r="AS3" s="2"/>
      <c r="AV3" s="11"/>
      <c r="AX3" s="4" t="s">
        <v>8585</v>
      </c>
      <c r="BD3" s="2" t="s">
        <v>8577</v>
      </c>
      <c r="BI3" s="2" t="s">
        <v>8590</v>
      </c>
      <c r="BL3" s="2" t="s">
        <v>8591</v>
      </c>
      <c r="BO3" s="2"/>
      <c r="MJM3" s="2"/>
    </row>
    <row r="4" customFormat="false" ht="19.5" hidden="false" customHeight="true" outlineLevel="0" collapsed="false">
      <c r="A4" s="2" t="s">
        <v>8592</v>
      </c>
      <c r="C4" s="2" t="str">
        <f aca="false">_xlfn.CONCAT(A4, " ","(",B4,")")</f>
        <v>Abdera quadrifasciata ()</v>
      </c>
      <c r="D4" s="2" t="s">
        <v>8580</v>
      </c>
      <c r="E4" s="2" t="s">
        <v>8581</v>
      </c>
      <c r="F4" s="2" t="s">
        <v>8582</v>
      </c>
      <c r="G4" s="2" t="s">
        <v>8583</v>
      </c>
      <c r="H4" s="2" t="str">
        <f aca="false">VLOOKUP(A4,'[1]NE red list'!A$1:H$1048576,5,FALSE())</f>
        <v>LC</v>
      </c>
      <c r="I4" s="2" t="s">
        <v>8593</v>
      </c>
      <c r="J4" s="2" t="s">
        <v>8594</v>
      </c>
      <c r="K4" s="2" t="s">
        <v>8595</v>
      </c>
      <c r="L4" s="2" t="s">
        <v>8586</v>
      </c>
      <c r="N4" s="2" t="str">
        <f aca="false">_xlfn.CONCAT(Q4," ",R4," ",S4)</f>
        <v> parkland </v>
      </c>
      <c r="O4" s="2" t="s">
        <v>14</v>
      </c>
      <c r="P4" s="2" t="s">
        <v>8587</v>
      </c>
      <c r="R4" s="2" t="s">
        <v>8568</v>
      </c>
      <c r="T4" s="2"/>
      <c r="U4" s="2" t="s">
        <v>8570</v>
      </c>
      <c r="V4" s="2" t="s">
        <v>8596</v>
      </c>
      <c r="W4" s="2" t="s">
        <v>8587</v>
      </c>
      <c r="X4" s="2" t="s">
        <v>8597</v>
      </c>
      <c r="Y4" s="2" t="s">
        <v>8573</v>
      </c>
      <c r="Z4" s="2" t="s">
        <v>8598</v>
      </c>
      <c r="AG4" s="7" t="s">
        <v>8575</v>
      </c>
      <c r="AS4" s="2" t="s">
        <v>8599</v>
      </c>
      <c r="AV4" s="11"/>
      <c r="BC4" s="2" t="s">
        <v>8600</v>
      </c>
      <c r="BI4" s="2" t="s">
        <v>8590</v>
      </c>
      <c r="BJ4" s="2" t="s">
        <v>8601</v>
      </c>
      <c r="BL4" s="2" t="s">
        <v>8591</v>
      </c>
      <c r="BO4" s="2"/>
      <c r="MJM4" s="2"/>
    </row>
    <row r="5" customFormat="false" ht="19.5" hidden="false" customHeight="true" outlineLevel="0" collapsed="false">
      <c r="A5" s="2" t="s">
        <v>8602</v>
      </c>
      <c r="C5" s="2" t="str">
        <f aca="false">_xlfn.CONCAT(A5, " ","(",B5,")")</f>
        <v>Abdera triguttata ()</v>
      </c>
      <c r="D5" s="2" t="s">
        <v>8580</v>
      </c>
      <c r="E5" s="2" t="s">
        <v>8581</v>
      </c>
      <c r="F5" s="2" t="s">
        <v>8582</v>
      </c>
      <c r="G5" s="2" t="s">
        <v>8583</v>
      </c>
      <c r="H5" s="2" t="str">
        <f aca="false">VLOOKUP(A5,'[1]NE red list'!A$1:H$1048576,5,FALSE())</f>
        <v>LC</v>
      </c>
      <c r="I5" s="2" t="s">
        <v>8603</v>
      </c>
      <c r="J5" s="2" t="s">
        <v>8604</v>
      </c>
      <c r="L5" s="2" t="s">
        <v>8586</v>
      </c>
      <c r="N5" s="2" t="str">
        <f aca="false">_xlfn.CONCAT(Q5," ",R5," ",S5)</f>
        <v>woodland parkland </v>
      </c>
      <c r="O5" s="2" t="s">
        <v>14</v>
      </c>
      <c r="P5" s="2"/>
      <c r="Q5" s="2" t="s">
        <v>16</v>
      </c>
      <c r="R5" s="2" t="s">
        <v>8568</v>
      </c>
      <c r="T5" s="2"/>
      <c r="U5" s="2" t="s">
        <v>8605</v>
      </c>
      <c r="V5" s="2" t="s">
        <v>8606</v>
      </c>
      <c r="W5" s="2" t="s">
        <v>8587</v>
      </c>
      <c r="X5" s="2" t="s">
        <v>8589</v>
      </c>
      <c r="Z5" s="2" t="s">
        <v>8574</v>
      </c>
      <c r="AG5" s="7" t="s">
        <v>8575</v>
      </c>
      <c r="AS5" s="2"/>
      <c r="AV5" s="11"/>
      <c r="AX5" s="4" t="s">
        <v>8607</v>
      </c>
      <c r="BI5" s="2" t="s">
        <v>8590</v>
      </c>
      <c r="BL5" s="2" t="s">
        <v>8591</v>
      </c>
      <c r="BO5" s="2"/>
      <c r="MJM5" s="2"/>
    </row>
    <row r="6" customFormat="false" ht="19.5" hidden="false" customHeight="true" outlineLevel="0" collapsed="false">
      <c r="A6" s="2" t="s">
        <v>8608</v>
      </c>
      <c r="C6" s="2" t="str">
        <f aca="false">_xlfn.CONCAT(A6, " ","(",B6,")")</f>
        <v>Aderus populneus ()</v>
      </c>
      <c r="D6" s="2" t="s">
        <v>8580</v>
      </c>
      <c r="E6" s="2" t="s">
        <v>8581</v>
      </c>
      <c r="F6" s="30" t="s">
        <v>8609</v>
      </c>
      <c r="G6" s="2" t="s">
        <v>8583</v>
      </c>
      <c r="H6" s="2" t="str">
        <f aca="false">VLOOKUP(A6,'[1]NE red list'!A$1:H$1048576,5,FALSE())</f>
        <v>LC</v>
      </c>
      <c r="I6" s="2" t="s">
        <v>8610</v>
      </c>
      <c r="J6" s="2" t="s">
        <v>8611</v>
      </c>
      <c r="K6" s="2" t="s">
        <v>8612</v>
      </c>
      <c r="L6" s="2" t="s">
        <v>8613</v>
      </c>
      <c r="N6" s="2" t="str">
        <f aca="false">_xlfn.CONCAT(Q6," ",R6," ",S6)</f>
        <v>woodland parkland ToW</v>
      </c>
      <c r="O6" s="2" t="s">
        <v>14</v>
      </c>
      <c r="P6" s="2"/>
      <c r="Q6" s="2" t="s">
        <v>16</v>
      </c>
      <c r="R6" s="2" t="s">
        <v>8568</v>
      </c>
      <c r="S6" s="2" t="s">
        <v>18</v>
      </c>
      <c r="T6" s="2"/>
      <c r="U6" s="2" t="s">
        <v>8570</v>
      </c>
      <c r="W6" s="2" t="s">
        <v>8571</v>
      </c>
      <c r="X6" s="2" t="s">
        <v>8589</v>
      </c>
      <c r="Y6" s="2" t="s">
        <v>8573</v>
      </c>
      <c r="Z6" s="2" t="s">
        <v>8614</v>
      </c>
      <c r="AA6" s="4" t="s">
        <v>26</v>
      </c>
      <c r="AD6" s="6" t="s">
        <v>8615</v>
      </c>
      <c r="AF6" s="6" t="s">
        <v>8616</v>
      </c>
      <c r="AG6" s="7" t="s">
        <v>8575</v>
      </c>
      <c r="AI6" s="7" t="s">
        <v>8617</v>
      </c>
      <c r="AJ6" s="7" t="s">
        <v>8612</v>
      </c>
      <c r="AS6" s="2"/>
      <c r="AV6" s="11"/>
      <c r="BB6" s="2" t="s">
        <v>8618</v>
      </c>
      <c r="BI6" s="2" t="s">
        <v>8590</v>
      </c>
      <c r="BJ6" s="2" t="s">
        <v>8601</v>
      </c>
      <c r="BL6" s="2" t="s">
        <v>8591</v>
      </c>
      <c r="BM6" s="2" t="s">
        <v>8619</v>
      </c>
      <c r="BO6" s="2"/>
      <c r="MJM6" s="2"/>
    </row>
    <row r="7" customFormat="false" ht="19.5" hidden="false" customHeight="true" outlineLevel="0" collapsed="false">
      <c r="A7" s="2" t="s">
        <v>8620</v>
      </c>
      <c r="C7" s="2" t="str">
        <f aca="false">_xlfn.CONCAT(A7, " ","(",B7,")")</f>
        <v>Ampedus quercicola ()</v>
      </c>
      <c r="D7" s="2" t="s">
        <v>8580</v>
      </c>
      <c r="E7" s="2" t="s">
        <v>8581</v>
      </c>
      <c r="F7" s="2" t="s">
        <v>8621</v>
      </c>
      <c r="G7" s="2" t="s">
        <v>8583</v>
      </c>
      <c r="H7" s="2" t="e">
        <f aca="false">VLOOKUP(A7,'[1]NE red list'!A$1:H$1048576,5,FALSE())</f>
        <v>#N/A</v>
      </c>
      <c r="I7" s="2" t="s">
        <v>8622</v>
      </c>
      <c r="J7" s="2" t="s">
        <v>8623</v>
      </c>
      <c r="L7" s="2" t="s">
        <v>8613</v>
      </c>
      <c r="N7" s="2" t="str">
        <f aca="false">_xlfn.CONCAT(Q7," ",R7," ",S7)</f>
        <v> parkland </v>
      </c>
      <c r="O7" s="2" t="s">
        <v>14</v>
      </c>
      <c r="P7" s="2" t="s">
        <v>8587</v>
      </c>
      <c r="R7" s="2" t="s">
        <v>8568</v>
      </c>
      <c r="T7" s="2"/>
      <c r="U7" s="2" t="s">
        <v>8570</v>
      </c>
      <c r="V7" s="2" t="s">
        <v>8624</v>
      </c>
      <c r="W7" s="2" t="s">
        <v>8571</v>
      </c>
      <c r="X7" s="2" t="s">
        <v>8625</v>
      </c>
      <c r="Z7" s="2" t="s">
        <v>8614</v>
      </c>
      <c r="AA7" s="4" t="s">
        <v>26</v>
      </c>
      <c r="AD7" s="6" t="s">
        <v>8615</v>
      </c>
      <c r="AF7" s="6" t="s">
        <v>8616</v>
      </c>
      <c r="AG7" s="7" t="s">
        <v>8575</v>
      </c>
      <c r="AI7" s="7" t="s">
        <v>8617</v>
      </c>
      <c r="AJ7" s="7" t="s">
        <v>8626</v>
      </c>
      <c r="AK7" s="7" t="s">
        <v>8627</v>
      </c>
      <c r="AL7" s="7" t="s">
        <v>8628</v>
      </c>
      <c r="AS7" s="2"/>
      <c r="AV7" s="11"/>
      <c r="BB7" s="2" t="s">
        <v>8618</v>
      </c>
      <c r="BD7" s="2" t="s">
        <v>8629</v>
      </c>
      <c r="BI7" s="2" t="s">
        <v>8590</v>
      </c>
      <c r="BJ7" s="2" t="s">
        <v>8630</v>
      </c>
      <c r="BL7" s="2" t="s">
        <v>8591</v>
      </c>
      <c r="BM7" s="2" t="s">
        <v>8619</v>
      </c>
      <c r="BO7" s="2"/>
      <c r="MJM7" s="2"/>
    </row>
    <row r="8" customFormat="false" ht="19.5" hidden="false" customHeight="true" outlineLevel="0" collapsed="false">
      <c r="A8" s="2" t="s">
        <v>8631</v>
      </c>
      <c r="C8" s="2" t="str">
        <f aca="false">_xlfn.CONCAT(A8, " ","(",B8,")")</f>
        <v>Acalles misellus ()</v>
      </c>
      <c r="D8" s="2" t="s">
        <v>8580</v>
      </c>
      <c r="E8" s="2" t="s">
        <v>8581</v>
      </c>
      <c r="F8" s="2" t="s">
        <v>8632</v>
      </c>
      <c r="G8" s="2" t="s">
        <v>8633</v>
      </c>
      <c r="H8" s="2" t="e">
        <f aca="false">VLOOKUP(A8,'[1]NE red list'!A$1:H$1048576,5,FALSE())</f>
        <v>#N/A</v>
      </c>
      <c r="I8" s="2" t="s">
        <v>8634</v>
      </c>
      <c r="J8" s="2" t="s">
        <v>8635</v>
      </c>
      <c r="L8" s="2" t="s">
        <v>8613</v>
      </c>
      <c r="N8" s="2" t="str">
        <f aca="false">_xlfn.CONCAT(Q8," ",R8," ",S8)</f>
        <v>woodland parkland </v>
      </c>
      <c r="O8" s="2" t="s">
        <v>14</v>
      </c>
      <c r="P8" s="2"/>
      <c r="Q8" s="2" t="s">
        <v>16</v>
      </c>
      <c r="R8" s="2" t="s">
        <v>8568</v>
      </c>
      <c r="T8" s="2"/>
      <c r="U8" s="2" t="s">
        <v>8605</v>
      </c>
      <c r="V8" s="2" t="s">
        <v>8636</v>
      </c>
      <c r="X8" s="2" t="s">
        <v>8625</v>
      </c>
      <c r="Z8" s="2" t="s">
        <v>8637</v>
      </c>
      <c r="AG8" s="7" t="s">
        <v>8575</v>
      </c>
      <c r="AN8" s="8" t="s">
        <v>8638</v>
      </c>
      <c r="AS8" s="2"/>
      <c r="AU8" s="4" t="s">
        <v>8639</v>
      </c>
      <c r="AV8" s="11"/>
      <c r="AW8" s="11" t="s">
        <v>8640</v>
      </c>
      <c r="BI8" s="2" t="s">
        <v>8590</v>
      </c>
      <c r="BL8" s="2" t="s">
        <v>8591</v>
      </c>
      <c r="BO8" s="2"/>
      <c r="MJM8" s="2"/>
    </row>
    <row r="9" customFormat="false" ht="19.5" hidden="false" customHeight="true" outlineLevel="0" collapsed="false">
      <c r="A9" s="2" t="s">
        <v>8641</v>
      </c>
      <c r="C9" s="2" t="str">
        <f aca="false">_xlfn.CONCAT(A9, " ","(",B9,")")</f>
        <v>Acalypta brunnea ()</v>
      </c>
      <c r="D9" s="2" t="s">
        <v>8580</v>
      </c>
      <c r="E9" s="2" t="s">
        <v>8642</v>
      </c>
      <c r="F9" s="2" t="s">
        <v>8643</v>
      </c>
      <c r="G9" s="2" t="s">
        <v>8644</v>
      </c>
      <c r="H9" s="2" t="e">
        <f aca="false">VLOOKUP(A9,'[1]NE red list'!A$1:H$1048576,5,FALSE())</f>
        <v>#N/A</v>
      </c>
      <c r="I9" s="2" t="s">
        <v>8645</v>
      </c>
      <c r="J9" s="2" t="s">
        <v>8646</v>
      </c>
      <c r="K9" s="2" t="s">
        <v>8647</v>
      </c>
      <c r="L9" s="2" t="s">
        <v>8648</v>
      </c>
      <c r="N9" s="2" t="str">
        <f aca="false">_xlfn.CONCAT(Q9," ",R9," ",S9)</f>
        <v>woodland  </v>
      </c>
      <c r="O9" s="2"/>
      <c r="P9" s="2"/>
      <c r="Q9" s="2" t="s">
        <v>16</v>
      </c>
      <c r="T9" s="2"/>
      <c r="U9" s="2" t="s">
        <v>8605</v>
      </c>
      <c r="X9" s="2" t="s">
        <v>8649</v>
      </c>
      <c r="Z9" s="2" t="s">
        <v>8614</v>
      </c>
      <c r="AG9" s="7" t="s">
        <v>8575</v>
      </c>
      <c r="AS9" s="2"/>
      <c r="AU9" s="4" t="s">
        <v>8639</v>
      </c>
      <c r="AV9" s="11"/>
      <c r="AW9" s="11" t="s">
        <v>8650</v>
      </c>
      <c r="BI9" s="2" t="s">
        <v>8590</v>
      </c>
      <c r="BL9" s="2" t="s">
        <v>8591</v>
      </c>
      <c r="BO9" s="2"/>
      <c r="MJM9" s="2"/>
    </row>
    <row r="10" customFormat="false" ht="19.5" hidden="false" customHeight="true" outlineLevel="0" collapsed="false">
      <c r="A10" s="2" t="s">
        <v>8651</v>
      </c>
      <c r="C10" s="2" t="str">
        <f aca="false">_xlfn.CONCAT(A10, " ","(",B10,")")</f>
        <v>Acrulia inflata ()</v>
      </c>
      <c r="D10" s="2" t="s">
        <v>8580</v>
      </c>
      <c r="E10" s="2" t="s">
        <v>8581</v>
      </c>
      <c r="F10" s="2" t="s">
        <v>8652</v>
      </c>
      <c r="H10" s="2" t="e">
        <f aca="false">VLOOKUP(A10,'[1]NE red list'!A$1:H$1048576,5,FALSE())</f>
        <v>#N/A</v>
      </c>
      <c r="I10" s="2" t="s">
        <v>8653</v>
      </c>
      <c r="J10" s="2" t="s">
        <v>8654</v>
      </c>
      <c r="K10" s="2" t="s">
        <v>8655</v>
      </c>
      <c r="L10" s="2" t="s">
        <v>8656</v>
      </c>
      <c r="N10" s="2" t="str">
        <f aca="false">_xlfn.CONCAT(Q10," ",R10," ",S10)</f>
        <v>woodland parkland ToW</v>
      </c>
      <c r="O10" s="2" t="s">
        <v>14</v>
      </c>
      <c r="P10" s="2"/>
      <c r="Q10" s="2" t="s">
        <v>16</v>
      </c>
      <c r="R10" s="2" t="s">
        <v>8568</v>
      </c>
      <c r="S10" s="2" t="s">
        <v>18</v>
      </c>
      <c r="T10" s="2"/>
      <c r="U10" s="2" t="s">
        <v>8570</v>
      </c>
      <c r="X10" s="2" t="s">
        <v>8625</v>
      </c>
      <c r="Y10" s="2" t="s">
        <v>8573</v>
      </c>
      <c r="Z10" s="2" t="s">
        <v>8614</v>
      </c>
      <c r="AG10" s="7" t="s">
        <v>8575</v>
      </c>
      <c r="AM10" s="4" t="s">
        <v>8657</v>
      </c>
      <c r="AN10" s="8" t="s">
        <v>8658</v>
      </c>
      <c r="AO10" s="8" t="s">
        <v>40</v>
      </c>
      <c r="AQ10" s="8" t="s">
        <v>42</v>
      </c>
      <c r="AS10" s="2"/>
      <c r="AU10" s="4" t="s">
        <v>8639</v>
      </c>
      <c r="AV10" s="10" t="s">
        <v>8659</v>
      </c>
      <c r="BD10" s="2" t="s">
        <v>8577</v>
      </c>
      <c r="BI10" s="2" t="s">
        <v>8590</v>
      </c>
      <c r="BJ10" s="2" t="s">
        <v>8630</v>
      </c>
      <c r="BL10" s="2" t="s">
        <v>8591</v>
      </c>
      <c r="BO10" s="2"/>
      <c r="MJM10" s="2"/>
    </row>
    <row r="11" customFormat="false" ht="19.5" hidden="false" customHeight="true" outlineLevel="0" collapsed="false">
      <c r="A11" s="2" t="s">
        <v>8660</v>
      </c>
      <c r="C11" s="2" t="str">
        <f aca="false">_xlfn.CONCAT(A11, " ","(",B11,")")</f>
        <v>Amphotis marginata ()</v>
      </c>
      <c r="D11" s="2" t="s">
        <v>8580</v>
      </c>
      <c r="E11" s="2" t="s">
        <v>8581</v>
      </c>
      <c r="F11" s="2" t="s">
        <v>8661</v>
      </c>
      <c r="G11" s="2" t="s">
        <v>8662</v>
      </c>
      <c r="H11" s="2" t="e">
        <f aca="false">VLOOKUP(A11,'[1]NE red list'!A$1:H$1048576,5,FALSE())</f>
        <v>#N/A</v>
      </c>
      <c r="I11" s="2" t="s">
        <v>8610</v>
      </c>
      <c r="J11" s="2" t="s">
        <v>8663</v>
      </c>
      <c r="K11" s="2" t="s">
        <v>8664</v>
      </c>
      <c r="L11" s="2" t="s">
        <v>8665</v>
      </c>
      <c r="N11" s="2" t="str">
        <f aca="false">_xlfn.CONCAT(Q11," ",R11," ",S11)</f>
        <v>woodland parkland ToW</v>
      </c>
      <c r="O11" s="2" t="s">
        <v>14</v>
      </c>
      <c r="P11" s="2"/>
      <c r="Q11" s="2" t="s">
        <v>16</v>
      </c>
      <c r="R11" s="2" t="s">
        <v>8568</v>
      </c>
      <c r="S11" s="2" t="s">
        <v>18</v>
      </c>
      <c r="T11" s="2"/>
      <c r="U11" s="2" t="s">
        <v>8570</v>
      </c>
      <c r="W11" s="2" t="s">
        <v>8571</v>
      </c>
      <c r="Z11" s="2" t="s">
        <v>8614</v>
      </c>
      <c r="AA11" s="4" t="s">
        <v>26</v>
      </c>
      <c r="AC11" s="6" t="s">
        <v>8666</v>
      </c>
      <c r="AD11" s="6" t="s">
        <v>8615</v>
      </c>
      <c r="AG11" s="7" t="s">
        <v>8575</v>
      </c>
      <c r="AI11" s="7" t="s">
        <v>8617</v>
      </c>
      <c r="AS11" s="2"/>
      <c r="AU11" s="4" t="s">
        <v>8639</v>
      </c>
      <c r="AV11" s="10" t="s">
        <v>8664</v>
      </c>
      <c r="BI11" s="2" t="s">
        <v>8590</v>
      </c>
      <c r="BL11" s="2" t="s">
        <v>8591</v>
      </c>
      <c r="BO11" s="2"/>
      <c r="MJM11" s="2"/>
    </row>
    <row r="12" customFormat="false" ht="19.5" hidden="false" customHeight="true" outlineLevel="0" collapsed="false">
      <c r="A12" s="2" t="s">
        <v>8667</v>
      </c>
      <c r="C12" s="2" t="str">
        <f aca="false">_xlfn.CONCAT(A12, " ","(",B12,")")</f>
        <v>Anthocomus fasciatus ()</v>
      </c>
      <c r="D12" s="2" t="s">
        <v>8580</v>
      </c>
      <c r="E12" s="2" t="s">
        <v>8581</v>
      </c>
      <c r="F12" s="2" t="s">
        <v>8668</v>
      </c>
      <c r="G12" s="2" t="s">
        <v>8583</v>
      </c>
      <c r="H12" s="2" t="str">
        <f aca="false">VLOOKUP(A12,'[1]NE red list'!A$1:H$1048576,5,FALSE())</f>
        <v>LC</v>
      </c>
      <c r="I12" s="2" t="s">
        <v>8669</v>
      </c>
      <c r="J12" s="2" t="s">
        <v>8670</v>
      </c>
      <c r="K12" s="2" t="s">
        <v>8671</v>
      </c>
      <c r="L12" s="2" t="s">
        <v>8665</v>
      </c>
      <c r="N12" s="2" t="str">
        <f aca="false">_xlfn.CONCAT(Q12," ",R12," ",S12)</f>
        <v> parkland ToW</v>
      </c>
      <c r="O12" s="2" t="s">
        <v>14</v>
      </c>
      <c r="P12" s="2"/>
      <c r="R12" s="2" t="s">
        <v>8568</v>
      </c>
      <c r="S12" s="2" t="s">
        <v>18</v>
      </c>
      <c r="T12" s="2"/>
      <c r="U12" s="2" t="s">
        <v>8570</v>
      </c>
      <c r="W12" s="2" t="s">
        <v>8571</v>
      </c>
      <c r="X12" s="2" t="s">
        <v>8625</v>
      </c>
      <c r="AA12" s="4" t="s">
        <v>26</v>
      </c>
      <c r="AB12" s="5" t="s">
        <v>8672</v>
      </c>
      <c r="AD12" s="6" t="s">
        <v>8615</v>
      </c>
      <c r="AG12" s="7" t="s">
        <v>8575</v>
      </c>
      <c r="AI12" s="7" t="s">
        <v>8617</v>
      </c>
      <c r="AS12" s="2"/>
      <c r="AV12" s="11"/>
      <c r="BB12" s="2" t="s">
        <v>8618</v>
      </c>
      <c r="BI12" s="2" t="s">
        <v>8590</v>
      </c>
      <c r="BL12" s="2" t="s">
        <v>8591</v>
      </c>
      <c r="BO12" s="2"/>
      <c r="MJM12" s="2"/>
    </row>
    <row r="13" customFormat="false" ht="19.5" hidden="false" customHeight="true" outlineLevel="0" collapsed="false">
      <c r="A13" s="2" t="s">
        <v>8673</v>
      </c>
      <c r="C13" s="2" t="str">
        <f aca="false">_xlfn.CONCAT(A13, " ","(",B13,")")</f>
        <v>Agathidium arcticum ()</v>
      </c>
      <c r="D13" s="2" t="s">
        <v>8580</v>
      </c>
      <c r="E13" s="2" t="s">
        <v>8581</v>
      </c>
      <c r="F13" s="2" t="s">
        <v>8652</v>
      </c>
      <c r="G13" s="2" t="s">
        <v>8662</v>
      </c>
      <c r="H13" s="2" t="e">
        <f aca="false">VLOOKUP(A13,'[1]NE red list'!A$1:H$1048576,5,FALSE())</f>
        <v>#N/A</v>
      </c>
      <c r="I13" s="2" t="s">
        <v>8674</v>
      </c>
      <c r="J13" s="2" t="s">
        <v>8675</v>
      </c>
      <c r="K13" s="2" t="s">
        <v>8676</v>
      </c>
      <c r="L13" s="2" t="s">
        <v>8677</v>
      </c>
      <c r="N13" s="2" t="str">
        <f aca="false">_xlfn.CONCAT(Q13," ",R13," ",S13)</f>
        <v>woodland  </v>
      </c>
      <c r="O13" s="2"/>
      <c r="P13" s="2"/>
      <c r="Q13" s="2" t="s">
        <v>16</v>
      </c>
      <c r="T13" s="2"/>
      <c r="U13" s="2" t="s">
        <v>8678</v>
      </c>
      <c r="V13" s="2" t="s">
        <v>8679</v>
      </c>
      <c r="Z13" s="2" t="s">
        <v>8614</v>
      </c>
      <c r="AG13" s="7" t="s">
        <v>8575</v>
      </c>
      <c r="AM13" s="4" t="s">
        <v>8657</v>
      </c>
      <c r="AN13" s="8" t="s">
        <v>8658</v>
      </c>
      <c r="AO13" s="8" t="s">
        <v>40</v>
      </c>
      <c r="AQ13" s="8" t="s">
        <v>42</v>
      </c>
      <c r="AS13" s="2"/>
      <c r="AX13" s="4" t="s">
        <v>8676</v>
      </c>
      <c r="AZ13" s="12" t="s">
        <v>8676</v>
      </c>
      <c r="BI13" s="2" t="s">
        <v>8590</v>
      </c>
      <c r="BL13" s="2" t="s">
        <v>8591</v>
      </c>
      <c r="BO13" s="2"/>
      <c r="MJM13" s="2"/>
    </row>
    <row r="14" customFormat="false" ht="19.5" hidden="false" customHeight="true" outlineLevel="0" collapsed="false">
      <c r="A14" s="2" t="s">
        <v>8680</v>
      </c>
      <c r="C14" s="2" t="str">
        <f aca="false">_xlfn.CONCAT(A14, " ","(",B14,")")</f>
        <v>Agathidium nigrinum ()</v>
      </c>
      <c r="D14" s="2" t="s">
        <v>8580</v>
      </c>
      <c r="E14" s="2" t="s">
        <v>8581</v>
      </c>
      <c r="F14" s="2" t="s">
        <v>8652</v>
      </c>
      <c r="G14" s="2" t="s">
        <v>8644</v>
      </c>
      <c r="H14" s="2" t="e">
        <f aca="false">VLOOKUP(A14,'[1]NE red list'!A$1:H$1048576,5,FALSE())</f>
        <v>#N/A</v>
      </c>
      <c r="I14" s="2" t="s">
        <v>8681</v>
      </c>
      <c r="J14" s="2" t="s">
        <v>8682</v>
      </c>
      <c r="K14" s="2" t="s">
        <v>8683</v>
      </c>
      <c r="L14" s="2" t="s">
        <v>8677</v>
      </c>
      <c r="N14" s="2" t="str">
        <f aca="false">_xlfn.CONCAT(Q14," ",R14," ",S14)</f>
        <v>woodland  ToW</v>
      </c>
      <c r="O14" s="2" t="s">
        <v>14</v>
      </c>
      <c r="P14" s="2"/>
      <c r="Q14" s="2" t="s">
        <v>16</v>
      </c>
      <c r="S14" s="2" t="s">
        <v>18</v>
      </c>
      <c r="T14" s="2"/>
      <c r="U14" s="2" t="s">
        <v>8678</v>
      </c>
      <c r="Z14" s="2" t="s">
        <v>8614</v>
      </c>
      <c r="AG14" s="7" t="s">
        <v>8575</v>
      </c>
      <c r="AM14" s="4" t="s">
        <v>8657</v>
      </c>
      <c r="AN14" s="8" t="s">
        <v>8658</v>
      </c>
      <c r="AO14" s="8" t="s">
        <v>40</v>
      </c>
      <c r="AQ14" s="8" t="s">
        <v>42</v>
      </c>
      <c r="AS14" s="2"/>
      <c r="AU14" s="4" t="s">
        <v>8639</v>
      </c>
      <c r="AV14" s="10" t="s">
        <v>8659</v>
      </c>
      <c r="BC14" s="2" t="s">
        <v>8600</v>
      </c>
      <c r="BD14" s="2" t="s">
        <v>8577</v>
      </c>
      <c r="BI14" s="2" t="s">
        <v>8590</v>
      </c>
      <c r="BJ14" s="2" t="s">
        <v>8630</v>
      </c>
      <c r="BL14" s="2" t="s">
        <v>8591</v>
      </c>
      <c r="BO14" s="2"/>
      <c r="MJM14" s="2"/>
    </row>
    <row r="15" customFormat="false" ht="19.5" hidden="false" customHeight="true" outlineLevel="0" collapsed="false">
      <c r="A15" s="2" t="s">
        <v>8684</v>
      </c>
      <c r="C15" s="2" t="str">
        <f aca="false">_xlfn.CONCAT(A15, " ","(",B15,")")</f>
        <v>Agathidium seminulum ()</v>
      </c>
      <c r="D15" s="2" t="s">
        <v>8580</v>
      </c>
      <c r="E15" s="2" t="s">
        <v>8581</v>
      </c>
      <c r="F15" s="2" t="s">
        <v>8652</v>
      </c>
      <c r="H15" s="2" t="e">
        <f aca="false">VLOOKUP(A15,'[1]NE red list'!A$1:H$1048576,5,FALSE())</f>
        <v>#N/A</v>
      </c>
      <c r="I15" s="2" t="s">
        <v>8645</v>
      </c>
      <c r="J15" s="2" t="s">
        <v>8685</v>
      </c>
      <c r="K15" s="2" t="s">
        <v>8683</v>
      </c>
      <c r="L15" s="2" t="s">
        <v>8677</v>
      </c>
      <c r="N15" s="2" t="str">
        <f aca="false">_xlfn.CONCAT(Q15," ",R15," ",S15)</f>
        <v>woodland  </v>
      </c>
      <c r="O15" s="2"/>
      <c r="P15" s="2"/>
      <c r="Q15" s="2" t="s">
        <v>16</v>
      </c>
      <c r="T15" s="2"/>
      <c r="U15" s="2" t="s">
        <v>8570</v>
      </c>
      <c r="X15" s="2" t="s">
        <v>8625</v>
      </c>
      <c r="Z15" s="2" t="s">
        <v>8574</v>
      </c>
      <c r="AG15" s="7" t="s">
        <v>8575</v>
      </c>
      <c r="AM15" s="4" t="s">
        <v>8657</v>
      </c>
      <c r="AN15" s="8" t="s">
        <v>8658</v>
      </c>
      <c r="AO15" s="8" t="s">
        <v>40</v>
      </c>
      <c r="AQ15" s="8" t="s">
        <v>42</v>
      </c>
      <c r="AS15" s="2"/>
      <c r="BI15" s="2" t="s">
        <v>8590</v>
      </c>
      <c r="BJ15" s="2" t="s">
        <v>8630</v>
      </c>
      <c r="BL15" s="2" t="s">
        <v>8591</v>
      </c>
      <c r="BO15" s="2"/>
      <c r="MJM15" s="2"/>
    </row>
    <row r="16" s="8" customFormat="true" ht="19.5" hidden="false" customHeight="true" outlineLevel="0" collapsed="false">
      <c r="A16" s="2" t="s">
        <v>8686</v>
      </c>
      <c r="B16" s="2"/>
      <c r="C16" s="2" t="str">
        <f aca="false">_xlfn.CONCAT(A16, " ","(",B16,")")</f>
        <v>Agathomyia collini ()</v>
      </c>
      <c r="D16" s="2" t="s">
        <v>8580</v>
      </c>
      <c r="E16" s="2" t="s">
        <v>8687</v>
      </c>
      <c r="F16" s="2" t="s">
        <v>8688</v>
      </c>
      <c r="G16" s="2" t="s">
        <v>8689</v>
      </c>
      <c r="H16" s="2" t="str">
        <f aca="false">VLOOKUP(A16,'[1]NE red list'!A$1:H$1048576,5,FALSE())</f>
        <v>EN</v>
      </c>
      <c r="I16" s="2" t="s">
        <v>8690</v>
      </c>
      <c r="J16" s="2" t="s">
        <v>8691</v>
      </c>
      <c r="K16" s="2"/>
      <c r="L16" s="2"/>
      <c r="M16" s="2"/>
      <c r="N16" s="2" t="str">
        <f aca="false">_xlfn.CONCAT(Q16," ",R16," ",S16)</f>
        <v>  orchards</v>
      </c>
      <c r="O16" s="2" t="s">
        <v>14</v>
      </c>
      <c r="P16" s="2" t="s">
        <v>8587</v>
      </c>
      <c r="Q16" s="2"/>
      <c r="R16" s="2"/>
      <c r="S16" s="2" t="s">
        <v>8692</v>
      </c>
      <c r="T16" s="2"/>
      <c r="U16" s="2" t="s">
        <v>8570</v>
      </c>
      <c r="V16" s="2" t="s">
        <v>8693</v>
      </c>
      <c r="W16" s="2" t="s">
        <v>8571</v>
      </c>
      <c r="X16" s="2"/>
      <c r="Y16" s="2"/>
      <c r="Z16" s="2" t="s">
        <v>8694</v>
      </c>
      <c r="AA16" s="4"/>
      <c r="AB16" s="6"/>
      <c r="AC16" s="6"/>
      <c r="AD16" s="6"/>
      <c r="AE16" s="6"/>
      <c r="AF16" s="6"/>
      <c r="AG16" s="7"/>
      <c r="AH16" s="7"/>
      <c r="AI16" s="7"/>
      <c r="AJ16" s="7"/>
      <c r="AK16" s="7"/>
      <c r="AL16" s="7"/>
      <c r="AM16" s="4"/>
      <c r="AO16" s="31"/>
      <c r="AS16" s="2"/>
      <c r="AU16" s="4"/>
      <c r="AV16" s="11"/>
      <c r="AW16" s="11"/>
      <c r="AX16" s="4" t="s">
        <v>8585</v>
      </c>
      <c r="AY16" s="12" t="s">
        <v>8585</v>
      </c>
      <c r="AZ16" s="12"/>
      <c r="BN16" s="8" t="s">
        <v>8619</v>
      </c>
    </row>
    <row r="17" s="32" customFormat="true" ht="19.5" hidden="false" customHeight="true" outlineLevel="0" collapsed="false">
      <c r="A17" s="2" t="s">
        <v>8695</v>
      </c>
      <c r="B17" s="2"/>
      <c r="C17" s="2" t="str">
        <f aca="false">_xlfn.CONCAT(A17, " ","(",B17,")")</f>
        <v>Agathomyia lundbecki ()</v>
      </c>
      <c r="D17" s="2" t="s">
        <v>8580</v>
      </c>
      <c r="E17" s="2" t="s">
        <v>8687</v>
      </c>
      <c r="F17" s="2" t="s">
        <v>8688</v>
      </c>
      <c r="G17" s="2" t="s">
        <v>8583</v>
      </c>
      <c r="H17" s="2" t="str">
        <f aca="false">VLOOKUP(A17,'[1]NE red list'!A$1:H$1048576,5,FALSE())</f>
        <v>VU</v>
      </c>
      <c r="I17" s="2" t="s">
        <v>8696</v>
      </c>
      <c r="J17" s="2" t="s">
        <v>8697</v>
      </c>
      <c r="K17" s="2" t="s">
        <v>8698</v>
      </c>
      <c r="L17" s="2" t="s">
        <v>8677</v>
      </c>
      <c r="M17" s="2"/>
      <c r="N17" s="2" t="str">
        <f aca="false">_xlfn.CONCAT(Q17," ",R17," ",S17)</f>
        <v>woodland parkland ToW</v>
      </c>
      <c r="O17" s="2" t="s">
        <v>14</v>
      </c>
      <c r="P17" s="2"/>
      <c r="Q17" s="2" t="s">
        <v>16</v>
      </c>
      <c r="R17" s="2" t="s">
        <v>8568</v>
      </c>
      <c r="S17" s="2" t="s">
        <v>18</v>
      </c>
      <c r="T17" s="2"/>
      <c r="U17" s="2" t="s">
        <v>8570</v>
      </c>
      <c r="V17" s="2" t="s">
        <v>8699</v>
      </c>
      <c r="W17" s="2" t="s">
        <v>8571</v>
      </c>
      <c r="X17" s="2" t="s">
        <v>8589</v>
      </c>
      <c r="Y17" s="2"/>
      <c r="Z17" s="2" t="s">
        <v>8614</v>
      </c>
      <c r="AA17" s="4"/>
      <c r="AB17" s="5"/>
      <c r="AC17" s="6"/>
      <c r="AD17" s="6"/>
      <c r="AE17" s="6"/>
      <c r="AF17" s="6"/>
      <c r="AG17" s="7" t="s">
        <v>8575</v>
      </c>
      <c r="AH17" s="7"/>
      <c r="AI17" s="7"/>
      <c r="AJ17" s="7"/>
      <c r="AK17" s="7"/>
      <c r="AL17" s="7"/>
      <c r="AM17" s="4"/>
      <c r="AS17" s="2"/>
      <c r="AU17" s="4"/>
      <c r="AV17" s="11"/>
      <c r="AW17" s="11"/>
      <c r="AX17" s="4" t="s">
        <v>8585</v>
      </c>
      <c r="AY17" s="12" t="s">
        <v>8585</v>
      </c>
      <c r="AZ17" s="12"/>
      <c r="BI17" s="2" t="s">
        <v>8590</v>
      </c>
      <c r="BL17" s="32" t="s">
        <v>8591</v>
      </c>
      <c r="BN17" s="32" t="s">
        <v>8619</v>
      </c>
    </row>
    <row r="18" customFormat="false" ht="19.5" hidden="false" customHeight="true" outlineLevel="0" collapsed="false">
      <c r="A18" s="2" t="s">
        <v>8700</v>
      </c>
      <c r="C18" s="2" t="str">
        <f aca="false">_xlfn.CONCAT(A18, " ","(",B18,")")</f>
        <v>Agathomyia wankowiczii ()</v>
      </c>
      <c r="D18" s="2" t="s">
        <v>8580</v>
      </c>
      <c r="E18" s="2" t="s">
        <v>8687</v>
      </c>
      <c r="F18" s="2" t="s">
        <v>8688</v>
      </c>
      <c r="G18" s="2" t="s">
        <v>8583</v>
      </c>
      <c r="H18" s="2" t="e">
        <f aca="false">VLOOKUP(A18,'[1]NE red list'!A$1:H$1048576,5,FALSE())</f>
        <v>#N/A</v>
      </c>
      <c r="I18" s="2" t="s">
        <v>8701</v>
      </c>
      <c r="J18" s="2" t="s">
        <v>8702</v>
      </c>
      <c r="K18" s="2" t="s">
        <v>8703</v>
      </c>
      <c r="L18" s="2" t="s">
        <v>8677</v>
      </c>
      <c r="N18" s="2" t="str">
        <f aca="false">_xlfn.CONCAT(Q18," ",R18," ",S18)</f>
        <v>woodland parkland </v>
      </c>
      <c r="O18" s="3" t="s">
        <v>14</v>
      </c>
      <c r="P18" s="2"/>
      <c r="Q18" s="2" t="s">
        <v>16</v>
      </c>
      <c r="R18" s="2" t="s">
        <v>8568</v>
      </c>
      <c r="T18" s="2"/>
      <c r="U18" s="2" t="s">
        <v>8570</v>
      </c>
      <c r="V18" s="2" t="s">
        <v>8704</v>
      </c>
      <c r="X18" s="2" t="s">
        <v>8589</v>
      </c>
      <c r="Z18" s="2" t="s">
        <v>8705</v>
      </c>
      <c r="AG18" s="7" t="s">
        <v>8575</v>
      </c>
      <c r="AS18" s="2"/>
      <c r="AV18" s="11"/>
      <c r="AX18" s="4" t="s">
        <v>8585</v>
      </c>
      <c r="AY18" s="12" t="s">
        <v>8585</v>
      </c>
      <c r="BI18" s="2" t="s">
        <v>8590</v>
      </c>
      <c r="BL18" s="2" t="s">
        <v>8591</v>
      </c>
      <c r="BO18" s="2"/>
      <c r="MJM18" s="2"/>
    </row>
    <row r="19" customFormat="false" ht="19.5" hidden="false" customHeight="true" outlineLevel="0" collapsed="false">
      <c r="A19" s="2" t="s">
        <v>8706</v>
      </c>
      <c r="C19" s="2" t="str">
        <f aca="false">_xlfn.CONCAT(A19, " ","(",B19,")")</f>
        <v>Abdera biflexuosa ()</v>
      </c>
      <c r="D19" s="2" t="s">
        <v>8580</v>
      </c>
      <c r="E19" s="2" t="s">
        <v>8581</v>
      </c>
      <c r="F19" s="2" t="s">
        <v>8582</v>
      </c>
      <c r="G19" s="2" t="s">
        <v>8583</v>
      </c>
      <c r="H19" s="2" t="str">
        <f aca="false">VLOOKUP(A19,'[1]NE red list'!A$1:H$1048576,5,FALSE())</f>
        <v>LC</v>
      </c>
      <c r="I19" s="2" t="s">
        <v>8707</v>
      </c>
      <c r="J19" s="2" t="s">
        <v>8708</v>
      </c>
      <c r="K19" s="2" t="s">
        <v>8709</v>
      </c>
      <c r="L19" s="2" t="s">
        <v>8586</v>
      </c>
      <c r="N19" s="2" t="str">
        <f aca="false">_xlfn.CONCAT(Q19," ",R19," ",S19)</f>
        <v> parkland ToW</v>
      </c>
      <c r="O19" s="2" t="s">
        <v>14</v>
      </c>
      <c r="P19" s="2" t="s">
        <v>8587</v>
      </c>
      <c r="R19" s="2" t="s">
        <v>8568</v>
      </c>
      <c r="S19" s="2" t="s">
        <v>18</v>
      </c>
      <c r="T19" s="2"/>
      <c r="U19" s="2" t="s">
        <v>8570</v>
      </c>
      <c r="V19" s="2" t="s">
        <v>8710</v>
      </c>
      <c r="W19" s="2" t="s">
        <v>8587</v>
      </c>
      <c r="X19" s="2" t="s">
        <v>8597</v>
      </c>
      <c r="Y19" s="2" t="s">
        <v>8573</v>
      </c>
      <c r="Z19" s="2" t="s">
        <v>8711</v>
      </c>
      <c r="AG19" s="7" t="s">
        <v>8575</v>
      </c>
      <c r="AS19" s="2" t="s">
        <v>8599</v>
      </c>
      <c r="AV19" s="11"/>
      <c r="BI19" s="2" t="s">
        <v>8590</v>
      </c>
      <c r="BL19" s="2" t="s">
        <v>8591</v>
      </c>
      <c r="BO19" s="2"/>
      <c r="MJM19" s="2"/>
    </row>
    <row r="20" customFormat="false" ht="19.5" hidden="false" customHeight="true" outlineLevel="0" collapsed="false">
      <c r="A20" s="2" t="s">
        <v>8712</v>
      </c>
      <c r="C20" s="2" t="str">
        <f aca="false">_xlfn.CONCAT(A20, " ","(",B20,")")</f>
        <v>Agrilus viridis ()</v>
      </c>
      <c r="D20" s="2" t="s">
        <v>8580</v>
      </c>
      <c r="E20" s="2" t="s">
        <v>8581</v>
      </c>
      <c r="F20" s="2" t="s">
        <v>8713</v>
      </c>
      <c r="G20" s="2" t="s">
        <v>8583</v>
      </c>
      <c r="H20" s="2" t="str">
        <f aca="false">VLOOKUP(A20,'[1]NE red list'!A$1:H$1048576,5,FALSE())</f>
        <v>LC</v>
      </c>
      <c r="I20" s="2" t="s">
        <v>8714</v>
      </c>
      <c r="J20" s="2" t="s">
        <v>8715</v>
      </c>
      <c r="L20" s="2" t="s">
        <v>8613</v>
      </c>
      <c r="N20" s="2" t="str">
        <f aca="false">_xlfn.CONCAT(Q20," ",R20," ",S20)</f>
        <v> parkland </v>
      </c>
      <c r="O20" s="3" t="s">
        <v>14</v>
      </c>
      <c r="P20" s="2" t="s">
        <v>8587</v>
      </c>
      <c r="R20" s="2" t="s">
        <v>8568</v>
      </c>
      <c r="T20" s="2"/>
      <c r="U20" s="2" t="s">
        <v>8570</v>
      </c>
      <c r="V20" s="2" t="s">
        <v>8716</v>
      </c>
      <c r="W20" s="2" t="s">
        <v>8567</v>
      </c>
      <c r="X20" s="2" t="s">
        <v>8597</v>
      </c>
      <c r="Z20" s="2" t="s">
        <v>8717</v>
      </c>
      <c r="AG20" s="7" t="s">
        <v>8575</v>
      </c>
      <c r="AM20" s="4" t="s">
        <v>8657</v>
      </c>
      <c r="AN20" s="8" t="s">
        <v>8718</v>
      </c>
      <c r="AP20" s="8" t="s">
        <v>8719</v>
      </c>
      <c r="AS20" s="2"/>
      <c r="AV20" s="11"/>
      <c r="BI20" s="2" t="s">
        <v>8590</v>
      </c>
      <c r="BJ20" s="2" t="s">
        <v>8601</v>
      </c>
      <c r="BL20" s="2" t="s">
        <v>8591</v>
      </c>
      <c r="BO20" s="2"/>
      <c r="MJM20" s="2"/>
    </row>
    <row r="21" customFormat="false" ht="19.5" hidden="false" customHeight="true" outlineLevel="0" collapsed="false">
      <c r="A21" s="1" t="s">
        <v>8720</v>
      </c>
      <c r="B21" s="2" t="s">
        <v>8721</v>
      </c>
      <c r="C21" s="2" t="str">
        <f aca="false">_xlfn.CONCAT(A21, " ","(",B21,")")</f>
        <v>Alcis jubata (Dotted Carpet)</v>
      </c>
      <c r="D21" s="2" t="s">
        <v>8580</v>
      </c>
      <c r="E21" s="2" t="s">
        <v>8722</v>
      </c>
      <c r="F21" s="2" t="s">
        <v>8723</v>
      </c>
      <c r="G21" s="2" t="s">
        <v>8644</v>
      </c>
      <c r="H21" s="2" t="e">
        <f aca="false">VLOOKUP(A21,'[1]NE red list'!A$1:H$1048576,5,FALSE())</f>
        <v>#N/A</v>
      </c>
      <c r="I21" s="2" t="s">
        <v>8564</v>
      </c>
      <c r="J21" s="33" t="s">
        <v>8724</v>
      </c>
      <c r="K21" s="2" t="s">
        <v>8725</v>
      </c>
      <c r="L21" s="2" t="s">
        <v>8648</v>
      </c>
      <c r="N21" s="2" t="str">
        <f aca="false">_xlfn.CONCAT(Q21," ",R21," ",S21)</f>
        <v>woodland  </v>
      </c>
      <c r="O21" s="2"/>
      <c r="P21" s="2" t="s">
        <v>8567</v>
      </c>
      <c r="Q21" s="2" t="s">
        <v>16</v>
      </c>
      <c r="T21" s="2"/>
      <c r="U21" s="2" t="s">
        <v>8570</v>
      </c>
      <c r="W21" s="2" t="s">
        <v>8567</v>
      </c>
      <c r="X21" s="2" t="s">
        <v>8597</v>
      </c>
      <c r="Y21" s="2" t="s">
        <v>8573</v>
      </c>
      <c r="Z21" s="2" t="s">
        <v>8694</v>
      </c>
      <c r="AS21" s="2"/>
      <c r="AU21" s="4" t="s">
        <v>8639</v>
      </c>
      <c r="AV21" s="11"/>
      <c r="AW21" s="11" t="s">
        <v>8726</v>
      </c>
      <c r="BI21" s="2" t="s">
        <v>8590</v>
      </c>
      <c r="BL21" s="2" t="s">
        <v>8591</v>
      </c>
      <c r="BO21" s="2"/>
      <c r="MJM21" s="2"/>
    </row>
    <row r="22" customFormat="false" ht="19.5" hidden="false" customHeight="true" outlineLevel="0" collapsed="false">
      <c r="A22" s="2" t="s">
        <v>8727</v>
      </c>
      <c r="C22" s="2" t="str">
        <f aca="false">_xlfn.CONCAT(A22, " ","(",B22,")")</f>
        <v>Amaurobius fenestralis ()</v>
      </c>
      <c r="D22" s="2" t="s">
        <v>8728</v>
      </c>
      <c r="E22" s="2" t="s">
        <v>8729</v>
      </c>
      <c r="F22" s="34" t="s">
        <v>8730</v>
      </c>
      <c r="G22" s="2" t="s">
        <v>8731</v>
      </c>
      <c r="H22" s="2" t="str">
        <f aca="false">VLOOKUP(A22,'[1]NE red list'!A$1:H$1048576,5,FALSE())</f>
        <v>LC</v>
      </c>
      <c r="I22" s="2" t="s">
        <v>8645</v>
      </c>
      <c r="J22" s="2" t="s">
        <v>8732</v>
      </c>
      <c r="K22" s="2" t="s">
        <v>8733</v>
      </c>
      <c r="L22" s="2" t="s">
        <v>8665</v>
      </c>
      <c r="N22" s="2" t="str">
        <f aca="false">_xlfn.CONCAT(Q22," ",R22," ",S22)</f>
        <v>woodland parkland ToW</v>
      </c>
      <c r="O22" s="2" t="s">
        <v>14</v>
      </c>
      <c r="P22" s="2" t="s">
        <v>8567</v>
      </c>
      <c r="Q22" s="2" t="s">
        <v>16</v>
      </c>
      <c r="R22" s="2" t="s">
        <v>8568</v>
      </c>
      <c r="S22" s="2" t="s">
        <v>18</v>
      </c>
      <c r="T22" s="2"/>
      <c r="U22" s="2" t="s">
        <v>8570</v>
      </c>
      <c r="X22" s="2" t="s">
        <v>8589</v>
      </c>
      <c r="AG22" s="7" t="s">
        <v>8575</v>
      </c>
      <c r="AM22" s="4" t="s">
        <v>8657</v>
      </c>
      <c r="AN22" s="8" t="s">
        <v>8734</v>
      </c>
      <c r="AO22" s="8" t="s">
        <v>40</v>
      </c>
      <c r="AP22" s="8" t="s">
        <v>8735</v>
      </c>
      <c r="AQ22" s="8" t="s">
        <v>42</v>
      </c>
      <c r="AR22" s="8" t="s">
        <v>43</v>
      </c>
      <c r="AS22" s="2"/>
      <c r="AV22" s="11"/>
      <c r="BC22" s="2" t="s">
        <v>8600</v>
      </c>
      <c r="BD22" s="2" t="s">
        <v>8629</v>
      </c>
      <c r="BI22" s="2" t="s">
        <v>8590</v>
      </c>
      <c r="BL22" s="2" t="s">
        <v>8591</v>
      </c>
      <c r="BO22" s="2"/>
      <c r="MJM22" s="2"/>
    </row>
    <row r="23" customFormat="false" ht="19.5" hidden="false" customHeight="true" outlineLevel="0" collapsed="false">
      <c r="A23" s="2" t="s">
        <v>8736</v>
      </c>
      <c r="C23" s="2" t="str">
        <f aca="false">_xlfn.CONCAT(A23, " ","(",B23,")")</f>
        <v>Ampedus balteatus ()</v>
      </c>
      <c r="D23" s="2" t="s">
        <v>8580</v>
      </c>
      <c r="E23" s="2" t="s">
        <v>8581</v>
      </c>
      <c r="F23" s="2" t="s">
        <v>8621</v>
      </c>
      <c r="G23" s="2" t="s">
        <v>8737</v>
      </c>
      <c r="H23" s="2" t="e">
        <f aca="false">VLOOKUP(A23,'[1]NE red list'!A$1:H$1048576,5,FALSE())</f>
        <v>#N/A</v>
      </c>
      <c r="I23" s="2" t="s">
        <v>8645</v>
      </c>
      <c r="J23" s="2" t="s">
        <v>8738</v>
      </c>
      <c r="K23" s="2" t="s">
        <v>8739</v>
      </c>
      <c r="L23" s="2" t="s">
        <v>8665</v>
      </c>
      <c r="N23" s="2" t="str">
        <f aca="false">_xlfn.CONCAT(Q23," ",R23," ",S23)</f>
        <v>woodland parkland </v>
      </c>
      <c r="O23" s="3" t="s">
        <v>14</v>
      </c>
      <c r="P23" s="2" t="s">
        <v>8587</v>
      </c>
      <c r="Q23" s="2" t="s">
        <v>16</v>
      </c>
      <c r="R23" s="2" t="s">
        <v>8568</v>
      </c>
      <c r="T23" s="2"/>
      <c r="U23" s="2" t="s">
        <v>8678</v>
      </c>
      <c r="V23" s="2" t="s">
        <v>8740</v>
      </c>
      <c r="W23" s="2" t="s">
        <v>8571</v>
      </c>
      <c r="X23" s="2" t="s">
        <v>8741</v>
      </c>
      <c r="Z23" s="2" t="s">
        <v>8694</v>
      </c>
      <c r="AG23" s="7" t="s">
        <v>8575</v>
      </c>
      <c r="AI23" s="7" t="s">
        <v>8617</v>
      </c>
      <c r="AJ23" s="7" t="s">
        <v>8626</v>
      </c>
      <c r="AS23" s="2"/>
      <c r="AV23" s="11"/>
      <c r="BB23" s="2" t="s">
        <v>8618</v>
      </c>
      <c r="BD23" s="2" t="s">
        <v>8629</v>
      </c>
      <c r="BI23" s="2" t="s">
        <v>8590</v>
      </c>
      <c r="BL23" s="2" t="s">
        <v>8591</v>
      </c>
      <c r="BO23" s="2"/>
      <c r="MJM23" s="2"/>
    </row>
    <row r="24" customFormat="false" ht="19.5" hidden="false" customHeight="true" outlineLevel="0" collapsed="false">
      <c r="A24" s="2" t="s">
        <v>8742</v>
      </c>
      <c r="C24" s="2" t="str">
        <f aca="false">_xlfn.CONCAT(A24, " ","(",B24,")")</f>
        <v>Agrilus laticornis ()</v>
      </c>
      <c r="D24" s="2" t="s">
        <v>8580</v>
      </c>
      <c r="E24" s="2" t="s">
        <v>8581</v>
      </c>
      <c r="F24" s="2" t="s">
        <v>8713</v>
      </c>
      <c r="G24" s="2" t="s">
        <v>8583</v>
      </c>
      <c r="H24" s="2" t="str">
        <f aca="false">VLOOKUP(A24,'[1]NE red list'!A$1:H$1048576,5,FALSE())</f>
        <v>LC</v>
      </c>
      <c r="I24" s="2" t="s">
        <v>8743</v>
      </c>
      <c r="J24" s="2" t="s">
        <v>8744</v>
      </c>
      <c r="L24" s="2" t="s">
        <v>8586</v>
      </c>
      <c r="N24" s="2" t="str">
        <f aca="false">_xlfn.CONCAT(Q24," ",R24," ",S24)</f>
        <v> parkland ToW</v>
      </c>
      <c r="O24" s="2" t="s">
        <v>14</v>
      </c>
      <c r="P24" s="2" t="s">
        <v>8587</v>
      </c>
      <c r="R24" s="2" t="s">
        <v>8568</v>
      </c>
      <c r="S24" s="2" t="s">
        <v>18</v>
      </c>
      <c r="T24" s="2"/>
      <c r="U24" s="2" t="s">
        <v>8570</v>
      </c>
      <c r="V24" s="2" t="s">
        <v>8745</v>
      </c>
      <c r="W24" s="2" t="s">
        <v>8587</v>
      </c>
      <c r="X24" s="2" t="s">
        <v>8746</v>
      </c>
      <c r="Y24" s="2" t="s">
        <v>8573</v>
      </c>
      <c r="Z24" s="2" t="s">
        <v>8717</v>
      </c>
      <c r="AG24" s="7" t="s">
        <v>8575</v>
      </c>
      <c r="AN24" s="8" t="s">
        <v>8718</v>
      </c>
      <c r="AS24" s="2" t="s">
        <v>8599</v>
      </c>
      <c r="AV24" s="11"/>
      <c r="BI24" s="2" t="s">
        <v>8590</v>
      </c>
      <c r="BJ24" s="2" t="s">
        <v>8747</v>
      </c>
      <c r="BL24" s="2" t="s">
        <v>8591</v>
      </c>
      <c r="BO24" s="2"/>
      <c r="MJM24" s="2"/>
    </row>
    <row r="25" customFormat="false" ht="19.5" hidden="false" customHeight="true" outlineLevel="0" collapsed="false">
      <c r="A25" s="1" t="s">
        <v>8748</v>
      </c>
      <c r="B25" s="2" t="s">
        <v>8749</v>
      </c>
      <c r="C25" s="2" t="str">
        <f aca="false">_xlfn.CONCAT(A25, " ","(",B25,")")</f>
        <v>Ampedus cardinalis (Cardinal Click Beetle)</v>
      </c>
      <c r="D25" s="2" t="s">
        <v>8580</v>
      </c>
      <c r="E25" s="2" t="s">
        <v>8581</v>
      </c>
      <c r="F25" s="2" t="s">
        <v>8621</v>
      </c>
      <c r="G25" s="2" t="s">
        <v>8662</v>
      </c>
      <c r="H25" s="2" t="e">
        <f aca="false">VLOOKUP(A25,'[1]NE red list'!A$1:H$1048576,5,FALSE())</f>
        <v>#N/A</v>
      </c>
      <c r="I25" s="2" t="s">
        <v>8750</v>
      </c>
      <c r="J25" s="2" t="s">
        <v>8751</v>
      </c>
      <c r="L25" s="2" t="s">
        <v>8613</v>
      </c>
      <c r="N25" s="2" t="str">
        <f aca="false">_xlfn.CONCAT(Q25," ",R25," ",S25)</f>
        <v>woodland parkland </v>
      </c>
      <c r="O25" s="3" t="s">
        <v>14</v>
      </c>
      <c r="P25" s="2" t="s">
        <v>8587</v>
      </c>
      <c r="Q25" s="2" t="s">
        <v>16</v>
      </c>
      <c r="R25" s="2" t="s">
        <v>8568</v>
      </c>
      <c r="T25" s="2"/>
      <c r="U25" s="2" t="s">
        <v>8570</v>
      </c>
      <c r="V25" s="2" t="s">
        <v>8745</v>
      </c>
      <c r="W25" s="2" t="s">
        <v>8571</v>
      </c>
      <c r="X25" s="2" t="s">
        <v>8625</v>
      </c>
      <c r="Z25" s="2" t="s">
        <v>8614</v>
      </c>
      <c r="AG25" s="7" t="s">
        <v>8575</v>
      </c>
      <c r="AI25" s="7" t="s">
        <v>8617</v>
      </c>
      <c r="AJ25" s="7" t="s">
        <v>8612</v>
      </c>
      <c r="AM25" s="4" t="s">
        <v>8657</v>
      </c>
      <c r="AN25" s="8" t="s">
        <v>8734</v>
      </c>
      <c r="AO25" s="8" t="s">
        <v>40</v>
      </c>
      <c r="AQ25" s="8" t="s">
        <v>42</v>
      </c>
      <c r="AS25" s="2"/>
      <c r="AV25" s="11"/>
      <c r="BI25" s="2" t="s">
        <v>8590</v>
      </c>
      <c r="BJ25" s="2" t="s">
        <v>8747</v>
      </c>
      <c r="BL25" s="2" t="s">
        <v>8591</v>
      </c>
      <c r="BM25" s="2" t="s">
        <v>8619</v>
      </c>
      <c r="BO25" s="2"/>
      <c r="MJM25" s="2"/>
    </row>
    <row r="26" customFormat="false" ht="19.5" hidden="false" customHeight="true" outlineLevel="0" collapsed="false">
      <c r="A26" s="2" t="s">
        <v>8752</v>
      </c>
      <c r="C26" s="2" t="str">
        <f aca="false">_xlfn.CONCAT(A26, " ","(",B26,")")</f>
        <v>Ampedus elongantulus ()</v>
      </c>
      <c r="D26" s="2" t="s">
        <v>8580</v>
      </c>
      <c r="E26" s="2" t="s">
        <v>8581</v>
      </c>
      <c r="F26" s="2" t="s">
        <v>8621</v>
      </c>
      <c r="G26" s="2" t="s">
        <v>8583</v>
      </c>
      <c r="H26" s="2" t="e">
        <f aca="false">VLOOKUP(A26,'[1]NE red list'!A$1:H$1048576,5,FALSE())</f>
        <v>#N/A</v>
      </c>
      <c r="I26" s="2" t="s">
        <v>8753</v>
      </c>
      <c r="J26" s="2" t="s">
        <v>8754</v>
      </c>
      <c r="K26" s="2" t="s">
        <v>8755</v>
      </c>
      <c r="L26" s="2" t="s">
        <v>8586</v>
      </c>
      <c r="N26" s="2" t="str">
        <f aca="false">_xlfn.CONCAT(Q26," ",R26," ",S26)</f>
        <v>woodland parkland </v>
      </c>
      <c r="O26" s="3" t="s">
        <v>14</v>
      </c>
      <c r="P26" s="2" t="s">
        <v>8587</v>
      </c>
      <c r="Q26" s="2" t="s">
        <v>16</v>
      </c>
      <c r="R26" s="2" t="s">
        <v>8568</v>
      </c>
      <c r="T26" s="2"/>
      <c r="U26" s="2" t="s">
        <v>8678</v>
      </c>
      <c r="V26" s="2" t="s">
        <v>8756</v>
      </c>
      <c r="W26" s="2" t="s">
        <v>8587</v>
      </c>
      <c r="X26" s="2" t="s">
        <v>8589</v>
      </c>
      <c r="Y26" s="2" t="s">
        <v>8573</v>
      </c>
      <c r="Z26" s="2" t="s">
        <v>8614</v>
      </c>
      <c r="AG26" s="7" t="s">
        <v>8575</v>
      </c>
      <c r="AI26" s="7" t="s">
        <v>8617</v>
      </c>
      <c r="AJ26" s="7" t="s">
        <v>8612</v>
      </c>
      <c r="AS26" s="2"/>
      <c r="AV26" s="11"/>
      <c r="BB26" s="2" t="s">
        <v>8618</v>
      </c>
      <c r="BL26" s="2" t="s">
        <v>8591</v>
      </c>
      <c r="BM26" s="2" t="s">
        <v>8619</v>
      </c>
      <c r="BO26" s="2"/>
      <c r="MJM26" s="2"/>
    </row>
    <row r="27" customFormat="false" ht="19.5" hidden="false" customHeight="true" outlineLevel="0" collapsed="false">
      <c r="A27" s="2" t="s">
        <v>8757</v>
      </c>
      <c r="C27" s="2" t="str">
        <f aca="false">_xlfn.CONCAT(A27, " ","(",B27,")")</f>
        <v>Ampedus cinnabarinus ()</v>
      </c>
      <c r="D27" s="2" t="s">
        <v>8580</v>
      </c>
      <c r="E27" s="2" t="s">
        <v>8581</v>
      </c>
      <c r="F27" s="2" t="s">
        <v>8621</v>
      </c>
      <c r="G27" s="2" t="s">
        <v>8662</v>
      </c>
      <c r="H27" s="2" t="e">
        <f aca="false">VLOOKUP(A27,'[1]NE red list'!A$1:H$1048576,5,FALSE())</f>
        <v>#N/A</v>
      </c>
      <c r="I27" s="2" t="s">
        <v>8610</v>
      </c>
      <c r="J27" s="2" t="s">
        <v>8758</v>
      </c>
      <c r="K27" s="2" t="s">
        <v>8759</v>
      </c>
      <c r="L27" s="2" t="s">
        <v>8613</v>
      </c>
      <c r="N27" s="2" t="str">
        <f aca="false">_xlfn.CONCAT(Q27," ",R27," ",S27)</f>
        <v>woodland parkland </v>
      </c>
      <c r="O27" s="3" t="s">
        <v>14</v>
      </c>
      <c r="P27" s="2" t="s">
        <v>8567</v>
      </c>
      <c r="Q27" s="2" t="s">
        <v>16</v>
      </c>
      <c r="R27" s="2" t="s">
        <v>8568</v>
      </c>
      <c r="T27" s="2"/>
      <c r="U27" s="2" t="s">
        <v>8570</v>
      </c>
      <c r="V27" s="2" t="s">
        <v>8745</v>
      </c>
      <c r="W27" s="2" t="s">
        <v>8567</v>
      </c>
      <c r="X27" s="2" t="s">
        <v>8625</v>
      </c>
      <c r="Z27" s="2" t="s">
        <v>8574</v>
      </c>
      <c r="AG27" s="7" t="s">
        <v>8575</v>
      </c>
      <c r="AI27" s="7" t="s">
        <v>8617</v>
      </c>
      <c r="AN27" s="8" t="s">
        <v>8638</v>
      </c>
      <c r="AS27" s="2"/>
      <c r="AV27" s="11"/>
      <c r="BI27" s="2" t="s">
        <v>8590</v>
      </c>
      <c r="BJ27" s="2" t="s">
        <v>8630</v>
      </c>
      <c r="BL27" s="2" t="s">
        <v>8591</v>
      </c>
      <c r="BM27" s="2" t="s">
        <v>8619</v>
      </c>
      <c r="BO27" s="2"/>
      <c r="MJM27" s="2"/>
    </row>
    <row r="28" customFormat="false" ht="19.5" hidden="false" customHeight="true" outlineLevel="0" collapsed="false">
      <c r="A28" s="2" t="s">
        <v>8760</v>
      </c>
      <c r="C28" s="2" t="str">
        <f aca="false">_xlfn.CONCAT(A28, " ","(",B28,")")</f>
        <v>Ampedus nigrinus ()</v>
      </c>
      <c r="D28" s="2" t="s">
        <v>8580</v>
      </c>
      <c r="E28" s="2" t="s">
        <v>8581</v>
      </c>
      <c r="F28" s="2" t="s">
        <v>8621</v>
      </c>
      <c r="G28" s="2" t="s">
        <v>8583</v>
      </c>
      <c r="H28" s="2" t="e">
        <f aca="false">VLOOKUP(A28,'[1]NE red list'!A$1:H$1048576,5,FALSE())</f>
        <v>#N/A</v>
      </c>
      <c r="I28" s="2" t="s">
        <v>8761</v>
      </c>
      <c r="J28" s="2" t="s">
        <v>8762</v>
      </c>
      <c r="K28" s="2" t="s">
        <v>8763</v>
      </c>
      <c r="L28" s="2" t="s">
        <v>8613</v>
      </c>
      <c r="N28" s="2" t="str">
        <f aca="false">_xlfn.CONCAT(Q28," ",R28," ",S28)</f>
        <v>woodland parkland </v>
      </c>
      <c r="O28" s="3" t="s">
        <v>14</v>
      </c>
      <c r="P28" s="2" t="s">
        <v>8587</v>
      </c>
      <c r="Q28" s="2" t="s">
        <v>16</v>
      </c>
      <c r="R28" s="2" t="s">
        <v>8568</v>
      </c>
      <c r="T28" s="2"/>
      <c r="U28" s="2" t="s">
        <v>8570</v>
      </c>
      <c r="V28" s="2" t="s">
        <v>8763</v>
      </c>
      <c r="W28" s="2" t="s">
        <v>8571</v>
      </c>
      <c r="X28" s="2" t="s">
        <v>8589</v>
      </c>
      <c r="Z28" s="2" t="s">
        <v>8614</v>
      </c>
      <c r="AG28" s="7" t="s">
        <v>8575</v>
      </c>
      <c r="AI28" s="7" t="s">
        <v>8617</v>
      </c>
      <c r="AL28" s="7" t="s">
        <v>8628</v>
      </c>
      <c r="AS28" s="2"/>
      <c r="AV28" s="11"/>
      <c r="BI28" s="2" t="s">
        <v>8590</v>
      </c>
      <c r="BL28" s="2" t="s">
        <v>8591</v>
      </c>
      <c r="BM28" s="2" t="s">
        <v>8619</v>
      </c>
      <c r="BO28" s="2"/>
      <c r="MJM28" s="2"/>
    </row>
    <row r="29" customFormat="false" ht="19.5" hidden="false" customHeight="true" outlineLevel="0" collapsed="false">
      <c r="A29" s="2" t="s">
        <v>8764</v>
      </c>
      <c r="C29" s="2" t="str">
        <f aca="false">_xlfn.CONCAT(A29, " ","(",B29,")")</f>
        <v>Ampedus pomorum ()</v>
      </c>
      <c r="D29" s="2" t="s">
        <v>8580</v>
      </c>
      <c r="E29" s="2" t="s">
        <v>8581</v>
      </c>
      <c r="F29" s="2" t="s">
        <v>8621</v>
      </c>
      <c r="G29" s="2" t="s">
        <v>8583</v>
      </c>
      <c r="H29" s="2" t="e">
        <f aca="false">VLOOKUP(A29,'[1]NE red list'!A$1:H$1048576,5,FALSE())</f>
        <v>#N/A</v>
      </c>
      <c r="I29" s="2" t="s">
        <v>8761</v>
      </c>
      <c r="J29" s="2" t="s">
        <v>8765</v>
      </c>
      <c r="L29" s="2" t="s">
        <v>8613</v>
      </c>
      <c r="N29" s="2" t="str">
        <f aca="false">_xlfn.CONCAT(Q29," ",R29," ",S29)</f>
        <v> parkland </v>
      </c>
      <c r="O29" s="3" t="s">
        <v>14</v>
      </c>
      <c r="P29" s="2" t="s">
        <v>8587</v>
      </c>
      <c r="R29" s="2" t="s">
        <v>8568</v>
      </c>
      <c r="T29" s="2"/>
      <c r="U29" s="2" t="s">
        <v>8678</v>
      </c>
      <c r="V29" s="2" t="s">
        <v>8766</v>
      </c>
      <c r="W29" s="2" t="s">
        <v>8571</v>
      </c>
      <c r="X29" s="2" t="s">
        <v>8625</v>
      </c>
      <c r="Z29" s="2" t="s">
        <v>8614</v>
      </c>
      <c r="AG29" s="7" t="s">
        <v>8575</v>
      </c>
      <c r="AI29" s="7" t="s">
        <v>8617</v>
      </c>
      <c r="AJ29" s="7" t="s">
        <v>8612</v>
      </c>
      <c r="AK29" s="7" t="s">
        <v>8627</v>
      </c>
      <c r="AS29" s="2"/>
      <c r="AV29" s="11"/>
      <c r="BI29" s="2" t="s">
        <v>8590</v>
      </c>
      <c r="BJ29" s="2" t="s">
        <v>8630</v>
      </c>
      <c r="BL29" s="2" t="s">
        <v>8591</v>
      </c>
      <c r="BM29" s="2" t="s">
        <v>8619</v>
      </c>
      <c r="BO29" s="2"/>
      <c r="MJM29" s="2"/>
    </row>
    <row r="30" customFormat="false" ht="19.5" hidden="false" customHeight="true" outlineLevel="0" collapsed="false">
      <c r="A30" s="2" t="s">
        <v>8767</v>
      </c>
      <c r="C30" s="2" t="str">
        <f aca="false">_xlfn.CONCAT(A30, " ","(",B30,")")</f>
        <v>Ampedus nigerrimus ()</v>
      </c>
      <c r="D30" s="2" t="s">
        <v>8580</v>
      </c>
      <c r="E30" s="2" t="s">
        <v>8581</v>
      </c>
      <c r="F30" s="2" t="s">
        <v>8621</v>
      </c>
      <c r="G30" s="2" t="s">
        <v>8662</v>
      </c>
      <c r="H30" s="2" t="e">
        <f aca="false">VLOOKUP(A30,'[1]NE red list'!A$1:H$1048576,5,FALSE())</f>
        <v>#N/A</v>
      </c>
      <c r="I30" s="2" t="s">
        <v>8610</v>
      </c>
      <c r="J30" s="2" t="s">
        <v>8768</v>
      </c>
      <c r="K30" s="2" t="s">
        <v>8769</v>
      </c>
      <c r="L30" s="2" t="s">
        <v>8770</v>
      </c>
      <c r="N30" s="2" t="str">
        <f aca="false">_xlfn.CONCAT(Q30," ",R30," ",S30)</f>
        <v> parkland </v>
      </c>
      <c r="O30" s="3" t="s">
        <v>14</v>
      </c>
      <c r="P30" s="2" t="s">
        <v>8587</v>
      </c>
      <c r="R30" s="2" t="s">
        <v>8568</v>
      </c>
      <c r="T30" s="2"/>
      <c r="U30" s="2" t="s">
        <v>8570</v>
      </c>
      <c r="V30" s="2" t="s">
        <v>8745</v>
      </c>
      <c r="W30" s="2" t="s">
        <v>8587</v>
      </c>
      <c r="X30" s="2" t="s">
        <v>8771</v>
      </c>
      <c r="Y30" s="2" t="s">
        <v>8772</v>
      </c>
      <c r="Z30" s="2" t="s">
        <v>8614</v>
      </c>
      <c r="AG30" s="7" t="s">
        <v>8575</v>
      </c>
      <c r="AI30" s="7" t="s">
        <v>8617</v>
      </c>
      <c r="AJ30" s="7" t="s">
        <v>8612</v>
      </c>
      <c r="AS30" s="2"/>
      <c r="AV30" s="11"/>
      <c r="BB30" s="2" t="s">
        <v>8618</v>
      </c>
      <c r="BI30" s="2" t="s">
        <v>8590</v>
      </c>
      <c r="BJ30" s="2" t="s">
        <v>8773</v>
      </c>
      <c r="BL30" s="2" t="s">
        <v>8591</v>
      </c>
      <c r="BM30" s="2" t="s">
        <v>8619</v>
      </c>
      <c r="BO30" s="2"/>
      <c r="MJM30" s="2"/>
    </row>
    <row r="31" customFormat="false" ht="19.5" hidden="false" customHeight="true" outlineLevel="0" collapsed="false">
      <c r="A31" s="1" t="s">
        <v>8774</v>
      </c>
      <c r="B31" s="2" t="s">
        <v>8775</v>
      </c>
      <c r="C31" s="2" t="str">
        <f aca="false">_xlfn.CONCAT(A31, " ","(",B31,")")</f>
        <v>Ampedus rufipennis (a click-beetle)</v>
      </c>
      <c r="D31" s="2" t="s">
        <v>8580</v>
      </c>
      <c r="E31" s="2" t="s">
        <v>8581</v>
      </c>
      <c r="F31" s="2" t="s">
        <v>8621</v>
      </c>
      <c r="G31" s="2" t="s">
        <v>8776</v>
      </c>
      <c r="H31" s="2" t="e">
        <f aca="false">VLOOKUP(A31,'[1]NE red list'!A$1:H$1048576,5,FALSE())</f>
        <v>#N/A</v>
      </c>
      <c r="I31" s="2" t="s">
        <v>8610</v>
      </c>
      <c r="J31" s="2" t="s">
        <v>8777</v>
      </c>
      <c r="K31" s="2" t="s">
        <v>8778</v>
      </c>
      <c r="L31" s="2" t="s">
        <v>8613</v>
      </c>
      <c r="N31" s="2" t="str">
        <f aca="false">_xlfn.CONCAT(Q31," ",R31," ",S31)</f>
        <v> parkland </v>
      </c>
      <c r="O31" s="3" t="s">
        <v>14</v>
      </c>
      <c r="P31" s="2" t="s">
        <v>8587</v>
      </c>
      <c r="R31" s="2" t="s">
        <v>8568</v>
      </c>
      <c r="T31" s="2"/>
      <c r="U31" s="2" t="s">
        <v>8570</v>
      </c>
      <c r="V31" s="2" t="s">
        <v>8779</v>
      </c>
      <c r="W31" s="2" t="s">
        <v>8571</v>
      </c>
      <c r="X31" s="2" t="s">
        <v>8625</v>
      </c>
      <c r="Z31" s="2" t="s">
        <v>8694</v>
      </c>
      <c r="AG31" s="7" t="s">
        <v>8575</v>
      </c>
      <c r="AI31" s="7" t="s">
        <v>8617</v>
      </c>
      <c r="AK31" s="7" t="s">
        <v>8780</v>
      </c>
      <c r="AL31" s="7" t="s">
        <v>8628</v>
      </c>
      <c r="AS31" s="2"/>
      <c r="AV31" s="11"/>
      <c r="BB31" s="2" t="s">
        <v>8618</v>
      </c>
      <c r="BD31" s="2" t="s">
        <v>8629</v>
      </c>
      <c r="BI31" s="2" t="s">
        <v>8590</v>
      </c>
      <c r="BL31" s="2" t="s">
        <v>8578</v>
      </c>
      <c r="BM31" s="2" t="s">
        <v>8619</v>
      </c>
      <c r="BN31" s="2" t="s">
        <v>8619</v>
      </c>
      <c r="BO31" s="2"/>
      <c r="MJM31" s="2"/>
    </row>
    <row r="32" customFormat="false" ht="19.5" hidden="false" customHeight="true" outlineLevel="0" collapsed="false">
      <c r="A32" s="1" t="s">
        <v>8781</v>
      </c>
      <c r="B32" s="2" t="s">
        <v>8782</v>
      </c>
      <c r="C32" s="2" t="str">
        <f aca="false">_xlfn.CONCAT(A32, " ","(",B32,")")</f>
        <v>Atheta consanguinea (Acrotona troglodytes)</v>
      </c>
      <c r="D32" s="2" t="s">
        <v>8580</v>
      </c>
      <c r="E32" s="2" t="s">
        <v>8581</v>
      </c>
      <c r="F32" s="2" t="s">
        <v>8652</v>
      </c>
      <c r="G32" s="2" t="s">
        <v>8737</v>
      </c>
      <c r="H32" s="2" t="e">
        <f aca="false">VLOOKUP(A32,'[1]NE red list'!A$1:H$1048576,5,FALSE())</f>
        <v>#N/A</v>
      </c>
      <c r="I32" s="2" t="s">
        <v>8645</v>
      </c>
      <c r="J32" s="2" t="s">
        <v>8783</v>
      </c>
      <c r="L32" s="2" t="s">
        <v>8677</v>
      </c>
      <c r="N32" s="2" t="str">
        <f aca="false">_xlfn.CONCAT(Q32," ",R32," ",S32)</f>
        <v> parkland </v>
      </c>
      <c r="O32" s="3" t="s">
        <v>14</v>
      </c>
      <c r="P32" s="2"/>
      <c r="R32" s="2" t="s">
        <v>8568</v>
      </c>
      <c r="T32" s="2"/>
      <c r="U32" s="2" t="s">
        <v>8570</v>
      </c>
      <c r="V32" s="2" t="s">
        <v>8779</v>
      </c>
      <c r="W32" s="2" t="s">
        <v>8587</v>
      </c>
      <c r="X32" s="2" t="s">
        <v>8784</v>
      </c>
      <c r="Z32" s="2" t="s">
        <v>8598</v>
      </c>
      <c r="AA32" s="4" t="s">
        <v>26</v>
      </c>
      <c r="AC32" s="6" t="s">
        <v>8666</v>
      </c>
      <c r="AD32" s="6" t="s">
        <v>8615</v>
      </c>
      <c r="AF32" s="6" t="s">
        <v>8616</v>
      </c>
      <c r="AG32" s="7" t="s">
        <v>8575</v>
      </c>
      <c r="AI32" s="7" t="s">
        <v>8617</v>
      </c>
      <c r="AL32" s="7" t="s">
        <v>8785</v>
      </c>
      <c r="AS32" s="2"/>
      <c r="AU32" s="4" t="s">
        <v>8639</v>
      </c>
      <c r="AV32" s="10" t="s">
        <v>8664</v>
      </c>
      <c r="BI32" s="2" t="s">
        <v>8590</v>
      </c>
      <c r="BL32" s="2" t="s">
        <v>8591</v>
      </c>
      <c r="BO32" s="2"/>
      <c r="MJM32" s="2"/>
    </row>
    <row r="33" customFormat="false" ht="19.5" hidden="false" customHeight="true" outlineLevel="0" collapsed="false">
      <c r="A33" s="2" t="s">
        <v>8786</v>
      </c>
      <c r="C33" s="2" t="str">
        <f aca="false">_xlfn.CONCAT(A33, " ","(",B33,")")</f>
        <v>Anaglyptus mysticus ()</v>
      </c>
      <c r="D33" s="2" t="s">
        <v>8580</v>
      </c>
      <c r="E33" s="2" t="s">
        <v>8581</v>
      </c>
      <c r="F33" s="2" t="s">
        <v>8787</v>
      </c>
      <c r="G33" s="2" t="s">
        <v>8583</v>
      </c>
      <c r="H33" s="2" t="str">
        <f aca="false">VLOOKUP(A33,'[1]NE red list'!A$1:H$1048576,5,FALSE())</f>
        <v>LC</v>
      </c>
      <c r="I33" s="2" t="s">
        <v>8788</v>
      </c>
      <c r="J33" s="2" t="s">
        <v>8789</v>
      </c>
      <c r="L33" s="2" t="s">
        <v>8790</v>
      </c>
      <c r="N33" s="2" t="str">
        <f aca="false">_xlfn.CONCAT(Q33," ",R33," ",S33)</f>
        <v> parkland ToW</v>
      </c>
      <c r="O33" s="2" t="s">
        <v>14</v>
      </c>
      <c r="P33" s="2" t="s">
        <v>8587</v>
      </c>
      <c r="R33" s="2" t="s">
        <v>8568</v>
      </c>
      <c r="S33" s="2" t="s">
        <v>18</v>
      </c>
      <c r="T33" s="2"/>
      <c r="U33" s="2" t="s">
        <v>8570</v>
      </c>
      <c r="W33" s="2" t="s">
        <v>8567</v>
      </c>
      <c r="X33" s="2" t="s">
        <v>8597</v>
      </c>
      <c r="Z33" s="2" t="s">
        <v>8574</v>
      </c>
      <c r="AG33" s="7" t="s">
        <v>8575</v>
      </c>
      <c r="AM33" s="4" t="s">
        <v>8657</v>
      </c>
      <c r="AN33" s="8" t="s">
        <v>8638</v>
      </c>
      <c r="AP33" s="8" t="s">
        <v>8791</v>
      </c>
      <c r="AS33" s="2" t="s">
        <v>8792</v>
      </c>
      <c r="AV33" s="11"/>
      <c r="BB33" s="2" t="s">
        <v>8618</v>
      </c>
      <c r="BD33" s="2" t="s">
        <v>8793</v>
      </c>
      <c r="BI33" s="2" t="s">
        <v>8590</v>
      </c>
      <c r="BL33" s="2" t="s">
        <v>8591</v>
      </c>
      <c r="BO33" s="2"/>
      <c r="MJM33" s="2"/>
    </row>
    <row r="34" customFormat="false" ht="19.5" hidden="false" customHeight="true" outlineLevel="0" collapsed="false">
      <c r="A34" s="2" t="s">
        <v>8794</v>
      </c>
      <c r="C34" s="2" t="str">
        <f aca="false">_xlfn.CONCAT(A34, " ","(",B34,")")</f>
        <v>Aplocnemus nigricornis ()</v>
      </c>
      <c r="D34" s="2" t="s">
        <v>8580</v>
      </c>
      <c r="E34" s="2" t="s">
        <v>8581</v>
      </c>
      <c r="F34" s="2" t="s">
        <v>8795</v>
      </c>
      <c r="G34" s="2" t="s">
        <v>8583</v>
      </c>
      <c r="H34" s="2" t="str">
        <f aca="false">VLOOKUP(A34,'[1]NE red list'!A$1:H$1048576,5,FALSE())</f>
        <v>LC</v>
      </c>
      <c r="I34" s="2" t="s">
        <v>8796</v>
      </c>
      <c r="J34" s="2" t="s">
        <v>8797</v>
      </c>
      <c r="L34" s="2" t="s">
        <v>8665</v>
      </c>
      <c r="N34" s="2" t="str">
        <f aca="false">_xlfn.CONCAT(Q34," ",R34," ",S34)</f>
        <v>woodland parkland </v>
      </c>
      <c r="O34" s="3" t="s">
        <v>14</v>
      </c>
      <c r="P34" s="2" t="s">
        <v>8587</v>
      </c>
      <c r="Q34" s="2" t="s">
        <v>16</v>
      </c>
      <c r="R34" s="2" t="s">
        <v>8568</v>
      </c>
      <c r="T34" s="2"/>
      <c r="U34" s="2" t="s">
        <v>8570</v>
      </c>
      <c r="V34" s="2" t="s">
        <v>8745</v>
      </c>
      <c r="W34" s="2" t="s">
        <v>8571</v>
      </c>
      <c r="X34" s="2" t="s">
        <v>8625</v>
      </c>
      <c r="Z34" s="2" t="s">
        <v>8614</v>
      </c>
      <c r="AA34" s="4" t="s">
        <v>26</v>
      </c>
      <c r="AB34" s="5" t="s">
        <v>8672</v>
      </c>
      <c r="AD34" s="6" t="s">
        <v>8615</v>
      </c>
      <c r="AG34" s="7" t="s">
        <v>8575</v>
      </c>
      <c r="AS34" s="2"/>
      <c r="AV34" s="11"/>
      <c r="BI34" s="2" t="s">
        <v>8590</v>
      </c>
      <c r="BJ34" s="2" t="s">
        <v>8630</v>
      </c>
      <c r="BL34" s="2" t="s">
        <v>8591</v>
      </c>
      <c r="BO34" s="2"/>
      <c r="MJM34" s="2"/>
    </row>
    <row r="35" customFormat="false" ht="19.5" hidden="false" customHeight="true" outlineLevel="0" collapsed="false">
      <c r="A35" s="2" t="s">
        <v>8798</v>
      </c>
      <c r="C35" s="2" t="str">
        <f aca="false">_xlfn.CONCAT(A35, " ","(",B35,")")</f>
        <v>Anisandrus dispar ()</v>
      </c>
      <c r="D35" s="2" t="s">
        <v>8580</v>
      </c>
      <c r="E35" s="2" t="s">
        <v>8581</v>
      </c>
      <c r="F35" s="2" t="s">
        <v>8799</v>
      </c>
      <c r="G35" s="2" t="s">
        <v>8583</v>
      </c>
      <c r="H35" s="2" t="e">
        <f aca="false">VLOOKUP(A35,'[1]NE red list'!A$1:H$1048576,5,FALSE())</f>
        <v>#N/A</v>
      </c>
      <c r="I35" s="2" t="s">
        <v>8645</v>
      </c>
      <c r="J35" s="2" t="s">
        <v>8800</v>
      </c>
      <c r="L35" s="2" t="s">
        <v>8677</v>
      </c>
      <c r="N35" s="2" t="str">
        <f aca="false">_xlfn.CONCAT(Q35," ",R35," ",S35)</f>
        <v>woodland  </v>
      </c>
      <c r="O35" s="2"/>
      <c r="P35" s="2"/>
      <c r="Q35" s="2" t="s">
        <v>16</v>
      </c>
      <c r="T35" s="2"/>
      <c r="U35" s="2" t="s">
        <v>8570</v>
      </c>
      <c r="V35" s="2" t="s">
        <v>8801</v>
      </c>
      <c r="X35" s="2" t="s">
        <v>8625</v>
      </c>
      <c r="AG35" s="7" t="s">
        <v>8575</v>
      </c>
      <c r="AN35" s="8" t="s">
        <v>8638</v>
      </c>
      <c r="AS35" s="2"/>
      <c r="AV35" s="11"/>
      <c r="AX35" s="4" t="s">
        <v>8607</v>
      </c>
      <c r="BL35" s="2" t="s">
        <v>8591</v>
      </c>
      <c r="BO35" s="2"/>
      <c r="MJM35" s="2"/>
    </row>
    <row r="36" customFormat="false" ht="19.5" hidden="false" customHeight="true" outlineLevel="0" collapsed="false">
      <c r="A36" s="2" t="s">
        <v>8802</v>
      </c>
      <c r="C36" s="2" t="str">
        <f aca="false">_xlfn.CONCAT(A36, " ","(",B36,")")</f>
        <v>Anisotoma glabra ()</v>
      </c>
      <c r="D36" s="2" t="s">
        <v>8580</v>
      </c>
      <c r="E36" s="2" t="s">
        <v>8581</v>
      </c>
      <c r="F36" s="2" t="s">
        <v>8803</v>
      </c>
      <c r="H36" s="2" t="e">
        <f aca="false">VLOOKUP(A36,'[1]NE red list'!A$1:H$1048576,5,FALSE())</f>
        <v>#N/A</v>
      </c>
      <c r="I36" s="2" t="s">
        <v>8804</v>
      </c>
      <c r="J36" s="2" t="s">
        <v>8805</v>
      </c>
      <c r="L36" s="2" t="s">
        <v>8677</v>
      </c>
      <c r="N36" s="2" t="str">
        <f aca="false">_xlfn.CONCAT(Q36," ",R36," ",S36)</f>
        <v>woodland  </v>
      </c>
      <c r="O36" s="2"/>
      <c r="P36" s="2"/>
      <c r="Q36" s="2" t="s">
        <v>16</v>
      </c>
      <c r="T36" s="2"/>
      <c r="U36" s="2" t="s">
        <v>8806</v>
      </c>
      <c r="V36" s="2" t="s">
        <v>8679</v>
      </c>
      <c r="X36" s="2" t="s">
        <v>8625</v>
      </c>
      <c r="AG36" s="7" t="s">
        <v>8575</v>
      </c>
      <c r="AM36" s="4" t="s">
        <v>8657</v>
      </c>
      <c r="AN36" s="8" t="s">
        <v>8658</v>
      </c>
      <c r="AO36" s="8" t="s">
        <v>40</v>
      </c>
      <c r="AQ36" s="8" t="s">
        <v>42</v>
      </c>
      <c r="AS36" s="2"/>
      <c r="BI36" s="2" t="s">
        <v>8590</v>
      </c>
      <c r="BJ36" s="2" t="s">
        <v>8630</v>
      </c>
      <c r="BL36" s="2" t="s">
        <v>8591</v>
      </c>
      <c r="BO36" s="2"/>
      <c r="MJM36" s="2"/>
    </row>
    <row r="37" customFormat="false" ht="19.5" hidden="false" customHeight="true" outlineLevel="0" collapsed="false">
      <c r="A37" s="2" t="s">
        <v>8807</v>
      </c>
      <c r="C37" s="2" t="str">
        <f aca="false">_xlfn.CONCAT(A37, " ","(",B37,")")</f>
        <v>Anisotoma orbicularis ()</v>
      </c>
      <c r="D37" s="2" t="s">
        <v>8580</v>
      </c>
      <c r="E37" s="2" t="s">
        <v>8581</v>
      </c>
      <c r="F37" s="2" t="s">
        <v>8803</v>
      </c>
      <c r="G37" s="2" t="s">
        <v>8737</v>
      </c>
      <c r="H37" s="2" t="e">
        <f aca="false">VLOOKUP(A37,'[1]NE red list'!A$1:H$1048576,5,FALSE())</f>
        <v>#N/A</v>
      </c>
      <c r="I37" s="2" t="s">
        <v>8645</v>
      </c>
      <c r="J37" s="2" t="s">
        <v>8808</v>
      </c>
      <c r="L37" s="2" t="s">
        <v>8677</v>
      </c>
      <c r="N37" s="2" t="str">
        <f aca="false">_xlfn.CONCAT(Q37," ",R37," ",S37)</f>
        <v>woodland parkland </v>
      </c>
      <c r="O37" s="3" t="s">
        <v>14</v>
      </c>
      <c r="P37" s="2"/>
      <c r="Q37" s="2" t="s">
        <v>16</v>
      </c>
      <c r="R37" s="2" t="s">
        <v>8568</v>
      </c>
      <c r="T37" s="2"/>
      <c r="U37" s="2" t="s">
        <v>8570</v>
      </c>
      <c r="AG37" s="7" t="s">
        <v>8575</v>
      </c>
      <c r="AM37" s="4" t="s">
        <v>8657</v>
      </c>
      <c r="AN37" s="8" t="s">
        <v>8658</v>
      </c>
      <c r="AO37" s="8" t="s">
        <v>40</v>
      </c>
      <c r="AQ37" s="8" t="s">
        <v>42</v>
      </c>
      <c r="AS37" s="2"/>
      <c r="AU37" s="4" t="s">
        <v>8639</v>
      </c>
      <c r="AV37" s="10" t="s">
        <v>8659</v>
      </c>
      <c r="BI37" s="2" t="s">
        <v>8590</v>
      </c>
      <c r="BJ37" s="2" t="s">
        <v>8630</v>
      </c>
      <c r="BL37" s="2" t="s">
        <v>8591</v>
      </c>
      <c r="BO37" s="2"/>
      <c r="MJM37" s="2"/>
    </row>
    <row r="38" customFormat="false" ht="19.5" hidden="false" customHeight="true" outlineLevel="0" collapsed="false">
      <c r="A38" s="2" t="s">
        <v>8809</v>
      </c>
      <c r="C38" s="2" t="str">
        <f aca="false">_xlfn.CONCAT(A38, " ","(",B38,")")</f>
        <v>Anisoxya fuscula ()</v>
      </c>
      <c r="D38" s="2" t="s">
        <v>8580</v>
      </c>
      <c r="E38" s="2" t="s">
        <v>8581</v>
      </c>
      <c r="F38" s="35" t="s">
        <v>8582</v>
      </c>
      <c r="G38" s="2" t="s">
        <v>8583</v>
      </c>
      <c r="H38" s="2" t="str">
        <f aca="false">VLOOKUP(A38,'[1]NE red list'!A$1:H$1048576,5,FALSE())</f>
        <v>LC</v>
      </c>
      <c r="I38" s="2" t="s">
        <v>8743</v>
      </c>
      <c r="J38" s="2" t="s">
        <v>8810</v>
      </c>
      <c r="K38" s="2" t="s">
        <v>8811</v>
      </c>
      <c r="L38" s="2" t="s">
        <v>8677</v>
      </c>
      <c r="N38" s="2" t="str">
        <f aca="false">_xlfn.CONCAT(Q38," ",R38," ",S38)</f>
        <v>woodland parkland </v>
      </c>
      <c r="O38" s="3" t="s">
        <v>14</v>
      </c>
      <c r="P38" s="2" t="s">
        <v>8587</v>
      </c>
      <c r="Q38" s="2" t="s">
        <v>16</v>
      </c>
      <c r="R38" s="2" t="s">
        <v>8568</v>
      </c>
      <c r="T38" s="2"/>
      <c r="U38" s="2" t="s">
        <v>8570</v>
      </c>
      <c r="W38" s="2" t="s">
        <v>8567</v>
      </c>
      <c r="X38" s="2" t="s">
        <v>8597</v>
      </c>
      <c r="Y38" s="2" t="s">
        <v>8573</v>
      </c>
      <c r="Z38" s="2" t="s">
        <v>8614</v>
      </c>
      <c r="AG38" s="7" t="s">
        <v>8575</v>
      </c>
      <c r="AI38" s="7" t="s">
        <v>8617</v>
      </c>
      <c r="AJ38" s="7" t="s">
        <v>8612</v>
      </c>
      <c r="AS38" s="2" t="s">
        <v>8599</v>
      </c>
      <c r="AV38" s="11"/>
      <c r="BI38" s="2" t="s">
        <v>8590</v>
      </c>
      <c r="BL38" s="2" t="s">
        <v>8591</v>
      </c>
      <c r="BO38" s="2"/>
      <c r="MJM38" s="2"/>
    </row>
    <row r="39" customFormat="false" ht="19.5" hidden="false" customHeight="true" outlineLevel="0" collapsed="false">
      <c r="A39" s="2" t="s">
        <v>8812</v>
      </c>
      <c r="C39" s="2" t="str">
        <f aca="false">_xlfn.CONCAT(A39, " ","(",B39,")")</f>
        <v>Anaspis frontalis ()</v>
      </c>
      <c r="D39" s="2" t="s">
        <v>8580</v>
      </c>
      <c r="E39" s="2" t="s">
        <v>8581</v>
      </c>
      <c r="F39" s="2" t="s">
        <v>8813</v>
      </c>
      <c r="G39" s="2" t="s">
        <v>8737</v>
      </c>
      <c r="H39" s="2" t="str">
        <f aca="false">VLOOKUP(A39,'[1]NE red list'!A$1:H$1048576,5,FALSE())</f>
        <v>LC</v>
      </c>
      <c r="I39" s="36" t="s">
        <v>8645</v>
      </c>
      <c r="J39" s="2" t="s">
        <v>8814</v>
      </c>
      <c r="K39" s="2" t="s">
        <v>8815</v>
      </c>
      <c r="L39" s="2" t="s">
        <v>8816</v>
      </c>
      <c r="N39" s="2" t="str">
        <f aca="false">_xlfn.CONCAT(Q39," ",R39," ",S39)</f>
        <v>woodland parkland ToW</v>
      </c>
      <c r="O39" s="2" t="s">
        <v>14</v>
      </c>
      <c r="P39" s="2"/>
      <c r="Q39" s="2" t="s">
        <v>16</v>
      </c>
      <c r="R39" s="2" t="s">
        <v>8568</v>
      </c>
      <c r="S39" s="2" t="s">
        <v>18</v>
      </c>
      <c r="T39" s="2"/>
      <c r="U39" s="2" t="s">
        <v>8570</v>
      </c>
      <c r="V39" s="2" t="s">
        <v>8745</v>
      </c>
      <c r="X39" s="2" t="s">
        <v>8625</v>
      </c>
      <c r="Z39" s="2" t="s">
        <v>8574</v>
      </c>
      <c r="AG39" s="7" t="s">
        <v>8575</v>
      </c>
      <c r="AN39" s="8" t="s">
        <v>8638</v>
      </c>
      <c r="AS39" s="2"/>
      <c r="AV39" s="11"/>
      <c r="BB39" s="2" t="s">
        <v>8618</v>
      </c>
      <c r="BI39" s="2" t="s">
        <v>8590</v>
      </c>
      <c r="BJ39" s="2" t="s">
        <v>8630</v>
      </c>
      <c r="BL39" s="2" t="s">
        <v>8591</v>
      </c>
      <c r="BO39" s="2"/>
      <c r="MJM39" s="2"/>
    </row>
    <row r="40" customFormat="false" ht="19.5" hidden="false" customHeight="true" outlineLevel="0" collapsed="false">
      <c r="A40" s="2" t="s">
        <v>8817</v>
      </c>
      <c r="C40" s="2" t="str">
        <f aca="false">_xlfn.CONCAT(A40, " ","(",B40,")")</f>
        <v>Anobium inexspectatum ()</v>
      </c>
      <c r="D40" s="2" t="s">
        <v>8580</v>
      </c>
      <c r="E40" s="2" t="s">
        <v>8581</v>
      </c>
      <c r="F40" s="2" t="s">
        <v>8818</v>
      </c>
      <c r="G40" s="2" t="s">
        <v>8644</v>
      </c>
      <c r="H40" s="2" t="str">
        <f aca="false">VLOOKUP(A40,'[1]NE red list'!A$1:H$1048576,5,FALSE())</f>
        <v>LC</v>
      </c>
      <c r="I40" s="2" t="s">
        <v>8645</v>
      </c>
      <c r="J40" s="2" t="s">
        <v>8819</v>
      </c>
      <c r="K40" s="2" t="s">
        <v>8820</v>
      </c>
      <c r="L40" s="2" t="s">
        <v>8613</v>
      </c>
      <c r="N40" s="2" t="str">
        <f aca="false">_xlfn.CONCAT(Q40," ",R40," ",S40)</f>
        <v>woodland parkland </v>
      </c>
      <c r="O40" s="3" t="s">
        <v>14</v>
      </c>
      <c r="P40" s="2" t="s">
        <v>8587</v>
      </c>
      <c r="Q40" s="2" t="s">
        <v>16</v>
      </c>
      <c r="R40" s="2" t="s">
        <v>8568</v>
      </c>
      <c r="T40" s="2"/>
      <c r="U40" s="2" t="s">
        <v>8570</v>
      </c>
      <c r="V40" s="2" t="s">
        <v>8640</v>
      </c>
      <c r="W40" s="2" t="s">
        <v>8567</v>
      </c>
      <c r="X40" s="2" t="s">
        <v>8625</v>
      </c>
      <c r="Z40" s="2" t="s">
        <v>8694</v>
      </c>
      <c r="AS40" s="2"/>
      <c r="AU40" s="4" t="s">
        <v>8639</v>
      </c>
      <c r="AV40" s="11"/>
      <c r="AW40" s="11" t="s">
        <v>8640</v>
      </c>
      <c r="BI40" s="2" t="s">
        <v>8590</v>
      </c>
      <c r="BL40" s="2" t="s">
        <v>8591</v>
      </c>
      <c r="BO40" s="2"/>
      <c r="MJM40" s="2"/>
    </row>
    <row r="41" customFormat="false" ht="19.5" hidden="false" customHeight="true" outlineLevel="0" collapsed="false">
      <c r="A41" s="1" t="s">
        <v>8821</v>
      </c>
      <c r="B41" s="2" t="s">
        <v>8822</v>
      </c>
      <c r="C41" s="2" t="str">
        <f aca="false">_xlfn.CONCAT(A41, " ","(",B41,")")</f>
        <v>Anobium punctatum (Common Furniture Beetle)</v>
      </c>
      <c r="D41" s="2" t="s">
        <v>8580</v>
      </c>
      <c r="E41" s="2" t="s">
        <v>8581</v>
      </c>
      <c r="F41" s="2" t="s">
        <v>8818</v>
      </c>
      <c r="G41" s="2" t="s">
        <v>8737</v>
      </c>
      <c r="H41" s="2" t="str">
        <f aca="false">VLOOKUP(A41,'[1]NE red list'!A$1:H$1048576,5,FALSE())</f>
        <v>LC</v>
      </c>
      <c r="I41" s="2" t="s">
        <v>8645</v>
      </c>
      <c r="J41" s="37" t="s">
        <v>8823</v>
      </c>
      <c r="L41" s="2" t="s">
        <v>8613</v>
      </c>
      <c r="N41" s="2" t="str">
        <f aca="false">_xlfn.CONCAT(Q41," ",R41," ",S41)</f>
        <v>woodland parkland </v>
      </c>
      <c r="O41" s="3" t="s">
        <v>14</v>
      </c>
      <c r="P41" s="2" t="s">
        <v>8587</v>
      </c>
      <c r="Q41" s="2" t="s">
        <v>16</v>
      </c>
      <c r="R41" s="2" t="s">
        <v>8568</v>
      </c>
      <c r="T41" s="2"/>
      <c r="U41" s="2" t="s">
        <v>8570</v>
      </c>
      <c r="W41" s="2" t="s">
        <v>8567</v>
      </c>
      <c r="X41" s="2" t="s">
        <v>8625</v>
      </c>
      <c r="Z41" s="2" t="s">
        <v>8574</v>
      </c>
      <c r="AG41" s="7" t="s">
        <v>8824</v>
      </c>
      <c r="AS41" s="2"/>
      <c r="AU41" s="4" t="s">
        <v>8639</v>
      </c>
      <c r="AV41" s="11"/>
      <c r="AW41" s="11" t="s">
        <v>8640</v>
      </c>
      <c r="BI41" s="2" t="s">
        <v>8590</v>
      </c>
      <c r="BJ41" s="2" t="s">
        <v>8630</v>
      </c>
      <c r="BL41" s="2" t="s">
        <v>8591</v>
      </c>
      <c r="BO41" s="2"/>
      <c r="MJM41" s="2"/>
    </row>
    <row r="42" customFormat="false" ht="19.5" hidden="false" customHeight="true" outlineLevel="0" collapsed="false">
      <c r="A42" s="2" t="s">
        <v>8825</v>
      </c>
      <c r="C42" s="2" t="str">
        <f aca="false">_xlfn.CONCAT(A42, " ","(",B42,")")</f>
        <v>Anomognathus cuspidatus ()</v>
      </c>
      <c r="D42" s="2" t="s">
        <v>8580</v>
      </c>
      <c r="E42" s="2" t="s">
        <v>8581</v>
      </c>
      <c r="F42" s="2" t="s">
        <v>8652</v>
      </c>
      <c r="G42" s="2" t="s">
        <v>8731</v>
      </c>
      <c r="H42" s="2" t="e">
        <f aca="false">VLOOKUP(A42,'[1]NE red list'!A$1:H$1048576,5,FALSE())</f>
        <v>#N/A</v>
      </c>
      <c r="I42" s="2" t="s">
        <v>8826</v>
      </c>
      <c r="J42" s="2" t="s">
        <v>8827</v>
      </c>
      <c r="L42" s="2" t="s">
        <v>8665</v>
      </c>
      <c r="N42" s="2" t="str">
        <f aca="false">_xlfn.CONCAT(Q42," ",R42," ",S42)</f>
        <v>woodland parkland ToW</v>
      </c>
      <c r="O42" s="2" t="s">
        <v>14</v>
      </c>
      <c r="P42" s="2" t="s">
        <v>8567</v>
      </c>
      <c r="Q42" s="2" t="s">
        <v>16</v>
      </c>
      <c r="R42" s="2" t="s">
        <v>8568</v>
      </c>
      <c r="S42" s="2" t="s">
        <v>18</v>
      </c>
      <c r="T42" s="2"/>
      <c r="U42" s="2" t="s">
        <v>8570</v>
      </c>
      <c r="V42" s="2" t="s">
        <v>8828</v>
      </c>
      <c r="W42" s="2" t="s">
        <v>8567</v>
      </c>
      <c r="Z42" s="2" t="s">
        <v>8614</v>
      </c>
      <c r="AG42" s="7" t="s">
        <v>8824</v>
      </c>
      <c r="AN42" s="8" t="s">
        <v>8829</v>
      </c>
      <c r="AS42" s="2"/>
      <c r="AV42" s="11"/>
      <c r="AX42" s="4" t="s">
        <v>8607</v>
      </c>
      <c r="BI42" s="2" t="s">
        <v>8590</v>
      </c>
      <c r="BJ42" s="2" t="s">
        <v>8630</v>
      </c>
      <c r="BL42" s="2" t="s">
        <v>8591</v>
      </c>
      <c r="BO42" s="2"/>
      <c r="MJM42" s="2"/>
    </row>
    <row r="43" s="32" customFormat="true" ht="19.5" hidden="false" customHeight="true" outlineLevel="0" collapsed="false">
      <c r="A43" s="1" t="s">
        <v>8830</v>
      </c>
      <c r="B43" s="2" t="s">
        <v>8831</v>
      </c>
      <c r="C43" s="2" t="str">
        <f aca="false">_xlfn.CONCAT(A43, " ","(",B43,")")</f>
        <v>Anoplodera sexguttata (6-spotted Longhorn)</v>
      </c>
      <c r="D43" s="2" t="s">
        <v>8580</v>
      </c>
      <c r="E43" s="2" t="s">
        <v>8581</v>
      </c>
      <c r="F43" s="2" t="s">
        <v>8787</v>
      </c>
      <c r="G43" s="2" t="s">
        <v>8662</v>
      </c>
      <c r="H43" s="2" t="str">
        <f aca="false">VLOOKUP(A43,'[1]NE red list'!A$1:H$1048576,5,FALSE())</f>
        <v>NT</v>
      </c>
      <c r="I43" s="2" t="s">
        <v>8832</v>
      </c>
      <c r="J43" s="2" t="s">
        <v>8833</v>
      </c>
      <c r="K43" s="2"/>
      <c r="L43" s="2" t="s">
        <v>8586</v>
      </c>
      <c r="M43" s="2"/>
      <c r="N43" s="2" t="str">
        <f aca="false">_xlfn.CONCAT(Q43," ",R43," ",S43)</f>
        <v>woodland parkland </v>
      </c>
      <c r="O43" s="3" t="s">
        <v>14</v>
      </c>
      <c r="P43" s="2" t="s">
        <v>8587</v>
      </c>
      <c r="Q43" s="2" t="s">
        <v>16</v>
      </c>
      <c r="R43" s="2" t="s">
        <v>8568</v>
      </c>
      <c r="S43" s="2"/>
      <c r="T43" s="2"/>
      <c r="U43" s="2" t="s">
        <v>8570</v>
      </c>
      <c r="V43" s="2" t="s">
        <v>8828</v>
      </c>
      <c r="W43" s="2" t="s">
        <v>8587</v>
      </c>
      <c r="X43" s="2" t="s">
        <v>8625</v>
      </c>
      <c r="Y43" s="2" t="s">
        <v>8772</v>
      </c>
      <c r="Z43" s="2" t="s">
        <v>8574</v>
      </c>
      <c r="AA43" s="4"/>
      <c r="AB43" s="5"/>
      <c r="AC43" s="6"/>
      <c r="AD43" s="6"/>
      <c r="AE43" s="6"/>
      <c r="AF43" s="6"/>
      <c r="AG43" s="7" t="s">
        <v>8824</v>
      </c>
      <c r="AH43" s="7"/>
      <c r="AI43" s="7"/>
      <c r="AJ43" s="7"/>
      <c r="AK43" s="7"/>
      <c r="AL43" s="7"/>
      <c r="AM43" s="4"/>
      <c r="AS43" s="2"/>
      <c r="AU43" s="4"/>
      <c r="AV43" s="11"/>
      <c r="AW43" s="11"/>
      <c r="AX43" s="4" t="s">
        <v>8607</v>
      </c>
      <c r="AY43" s="12" t="s">
        <v>8585</v>
      </c>
      <c r="AZ43" s="12"/>
      <c r="BB43" s="32" t="s">
        <v>8618</v>
      </c>
      <c r="BI43" s="2" t="s">
        <v>8590</v>
      </c>
      <c r="BJ43" s="32" t="s">
        <v>8601</v>
      </c>
      <c r="BL43" s="32" t="s">
        <v>8591</v>
      </c>
      <c r="BN43" s="32" t="s">
        <v>8619</v>
      </c>
    </row>
    <row r="44" customFormat="false" ht="19.5" hidden="false" customHeight="true" outlineLevel="0" collapsed="false">
      <c r="A44" s="2" t="s">
        <v>8834</v>
      </c>
      <c r="C44" s="2" t="str">
        <f aca="false">_xlfn.CONCAT(A44, " ","(",B44,")")</f>
        <v>Anitys rubens ()</v>
      </c>
      <c r="D44" s="2" t="s">
        <v>8580</v>
      </c>
      <c r="E44" s="2" t="s">
        <v>8581</v>
      </c>
      <c r="F44" s="2" t="s">
        <v>8818</v>
      </c>
      <c r="G44" s="2" t="s">
        <v>8583</v>
      </c>
      <c r="H44" s="2" t="str">
        <f aca="false">VLOOKUP(A44,'[1]NE red list'!A$1:H$1048576,5,FALSE())</f>
        <v>LC</v>
      </c>
      <c r="I44" s="2" t="s">
        <v>8743</v>
      </c>
      <c r="J44" s="2" t="s">
        <v>8835</v>
      </c>
      <c r="L44" s="2" t="s">
        <v>8836</v>
      </c>
      <c r="N44" s="2" t="str">
        <f aca="false">_xlfn.CONCAT(Q44," ",R44," ",S44)</f>
        <v> parkland </v>
      </c>
      <c r="O44" s="3" t="s">
        <v>14</v>
      </c>
      <c r="P44" s="2" t="s">
        <v>8587</v>
      </c>
      <c r="R44" s="2" t="s">
        <v>8568</v>
      </c>
      <c r="T44" s="2"/>
      <c r="U44" s="2" t="s">
        <v>8570</v>
      </c>
      <c r="V44" s="2" t="s">
        <v>8745</v>
      </c>
      <c r="W44" s="2" t="s">
        <v>8571</v>
      </c>
      <c r="X44" s="2" t="s">
        <v>8589</v>
      </c>
      <c r="Z44" s="2" t="s">
        <v>8614</v>
      </c>
      <c r="AG44" s="7" t="s">
        <v>8575</v>
      </c>
      <c r="AI44" s="7" t="s">
        <v>8617</v>
      </c>
      <c r="AJ44" s="7" t="s">
        <v>8612</v>
      </c>
      <c r="AS44" s="2"/>
      <c r="AV44" s="11"/>
      <c r="BI44" s="2" t="s">
        <v>8590</v>
      </c>
      <c r="BJ44" s="2" t="s">
        <v>8773</v>
      </c>
      <c r="BL44" s="2" t="s">
        <v>8591</v>
      </c>
      <c r="BO44" s="2"/>
      <c r="MJM44" s="2"/>
    </row>
    <row r="45" customFormat="false" ht="19.5" hidden="false" customHeight="true" outlineLevel="0" collapsed="false">
      <c r="A45" s="1" t="s">
        <v>8837</v>
      </c>
      <c r="B45" s="2" t="s">
        <v>8838</v>
      </c>
      <c r="C45" s="2" t="str">
        <f aca="false">_xlfn.CONCAT(A45, " ","(",B45,")")</f>
        <v>Apis mellifera mellifera (Honey Bee)</v>
      </c>
      <c r="D45" s="2" t="s">
        <v>8580</v>
      </c>
      <c r="E45" s="2" t="s">
        <v>8839</v>
      </c>
      <c r="F45" s="2" t="s">
        <v>8840</v>
      </c>
      <c r="G45" s="2" t="s">
        <v>8841</v>
      </c>
      <c r="H45" s="2" t="e">
        <f aca="false">VLOOKUP(A45,'[1]NE red list'!A$1:H$1048576,5,FALSE())</f>
        <v>#N/A</v>
      </c>
      <c r="I45" s="2" t="s">
        <v>8645</v>
      </c>
      <c r="J45" s="2" t="s">
        <v>8842</v>
      </c>
      <c r="K45" s="2" t="s">
        <v>8843</v>
      </c>
      <c r="L45" s="2" t="s">
        <v>8844</v>
      </c>
      <c r="N45" s="2" t="str">
        <f aca="false">_xlfn.CONCAT(Q45," ",R45," ",S45)</f>
        <v> parkland tow</v>
      </c>
      <c r="O45" s="2" t="s">
        <v>14</v>
      </c>
      <c r="P45" s="2"/>
      <c r="R45" s="2" t="s">
        <v>8568</v>
      </c>
      <c r="S45" s="2" t="s">
        <v>8845</v>
      </c>
      <c r="T45" s="2"/>
      <c r="U45" s="2" t="s">
        <v>8605</v>
      </c>
      <c r="W45" s="2" t="s">
        <v>8571</v>
      </c>
      <c r="X45" s="2" t="s">
        <v>8589</v>
      </c>
      <c r="Y45" s="2" t="s">
        <v>8573</v>
      </c>
      <c r="AA45" s="4" t="s">
        <v>26</v>
      </c>
      <c r="AD45" s="6" t="s">
        <v>8615</v>
      </c>
      <c r="AS45" s="2"/>
      <c r="AV45" s="11"/>
      <c r="BB45" s="2" t="s">
        <v>8618</v>
      </c>
      <c r="BL45" s="2" t="s">
        <v>8591</v>
      </c>
      <c r="BO45" s="2"/>
      <c r="MJM45" s="2"/>
    </row>
    <row r="46" customFormat="false" ht="19.5" hidden="false" customHeight="true" outlineLevel="0" collapsed="false">
      <c r="A46" s="2" t="s">
        <v>8846</v>
      </c>
      <c r="C46" s="2" t="str">
        <f aca="false">_xlfn.CONCAT(A46, " ","(",B46,")")</f>
        <v>Aplocnemus impressus ()</v>
      </c>
      <c r="D46" s="2" t="s">
        <v>8580</v>
      </c>
      <c r="E46" s="2" t="s">
        <v>8581</v>
      </c>
      <c r="F46" s="2" t="s">
        <v>8795</v>
      </c>
      <c r="G46" s="2" t="s">
        <v>8583</v>
      </c>
      <c r="H46" s="2" t="str">
        <f aca="false">VLOOKUP(A46,'[1]NE red list'!A$1:H$1048576,5,FALSE())</f>
        <v>LC</v>
      </c>
      <c r="I46" s="2" t="s">
        <v>8622</v>
      </c>
      <c r="J46" s="2" t="s">
        <v>8847</v>
      </c>
      <c r="L46" s="2" t="s">
        <v>8665</v>
      </c>
      <c r="N46" s="2" t="str">
        <f aca="false">_xlfn.CONCAT(Q46," ",R46," ",S46)</f>
        <v>woodland parkland </v>
      </c>
      <c r="O46" s="3" t="s">
        <v>14</v>
      </c>
      <c r="P46" s="2" t="s">
        <v>8567</v>
      </c>
      <c r="Q46" s="2" t="s">
        <v>16</v>
      </c>
      <c r="R46" s="2" t="s">
        <v>8568</v>
      </c>
      <c r="T46" s="2"/>
      <c r="U46" s="2" t="s">
        <v>8605</v>
      </c>
      <c r="V46" s="2" t="s">
        <v>8848</v>
      </c>
      <c r="W46" s="2" t="s">
        <v>8567</v>
      </c>
      <c r="X46" s="2" t="s">
        <v>8625</v>
      </c>
      <c r="Z46" s="2" t="s">
        <v>8614</v>
      </c>
      <c r="AB46" s="5" t="s">
        <v>8672</v>
      </c>
      <c r="AG46" s="7" t="s">
        <v>8824</v>
      </c>
      <c r="AS46" s="2"/>
      <c r="AV46" s="11"/>
      <c r="BI46" s="2" t="s">
        <v>8590</v>
      </c>
      <c r="BJ46" s="2" t="s">
        <v>8630</v>
      </c>
      <c r="BL46" s="2" t="s">
        <v>8591</v>
      </c>
      <c r="BO46" s="2"/>
      <c r="MJM46" s="2"/>
    </row>
    <row r="47" customFormat="false" ht="19.5" hidden="false" customHeight="true" outlineLevel="0" collapsed="false">
      <c r="A47" s="2" t="s">
        <v>8849</v>
      </c>
      <c r="C47" s="2" t="str">
        <f aca="false">_xlfn.CONCAT(A47, " ","(",B47,")")</f>
        <v>Aulonothroscus brevicollis ()</v>
      </c>
      <c r="D47" s="2" t="s">
        <v>8580</v>
      </c>
      <c r="E47" s="2" t="s">
        <v>8581</v>
      </c>
      <c r="F47" s="35" t="s">
        <v>8621</v>
      </c>
      <c r="G47" s="2" t="s">
        <v>8662</v>
      </c>
      <c r="H47" s="2" t="e">
        <f aca="false">VLOOKUP(A47,'[1]NE red list'!A$1:H$1048576,5,FALSE())</f>
        <v>#N/A</v>
      </c>
      <c r="I47" s="2" t="s">
        <v>8564</v>
      </c>
      <c r="J47" s="2" t="s">
        <v>8850</v>
      </c>
      <c r="L47" s="2" t="s">
        <v>8586</v>
      </c>
      <c r="N47" s="2" t="str">
        <f aca="false">_xlfn.CONCAT(Q47," ",R47," ",S47)</f>
        <v> parkland </v>
      </c>
      <c r="O47" s="3" t="s">
        <v>14</v>
      </c>
      <c r="P47" s="2" t="s">
        <v>8587</v>
      </c>
      <c r="R47" s="2" t="s">
        <v>8568</v>
      </c>
      <c r="T47" s="2"/>
      <c r="U47" s="2" t="s">
        <v>8570</v>
      </c>
      <c r="V47" s="2" t="s">
        <v>8851</v>
      </c>
      <c r="W47" s="2" t="s">
        <v>8571</v>
      </c>
      <c r="X47" s="2" t="s">
        <v>8625</v>
      </c>
      <c r="Z47" s="2" t="s">
        <v>8574</v>
      </c>
      <c r="AA47" s="4" t="s">
        <v>26</v>
      </c>
      <c r="AD47" s="6" t="s">
        <v>8615</v>
      </c>
      <c r="AF47" s="6" t="s">
        <v>8616</v>
      </c>
      <c r="AG47" s="7" t="s">
        <v>8575</v>
      </c>
      <c r="AI47" s="7" t="s">
        <v>8617</v>
      </c>
      <c r="AL47" s="7" t="s">
        <v>8628</v>
      </c>
      <c r="AN47" s="8" t="s">
        <v>8852</v>
      </c>
      <c r="AS47" s="2"/>
      <c r="AV47" s="11"/>
      <c r="BI47" s="2" t="s">
        <v>8590</v>
      </c>
      <c r="BJ47" s="2" t="s">
        <v>8747</v>
      </c>
      <c r="BL47" s="2" t="s">
        <v>8591</v>
      </c>
      <c r="BO47" s="2"/>
      <c r="MJM47" s="2"/>
    </row>
    <row r="48" s="32" customFormat="true" ht="19.5" hidden="false" customHeight="true" outlineLevel="0" collapsed="false">
      <c r="A48" s="1" t="s">
        <v>8853</v>
      </c>
      <c r="B48" s="2" t="s">
        <v>8854</v>
      </c>
      <c r="C48" s="2" t="str">
        <f aca="false">_xlfn.CONCAT(A48, " ","(",B48,")")</f>
        <v>Aplota palpellus (Scarce Brown Streak)</v>
      </c>
      <c r="D48" s="2" t="s">
        <v>8580</v>
      </c>
      <c r="E48" s="2" t="s">
        <v>8722</v>
      </c>
      <c r="F48" s="2" t="s">
        <v>8855</v>
      </c>
      <c r="G48" s="2" t="s">
        <v>8776</v>
      </c>
      <c r="H48" s="2" t="e">
        <f aca="false">VLOOKUP(A48,'[1]NE red list'!A$1:H$1048576,5,FALSE())</f>
        <v>#N/A</v>
      </c>
      <c r="I48" s="2" t="s">
        <v>8610</v>
      </c>
      <c r="J48" s="33" t="s">
        <v>8856</v>
      </c>
      <c r="K48" s="2" t="s">
        <v>8857</v>
      </c>
      <c r="L48" s="2" t="s">
        <v>8648</v>
      </c>
      <c r="M48" s="2"/>
      <c r="N48" s="2" t="str">
        <f aca="false">_xlfn.CONCAT(Q48," ",R48," ",S48)</f>
        <v> parkland </v>
      </c>
      <c r="O48" s="3" t="s">
        <v>14</v>
      </c>
      <c r="P48" s="2" t="s">
        <v>8567</v>
      </c>
      <c r="Q48" s="2"/>
      <c r="R48" s="2" t="s">
        <v>8568</v>
      </c>
      <c r="S48" s="2"/>
      <c r="T48" s="2" t="s">
        <v>8569</v>
      </c>
      <c r="U48" s="2" t="s">
        <v>8570</v>
      </c>
      <c r="V48" s="2"/>
      <c r="W48" s="2" t="s">
        <v>8567</v>
      </c>
      <c r="X48" s="2" t="s">
        <v>8589</v>
      </c>
      <c r="Y48" s="2" t="s">
        <v>8573</v>
      </c>
      <c r="Z48" s="2" t="s">
        <v>8694</v>
      </c>
      <c r="AA48" s="4"/>
      <c r="AB48" s="5"/>
      <c r="AC48" s="6"/>
      <c r="AD48" s="6"/>
      <c r="AE48" s="6"/>
      <c r="AF48" s="6"/>
      <c r="AG48" s="7"/>
      <c r="AH48" s="7"/>
      <c r="AI48" s="7"/>
      <c r="AJ48" s="7"/>
      <c r="AK48" s="7"/>
      <c r="AL48" s="7"/>
      <c r="AM48" s="4" t="s">
        <v>8657</v>
      </c>
      <c r="AN48" s="32" t="s">
        <v>8858</v>
      </c>
      <c r="AQ48" s="8" t="s">
        <v>42</v>
      </c>
      <c r="AR48" s="8" t="s">
        <v>43</v>
      </c>
      <c r="AS48" s="2"/>
      <c r="AU48" s="4" t="s">
        <v>8639</v>
      </c>
      <c r="AV48" s="11"/>
      <c r="AW48" s="11" t="s">
        <v>8650</v>
      </c>
      <c r="AX48" s="4"/>
      <c r="AY48" s="12"/>
      <c r="AZ48" s="12"/>
      <c r="BI48" s="2" t="s">
        <v>8590</v>
      </c>
      <c r="BL48" s="32" t="s">
        <v>8578</v>
      </c>
      <c r="BN48" s="32" t="s">
        <v>8619</v>
      </c>
    </row>
    <row r="49" s="2" customFormat="true" ht="19.5" hidden="false" customHeight="true" outlineLevel="0" collapsed="false">
      <c r="A49" s="2" t="s">
        <v>8859</v>
      </c>
      <c r="C49" s="2" t="str">
        <f aca="false">_xlfn.CONCAT(A49, " ","(",B49,")")</f>
        <v>Apomyelois bistriatella
 ()</v>
      </c>
      <c r="D49" s="2" t="s">
        <v>8580</v>
      </c>
      <c r="E49" s="2" t="s">
        <v>8722</v>
      </c>
      <c r="F49" s="2" t="s">
        <v>8860</v>
      </c>
      <c r="H49" s="2" t="e">
        <f aca="false">VLOOKUP(A49,'[1]NE red list'!A$1:H$1048576,5,FALSE())</f>
        <v>#N/A</v>
      </c>
      <c r="I49" s="2" t="s">
        <v>8622</v>
      </c>
      <c r="J49" s="33" t="s">
        <v>8861</v>
      </c>
      <c r="L49" s="2" t="s">
        <v>8677</v>
      </c>
      <c r="M49" s="33"/>
      <c r="N49" s="2" t="str">
        <f aca="false">_xlfn.CONCAT(Q49," ",R49," ",S49)</f>
        <v>woodland parkland ToW</v>
      </c>
      <c r="O49" s="2" t="s">
        <v>14</v>
      </c>
      <c r="Q49" s="3" t="s">
        <v>16</v>
      </c>
      <c r="R49" s="2" t="s">
        <v>8568</v>
      </c>
      <c r="S49" s="2" t="s">
        <v>18</v>
      </c>
      <c r="T49" s="3"/>
      <c r="U49" s="2" t="s">
        <v>8570</v>
      </c>
      <c r="V49" s="2" t="s">
        <v>8763</v>
      </c>
      <c r="Z49" s="2" t="s">
        <v>8598</v>
      </c>
      <c r="AA49" s="38"/>
      <c r="AB49" s="39"/>
      <c r="AC49" s="40"/>
      <c r="AD49" s="40"/>
      <c r="AE49" s="40"/>
      <c r="AF49" s="40"/>
      <c r="AG49" s="41"/>
      <c r="AH49" s="41"/>
      <c r="AI49" s="41"/>
      <c r="AJ49" s="41"/>
      <c r="AK49" s="41"/>
      <c r="AL49" s="41"/>
      <c r="AM49" s="4" t="s">
        <v>8657</v>
      </c>
      <c r="AN49" s="42"/>
      <c r="AO49" s="42"/>
      <c r="AP49" s="42" t="s">
        <v>8791</v>
      </c>
      <c r="AQ49" s="42"/>
      <c r="AR49" s="42"/>
      <c r="AS49" s="43"/>
      <c r="AT49" s="33"/>
      <c r="AU49" s="38"/>
      <c r="AV49" s="44"/>
      <c r="AW49" s="44"/>
      <c r="AX49" s="4" t="s">
        <v>8585</v>
      </c>
      <c r="AY49" s="12" t="s">
        <v>8585</v>
      </c>
      <c r="AZ49" s="12"/>
      <c r="BA49" s="33"/>
      <c r="BB49" s="33"/>
      <c r="BC49" s="33"/>
      <c r="BD49" s="33"/>
      <c r="BE49" s="33"/>
      <c r="BF49" s="33"/>
      <c r="BG49" s="33"/>
      <c r="BH49" s="33"/>
      <c r="BI49" s="33"/>
      <c r="BJ49" s="33"/>
      <c r="BK49" s="33"/>
      <c r="BL49" s="33"/>
      <c r="BM49" s="33"/>
    </row>
    <row r="50" customFormat="false" ht="19.5" hidden="false" customHeight="true" outlineLevel="0" collapsed="false">
      <c r="A50" s="1" t="s">
        <v>8862</v>
      </c>
      <c r="B50" s="2" t="s">
        <v>8863</v>
      </c>
      <c r="C50" s="2" t="str">
        <f aca="false">_xlfn.CONCAT(A50, " ","(",B50,")")</f>
        <v>Aradus cinnamomeus (Pine flatbug. )</v>
      </c>
      <c r="D50" s="2" t="s">
        <v>8580</v>
      </c>
      <c r="E50" s="2" t="s">
        <v>8642</v>
      </c>
      <c r="F50" s="30" t="s">
        <v>8864</v>
      </c>
      <c r="H50" s="2" t="e">
        <f aca="false">VLOOKUP(A50,'[1]NE red list'!A$1:H$1048576,5,FALSE())</f>
        <v>#N/A</v>
      </c>
      <c r="I50" s="2" t="s">
        <v>8753</v>
      </c>
      <c r="J50" s="2" t="s">
        <v>8865</v>
      </c>
      <c r="L50" s="2" t="s">
        <v>8613</v>
      </c>
      <c r="N50" s="2" t="str">
        <f aca="false">_xlfn.CONCAT(Q50," ",R50," ",S50)</f>
        <v>woodland  </v>
      </c>
      <c r="O50" s="2"/>
      <c r="P50" s="2" t="s">
        <v>8866</v>
      </c>
      <c r="Q50" s="3" t="s">
        <v>16</v>
      </c>
      <c r="T50" s="2"/>
      <c r="U50" s="2" t="s">
        <v>8806</v>
      </c>
      <c r="V50" s="2" t="s">
        <v>8867</v>
      </c>
      <c r="W50" s="2" t="s">
        <v>8866</v>
      </c>
      <c r="Z50" s="2" t="s">
        <v>8614</v>
      </c>
      <c r="AG50" s="7" t="s">
        <v>8824</v>
      </c>
      <c r="AN50" s="8" t="s">
        <v>8638</v>
      </c>
      <c r="AS50" s="2"/>
      <c r="AV50" s="11"/>
      <c r="BA50" s="2" t="s">
        <v>8868</v>
      </c>
      <c r="BI50" s="2" t="s">
        <v>8590</v>
      </c>
      <c r="BL50" s="2" t="s">
        <v>8591</v>
      </c>
      <c r="BO50" s="2"/>
      <c r="MJM50" s="2"/>
    </row>
    <row r="51" customFormat="false" ht="19.5" hidden="false" customHeight="true" outlineLevel="0" collapsed="false">
      <c r="A51" s="2" t="s">
        <v>8869</v>
      </c>
      <c r="C51" s="2" t="str">
        <f aca="false">_xlfn.CONCAT(A51, " ","(",B51,")")</f>
        <v>Aradus depressus ()</v>
      </c>
      <c r="D51" s="2" t="s">
        <v>8580</v>
      </c>
      <c r="E51" s="2" t="s">
        <v>8642</v>
      </c>
      <c r="F51" s="30" t="s">
        <v>8864</v>
      </c>
      <c r="G51" s="2" t="s">
        <v>8737</v>
      </c>
      <c r="H51" s="2" t="e">
        <f aca="false">VLOOKUP(A51,'[1]NE red list'!A$1:H$1048576,5,FALSE())</f>
        <v>#N/A</v>
      </c>
      <c r="I51" s="2" t="s">
        <v>8645</v>
      </c>
      <c r="J51" s="2" t="s">
        <v>8870</v>
      </c>
      <c r="L51" s="2" t="s">
        <v>8677</v>
      </c>
      <c r="N51" s="2" t="str">
        <f aca="false">_xlfn.CONCAT(Q51," ",R51," ",S51)</f>
        <v>woodland parkland </v>
      </c>
      <c r="O51" s="3" t="s">
        <v>14</v>
      </c>
      <c r="P51" s="2"/>
      <c r="Q51" s="3" t="s">
        <v>16</v>
      </c>
      <c r="R51" s="2" t="s">
        <v>8568</v>
      </c>
      <c r="T51" s="2"/>
      <c r="U51" s="2" t="s">
        <v>8570</v>
      </c>
      <c r="V51" s="2" t="s">
        <v>8871</v>
      </c>
      <c r="Z51" s="2" t="s">
        <v>8574</v>
      </c>
      <c r="AG51" s="7" t="s">
        <v>8824</v>
      </c>
      <c r="AN51" s="8" t="s">
        <v>8852</v>
      </c>
      <c r="AS51" s="2"/>
      <c r="AV51" s="11"/>
      <c r="AX51" s="4" t="s">
        <v>8607</v>
      </c>
      <c r="AY51" s="12" t="s">
        <v>8585</v>
      </c>
      <c r="BI51" s="2" t="s">
        <v>8590</v>
      </c>
      <c r="BL51" s="2" t="s">
        <v>8591</v>
      </c>
      <c r="BO51" s="2"/>
      <c r="MJM51" s="2"/>
    </row>
    <row r="52" s="2" customFormat="true" ht="19.5" hidden="false" customHeight="true" outlineLevel="0" collapsed="false">
      <c r="A52" s="2" t="s">
        <v>8872</v>
      </c>
      <c r="C52" s="2" t="str">
        <f aca="false">_xlfn.CONCAT(A52, " ","(",B52,")")</f>
        <v>Archinemapogon yildizae
 ()</v>
      </c>
      <c r="D52" s="2" t="s">
        <v>8580</v>
      </c>
      <c r="E52" s="2" t="s">
        <v>8722</v>
      </c>
      <c r="F52" s="2" t="s">
        <v>8873</v>
      </c>
      <c r="H52" s="2" t="e">
        <f aca="false">VLOOKUP(A52,'[1]NE red list'!A$1:H$1048576,5,FALSE())</f>
        <v>#N/A</v>
      </c>
      <c r="I52" s="2" t="s">
        <v>8874</v>
      </c>
      <c r="J52" s="33" t="s">
        <v>8875</v>
      </c>
      <c r="L52" s="2" t="s">
        <v>8677</v>
      </c>
      <c r="M52" s="33"/>
      <c r="N52" s="2" t="str">
        <f aca="false">_xlfn.CONCAT(Q52," ",R52," ",S52)</f>
        <v>woodland parkland ToW</v>
      </c>
      <c r="O52" s="2" t="s">
        <v>14</v>
      </c>
      <c r="Q52" s="3" t="s">
        <v>16</v>
      </c>
      <c r="R52" s="2" t="s">
        <v>8568</v>
      </c>
      <c r="S52" s="2" t="s">
        <v>18</v>
      </c>
      <c r="T52" s="3"/>
      <c r="U52" s="2" t="s">
        <v>8570</v>
      </c>
      <c r="X52" s="2" t="s">
        <v>8589</v>
      </c>
      <c r="Y52" s="2" t="s">
        <v>8573</v>
      </c>
      <c r="Z52" s="2" t="s">
        <v>8614</v>
      </c>
      <c r="AA52" s="38"/>
      <c r="AB52" s="39"/>
      <c r="AC52" s="40"/>
      <c r="AD52" s="40"/>
      <c r="AE52" s="40"/>
      <c r="AF52" s="40"/>
      <c r="AG52" s="41"/>
      <c r="AH52" s="41"/>
      <c r="AI52" s="41"/>
      <c r="AJ52" s="41"/>
      <c r="AK52" s="41"/>
      <c r="AL52" s="41"/>
      <c r="AM52" s="38"/>
      <c r="AN52" s="42"/>
      <c r="AO52" s="42"/>
      <c r="AP52" s="42"/>
      <c r="AQ52" s="42"/>
      <c r="AR52" s="42"/>
      <c r="AS52" s="43"/>
      <c r="AT52" s="33"/>
      <c r="AU52" s="38"/>
      <c r="AV52" s="45"/>
      <c r="AW52" s="44"/>
      <c r="AX52" s="4" t="s">
        <v>8585</v>
      </c>
      <c r="AY52" s="12" t="s">
        <v>8585</v>
      </c>
      <c r="AZ52" s="12"/>
      <c r="BA52" s="33"/>
      <c r="BB52" s="33"/>
      <c r="BC52" s="33"/>
      <c r="BD52" s="33"/>
      <c r="BE52" s="33"/>
      <c r="BF52" s="33"/>
      <c r="BG52" s="33"/>
      <c r="BH52" s="33"/>
      <c r="BI52" s="33"/>
      <c r="BJ52" s="33"/>
      <c r="BK52" s="33"/>
      <c r="BL52" s="33"/>
      <c r="BM52" s="33"/>
    </row>
    <row r="53" customFormat="false" ht="19.5" hidden="false" customHeight="true" outlineLevel="0" collapsed="false">
      <c r="A53" s="2" t="s">
        <v>8876</v>
      </c>
      <c r="C53" s="2" t="str">
        <f aca="false">_xlfn.CONCAT(A53, " ","(",B53,")")</f>
        <v>Argyresthia goedartella
 ()</v>
      </c>
      <c r="D53" s="2" t="s">
        <v>8580</v>
      </c>
      <c r="E53" s="2" t="s">
        <v>8722</v>
      </c>
      <c r="F53" s="2" t="s">
        <v>8877</v>
      </c>
      <c r="G53" s="2" t="s">
        <v>8731</v>
      </c>
      <c r="H53" s="2" t="e">
        <f aca="false">VLOOKUP(A53,'[1]NE red list'!A$1:H$1048576,5,FALSE())</f>
        <v>#N/A</v>
      </c>
      <c r="I53" s="2" t="s">
        <v>8878</v>
      </c>
      <c r="J53" s="33" t="s">
        <v>8879</v>
      </c>
      <c r="L53" s="2" t="s">
        <v>8648</v>
      </c>
      <c r="M53" s="33"/>
      <c r="N53" s="2" t="str">
        <f aca="false">_xlfn.CONCAT(Q53," ",R53," ",S53)</f>
        <v>woodland parkland ToW</v>
      </c>
      <c r="O53" s="2" t="s">
        <v>14</v>
      </c>
      <c r="P53" s="2"/>
      <c r="Q53" s="2" t="s">
        <v>16</v>
      </c>
      <c r="R53" s="2" t="s">
        <v>8568</v>
      </c>
      <c r="S53" s="2" t="s">
        <v>18</v>
      </c>
      <c r="U53" s="2" t="s">
        <v>8570</v>
      </c>
      <c r="V53" s="2" t="s">
        <v>8880</v>
      </c>
      <c r="Y53" s="2" t="s">
        <v>8573</v>
      </c>
      <c r="Z53" s="2" t="s">
        <v>8694</v>
      </c>
      <c r="AM53" s="4" t="s">
        <v>8657</v>
      </c>
      <c r="AN53" s="8" t="s">
        <v>8858</v>
      </c>
      <c r="AO53" s="8" t="s">
        <v>40</v>
      </c>
      <c r="AQ53" s="8" t="s">
        <v>42</v>
      </c>
      <c r="AS53" s="2"/>
      <c r="AV53" s="11"/>
      <c r="AX53" s="4" t="s">
        <v>8585</v>
      </c>
      <c r="AY53" s="12" t="s">
        <v>8585</v>
      </c>
      <c r="BO53" s="2"/>
      <c r="MJM53" s="2"/>
    </row>
    <row r="54" customFormat="false" ht="19.5" hidden="false" customHeight="true" outlineLevel="0" collapsed="false">
      <c r="A54" s="1" t="s">
        <v>8881</v>
      </c>
      <c r="B54" s="2" t="s">
        <v>8882</v>
      </c>
      <c r="C54" s="2" t="str">
        <f aca="false">_xlfn.CONCAT(A54, " ","(",B54,")")</f>
        <v>Arhopalus ferus (Burnt Pine Longhorn)</v>
      </c>
      <c r="D54" s="2" t="s">
        <v>8580</v>
      </c>
      <c r="E54" s="2" t="s">
        <v>8581</v>
      </c>
      <c r="F54" s="2" t="s">
        <v>8787</v>
      </c>
      <c r="G54" s="2" t="s">
        <v>8883</v>
      </c>
      <c r="H54" s="2" t="e">
        <f aca="false">VLOOKUP(A54,'[1]NE red list'!A$1:H$1048576,5,FALSE())</f>
        <v>#N/A</v>
      </c>
      <c r="I54" s="2" t="s">
        <v>8622</v>
      </c>
      <c r="J54" s="2" t="s">
        <v>8884</v>
      </c>
      <c r="L54" s="2" t="s">
        <v>8613</v>
      </c>
      <c r="N54" s="2" t="str">
        <f aca="false">_xlfn.CONCAT(Q54," ",R54," ",S54)</f>
        <v>woodland  </v>
      </c>
      <c r="O54" s="2"/>
      <c r="P54" s="2"/>
      <c r="Q54" s="2" t="s">
        <v>16</v>
      </c>
      <c r="T54" s="2"/>
      <c r="U54" s="2" t="s">
        <v>8806</v>
      </c>
      <c r="X54" s="2" t="s">
        <v>8885</v>
      </c>
      <c r="Y54" s="2" t="s">
        <v>8772</v>
      </c>
      <c r="Z54" s="2" t="s">
        <v>8711</v>
      </c>
      <c r="AG54" s="7" t="s">
        <v>8824</v>
      </c>
      <c r="AH54" s="7" t="s">
        <v>33</v>
      </c>
      <c r="AM54" s="4" t="s">
        <v>8657</v>
      </c>
      <c r="AN54" s="8" t="s">
        <v>8734</v>
      </c>
      <c r="AO54" s="8" t="s">
        <v>40</v>
      </c>
      <c r="AP54" s="8" t="s">
        <v>8791</v>
      </c>
      <c r="AQ54" s="8" t="s">
        <v>42</v>
      </c>
      <c r="AS54" s="2"/>
      <c r="AV54" s="11"/>
      <c r="BI54" s="2" t="s">
        <v>8590</v>
      </c>
      <c r="BL54" s="2" t="s">
        <v>8591</v>
      </c>
      <c r="BO54" s="2"/>
      <c r="MJM54" s="2"/>
    </row>
    <row r="55" customFormat="false" ht="19.5" hidden="false" customHeight="true" outlineLevel="0" collapsed="false">
      <c r="A55" s="1" t="s">
        <v>8886</v>
      </c>
      <c r="B55" s="2" t="s">
        <v>8887</v>
      </c>
      <c r="C55" s="2" t="str">
        <f aca="false">_xlfn.CONCAT(A55, " ","(",B55,")")</f>
        <v>Arhopalus rusticus (Dusky Longhorn)</v>
      </c>
      <c r="D55" s="2" t="s">
        <v>8580</v>
      </c>
      <c r="E55" s="2" t="s">
        <v>8581</v>
      </c>
      <c r="F55" s="2" t="s">
        <v>8787</v>
      </c>
      <c r="G55" s="2" t="s">
        <v>8737</v>
      </c>
      <c r="H55" s="2" t="str">
        <f aca="false">VLOOKUP(A55,'[1]NE red list'!A$1:H$1048576,5,FALSE())</f>
        <v>LC</v>
      </c>
      <c r="I55" s="2" t="s">
        <v>8645</v>
      </c>
      <c r="J55" s="2" t="s">
        <v>8888</v>
      </c>
      <c r="L55" s="2" t="s">
        <v>8889</v>
      </c>
      <c r="N55" s="2" t="str">
        <f aca="false">_xlfn.CONCAT(Q55," ",R55," ",S55)</f>
        <v>plantations  </v>
      </c>
      <c r="O55" s="2"/>
      <c r="P55" s="2"/>
      <c r="Q55" s="2" t="s">
        <v>8890</v>
      </c>
      <c r="T55" s="2"/>
      <c r="U55" s="2" t="s">
        <v>8806</v>
      </c>
      <c r="X55" s="2" t="s">
        <v>8885</v>
      </c>
      <c r="Y55" s="2" t="s">
        <v>8772</v>
      </c>
      <c r="Z55" s="2" t="s">
        <v>8711</v>
      </c>
      <c r="AG55" s="7" t="s">
        <v>8824</v>
      </c>
      <c r="AM55" s="4" t="s">
        <v>8657</v>
      </c>
      <c r="AN55" s="8" t="s">
        <v>8734</v>
      </c>
      <c r="AO55" s="8" t="s">
        <v>40</v>
      </c>
      <c r="AQ55" s="8" t="s">
        <v>42</v>
      </c>
      <c r="AS55" s="2"/>
      <c r="AV55" s="11"/>
      <c r="BI55" s="2" t="s">
        <v>8590</v>
      </c>
      <c r="BL55" s="2" t="s">
        <v>8591</v>
      </c>
      <c r="BO55" s="2"/>
      <c r="MJM55" s="2"/>
    </row>
    <row r="56" customFormat="false" ht="19.5" hidden="false" customHeight="true" outlineLevel="0" collapsed="false">
      <c r="A56" s="2" t="s">
        <v>8891</v>
      </c>
      <c r="C56" s="2" t="str">
        <f aca="false">_xlfn.CONCAT(A56, " ","(",B56,")")</f>
        <v>Arthonia invadens ()</v>
      </c>
      <c r="D56" s="2" t="s">
        <v>8892</v>
      </c>
      <c r="E56" s="2" t="s">
        <v>8892</v>
      </c>
      <c r="F56" s="2" t="s">
        <v>8892</v>
      </c>
      <c r="G56" s="2" t="s">
        <v>8776</v>
      </c>
      <c r="H56" s="2" t="str">
        <f aca="false">VLOOKUP(A56,'[1]NE red list'!A$1:H$1048576,5,FALSE())</f>
        <v>NT</v>
      </c>
      <c r="I56" s="2" t="s">
        <v>8893</v>
      </c>
      <c r="J56" s="33" t="s">
        <v>8894</v>
      </c>
      <c r="K56" s="2" t="s">
        <v>8895</v>
      </c>
      <c r="L56" s="2" t="s">
        <v>8896</v>
      </c>
      <c r="N56" s="2" t="str">
        <f aca="false">_xlfn.CONCAT(Q56," ",R56," ",S56)</f>
        <v>woodland parkland ToW</v>
      </c>
      <c r="O56" s="2" t="s">
        <v>14</v>
      </c>
      <c r="P56" s="2" t="s">
        <v>8567</v>
      </c>
      <c r="Q56" s="2" t="s">
        <v>16</v>
      </c>
      <c r="R56" s="2" t="s">
        <v>8568</v>
      </c>
      <c r="S56" s="2" t="s">
        <v>18</v>
      </c>
      <c r="T56" s="2"/>
      <c r="U56" s="2" t="s">
        <v>8570</v>
      </c>
      <c r="V56" s="2" t="s">
        <v>8897</v>
      </c>
      <c r="W56" s="2" t="s">
        <v>8567</v>
      </c>
      <c r="X56" s="2" t="s">
        <v>8625</v>
      </c>
      <c r="Z56" s="2" t="s">
        <v>8694</v>
      </c>
      <c r="AM56" s="4" t="s">
        <v>8657</v>
      </c>
      <c r="AN56" s="8" t="s">
        <v>8898</v>
      </c>
      <c r="AO56" s="8" t="s">
        <v>40</v>
      </c>
      <c r="AQ56" s="8" t="s">
        <v>42</v>
      </c>
      <c r="AR56" s="8" t="s">
        <v>43</v>
      </c>
      <c r="AS56" s="2"/>
      <c r="AU56" s="4" t="s">
        <v>8639</v>
      </c>
      <c r="AV56" s="11"/>
      <c r="AW56" s="11" t="s">
        <v>8726</v>
      </c>
      <c r="BC56" s="2" t="s">
        <v>8899</v>
      </c>
      <c r="BD56" s="2" t="s">
        <v>8629</v>
      </c>
      <c r="BG56" s="2" t="s">
        <v>8900</v>
      </c>
      <c r="BK56" s="2" t="s">
        <v>8578</v>
      </c>
      <c r="BL56" s="2" t="s">
        <v>8578</v>
      </c>
      <c r="BO56" s="2"/>
      <c r="MJM56" s="2"/>
    </row>
    <row r="57" customFormat="false" ht="19.5" hidden="false" customHeight="true" outlineLevel="0" collapsed="false">
      <c r="A57" s="2" t="s">
        <v>8901</v>
      </c>
      <c r="C57" s="2" t="str">
        <f aca="false">_xlfn.CONCAT(A57, " ","(",B57,")")</f>
        <v>Arthonia zwackhii ()</v>
      </c>
      <c r="D57" s="2" t="s">
        <v>8892</v>
      </c>
      <c r="E57" s="2" t="s">
        <v>8892</v>
      </c>
      <c r="F57" s="2" t="s">
        <v>8892</v>
      </c>
      <c r="G57" s="2" t="s">
        <v>8902</v>
      </c>
      <c r="H57" s="2" t="str">
        <f aca="false">VLOOKUP(A57,'[1]NE red list'!A$1:H$1048576,5,FALSE())</f>
        <v>NT</v>
      </c>
      <c r="I57" s="2" t="s">
        <v>8903</v>
      </c>
      <c r="J57" s="33" t="s">
        <v>8904</v>
      </c>
      <c r="K57" s="2" t="s">
        <v>8905</v>
      </c>
      <c r="L57" s="2" t="s">
        <v>8896</v>
      </c>
      <c r="N57" s="2" t="str">
        <f aca="false">_xlfn.CONCAT(Q57," ",R57," ",S57)</f>
        <v>woodland parkland </v>
      </c>
      <c r="O57" s="3" t="s">
        <v>14</v>
      </c>
      <c r="P57" s="2" t="s">
        <v>8587</v>
      </c>
      <c r="Q57" s="2" t="s">
        <v>16</v>
      </c>
      <c r="R57" s="2" t="s">
        <v>8568</v>
      </c>
      <c r="T57" s="2"/>
      <c r="U57" s="2" t="s">
        <v>8570</v>
      </c>
      <c r="V57" s="2" t="s">
        <v>8906</v>
      </c>
      <c r="W57" s="2" t="s">
        <v>8567</v>
      </c>
      <c r="Z57" s="2" t="s">
        <v>8694</v>
      </c>
      <c r="AN57" s="8" t="s">
        <v>8858</v>
      </c>
      <c r="AS57" s="2"/>
      <c r="AU57" s="4" t="s">
        <v>8639</v>
      </c>
      <c r="AV57" s="11"/>
      <c r="AW57" s="11" t="s">
        <v>8726</v>
      </c>
      <c r="BJ57" s="2" t="s">
        <v>8907</v>
      </c>
      <c r="BL57" s="2" t="s">
        <v>8591</v>
      </c>
      <c r="BO57" s="2"/>
      <c r="MJM57" s="2"/>
    </row>
    <row r="58" customFormat="false" ht="19.5" hidden="false" customHeight="true" outlineLevel="0" collapsed="false">
      <c r="A58" s="2" t="s">
        <v>8908</v>
      </c>
      <c r="C58" s="2" t="str">
        <f aca="false">_xlfn.CONCAT(A58, " ","(",B58,")")</f>
        <v>Asteia amoena ()</v>
      </c>
      <c r="D58" s="2" t="s">
        <v>8580</v>
      </c>
      <c r="E58" s="2" t="s">
        <v>8687</v>
      </c>
      <c r="F58" s="2" t="s">
        <v>8909</v>
      </c>
      <c r="G58" s="2" t="s">
        <v>8731</v>
      </c>
      <c r="H58" s="2" t="e">
        <f aca="false">VLOOKUP(A58,'[1]NE red list'!A$1:H$1048576,5,FALSE())</f>
        <v>#N/A</v>
      </c>
      <c r="I58" s="2" t="s">
        <v>8645</v>
      </c>
      <c r="J58" s="2" t="s">
        <v>8910</v>
      </c>
      <c r="L58" s="2" t="s">
        <v>8844</v>
      </c>
      <c r="N58" s="2" t="str">
        <f aca="false">_xlfn.CONCAT(Q58," ",R58," ",S58)</f>
        <v> parkland </v>
      </c>
      <c r="O58" s="3" t="s">
        <v>14</v>
      </c>
      <c r="P58" s="2"/>
      <c r="R58" s="2" t="s">
        <v>8568</v>
      </c>
      <c r="T58" s="2"/>
      <c r="U58" s="2" t="s">
        <v>8605</v>
      </c>
      <c r="W58" s="2" t="s">
        <v>8571</v>
      </c>
      <c r="X58" s="2" t="s">
        <v>8589</v>
      </c>
      <c r="AA58" s="4" t="s">
        <v>26</v>
      </c>
      <c r="AD58" s="6" t="s">
        <v>8615</v>
      </c>
      <c r="AF58" s="6" t="s">
        <v>8616</v>
      </c>
      <c r="AG58" s="7" t="s">
        <v>8575</v>
      </c>
      <c r="AI58" s="7" t="s">
        <v>8617</v>
      </c>
      <c r="AL58" s="7" t="s">
        <v>8628</v>
      </c>
      <c r="AS58" s="2"/>
      <c r="AV58" s="11"/>
      <c r="BA58" s="2" t="s">
        <v>8868</v>
      </c>
      <c r="BB58" s="2" t="s">
        <v>8618</v>
      </c>
      <c r="BI58" s="2" t="s">
        <v>8590</v>
      </c>
      <c r="BL58" s="2" t="s">
        <v>8591</v>
      </c>
      <c r="BO58" s="2"/>
      <c r="MJM58" s="2"/>
    </row>
    <row r="59" customFormat="false" ht="19.5" hidden="false" customHeight="true" outlineLevel="0" collapsed="false">
      <c r="A59" s="1" t="s">
        <v>8911</v>
      </c>
      <c r="B59" s="2" t="s">
        <v>8912</v>
      </c>
      <c r="C59" s="2" t="str">
        <f aca="false">_xlfn.CONCAT(A59, " ","(",B59,")")</f>
        <v>Athene noctua (Little Owl)</v>
      </c>
      <c r="D59" s="2" t="s">
        <v>8560</v>
      </c>
      <c r="E59" s="2" t="s">
        <v>8561</v>
      </c>
      <c r="F59" s="2" t="s">
        <v>8913</v>
      </c>
      <c r="G59" s="2" t="s">
        <v>8914</v>
      </c>
      <c r="H59" s="2" t="e">
        <f aca="false">VLOOKUP(A59,'[1]NE red list'!A$1:H$1048576,5,FALSE())</f>
        <v>#N/A</v>
      </c>
      <c r="I59" s="2" t="s">
        <v>8645</v>
      </c>
      <c r="J59" s="46" t="s">
        <v>8915</v>
      </c>
      <c r="L59" s="2" t="s">
        <v>8665</v>
      </c>
      <c r="N59" s="2" t="str">
        <f aca="false">_xlfn.CONCAT(Q59," ",R59," ",S59)</f>
        <v> parkland ToW</v>
      </c>
      <c r="O59" s="2" t="s">
        <v>14</v>
      </c>
      <c r="P59" s="2"/>
      <c r="R59" s="2" t="s">
        <v>8568</v>
      </c>
      <c r="S59" s="2" t="s">
        <v>18</v>
      </c>
      <c r="T59" s="2"/>
      <c r="U59" s="2" t="s">
        <v>8570</v>
      </c>
      <c r="AA59" s="4" t="s">
        <v>26</v>
      </c>
      <c r="AC59" s="6" t="s">
        <v>30</v>
      </c>
      <c r="AD59" s="6" t="s">
        <v>8615</v>
      </c>
      <c r="AS59" s="2"/>
      <c r="AV59" s="11"/>
      <c r="BL59" s="2" t="s">
        <v>8591</v>
      </c>
      <c r="MJM59" s="2"/>
    </row>
    <row r="60" customFormat="false" ht="19.5" hidden="false" customHeight="true" outlineLevel="0" collapsed="false">
      <c r="A60" s="2" t="s">
        <v>8916</v>
      </c>
      <c r="C60" s="2" t="str">
        <f aca="false">_xlfn.CONCAT(A60, " ","(",B60,")")</f>
        <v>Batrisodes adnexus ()</v>
      </c>
      <c r="D60" s="2" t="s">
        <v>8580</v>
      </c>
      <c r="E60" s="2" t="s">
        <v>8581</v>
      </c>
      <c r="F60" s="35" t="s">
        <v>8917</v>
      </c>
      <c r="G60" s="2" t="s">
        <v>8662</v>
      </c>
      <c r="H60" s="2" t="e">
        <f aca="false">VLOOKUP(A60,'[1]NE red list'!A$1:H$1048576,5,FALSE())</f>
        <v>#N/A</v>
      </c>
      <c r="I60" s="2" t="s">
        <v>8714</v>
      </c>
      <c r="J60" s="2" t="s">
        <v>8918</v>
      </c>
      <c r="K60" s="2" t="s">
        <v>8919</v>
      </c>
      <c r="L60" s="2" t="s">
        <v>8665</v>
      </c>
      <c r="N60" s="2" t="str">
        <f aca="false">_xlfn.CONCAT(Q60," ",R60," ",S60)</f>
        <v> parkland </v>
      </c>
      <c r="O60" s="3" t="s">
        <v>14</v>
      </c>
      <c r="P60" s="2" t="s">
        <v>8567</v>
      </c>
      <c r="R60" s="2" t="s">
        <v>8568</v>
      </c>
      <c r="T60" s="2"/>
      <c r="U60" s="2" t="s">
        <v>8570</v>
      </c>
      <c r="W60" s="2" t="s">
        <v>8571</v>
      </c>
      <c r="Z60" s="2" t="s">
        <v>8574</v>
      </c>
      <c r="AA60" s="4" t="s">
        <v>26</v>
      </c>
      <c r="AD60" s="6" t="s">
        <v>8615</v>
      </c>
      <c r="AF60" s="6" t="s">
        <v>8616</v>
      </c>
      <c r="AG60" s="7" t="s">
        <v>8575</v>
      </c>
      <c r="AI60" s="7" t="s">
        <v>8617</v>
      </c>
      <c r="AJ60" s="7" t="s">
        <v>8612</v>
      </c>
      <c r="AK60" s="7" t="s">
        <v>8627</v>
      </c>
      <c r="AS60" s="2"/>
      <c r="AU60" s="4" t="s">
        <v>8639</v>
      </c>
      <c r="AV60" s="10" t="s">
        <v>8664</v>
      </c>
      <c r="AX60" s="4" t="s">
        <v>8585</v>
      </c>
      <c r="AY60" s="12" t="s">
        <v>8585</v>
      </c>
      <c r="BI60" s="2" t="s">
        <v>8590</v>
      </c>
      <c r="BJ60" s="2" t="s">
        <v>8747</v>
      </c>
      <c r="BL60" s="2" t="s">
        <v>8591</v>
      </c>
      <c r="BO60" s="2"/>
      <c r="MJM60" s="2"/>
    </row>
    <row r="61" customFormat="false" ht="19.5" hidden="false" customHeight="true" outlineLevel="0" collapsed="false">
      <c r="A61" s="1" t="s">
        <v>8920</v>
      </c>
      <c r="B61" s="2" t="s">
        <v>8921</v>
      </c>
      <c r="C61" s="2" t="str">
        <f aca="false">_xlfn.CONCAT(A61, " ","(",B61,")")</f>
        <v>Atolmis rubricollis (Red-necked Footman)</v>
      </c>
      <c r="D61" s="2" t="s">
        <v>8580</v>
      </c>
      <c r="E61" s="2" t="s">
        <v>8722</v>
      </c>
      <c r="F61" s="2" t="s">
        <v>8922</v>
      </c>
      <c r="G61" s="2" t="s">
        <v>8737</v>
      </c>
      <c r="H61" s="2" t="e">
        <f aca="false">VLOOKUP(A61,'[1]NE red list'!A$1:H$1048576,5,FALSE())</f>
        <v>#N/A</v>
      </c>
      <c r="I61" s="2" t="s">
        <v>8645</v>
      </c>
      <c r="J61" s="33" t="s">
        <v>8923</v>
      </c>
      <c r="K61" s="2" t="s">
        <v>8924</v>
      </c>
      <c r="L61" s="2" t="s">
        <v>8648</v>
      </c>
      <c r="N61" s="2" t="str">
        <f aca="false">_xlfn.CONCAT(Q61," ",R61," ",S61)</f>
        <v>woodland parkland </v>
      </c>
      <c r="O61" s="3" t="s">
        <v>14</v>
      </c>
      <c r="P61" s="2"/>
      <c r="Q61" s="2" t="s">
        <v>16</v>
      </c>
      <c r="R61" s="2" t="s">
        <v>8568</v>
      </c>
      <c r="T61" s="2"/>
      <c r="U61" s="2" t="s">
        <v>8605</v>
      </c>
      <c r="V61" s="2" t="s">
        <v>8925</v>
      </c>
      <c r="X61" s="2" t="s">
        <v>8589</v>
      </c>
      <c r="Z61" s="2" t="s">
        <v>8694</v>
      </c>
      <c r="AS61" s="2"/>
      <c r="AU61" s="4" t="s">
        <v>8639</v>
      </c>
      <c r="AV61" s="11"/>
      <c r="AW61" s="11" t="s">
        <v>8726</v>
      </c>
      <c r="BI61" s="2" t="s">
        <v>8590</v>
      </c>
      <c r="BJ61" s="2" t="s">
        <v>8601</v>
      </c>
      <c r="BL61" s="2" t="s">
        <v>8591</v>
      </c>
      <c r="BO61" s="2"/>
      <c r="MJM61" s="2"/>
    </row>
    <row r="62" customFormat="false" ht="19.5" hidden="false" customHeight="true" outlineLevel="0" collapsed="false">
      <c r="A62" s="2" t="s">
        <v>8926</v>
      </c>
      <c r="C62" s="2" t="str">
        <f aca="false">_xlfn.CONCAT(A62, " ","(",B62,")")</f>
        <v>Batrisodes delaporti ()</v>
      </c>
      <c r="D62" s="2" t="s">
        <v>8580</v>
      </c>
      <c r="E62" s="2" t="s">
        <v>8581</v>
      </c>
      <c r="F62" s="35" t="s">
        <v>8917</v>
      </c>
      <c r="G62" s="2" t="s">
        <v>8662</v>
      </c>
      <c r="H62" s="2" t="e">
        <f aca="false">VLOOKUP(A62,'[1]NE red list'!A$1:H$1048576,5,FALSE())</f>
        <v>#N/A</v>
      </c>
      <c r="I62" s="2" t="s">
        <v>8610</v>
      </c>
      <c r="J62" s="2" t="s">
        <v>8927</v>
      </c>
      <c r="K62" s="2" t="s">
        <v>8664</v>
      </c>
      <c r="L62" s="2" t="s">
        <v>8665</v>
      </c>
      <c r="N62" s="2" t="str">
        <f aca="false">_xlfn.CONCAT(Q62," ",R62," ",S62)</f>
        <v> parkland </v>
      </c>
      <c r="O62" s="3" t="s">
        <v>14</v>
      </c>
      <c r="P62" s="2" t="s">
        <v>8567</v>
      </c>
      <c r="R62" s="2" t="s">
        <v>8568</v>
      </c>
      <c r="T62" s="2"/>
      <c r="U62" s="2" t="s">
        <v>8570</v>
      </c>
      <c r="W62" s="2" t="s">
        <v>8571</v>
      </c>
      <c r="Z62" s="2" t="s">
        <v>8614</v>
      </c>
      <c r="AA62" s="4" t="s">
        <v>26</v>
      </c>
      <c r="AD62" s="6" t="s">
        <v>8615</v>
      </c>
      <c r="AF62" s="6" t="s">
        <v>8616</v>
      </c>
      <c r="AG62" s="7" t="s">
        <v>8575</v>
      </c>
      <c r="AI62" s="7" t="s">
        <v>8617</v>
      </c>
      <c r="AJ62" s="7" t="s">
        <v>8612</v>
      </c>
      <c r="AK62" s="7" t="s">
        <v>8627</v>
      </c>
      <c r="AS62" s="2"/>
      <c r="AU62" s="4" t="s">
        <v>8639</v>
      </c>
      <c r="AV62" s="10" t="s">
        <v>8664</v>
      </c>
      <c r="BI62" s="2" t="s">
        <v>8590</v>
      </c>
      <c r="BJ62" s="2" t="s">
        <v>8747</v>
      </c>
      <c r="BL62" s="2" t="s">
        <v>8591</v>
      </c>
      <c r="BO62" s="2"/>
      <c r="MJM62" s="2"/>
    </row>
    <row r="63" customFormat="false" ht="19.5" hidden="false" customHeight="true" outlineLevel="0" collapsed="false">
      <c r="A63" s="2" t="s">
        <v>8928</v>
      </c>
      <c r="C63" s="2" t="str">
        <f aca="false">_xlfn.CONCAT(A63, " ","(",B63,")")</f>
        <v>Atomaria umbrina ()</v>
      </c>
      <c r="D63" s="2" t="s">
        <v>8580</v>
      </c>
      <c r="E63" s="2" t="s">
        <v>8581</v>
      </c>
      <c r="F63" s="2" t="s">
        <v>8929</v>
      </c>
      <c r="G63" s="2" t="s">
        <v>8583</v>
      </c>
      <c r="H63" s="2" t="e">
        <f aca="false">VLOOKUP(A63,'[1]NE red list'!A$1:H$1048576,5,FALSE())</f>
        <v>#N/A</v>
      </c>
      <c r="I63" s="2" t="s">
        <v>8645</v>
      </c>
      <c r="J63" s="2" t="s">
        <v>8930</v>
      </c>
      <c r="K63" s="2" t="s">
        <v>8931</v>
      </c>
      <c r="L63" s="2" t="s">
        <v>8677</v>
      </c>
      <c r="N63" s="2" t="str">
        <f aca="false">_xlfn.CONCAT(Q63," ",R63," ",S63)</f>
        <v>woodland parkland </v>
      </c>
      <c r="O63" s="3" t="s">
        <v>14</v>
      </c>
      <c r="P63" s="2"/>
      <c r="Q63" s="2" t="s">
        <v>16</v>
      </c>
      <c r="R63" s="2" t="s">
        <v>8568</v>
      </c>
      <c r="T63" s="2"/>
      <c r="U63" s="2" t="s">
        <v>8570</v>
      </c>
      <c r="X63" s="2" t="s">
        <v>8649</v>
      </c>
      <c r="AS63" s="2"/>
      <c r="AV63" s="11"/>
      <c r="AX63" s="4" t="s">
        <v>8607</v>
      </c>
      <c r="AZ63" s="12" t="s">
        <v>8607</v>
      </c>
      <c r="BI63" s="2" t="s">
        <v>8590</v>
      </c>
      <c r="BJ63" s="2" t="s">
        <v>8630</v>
      </c>
      <c r="BL63" s="2" t="s">
        <v>8591</v>
      </c>
      <c r="BO63" s="2"/>
      <c r="MJM63" s="2"/>
    </row>
    <row r="64" customFormat="false" ht="19.5" hidden="false" customHeight="true" outlineLevel="0" collapsed="false">
      <c r="A64" s="2" t="s">
        <v>8932</v>
      </c>
      <c r="C64" s="2" t="str">
        <f aca="false">_xlfn.CONCAT(A64, " ","(",B64,")")</f>
        <v>Atypophthalmus inustus ()</v>
      </c>
      <c r="D64" s="2" t="s">
        <v>8580</v>
      </c>
      <c r="E64" s="2" t="s">
        <v>8687</v>
      </c>
      <c r="F64" s="2" t="s">
        <v>8933</v>
      </c>
      <c r="G64" s="2" t="s">
        <v>8583</v>
      </c>
      <c r="H64" s="2" t="e">
        <f aca="false">VLOOKUP(A64,'[1]NE red list'!A$1:H$1048576,5,FALSE())</f>
        <v>#N/A</v>
      </c>
      <c r="I64" s="2" t="s">
        <v>8645</v>
      </c>
      <c r="J64" s="2" t="s">
        <v>8934</v>
      </c>
      <c r="K64" s="2" t="s">
        <v>8931</v>
      </c>
      <c r="L64" s="2" t="s">
        <v>8677</v>
      </c>
      <c r="N64" s="2" t="str">
        <f aca="false">_xlfn.CONCAT(Q64," ",R64," ",S64)</f>
        <v>woodland  </v>
      </c>
      <c r="O64" s="2"/>
      <c r="P64" s="2"/>
      <c r="Q64" s="2" t="s">
        <v>16</v>
      </c>
      <c r="T64" s="2"/>
      <c r="U64" s="2" t="s">
        <v>8570</v>
      </c>
      <c r="Z64" s="2" t="s">
        <v>8614</v>
      </c>
      <c r="AG64" s="7" t="s">
        <v>8575</v>
      </c>
      <c r="AS64" s="2"/>
      <c r="AV64" s="11"/>
      <c r="AX64" s="4" t="s">
        <v>8607</v>
      </c>
      <c r="AY64" s="12" t="s">
        <v>8935</v>
      </c>
      <c r="BC64" s="2" t="s">
        <v>8600</v>
      </c>
      <c r="BI64" s="2" t="s">
        <v>8590</v>
      </c>
      <c r="BL64" s="2" t="s">
        <v>8591</v>
      </c>
      <c r="BO64" s="2"/>
      <c r="MJM64" s="2"/>
    </row>
    <row r="65" customFormat="false" ht="19.5" hidden="false" customHeight="true" outlineLevel="0" collapsed="false">
      <c r="A65" s="2" t="s">
        <v>8936</v>
      </c>
      <c r="C65" s="2" t="str">
        <f aca="false">_xlfn.CONCAT(A65, " ","(",B65,")")</f>
        <v>Aulonium trisulcus ()</v>
      </c>
      <c r="D65" s="2" t="s">
        <v>8580</v>
      </c>
      <c r="E65" s="2" t="s">
        <v>8581</v>
      </c>
      <c r="F65" s="35" t="s">
        <v>8937</v>
      </c>
      <c r="H65" s="2" t="e">
        <f aca="false">VLOOKUP(A65,'[1]NE red list'!A$1:H$1048576,5,FALSE())</f>
        <v>#N/A</v>
      </c>
      <c r="I65" s="2" t="s">
        <v>8622</v>
      </c>
      <c r="J65" s="2" t="s">
        <v>8938</v>
      </c>
      <c r="L65" s="2" t="s">
        <v>8939</v>
      </c>
      <c r="N65" s="2" t="str">
        <f aca="false">_xlfn.CONCAT(Q65," ",R65," ",S65)</f>
        <v>woodland parkland </v>
      </c>
      <c r="O65" s="3" t="s">
        <v>14</v>
      </c>
      <c r="P65" s="2"/>
      <c r="Q65" s="2" t="s">
        <v>16</v>
      </c>
      <c r="R65" s="2" t="s">
        <v>8568</v>
      </c>
      <c r="T65" s="2"/>
      <c r="U65" s="2" t="s">
        <v>8570</v>
      </c>
      <c r="V65" s="2" t="s">
        <v>8940</v>
      </c>
      <c r="Z65" s="2" t="s">
        <v>8574</v>
      </c>
      <c r="AB65" s="5" t="s">
        <v>8672</v>
      </c>
      <c r="AG65" s="7" t="s">
        <v>8575</v>
      </c>
      <c r="AN65" s="8" t="s">
        <v>8638</v>
      </c>
      <c r="AS65" s="2"/>
      <c r="AV65" s="11"/>
      <c r="BL65" s="2" t="s">
        <v>8591</v>
      </c>
      <c r="BO65" s="2"/>
      <c r="MJM65" s="2"/>
    </row>
    <row r="66" customFormat="false" ht="19.5" hidden="false" customHeight="true" outlineLevel="0" collapsed="false">
      <c r="A66" s="2" t="s">
        <v>8941</v>
      </c>
      <c r="C66" s="2" t="str">
        <f aca="false">_xlfn.CONCAT(A66, " ","(",B66,")")</f>
        <v>Batrisodes venustus ()</v>
      </c>
      <c r="D66" s="2" t="s">
        <v>8580</v>
      </c>
      <c r="E66" s="2" t="s">
        <v>8581</v>
      </c>
      <c r="F66" s="35" t="s">
        <v>8917</v>
      </c>
      <c r="G66" s="2" t="s">
        <v>8583</v>
      </c>
      <c r="H66" s="2" t="e">
        <f aca="false">VLOOKUP(A66,'[1]NE red list'!A$1:H$1048576,5,FALSE())</f>
        <v>#N/A</v>
      </c>
      <c r="I66" s="2" t="s">
        <v>8610</v>
      </c>
      <c r="J66" s="2" t="s">
        <v>8942</v>
      </c>
      <c r="K66" s="2" t="s">
        <v>8664</v>
      </c>
      <c r="L66" s="2" t="s">
        <v>8665</v>
      </c>
      <c r="N66" s="2" t="str">
        <f aca="false">_xlfn.CONCAT(Q66," ",R66," ",S66)</f>
        <v> parkland </v>
      </c>
      <c r="O66" s="3" t="s">
        <v>14</v>
      </c>
      <c r="P66" s="2" t="s">
        <v>8567</v>
      </c>
      <c r="R66" s="2" t="s">
        <v>8568</v>
      </c>
      <c r="T66" s="2"/>
      <c r="U66" s="2" t="s">
        <v>8570</v>
      </c>
      <c r="W66" s="2" t="s">
        <v>8571</v>
      </c>
      <c r="Z66" s="2" t="s">
        <v>8574</v>
      </c>
      <c r="AA66" s="4" t="s">
        <v>26</v>
      </c>
      <c r="AD66" s="6" t="s">
        <v>8615</v>
      </c>
      <c r="AF66" s="6" t="s">
        <v>8616</v>
      </c>
      <c r="AG66" s="7" t="s">
        <v>8575</v>
      </c>
      <c r="AI66" s="7" t="s">
        <v>8617</v>
      </c>
      <c r="AJ66" s="7" t="s">
        <v>8612</v>
      </c>
      <c r="AK66" s="7" t="s">
        <v>8627</v>
      </c>
      <c r="AL66" s="7" t="s">
        <v>8785</v>
      </c>
      <c r="AS66" s="2"/>
      <c r="AU66" s="4" t="s">
        <v>8639</v>
      </c>
      <c r="AV66" s="10" t="s">
        <v>8664</v>
      </c>
      <c r="BI66" s="2" t="s">
        <v>8590</v>
      </c>
      <c r="BJ66" s="2" t="s">
        <v>8601</v>
      </c>
      <c r="BL66" s="2" t="s">
        <v>8591</v>
      </c>
      <c r="BO66" s="2"/>
      <c r="MJM66" s="2"/>
    </row>
    <row r="67" customFormat="false" ht="19.5" hidden="false" customHeight="true" outlineLevel="0" collapsed="false">
      <c r="A67" s="2" t="s">
        <v>8943</v>
      </c>
      <c r="C67" s="2" t="str">
        <f aca="false">_xlfn.CONCAT(A67, " ","(",B67,")")</f>
        <v>Auplopus carbonarius ()</v>
      </c>
      <c r="D67" s="2" t="s">
        <v>8580</v>
      </c>
      <c r="E67" s="2" t="s">
        <v>8839</v>
      </c>
      <c r="F67" s="2" t="s">
        <v>8944</v>
      </c>
      <c r="G67" s="2" t="s">
        <v>8583</v>
      </c>
      <c r="H67" s="2" t="e">
        <f aca="false">VLOOKUP(A67,'[1]NE red list'!A$1:H$1048576,5,FALSE())</f>
        <v>#N/A</v>
      </c>
      <c r="I67" s="2" t="s">
        <v>8945</v>
      </c>
      <c r="J67" s="2" t="s">
        <v>8946</v>
      </c>
      <c r="K67" s="2" t="s">
        <v>8947</v>
      </c>
      <c r="L67" s="2" t="s">
        <v>8948</v>
      </c>
      <c r="N67" s="2" t="str">
        <f aca="false">_xlfn.CONCAT(Q67," ",R67," ",S67)</f>
        <v>woodland parkland </v>
      </c>
      <c r="O67" s="3" t="s">
        <v>14</v>
      </c>
      <c r="P67" s="2" t="s">
        <v>8587</v>
      </c>
      <c r="Q67" s="2" t="s">
        <v>16</v>
      </c>
      <c r="R67" s="2" t="s">
        <v>8568</v>
      </c>
      <c r="T67" s="2"/>
      <c r="U67" s="2" t="s">
        <v>8605</v>
      </c>
      <c r="W67" s="2" t="s">
        <v>8571</v>
      </c>
      <c r="X67" s="2" t="s">
        <v>8589</v>
      </c>
      <c r="Z67" s="2" t="s">
        <v>8614</v>
      </c>
      <c r="AA67" s="4" t="s">
        <v>26</v>
      </c>
      <c r="AD67" s="6" t="s">
        <v>8615</v>
      </c>
      <c r="AS67" s="2"/>
      <c r="AV67" s="11"/>
      <c r="BG67" s="2" t="s">
        <v>8900</v>
      </c>
      <c r="BI67" s="2" t="s">
        <v>8590</v>
      </c>
      <c r="BL67" s="2" t="s">
        <v>8591</v>
      </c>
      <c r="BO67" s="2"/>
      <c r="MJM67" s="2"/>
    </row>
    <row r="68" customFormat="false" ht="19.5" hidden="false" customHeight="true" outlineLevel="0" collapsed="false">
      <c r="A68" s="2" t="s">
        <v>8949</v>
      </c>
      <c r="C68" s="2" t="str">
        <f aca="false">_xlfn.CONCAT(A68, " ","(",B68,")")</f>
        <v>Bacidia circumspecta ()</v>
      </c>
      <c r="D68" s="2" t="s">
        <v>8892</v>
      </c>
      <c r="E68" s="2" t="s">
        <v>8892</v>
      </c>
      <c r="F68" s="2" t="s">
        <v>8892</v>
      </c>
      <c r="G68" s="2" t="s">
        <v>8776</v>
      </c>
      <c r="H68" s="2" t="str">
        <f aca="false">VLOOKUP(A68,'[1]NE red list'!A$1:H$1048576,5,FALSE())</f>
        <v>VU</v>
      </c>
      <c r="I68" s="2" t="s">
        <v>8610</v>
      </c>
      <c r="J68" s="33" t="s">
        <v>8950</v>
      </c>
      <c r="K68" s="2" t="s">
        <v>8951</v>
      </c>
      <c r="L68" s="2" t="s">
        <v>8896</v>
      </c>
      <c r="N68" s="2" t="str">
        <f aca="false">_xlfn.CONCAT(Q68," ",R68," ",S68)</f>
        <v> parkland </v>
      </c>
      <c r="O68" s="3" t="s">
        <v>14</v>
      </c>
      <c r="P68" s="2" t="s">
        <v>8567</v>
      </c>
      <c r="R68" s="2" t="s">
        <v>8568</v>
      </c>
      <c r="T68" s="2"/>
      <c r="U68" s="2" t="s">
        <v>8570</v>
      </c>
      <c r="V68" s="2" t="s">
        <v>8952</v>
      </c>
      <c r="W68" s="2" t="s">
        <v>8567</v>
      </c>
      <c r="X68" s="2" t="s">
        <v>8589</v>
      </c>
      <c r="Z68" s="2" t="s">
        <v>8694</v>
      </c>
      <c r="AM68" s="4" t="s">
        <v>8657</v>
      </c>
      <c r="AN68" s="8" t="s">
        <v>8898</v>
      </c>
      <c r="AO68" s="8" t="s">
        <v>40</v>
      </c>
      <c r="AP68" s="8" t="s">
        <v>8953</v>
      </c>
      <c r="AQ68" s="8" t="s">
        <v>42</v>
      </c>
      <c r="AS68" s="2"/>
      <c r="AV68" s="11"/>
      <c r="BJ68" s="2" t="s">
        <v>8601</v>
      </c>
      <c r="BK68" s="2" t="s">
        <v>8578</v>
      </c>
      <c r="BL68" s="2" t="s">
        <v>8578</v>
      </c>
      <c r="BO68" s="2"/>
      <c r="MJM68" s="2"/>
    </row>
    <row r="69" s="32" customFormat="true" ht="19.5" hidden="false" customHeight="true" outlineLevel="0" collapsed="false">
      <c r="A69" s="2" t="s">
        <v>8954</v>
      </c>
      <c r="B69" s="2"/>
      <c r="C69" s="2" t="str">
        <f aca="false">_xlfn.CONCAT(A69, " ","(",B69,")")</f>
        <v>Bacidia incompta ()</v>
      </c>
      <c r="D69" s="2" t="s">
        <v>8892</v>
      </c>
      <c r="E69" s="2" t="s">
        <v>8892</v>
      </c>
      <c r="F69" s="2" t="s">
        <v>8892</v>
      </c>
      <c r="G69" s="2" t="s">
        <v>8776</v>
      </c>
      <c r="H69" s="2" t="str">
        <f aca="false">VLOOKUP(A69,'[1]NE red list'!A$1:H$1048576,5,FALSE())</f>
        <v>VU</v>
      </c>
      <c r="I69" s="2" t="s">
        <v>8955</v>
      </c>
      <c r="J69" s="33" t="s">
        <v>8956</v>
      </c>
      <c r="K69" s="2" t="s">
        <v>8951</v>
      </c>
      <c r="L69" s="2" t="s">
        <v>8896</v>
      </c>
      <c r="M69" s="2"/>
      <c r="N69" s="2" t="str">
        <f aca="false">_xlfn.CONCAT(Q69," ",R69," ",S69)</f>
        <v>woodland parkland </v>
      </c>
      <c r="O69" s="3" t="s">
        <v>14</v>
      </c>
      <c r="P69" s="2" t="s">
        <v>8567</v>
      </c>
      <c r="Q69" s="2" t="s">
        <v>16</v>
      </c>
      <c r="R69" s="2" t="s">
        <v>8568</v>
      </c>
      <c r="S69" s="2"/>
      <c r="T69" s="2"/>
      <c r="U69" s="2" t="s">
        <v>8570</v>
      </c>
      <c r="V69" s="2" t="s">
        <v>8957</v>
      </c>
      <c r="W69" s="2" t="s">
        <v>8567</v>
      </c>
      <c r="X69" s="2" t="s">
        <v>8589</v>
      </c>
      <c r="Y69" s="2"/>
      <c r="Z69" s="2" t="s">
        <v>8694</v>
      </c>
      <c r="AA69" s="4"/>
      <c r="AB69" s="5"/>
      <c r="AC69" s="6"/>
      <c r="AD69" s="6"/>
      <c r="AE69" s="6"/>
      <c r="AF69" s="6"/>
      <c r="AG69" s="7"/>
      <c r="AH69" s="7"/>
      <c r="AI69" s="7"/>
      <c r="AJ69" s="7"/>
      <c r="AK69" s="7"/>
      <c r="AL69" s="7"/>
      <c r="AM69" s="4" t="s">
        <v>8657</v>
      </c>
      <c r="AN69" s="32" t="s">
        <v>8898</v>
      </c>
      <c r="AO69" s="32" t="s">
        <v>40</v>
      </c>
      <c r="AP69" s="32" t="s">
        <v>8953</v>
      </c>
      <c r="AQ69" s="8" t="s">
        <v>42</v>
      </c>
      <c r="AS69" s="2"/>
      <c r="AU69" s="4"/>
      <c r="AV69" s="11"/>
      <c r="AW69" s="11"/>
      <c r="AX69" s="4"/>
      <c r="AY69" s="12"/>
      <c r="AZ69" s="12"/>
      <c r="BJ69" s="32" t="s">
        <v>8907</v>
      </c>
      <c r="BK69" s="32" t="s">
        <v>8578</v>
      </c>
      <c r="BL69" s="32" t="s">
        <v>8578</v>
      </c>
      <c r="BN69" s="32" t="s">
        <v>8619</v>
      </c>
    </row>
    <row r="70" customFormat="false" ht="19.5" hidden="false" customHeight="true" outlineLevel="0" collapsed="false">
      <c r="A70" s="2" t="s">
        <v>8958</v>
      </c>
      <c r="C70" s="2" t="str">
        <f aca="false">_xlfn.CONCAT(A70, " ","(",B70,")")</f>
        <v>Bacidia subturgidula ()</v>
      </c>
      <c r="D70" s="2" t="s">
        <v>8892</v>
      </c>
      <c r="E70" s="2" t="s">
        <v>8892</v>
      </c>
      <c r="F70" s="2" t="s">
        <v>8892</v>
      </c>
      <c r="G70" s="2" t="s">
        <v>8776</v>
      </c>
      <c r="H70" s="2" t="str">
        <f aca="false">VLOOKUP(A70,'[1]NE red list'!A$1:H$1048576,5,FALSE())</f>
        <v>CR</v>
      </c>
      <c r="I70" s="2" t="s">
        <v>8610</v>
      </c>
      <c r="J70" s="2" t="s">
        <v>8959</v>
      </c>
      <c r="K70" s="2" t="s">
        <v>8951</v>
      </c>
      <c r="L70" s="2" t="s">
        <v>8896</v>
      </c>
      <c r="N70" s="2" t="str">
        <f aca="false">_xlfn.CONCAT(Q70," ",R70," ",S70)</f>
        <v> parkland </v>
      </c>
      <c r="O70" s="3" t="s">
        <v>14</v>
      </c>
      <c r="P70" s="2" t="s">
        <v>8567</v>
      </c>
      <c r="R70" s="2" t="s">
        <v>8568</v>
      </c>
      <c r="T70" s="2" t="s">
        <v>8569</v>
      </c>
      <c r="U70" s="2" t="s">
        <v>8570</v>
      </c>
      <c r="V70" s="2" t="s">
        <v>8960</v>
      </c>
      <c r="W70" s="2" t="s">
        <v>8567</v>
      </c>
      <c r="X70" s="2" t="s">
        <v>8589</v>
      </c>
      <c r="Y70" s="2" t="s">
        <v>8573</v>
      </c>
      <c r="Z70" s="2" t="s">
        <v>8694</v>
      </c>
      <c r="AA70" s="4" t="s">
        <v>26</v>
      </c>
      <c r="AD70" s="6" t="s">
        <v>8615</v>
      </c>
      <c r="AM70" s="4" t="s">
        <v>8657</v>
      </c>
      <c r="AN70" s="8" t="s">
        <v>8858</v>
      </c>
      <c r="AP70" s="8" t="s">
        <v>8735</v>
      </c>
      <c r="AS70" s="2"/>
      <c r="AV70" s="11"/>
      <c r="BC70" s="2" t="s">
        <v>8899</v>
      </c>
      <c r="BG70" s="2" t="s">
        <v>8900</v>
      </c>
      <c r="BJ70" s="2" t="s">
        <v>8907</v>
      </c>
      <c r="BK70" s="2" t="s">
        <v>8578</v>
      </c>
      <c r="BL70" s="2" t="s">
        <v>8578</v>
      </c>
      <c r="BO70" s="2"/>
      <c r="MJM70" s="2"/>
    </row>
    <row r="71" customFormat="false" ht="19.5" hidden="false" customHeight="true" outlineLevel="0" collapsed="false">
      <c r="A71" s="2" t="s">
        <v>8961</v>
      </c>
      <c r="C71" s="2" t="str">
        <f aca="false">_xlfn.CONCAT(A71, " ","(",B71,")")</f>
        <v>Bacotia claustrella
 ()</v>
      </c>
      <c r="D71" s="2" t="s">
        <v>8580</v>
      </c>
      <c r="E71" s="2" t="s">
        <v>8722</v>
      </c>
      <c r="F71" s="2" t="s">
        <v>8962</v>
      </c>
      <c r="H71" s="2" t="e">
        <f aca="false">VLOOKUP(A71,'[1]NE red list'!A$1:H$1048576,5,FALSE())</f>
        <v>#N/A</v>
      </c>
      <c r="I71" s="2" t="s">
        <v>8963</v>
      </c>
      <c r="J71" s="33" t="s">
        <v>8964</v>
      </c>
      <c r="L71" s="2" t="s">
        <v>8725</v>
      </c>
      <c r="M71" s="33"/>
      <c r="N71" s="2" t="str">
        <f aca="false">_xlfn.CONCAT(Q71," ",R71," ",S71)</f>
        <v>woodland parkland ToW</v>
      </c>
      <c r="O71" s="2" t="s">
        <v>14</v>
      </c>
      <c r="P71" s="2"/>
      <c r="Q71" s="2" t="s">
        <v>16</v>
      </c>
      <c r="R71" s="2" t="s">
        <v>8568</v>
      </c>
      <c r="S71" s="2" t="s">
        <v>18</v>
      </c>
      <c r="U71" s="2" t="s">
        <v>8678</v>
      </c>
      <c r="AS71" s="2"/>
      <c r="AV71" s="11"/>
      <c r="BO71" s="2"/>
      <c r="MJM71" s="2"/>
    </row>
    <row r="72" s="32" customFormat="true" ht="19.5" hidden="false" customHeight="true" outlineLevel="0" collapsed="false">
      <c r="A72" s="1" t="s">
        <v>8965</v>
      </c>
      <c r="B72" s="2" t="s">
        <v>8966</v>
      </c>
      <c r="C72" s="2" t="str">
        <f aca="false">_xlfn.CONCAT(A72, " ","(",B72,")")</f>
        <v>Barbastella barbastellus (Barbastelle Bat)</v>
      </c>
      <c r="D72" s="2" t="s">
        <v>8560</v>
      </c>
      <c r="E72" s="2" t="s">
        <v>8967</v>
      </c>
      <c r="F72" s="30" t="s">
        <v>8968</v>
      </c>
      <c r="G72" s="2" t="s">
        <v>8776</v>
      </c>
      <c r="H72" s="2" t="str">
        <f aca="false">VLOOKUP(A72,'[1]NE red list'!A$1:H$1048576,5,FALSE())</f>
        <v>VU</v>
      </c>
      <c r="I72" s="2" t="s">
        <v>8969</v>
      </c>
      <c r="J72" s="2" t="s">
        <v>8970</v>
      </c>
      <c r="K72" s="2" t="s">
        <v>8971</v>
      </c>
      <c r="L72" s="2" t="s">
        <v>8665</v>
      </c>
      <c r="M72" s="2"/>
      <c r="N72" s="2" t="str">
        <f aca="false">_xlfn.CONCAT(Q72," ",R72," ",S72)</f>
        <v>woodland parkland ToW</v>
      </c>
      <c r="O72" s="2" t="s">
        <v>14</v>
      </c>
      <c r="P72" s="2" t="s">
        <v>8567</v>
      </c>
      <c r="Q72" s="2" t="s">
        <v>16</v>
      </c>
      <c r="R72" s="2" t="s">
        <v>8568</v>
      </c>
      <c r="S72" s="2" t="s">
        <v>18</v>
      </c>
      <c r="T72" s="2" t="s">
        <v>8569</v>
      </c>
      <c r="U72" s="2" t="s">
        <v>8605</v>
      </c>
      <c r="V72" s="2"/>
      <c r="W72" s="2" t="s">
        <v>8567</v>
      </c>
      <c r="X72" s="2" t="s">
        <v>8589</v>
      </c>
      <c r="Y72" s="2" t="s">
        <v>8573</v>
      </c>
      <c r="Z72" s="2" t="s">
        <v>8598</v>
      </c>
      <c r="AA72" s="4" t="s">
        <v>26</v>
      </c>
      <c r="AB72" s="5"/>
      <c r="AC72" s="6"/>
      <c r="AD72" s="6" t="s">
        <v>8615</v>
      </c>
      <c r="AE72" s="6"/>
      <c r="AF72" s="6"/>
      <c r="AG72" s="7" t="s">
        <v>8575</v>
      </c>
      <c r="AH72" s="7"/>
      <c r="AI72" s="7"/>
      <c r="AJ72" s="7"/>
      <c r="AK72" s="7"/>
      <c r="AL72" s="7"/>
      <c r="AM72" s="4" t="s">
        <v>8657</v>
      </c>
      <c r="AN72" s="32" t="s">
        <v>40</v>
      </c>
      <c r="AO72" s="32" t="s">
        <v>40</v>
      </c>
      <c r="AQ72" s="8" t="s">
        <v>42</v>
      </c>
      <c r="AR72" s="8" t="s">
        <v>43</v>
      </c>
      <c r="AS72" s="2"/>
      <c r="AU72" s="4"/>
      <c r="AV72" s="11"/>
      <c r="AW72" s="11"/>
      <c r="AX72" s="4"/>
      <c r="AY72" s="12"/>
      <c r="AZ72" s="12"/>
      <c r="BG72" s="32" t="s">
        <v>8900</v>
      </c>
      <c r="BH72" s="32" t="s">
        <v>8972</v>
      </c>
      <c r="BJ72" s="32" t="s">
        <v>8601</v>
      </c>
      <c r="BK72" s="32" t="s">
        <v>8578</v>
      </c>
      <c r="BL72" s="32" t="s">
        <v>8578</v>
      </c>
      <c r="BN72" s="32" t="s">
        <v>8619</v>
      </c>
    </row>
    <row r="73" customFormat="false" ht="19.5" hidden="false" customHeight="true" outlineLevel="0" collapsed="false">
      <c r="A73" s="1" t="s">
        <v>8973</v>
      </c>
      <c r="B73" s="2" t="s">
        <v>8974</v>
      </c>
      <c r="C73" s="2" t="str">
        <f aca="false">_xlfn.CONCAT(A73, " ","(",B73,")")</f>
        <v>Bisnius subuliformis (Philonthus subuliformis)</v>
      </c>
      <c r="D73" s="2" t="s">
        <v>8580</v>
      </c>
      <c r="E73" s="2" t="s">
        <v>8581</v>
      </c>
      <c r="F73" s="2" t="s">
        <v>8652</v>
      </c>
      <c r="G73" s="2" t="s">
        <v>8737</v>
      </c>
      <c r="H73" s="2" t="e">
        <f aca="false">VLOOKUP(A73,'[1]NE red list'!A$1:H$1048576,5,FALSE())</f>
        <v>#N/A</v>
      </c>
      <c r="I73" s="2" t="s">
        <v>8645</v>
      </c>
      <c r="J73" s="2" t="s">
        <v>8975</v>
      </c>
      <c r="K73" s="2" t="s">
        <v>8976</v>
      </c>
      <c r="L73" s="2" t="s">
        <v>8665</v>
      </c>
      <c r="N73" s="2" t="str">
        <f aca="false">_xlfn.CONCAT(Q73," ",R73," ",S73)</f>
        <v> parkland </v>
      </c>
      <c r="O73" s="3" t="s">
        <v>14</v>
      </c>
      <c r="P73" s="2"/>
      <c r="R73" s="2" t="s">
        <v>8568</v>
      </c>
      <c r="T73" s="2"/>
      <c r="U73" s="2" t="s">
        <v>8570</v>
      </c>
      <c r="W73" s="2" t="s">
        <v>8571</v>
      </c>
      <c r="X73" s="2" t="s">
        <v>8589</v>
      </c>
      <c r="Y73" s="2" t="s">
        <v>8573</v>
      </c>
      <c r="Z73" s="2" t="s">
        <v>8614</v>
      </c>
      <c r="AA73" s="4" t="s">
        <v>26</v>
      </c>
      <c r="AC73" s="6" t="s">
        <v>8666</v>
      </c>
      <c r="AD73" s="6" t="s">
        <v>8615</v>
      </c>
      <c r="AG73" s="7" t="s">
        <v>8575</v>
      </c>
      <c r="AI73" s="7" t="s">
        <v>8617</v>
      </c>
      <c r="AS73" s="2"/>
      <c r="AU73" s="4" t="s">
        <v>8639</v>
      </c>
      <c r="BI73" s="2" t="s">
        <v>8590</v>
      </c>
      <c r="BL73" s="2" t="s">
        <v>8591</v>
      </c>
      <c r="BO73" s="2"/>
      <c r="MJM73" s="2"/>
    </row>
    <row r="74" customFormat="false" ht="19.5" hidden="false" customHeight="true" outlineLevel="0" collapsed="false">
      <c r="A74" s="2" t="s">
        <v>8977</v>
      </c>
      <c r="C74" s="2" t="str">
        <f aca="false">_xlfn.CONCAT(A74, " ","(",B74,")")</f>
        <v>Clambus pallidulus ()</v>
      </c>
      <c r="D74" s="2" t="s">
        <v>8580</v>
      </c>
      <c r="E74" s="2" t="s">
        <v>8581</v>
      </c>
      <c r="F74" s="2" t="s">
        <v>8978</v>
      </c>
      <c r="G74" s="2" t="s">
        <v>8662</v>
      </c>
      <c r="H74" s="2" t="str">
        <f aca="false">VLOOKUP(A74,'[1]NE red list'!A$1:H$1048576,5,FALSE())</f>
        <v>DD</v>
      </c>
      <c r="I74" s="2" t="s">
        <v>8979</v>
      </c>
      <c r="J74" s="2" t="s">
        <v>8980</v>
      </c>
      <c r="N74" s="2" t="str">
        <f aca="false">_xlfn.CONCAT(Q74," ",R74," ",S74)</f>
        <v>woodland parkland </v>
      </c>
      <c r="O74" s="3" t="s">
        <v>14</v>
      </c>
      <c r="P74" s="2"/>
      <c r="Q74" s="2" t="s">
        <v>16</v>
      </c>
      <c r="R74" s="2" t="s">
        <v>8568</v>
      </c>
      <c r="T74" s="2"/>
      <c r="U74" s="2" t="s">
        <v>8570</v>
      </c>
      <c r="V74" s="2" t="s">
        <v>8981</v>
      </c>
      <c r="W74" s="2" t="s">
        <v>8571</v>
      </c>
      <c r="X74" s="2" t="s">
        <v>8589</v>
      </c>
      <c r="Z74" s="2" t="s">
        <v>8598</v>
      </c>
      <c r="AA74" s="4" t="s">
        <v>26</v>
      </c>
      <c r="AD74" s="6" t="s">
        <v>8615</v>
      </c>
      <c r="AG74" s="7" t="s">
        <v>8575</v>
      </c>
      <c r="AS74" s="2"/>
      <c r="AV74" s="11"/>
      <c r="BL74" s="2" t="s">
        <v>8591</v>
      </c>
      <c r="BO74" s="2"/>
      <c r="MJM74" s="2"/>
    </row>
    <row r="75" customFormat="false" ht="19.5" hidden="false" customHeight="true" outlineLevel="0" collapsed="false">
      <c r="A75" s="2" t="s">
        <v>8982</v>
      </c>
      <c r="C75" s="2" t="str">
        <f aca="false">_xlfn.CONCAT(A75, " ","(",B75,")")</f>
        <v>Corticaria alleni ()</v>
      </c>
      <c r="D75" s="2" t="s">
        <v>8580</v>
      </c>
      <c r="E75" s="2" t="s">
        <v>8581</v>
      </c>
      <c r="F75" s="30" t="s">
        <v>8983</v>
      </c>
      <c r="G75" s="2" t="s">
        <v>8583</v>
      </c>
      <c r="H75" s="2" t="e">
        <f aca="false">VLOOKUP(A75,'[1]NE red list'!A$1:H$1048576,5,FALSE())</f>
        <v>#N/A</v>
      </c>
      <c r="I75" s="2" t="s">
        <v>8984</v>
      </c>
      <c r="J75" s="2" t="s">
        <v>8985</v>
      </c>
      <c r="L75" s="2" t="s">
        <v>8677</v>
      </c>
      <c r="N75" s="2" t="str">
        <f aca="false">_xlfn.CONCAT(Q75," ",R75," ",S75)</f>
        <v>woodland parkland </v>
      </c>
      <c r="O75" s="3" t="s">
        <v>14</v>
      </c>
      <c r="P75" s="2" t="s">
        <v>8587</v>
      </c>
      <c r="Q75" s="2" t="s">
        <v>16</v>
      </c>
      <c r="R75" s="2" t="s">
        <v>8568</v>
      </c>
      <c r="T75" s="2"/>
      <c r="U75" s="2" t="s">
        <v>8570</v>
      </c>
      <c r="V75" s="2" t="s">
        <v>8986</v>
      </c>
      <c r="W75" s="2" t="s">
        <v>8571</v>
      </c>
      <c r="Z75" s="2" t="s">
        <v>8614</v>
      </c>
      <c r="AA75" s="4" t="s">
        <v>26</v>
      </c>
      <c r="AD75" s="6" t="s">
        <v>8615</v>
      </c>
      <c r="AF75" s="6" t="s">
        <v>8616</v>
      </c>
      <c r="AG75" s="7" t="s">
        <v>8575</v>
      </c>
      <c r="AI75" s="7" t="s">
        <v>8617</v>
      </c>
      <c r="AM75" s="4" t="s">
        <v>8657</v>
      </c>
      <c r="AN75" s="8" t="s">
        <v>8734</v>
      </c>
      <c r="AO75" s="8" t="s">
        <v>40</v>
      </c>
      <c r="AQ75" s="8" t="s">
        <v>42</v>
      </c>
      <c r="AS75" s="2"/>
      <c r="AV75" s="11"/>
      <c r="BI75" s="2" t="s">
        <v>8590</v>
      </c>
      <c r="BJ75" s="2" t="s">
        <v>8630</v>
      </c>
      <c r="BL75" s="2" t="s">
        <v>8591</v>
      </c>
      <c r="BM75" s="2" t="s">
        <v>8619</v>
      </c>
      <c r="BO75" s="2"/>
      <c r="MJM75" s="2"/>
    </row>
    <row r="76" customFormat="false" ht="19.5" hidden="false" customHeight="true" outlineLevel="0" collapsed="false">
      <c r="A76" s="2" t="s">
        <v>8987</v>
      </c>
      <c r="C76" s="2" t="str">
        <f aca="false">_xlfn.CONCAT(A76, " ","(",B76,")")</f>
        <v>Atomaria morio ()</v>
      </c>
      <c r="D76" s="2" t="s">
        <v>8580</v>
      </c>
      <c r="E76" s="2" t="s">
        <v>8581</v>
      </c>
      <c r="F76" s="2" t="s">
        <v>8929</v>
      </c>
      <c r="G76" s="2" t="s">
        <v>8662</v>
      </c>
      <c r="H76" s="2" t="e">
        <f aca="false">VLOOKUP(A76,'[1]NE red list'!A$1:H$1048576,5,FALSE())</f>
        <v>#N/A</v>
      </c>
      <c r="I76" s="2" t="s">
        <v>8622</v>
      </c>
      <c r="J76" s="2" t="s">
        <v>8988</v>
      </c>
      <c r="K76" s="2" t="s">
        <v>8989</v>
      </c>
      <c r="L76" s="2" t="s">
        <v>8677</v>
      </c>
      <c r="N76" s="2" t="str">
        <f aca="false">_xlfn.CONCAT(Q76," ",R76," ",S76)</f>
        <v>woodland parkland </v>
      </c>
      <c r="O76" s="3" t="s">
        <v>14</v>
      </c>
      <c r="P76" s="2" t="s">
        <v>8587</v>
      </c>
      <c r="Q76" s="2" t="s">
        <v>16</v>
      </c>
      <c r="R76" s="2" t="s">
        <v>8568</v>
      </c>
      <c r="T76" s="2"/>
      <c r="U76" s="2" t="s">
        <v>8570</v>
      </c>
      <c r="V76" s="2" t="s">
        <v>8745</v>
      </c>
      <c r="W76" s="2" t="s">
        <v>8571</v>
      </c>
      <c r="X76" s="2" t="s">
        <v>8649</v>
      </c>
      <c r="Z76" s="2" t="s">
        <v>8614</v>
      </c>
      <c r="AA76" s="4" t="s">
        <v>26</v>
      </c>
      <c r="AC76" s="6" t="s">
        <v>8666</v>
      </c>
      <c r="AD76" s="6" t="s">
        <v>8615</v>
      </c>
      <c r="AG76" s="7" t="s">
        <v>8575</v>
      </c>
      <c r="AS76" s="2"/>
      <c r="AU76" s="4" t="s">
        <v>8639</v>
      </c>
      <c r="AV76" s="47" t="s">
        <v>8990</v>
      </c>
      <c r="BI76" s="2" t="s">
        <v>8590</v>
      </c>
      <c r="BJ76" s="2" t="s">
        <v>8630</v>
      </c>
      <c r="BL76" s="2" t="s">
        <v>8591</v>
      </c>
      <c r="BO76" s="2"/>
      <c r="MJM76" s="2"/>
    </row>
    <row r="77" customFormat="false" ht="19.5" hidden="false" customHeight="true" outlineLevel="0" collapsed="false">
      <c r="A77" s="1" t="s">
        <v>8991</v>
      </c>
      <c r="B77" s="2" t="s">
        <v>8992</v>
      </c>
      <c r="C77" s="2" t="str">
        <f aca="false">_xlfn.CONCAT(A77, " ","(",B77,")")</f>
        <v>Biatora veteranorum (a lichen)</v>
      </c>
      <c r="D77" s="2" t="s">
        <v>8892</v>
      </c>
      <c r="E77" s="2" t="s">
        <v>8892</v>
      </c>
      <c r="F77" s="2" t="s">
        <v>8892</v>
      </c>
      <c r="G77" s="2" t="s">
        <v>8993</v>
      </c>
      <c r="H77" s="2" t="str">
        <f aca="false">VLOOKUP(A77,'[1]NE red list'!A$1:H$1048576,5,FALSE())</f>
        <v>VU</v>
      </c>
      <c r="I77" s="2" t="s">
        <v>8994</v>
      </c>
      <c r="J77" s="33" t="s">
        <v>8995</v>
      </c>
      <c r="K77" s="2" t="s">
        <v>8996</v>
      </c>
      <c r="L77" s="2" t="s">
        <v>8896</v>
      </c>
      <c r="N77" s="2" t="str">
        <f aca="false">_xlfn.CONCAT(Q77," ",R77," ",S77)</f>
        <v> parkland </v>
      </c>
      <c r="O77" s="3" t="s">
        <v>14</v>
      </c>
      <c r="P77" s="2" t="s">
        <v>8587</v>
      </c>
      <c r="R77" s="2" t="s">
        <v>8568</v>
      </c>
      <c r="T77" s="2"/>
      <c r="U77" s="2" t="s">
        <v>8570</v>
      </c>
      <c r="V77" s="2" t="s">
        <v>8716</v>
      </c>
      <c r="W77" s="2" t="s">
        <v>8567</v>
      </c>
      <c r="Z77" s="2" t="s">
        <v>8614</v>
      </c>
      <c r="AM77" s="4" t="s">
        <v>8657</v>
      </c>
      <c r="AP77" s="8" t="s">
        <v>8719</v>
      </c>
      <c r="AS77" s="2"/>
      <c r="AV77" s="11"/>
      <c r="BJ77" s="2" t="s">
        <v>8747</v>
      </c>
      <c r="BK77" s="2" t="s">
        <v>8578</v>
      </c>
      <c r="BL77" s="2" t="s">
        <v>8578</v>
      </c>
      <c r="BO77" s="2"/>
      <c r="MJM77" s="2"/>
    </row>
    <row r="78" customFormat="false" ht="19.5" hidden="false" customHeight="true" outlineLevel="0" collapsed="false">
      <c r="A78" s="2" t="s">
        <v>8997</v>
      </c>
      <c r="C78" s="2" t="str">
        <f aca="false">_xlfn.CONCAT(A78, " ","(",B78,")")</f>
        <v>Bibloporus minutus ()</v>
      </c>
      <c r="D78" s="2" t="s">
        <v>8580</v>
      </c>
      <c r="E78" s="2" t="s">
        <v>8581</v>
      </c>
      <c r="F78" s="2" t="s">
        <v>8652</v>
      </c>
      <c r="G78" s="2" t="s">
        <v>8583</v>
      </c>
      <c r="H78" s="2" t="e">
        <f aca="false">VLOOKUP(A78,'[1]NE red list'!A$1:H$1048576,5,FALSE())</f>
        <v>#N/A</v>
      </c>
      <c r="I78" s="2" t="s">
        <v>8645</v>
      </c>
      <c r="J78" s="2" t="s">
        <v>8998</v>
      </c>
      <c r="L78" s="2" t="s">
        <v>8665</v>
      </c>
      <c r="N78" s="2" t="str">
        <f aca="false">_xlfn.CONCAT(Q78," ",R78," ",S78)</f>
        <v>woodland parkland </v>
      </c>
      <c r="O78" s="3" t="s">
        <v>14</v>
      </c>
      <c r="P78" s="2" t="s">
        <v>8567</v>
      </c>
      <c r="Q78" s="2" t="s">
        <v>16</v>
      </c>
      <c r="R78" s="2" t="s">
        <v>8568</v>
      </c>
      <c r="T78" s="2"/>
      <c r="U78" s="2" t="s">
        <v>8570</v>
      </c>
      <c r="W78" s="2" t="s">
        <v>8567</v>
      </c>
      <c r="Z78" s="2" t="s">
        <v>8574</v>
      </c>
      <c r="AG78" s="7" t="s">
        <v>8824</v>
      </c>
      <c r="AN78" s="8" t="s">
        <v>8638</v>
      </c>
      <c r="AS78" s="2"/>
      <c r="AV78" s="11"/>
      <c r="BI78" s="2" t="s">
        <v>8590</v>
      </c>
      <c r="BJ78" s="2" t="s">
        <v>8630</v>
      </c>
      <c r="BL78" s="2" t="s">
        <v>8591</v>
      </c>
      <c r="BO78" s="2"/>
      <c r="MJM78" s="2"/>
    </row>
    <row r="79" customFormat="false" ht="19.5" hidden="false" customHeight="true" outlineLevel="0" collapsed="false">
      <c r="A79" s="2" t="s">
        <v>8999</v>
      </c>
      <c r="C79" s="2" t="str">
        <f aca="false">_xlfn.CONCAT(A79, " ","(",B79,")")</f>
        <v>Biphyllus lunatus ()</v>
      </c>
      <c r="D79" s="2" t="s">
        <v>8580</v>
      </c>
      <c r="E79" s="2" t="s">
        <v>8581</v>
      </c>
      <c r="F79" s="35" t="s">
        <v>9000</v>
      </c>
      <c r="H79" s="2" t="e">
        <f aca="false">VLOOKUP(A79,'[1]NE red list'!A$1:H$1048576,5,FALSE())</f>
        <v>#N/A</v>
      </c>
      <c r="I79" s="2" t="s">
        <v>8714</v>
      </c>
      <c r="J79" s="2" t="s">
        <v>9001</v>
      </c>
      <c r="K79" s="2" t="s">
        <v>8585</v>
      </c>
      <c r="L79" s="2" t="s">
        <v>8677</v>
      </c>
      <c r="N79" s="2" t="str">
        <f aca="false">_xlfn.CONCAT(Q79," ",R79," ",S79)</f>
        <v> parkland </v>
      </c>
      <c r="O79" s="3" t="s">
        <v>14</v>
      </c>
      <c r="P79" s="2" t="s">
        <v>8587</v>
      </c>
      <c r="R79" s="2" t="s">
        <v>8568</v>
      </c>
      <c r="T79" s="2"/>
      <c r="U79" s="2" t="s">
        <v>8570</v>
      </c>
      <c r="V79" s="2" t="s">
        <v>9002</v>
      </c>
      <c r="W79" s="2" t="s">
        <v>8567</v>
      </c>
      <c r="X79" s="2" t="s">
        <v>8589</v>
      </c>
      <c r="Y79" s="2" t="s">
        <v>8573</v>
      </c>
      <c r="Z79" s="2" t="s">
        <v>8694</v>
      </c>
      <c r="AS79" s="2"/>
      <c r="AV79" s="11"/>
      <c r="AX79" s="4" t="s">
        <v>8585</v>
      </c>
      <c r="AY79" s="12" t="s">
        <v>8585</v>
      </c>
      <c r="BI79" s="2" t="s">
        <v>8590</v>
      </c>
      <c r="BL79" s="2" t="s">
        <v>8591</v>
      </c>
      <c r="BO79" s="2"/>
      <c r="MJM79" s="2"/>
    </row>
    <row r="80" customFormat="false" ht="19.5" hidden="false" customHeight="true" outlineLevel="0" collapsed="false">
      <c r="A80" s="2" t="s">
        <v>9003</v>
      </c>
      <c r="C80" s="2" t="str">
        <f aca="false">_xlfn.CONCAT(A80, " ","(",B80,")")</f>
        <v>Corticaria longicollis ()</v>
      </c>
      <c r="D80" s="2" t="s">
        <v>8580</v>
      </c>
      <c r="E80" s="2" t="s">
        <v>8581</v>
      </c>
      <c r="F80" s="30" t="s">
        <v>8983</v>
      </c>
      <c r="G80" s="2" t="s">
        <v>8662</v>
      </c>
      <c r="H80" s="2" t="e">
        <f aca="false">VLOOKUP(A80,'[1]NE red list'!A$1:H$1048576,5,FALSE())</f>
        <v>#N/A</v>
      </c>
      <c r="I80" s="2" t="s">
        <v>8750</v>
      </c>
      <c r="J80" s="2" t="s">
        <v>9004</v>
      </c>
      <c r="L80" s="2" t="s">
        <v>8677</v>
      </c>
      <c r="N80" s="2" t="str">
        <f aca="false">_xlfn.CONCAT(Q80," ",R80," ",S80)</f>
        <v> parkland </v>
      </c>
      <c r="O80" s="3" t="s">
        <v>14</v>
      </c>
      <c r="P80" s="2"/>
      <c r="R80" s="2" t="s">
        <v>8568</v>
      </c>
      <c r="T80" s="2"/>
      <c r="U80" s="2" t="s">
        <v>8570</v>
      </c>
      <c r="V80" s="2" t="s">
        <v>8745</v>
      </c>
      <c r="W80" s="2" t="s">
        <v>8571</v>
      </c>
      <c r="X80" s="2" t="s">
        <v>8589</v>
      </c>
      <c r="Z80" s="2" t="s">
        <v>8574</v>
      </c>
      <c r="AA80" s="4" t="s">
        <v>26</v>
      </c>
      <c r="AD80" s="6" t="s">
        <v>8615</v>
      </c>
      <c r="AF80" s="6" t="s">
        <v>8616</v>
      </c>
      <c r="AG80" s="7" t="s">
        <v>8575</v>
      </c>
      <c r="AI80" s="7" t="s">
        <v>8617</v>
      </c>
      <c r="AJ80" s="7" t="s">
        <v>8612</v>
      </c>
      <c r="AN80" s="8" t="s">
        <v>8638</v>
      </c>
      <c r="AS80" s="2"/>
      <c r="AU80" s="4" t="s">
        <v>8639</v>
      </c>
      <c r="AV80" s="10" t="s">
        <v>8664</v>
      </c>
      <c r="BI80" s="2" t="s">
        <v>8590</v>
      </c>
      <c r="BL80" s="2" t="s">
        <v>8591</v>
      </c>
      <c r="BO80" s="2"/>
      <c r="MJM80" s="2"/>
    </row>
    <row r="81" customFormat="false" ht="19.5" hidden="false" customHeight="true" outlineLevel="0" collapsed="false">
      <c r="A81" s="2" t="s">
        <v>9005</v>
      </c>
      <c r="C81" s="2" t="str">
        <f aca="false">_xlfn.CONCAT(A81, " ","(",B81,")")</f>
        <v>Blarneya hibernica ()</v>
      </c>
      <c r="D81" s="2" t="s">
        <v>8892</v>
      </c>
      <c r="E81" s="2" t="s">
        <v>8892</v>
      </c>
      <c r="F81" s="2" t="s">
        <v>8892</v>
      </c>
      <c r="G81" s="2" t="s">
        <v>8776</v>
      </c>
      <c r="H81" s="2" t="e">
        <f aca="false">VLOOKUP(A81,'[1]NE red list'!A$1:H$1048576,5,FALSE())</f>
        <v>#N/A</v>
      </c>
      <c r="I81" s="2" t="s">
        <v>9006</v>
      </c>
      <c r="J81" s="33" t="s">
        <v>9007</v>
      </c>
      <c r="K81" s="2" t="s">
        <v>8725</v>
      </c>
      <c r="L81" s="2" t="s">
        <v>8896</v>
      </c>
      <c r="N81" s="2" t="str">
        <f aca="false">_xlfn.CONCAT(Q81," ",R81," ",S81)</f>
        <v>woodland parkland </v>
      </c>
      <c r="O81" s="3" t="s">
        <v>14</v>
      </c>
      <c r="P81" s="2" t="s">
        <v>8567</v>
      </c>
      <c r="Q81" s="2" t="s">
        <v>16</v>
      </c>
      <c r="R81" s="2" t="s">
        <v>8568</v>
      </c>
      <c r="T81" s="2"/>
      <c r="U81" s="2" t="s">
        <v>8570</v>
      </c>
      <c r="V81" s="2" t="s">
        <v>9008</v>
      </c>
      <c r="W81" s="2" t="s">
        <v>8567</v>
      </c>
      <c r="X81" s="2" t="s">
        <v>9009</v>
      </c>
      <c r="Z81" s="2" t="s">
        <v>8694</v>
      </c>
      <c r="AN81" s="8" t="s">
        <v>8858</v>
      </c>
      <c r="AS81" s="2"/>
      <c r="AU81" s="4" t="s">
        <v>8639</v>
      </c>
      <c r="AV81" s="11"/>
      <c r="AW81" s="11" t="s">
        <v>8726</v>
      </c>
      <c r="BC81" s="2" t="s">
        <v>8600</v>
      </c>
      <c r="BD81" s="2" t="s">
        <v>8793</v>
      </c>
      <c r="BG81" s="2" t="s">
        <v>8900</v>
      </c>
      <c r="BJ81" s="2" t="s">
        <v>8601</v>
      </c>
      <c r="BK81" s="2" t="s">
        <v>8578</v>
      </c>
      <c r="BL81" s="2" t="s">
        <v>8578</v>
      </c>
      <c r="BO81" s="2"/>
      <c r="MJM81" s="2"/>
    </row>
    <row r="82" customFormat="false" ht="19.5" hidden="false" customHeight="true" outlineLevel="0" collapsed="false">
      <c r="A82" s="2" t="s">
        <v>9010</v>
      </c>
      <c r="C82" s="2" t="str">
        <f aca="false">_xlfn.CONCAT(A82, " ","(",B82,")")</f>
        <v>Bolitochara bella ()</v>
      </c>
      <c r="D82" s="2" t="s">
        <v>8580</v>
      </c>
      <c r="E82" s="2" t="s">
        <v>8581</v>
      </c>
      <c r="F82" s="35" t="s">
        <v>8652</v>
      </c>
      <c r="G82" s="2" t="s">
        <v>8737</v>
      </c>
      <c r="H82" s="2" t="e">
        <f aca="false">VLOOKUP(A82,'[1]NE red list'!A$1:H$1048576,5,FALSE())</f>
        <v>#N/A</v>
      </c>
      <c r="I82" s="2" t="s">
        <v>8645</v>
      </c>
      <c r="J82" s="2" t="s">
        <v>9011</v>
      </c>
      <c r="K82" s="2" t="s">
        <v>9012</v>
      </c>
      <c r="L82" s="2" t="s">
        <v>8677</v>
      </c>
      <c r="N82" s="2" t="str">
        <f aca="false">_xlfn.CONCAT(Q82," ",R82," ",S82)</f>
        <v>woodland parkland </v>
      </c>
      <c r="O82" s="3" t="s">
        <v>14</v>
      </c>
      <c r="P82" s="2"/>
      <c r="Q82" s="2" t="s">
        <v>16</v>
      </c>
      <c r="R82" s="2" t="s">
        <v>8568</v>
      </c>
      <c r="T82" s="2"/>
      <c r="U82" s="2" t="s">
        <v>8570</v>
      </c>
      <c r="X82" s="2" t="s">
        <v>8625</v>
      </c>
      <c r="Z82" s="2" t="s">
        <v>8574</v>
      </c>
      <c r="AG82" s="7" t="s">
        <v>8575</v>
      </c>
      <c r="AS82" s="2"/>
      <c r="AV82" s="11"/>
      <c r="AX82" s="4" t="s">
        <v>8607</v>
      </c>
      <c r="AY82" s="12" t="s">
        <v>8935</v>
      </c>
      <c r="BI82" s="2" t="s">
        <v>8590</v>
      </c>
      <c r="BL82" s="2" t="s">
        <v>8591</v>
      </c>
      <c r="BO82" s="2"/>
      <c r="MJM82" s="2"/>
    </row>
    <row r="83" customFormat="false" ht="19.5" hidden="false" customHeight="true" outlineLevel="0" collapsed="false">
      <c r="A83" s="2" t="s">
        <v>9013</v>
      </c>
      <c r="C83" s="2" t="str">
        <f aca="false">_xlfn.CONCAT(A83, " ","(",B83,")")</f>
        <v>Bolitochara mulsanti ()</v>
      </c>
      <c r="D83" s="2" t="s">
        <v>8580</v>
      </c>
      <c r="E83" s="2" t="s">
        <v>8581</v>
      </c>
      <c r="F83" s="35" t="s">
        <v>8652</v>
      </c>
      <c r="H83" s="2" t="e">
        <f aca="false">VLOOKUP(A83,'[1]NE red list'!A$1:H$1048576,5,FALSE())</f>
        <v>#N/A</v>
      </c>
      <c r="I83" s="2" t="s">
        <v>8564</v>
      </c>
      <c r="J83" s="2" t="s">
        <v>9014</v>
      </c>
      <c r="K83" s="2" t="s">
        <v>9015</v>
      </c>
      <c r="L83" s="2" t="s">
        <v>8677</v>
      </c>
      <c r="N83" s="2" t="str">
        <f aca="false">_xlfn.CONCAT(Q83," ",R83," ",S83)</f>
        <v>woodland parkland </v>
      </c>
      <c r="O83" s="3" t="s">
        <v>14</v>
      </c>
      <c r="P83" s="2"/>
      <c r="Q83" s="2" t="s">
        <v>16</v>
      </c>
      <c r="R83" s="2" t="s">
        <v>8568</v>
      </c>
      <c r="T83" s="2"/>
      <c r="U83" s="2" t="s">
        <v>8605</v>
      </c>
      <c r="V83" s="2" t="s">
        <v>8679</v>
      </c>
      <c r="X83" s="2" t="s">
        <v>8625</v>
      </c>
      <c r="Z83" s="2" t="s">
        <v>8574</v>
      </c>
      <c r="AG83" s="7" t="s">
        <v>8575</v>
      </c>
      <c r="AS83" s="2"/>
      <c r="AV83" s="11"/>
      <c r="AX83" s="4" t="s">
        <v>8607</v>
      </c>
      <c r="AY83" s="12" t="s">
        <v>8585</v>
      </c>
      <c r="BI83" s="2" t="s">
        <v>8590</v>
      </c>
      <c r="BJ83" s="2" t="s">
        <v>8630</v>
      </c>
      <c r="BL83" s="2" t="s">
        <v>8591</v>
      </c>
      <c r="BO83" s="2"/>
      <c r="MJM83" s="2"/>
    </row>
    <row r="84" customFormat="false" ht="19.5" hidden="false" customHeight="true" outlineLevel="0" collapsed="false">
      <c r="A84" s="2" t="s">
        <v>9016</v>
      </c>
      <c r="C84" s="2" t="str">
        <f aca="false">_xlfn.CONCAT(A84, " ","(",B84,")")</f>
        <v>Bolitochara pulchra ()</v>
      </c>
      <c r="D84" s="2" t="s">
        <v>8580</v>
      </c>
      <c r="E84" s="2" t="s">
        <v>8581</v>
      </c>
      <c r="F84" s="35" t="s">
        <v>8652</v>
      </c>
      <c r="H84" s="2" t="e">
        <f aca="false">VLOOKUP(A84,'[1]NE red list'!A$1:H$1048576,5,FALSE())</f>
        <v>#N/A</v>
      </c>
      <c r="I84" s="2" t="s">
        <v>9017</v>
      </c>
      <c r="J84" s="2" t="s">
        <v>9018</v>
      </c>
      <c r="K84" s="2" t="s">
        <v>9019</v>
      </c>
      <c r="L84" s="2" t="s">
        <v>8677</v>
      </c>
      <c r="N84" s="2" t="str">
        <f aca="false">_xlfn.CONCAT(Q84," ",R84," ",S84)</f>
        <v>woodland parkland </v>
      </c>
      <c r="O84" s="3" t="s">
        <v>14</v>
      </c>
      <c r="P84" s="2"/>
      <c r="Q84" s="2" t="s">
        <v>16</v>
      </c>
      <c r="R84" s="2" t="s">
        <v>8568</v>
      </c>
      <c r="T84" s="2"/>
      <c r="U84" s="2" t="s">
        <v>8570</v>
      </c>
      <c r="V84" s="2" t="s">
        <v>9020</v>
      </c>
      <c r="X84" s="2" t="s">
        <v>8625</v>
      </c>
      <c r="Z84" s="2" t="s">
        <v>8574</v>
      </c>
      <c r="AG84" s="7" t="s">
        <v>8575</v>
      </c>
      <c r="AN84" s="8" t="s">
        <v>8638</v>
      </c>
      <c r="AS84" s="2"/>
      <c r="AV84" s="11"/>
      <c r="AX84" s="4" t="s">
        <v>8607</v>
      </c>
      <c r="AY84" s="12" t="s">
        <v>8585</v>
      </c>
      <c r="BI84" s="2" t="s">
        <v>8590</v>
      </c>
      <c r="BJ84" s="2" t="s">
        <v>8630</v>
      </c>
      <c r="BL84" s="2" t="s">
        <v>8591</v>
      </c>
      <c r="BO84" s="2"/>
      <c r="MJM84" s="2"/>
    </row>
    <row r="85" customFormat="false" ht="19.5" hidden="false" customHeight="true" outlineLevel="0" collapsed="false">
      <c r="A85" s="2" t="s">
        <v>9021</v>
      </c>
      <c r="C85" s="2" t="str">
        <f aca="false">_xlfn.CONCAT(A85, " ","(",B85,")")</f>
        <v>Brachygonus ruficeps ()</v>
      </c>
      <c r="D85" s="2" t="s">
        <v>8580</v>
      </c>
      <c r="E85" s="2" t="s">
        <v>8581</v>
      </c>
      <c r="F85" s="2" t="s">
        <v>8621</v>
      </c>
      <c r="G85" s="2" t="s">
        <v>8662</v>
      </c>
      <c r="H85" s="2" t="e">
        <f aca="false">VLOOKUP(A85,'[1]NE red list'!A$1:H$1048576,5,FALSE())</f>
        <v>#N/A</v>
      </c>
      <c r="I85" s="2" t="s">
        <v>8610</v>
      </c>
      <c r="J85" s="2" t="s">
        <v>9022</v>
      </c>
      <c r="N85" s="2" t="str">
        <f aca="false">_xlfn.CONCAT(Q85," ",R85," ",S85)</f>
        <v>woodland parkland </v>
      </c>
      <c r="O85" s="3" t="s">
        <v>14</v>
      </c>
      <c r="P85" s="2" t="s">
        <v>8587</v>
      </c>
      <c r="Q85" s="2" t="s">
        <v>16</v>
      </c>
      <c r="R85" s="2" t="s">
        <v>8568</v>
      </c>
      <c r="T85" s="2"/>
      <c r="U85" s="2" t="s">
        <v>8570</v>
      </c>
      <c r="V85" s="2" t="s">
        <v>8745</v>
      </c>
      <c r="W85" s="2" t="s">
        <v>8571</v>
      </c>
      <c r="X85" s="2" t="s">
        <v>8625</v>
      </c>
      <c r="Z85" s="2" t="s">
        <v>8614</v>
      </c>
      <c r="AG85" s="7" t="s">
        <v>8575</v>
      </c>
      <c r="AI85" s="7" t="s">
        <v>8617</v>
      </c>
      <c r="AJ85" s="7" t="s">
        <v>8612</v>
      </c>
      <c r="AL85" s="7" t="s">
        <v>8628</v>
      </c>
      <c r="AS85" s="2"/>
      <c r="AV85" s="11"/>
      <c r="BI85" s="2" t="s">
        <v>8590</v>
      </c>
      <c r="BJ85" s="2" t="s">
        <v>8773</v>
      </c>
      <c r="BL85" s="2" t="s">
        <v>8591</v>
      </c>
      <c r="BO85" s="2"/>
      <c r="MJM85" s="2"/>
    </row>
    <row r="86" customFormat="false" ht="19.5" hidden="false" customHeight="true" outlineLevel="0" collapsed="false">
      <c r="A86" s="2" t="s">
        <v>9023</v>
      </c>
      <c r="C86" s="2" t="str">
        <f aca="false">_xlfn.CONCAT(A86, " ","(",B86,")")</f>
        <v>Brachyopa bicolor ()</v>
      </c>
      <c r="D86" s="2" t="s">
        <v>8580</v>
      </c>
      <c r="E86" s="2" t="s">
        <v>8687</v>
      </c>
      <c r="F86" s="2" t="s">
        <v>9024</v>
      </c>
      <c r="G86" s="2" t="s">
        <v>8662</v>
      </c>
      <c r="H86" s="2" t="str">
        <f aca="false">VLOOKUP(A86,'[1]NE red list'!A$1:H$1048576,5,FALSE())</f>
        <v>LC</v>
      </c>
      <c r="I86" s="2" t="s">
        <v>8714</v>
      </c>
      <c r="J86" s="2" t="s">
        <v>9025</v>
      </c>
      <c r="K86" s="2" t="s">
        <v>9026</v>
      </c>
      <c r="N86" s="2" t="str">
        <f aca="false">_xlfn.CONCAT(Q86," ",R86," ",S86)</f>
        <v>woodland parkland </v>
      </c>
      <c r="O86" s="3" t="s">
        <v>14</v>
      </c>
      <c r="P86" s="2" t="s">
        <v>8567</v>
      </c>
      <c r="Q86" s="2" t="s">
        <v>16</v>
      </c>
      <c r="R86" s="2" t="s">
        <v>8568</v>
      </c>
      <c r="T86" s="2"/>
      <c r="U86" s="2" t="s">
        <v>8570</v>
      </c>
      <c r="V86" s="2" t="s">
        <v>9027</v>
      </c>
      <c r="W86" s="2" t="s">
        <v>8567</v>
      </c>
      <c r="Z86" s="2" t="s">
        <v>8694</v>
      </c>
      <c r="AB86" s="5" t="s">
        <v>9028</v>
      </c>
      <c r="AG86" s="7" t="s">
        <v>8824</v>
      </c>
      <c r="AM86" s="4" t="s">
        <v>8657</v>
      </c>
      <c r="AN86" s="8" t="s">
        <v>9029</v>
      </c>
      <c r="AO86" s="8" t="s">
        <v>40</v>
      </c>
      <c r="AQ86" s="8" t="s">
        <v>42</v>
      </c>
      <c r="AS86" s="2"/>
      <c r="AV86" s="11"/>
      <c r="BA86" s="2" t="s">
        <v>9030</v>
      </c>
      <c r="BB86" s="2" t="s">
        <v>8618</v>
      </c>
      <c r="BI86" s="2" t="s">
        <v>8590</v>
      </c>
      <c r="BL86" s="2" t="s">
        <v>8591</v>
      </c>
      <c r="BO86" s="2"/>
      <c r="MJM86" s="2"/>
    </row>
    <row r="87" customFormat="false" ht="19.5" hidden="false" customHeight="true" outlineLevel="0" collapsed="false">
      <c r="A87" s="2" t="s">
        <v>9031</v>
      </c>
      <c r="C87" s="2" t="str">
        <f aca="false">_xlfn.CONCAT(A87, " ","(",B87,")")</f>
        <v>Brachyopa insensilis ()</v>
      </c>
      <c r="D87" s="2" t="s">
        <v>8580</v>
      </c>
      <c r="E87" s="2" t="s">
        <v>8687</v>
      </c>
      <c r="F87" s="2" t="s">
        <v>9024</v>
      </c>
      <c r="G87" s="2" t="s">
        <v>8737</v>
      </c>
      <c r="H87" s="2" t="str">
        <f aca="false">VLOOKUP(A87,'[1]NE red list'!A$1:H$1048576,5,FALSE())</f>
        <v>LC</v>
      </c>
      <c r="I87" s="2" t="s">
        <v>8645</v>
      </c>
      <c r="J87" s="2" t="s">
        <v>9032</v>
      </c>
      <c r="K87" s="2" t="s">
        <v>9026</v>
      </c>
      <c r="N87" s="2" t="str">
        <f aca="false">_xlfn.CONCAT(Q87," ",R87," ",S87)</f>
        <v>woodland parkland </v>
      </c>
      <c r="O87" s="3" t="s">
        <v>14</v>
      </c>
      <c r="P87" s="2" t="s">
        <v>8567</v>
      </c>
      <c r="Q87" s="2" t="s">
        <v>16</v>
      </c>
      <c r="R87" s="2" t="s">
        <v>8568</v>
      </c>
      <c r="T87" s="2"/>
      <c r="U87" s="2" t="s">
        <v>8570</v>
      </c>
      <c r="V87" s="2" t="s">
        <v>9033</v>
      </c>
      <c r="Z87" s="2" t="s">
        <v>8694</v>
      </c>
      <c r="AG87" s="7" t="s">
        <v>8824</v>
      </c>
      <c r="AM87" s="4" t="s">
        <v>8657</v>
      </c>
      <c r="AN87" s="8" t="s">
        <v>9029</v>
      </c>
      <c r="AO87" s="8" t="s">
        <v>40</v>
      </c>
      <c r="AQ87" s="8" t="s">
        <v>42</v>
      </c>
      <c r="AS87" s="2"/>
      <c r="AV87" s="11"/>
      <c r="BA87" s="2" t="s">
        <v>9030</v>
      </c>
      <c r="BB87" s="2" t="s">
        <v>8618</v>
      </c>
      <c r="BI87" s="2" t="s">
        <v>8590</v>
      </c>
      <c r="BL87" s="2" t="s">
        <v>8591</v>
      </c>
      <c r="BO87" s="2"/>
      <c r="MJM87" s="2"/>
    </row>
    <row r="88" customFormat="false" ht="19.5" hidden="false" customHeight="true" outlineLevel="0" collapsed="false">
      <c r="A88" s="2" t="s">
        <v>9034</v>
      </c>
      <c r="C88" s="2" t="str">
        <f aca="false">_xlfn.CONCAT(A88, " ","(",B88,")")</f>
        <v>Brachyopa scutellaris ()</v>
      </c>
      <c r="D88" s="2" t="s">
        <v>8580</v>
      </c>
      <c r="E88" s="2" t="s">
        <v>8687</v>
      </c>
      <c r="F88" s="2" t="s">
        <v>9024</v>
      </c>
      <c r="G88" s="2" t="s">
        <v>8737</v>
      </c>
      <c r="H88" s="2" t="str">
        <f aca="false">VLOOKUP(A88,'[1]NE red list'!A$1:H$1048576,5,FALSE())</f>
        <v>LC</v>
      </c>
      <c r="I88" s="2" t="s">
        <v>8645</v>
      </c>
      <c r="J88" s="2" t="s">
        <v>9035</v>
      </c>
      <c r="L88" s="2" t="s">
        <v>8844</v>
      </c>
      <c r="N88" s="2" t="str">
        <f aca="false">_xlfn.CONCAT(Q88," ",R88," ",S88)</f>
        <v>woodland parkland </v>
      </c>
      <c r="O88" s="3" t="s">
        <v>14</v>
      </c>
      <c r="P88" s="2" t="s">
        <v>8567</v>
      </c>
      <c r="Q88" s="2" t="s">
        <v>16</v>
      </c>
      <c r="R88" s="2" t="s">
        <v>8568</v>
      </c>
      <c r="T88" s="2"/>
      <c r="U88" s="2" t="s">
        <v>8570</v>
      </c>
      <c r="X88" s="2" t="s">
        <v>9009</v>
      </c>
      <c r="Z88" s="2" t="s">
        <v>8694</v>
      </c>
      <c r="AG88" s="7" t="s">
        <v>8824</v>
      </c>
      <c r="AS88" s="2"/>
      <c r="AV88" s="11"/>
      <c r="BA88" s="2" t="s">
        <v>9030</v>
      </c>
      <c r="BB88" s="2" t="s">
        <v>8618</v>
      </c>
      <c r="BI88" s="2" t="s">
        <v>8590</v>
      </c>
      <c r="BL88" s="2" t="s">
        <v>8591</v>
      </c>
      <c r="BO88" s="2"/>
      <c r="MJM88" s="2"/>
    </row>
    <row r="89" customFormat="false" ht="19.5" hidden="false" customHeight="true" outlineLevel="0" collapsed="false">
      <c r="A89" s="2" t="s">
        <v>9036</v>
      </c>
      <c r="C89" s="2" t="str">
        <f aca="false">_xlfn.CONCAT(A89, " ","(",B89,")")</f>
        <v>Brachypalpoides lentus ()</v>
      </c>
      <c r="D89" s="2" t="s">
        <v>8580</v>
      </c>
      <c r="E89" s="2" t="s">
        <v>8687</v>
      </c>
      <c r="F89" s="2" t="s">
        <v>9024</v>
      </c>
      <c r="G89" s="2" t="s">
        <v>8737</v>
      </c>
      <c r="H89" s="2" t="str">
        <f aca="false">VLOOKUP(A89,'[1]NE red list'!A$1:H$1048576,5,FALSE())</f>
        <v>LC</v>
      </c>
      <c r="I89" s="2" t="s">
        <v>8645</v>
      </c>
      <c r="J89" s="2" t="s">
        <v>9037</v>
      </c>
      <c r="L89" s="2" t="s">
        <v>8844</v>
      </c>
      <c r="N89" s="2" t="str">
        <f aca="false">_xlfn.CONCAT(Q89," ",R89," ",S89)</f>
        <v>woodland parkland </v>
      </c>
      <c r="O89" s="3" t="s">
        <v>14</v>
      </c>
      <c r="P89" s="2" t="s">
        <v>8567</v>
      </c>
      <c r="Q89" s="2" t="s">
        <v>16</v>
      </c>
      <c r="R89" s="2" t="s">
        <v>8568</v>
      </c>
      <c r="T89" s="2"/>
      <c r="U89" s="2" t="s">
        <v>8570</v>
      </c>
      <c r="V89" s="2" t="s">
        <v>9038</v>
      </c>
      <c r="W89" s="2" t="s">
        <v>8587</v>
      </c>
      <c r="X89" s="2" t="s">
        <v>9039</v>
      </c>
      <c r="Y89" s="2" t="s">
        <v>8573</v>
      </c>
      <c r="Z89" s="2" t="s">
        <v>8614</v>
      </c>
      <c r="AG89" s="7" t="s">
        <v>8575</v>
      </c>
      <c r="AH89" s="7" t="s">
        <v>33</v>
      </c>
      <c r="AI89" s="7" t="s">
        <v>8617</v>
      </c>
      <c r="AK89" s="7" t="s">
        <v>8627</v>
      </c>
      <c r="AM89" s="4" t="s">
        <v>8657</v>
      </c>
      <c r="AP89" s="8" t="s">
        <v>9040</v>
      </c>
      <c r="AS89" s="2"/>
      <c r="AV89" s="11"/>
      <c r="BB89" s="2" t="s">
        <v>8618</v>
      </c>
      <c r="BI89" s="2" t="s">
        <v>8590</v>
      </c>
      <c r="BL89" s="2" t="s">
        <v>8591</v>
      </c>
      <c r="BO89" s="2"/>
      <c r="MJM89" s="2"/>
    </row>
    <row r="90" customFormat="false" ht="19.5" hidden="false" customHeight="true" outlineLevel="0" collapsed="false">
      <c r="A90" s="2" t="s">
        <v>9041</v>
      </c>
      <c r="C90" s="2" t="str">
        <f aca="false">_xlfn.CONCAT(A90, " ","(",B90,")")</f>
        <v>Brachypalpus laphriformis ()</v>
      </c>
      <c r="D90" s="2" t="s">
        <v>8580</v>
      </c>
      <c r="E90" s="2" t="s">
        <v>8687</v>
      </c>
      <c r="F90" s="2" t="s">
        <v>9024</v>
      </c>
      <c r="G90" s="2" t="s">
        <v>8583</v>
      </c>
      <c r="H90" s="2" t="str">
        <f aca="false">VLOOKUP(A90,'[1]NE red list'!A$1:H$1048576,5,FALSE())</f>
        <v>LC</v>
      </c>
      <c r="I90" s="2" t="s">
        <v>8645</v>
      </c>
      <c r="J90" s="2" t="s">
        <v>9042</v>
      </c>
      <c r="L90" s="2" t="s">
        <v>8844</v>
      </c>
      <c r="N90" s="2" t="str">
        <f aca="false">_xlfn.CONCAT(Q90," ",R90," ",S90)</f>
        <v>woodland parkland </v>
      </c>
      <c r="O90" s="3" t="s">
        <v>14</v>
      </c>
      <c r="P90" s="2" t="s">
        <v>8587</v>
      </c>
      <c r="Q90" s="2" t="s">
        <v>16</v>
      </c>
      <c r="R90" s="2" t="s">
        <v>8568</v>
      </c>
      <c r="T90" s="2"/>
      <c r="U90" s="2" t="s">
        <v>8570</v>
      </c>
      <c r="V90" s="2" t="s">
        <v>9043</v>
      </c>
      <c r="W90" s="2" t="s">
        <v>8587</v>
      </c>
      <c r="X90" s="2" t="s">
        <v>8589</v>
      </c>
      <c r="Y90" s="2" t="s">
        <v>8573</v>
      </c>
      <c r="Z90" s="2" t="s">
        <v>8614</v>
      </c>
      <c r="AA90" s="4" t="s">
        <v>26</v>
      </c>
      <c r="AD90" s="6" t="s">
        <v>9044</v>
      </c>
      <c r="AF90" s="6" t="s">
        <v>9045</v>
      </c>
      <c r="AG90" s="7" t="s">
        <v>8575</v>
      </c>
      <c r="AI90" s="7" t="s">
        <v>8617</v>
      </c>
      <c r="AM90" s="4" t="s">
        <v>8657</v>
      </c>
      <c r="AP90" s="8" t="s">
        <v>8719</v>
      </c>
      <c r="AS90" s="2"/>
      <c r="AV90" s="11"/>
      <c r="BB90" s="2" t="s">
        <v>8618</v>
      </c>
      <c r="BD90" s="2" t="s">
        <v>9046</v>
      </c>
      <c r="BI90" s="2" t="s">
        <v>8590</v>
      </c>
      <c r="BL90" s="2" t="s">
        <v>8591</v>
      </c>
      <c r="BO90" s="2"/>
      <c r="MJM90" s="2"/>
    </row>
    <row r="91" customFormat="false" ht="19.5" hidden="false" customHeight="true" outlineLevel="0" collapsed="false">
      <c r="A91" s="2" t="s">
        <v>9047</v>
      </c>
      <c r="C91" s="2" t="str">
        <f aca="false">_xlfn.CONCAT(A91, " ","(",B91,")")</f>
        <v>Calambus bipustulatus ()</v>
      </c>
      <c r="D91" s="2" t="s">
        <v>8580</v>
      </c>
      <c r="E91" s="2" t="s">
        <v>8581</v>
      </c>
      <c r="F91" s="2" t="s">
        <v>8621</v>
      </c>
      <c r="G91" s="2" t="s">
        <v>8583</v>
      </c>
      <c r="H91" s="2" t="e">
        <f aca="false">VLOOKUP(A91,'[1]NE red list'!A$1:H$1048576,5,FALSE())</f>
        <v>#N/A</v>
      </c>
      <c r="I91" s="2" t="s">
        <v>8610</v>
      </c>
      <c r="J91" s="2" t="s">
        <v>9048</v>
      </c>
      <c r="K91" s="2" t="s">
        <v>9049</v>
      </c>
      <c r="L91" s="2" t="s">
        <v>9050</v>
      </c>
      <c r="N91" s="2" t="str">
        <f aca="false">_xlfn.CONCAT(Q91," ",R91," ",S91)</f>
        <v>woodland parkland </v>
      </c>
      <c r="O91" s="3" t="s">
        <v>14</v>
      </c>
      <c r="P91" s="2" t="s">
        <v>8567</v>
      </c>
      <c r="Q91" s="2" t="s">
        <v>16</v>
      </c>
      <c r="R91" s="2" t="s">
        <v>8568</v>
      </c>
      <c r="T91" s="2"/>
      <c r="U91" s="2" t="s">
        <v>8570</v>
      </c>
      <c r="V91" s="2" t="s">
        <v>8745</v>
      </c>
      <c r="W91" s="2" t="s">
        <v>8571</v>
      </c>
      <c r="X91" s="2" t="s">
        <v>8649</v>
      </c>
      <c r="Z91" s="2" t="s">
        <v>8574</v>
      </c>
      <c r="AB91" s="5" t="s">
        <v>8672</v>
      </c>
      <c r="AG91" s="7" t="s">
        <v>8575</v>
      </c>
      <c r="AI91" s="7" t="s">
        <v>8617</v>
      </c>
      <c r="AS91" s="2"/>
      <c r="AV91" s="11"/>
      <c r="BB91" s="2" t="s">
        <v>8618</v>
      </c>
      <c r="BI91" s="2" t="s">
        <v>8590</v>
      </c>
      <c r="BJ91" s="2" t="s">
        <v>8601</v>
      </c>
      <c r="BL91" s="2" t="s">
        <v>8591</v>
      </c>
      <c r="BO91" s="2"/>
      <c r="MJM91" s="2"/>
    </row>
    <row r="92" customFormat="false" ht="19.5" hidden="false" customHeight="true" outlineLevel="0" collapsed="false">
      <c r="A92" s="1" t="s">
        <v>9051</v>
      </c>
      <c r="B92" s="2" t="s">
        <v>9052</v>
      </c>
      <c r="C92" s="2" t="str">
        <f aca="false">_xlfn.CONCAT(A92, " ","(",B92,")")</f>
        <v>Calosoma inquisitor (Lesser Searcher)</v>
      </c>
      <c r="D92" s="2" t="s">
        <v>8580</v>
      </c>
      <c r="E92" s="2" t="s">
        <v>8581</v>
      </c>
      <c r="F92" s="2" t="s">
        <v>9053</v>
      </c>
      <c r="G92" s="2" t="s">
        <v>8776</v>
      </c>
      <c r="H92" s="2" t="str">
        <f aca="false">VLOOKUP(A92,'[1]NE red list'!A$1:H$1048576,5,FALSE())</f>
        <v>LC</v>
      </c>
      <c r="I92" s="2" t="s">
        <v>8564</v>
      </c>
      <c r="J92" s="2" t="s">
        <v>9054</v>
      </c>
      <c r="K92" s="2" t="s">
        <v>9055</v>
      </c>
      <c r="L92" s="2" t="s">
        <v>8665</v>
      </c>
      <c r="N92" s="2" t="str">
        <f aca="false">_xlfn.CONCAT(Q92," ",R92," ",S92)</f>
        <v>woodland  </v>
      </c>
      <c r="O92" s="2"/>
      <c r="P92" s="2" t="s">
        <v>8587</v>
      </c>
      <c r="Q92" s="2" t="s">
        <v>16</v>
      </c>
      <c r="T92" s="2"/>
      <c r="U92" s="2" t="s">
        <v>8570</v>
      </c>
      <c r="V92" s="2" t="s">
        <v>8745</v>
      </c>
      <c r="W92" s="2" t="s">
        <v>8571</v>
      </c>
      <c r="X92" s="2" t="s">
        <v>9056</v>
      </c>
      <c r="Y92" s="2" t="s">
        <v>8573</v>
      </c>
      <c r="Z92" s="2" t="s">
        <v>8694</v>
      </c>
      <c r="AM92" s="4" t="s">
        <v>8657</v>
      </c>
      <c r="AN92" s="8" t="s">
        <v>9057</v>
      </c>
      <c r="AO92" s="8" t="s">
        <v>40</v>
      </c>
      <c r="AQ92" s="8" t="s">
        <v>42</v>
      </c>
      <c r="AR92" s="8" t="s">
        <v>43</v>
      </c>
      <c r="AS92" s="2"/>
      <c r="AV92" s="11"/>
      <c r="BI92" s="2" t="s">
        <v>8590</v>
      </c>
      <c r="BJ92" s="2" t="s">
        <v>8773</v>
      </c>
      <c r="BL92" s="2" t="s">
        <v>8578</v>
      </c>
      <c r="BO92" s="2"/>
      <c r="MJM92" s="2"/>
    </row>
    <row r="93" customFormat="false" ht="19.5" hidden="false" customHeight="true" outlineLevel="0" collapsed="false">
      <c r="A93" s="2" t="s">
        <v>9058</v>
      </c>
      <c r="C93" s="2" t="str">
        <f aca="false">_xlfn.CONCAT(A93, " ","(",B93,")")</f>
        <v>Cis fagi ()</v>
      </c>
      <c r="D93" s="2" t="s">
        <v>8580</v>
      </c>
      <c r="E93" s="2" t="s">
        <v>8581</v>
      </c>
      <c r="F93" s="35" t="s">
        <v>9059</v>
      </c>
      <c r="H93" s="2" t="e">
        <f aca="false">VLOOKUP(A93,'[1]NE red list'!A$1:H$1048576,5,FALSE())</f>
        <v>#N/A</v>
      </c>
      <c r="I93" s="2" t="s">
        <v>8564</v>
      </c>
      <c r="J93" s="2" t="s">
        <v>9060</v>
      </c>
      <c r="K93" s="2" t="s">
        <v>8585</v>
      </c>
      <c r="L93" s="2" t="s">
        <v>8677</v>
      </c>
      <c r="N93" s="2" t="str">
        <f aca="false">_xlfn.CONCAT(Q93," ",R93," ",S93)</f>
        <v> parkland </v>
      </c>
      <c r="O93" s="3" t="s">
        <v>14</v>
      </c>
      <c r="P93" s="2"/>
      <c r="R93" s="2" t="s">
        <v>8568</v>
      </c>
      <c r="T93" s="2"/>
      <c r="U93" s="2" t="s">
        <v>8570</v>
      </c>
      <c r="V93" s="2" t="s">
        <v>8745</v>
      </c>
      <c r="W93" s="2" t="s">
        <v>8571</v>
      </c>
      <c r="X93" s="2" t="s">
        <v>8589</v>
      </c>
      <c r="Z93" s="2" t="s">
        <v>8614</v>
      </c>
      <c r="AG93" s="7" t="s">
        <v>8575</v>
      </c>
      <c r="AI93" s="7" t="s">
        <v>8617</v>
      </c>
      <c r="AJ93" s="7" t="s">
        <v>8612</v>
      </c>
      <c r="AN93" s="8" t="s">
        <v>8852</v>
      </c>
      <c r="AS93" s="2"/>
      <c r="AV93" s="11"/>
      <c r="AX93" s="4" t="s">
        <v>8585</v>
      </c>
      <c r="AY93" s="12" t="s">
        <v>8585</v>
      </c>
      <c r="BI93" s="2" t="s">
        <v>8590</v>
      </c>
      <c r="BL93" s="2" t="s">
        <v>8591</v>
      </c>
      <c r="BO93" s="2"/>
      <c r="MJM93" s="2"/>
    </row>
    <row r="94" customFormat="false" ht="19.5" hidden="false" customHeight="true" outlineLevel="0" collapsed="false">
      <c r="A94" s="1" t="s">
        <v>9061</v>
      </c>
      <c r="B94" s="2" t="s">
        <v>9062</v>
      </c>
      <c r="C94" s="2" t="str">
        <f aca="false">_xlfn.CONCAT(A94, " ","(",B94,")")</f>
        <v>Caladromius spilotus (Dromius quadrinotatus; Dromius 4-notatus; Calodromius quadrinotatus)</v>
      </c>
      <c r="D94" s="2" t="s">
        <v>8580</v>
      </c>
      <c r="E94" s="2" t="s">
        <v>8581</v>
      </c>
      <c r="F94" s="2" t="s">
        <v>9053</v>
      </c>
      <c r="G94" s="2" t="s">
        <v>8737</v>
      </c>
      <c r="H94" s="2" t="e">
        <f aca="false">VLOOKUP(A94,'[1]NE red list'!A$1:H$1048576,5,FALSE())</f>
        <v>#N/A</v>
      </c>
      <c r="I94" s="2" t="s">
        <v>8645</v>
      </c>
      <c r="J94" s="2" t="s">
        <v>9063</v>
      </c>
      <c r="L94" s="2" t="s">
        <v>8665</v>
      </c>
      <c r="N94" s="2" t="str">
        <f aca="false">_xlfn.CONCAT(Q94," ",R94," ",S94)</f>
        <v>woodland parkland ToW</v>
      </c>
      <c r="O94" s="2" t="s">
        <v>14</v>
      </c>
      <c r="P94" s="2"/>
      <c r="Q94" s="2" t="s">
        <v>16</v>
      </c>
      <c r="R94" s="2" t="s">
        <v>8568</v>
      </c>
      <c r="S94" s="2" t="s">
        <v>18</v>
      </c>
      <c r="T94" s="2"/>
      <c r="U94" s="2" t="s">
        <v>8570</v>
      </c>
      <c r="Y94" s="2" t="s">
        <v>8573</v>
      </c>
      <c r="Z94" s="2" t="s">
        <v>8694</v>
      </c>
      <c r="AN94" s="8" t="s">
        <v>8638</v>
      </c>
      <c r="AS94" s="2"/>
      <c r="AV94" s="11"/>
      <c r="BL94" s="2" t="s">
        <v>8591</v>
      </c>
      <c r="BO94" s="2"/>
      <c r="MJM94" s="2"/>
    </row>
    <row r="95" customFormat="false" ht="19.5" hidden="false" customHeight="true" outlineLevel="0" collapsed="false">
      <c r="A95" s="2" t="s">
        <v>9064</v>
      </c>
      <c r="C95" s="2" t="str">
        <f aca="false">_xlfn.CONCAT(A95, " ","(",B95,")")</f>
        <v>Cis micans ()</v>
      </c>
      <c r="D95" s="2" t="s">
        <v>8580</v>
      </c>
      <c r="E95" s="2" t="s">
        <v>8581</v>
      </c>
      <c r="F95" s="35" t="s">
        <v>9059</v>
      </c>
      <c r="H95" s="2" t="e">
        <f aca="false">VLOOKUP(A95,'[1]NE red list'!A$1:H$1048576,5,FALSE())</f>
        <v>#N/A</v>
      </c>
      <c r="I95" s="2" t="s">
        <v>8564</v>
      </c>
      <c r="J95" s="2" t="s">
        <v>9065</v>
      </c>
      <c r="K95" s="2" t="s">
        <v>8585</v>
      </c>
      <c r="L95" s="2" t="s">
        <v>8677</v>
      </c>
      <c r="N95" s="2" t="str">
        <f aca="false">_xlfn.CONCAT(Q95," ",R95," ",S95)</f>
        <v> parkland </v>
      </c>
      <c r="O95" s="3" t="s">
        <v>14</v>
      </c>
      <c r="P95" s="2" t="s">
        <v>8587</v>
      </c>
      <c r="R95" s="2" t="s">
        <v>8568</v>
      </c>
      <c r="T95" s="2"/>
      <c r="U95" s="2" t="s">
        <v>8570</v>
      </c>
      <c r="V95" s="2" t="s">
        <v>8745</v>
      </c>
      <c r="W95" s="2" t="s">
        <v>8567</v>
      </c>
      <c r="X95" s="2" t="s">
        <v>8625</v>
      </c>
      <c r="Z95" s="2" t="s">
        <v>8598</v>
      </c>
      <c r="AS95" s="2"/>
      <c r="AV95" s="11"/>
      <c r="AX95" s="4" t="s">
        <v>8585</v>
      </c>
      <c r="AY95" s="12" t="s">
        <v>8585</v>
      </c>
      <c r="BI95" s="2" t="s">
        <v>8590</v>
      </c>
      <c r="BJ95" s="2" t="s">
        <v>8747</v>
      </c>
      <c r="BL95" s="2" t="s">
        <v>8591</v>
      </c>
      <c r="BO95" s="2"/>
      <c r="MJM95" s="2"/>
    </row>
    <row r="96" s="32" customFormat="true" ht="19.5" hidden="false" customHeight="true" outlineLevel="0" collapsed="false">
      <c r="A96" s="2" t="s">
        <v>9066</v>
      </c>
      <c r="B96" s="2"/>
      <c r="C96" s="2" t="str">
        <f aca="false">_xlfn.CONCAT(A96, " ","(",B96,")")</f>
        <v>Caliprobola speciosa ()</v>
      </c>
      <c r="D96" s="2" t="s">
        <v>8580</v>
      </c>
      <c r="E96" s="2" t="s">
        <v>8687</v>
      </c>
      <c r="F96" s="2" t="s">
        <v>9024</v>
      </c>
      <c r="G96" s="2" t="s">
        <v>8662</v>
      </c>
      <c r="H96" s="2" t="str">
        <f aca="false">VLOOKUP(A96,'[1]NE red list'!A$1:H$1048576,5,FALSE())</f>
        <v>NT</v>
      </c>
      <c r="I96" s="2" t="s">
        <v>8610</v>
      </c>
      <c r="J96" s="2" t="s">
        <v>9067</v>
      </c>
      <c r="K96" s="2"/>
      <c r="L96" s="2" t="s">
        <v>8770</v>
      </c>
      <c r="M96" s="2"/>
      <c r="N96" s="2" t="str">
        <f aca="false">_xlfn.CONCAT(Q96," ",R96," ",S96)</f>
        <v>woodland parkland </v>
      </c>
      <c r="O96" s="3" t="s">
        <v>14</v>
      </c>
      <c r="P96" s="2" t="s">
        <v>8587</v>
      </c>
      <c r="Q96" s="2" t="s">
        <v>16</v>
      </c>
      <c r="R96" s="2" t="s">
        <v>8568</v>
      </c>
      <c r="S96" s="2"/>
      <c r="T96" s="2"/>
      <c r="U96" s="2" t="s">
        <v>8570</v>
      </c>
      <c r="V96" s="2" t="s">
        <v>9068</v>
      </c>
      <c r="W96" s="2" t="s">
        <v>8587</v>
      </c>
      <c r="X96" s="2" t="s">
        <v>9069</v>
      </c>
      <c r="Y96" s="2"/>
      <c r="Z96" s="2" t="s">
        <v>8614</v>
      </c>
      <c r="AA96" s="4"/>
      <c r="AB96" s="5"/>
      <c r="AC96" s="6"/>
      <c r="AD96" s="6"/>
      <c r="AE96" s="6"/>
      <c r="AF96" s="6"/>
      <c r="AG96" s="7" t="s">
        <v>8575</v>
      </c>
      <c r="AH96" s="7" t="s">
        <v>33</v>
      </c>
      <c r="AI96" s="7" t="s">
        <v>8617</v>
      </c>
      <c r="AJ96" s="7"/>
      <c r="AK96" s="7" t="s">
        <v>8780</v>
      </c>
      <c r="AL96" s="7"/>
      <c r="AM96" s="4"/>
      <c r="AS96" s="2"/>
      <c r="AU96" s="4"/>
      <c r="AV96" s="11"/>
      <c r="AW96" s="11"/>
      <c r="AX96" s="4"/>
      <c r="AY96" s="12"/>
      <c r="AZ96" s="12"/>
      <c r="BB96" s="32" t="s">
        <v>8618</v>
      </c>
      <c r="BI96" s="2" t="s">
        <v>8590</v>
      </c>
      <c r="BL96" s="32" t="s">
        <v>8591</v>
      </c>
      <c r="BN96" s="32" t="s">
        <v>8619</v>
      </c>
    </row>
    <row r="97" customFormat="false" ht="19.5" hidden="false" customHeight="true" outlineLevel="0" collapsed="false">
      <c r="A97" s="2" t="s">
        <v>9070</v>
      </c>
      <c r="C97" s="2" t="str">
        <f aca="false">_xlfn.CONCAT(A97, " ","(",B97,")")</f>
        <v>Callicera aurata ()</v>
      </c>
      <c r="D97" s="2" t="s">
        <v>8580</v>
      </c>
      <c r="E97" s="2" t="s">
        <v>8687</v>
      </c>
      <c r="F97" s="2" t="s">
        <v>9024</v>
      </c>
      <c r="G97" s="2" t="s">
        <v>8662</v>
      </c>
      <c r="H97" s="2" t="str">
        <f aca="false">VLOOKUP(A97,'[1]NE red list'!A$1:H$1048576,5,FALSE())</f>
        <v>LC</v>
      </c>
      <c r="I97" s="2" t="s">
        <v>8610</v>
      </c>
      <c r="J97" s="2" t="s">
        <v>9071</v>
      </c>
      <c r="L97" s="2" t="s">
        <v>8770</v>
      </c>
      <c r="N97" s="2" t="str">
        <f aca="false">_xlfn.CONCAT(Q97," ",R97," ",S97)</f>
        <v>woodland parkland </v>
      </c>
      <c r="O97" s="3" t="s">
        <v>14</v>
      </c>
      <c r="P97" s="2" t="s">
        <v>8567</v>
      </c>
      <c r="Q97" s="2" t="s">
        <v>16</v>
      </c>
      <c r="R97" s="2" t="s">
        <v>8568</v>
      </c>
      <c r="T97" s="2"/>
      <c r="U97" s="2" t="s">
        <v>8570</v>
      </c>
      <c r="V97" s="2" t="s">
        <v>8871</v>
      </c>
      <c r="W97" s="2" t="s">
        <v>8571</v>
      </c>
      <c r="X97" s="2" t="s">
        <v>8589</v>
      </c>
      <c r="Z97" s="2" t="s">
        <v>8614</v>
      </c>
      <c r="AA97" s="4" t="s">
        <v>26</v>
      </c>
      <c r="AD97" s="6" t="s">
        <v>9044</v>
      </c>
      <c r="AF97" s="6" t="s">
        <v>9045</v>
      </c>
      <c r="AG97" s="7" t="s">
        <v>8575</v>
      </c>
      <c r="AI97" s="7" t="s">
        <v>8617</v>
      </c>
      <c r="AS97" s="2"/>
      <c r="AV97" s="11"/>
      <c r="BB97" s="2" t="s">
        <v>8618</v>
      </c>
      <c r="BI97" s="2" t="s">
        <v>8590</v>
      </c>
      <c r="BL97" s="2" t="s">
        <v>8591</v>
      </c>
      <c r="BO97" s="2"/>
      <c r="MJM97" s="2"/>
    </row>
    <row r="98" s="32" customFormat="true" ht="19.5" hidden="false" customHeight="true" outlineLevel="0" collapsed="false">
      <c r="A98" s="1" t="s">
        <v>9072</v>
      </c>
      <c r="B98" s="2" t="s">
        <v>9073</v>
      </c>
      <c r="C98" s="2" t="str">
        <f aca="false">_xlfn.CONCAT(A98, " ","(",B98,")")</f>
        <v>Callicera spinolae (Golden Hoverfly)</v>
      </c>
      <c r="D98" s="2" t="s">
        <v>8580</v>
      </c>
      <c r="E98" s="2" t="s">
        <v>8687</v>
      </c>
      <c r="F98" s="2" t="s">
        <v>9024</v>
      </c>
      <c r="G98" s="2" t="s">
        <v>8776</v>
      </c>
      <c r="H98" s="2" t="str">
        <f aca="false">VLOOKUP(A98,'[1]NE red list'!A$1:H$1048576,5,FALSE())</f>
        <v>VU</v>
      </c>
      <c r="I98" s="2" t="s">
        <v>8714</v>
      </c>
      <c r="J98" s="2" t="s">
        <v>9074</v>
      </c>
      <c r="K98" s="2" t="s">
        <v>9075</v>
      </c>
      <c r="L98" s="2" t="s">
        <v>8586</v>
      </c>
      <c r="M98" s="2"/>
      <c r="N98" s="2" t="str">
        <f aca="false">_xlfn.CONCAT(Q98," ",R98," ",S98)</f>
        <v> parkland </v>
      </c>
      <c r="O98" s="3" t="s">
        <v>14</v>
      </c>
      <c r="P98" s="2" t="s">
        <v>8567</v>
      </c>
      <c r="Q98" s="2"/>
      <c r="R98" s="2" t="s">
        <v>8568</v>
      </c>
      <c r="S98" s="2"/>
      <c r="T98" s="2"/>
      <c r="U98" s="2" t="s">
        <v>8570</v>
      </c>
      <c r="V98" s="2" t="s">
        <v>9076</v>
      </c>
      <c r="W98" s="2" t="s">
        <v>8571</v>
      </c>
      <c r="X98" s="2" t="s">
        <v>8625</v>
      </c>
      <c r="Y98" s="2"/>
      <c r="Z98" s="2" t="s">
        <v>8614</v>
      </c>
      <c r="AA98" s="4" t="s">
        <v>26</v>
      </c>
      <c r="AB98" s="5"/>
      <c r="AC98" s="6"/>
      <c r="AD98" s="6" t="s">
        <v>9044</v>
      </c>
      <c r="AE98" s="6"/>
      <c r="AF98" s="6" t="s">
        <v>9045</v>
      </c>
      <c r="AG98" s="7" t="s">
        <v>8575</v>
      </c>
      <c r="AH98" s="7"/>
      <c r="AI98" s="7" t="s">
        <v>8617</v>
      </c>
      <c r="AJ98" s="7"/>
      <c r="AK98" s="7"/>
      <c r="AL98" s="7" t="s">
        <v>9077</v>
      </c>
      <c r="AM98" s="4"/>
      <c r="AS98" s="2"/>
      <c r="AU98" s="4" t="s">
        <v>8639</v>
      </c>
      <c r="AV98" s="11"/>
      <c r="AW98" s="11" t="s">
        <v>8640</v>
      </c>
      <c r="AX98" s="4"/>
      <c r="AY98" s="12"/>
      <c r="AZ98" s="12"/>
      <c r="BB98" s="32" t="s">
        <v>8618</v>
      </c>
      <c r="BI98" s="2" t="s">
        <v>8590</v>
      </c>
      <c r="BL98" s="32" t="s">
        <v>8578</v>
      </c>
      <c r="BN98" s="32" t="s">
        <v>8619</v>
      </c>
    </row>
    <row r="99" customFormat="false" ht="19.5" hidden="false" customHeight="true" outlineLevel="0" collapsed="false">
      <c r="A99" s="2" t="s">
        <v>9078</v>
      </c>
      <c r="C99" s="2" t="str">
        <f aca="false">_xlfn.CONCAT(A99, " ","(",B99,")")</f>
        <v>Cis pygmaeus ()</v>
      </c>
      <c r="D99" s="2" t="s">
        <v>8580</v>
      </c>
      <c r="E99" s="2" t="s">
        <v>8581</v>
      </c>
      <c r="F99" s="35" t="s">
        <v>9059</v>
      </c>
      <c r="H99" s="2" t="e">
        <f aca="false">VLOOKUP(A99,'[1]NE red list'!A$1:H$1048576,5,FALSE())</f>
        <v>#N/A</v>
      </c>
      <c r="I99" s="2" t="s">
        <v>8610</v>
      </c>
      <c r="J99" s="2" t="s">
        <v>9079</v>
      </c>
      <c r="L99" s="2" t="s">
        <v>8677</v>
      </c>
      <c r="N99" s="2" t="str">
        <f aca="false">_xlfn.CONCAT(Q99," ",R99," ",S99)</f>
        <v>woodland parkland </v>
      </c>
      <c r="O99" s="3" t="s">
        <v>14</v>
      </c>
      <c r="P99" s="2"/>
      <c r="Q99" s="2" t="s">
        <v>16</v>
      </c>
      <c r="R99" s="2" t="s">
        <v>8568</v>
      </c>
      <c r="T99" s="2"/>
      <c r="U99" s="2" t="s">
        <v>8570</v>
      </c>
      <c r="V99" s="2" t="s">
        <v>8745</v>
      </c>
      <c r="X99" s="2" t="s">
        <v>8597</v>
      </c>
      <c r="Y99" s="2" t="s">
        <v>8573</v>
      </c>
      <c r="Z99" s="2" t="s">
        <v>8574</v>
      </c>
      <c r="AG99" s="7" t="s">
        <v>8575</v>
      </c>
      <c r="AS99" s="2" t="s">
        <v>8599</v>
      </c>
      <c r="AV99" s="11"/>
      <c r="AX99" s="4" t="s">
        <v>8607</v>
      </c>
      <c r="AZ99" s="12" t="s">
        <v>8607</v>
      </c>
      <c r="BI99" s="2" t="s">
        <v>8590</v>
      </c>
      <c r="BJ99" s="2" t="s">
        <v>8747</v>
      </c>
      <c r="BL99" s="2" t="s">
        <v>8591</v>
      </c>
      <c r="BO99" s="2"/>
      <c r="MJM99" s="2"/>
    </row>
    <row r="100" customFormat="false" ht="19.5" hidden="false" customHeight="true" outlineLevel="0" collapsed="false">
      <c r="A100" s="1" t="s">
        <v>9080</v>
      </c>
      <c r="B100" s="2" t="s">
        <v>8992</v>
      </c>
      <c r="C100" s="2" t="str">
        <f aca="false">_xlfn.CONCAT(A100, " ","(",B100,")")</f>
        <v>Caloplaca virescens (a lichen)</v>
      </c>
      <c r="D100" s="2" t="s">
        <v>8892</v>
      </c>
      <c r="E100" s="2" t="s">
        <v>8892</v>
      </c>
      <c r="F100" s="2" t="s">
        <v>8892</v>
      </c>
      <c r="G100" s="2" t="s">
        <v>8776</v>
      </c>
      <c r="H100" s="2" t="str">
        <f aca="false">VLOOKUP(A100,'[1]NE red list'!A$1:H$1048576,5,FALSE())</f>
        <v>EN</v>
      </c>
      <c r="I100" s="2" t="s">
        <v>8593</v>
      </c>
      <c r="J100" s="33" t="s">
        <v>9081</v>
      </c>
      <c r="K100" s="2" t="s">
        <v>8858</v>
      </c>
      <c r="L100" s="2" t="s">
        <v>8896</v>
      </c>
      <c r="N100" s="2" t="str">
        <f aca="false">_xlfn.CONCAT(Q100," ",R100," ",S100)</f>
        <v> parkland </v>
      </c>
      <c r="O100" s="3" t="s">
        <v>14</v>
      </c>
      <c r="P100" s="2"/>
      <c r="R100" s="2" t="s">
        <v>8568</v>
      </c>
      <c r="T100" s="2"/>
      <c r="U100" s="2" t="s">
        <v>8570</v>
      </c>
      <c r="V100" s="2" t="s">
        <v>9082</v>
      </c>
      <c r="W100" s="2" t="s">
        <v>8567</v>
      </c>
      <c r="X100" s="2" t="s">
        <v>8589</v>
      </c>
      <c r="AM100" s="4" t="s">
        <v>8657</v>
      </c>
      <c r="AN100" s="8" t="s">
        <v>8858</v>
      </c>
      <c r="AP100" s="8" t="s">
        <v>8953</v>
      </c>
      <c r="AS100" s="2"/>
      <c r="AV100" s="11"/>
      <c r="BC100" s="2" t="s">
        <v>8899</v>
      </c>
      <c r="BG100" s="2" t="s">
        <v>8900</v>
      </c>
      <c r="BK100" s="2" t="s">
        <v>8578</v>
      </c>
      <c r="BL100" s="2" t="s">
        <v>8578</v>
      </c>
      <c r="BO100" s="2"/>
      <c r="MJM100" s="2"/>
    </row>
    <row r="101" customFormat="false" ht="19.5" hidden="false" customHeight="true" outlineLevel="0" collapsed="false">
      <c r="A101" s="1" t="s">
        <v>9083</v>
      </c>
      <c r="B101" s="2" t="s">
        <v>9084</v>
      </c>
      <c r="C101" s="2" t="str">
        <f aca="false">_xlfn.CONCAT(A101, " ","(",B101,")")</f>
        <v>Ctesias serra (Cobweb Beetle)</v>
      </c>
      <c r="D101" s="2" t="s">
        <v>8580</v>
      </c>
      <c r="E101" s="2" t="s">
        <v>8581</v>
      </c>
      <c r="F101" s="35" t="s">
        <v>9085</v>
      </c>
      <c r="H101" s="2" t="str">
        <f aca="false">VLOOKUP(A101,'[1]NE red list'!A$1:H$1048576,5,FALSE())</f>
        <v>LC</v>
      </c>
      <c r="I101" s="2" t="s">
        <v>9086</v>
      </c>
      <c r="J101" s="2" t="s">
        <v>9087</v>
      </c>
      <c r="K101" s="2" t="s">
        <v>8947</v>
      </c>
      <c r="L101" s="2" t="s">
        <v>8665</v>
      </c>
      <c r="N101" s="2" t="str">
        <f aca="false">_xlfn.CONCAT(Q101," ",R101," ",S101)</f>
        <v>woodland parkland ToW</v>
      </c>
      <c r="O101" s="2" t="s">
        <v>14</v>
      </c>
      <c r="P101" s="2" t="s">
        <v>8587</v>
      </c>
      <c r="Q101" s="2" t="s">
        <v>16</v>
      </c>
      <c r="R101" s="2" t="s">
        <v>8568</v>
      </c>
      <c r="S101" s="2" t="s">
        <v>18</v>
      </c>
      <c r="T101" s="2"/>
      <c r="U101" s="2" t="s">
        <v>8570</v>
      </c>
      <c r="V101" s="2" t="s">
        <v>8745</v>
      </c>
      <c r="W101" s="2" t="s">
        <v>8571</v>
      </c>
      <c r="Z101" s="2" t="s">
        <v>8614</v>
      </c>
      <c r="AA101" s="4" t="s">
        <v>26</v>
      </c>
      <c r="AB101" s="5" t="s">
        <v>9088</v>
      </c>
      <c r="AC101" s="6" t="s">
        <v>8666</v>
      </c>
      <c r="AD101" s="6" t="s">
        <v>8615</v>
      </c>
      <c r="AF101" s="6" t="s">
        <v>8616</v>
      </c>
      <c r="AG101" s="7" t="s">
        <v>8575</v>
      </c>
      <c r="AI101" s="7" t="s">
        <v>8617</v>
      </c>
      <c r="AM101" s="4" t="s">
        <v>8657</v>
      </c>
      <c r="AN101" s="8" t="s">
        <v>8734</v>
      </c>
      <c r="AO101" s="8" t="s">
        <v>40</v>
      </c>
      <c r="AQ101" s="8" t="s">
        <v>42</v>
      </c>
      <c r="AS101" s="2"/>
      <c r="AV101" s="11"/>
      <c r="BA101" s="2" t="s">
        <v>9030</v>
      </c>
      <c r="BI101" s="2" t="s">
        <v>8590</v>
      </c>
      <c r="BJ101" s="2" t="s">
        <v>8747</v>
      </c>
      <c r="BL101" s="2" t="s">
        <v>8591</v>
      </c>
      <c r="BO101" s="2"/>
      <c r="MJM101" s="2"/>
    </row>
    <row r="102" customFormat="false" ht="19.5" hidden="false" customHeight="true" outlineLevel="0" collapsed="false">
      <c r="A102" s="2" t="s">
        <v>9089</v>
      </c>
      <c r="C102" s="2" t="str">
        <f aca="false">_xlfn.CONCAT(A102, " ","(",B102,")")</f>
        <v>Carpophilus sexpustulatus ()</v>
      </c>
      <c r="D102" s="2" t="s">
        <v>8580</v>
      </c>
      <c r="E102" s="2" t="s">
        <v>8581</v>
      </c>
      <c r="F102" s="35" t="s">
        <v>8661</v>
      </c>
      <c r="H102" s="2" t="e">
        <f aca="false">VLOOKUP(A102,'[1]NE red list'!A$1:H$1048576,5,FALSE())</f>
        <v>#N/A</v>
      </c>
      <c r="I102" s="2" t="s">
        <v>9090</v>
      </c>
      <c r="J102" s="2" t="s">
        <v>9091</v>
      </c>
      <c r="K102" s="2" t="s">
        <v>9092</v>
      </c>
      <c r="L102" s="2" t="s">
        <v>8665</v>
      </c>
      <c r="N102" s="2" t="str">
        <f aca="false">_xlfn.CONCAT(Q102," ",R102," ",S102)</f>
        <v> parkland </v>
      </c>
      <c r="O102" s="3" t="s">
        <v>14</v>
      </c>
      <c r="P102" s="2" t="s">
        <v>8567</v>
      </c>
      <c r="R102" s="2" t="s">
        <v>8568</v>
      </c>
      <c r="T102" s="2"/>
      <c r="U102" s="2" t="s">
        <v>8570</v>
      </c>
      <c r="V102" s="2" t="s">
        <v>9093</v>
      </c>
      <c r="W102" s="2" t="s">
        <v>8567</v>
      </c>
      <c r="X102" s="2" t="s">
        <v>8625</v>
      </c>
      <c r="Z102" s="2" t="s">
        <v>8637</v>
      </c>
      <c r="AG102" s="7" t="s">
        <v>8824</v>
      </c>
      <c r="AN102" s="8" t="s">
        <v>8829</v>
      </c>
      <c r="AS102" s="2"/>
      <c r="AV102" s="11"/>
      <c r="AX102" s="4" t="s">
        <v>8607</v>
      </c>
      <c r="AZ102" s="12" t="s">
        <v>8607</v>
      </c>
      <c r="BI102" s="2" t="s">
        <v>8590</v>
      </c>
      <c r="BJ102" s="2" t="s">
        <v>8630</v>
      </c>
      <c r="BL102" s="2" t="s">
        <v>8591</v>
      </c>
      <c r="BO102" s="2"/>
      <c r="MJM102" s="2"/>
    </row>
    <row r="103" customFormat="false" ht="19.5" hidden="false" customHeight="true" outlineLevel="0" collapsed="false">
      <c r="A103" s="1" t="s">
        <v>9094</v>
      </c>
      <c r="B103" s="2" t="s">
        <v>9095</v>
      </c>
      <c r="C103" s="2" t="str">
        <f aca="false">_xlfn.CONCAT(A103, " ","(",B103,")")</f>
        <v>Catapyrenium psoromoides (Tree Catapyrenium)</v>
      </c>
      <c r="D103" s="2" t="s">
        <v>8892</v>
      </c>
      <c r="E103" s="2" t="s">
        <v>8892</v>
      </c>
      <c r="F103" s="2" t="s">
        <v>8892</v>
      </c>
      <c r="G103" s="2" t="s">
        <v>8776</v>
      </c>
      <c r="H103" s="2" t="str">
        <f aca="false">VLOOKUP(A103,'[1]NE red list'!A$1:H$1048576,5,FALSE())</f>
        <v>CR</v>
      </c>
      <c r="I103" s="2" t="s">
        <v>8610</v>
      </c>
      <c r="J103" s="33" t="s">
        <v>9096</v>
      </c>
      <c r="K103" s="2" t="s">
        <v>8858</v>
      </c>
      <c r="L103" s="2" t="s">
        <v>8896</v>
      </c>
      <c r="N103" s="2" t="str">
        <f aca="false">_xlfn.CONCAT(Q103," ",R103," ",S103)</f>
        <v> parkland </v>
      </c>
      <c r="O103" s="3" t="s">
        <v>14</v>
      </c>
      <c r="P103" s="2"/>
      <c r="R103" s="2" t="s">
        <v>8568</v>
      </c>
      <c r="T103" s="2"/>
      <c r="U103" s="2" t="s">
        <v>8570</v>
      </c>
      <c r="V103" s="2" t="s">
        <v>9097</v>
      </c>
      <c r="X103" s="2" t="s">
        <v>8589</v>
      </c>
      <c r="AN103" s="8" t="s">
        <v>8858</v>
      </c>
      <c r="AS103" s="2"/>
      <c r="AU103" s="4" t="s">
        <v>8639</v>
      </c>
      <c r="AV103" s="11"/>
      <c r="AW103" s="11" t="s">
        <v>8650</v>
      </c>
      <c r="BC103" s="2" t="s">
        <v>8899</v>
      </c>
      <c r="BG103" s="2" t="s">
        <v>8900</v>
      </c>
      <c r="BJ103" s="2" t="s">
        <v>8907</v>
      </c>
      <c r="BK103" s="2" t="s">
        <v>8578</v>
      </c>
      <c r="BL103" s="2" t="s">
        <v>8578</v>
      </c>
      <c r="BO103" s="2"/>
      <c r="MJM103" s="2"/>
    </row>
    <row r="104" s="32" customFormat="true" ht="19.5" hidden="false" customHeight="true" outlineLevel="0" collapsed="false">
      <c r="A104" s="2" t="s">
        <v>9098</v>
      </c>
      <c r="B104" s="2"/>
      <c r="C104" s="2" t="str">
        <f aca="false">_xlfn.CONCAT(A104, " ","(",B104,")")</f>
        <v>Cryptarcha undata ()</v>
      </c>
      <c r="D104" s="2" t="s">
        <v>8580</v>
      </c>
      <c r="E104" s="2" t="s">
        <v>8581</v>
      </c>
      <c r="F104" s="2" t="s">
        <v>8661</v>
      </c>
      <c r="G104" s="2" t="s">
        <v>8583</v>
      </c>
      <c r="H104" s="2" t="e">
        <f aca="false">VLOOKUP(A104,'[1]NE red list'!A$1:H$1048576,5,FALSE())</f>
        <v>#N/A</v>
      </c>
      <c r="I104" s="2" t="s">
        <v>9099</v>
      </c>
      <c r="J104" s="2" t="s">
        <v>9100</v>
      </c>
      <c r="K104" s="2"/>
      <c r="L104" s="2" t="s">
        <v>8836</v>
      </c>
      <c r="M104" s="2"/>
      <c r="N104" s="2" t="str">
        <f aca="false">_xlfn.CONCAT(Q104," ",R104," ",S104)</f>
        <v>woodland parkland </v>
      </c>
      <c r="O104" s="3" t="s">
        <v>14</v>
      </c>
      <c r="P104" s="2"/>
      <c r="Q104" s="2" t="s">
        <v>16</v>
      </c>
      <c r="R104" s="2" t="s">
        <v>8568</v>
      </c>
      <c r="S104" s="2"/>
      <c r="T104" s="2"/>
      <c r="U104" s="2" t="s">
        <v>8570</v>
      </c>
      <c r="V104" s="2" t="s">
        <v>8745</v>
      </c>
      <c r="W104" s="2"/>
      <c r="X104" s="2" t="s">
        <v>8625</v>
      </c>
      <c r="Y104" s="2"/>
      <c r="Z104" s="2"/>
      <c r="AA104" s="4"/>
      <c r="AB104" s="5"/>
      <c r="AC104" s="6"/>
      <c r="AD104" s="6"/>
      <c r="AE104" s="6"/>
      <c r="AF104" s="6"/>
      <c r="AG104" s="7" t="s">
        <v>8824</v>
      </c>
      <c r="AH104" s="7"/>
      <c r="AI104" s="7"/>
      <c r="AJ104" s="7"/>
      <c r="AK104" s="7"/>
      <c r="AL104" s="7"/>
      <c r="AM104" s="4" t="s">
        <v>8657</v>
      </c>
      <c r="AN104" s="8" t="s">
        <v>9029</v>
      </c>
      <c r="AO104" s="8" t="s">
        <v>40</v>
      </c>
      <c r="AP104" s="8"/>
      <c r="AQ104" s="8" t="s">
        <v>42</v>
      </c>
      <c r="AR104" s="8"/>
      <c r="AS104" s="2"/>
      <c r="AT104" s="2"/>
      <c r="AU104" s="4"/>
      <c r="AV104" s="11"/>
      <c r="AW104" s="11"/>
      <c r="AX104" s="4"/>
      <c r="AY104" s="12"/>
      <c r="AZ104" s="12"/>
      <c r="BA104" s="2" t="s">
        <v>8868</v>
      </c>
      <c r="BB104" s="2"/>
      <c r="BC104" s="2"/>
      <c r="BD104" s="2"/>
      <c r="BE104" s="2"/>
      <c r="BF104" s="2"/>
      <c r="BG104" s="2"/>
      <c r="BH104" s="2"/>
      <c r="BI104" s="2" t="s">
        <v>8590</v>
      </c>
      <c r="BJ104" s="2" t="s">
        <v>8747</v>
      </c>
      <c r="BK104" s="2"/>
      <c r="BL104" s="2" t="s">
        <v>8591</v>
      </c>
      <c r="BM104" s="2"/>
      <c r="BN104" s="2"/>
    </row>
    <row r="105" s="32" customFormat="true" ht="19.5" hidden="false" customHeight="true" outlineLevel="0" collapsed="false">
      <c r="A105" s="2" t="s">
        <v>9101</v>
      </c>
      <c r="B105" s="2"/>
      <c r="C105" s="2" t="str">
        <f aca="false">_xlfn.CONCAT(A105, " ","(",B105,")")</f>
        <v>Euconnus pragensis ()</v>
      </c>
      <c r="D105" s="2" t="s">
        <v>8580</v>
      </c>
      <c r="E105" s="2" t="s">
        <v>8581</v>
      </c>
      <c r="F105" s="30" t="s">
        <v>9102</v>
      </c>
      <c r="G105" s="2" t="s">
        <v>8662</v>
      </c>
      <c r="H105" s="2" t="e">
        <f aca="false">VLOOKUP(A105,'[1]NE red list'!A$1:H$1048576,5,FALSE())</f>
        <v>#N/A</v>
      </c>
      <c r="I105" s="2" t="s">
        <v>8610</v>
      </c>
      <c r="J105" s="2" t="s">
        <v>9103</v>
      </c>
      <c r="K105" s="2" t="s">
        <v>8664</v>
      </c>
      <c r="L105" s="2" t="s">
        <v>8665</v>
      </c>
      <c r="M105" s="2"/>
      <c r="N105" s="2" t="str">
        <f aca="false">_xlfn.CONCAT(Q105," ",R105," ",S105)</f>
        <v>woodland parkland </v>
      </c>
      <c r="O105" s="3" t="s">
        <v>14</v>
      </c>
      <c r="P105" s="2" t="s">
        <v>8587</v>
      </c>
      <c r="Q105" s="2" t="s">
        <v>16</v>
      </c>
      <c r="R105" s="2" t="s">
        <v>8568</v>
      </c>
      <c r="S105" s="2"/>
      <c r="T105" s="2"/>
      <c r="U105" s="2" t="s">
        <v>8570</v>
      </c>
      <c r="V105" s="2" t="s">
        <v>8745</v>
      </c>
      <c r="W105" s="2" t="s">
        <v>8571</v>
      </c>
      <c r="X105" s="2" t="s">
        <v>8589</v>
      </c>
      <c r="Y105" s="2"/>
      <c r="Z105" s="2" t="s">
        <v>8614</v>
      </c>
      <c r="AA105" s="4" t="s">
        <v>26</v>
      </c>
      <c r="AB105" s="5"/>
      <c r="AC105" s="6"/>
      <c r="AD105" s="6" t="s">
        <v>8615</v>
      </c>
      <c r="AE105" s="6"/>
      <c r="AF105" s="6"/>
      <c r="AG105" s="7" t="s">
        <v>8575</v>
      </c>
      <c r="AH105" s="7"/>
      <c r="AI105" s="7" t="s">
        <v>8617</v>
      </c>
      <c r="AJ105" s="7"/>
      <c r="AK105" s="7"/>
      <c r="AL105" s="7"/>
      <c r="AM105" s="4"/>
      <c r="AN105" s="8"/>
      <c r="AO105" s="8"/>
      <c r="AP105" s="8"/>
      <c r="AQ105" s="8"/>
      <c r="AR105" s="8"/>
      <c r="AS105" s="2"/>
      <c r="AT105" s="2"/>
      <c r="AU105" s="4" t="s">
        <v>8639</v>
      </c>
      <c r="AV105" s="10" t="s">
        <v>8664</v>
      </c>
      <c r="AW105" s="11"/>
      <c r="AX105" s="4"/>
      <c r="AY105" s="12"/>
      <c r="AZ105" s="12"/>
      <c r="BA105" s="2"/>
      <c r="BB105" s="2"/>
      <c r="BC105" s="2"/>
      <c r="BD105" s="2"/>
      <c r="BE105" s="2"/>
      <c r="BF105" s="2"/>
      <c r="BG105" s="2"/>
      <c r="BH105" s="2"/>
      <c r="BI105" s="2" t="s">
        <v>8590</v>
      </c>
      <c r="BJ105" s="2" t="s">
        <v>8747</v>
      </c>
      <c r="BK105" s="2"/>
      <c r="BL105" s="2" t="s">
        <v>8591</v>
      </c>
      <c r="BM105" s="2" t="s">
        <v>8619</v>
      </c>
      <c r="BN105" s="2"/>
    </row>
    <row r="106" customFormat="false" ht="19.5" hidden="false" customHeight="true" outlineLevel="0" collapsed="false">
      <c r="A106" s="48" t="s">
        <v>9104</v>
      </c>
      <c r="B106" s="49"/>
      <c r="C106" s="2" t="str">
        <f aca="false">_xlfn.CONCAT(A106, " ","(",B106,")")</f>
        <v>Celypha aurofasciana
 ()</v>
      </c>
      <c r="D106" s="2" t="s">
        <v>8580</v>
      </c>
      <c r="E106" s="2" t="s">
        <v>8722</v>
      </c>
      <c r="F106" s="2" t="s">
        <v>9105</v>
      </c>
      <c r="H106" s="2" t="e">
        <f aca="false">VLOOKUP(A106,'[1]NE red list'!A$1:H$1048576,5,FALSE())</f>
        <v>#N/A</v>
      </c>
      <c r="I106" s="2" t="s">
        <v>9106</v>
      </c>
      <c r="J106" s="49" t="s">
        <v>9107</v>
      </c>
      <c r="K106" s="3"/>
      <c r="L106" s="3" t="s">
        <v>8647</v>
      </c>
      <c r="M106" s="3"/>
      <c r="N106" s="2" t="str">
        <f aca="false">_xlfn.CONCAT(Q106," ",R106," ",S106)</f>
        <v>woodland parkland </v>
      </c>
      <c r="O106" s="3" t="s">
        <v>14</v>
      </c>
      <c r="P106" s="3" t="s">
        <v>8567</v>
      </c>
      <c r="Q106" s="3" t="s">
        <v>16</v>
      </c>
      <c r="R106" s="2" t="s">
        <v>8568</v>
      </c>
      <c r="U106" s="2" t="s">
        <v>8605</v>
      </c>
      <c r="W106" s="2" t="s">
        <v>8567</v>
      </c>
      <c r="Z106" s="2" t="s">
        <v>8574</v>
      </c>
      <c r="AM106" s="4" t="s">
        <v>8657</v>
      </c>
      <c r="AN106" s="3" t="s">
        <v>9108</v>
      </c>
      <c r="AO106" s="8" t="s">
        <v>40</v>
      </c>
      <c r="AQ106" s="8" t="s">
        <v>42</v>
      </c>
      <c r="AS106" s="2"/>
      <c r="AU106" s="4" t="s">
        <v>8639</v>
      </c>
      <c r="AV106" s="11"/>
      <c r="AW106" s="50" t="s">
        <v>8647</v>
      </c>
      <c r="BO106" s="2"/>
      <c r="MJM106" s="2"/>
    </row>
    <row r="107" s="32" customFormat="true" ht="19.5" hidden="false" customHeight="true" outlineLevel="0" collapsed="false">
      <c r="A107" s="33" t="s">
        <v>9109</v>
      </c>
      <c r="B107" s="2"/>
      <c r="C107" s="2" t="str">
        <f aca="false">_xlfn.CONCAT(A107, " ","(",B107,")")</f>
        <v>Celypha woodiana ()</v>
      </c>
      <c r="D107" s="2" t="s">
        <v>8580</v>
      </c>
      <c r="E107" s="2" t="s">
        <v>8722</v>
      </c>
      <c r="F107" s="2" t="s">
        <v>9105</v>
      </c>
      <c r="G107" s="2" t="s">
        <v>8633</v>
      </c>
      <c r="H107" s="2" t="e">
        <f aca="false">VLOOKUP(A107,'[1]NE red list'!A$1:H$1048576,5,FALSE())</f>
        <v>#N/A</v>
      </c>
      <c r="I107" s="2" t="s">
        <v>8610</v>
      </c>
      <c r="J107" s="33" t="s">
        <v>9110</v>
      </c>
      <c r="K107" s="2"/>
      <c r="L107" s="2" t="s">
        <v>8725</v>
      </c>
      <c r="M107" s="33"/>
      <c r="N107" s="2" t="str">
        <f aca="false">_xlfn.CONCAT(Q107," ",R107," ",S107)</f>
        <v>woodland parkland orchards</v>
      </c>
      <c r="O107" s="2" t="s">
        <v>14</v>
      </c>
      <c r="P107" s="2" t="s">
        <v>8587</v>
      </c>
      <c r="Q107" s="2" t="s">
        <v>16</v>
      </c>
      <c r="R107" s="2" t="s">
        <v>8568</v>
      </c>
      <c r="S107" s="2" t="s">
        <v>8692</v>
      </c>
      <c r="T107" s="3"/>
      <c r="U107" s="2" t="s">
        <v>8570</v>
      </c>
      <c r="V107" s="2" t="s">
        <v>8693</v>
      </c>
      <c r="W107" s="2" t="s">
        <v>8567</v>
      </c>
      <c r="X107" s="2"/>
      <c r="Y107" s="2" t="s">
        <v>8573</v>
      </c>
      <c r="Z107" s="2" t="s">
        <v>8694</v>
      </c>
      <c r="AA107" s="4"/>
      <c r="AB107" s="5"/>
      <c r="AC107" s="6"/>
      <c r="AD107" s="6"/>
      <c r="AE107" s="6"/>
      <c r="AF107" s="6"/>
      <c r="AG107" s="7"/>
      <c r="AH107" s="7"/>
      <c r="AI107" s="7"/>
      <c r="AJ107" s="7"/>
      <c r="AK107" s="7"/>
      <c r="AL107" s="7"/>
      <c r="AM107" s="4" t="s">
        <v>8657</v>
      </c>
      <c r="AN107" s="32" t="s">
        <v>8638</v>
      </c>
      <c r="AO107" s="32" t="s">
        <v>40</v>
      </c>
      <c r="AQ107" s="8" t="s">
        <v>42</v>
      </c>
      <c r="AS107" s="2"/>
      <c r="AU107" s="4" t="s">
        <v>8639</v>
      </c>
      <c r="AV107" s="11"/>
      <c r="AW107" s="11" t="s">
        <v>9111</v>
      </c>
      <c r="AX107" s="4"/>
      <c r="AY107" s="12"/>
      <c r="AZ107" s="12"/>
      <c r="BI107" s="2" t="s">
        <v>8590</v>
      </c>
      <c r="BN107" s="32" t="s">
        <v>8619</v>
      </c>
    </row>
    <row r="108" customFormat="false" ht="19.5" hidden="false" customHeight="true" outlineLevel="0" collapsed="false">
      <c r="A108" s="1" t="s">
        <v>9112</v>
      </c>
      <c r="B108" s="2" t="s">
        <v>9113</v>
      </c>
      <c r="C108" s="2" t="str">
        <f aca="false">_xlfn.CONCAT(A108, " ","(",B108,")")</f>
        <v>Certhia familiaris (Treecreeper)</v>
      </c>
      <c r="D108" s="2" t="s">
        <v>8560</v>
      </c>
      <c r="E108" s="2" t="s">
        <v>8561</v>
      </c>
      <c r="F108" s="30" t="s">
        <v>9114</v>
      </c>
      <c r="G108" s="2" t="s">
        <v>9115</v>
      </c>
      <c r="H108" s="2" t="str">
        <f aca="false">VLOOKUP(A108,'[1]NE red list'!A$1:H$1048576,5,FALSE())</f>
        <v>LC</v>
      </c>
      <c r="I108" s="2" t="s">
        <v>8645</v>
      </c>
      <c r="J108" s="51" t="s">
        <v>9116</v>
      </c>
      <c r="L108" s="2" t="s">
        <v>8566</v>
      </c>
      <c r="N108" s="2" t="str">
        <f aca="false">_xlfn.CONCAT(Q108," ",R108," ",S108)</f>
        <v>woodland parkland ToW</v>
      </c>
      <c r="O108" s="2" t="s">
        <v>14</v>
      </c>
      <c r="P108" s="2" t="s">
        <v>8567</v>
      </c>
      <c r="Q108" s="2" t="s">
        <v>16</v>
      </c>
      <c r="R108" s="2" t="s">
        <v>8568</v>
      </c>
      <c r="S108" s="2" t="s">
        <v>18</v>
      </c>
      <c r="T108" s="2"/>
      <c r="U108" s="2" t="s">
        <v>8605</v>
      </c>
      <c r="W108" s="2" t="s">
        <v>8567</v>
      </c>
      <c r="X108" s="2" t="s">
        <v>8589</v>
      </c>
      <c r="Z108" s="2" t="s">
        <v>8694</v>
      </c>
      <c r="AA108" s="4" t="s">
        <v>26</v>
      </c>
      <c r="AC108" s="6" t="s">
        <v>30</v>
      </c>
      <c r="AM108" s="4" t="s">
        <v>8657</v>
      </c>
      <c r="AN108" s="8" t="s">
        <v>40</v>
      </c>
      <c r="AO108" s="8" t="s">
        <v>40</v>
      </c>
      <c r="AQ108" s="8" t="s">
        <v>42</v>
      </c>
      <c r="AR108" s="8" t="s">
        <v>43</v>
      </c>
      <c r="AS108" s="2"/>
      <c r="AV108" s="11"/>
      <c r="BL108" s="2" t="s">
        <v>8591</v>
      </c>
      <c r="MJM108" s="2"/>
    </row>
    <row r="109" customFormat="false" ht="19.5" hidden="false" customHeight="true" outlineLevel="0" collapsed="false">
      <c r="A109" s="2" t="s">
        <v>9117</v>
      </c>
      <c r="C109" s="2" t="str">
        <f aca="false">_xlfn.CONCAT(A109, " ","(",B109,")")</f>
        <v>Cerylon fagi ()</v>
      </c>
      <c r="D109" s="2" t="s">
        <v>8580</v>
      </c>
      <c r="E109" s="2" t="s">
        <v>8581</v>
      </c>
      <c r="F109" s="35" t="s">
        <v>9118</v>
      </c>
      <c r="G109" s="2" t="s">
        <v>8583</v>
      </c>
      <c r="H109" s="2" t="e">
        <f aca="false">VLOOKUP(A109,'[1]NE red list'!A$1:H$1048576,5,FALSE())</f>
        <v>#N/A</v>
      </c>
      <c r="I109" s="2" t="s">
        <v>8645</v>
      </c>
      <c r="J109" s="2" t="s">
        <v>9119</v>
      </c>
      <c r="L109" s="2" t="s">
        <v>8677</v>
      </c>
      <c r="N109" s="2" t="str">
        <f aca="false">_xlfn.CONCAT(Q109," ",R109," ",S109)</f>
        <v>woodland parkland </v>
      </c>
      <c r="O109" s="3" t="s">
        <v>14</v>
      </c>
      <c r="P109" s="2" t="s">
        <v>8587</v>
      </c>
      <c r="Q109" s="2" t="s">
        <v>16</v>
      </c>
      <c r="R109" s="2" t="s">
        <v>8568</v>
      </c>
      <c r="T109" s="2"/>
      <c r="U109" s="2" t="s">
        <v>8570</v>
      </c>
      <c r="V109" s="2" t="s">
        <v>9120</v>
      </c>
      <c r="W109" s="2" t="s">
        <v>8571</v>
      </c>
      <c r="X109" s="2" t="s">
        <v>8625</v>
      </c>
      <c r="Z109" s="2" t="s">
        <v>8614</v>
      </c>
      <c r="AG109" s="7" t="s">
        <v>8824</v>
      </c>
      <c r="AN109" s="8" t="s">
        <v>8638</v>
      </c>
      <c r="AS109" s="2"/>
      <c r="AV109" s="11"/>
      <c r="BI109" s="2" t="s">
        <v>8590</v>
      </c>
      <c r="BL109" s="2" t="s">
        <v>8591</v>
      </c>
      <c r="BO109" s="2"/>
      <c r="MJM109" s="2"/>
    </row>
    <row r="110" customFormat="false" ht="19.5" hidden="false" customHeight="true" outlineLevel="0" collapsed="false">
      <c r="A110" s="2" t="s">
        <v>9121</v>
      </c>
      <c r="C110" s="2" t="str">
        <f aca="false">_xlfn.CONCAT(A110, " ","(",B110,")")</f>
        <v>Cerylon ferrugineum ()</v>
      </c>
      <c r="D110" s="2" t="s">
        <v>8580</v>
      </c>
      <c r="E110" s="2" t="s">
        <v>8581</v>
      </c>
      <c r="F110" s="35" t="s">
        <v>9118</v>
      </c>
      <c r="G110" s="2" t="s">
        <v>8737</v>
      </c>
      <c r="H110" s="2" t="e">
        <f aca="false">VLOOKUP(A110,'[1]NE red list'!A$1:H$1048576,5,FALSE())</f>
        <v>#N/A</v>
      </c>
      <c r="I110" s="2" t="s">
        <v>8645</v>
      </c>
      <c r="J110" s="2" t="s">
        <v>9122</v>
      </c>
      <c r="L110" s="2" t="s">
        <v>8677</v>
      </c>
      <c r="N110" s="2" t="str">
        <f aca="false">_xlfn.CONCAT(Q110," ",R110," ",S110)</f>
        <v>woodland parkland </v>
      </c>
      <c r="O110" s="3" t="s">
        <v>14</v>
      </c>
      <c r="P110" s="2" t="s">
        <v>8587</v>
      </c>
      <c r="Q110" s="2" t="s">
        <v>16</v>
      </c>
      <c r="R110" s="2" t="s">
        <v>8568</v>
      </c>
      <c r="T110" s="2"/>
      <c r="U110" s="2" t="s">
        <v>8570</v>
      </c>
      <c r="W110" s="2" t="s">
        <v>8567</v>
      </c>
      <c r="X110" s="2" t="s">
        <v>8625</v>
      </c>
      <c r="Z110" s="2" t="s">
        <v>8574</v>
      </c>
      <c r="AG110" s="7" t="s">
        <v>8824</v>
      </c>
      <c r="AN110" s="8" t="s">
        <v>8638</v>
      </c>
      <c r="AS110" s="2"/>
      <c r="AV110" s="11"/>
      <c r="BI110" s="2" t="s">
        <v>8590</v>
      </c>
      <c r="BJ110" s="2" t="s">
        <v>8601</v>
      </c>
      <c r="BL110" s="2" t="s">
        <v>8591</v>
      </c>
      <c r="BO110" s="2"/>
      <c r="MJM110" s="2"/>
    </row>
    <row r="111" customFormat="false" ht="19.5" hidden="false" customHeight="true" outlineLevel="0" collapsed="false">
      <c r="A111" s="2" t="s">
        <v>9123</v>
      </c>
      <c r="C111" s="2" t="str">
        <f aca="false">_xlfn.CONCAT(A111, " ","(",B111,")")</f>
        <v>Cerylon histeroides ()</v>
      </c>
      <c r="D111" s="2" t="s">
        <v>8580</v>
      </c>
      <c r="E111" s="2" t="s">
        <v>8581</v>
      </c>
      <c r="F111" s="35" t="s">
        <v>9118</v>
      </c>
      <c r="G111" s="2" t="s">
        <v>8737</v>
      </c>
      <c r="H111" s="2" t="e">
        <f aca="false">VLOOKUP(A111,'[1]NE red list'!A$1:H$1048576,5,FALSE())</f>
        <v>#N/A</v>
      </c>
      <c r="I111" s="2" t="s">
        <v>8645</v>
      </c>
      <c r="J111" s="2" t="s">
        <v>9124</v>
      </c>
      <c r="L111" s="2" t="s">
        <v>8677</v>
      </c>
      <c r="N111" s="2" t="str">
        <f aca="false">_xlfn.CONCAT(Q111," ",R111," ",S111)</f>
        <v>woodland parkland </v>
      </c>
      <c r="O111" s="3" t="s">
        <v>14</v>
      </c>
      <c r="P111" s="2" t="s">
        <v>8587</v>
      </c>
      <c r="Q111" s="2" t="s">
        <v>16</v>
      </c>
      <c r="R111" s="2" t="s">
        <v>8568</v>
      </c>
      <c r="T111" s="2"/>
      <c r="U111" s="2" t="s">
        <v>8605</v>
      </c>
      <c r="W111" s="2" t="s">
        <v>8567</v>
      </c>
      <c r="X111" s="2" t="s">
        <v>8625</v>
      </c>
      <c r="Y111" s="2" t="s">
        <v>8573</v>
      </c>
      <c r="Z111" s="2" t="s">
        <v>8574</v>
      </c>
      <c r="AB111" s="5" t="s">
        <v>8672</v>
      </c>
      <c r="AG111" s="7" t="s">
        <v>8824</v>
      </c>
      <c r="AN111" s="8" t="s">
        <v>8638</v>
      </c>
      <c r="AS111" s="2"/>
      <c r="AV111" s="11"/>
      <c r="BI111" s="2" t="s">
        <v>8590</v>
      </c>
      <c r="BL111" s="2" t="s">
        <v>8591</v>
      </c>
      <c r="BO111" s="2"/>
      <c r="MJM111" s="2"/>
    </row>
    <row r="112" customFormat="false" ht="19.5" hidden="false" customHeight="true" outlineLevel="0" collapsed="false">
      <c r="A112" s="1" t="s">
        <v>9125</v>
      </c>
      <c r="B112" s="2" t="s">
        <v>8992</v>
      </c>
      <c r="C112" s="2" t="str">
        <f aca="false">_xlfn.CONCAT(A112, " ","(",B112,")")</f>
        <v>Chaenotheca gracilenta (a lichen)</v>
      </c>
      <c r="D112" s="2" t="s">
        <v>8892</v>
      </c>
      <c r="E112" s="2" t="s">
        <v>8892</v>
      </c>
      <c r="F112" s="2" t="s">
        <v>8892</v>
      </c>
      <c r="G112" s="2" t="s">
        <v>8776</v>
      </c>
      <c r="H112" s="2" t="str">
        <f aca="false">VLOOKUP(A112,'[1]NE red list'!A$1:H$1048576,5,FALSE())</f>
        <v>EN</v>
      </c>
      <c r="I112" s="2" t="s">
        <v>8994</v>
      </c>
      <c r="J112" s="2" t="s">
        <v>9126</v>
      </c>
      <c r="K112" s="2" t="s">
        <v>8858</v>
      </c>
      <c r="L112" s="2" t="s">
        <v>8896</v>
      </c>
      <c r="N112" s="2" t="str">
        <f aca="false">_xlfn.CONCAT(Q112," ",R112," ",S112)</f>
        <v>woodland  </v>
      </c>
      <c r="O112" s="2"/>
      <c r="P112" s="2" t="s">
        <v>8567</v>
      </c>
      <c r="Q112" s="2" t="s">
        <v>16</v>
      </c>
      <c r="T112" s="2"/>
      <c r="U112" s="2" t="s">
        <v>8570</v>
      </c>
      <c r="V112" s="2" t="s">
        <v>9127</v>
      </c>
      <c r="W112" s="2" t="s">
        <v>8567</v>
      </c>
      <c r="X112" s="2" t="s">
        <v>9009</v>
      </c>
      <c r="Z112" s="2" t="s">
        <v>8694</v>
      </c>
      <c r="AA112" s="4" t="s">
        <v>26</v>
      </c>
      <c r="AC112" s="6" t="s">
        <v>30</v>
      </c>
      <c r="AM112" s="4" t="s">
        <v>8657</v>
      </c>
      <c r="AN112" s="8" t="s">
        <v>8858</v>
      </c>
      <c r="AR112" s="8" t="s">
        <v>43</v>
      </c>
      <c r="AS112" s="2"/>
      <c r="AV112" s="11"/>
      <c r="BC112" s="2" t="s">
        <v>8600</v>
      </c>
      <c r="BD112" s="2" t="s">
        <v>8793</v>
      </c>
      <c r="BG112" s="2" t="s">
        <v>8900</v>
      </c>
      <c r="BK112" s="2" t="s">
        <v>8578</v>
      </c>
      <c r="BL112" s="2" t="s">
        <v>8578</v>
      </c>
      <c r="BO112" s="2"/>
      <c r="MJM112" s="2"/>
    </row>
    <row r="113" s="8" customFormat="true" ht="19.5" hidden="false" customHeight="true" outlineLevel="0" collapsed="false">
      <c r="A113" s="33" t="s">
        <v>9128</v>
      </c>
      <c r="B113" s="33"/>
      <c r="C113" s="2" t="str">
        <f aca="false">_xlfn.CONCAT(A113, " ","(",B113,")")</f>
        <v>Chaenothecopsis viridireagens ()</v>
      </c>
      <c r="D113" s="33" t="s">
        <v>8892</v>
      </c>
      <c r="E113" s="33" t="s">
        <v>8892</v>
      </c>
      <c r="F113" s="2" t="s">
        <v>8892</v>
      </c>
      <c r="G113" s="2" t="s">
        <v>8902</v>
      </c>
      <c r="H113" s="2" t="str">
        <f aca="false">VLOOKUP(A113,'[1]NE red list'!A$1:H$1048576,5,FALSE())</f>
        <v>NT</v>
      </c>
      <c r="I113" s="33" t="s">
        <v>9129</v>
      </c>
      <c r="J113" s="33" t="s">
        <v>9130</v>
      </c>
      <c r="K113" s="33"/>
      <c r="L113" s="33"/>
      <c r="M113" s="2"/>
      <c r="N113" s="2" t="str">
        <f aca="false">_xlfn.CONCAT(Q113," ",R113," ",S113)</f>
        <v>woodland  </v>
      </c>
      <c r="O113" s="33"/>
      <c r="P113" s="33"/>
      <c r="Q113" s="52" t="s">
        <v>16</v>
      </c>
      <c r="R113" s="52"/>
      <c r="S113" s="2"/>
      <c r="T113" s="33"/>
      <c r="U113" s="2" t="s">
        <v>8570</v>
      </c>
      <c r="V113" s="52"/>
      <c r="W113" s="33"/>
      <c r="X113" s="33"/>
      <c r="Y113" s="33"/>
      <c r="Z113" s="33"/>
      <c r="AA113" s="38"/>
      <c r="AB113" s="6"/>
      <c r="AC113" s="40"/>
      <c r="AD113" s="40"/>
      <c r="AE113" s="40"/>
      <c r="AF113" s="6"/>
      <c r="AG113" s="7"/>
      <c r="AH113" s="7"/>
      <c r="AI113" s="7"/>
      <c r="AJ113" s="7"/>
      <c r="AK113" s="7"/>
      <c r="AL113" s="7"/>
      <c r="AM113" s="4" t="s">
        <v>8657</v>
      </c>
      <c r="AO113" s="31"/>
      <c r="AQ113" s="8" t="s">
        <v>42</v>
      </c>
      <c r="AR113" s="8" t="s">
        <v>43</v>
      </c>
      <c r="AS113" s="2"/>
      <c r="AU113" s="4" t="s">
        <v>8639</v>
      </c>
      <c r="AV113" s="10"/>
      <c r="AW113" s="11" t="s">
        <v>8725</v>
      </c>
      <c r="AX113" s="53"/>
      <c r="AY113" s="54"/>
      <c r="AZ113" s="54"/>
      <c r="BN113" s="8" t="s">
        <v>8619</v>
      </c>
    </row>
    <row r="114" customFormat="false" ht="19.5" hidden="false" customHeight="true" outlineLevel="0" collapsed="false">
      <c r="A114" s="2" t="s">
        <v>9131</v>
      </c>
      <c r="C114" s="2" t="str">
        <f aca="false">_xlfn.CONCAT(A114, " ","(",B114,")")</f>
        <v>Chernes cimicoides ()</v>
      </c>
      <c r="D114" s="2" t="s">
        <v>8728</v>
      </c>
      <c r="E114" s="2" t="s">
        <v>9132</v>
      </c>
      <c r="F114" s="30" t="s">
        <v>9133</v>
      </c>
      <c r="H114" s="2" t="e">
        <f aca="false">VLOOKUP(A114,'[1]NE red list'!A$1:H$1048576,5,FALSE())</f>
        <v>#N/A</v>
      </c>
      <c r="I114" s="2" t="s">
        <v>8743</v>
      </c>
      <c r="J114" s="33" t="s">
        <v>9134</v>
      </c>
      <c r="K114" s="2" t="s">
        <v>8683</v>
      </c>
      <c r="L114" s="2" t="s">
        <v>8665</v>
      </c>
      <c r="N114" s="2" t="str">
        <f aca="false">_xlfn.CONCAT(Q114," ",R114," ",S114)</f>
        <v>woodland parkland </v>
      </c>
      <c r="O114" s="3" t="s">
        <v>14</v>
      </c>
      <c r="P114" s="2" t="s">
        <v>8567</v>
      </c>
      <c r="Q114" s="2" t="s">
        <v>16</v>
      </c>
      <c r="R114" s="2" t="s">
        <v>8568</v>
      </c>
      <c r="T114" s="2"/>
      <c r="U114" s="2" t="s">
        <v>8570</v>
      </c>
      <c r="V114" s="2" t="s">
        <v>8828</v>
      </c>
      <c r="W114" s="2" t="s">
        <v>8571</v>
      </c>
      <c r="X114" s="2" t="s">
        <v>8625</v>
      </c>
      <c r="Y114" s="2" t="s">
        <v>8573</v>
      </c>
      <c r="Z114" s="2" t="s">
        <v>8574</v>
      </c>
      <c r="AG114" s="7" t="s">
        <v>8575</v>
      </c>
      <c r="AI114" s="7" t="s">
        <v>8617</v>
      </c>
      <c r="AN114" s="8" t="s">
        <v>8829</v>
      </c>
      <c r="AS114" s="2"/>
      <c r="AV114" s="11"/>
      <c r="BI114" s="2" t="s">
        <v>8590</v>
      </c>
      <c r="BL114" s="2" t="s">
        <v>8591</v>
      </c>
      <c r="BO114" s="2"/>
      <c r="MJM114" s="2"/>
    </row>
    <row r="115" customFormat="false" ht="19.5" hidden="false" customHeight="true" outlineLevel="0" collapsed="false">
      <c r="A115" s="2" t="s">
        <v>9135</v>
      </c>
      <c r="C115" s="2" t="str">
        <f aca="false">_xlfn.CONCAT(A115, " ","(",B115,")")</f>
        <v>Dropephylla gracilicornis ()</v>
      </c>
      <c r="D115" s="2" t="s">
        <v>8580</v>
      </c>
      <c r="E115" s="2" t="s">
        <v>8581</v>
      </c>
      <c r="F115" s="2" t="s">
        <v>8652</v>
      </c>
      <c r="G115" s="2" t="s">
        <v>8583</v>
      </c>
      <c r="H115" s="2" t="e">
        <f aca="false">VLOOKUP(A115,'[1]NE red list'!A$1:H$1048576,5,FALSE())</f>
        <v>#N/A</v>
      </c>
      <c r="I115" s="2" t="s">
        <v>9136</v>
      </c>
      <c r="J115" s="2" t="s">
        <v>9137</v>
      </c>
      <c r="L115" s="2" t="s">
        <v>8665</v>
      </c>
      <c r="N115" s="2" t="str">
        <f aca="false">_xlfn.CONCAT(Q115," ",R115," ",S115)</f>
        <v>woodland parkland </v>
      </c>
      <c r="O115" s="3" t="s">
        <v>14</v>
      </c>
      <c r="P115" s="2"/>
      <c r="Q115" s="2" t="s">
        <v>16</v>
      </c>
      <c r="R115" s="2" t="s">
        <v>8568</v>
      </c>
      <c r="T115" s="2"/>
      <c r="U115" s="2" t="s">
        <v>8570</v>
      </c>
      <c r="V115" s="2" t="s">
        <v>8745</v>
      </c>
      <c r="X115" s="2" t="s">
        <v>8597</v>
      </c>
      <c r="Z115" s="2" t="s">
        <v>8574</v>
      </c>
      <c r="AG115" s="7" t="s">
        <v>8824</v>
      </c>
      <c r="AN115" s="8" t="s">
        <v>8638</v>
      </c>
      <c r="AS115" s="2" t="s">
        <v>8599</v>
      </c>
      <c r="AV115" s="11"/>
      <c r="BI115" s="2" t="s">
        <v>8590</v>
      </c>
      <c r="BJ115" s="2" t="s">
        <v>8747</v>
      </c>
      <c r="BL115" s="2" t="s">
        <v>8591</v>
      </c>
      <c r="BO115" s="2"/>
      <c r="MJM115" s="2"/>
    </row>
    <row r="116" customFormat="false" ht="19.5" hidden="false" customHeight="true" outlineLevel="0" collapsed="false">
      <c r="A116" s="2" t="s">
        <v>9138</v>
      </c>
      <c r="C116" s="2" t="str">
        <f aca="false">_xlfn.CONCAT(A116, " ","(",B116,")")</f>
        <v>Choragus sheppardi ()</v>
      </c>
      <c r="D116" s="2" t="s">
        <v>8580</v>
      </c>
      <c r="E116" s="2" t="s">
        <v>8581</v>
      </c>
      <c r="F116" s="35" t="s">
        <v>9139</v>
      </c>
      <c r="G116" s="2" t="s">
        <v>8583</v>
      </c>
      <c r="H116" s="2" t="e">
        <f aca="false">VLOOKUP(A116,'[1]NE red list'!A$1:H$1048576,5,FALSE())</f>
        <v>#N/A</v>
      </c>
      <c r="I116" s="2" t="s">
        <v>8622</v>
      </c>
      <c r="J116" s="2" t="s">
        <v>9140</v>
      </c>
      <c r="K116" s="2" t="s">
        <v>9141</v>
      </c>
      <c r="L116" s="2" t="s">
        <v>8677</v>
      </c>
      <c r="N116" s="2" t="str">
        <f aca="false">_xlfn.CONCAT(Q116," ",R116," ",S116)</f>
        <v>woodland  ToW</v>
      </c>
      <c r="O116" s="2" t="s">
        <v>14</v>
      </c>
      <c r="P116" s="2"/>
      <c r="Q116" s="2" t="s">
        <v>16</v>
      </c>
      <c r="S116" s="2" t="s">
        <v>18</v>
      </c>
      <c r="T116" s="2"/>
      <c r="U116" s="2" t="s">
        <v>8570</v>
      </c>
      <c r="W116" s="2" t="s">
        <v>8567</v>
      </c>
      <c r="X116" s="2" t="s">
        <v>8625</v>
      </c>
      <c r="Z116" s="2" t="s">
        <v>8574</v>
      </c>
      <c r="AG116" s="7" t="s">
        <v>8824</v>
      </c>
      <c r="AS116" s="2"/>
      <c r="AU116" s="4" t="s">
        <v>8639</v>
      </c>
      <c r="AV116" s="11"/>
      <c r="AW116" s="11" t="s">
        <v>8640</v>
      </c>
      <c r="AX116" s="4" t="s">
        <v>8607</v>
      </c>
      <c r="BC116" s="2" t="s">
        <v>8600</v>
      </c>
      <c r="BG116" s="2" t="s">
        <v>8900</v>
      </c>
      <c r="BI116" s="2" t="s">
        <v>8590</v>
      </c>
      <c r="BL116" s="2" t="s">
        <v>8591</v>
      </c>
      <c r="BO116" s="2"/>
      <c r="MJM116" s="2"/>
    </row>
    <row r="117" s="8" customFormat="true" ht="19.5" hidden="false" customHeight="true" outlineLevel="0" collapsed="false">
      <c r="A117" s="1" t="s">
        <v>9142</v>
      </c>
      <c r="B117" s="2" t="s">
        <v>9143</v>
      </c>
      <c r="C117" s="2" t="str">
        <f aca="false">_xlfn.CONCAT(A117, " ","(",B117,")")</f>
        <v>Chrysopilus laetus (Tree Snipefly)</v>
      </c>
      <c r="D117" s="2" t="s">
        <v>8580</v>
      </c>
      <c r="E117" s="2" t="s">
        <v>8687</v>
      </c>
      <c r="F117" s="2" t="s">
        <v>9144</v>
      </c>
      <c r="G117" s="2" t="s">
        <v>8583</v>
      </c>
      <c r="H117" s="2" t="str">
        <f aca="false">VLOOKUP(A117,'[1]NE red list'!A$1:H$1048576,5,FALSE())</f>
        <v>NT</v>
      </c>
      <c r="I117" s="2" t="s">
        <v>8945</v>
      </c>
      <c r="J117" s="2" t="s">
        <v>9145</v>
      </c>
      <c r="K117" s="2"/>
      <c r="L117" s="2" t="s">
        <v>8836</v>
      </c>
      <c r="M117" s="2"/>
      <c r="N117" s="2" t="str">
        <f aca="false">_xlfn.CONCAT(Q117," ",R117," ",S117)</f>
        <v> parkland </v>
      </c>
      <c r="O117" s="3" t="s">
        <v>14</v>
      </c>
      <c r="P117" s="2" t="s">
        <v>8587</v>
      </c>
      <c r="Q117" s="2"/>
      <c r="R117" s="2" t="s">
        <v>8568</v>
      </c>
      <c r="S117" s="2"/>
      <c r="T117" s="2"/>
      <c r="U117" s="2" t="s">
        <v>8570</v>
      </c>
      <c r="V117" s="2" t="s">
        <v>9038</v>
      </c>
      <c r="W117" s="2" t="s">
        <v>8587</v>
      </c>
      <c r="X117" s="2" t="s">
        <v>8741</v>
      </c>
      <c r="Y117" s="2" t="s">
        <v>8573</v>
      </c>
      <c r="Z117" s="2" t="s">
        <v>8574</v>
      </c>
      <c r="AA117" s="4" t="s">
        <v>26</v>
      </c>
      <c r="AB117" s="5"/>
      <c r="AC117" s="6"/>
      <c r="AD117" s="6" t="s">
        <v>9044</v>
      </c>
      <c r="AE117" s="6"/>
      <c r="AF117" s="6" t="s">
        <v>9045</v>
      </c>
      <c r="AG117" s="7" t="s">
        <v>8575</v>
      </c>
      <c r="AH117" s="7"/>
      <c r="AI117" s="7" t="s">
        <v>8617</v>
      </c>
      <c r="AJ117" s="7"/>
      <c r="AK117" s="7" t="s">
        <v>8780</v>
      </c>
      <c r="AL117" s="7" t="s">
        <v>9077</v>
      </c>
      <c r="AM117" s="4"/>
      <c r="AS117" s="2" t="s">
        <v>8599</v>
      </c>
      <c r="AU117" s="4"/>
      <c r="AV117" s="11"/>
      <c r="AW117" s="11"/>
      <c r="AX117" s="4"/>
      <c r="AY117" s="12"/>
      <c r="AZ117" s="12"/>
      <c r="BI117" s="2" t="s">
        <v>8590</v>
      </c>
      <c r="BL117" s="8" t="s">
        <v>8591</v>
      </c>
    </row>
    <row r="118" customFormat="false" ht="19.5" hidden="false" customHeight="true" outlineLevel="0" collapsed="false">
      <c r="A118" s="2" t="s">
        <v>9146</v>
      </c>
      <c r="C118" s="2" t="str">
        <f aca="false">_xlfn.CONCAT(A118, " ","(",B118,")")</f>
        <v>Chrysothrix candalaris  ()</v>
      </c>
      <c r="D118" s="2" t="s">
        <v>8892</v>
      </c>
      <c r="E118" s="2" t="s">
        <v>8892</v>
      </c>
      <c r="F118" s="2" t="s">
        <v>8892</v>
      </c>
      <c r="G118" s="2" t="s">
        <v>8841</v>
      </c>
      <c r="H118" s="2" t="e">
        <f aca="false">VLOOKUP(A118,'[1]NE red list'!A$1:H$1048576,5,FALSE())</f>
        <v>#N/A</v>
      </c>
      <c r="I118" s="2" t="s">
        <v>8645</v>
      </c>
      <c r="J118" s="33" t="s">
        <v>9147</v>
      </c>
      <c r="L118" s="2" t="s">
        <v>8896</v>
      </c>
      <c r="M118" s="2" t="s">
        <v>9148</v>
      </c>
      <c r="N118" s="2" t="str">
        <f aca="false">_xlfn.CONCAT(Q118," ",R118," ",S118)</f>
        <v>woodland  </v>
      </c>
      <c r="O118" s="2"/>
      <c r="P118" s="2"/>
      <c r="Q118" s="2" t="s">
        <v>16</v>
      </c>
      <c r="T118" s="2"/>
      <c r="U118" s="2" t="s">
        <v>8570</v>
      </c>
      <c r="V118" s="2" t="s">
        <v>9149</v>
      </c>
      <c r="X118" s="2" t="s">
        <v>8589</v>
      </c>
      <c r="AM118" s="4" t="s">
        <v>8657</v>
      </c>
      <c r="AN118" s="8" t="s">
        <v>9150</v>
      </c>
      <c r="AQ118" s="8" t="s">
        <v>42</v>
      </c>
      <c r="AR118" s="8" t="s">
        <v>43</v>
      </c>
      <c r="AS118" s="2"/>
      <c r="AV118" s="11"/>
      <c r="BC118" s="2" t="s">
        <v>8600</v>
      </c>
      <c r="BO118" s="2"/>
      <c r="MJM118" s="2"/>
    </row>
    <row r="119" customFormat="false" ht="19.5" hidden="false" customHeight="true" outlineLevel="0" collapsed="false">
      <c r="A119" s="2" t="s">
        <v>9151</v>
      </c>
      <c r="C119" s="2" t="str">
        <f aca="false">_xlfn.CONCAT(A119, " ","(",B119,")")</f>
        <v>Cicones undatus ()</v>
      </c>
      <c r="D119" s="2" t="s">
        <v>8580</v>
      </c>
      <c r="E119" s="2" t="s">
        <v>8581</v>
      </c>
      <c r="F119" s="35" t="s">
        <v>8937</v>
      </c>
      <c r="H119" s="2" t="str">
        <f aca="false">VLOOKUP(A119,'[1]NE red list'!A$1:H$1048576,5,FALSE())</f>
        <v>LC</v>
      </c>
      <c r="I119" s="2" t="s">
        <v>8714</v>
      </c>
      <c r="J119" s="2" t="s">
        <v>9152</v>
      </c>
      <c r="K119" s="2" t="s">
        <v>9153</v>
      </c>
      <c r="L119" s="2" t="s">
        <v>8677</v>
      </c>
      <c r="N119" s="2" t="str">
        <f aca="false">_xlfn.CONCAT(Q119," ",R119," ",S119)</f>
        <v>woodland  ToW</v>
      </c>
      <c r="O119" s="2" t="s">
        <v>14</v>
      </c>
      <c r="P119" s="2"/>
      <c r="Q119" s="2" t="s">
        <v>16</v>
      </c>
      <c r="S119" s="2" t="s">
        <v>18</v>
      </c>
      <c r="T119" s="2"/>
      <c r="U119" s="2" t="s">
        <v>8570</v>
      </c>
      <c r="V119" s="2" t="s">
        <v>9154</v>
      </c>
      <c r="Z119" s="2" t="s">
        <v>8694</v>
      </c>
      <c r="AG119" s="7" t="s">
        <v>8824</v>
      </c>
      <c r="AN119" s="8" t="s">
        <v>8858</v>
      </c>
      <c r="AP119" s="55"/>
      <c r="AQ119" s="55"/>
      <c r="AS119" s="2"/>
      <c r="AV119" s="11"/>
      <c r="AX119" s="4" t="s">
        <v>8607</v>
      </c>
      <c r="AZ119" s="12" t="s">
        <v>8607</v>
      </c>
      <c r="BI119" s="2" t="s">
        <v>8590</v>
      </c>
      <c r="BL119" s="2" t="s">
        <v>8591</v>
      </c>
      <c r="BO119" s="2"/>
      <c r="MJM119" s="2"/>
    </row>
    <row r="120" customFormat="false" ht="19.5" hidden="false" customHeight="true" outlineLevel="0" collapsed="false">
      <c r="A120" s="2" t="s">
        <v>9155</v>
      </c>
      <c r="C120" s="2" t="str">
        <f aca="false">_xlfn.CONCAT(A120, " ","(",B120,")")</f>
        <v>Cis bidentatus ()</v>
      </c>
      <c r="D120" s="2" t="s">
        <v>8580</v>
      </c>
      <c r="E120" s="2" t="s">
        <v>8581</v>
      </c>
      <c r="F120" s="35" t="s">
        <v>9059</v>
      </c>
      <c r="G120" s="2" t="s">
        <v>8737</v>
      </c>
      <c r="H120" s="2" t="e">
        <f aca="false">VLOOKUP(A120,'[1]NE red list'!A$1:H$1048576,5,FALSE())</f>
        <v>#N/A</v>
      </c>
      <c r="I120" s="56" t="s">
        <v>8645</v>
      </c>
      <c r="J120" s="2" t="s">
        <v>9156</v>
      </c>
      <c r="K120" s="2" t="s">
        <v>8585</v>
      </c>
      <c r="L120" s="2" t="s">
        <v>8677</v>
      </c>
      <c r="N120" s="2" t="str">
        <f aca="false">_xlfn.CONCAT(Q120," ",R120," ",S120)</f>
        <v>woodland parkland </v>
      </c>
      <c r="O120" s="3" t="s">
        <v>14</v>
      </c>
      <c r="P120" s="2"/>
      <c r="Q120" s="2" t="s">
        <v>16</v>
      </c>
      <c r="R120" s="2" t="s">
        <v>8568</v>
      </c>
      <c r="T120" s="2"/>
      <c r="U120" s="2" t="s">
        <v>8570</v>
      </c>
      <c r="V120" s="2" t="s">
        <v>8763</v>
      </c>
      <c r="AS120" s="2"/>
      <c r="AV120" s="11"/>
      <c r="AX120" s="4" t="s">
        <v>8585</v>
      </c>
      <c r="AY120" s="12" t="s">
        <v>8585</v>
      </c>
      <c r="BI120" s="2" t="s">
        <v>8590</v>
      </c>
      <c r="BJ120" s="2" t="s">
        <v>8747</v>
      </c>
      <c r="BL120" s="2" t="s">
        <v>8591</v>
      </c>
      <c r="BO120" s="2"/>
      <c r="MJM120" s="2"/>
    </row>
    <row r="121" customFormat="false" ht="19.5" hidden="false" customHeight="true" outlineLevel="0" collapsed="false">
      <c r="A121" s="2" t="s">
        <v>9157</v>
      </c>
      <c r="C121" s="2" t="str">
        <f aca="false">_xlfn.CONCAT(A121, " ","(",B121,")")</f>
        <v>Cis bilamellatus ()</v>
      </c>
      <c r="D121" s="2" t="s">
        <v>8580</v>
      </c>
      <c r="E121" s="2" t="s">
        <v>8581</v>
      </c>
      <c r="F121" s="35" t="s">
        <v>9059</v>
      </c>
      <c r="G121" s="2" t="s">
        <v>8737</v>
      </c>
      <c r="H121" s="2" t="e">
        <f aca="false">VLOOKUP(A121,'[1]NE red list'!A$1:H$1048576,5,FALSE())</f>
        <v>#N/A</v>
      </c>
      <c r="I121" s="2" t="s">
        <v>8645</v>
      </c>
      <c r="J121" s="2" t="s">
        <v>9158</v>
      </c>
      <c r="K121" s="2" t="s">
        <v>8585</v>
      </c>
      <c r="L121" s="2" t="s">
        <v>8677</v>
      </c>
      <c r="N121" s="2" t="str">
        <f aca="false">_xlfn.CONCAT(Q121," ",R121," ",S121)</f>
        <v>woodland parkland </v>
      </c>
      <c r="O121" s="3" t="s">
        <v>14</v>
      </c>
      <c r="P121" s="2"/>
      <c r="Q121" s="2" t="s">
        <v>16</v>
      </c>
      <c r="R121" s="2" t="s">
        <v>8568</v>
      </c>
      <c r="T121" s="2"/>
      <c r="U121" s="2" t="s">
        <v>8570</v>
      </c>
      <c r="V121" s="2" t="s">
        <v>8763</v>
      </c>
      <c r="AS121" s="2"/>
      <c r="AV121" s="11"/>
      <c r="AX121" s="4" t="s">
        <v>8585</v>
      </c>
      <c r="AY121" s="12" t="s">
        <v>8585</v>
      </c>
      <c r="BI121" s="2" t="s">
        <v>8590</v>
      </c>
      <c r="BJ121" s="2" t="s">
        <v>8630</v>
      </c>
      <c r="BL121" s="2" t="s">
        <v>8591</v>
      </c>
      <c r="BO121" s="2"/>
      <c r="MJM121" s="2"/>
    </row>
    <row r="122" customFormat="false" ht="19.5" hidden="false" customHeight="true" outlineLevel="0" collapsed="false">
      <c r="A122" s="2" t="s">
        <v>9159</v>
      </c>
      <c r="C122" s="2" t="str">
        <f aca="false">_xlfn.CONCAT(A122, " ","(",B122,")")</f>
        <v>Cis boleti ()</v>
      </c>
      <c r="D122" s="2" t="s">
        <v>8580</v>
      </c>
      <c r="E122" s="2" t="s">
        <v>8581</v>
      </c>
      <c r="F122" s="35" t="s">
        <v>9059</v>
      </c>
      <c r="G122" s="2" t="s">
        <v>8737</v>
      </c>
      <c r="H122" s="2" t="e">
        <f aca="false">VLOOKUP(A122,'[1]NE red list'!A$1:H$1048576,5,FALSE())</f>
        <v>#N/A</v>
      </c>
      <c r="I122" s="2" t="s">
        <v>8645</v>
      </c>
      <c r="J122" s="2" t="s">
        <v>9160</v>
      </c>
      <c r="K122" s="2" t="s">
        <v>8585</v>
      </c>
      <c r="L122" s="2" t="s">
        <v>8677</v>
      </c>
      <c r="N122" s="2" t="str">
        <f aca="false">_xlfn.CONCAT(Q122," ",R122," ",S122)</f>
        <v>woodland parkland </v>
      </c>
      <c r="O122" s="3" t="s">
        <v>14</v>
      </c>
      <c r="P122" s="2"/>
      <c r="Q122" s="2" t="s">
        <v>16</v>
      </c>
      <c r="R122" s="2" t="s">
        <v>8568</v>
      </c>
      <c r="T122" s="2"/>
      <c r="U122" s="2" t="s">
        <v>8570</v>
      </c>
      <c r="AS122" s="2"/>
      <c r="AV122" s="11"/>
      <c r="AX122" s="4" t="s">
        <v>8585</v>
      </c>
      <c r="AY122" s="12" t="s">
        <v>8585</v>
      </c>
      <c r="BI122" s="2" t="s">
        <v>8590</v>
      </c>
      <c r="BJ122" s="2" t="s">
        <v>8630</v>
      </c>
      <c r="BL122" s="2" t="s">
        <v>8591</v>
      </c>
      <c r="BO122" s="2"/>
      <c r="MJM122" s="2"/>
    </row>
    <row r="123" customFormat="false" ht="19.5" hidden="false" customHeight="true" outlineLevel="0" collapsed="false">
      <c r="A123" s="2" t="s">
        <v>9161</v>
      </c>
      <c r="C123" s="2" t="str">
        <f aca="false">_xlfn.CONCAT(A123, " ","(",B123,")")</f>
        <v>Ennearthron cornutum ()</v>
      </c>
      <c r="D123" s="2" t="s">
        <v>8580</v>
      </c>
      <c r="E123" s="2" t="s">
        <v>8581</v>
      </c>
      <c r="F123" s="2" t="s">
        <v>9059</v>
      </c>
      <c r="G123" s="2" t="s">
        <v>8737</v>
      </c>
      <c r="H123" s="2" t="e">
        <f aca="false">VLOOKUP(A123,'[1]NE red list'!A$1:H$1048576,5,FALSE())</f>
        <v>#N/A</v>
      </c>
      <c r="I123" s="2" t="s">
        <v>8645</v>
      </c>
      <c r="J123" s="2" t="s">
        <v>9162</v>
      </c>
      <c r="K123" s="2" t="s">
        <v>8585</v>
      </c>
      <c r="L123" s="2" t="s">
        <v>8677</v>
      </c>
      <c r="N123" s="2" t="str">
        <f aca="false">_xlfn.CONCAT(Q123," ",R123," ",S123)</f>
        <v>woodland  </v>
      </c>
      <c r="O123" s="2" t="s">
        <v>14</v>
      </c>
      <c r="P123" s="2"/>
      <c r="Q123" s="2" t="s">
        <v>16</v>
      </c>
      <c r="T123" s="2"/>
      <c r="U123" s="2" t="s">
        <v>8570</v>
      </c>
      <c r="V123" s="2" t="s">
        <v>8745</v>
      </c>
      <c r="AS123" s="2"/>
      <c r="AV123" s="11"/>
      <c r="AX123" s="4" t="s">
        <v>8585</v>
      </c>
      <c r="AY123" s="12" t="s">
        <v>8585</v>
      </c>
      <c r="BI123" s="2" t="s">
        <v>8590</v>
      </c>
      <c r="BJ123" s="2" t="s">
        <v>8773</v>
      </c>
      <c r="BL123" s="2" t="s">
        <v>8591</v>
      </c>
      <c r="BO123" s="2"/>
      <c r="MJM123" s="2"/>
    </row>
    <row r="124" customFormat="false" ht="19.5" hidden="false" customHeight="true" outlineLevel="0" collapsed="false">
      <c r="A124" s="2" t="s">
        <v>9163</v>
      </c>
      <c r="C124" s="2" t="str">
        <f aca="false">_xlfn.CONCAT(A124, " ","(",B124,")")</f>
        <v>Cis festivus ()</v>
      </c>
      <c r="D124" s="2" t="s">
        <v>8580</v>
      </c>
      <c r="E124" s="2" t="s">
        <v>8581</v>
      </c>
      <c r="F124" s="35" t="s">
        <v>9059</v>
      </c>
      <c r="G124" s="2" t="s">
        <v>8583</v>
      </c>
      <c r="H124" s="2" t="e">
        <f aca="false">VLOOKUP(A124,'[1]NE red list'!A$1:H$1048576,5,FALSE())</f>
        <v>#N/A</v>
      </c>
      <c r="I124" s="2" t="s">
        <v>8645</v>
      </c>
      <c r="J124" s="2" t="s">
        <v>9164</v>
      </c>
      <c r="K124" s="2" t="s">
        <v>8585</v>
      </c>
      <c r="L124" s="2" t="s">
        <v>8677</v>
      </c>
      <c r="N124" s="2" t="str">
        <f aca="false">_xlfn.CONCAT(Q124," ",R124," ",S124)</f>
        <v>woodland  ToW</v>
      </c>
      <c r="O124" s="2" t="s">
        <v>14</v>
      </c>
      <c r="P124" s="2"/>
      <c r="Q124" s="2" t="s">
        <v>16</v>
      </c>
      <c r="S124" s="2" t="s">
        <v>18</v>
      </c>
      <c r="T124" s="2"/>
      <c r="U124" s="2" t="s">
        <v>8570</v>
      </c>
      <c r="V124" s="2" t="s">
        <v>9165</v>
      </c>
      <c r="X124" s="2" t="s">
        <v>8597</v>
      </c>
      <c r="Y124" s="2" t="s">
        <v>8573</v>
      </c>
      <c r="Z124" s="2" t="s">
        <v>8614</v>
      </c>
      <c r="AG124" s="7" t="s">
        <v>8575</v>
      </c>
      <c r="AS124" s="2" t="s">
        <v>8599</v>
      </c>
      <c r="AV124" s="11"/>
      <c r="AX124" s="4" t="s">
        <v>8585</v>
      </c>
      <c r="AY124" s="12" t="s">
        <v>8585</v>
      </c>
      <c r="BI124" s="2" t="s">
        <v>8590</v>
      </c>
      <c r="BL124" s="2" t="s">
        <v>8591</v>
      </c>
      <c r="BO124" s="2"/>
      <c r="MJM124" s="2"/>
    </row>
    <row r="125" customFormat="false" ht="19.5" hidden="false" customHeight="true" outlineLevel="0" collapsed="false">
      <c r="A125" s="1" t="s">
        <v>9166</v>
      </c>
      <c r="B125" s="2" t="s">
        <v>9167</v>
      </c>
      <c r="C125" s="2" t="str">
        <f aca="false">_xlfn.CONCAT(A125, " ","(",B125,")")</f>
        <v>Cis hispidus (Cis savilli)</v>
      </c>
      <c r="D125" s="2" t="s">
        <v>8580</v>
      </c>
      <c r="E125" s="2" t="s">
        <v>8581</v>
      </c>
      <c r="F125" s="35" t="s">
        <v>9059</v>
      </c>
      <c r="H125" s="2" t="e">
        <f aca="false">VLOOKUP(A125,'[1]NE red list'!A$1:H$1048576,5,FALSE())</f>
        <v>#N/A</v>
      </c>
      <c r="I125" s="2" t="s">
        <v>8564</v>
      </c>
      <c r="J125" s="2" t="s">
        <v>9168</v>
      </c>
      <c r="K125" s="2" t="s">
        <v>8585</v>
      </c>
      <c r="L125" s="2" t="s">
        <v>8677</v>
      </c>
      <c r="N125" s="2" t="str">
        <f aca="false">_xlfn.CONCAT(Q125," ",R125," ",S125)</f>
        <v> parkland </v>
      </c>
      <c r="O125" s="3" t="s">
        <v>14</v>
      </c>
      <c r="P125" s="2"/>
      <c r="R125" s="2" t="s">
        <v>8568</v>
      </c>
      <c r="T125" s="2"/>
      <c r="U125" s="2" t="s">
        <v>8570</v>
      </c>
      <c r="X125" s="2" t="s">
        <v>8589</v>
      </c>
      <c r="AS125" s="2"/>
      <c r="AV125" s="11"/>
      <c r="AX125" s="4" t="s">
        <v>8585</v>
      </c>
      <c r="AY125" s="12" t="s">
        <v>8585</v>
      </c>
      <c r="BI125" s="2" t="s">
        <v>8590</v>
      </c>
      <c r="BJ125" s="2" t="s">
        <v>8601</v>
      </c>
      <c r="BL125" s="2" t="s">
        <v>8591</v>
      </c>
      <c r="BO125" s="2"/>
      <c r="MJM125" s="2"/>
    </row>
    <row r="126" customFormat="false" ht="19.5" hidden="false" customHeight="true" outlineLevel="0" collapsed="false">
      <c r="A126" s="2" t="s">
        <v>9169</v>
      </c>
      <c r="C126" s="2" t="str">
        <f aca="false">_xlfn.CONCAT(A126, " ","(",B126,")")</f>
        <v>Cis lineatocribratus ()</v>
      </c>
      <c r="D126" s="2" t="s">
        <v>8580</v>
      </c>
      <c r="E126" s="2" t="s">
        <v>8581</v>
      </c>
      <c r="F126" s="35" t="s">
        <v>9059</v>
      </c>
      <c r="G126" s="2" t="s">
        <v>8583</v>
      </c>
      <c r="H126" s="2" t="e">
        <f aca="false">VLOOKUP(A126,'[1]NE red list'!A$1:H$1048576,5,FALSE())</f>
        <v>#N/A</v>
      </c>
      <c r="I126" s="2" t="s">
        <v>9129</v>
      </c>
      <c r="J126" s="2" t="s">
        <v>9170</v>
      </c>
      <c r="K126" s="2" t="s">
        <v>8585</v>
      </c>
      <c r="L126" s="2" t="s">
        <v>8677</v>
      </c>
      <c r="N126" s="2" t="str">
        <f aca="false">_xlfn.CONCAT(Q126," ",R126," ",S126)</f>
        <v>woodland parkland </v>
      </c>
      <c r="O126" s="3" t="s">
        <v>14</v>
      </c>
      <c r="P126" s="2"/>
      <c r="Q126" s="2" t="s">
        <v>16</v>
      </c>
      <c r="R126" s="2" t="s">
        <v>8568</v>
      </c>
      <c r="T126" s="2"/>
      <c r="U126" s="2" t="s">
        <v>8570</v>
      </c>
      <c r="V126" s="2" t="s">
        <v>8763</v>
      </c>
      <c r="X126" s="2" t="s">
        <v>8625</v>
      </c>
      <c r="AS126" s="2"/>
      <c r="AV126" s="11"/>
      <c r="AX126" s="4" t="s">
        <v>8585</v>
      </c>
      <c r="AY126" s="12" t="s">
        <v>8585</v>
      </c>
      <c r="BI126" s="2" t="s">
        <v>8590</v>
      </c>
      <c r="BL126" s="2" t="s">
        <v>8591</v>
      </c>
      <c r="BO126" s="2"/>
      <c r="MJM126" s="2"/>
    </row>
    <row r="127" customFormat="false" ht="19.5" hidden="false" customHeight="true" outlineLevel="0" collapsed="false">
      <c r="A127" s="2" t="s">
        <v>9171</v>
      </c>
      <c r="C127" s="2" t="str">
        <f aca="false">_xlfn.CONCAT(A127, " ","(",B127,")")</f>
        <v>Euglenes oculatus ()</v>
      </c>
      <c r="D127" s="2" t="s">
        <v>8580</v>
      </c>
      <c r="E127" s="2" t="s">
        <v>8581</v>
      </c>
      <c r="F127" s="2" t="s">
        <v>9139</v>
      </c>
      <c r="G127" s="2" t="s">
        <v>8583</v>
      </c>
      <c r="H127" s="2" t="str">
        <f aca="false">VLOOKUP(A127,'[1]NE red list'!A$1:H$1048576,5,FALSE())</f>
        <v>LC</v>
      </c>
      <c r="I127" s="2" t="s">
        <v>8743</v>
      </c>
      <c r="J127" s="2" t="s">
        <v>9172</v>
      </c>
      <c r="K127" s="2" t="s">
        <v>9173</v>
      </c>
      <c r="L127" s="2" t="s">
        <v>8613</v>
      </c>
      <c r="N127" s="2" t="str">
        <f aca="false">_xlfn.CONCAT(Q127," ",R127," ",S127)</f>
        <v>woodland parkland </v>
      </c>
      <c r="O127" s="3" t="s">
        <v>14</v>
      </c>
      <c r="P127" s="2" t="s">
        <v>8587</v>
      </c>
      <c r="Q127" s="3" t="s">
        <v>16</v>
      </c>
      <c r="R127" s="2" t="s">
        <v>8568</v>
      </c>
      <c r="T127" s="2"/>
      <c r="U127" s="2" t="s">
        <v>8570</v>
      </c>
      <c r="V127" s="2" t="s">
        <v>8745</v>
      </c>
      <c r="W127" s="2" t="s">
        <v>8571</v>
      </c>
      <c r="X127" s="2" t="s">
        <v>8589</v>
      </c>
      <c r="Z127" s="2" t="s">
        <v>8614</v>
      </c>
      <c r="AG127" s="7" t="s">
        <v>8575</v>
      </c>
      <c r="AI127" s="7" t="s">
        <v>8617</v>
      </c>
      <c r="AJ127" s="7" t="s">
        <v>8612</v>
      </c>
      <c r="AS127" s="2"/>
      <c r="AV127" s="11"/>
      <c r="BB127" s="2" t="s">
        <v>8618</v>
      </c>
      <c r="BI127" s="2" t="s">
        <v>8590</v>
      </c>
      <c r="BJ127" s="2" t="s">
        <v>8747</v>
      </c>
      <c r="BL127" s="2" t="s">
        <v>8591</v>
      </c>
      <c r="BM127" s="2" t="s">
        <v>8619</v>
      </c>
      <c r="BO127" s="2"/>
      <c r="MJM127" s="2"/>
    </row>
    <row r="128" customFormat="false" ht="19.5" hidden="false" customHeight="true" outlineLevel="0" collapsed="false">
      <c r="A128" s="2" t="s">
        <v>9174</v>
      </c>
      <c r="C128" s="2" t="str">
        <f aca="false">_xlfn.CONCAT(A128, " ","(",B128,")")</f>
        <v>Cis nitidus ()</v>
      </c>
      <c r="D128" s="2" t="s">
        <v>8580</v>
      </c>
      <c r="E128" s="2" t="s">
        <v>8581</v>
      </c>
      <c r="F128" s="35" t="s">
        <v>9059</v>
      </c>
      <c r="H128" s="2" t="e">
        <f aca="false">VLOOKUP(A128,'[1]NE red list'!A$1:H$1048576,5,FALSE())</f>
        <v>#N/A</v>
      </c>
      <c r="I128" s="2" t="s">
        <v>8564</v>
      </c>
      <c r="J128" s="2" t="s">
        <v>9065</v>
      </c>
      <c r="K128" s="2" t="s">
        <v>8585</v>
      </c>
      <c r="L128" s="2" t="s">
        <v>8677</v>
      </c>
      <c r="N128" s="2" t="str">
        <f aca="false">_xlfn.CONCAT(Q128," ",R128," ",S128)</f>
        <v> parkland </v>
      </c>
      <c r="O128" s="3" t="s">
        <v>14</v>
      </c>
      <c r="P128" s="2" t="s">
        <v>8587</v>
      </c>
      <c r="R128" s="2" t="s">
        <v>8568</v>
      </c>
      <c r="T128" s="2"/>
      <c r="U128" s="2" t="s">
        <v>8570</v>
      </c>
      <c r="W128" s="2" t="s">
        <v>8567</v>
      </c>
      <c r="X128" s="2" t="s">
        <v>8625</v>
      </c>
      <c r="Z128" s="2" t="s">
        <v>8598</v>
      </c>
      <c r="AS128" s="2"/>
      <c r="AV128" s="11"/>
      <c r="AX128" s="4" t="s">
        <v>8585</v>
      </c>
      <c r="AY128" s="12" t="s">
        <v>8585</v>
      </c>
      <c r="BI128" s="2" t="s">
        <v>8590</v>
      </c>
      <c r="BL128" s="2" t="s">
        <v>8591</v>
      </c>
      <c r="BO128" s="2"/>
      <c r="MJM128" s="2"/>
    </row>
    <row r="129" customFormat="false" ht="19.5" hidden="false" customHeight="true" outlineLevel="0" collapsed="false">
      <c r="A129" s="2" t="s">
        <v>9175</v>
      </c>
      <c r="C129" s="2" t="str">
        <f aca="false">_xlfn.CONCAT(A129, " ","(",B129,")")</f>
        <v>Cis punctulatus ()</v>
      </c>
      <c r="D129" s="2" t="s">
        <v>8580</v>
      </c>
      <c r="E129" s="2" t="s">
        <v>8581</v>
      </c>
      <c r="F129" s="35" t="s">
        <v>9059</v>
      </c>
      <c r="H129" s="2" t="e">
        <f aca="false">VLOOKUP(A129,'[1]NE red list'!A$1:H$1048576,5,FALSE())</f>
        <v>#N/A</v>
      </c>
      <c r="I129" s="2" t="s">
        <v>8945</v>
      </c>
      <c r="J129" s="2" t="s">
        <v>9176</v>
      </c>
      <c r="L129" s="2" t="s">
        <v>8677</v>
      </c>
      <c r="N129" s="2" t="str">
        <f aca="false">_xlfn.CONCAT(Q129," ",R129," ",S129)</f>
        <v>woodland  </v>
      </c>
      <c r="O129" s="2"/>
      <c r="P129" s="2"/>
      <c r="Q129" s="2" t="s">
        <v>16</v>
      </c>
      <c r="T129" s="2"/>
      <c r="U129" s="2" t="s">
        <v>8806</v>
      </c>
      <c r="V129" s="2" t="s">
        <v>9177</v>
      </c>
      <c r="AS129" s="2"/>
      <c r="AV129" s="11"/>
      <c r="AX129" s="4" t="s">
        <v>8607</v>
      </c>
      <c r="AY129" s="12" t="s">
        <v>8585</v>
      </c>
      <c r="BI129" s="2" t="s">
        <v>8590</v>
      </c>
      <c r="BL129" s="2" t="s">
        <v>8591</v>
      </c>
      <c r="BO129" s="2"/>
      <c r="MJM129" s="2"/>
    </row>
    <row r="130" customFormat="false" ht="19.5" hidden="false" customHeight="true" outlineLevel="0" collapsed="false">
      <c r="A130" s="2" t="s">
        <v>9178</v>
      </c>
      <c r="C130" s="2" t="str">
        <f aca="false">_xlfn.CONCAT(A130, " ","(",B130,")")</f>
        <v>Eulagius filicornis ()</v>
      </c>
      <c r="D130" s="2" t="s">
        <v>8580</v>
      </c>
      <c r="E130" s="2" t="s">
        <v>8581</v>
      </c>
      <c r="F130" s="30" t="s">
        <v>8652</v>
      </c>
      <c r="H130" s="2" t="e">
        <f aca="false">VLOOKUP(A130,'[1]NE red list'!A$1:H$1048576,5,FALSE())</f>
        <v>#N/A</v>
      </c>
      <c r="I130" s="2" t="s">
        <v>8714</v>
      </c>
      <c r="J130" s="2" t="s">
        <v>9179</v>
      </c>
      <c r="K130" s="2" t="s">
        <v>8637</v>
      </c>
      <c r="L130" s="2" t="s">
        <v>8677</v>
      </c>
      <c r="N130" s="2" t="str">
        <f aca="false">_xlfn.CONCAT(Q130," ",R130," ",S130)</f>
        <v>woodland  </v>
      </c>
      <c r="O130" s="2"/>
      <c r="P130" s="2"/>
      <c r="Q130" s="3" t="s">
        <v>16</v>
      </c>
      <c r="T130" s="2"/>
      <c r="U130" s="2" t="s">
        <v>8570</v>
      </c>
      <c r="V130" s="2" t="s">
        <v>8745</v>
      </c>
      <c r="X130" s="2" t="s">
        <v>8597</v>
      </c>
      <c r="Z130" s="2" t="s">
        <v>8637</v>
      </c>
      <c r="AS130" s="2" t="s">
        <v>8792</v>
      </c>
      <c r="AV130" s="11"/>
      <c r="AX130" s="4" t="s">
        <v>8607</v>
      </c>
      <c r="AY130" s="12" t="s">
        <v>8585</v>
      </c>
      <c r="BI130" s="2" t="s">
        <v>8590</v>
      </c>
      <c r="BL130" s="2" t="s">
        <v>8591</v>
      </c>
      <c r="BO130" s="2"/>
      <c r="MJM130" s="2"/>
    </row>
    <row r="131" customFormat="false" ht="19.5" hidden="false" customHeight="true" outlineLevel="0" collapsed="false">
      <c r="A131" s="2" t="s">
        <v>9180</v>
      </c>
      <c r="C131" s="2" t="str">
        <f aca="false">_xlfn.CONCAT(A131, " ","(",B131,")")</f>
        <v>Cis vestitus ()</v>
      </c>
      <c r="D131" s="2" t="s">
        <v>8580</v>
      </c>
      <c r="E131" s="2" t="s">
        <v>8581</v>
      </c>
      <c r="F131" s="35" t="s">
        <v>9059</v>
      </c>
      <c r="H131" s="2" t="e">
        <f aca="false">VLOOKUP(A131,'[1]NE red list'!A$1:H$1048576,5,FALSE())</f>
        <v>#N/A</v>
      </c>
      <c r="I131" s="2" t="s">
        <v>8564</v>
      </c>
      <c r="J131" s="2" t="s">
        <v>9181</v>
      </c>
      <c r="L131" s="2" t="s">
        <v>8677</v>
      </c>
      <c r="N131" s="2" t="str">
        <f aca="false">_xlfn.CONCAT(Q131," ",R131," ",S131)</f>
        <v>woodland parkland ToW</v>
      </c>
      <c r="O131" s="2" t="s">
        <v>14</v>
      </c>
      <c r="P131" s="2" t="s">
        <v>8567</v>
      </c>
      <c r="Q131" s="2" t="s">
        <v>16</v>
      </c>
      <c r="R131" s="2" t="s">
        <v>8568</v>
      </c>
      <c r="S131" s="2" t="s">
        <v>18</v>
      </c>
      <c r="T131" s="2"/>
      <c r="U131" s="2" t="s">
        <v>8570</v>
      </c>
      <c r="V131" s="2" t="s">
        <v>9182</v>
      </c>
      <c r="W131" s="2" t="s">
        <v>8567</v>
      </c>
      <c r="X131" s="2" t="s">
        <v>8597</v>
      </c>
      <c r="Y131" s="2" t="s">
        <v>8573</v>
      </c>
      <c r="Z131" s="2" t="s">
        <v>8574</v>
      </c>
      <c r="AG131" s="7" t="s">
        <v>8575</v>
      </c>
      <c r="AS131" s="2" t="s">
        <v>8599</v>
      </c>
      <c r="AV131" s="11"/>
      <c r="AX131" s="4" t="s">
        <v>8607</v>
      </c>
      <c r="AZ131" s="12" t="s">
        <v>8607</v>
      </c>
      <c r="BI131" s="2" t="s">
        <v>8590</v>
      </c>
      <c r="BJ131" s="2" t="s">
        <v>8747</v>
      </c>
      <c r="BL131" s="2" t="s">
        <v>8591</v>
      </c>
      <c r="BO131" s="2"/>
      <c r="MJM131" s="2"/>
    </row>
    <row r="132" customFormat="false" ht="19.5" hidden="false" customHeight="true" outlineLevel="0" collapsed="false">
      <c r="A132" s="2" t="s">
        <v>9183</v>
      </c>
      <c r="C132" s="2" t="str">
        <f aca="false">_xlfn.CONCAT(A132, " ","(",B132,")")</f>
        <v>Cis villosulus ()</v>
      </c>
      <c r="D132" s="2" t="s">
        <v>8580</v>
      </c>
      <c r="E132" s="2" t="s">
        <v>8581</v>
      </c>
      <c r="F132" s="35" t="s">
        <v>9059</v>
      </c>
      <c r="H132" s="2" t="e">
        <f aca="false">VLOOKUP(A132,'[1]NE red list'!A$1:H$1048576,5,FALSE())</f>
        <v>#N/A</v>
      </c>
      <c r="I132" s="2" t="s">
        <v>9184</v>
      </c>
      <c r="J132" s="2" t="s">
        <v>9185</v>
      </c>
      <c r="K132" s="2" t="s">
        <v>9186</v>
      </c>
      <c r="L132" s="2" t="s">
        <v>8677</v>
      </c>
      <c r="N132" s="2" t="str">
        <f aca="false">_xlfn.CONCAT(Q132," ",R132," ",S132)</f>
        <v>woodland  </v>
      </c>
      <c r="O132" s="2"/>
      <c r="P132" s="2"/>
      <c r="Q132" s="2" t="s">
        <v>16</v>
      </c>
      <c r="T132" s="2"/>
      <c r="U132" s="2" t="s">
        <v>8570</v>
      </c>
      <c r="X132" s="2" t="s">
        <v>8589</v>
      </c>
      <c r="Z132" s="2" t="s">
        <v>8598</v>
      </c>
      <c r="AS132" s="2"/>
      <c r="AV132" s="11"/>
      <c r="AX132" s="4" t="s">
        <v>8607</v>
      </c>
      <c r="AY132" s="12" t="s">
        <v>8585</v>
      </c>
      <c r="BI132" s="2" t="s">
        <v>8590</v>
      </c>
      <c r="BL132" s="2" t="s">
        <v>8591</v>
      </c>
      <c r="BO132" s="2"/>
      <c r="MJM132" s="2"/>
    </row>
    <row r="133" customFormat="false" ht="19.5" hidden="false" customHeight="true" outlineLevel="0" collapsed="false">
      <c r="A133" s="2" t="s">
        <v>9187</v>
      </c>
      <c r="C133" s="2" t="str">
        <f aca="false">_xlfn.CONCAT(A133, " ","(",B133,")")</f>
        <v>Cladonia caespiticia ()</v>
      </c>
      <c r="D133" s="2" t="s">
        <v>8892</v>
      </c>
      <c r="E133" s="2" t="s">
        <v>8892</v>
      </c>
      <c r="F133" s="2" t="s">
        <v>8892</v>
      </c>
      <c r="G133" s="2" t="s">
        <v>8737</v>
      </c>
      <c r="H133" s="2" t="str">
        <f aca="false">VLOOKUP(A133,'[1]NE red list'!A$1:H$1048576,5,FALSE())</f>
        <v>LC</v>
      </c>
      <c r="I133" s="2" t="s">
        <v>8645</v>
      </c>
      <c r="J133" s="33" t="s">
        <v>9188</v>
      </c>
      <c r="K133" s="2" t="s">
        <v>9189</v>
      </c>
      <c r="L133" s="2" t="s">
        <v>8896</v>
      </c>
      <c r="N133" s="2" t="str">
        <f aca="false">_xlfn.CONCAT(Q133," ",R133," ",S133)</f>
        <v>woodland  </v>
      </c>
      <c r="O133" s="2" t="s">
        <v>14</v>
      </c>
      <c r="P133" s="2" t="s">
        <v>8567</v>
      </c>
      <c r="Q133" s="2" t="s">
        <v>16</v>
      </c>
      <c r="T133" s="2"/>
      <c r="U133" s="2" t="s">
        <v>8570</v>
      </c>
      <c r="X133" s="2" t="s">
        <v>9190</v>
      </c>
      <c r="AS133" s="2"/>
      <c r="AU133" s="4" t="s">
        <v>8639</v>
      </c>
      <c r="AV133" s="11"/>
      <c r="AW133" s="11" t="s">
        <v>8650</v>
      </c>
      <c r="BG133" s="2" t="s">
        <v>8900</v>
      </c>
      <c r="BJ133" s="2" t="s">
        <v>8601</v>
      </c>
      <c r="BL133" s="2" t="s">
        <v>8591</v>
      </c>
      <c r="BO133" s="2"/>
      <c r="MJM133" s="2"/>
    </row>
    <row r="134" customFormat="false" ht="19.5" hidden="false" customHeight="true" outlineLevel="0" collapsed="false">
      <c r="A134" s="2" t="s">
        <v>9191</v>
      </c>
      <c r="C134" s="2" t="str">
        <f aca="false">_xlfn.CONCAT(A134, " ","(",B134,")")</f>
        <v>Cryptophagus micaceus ()</v>
      </c>
      <c r="D134" s="2" t="s">
        <v>8580</v>
      </c>
      <c r="E134" s="2" t="s">
        <v>8581</v>
      </c>
      <c r="F134" s="3" t="s">
        <v>8929</v>
      </c>
      <c r="G134" s="2" t="s">
        <v>8662</v>
      </c>
      <c r="H134" s="2" t="e">
        <f aca="false">VLOOKUP(A134,'[1]NE red list'!A$1:H$1048576,5,FALSE())</f>
        <v>#N/A</v>
      </c>
      <c r="I134" s="2" t="s">
        <v>9192</v>
      </c>
      <c r="J134" s="2" t="s">
        <v>9193</v>
      </c>
      <c r="K134" s="2" t="s">
        <v>9194</v>
      </c>
      <c r="L134" s="2" t="s">
        <v>8677</v>
      </c>
      <c r="N134" s="2" t="str">
        <f aca="false">_xlfn.CONCAT(Q134," ",R134," ",S134)</f>
        <v> parkland </v>
      </c>
      <c r="O134" s="3" t="s">
        <v>14</v>
      </c>
      <c r="P134" s="2"/>
      <c r="R134" s="2" t="s">
        <v>8568</v>
      </c>
      <c r="T134" s="2"/>
      <c r="U134" s="2" t="s">
        <v>8570</v>
      </c>
      <c r="W134" s="2" t="s">
        <v>8571</v>
      </c>
      <c r="X134" s="2" t="s">
        <v>8589</v>
      </c>
      <c r="Z134" s="2" t="s">
        <v>8614</v>
      </c>
      <c r="AA134" s="4" t="s">
        <v>26</v>
      </c>
      <c r="AC134" s="6" t="s">
        <v>8666</v>
      </c>
      <c r="AD134" s="6" t="s">
        <v>8615</v>
      </c>
      <c r="AF134" s="6" t="s">
        <v>8616</v>
      </c>
      <c r="AG134" s="7" t="s">
        <v>8575</v>
      </c>
      <c r="AI134" s="7" t="s">
        <v>8617</v>
      </c>
      <c r="AS134" s="2"/>
      <c r="AU134" s="4" t="s">
        <v>8639</v>
      </c>
      <c r="AV134" s="47" t="s">
        <v>9195</v>
      </c>
      <c r="AX134" s="4" t="s">
        <v>8607</v>
      </c>
      <c r="BA134" s="2" t="s">
        <v>8868</v>
      </c>
      <c r="BI134" s="2" t="s">
        <v>8590</v>
      </c>
      <c r="BJ134" s="2" t="s">
        <v>8630</v>
      </c>
      <c r="BL134" s="2" t="s">
        <v>8591</v>
      </c>
      <c r="BM134" s="2" t="s">
        <v>8619</v>
      </c>
      <c r="BO134" s="2"/>
      <c r="MJM134" s="2"/>
    </row>
    <row r="135" customFormat="false" ht="19.5" hidden="false" customHeight="true" outlineLevel="0" collapsed="false">
      <c r="A135" s="1" t="s">
        <v>9196</v>
      </c>
      <c r="B135" s="2" t="s">
        <v>9197</v>
      </c>
      <c r="C135" s="2" t="str">
        <f aca="false">_xlfn.CONCAT(A135, " ","(",B135,")")</f>
        <v>Cleorodes lichenaria (Brussels Lace)</v>
      </c>
      <c r="D135" s="2" t="s">
        <v>8580</v>
      </c>
      <c r="E135" s="2" t="s">
        <v>8722</v>
      </c>
      <c r="F135" s="2" t="s">
        <v>8723</v>
      </c>
      <c r="G135" s="2" t="s">
        <v>8737</v>
      </c>
      <c r="H135" s="2" t="e">
        <f aca="false">VLOOKUP(A135,'[1]NE red list'!A$1:H$1048576,5,FALSE())</f>
        <v>#N/A</v>
      </c>
      <c r="I135" s="2" t="s">
        <v>8645</v>
      </c>
      <c r="J135" s="33" t="s">
        <v>9198</v>
      </c>
      <c r="K135" s="2" t="s">
        <v>8924</v>
      </c>
      <c r="L135" s="2" t="s">
        <v>8648</v>
      </c>
      <c r="N135" s="2" t="str">
        <f aca="false">_xlfn.CONCAT(Q135," ",R135," ",S135)</f>
        <v>woodland parkland </v>
      </c>
      <c r="O135" s="3" t="s">
        <v>14</v>
      </c>
      <c r="P135" s="2"/>
      <c r="Q135" s="2" t="s">
        <v>16</v>
      </c>
      <c r="R135" s="2" t="s">
        <v>8568</v>
      </c>
      <c r="T135" s="2"/>
      <c r="U135" s="2" t="s">
        <v>8605</v>
      </c>
      <c r="X135" s="2" t="s">
        <v>8589</v>
      </c>
      <c r="AS135" s="2"/>
      <c r="AU135" s="4" t="s">
        <v>8639</v>
      </c>
      <c r="AV135" s="11"/>
      <c r="AW135" s="11" t="s">
        <v>8726</v>
      </c>
      <c r="BI135" s="2" t="s">
        <v>8590</v>
      </c>
      <c r="BJ135" s="2" t="s">
        <v>8907</v>
      </c>
      <c r="BL135" s="2" t="s">
        <v>8591</v>
      </c>
      <c r="BO135" s="2"/>
      <c r="MJM135" s="2"/>
    </row>
    <row r="136" customFormat="false" ht="19.5" hidden="false" customHeight="true" outlineLevel="0" collapsed="false">
      <c r="A136" s="1" t="s">
        <v>9199</v>
      </c>
      <c r="B136" s="2" t="s">
        <v>9200</v>
      </c>
      <c r="C136" s="2" t="str">
        <f aca="false">_xlfn.CONCAT(A136, " ","(",B136,")")</f>
        <v>Coccothraustes coccothraustes coccothraustes (Hawfinch)</v>
      </c>
      <c r="D136" s="2" t="s">
        <v>8560</v>
      </c>
      <c r="E136" s="2" t="s">
        <v>8561</v>
      </c>
      <c r="F136" s="30" t="s">
        <v>9201</v>
      </c>
      <c r="G136" s="2" t="s">
        <v>9202</v>
      </c>
      <c r="H136" s="2" t="e">
        <f aca="false">VLOOKUP(A136,'[1]NE red list'!A$1:H$1048576,5,FALSE())</f>
        <v>#N/A</v>
      </c>
      <c r="I136" s="2" t="s">
        <v>8564</v>
      </c>
      <c r="J136" s="2" t="s">
        <v>9203</v>
      </c>
      <c r="K136" s="2" t="s">
        <v>9204</v>
      </c>
      <c r="N136" s="2" t="str">
        <f aca="false">_xlfn.CONCAT(Q136," ",R136," ",S136)</f>
        <v>woodland parkland </v>
      </c>
      <c r="O136" s="3" t="s">
        <v>14</v>
      </c>
      <c r="P136" s="2"/>
      <c r="Q136" s="2" t="s">
        <v>16</v>
      </c>
      <c r="R136" s="2" t="s">
        <v>8568</v>
      </c>
      <c r="T136" s="2" t="s">
        <v>8569</v>
      </c>
      <c r="U136" s="2" t="s">
        <v>8570</v>
      </c>
      <c r="W136" s="2" t="s">
        <v>8567</v>
      </c>
      <c r="Z136" s="2" t="s">
        <v>8694</v>
      </c>
      <c r="AA136" s="4" t="s">
        <v>26</v>
      </c>
      <c r="AC136" s="6" t="s">
        <v>30</v>
      </c>
      <c r="AN136" s="57"/>
      <c r="AO136" s="57"/>
      <c r="AP136" s="57"/>
      <c r="AQ136" s="57"/>
      <c r="AR136" s="57"/>
      <c r="AS136" s="2"/>
      <c r="AT136" s="57"/>
      <c r="AV136" s="11"/>
      <c r="BA136" s="57"/>
      <c r="BB136" s="57"/>
      <c r="BC136" s="57"/>
      <c r="BD136" s="57"/>
      <c r="BE136" s="57"/>
      <c r="BF136" s="57" t="s">
        <v>9205</v>
      </c>
      <c r="BG136" s="57"/>
      <c r="BH136" s="57" t="s">
        <v>8972</v>
      </c>
      <c r="BI136" s="57"/>
      <c r="BJ136" s="57"/>
      <c r="BK136" s="57"/>
      <c r="BL136" s="57" t="s">
        <v>8578</v>
      </c>
      <c r="BM136" s="57"/>
      <c r="MJM136" s="2"/>
    </row>
    <row r="137" s="8" customFormat="true" ht="19.5" hidden="false" customHeight="true" outlineLevel="0" collapsed="false">
      <c r="A137" s="58" t="s">
        <v>9206</v>
      </c>
      <c r="B137" s="33" t="s">
        <v>9207</v>
      </c>
      <c r="C137" s="2" t="str">
        <f aca="false">_xlfn.CONCAT(A137, " ","(",B137,")")</f>
        <v>Codonoblepharon forsteri (Knothole Yoke-moss)</v>
      </c>
      <c r="D137" s="2"/>
      <c r="E137" s="33" t="s">
        <v>9208</v>
      </c>
      <c r="F137" s="2" t="s">
        <v>9208</v>
      </c>
      <c r="G137" s="33" t="s">
        <v>8689</v>
      </c>
      <c r="H137" s="2" t="str">
        <f aca="false">VLOOKUP(A137,'[1]NE red list'!A$1:H$1048576,5,FALSE())</f>
        <v>EN</v>
      </c>
      <c r="I137" s="33" t="s">
        <v>8753</v>
      </c>
      <c r="J137" s="59" t="s">
        <v>9209</v>
      </c>
      <c r="K137" s="33"/>
      <c r="L137" s="33"/>
      <c r="M137" s="2"/>
      <c r="N137" s="2" t="str">
        <f aca="false">_xlfn.CONCAT(Q137," ",R137," ",S137)</f>
        <v> parkland </v>
      </c>
      <c r="O137" s="3" t="s">
        <v>14</v>
      </c>
      <c r="P137" s="33"/>
      <c r="Q137" s="52"/>
      <c r="R137" s="52" t="s">
        <v>8568</v>
      </c>
      <c r="S137" s="2"/>
      <c r="T137" s="33"/>
      <c r="U137" s="2" t="s">
        <v>8570</v>
      </c>
      <c r="V137" s="52" t="s">
        <v>9038</v>
      </c>
      <c r="W137" s="33" t="s">
        <v>8587</v>
      </c>
      <c r="X137" s="33"/>
      <c r="Y137" s="33"/>
      <c r="Z137" s="33"/>
      <c r="AA137" s="38" t="s">
        <v>26</v>
      </c>
      <c r="AB137" s="6"/>
      <c r="AC137" s="40"/>
      <c r="AD137" s="40"/>
      <c r="AE137" s="40"/>
      <c r="AF137" s="6" t="s">
        <v>9210</v>
      </c>
      <c r="AG137" s="7"/>
      <c r="AH137" s="7"/>
      <c r="AI137" s="7"/>
      <c r="AJ137" s="7"/>
      <c r="AK137" s="7"/>
      <c r="AL137" s="7"/>
      <c r="AM137" s="4"/>
      <c r="AO137" s="31"/>
      <c r="AS137" s="2"/>
      <c r="AU137" s="4"/>
      <c r="AV137" s="10"/>
      <c r="AW137" s="11"/>
      <c r="AX137" s="53"/>
      <c r="AY137" s="54"/>
      <c r="AZ137" s="54"/>
      <c r="BN137" s="8" t="s">
        <v>8619</v>
      </c>
    </row>
    <row r="138" customFormat="false" ht="19.5" hidden="false" customHeight="true" outlineLevel="0" collapsed="false">
      <c r="A138" s="2" t="s">
        <v>9211</v>
      </c>
      <c r="C138" s="2" t="str">
        <f aca="false">_xlfn.CONCAT(A138, " ","(",B138,")")</f>
        <v>Collema furfuraceum ()</v>
      </c>
      <c r="D138" s="2" t="s">
        <v>8892</v>
      </c>
      <c r="E138" s="2" t="s">
        <v>8892</v>
      </c>
      <c r="F138" s="2" t="s">
        <v>8892</v>
      </c>
      <c r="H138" s="2" t="str">
        <f aca="false">VLOOKUP(A138,'[1]NE red list'!A$1:H$1048576,5,FALSE())</f>
        <v>LC</v>
      </c>
      <c r="I138" s="2" t="s">
        <v>8696</v>
      </c>
      <c r="J138" s="33" t="s">
        <v>9212</v>
      </c>
      <c r="L138" s="2" t="s">
        <v>8896</v>
      </c>
      <c r="N138" s="2" t="str">
        <f aca="false">_xlfn.CONCAT(Q138," ",R138," ",S138)</f>
        <v> parkland </v>
      </c>
      <c r="O138" s="3" t="s">
        <v>14</v>
      </c>
      <c r="P138" s="2"/>
      <c r="R138" s="2" t="s">
        <v>8568</v>
      </c>
      <c r="T138" s="2"/>
      <c r="U138" s="2" t="s">
        <v>8570</v>
      </c>
      <c r="X138" s="2" t="s">
        <v>8597</v>
      </c>
      <c r="AN138" s="8" t="s">
        <v>8858</v>
      </c>
      <c r="AS138" s="2"/>
      <c r="AU138" s="4" t="s">
        <v>8639</v>
      </c>
      <c r="AV138" s="11"/>
      <c r="AW138" s="11" t="s">
        <v>8650</v>
      </c>
      <c r="BJ138" s="2" t="s">
        <v>8907</v>
      </c>
      <c r="BL138" s="2" t="s">
        <v>8591</v>
      </c>
      <c r="BO138" s="2"/>
      <c r="MJM138" s="2"/>
    </row>
    <row r="139" s="61" customFormat="true" ht="19.5" hidden="false" customHeight="true" outlineLevel="0" collapsed="false">
      <c r="A139" s="1" t="s">
        <v>9213</v>
      </c>
      <c r="B139" s="3" t="s">
        <v>9214</v>
      </c>
      <c r="C139" s="2" t="str">
        <f aca="false">_xlfn.CONCAT(A139, " ","(",B139,")")</f>
        <v>Columba oenas (Stock Dove)</v>
      </c>
      <c r="D139" s="2" t="s">
        <v>8560</v>
      </c>
      <c r="E139" s="2" t="s">
        <v>8561</v>
      </c>
      <c r="F139" s="2" t="s">
        <v>9215</v>
      </c>
      <c r="G139" s="2" t="s">
        <v>9216</v>
      </c>
      <c r="H139" s="2" t="str">
        <f aca="false">VLOOKUP(A139,'[1]NE red list'!A$1:H$1048576,5,FALSE())</f>
        <v>LC</v>
      </c>
      <c r="I139" s="2" t="s">
        <v>8645</v>
      </c>
      <c r="J139" s="60" t="s">
        <v>9217</v>
      </c>
      <c r="K139" s="2"/>
      <c r="L139" s="2" t="s">
        <v>8566</v>
      </c>
      <c r="M139" s="2"/>
      <c r="N139" s="2" t="str">
        <f aca="false">_xlfn.CONCAT(Q139," ",R139," ",S139)</f>
        <v>woodland parkland </v>
      </c>
      <c r="O139" s="3" t="s">
        <v>14</v>
      </c>
      <c r="P139" s="3"/>
      <c r="Q139" s="2" t="s">
        <v>16</v>
      </c>
      <c r="R139" s="2" t="s">
        <v>8568</v>
      </c>
      <c r="S139" s="2"/>
      <c r="T139" s="3"/>
      <c r="U139" s="2" t="s">
        <v>8570</v>
      </c>
      <c r="V139" s="2"/>
      <c r="W139" s="2" t="s">
        <v>8571</v>
      </c>
      <c r="X139" s="2" t="s">
        <v>8589</v>
      </c>
      <c r="Y139" s="2"/>
      <c r="Z139" s="2"/>
      <c r="AA139" s="4" t="s">
        <v>26</v>
      </c>
      <c r="AB139" s="5"/>
      <c r="AC139" s="6" t="s">
        <v>30</v>
      </c>
      <c r="AD139" s="6" t="s">
        <v>8615</v>
      </c>
      <c r="AE139" s="6"/>
      <c r="AF139" s="6"/>
      <c r="AG139" s="7"/>
      <c r="AH139" s="7"/>
      <c r="AI139" s="7"/>
      <c r="AJ139" s="7"/>
      <c r="AK139" s="7"/>
      <c r="AL139" s="7"/>
      <c r="AM139" s="4"/>
      <c r="AS139" s="9"/>
      <c r="AU139" s="4"/>
      <c r="AV139" s="10"/>
      <c r="AW139" s="11"/>
      <c r="AX139" s="4"/>
      <c r="AY139" s="12"/>
      <c r="AZ139" s="12"/>
    </row>
    <row r="140" customFormat="false" ht="19.5" hidden="false" customHeight="true" outlineLevel="0" collapsed="false">
      <c r="A140" s="2" t="s">
        <v>9218</v>
      </c>
      <c r="C140" s="2" t="str">
        <f aca="false">_xlfn.CONCAT(A140, " ","(",B140,")")</f>
        <v>Colydium elongatum ()</v>
      </c>
      <c r="D140" s="2" t="s">
        <v>8580</v>
      </c>
      <c r="E140" s="2" t="s">
        <v>8581</v>
      </c>
      <c r="F140" s="30" t="s">
        <v>9219</v>
      </c>
      <c r="G140" s="2" t="s">
        <v>8583</v>
      </c>
      <c r="H140" s="2" t="str">
        <f aca="false">VLOOKUP(A140,'[1]NE red list'!A$1:H$1048576,5,FALSE())</f>
        <v>LC</v>
      </c>
      <c r="I140" s="2" t="s">
        <v>9086</v>
      </c>
      <c r="J140" s="2" t="s">
        <v>9220</v>
      </c>
      <c r="L140" s="2" t="s">
        <v>9221</v>
      </c>
      <c r="N140" s="2" t="str">
        <f aca="false">_xlfn.CONCAT(Q140," ",R140," ",S140)</f>
        <v>woodland parkland </v>
      </c>
      <c r="O140" s="3" t="s">
        <v>14</v>
      </c>
      <c r="P140" s="2"/>
      <c r="Q140" s="2" t="s">
        <v>16</v>
      </c>
      <c r="R140" s="2" t="s">
        <v>8568</v>
      </c>
      <c r="T140" s="2"/>
      <c r="U140" s="2" t="s">
        <v>8570</v>
      </c>
      <c r="X140" s="2" t="s">
        <v>8625</v>
      </c>
      <c r="Z140" s="2" t="s">
        <v>8574</v>
      </c>
      <c r="AB140" s="5" t="s">
        <v>8672</v>
      </c>
      <c r="AG140" s="7" t="s">
        <v>8575</v>
      </c>
      <c r="AN140" s="8" t="s">
        <v>8638</v>
      </c>
      <c r="AS140" s="2"/>
      <c r="AV140" s="11"/>
      <c r="BI140" s="2" t="s">
        <v>8590</v>
      </c>
      <c r="BJ140" s="2" t="s">
        <v>8601</v>
      </c>
      <c r="BL140" s="2" t="s">
        <v>8591</v>
      </c>
      <c r="BO140" s="2"/>
      <c r="MJM140" s="2"/>
    </row>
    <row r="141" customFormat="false" ht="19.5" hidden="false" customHeight="true" outlineLevel="0" collapsed="false">
      <c r="A141" s="2" t="s">
        <v>9222</v>
      </c>
      <c r="C141" s="2" t="str">
        <f aca="false">_xlfn.CONCAT(A141, " ","(",B141,")")</f>
        <v>Conopalpus testaceus ()</v>
      </c>
      <c r="D141" s="2" t="s">
        <v>8580</v>
      </c>
      <c r="E141" s="2" t="s">
        <v>8581</v>
      </c>
      <c r="F141" s="2" t="s">
        <v>8582</v>
      </c>
      <c r="H141" s="2" t="str">
        <f aca="false">VLOOKUP(A141,'[1]NE red list'!A$1:H$1048576,5,FALSE())</f>
        <v>LC</v>
      </c>
      <c r="I141" s="2" t="s">
        <v>9223</v>
      </c>
      <c r="J141" s="2" t="s">
        <v>9224</v>
      </c>
      <c r="L141" s="2" t="s">
        <v>9225</v>
      </c>
      <c r="N141" s="2" t="str">
        <f aca="false">_xlfn.CONCAT(Q141," ",R141," ",S141)</f>
        <v>woodland parkland ToW</v>
      </c>
      <c r="O141" s="2" t="s">
        <v>14</v>
      </c>
      <c r="P141" s="2" t="s">
        <v>8587</v>
      </c>
      <c r="Q141" s="2" t="s">
        <v>16</v>
      </c>
      <c r="R141" s="2" t="s">
        <v>8568</v>
      </c>
      <c r="S141" s="2" t="s">
        <v>18</v>
      </c>
      <c r="T141" s="2"/>
      <c r="U141" s="2" t="s">
        <v>8570</v>
      </c>
      <c r="V141" s="2" t="s">
        <v>9226</v>
      </c>
      <c r="W141" s="2" t="s">
        <v>8567</v>
      </c>
      <c r="X141" s="2" t="s">
        <v>8597</v>
      </c>
      <c r="Y141" s="2" t="s">
        <v>8573</v>
      </c>
      <c r="Z141" s="2" t="s">
        <v>8614</v>
      </c>
      <c r="AG141" s="7" t="s">
        <v>8824</v>
      </c>
      <c r="AS141" s="2" t="s">
        <v>8599</v>
      </c>
      <c r="AV141" s="11"/>
      <c r="BB141" s="2" t="s">
        <v>8618</v>
      </c>
      <c r="BI141" s="2" t="s">
        <v>8590</v>
      </c>
      <c r="BJ141" s="2" t="s">
        <v>8601</v>
      </c>
      <c r="BL141" s="2" t="s">
        <v>8591</v>
      </c>
      <c r="BO141" s="2"/>
      <c r="MJM141" s="2"/>
    </row>
    <row r="142" customFormat="false" ht="19.5" hidden="false" customHeight="true" outlineLevel="0" collapsed="false">
      <c r="A142" s="2" t="s">
        <v>9227</v>
      </c>
      <c r="C142" s="2" t="str">
        <f aca="false">_xlfn.CONCAT(A142, " ","(",B142,")")</f>
        <v>Eutheia linearis ()</v>
      </c>
      <c r="D142" s="2" t="s">
        <v>8580</v>
      </c>
      <c r="E142" s="2" t="s">
        <v>8581</v>
      </c>
      <c r="F142" s="2" t="s">
        <v>8652</v>
      </c>
      <c r="G142" s="2" t="s">
        <v>8662</v>
      </c>
      <c r="H142" s="2" t="e">
        <f aca="false">VLOOKUP(A142,'[1]NE red list'!A$1:H$1048576,5,FALSE())</f>
        <v>#N/A</v>
      </c>
      <c r="I142" s="2" t="s">
        <v>8622</v>
      </c>
      <c r="J142" s="2" t="s">
        <v>9228</v>
      </c>
      <c r="L142" s="2" t="s">
        <v>8665</v>
      </c>
      <c r="N142" s="2" t="str">
        <f aca="false">_xlfn.CONCAT(Q142," ",R142," ",S142)</f>
        <v>woodland parkland </v>
      </c>
      <c r="O142" s="3" t="s">
        <v>14</v>
      </c>
      <c r="P142" s="2" t="s">
        <v>8587</v>
      </c>
      <c r="Q142" s="2" t="s">
        <v>16</v>
      </c>
      <c r="R142" s="2" t="s">
        <v>8568</v>
      </c>
      <c r="T142" s="2"/>
      <c r="U142" s="2" t="s">
        <v>8570</v>
      </c>
      <c r="V142" s="2" t="s">
        <v>8745</v>
      </c>
      <c r="W142" s="2" t="s">
        <v>8571</v>
      </c>
      <c r="Z142" s="2" t="s">
        <v>8574</v>
      </c>
      <c r="AA142" s="4" t="s">
        <v>26</v>
      </c>
      <c r="AD142" s="6" t="s">
        <v>8615</v>
      </c>
      <c r="AF142" s="6" t="s">
        <v>8616</v>
      </c>
      <c r="AG142" s="7" t="s">
        <v>8575</v>
      </c>
      <c r="AI142" s="7" t="s">
        <v>8617</v>
      </c>
      <c r="AL142" s="7" t="s">
        <v>8628</v>
      </c>
      <c r="AS142" s="2"/>
      <c r="AV142" s="11"/>
      <c r="BI142" s="2" t="s">
        <v>8590</v>
      </c>
      <c r="BL142" s="2" t="s">
        <v>8591</v>
      </c>
      <c r="BM142" s="2" t="s">
        <v>8619</v>
      </c>
      <c r="BO142" s="2"/>
      <c r="MJM142" s="2"/>
    </row>
    <row r="143" customFormat="false" ht="19.5" hidden="false" customHeight="true" outlineLevel="0" collapsed="false">
      <c r="A143" s="2" t="s">
        <v>9229</v>
      </c>
      <c r="C143" s="2" t="str">
        <f aca="false">_xlfn.CONCAT(A143, " ","(",B143,")")</f>
        <v>Corticaria dubia ()</v>
      </c>
      <c r="D143" s="2" t="s">
        <v>8580</v>
      </c>
      <c r="E143" s="2" t="s">
        <v>8581</v>
      </c>
      <c r="F143" s="30" t="s">
        <v>8983</v>
      </c>
      <c r="H143" s="2" t="e">
        <f aca="false">VLOOKUP(A143,'[1]NE red list'!A$1:H$1048576,5,FALSE())</f>
        <v>#N/A</v>
      </c>
      <c r="I143" s="2" t="s">
        <v>8622</v>
      </c>
      <c r="J143" s="2" t="s">
        <v>9230</v>
      </c>
      <c r="K143" s="2" t="s">
        <v>8676</v>
      </c>
      <c r="L143" s="2" t="s">
        <v>8677</v>
      </c>
      <c r="N143" s="2" t="str">
        <f aca="false">_xlfn.CONCAT(Q143," ",R143," ",S143)</f>
        <v>woodland parkland ToW</v>
      </c>
      <c r="O143" s="2" t="s">
        <v>14</v>
      </c>
      <c r="P143" s="2"/>
      <c r="Q143" s="3" t="s">
        <v>16</v>
      </c>
      <c r="R143" s="2" t="s">
        <v>8568</v>
      </c>
      <c r="S143" s="2" t="s">
        <v>18</v>
      </c>
      <c r="T143" s="2"/>
      <c r="U143" s="2" t="s">
        <v>8570</v>
      </c>
      <c r="X143" s="2" t="s">
        <v>8625</v>
      </c>
      <c r="Z143" s="2" t="s">
        <v>8574</v>
      </c>
      <c r="AG143" s="7" t="s">
        <v>8824</v>
      </c>
      <c r="AM143" s="4" t="s">
        <v>8657</v>
      </c>
      <c r="AN143" s="8" t="s">
        <v>8734</v>
      </c>
      <c r="AO143" s="8" t="s">
        <v>40</v>
      </c>
      <c r="AQ143" s="8" t="s">
        <v>42</v>
      </c>
      <c r="AS143" s="2"/>
      <c r="AV143" s="11"/>
      <c r="AX143" s="4" t="s">
        <v>8676</v>
      </c>
      <c r="AZ143" s="12" t="s">
        <v>8676</v>
      </c>
      <c r="BI143" s="2" t="s">
        <v>8590</v>
      </c>
      <c r="BL143" s="2" t="s">
        <v>8591</v>
      </c>
      <c r="BO143" s="2"/>
      <c r="MJM143" s="2"/>
    </row>
    <row r="144" customFormat="false" ht="19.5" hidden="false" customHeight="true" outlineLevel="0" collapsed="false">
      <c r="A144" s="2" t="s">
        <v>9231</v>
      </c>
      <c r="C144" s="2" t="str">
        <f aca="false">_xlfn.CONCAT(A144, " ","(",B144,")")</f>
        <v>Corticaria fagi ()</v>
      </c>
      <c r="D144" s="2" t="s">
        <v>8580</v>
      </c>
      <c r="E144" s="2" t="s">
        <v>8581</v>
      </c>
      <c r="F144" s="30" t="s">
        <v>8983</v>
      </c>
      <c r="G144" s="2" t="s">
        <v>8662</v>
      </c>
      <c r="H144" s="2" t="e">
        <f aca="false">VLOOKUP(A144,'[1]NE red list'!A$1:H$1048576,5,FALSE())</f>
        <v>#N/A</v>
      </c>
      <c r="I144" s="2" t="s">
        <v>8714</v>
      </c>
      <c r="J144" s="2" t="s">
        <v>9232</v>
      </c>
      <c r="K144" s="2" t="s">
        <v>8676</v>
      </c>
      <c r="L144" s="2" t="s">
        <v>8677</v>
      </c>
      <c r="N144" s="2" t="str">
        <f aca="false">_xlfn.CONCAT(Q144," ",R144," ",S144)</f>
        <v>woodland parkland </v>
      </c>
      <c r="O144" s="3" t="s">
        <v>14</v>
      </c>
      <c r="P144" s="2" t="s">
        <v>8587</v>
      </c>
      <c r="Q144" s="2" t="s">
        <v>16</v>
      </c>
      <c r="R144" s="2" t="s">
        <v>8568</v>
      </c>
      <c r="T144" s="2"/>
      <c r="U144" s="2" t="s">
        <v>8570</v>
      </c>
      <c r="W144" s="2" t="s">
        <v>8571</v>
      </c>
      <c r="X144" s="2" t="s">
        <v>8625</v>
      </c>
      <c r="Z144" s="2" t="s">
        <v>8574</v>
      </c>
      <c r="AG144" s="7" t="s">
        <v>8575</v>
      </c>
      <c r="AI144" s="7" t="s">
        <v>8617</v>
      </c>
      <c r="AN144" s="8" t="s">
        <v>8852</v>
      </c>
      <c r="AS144" s="2"/>
      <c r="AV144" s="11"/>
      <c r="BI144" s="2" t="s">
        <v>8590</v>
      </c>
      <c r="BL144" s="2" t="s">
        <v>8591</v>
      </c>
      <c r="BO144" s="2"/>
      <c r="MJM144" s="2"/>
    </row>
    <row r="145" customFormat="false" ht="19.5" hidden="false" customHeight="true" outlineLevel="0" collapsed="false">
      <c r="A145" s="2" t="s">
        <v>9233</v>
      </c>
      <c r="C145" s="2" t="str">
        <f aca="false">_xlfn.CONCAT(A145, " ","(",B145,")")</f>
        <v>Dendrophilus punctatus ()</v>
      </c>
      <c r="D145" s="2" t="s">
        <v>8580</v>
      </c>
      <c r="E145" s="2" t="s">
        <v>8581</v>
      </c>
      <c r="F145" s="2" t="s">
        <v>9234</v>
      </c>
      <c r="H145" s="2" t="e">
        <f aca="false">VLOOKUP(A145,'[1]NE red list'!A$1:H$1048576,5,FALSE())</f>
        <v>#N/A</v>
      </c>
      <c r="I145" s="2" t="s">
        <v>9235</v>
      </c>
      <c r="J145" s="2" t="s">
        <v>9236</v>
      </c>
      <c r="L145" s="2" t="s">
        <v>9237</v>
      </c>
      <c r="N145" s="2" t="str">
        <f aca="false">_xlfn.CONCAT(Q145," ",R145," ",S145)</f>
        <v> parkland </v>
      </c>
      <c r="O145" s="3" t="s">
        <v>14</v>
      </c>
      <c r="P145" s="2"/>
      <c r="R145" s="2" t="s">
        <v>8568</v>
      </c>
      <c r="T145" s="2"/>
      <c r="U145" s="2" t="s">
        <v>8605</v>
      </c>
      <c r="W145" s="2" t="s">
        <v>8571</v>
      </c>
      <c r="X145" s="2" t="s">
        <v>8589</v>
      </c>
      <c r="Y145" s="2" t="s">
        <v>8573</v>
      </c>
      <c r="AA145" s="4" t="s">
        <v>26</v>
      </c>
      <c r="AC145" s="6" t="s">
        <v>8666</v>
      </c>
      <c r="AD145" s="6" t="s">
        <v>8615</v>
      </c>
      <c r="AG145" s="7" t="s">
        <v>8575</v>
      </c>
      <c r="AS145" s="2"/>
      <c r="AU145" s="4" t="s">
        <v>8639</v>
      </c>
      <c r="BI145" s="2" t="s">
        <v>8590</v>
      </c>
      <c r="BJ145" s="2" t="s">
        <v>8630</v>
      </c>
      <c r="BL145" s="2" t="s">
        <v>8591</v>
      </c>
      <c r="BO145" s="2"/>
      <c r="MJM145" s="2"/>
    </row>
    <row r="146" customFormat="false" ht="19.5" hidden="false" customHeight="true" outlineLevel="0" collapsed="false">
      <c r="A146" s="2" t="s">
        <v>9238</v>
      </c>
      <c r="C146" s="2" t="str">
        <f aca="false">_xlfn.CONCAT(A146, " ","(",B146,")")</f>
        <v>Corticeus bicolor ()</v>
      </c>
      <c r="D146" s="2" t="s">
        <v>8580</v>
      </c>
      <c r="E146" s="2" t="s">
        <v>8581</v>
      </c>
      <c r="F146" s="2" t="s">
        <v>9239</v>
      </c>
      <c r="G146" s="2" t="s">
        <v>8583</v>
      </c>
      <c r="H146" s="2" t="str">
        <f aca="false">VLOOKUP(A146,'[1]NE red list'!A$1:H$1048576,5,FALSE())</f>
        <v>LC</v>
      </c>
      <c r="I146" s="2" t="s">
        <v>8690</v>
      </c>
      <c r="J146" s="2" t="s">
        <v>9240</v>
      </c>
      <c r="L146" s="2" t="s">
        <v>8665</v>
      </c>
      <c r="N146" s="2" t="str">
        <f aca="false">_xlfn.CONCAT(Q146," ",R146," ",S146)</f>
        <v>woodland parkland ToW</v>
      </c>
      <c r="O146" s="2" t="s">
        <v>14</v>
      </c>
      <c r="P146" s="2"/>
      <c r="Q146" s="2" t="s">
        <v>16</v>
      </c>
      <c r="R146" s="2" t="s">
        <v>8568</v>
      </c>
      <c r="S146" s="2" t="s">
        <v>18</v>
      </c>
      <c r="T146" s="2"/>
      <c r="U146" s="2" t="s">
        <v>8570</v>
      </c>
      <c r="V146" s="2" t="s">
        <v>8940</v>
      </c>
      <c r="AB146" s="5" t="s">
        <v>8672</v>
      </c>
      <c r="AG146" s="7" t="s">
        <v>8824</v>
      </c>
      <c r="AS146" s="2"/>
      <c r="AV146" s="11"/>
      <c r="BI146" s="2" t="s">
        <v>8590</v>
      </c>
      <c r="BL146" s="2" t="s">
        <v>8591</v>
      </c>
      <c r="BO146" s="2"/>
      <c r="MJM146" s="2"/>
    </row>
    <row r="147" customFormat="false" ht="19.5" hidden="false" customHeight="true" outlineLevel="0" collapsed="false">
      <c r="A147" s="2" t="s">
        <v>9241</v>
      </c>
      <c r="C147" s="2" t="str">
        <f aca="false">_xlfn.CONCAT(A147, " ","(",B147,")")</f>
        <v>Corticeus fraxini ()</v>
      </c>
      <c r="D147" s="2" t="s">
        <v>8580</v>
      </c>
      <c r="E147" s="2" t="s">
        <v>8581</v>
      </c>
      <c r="F147" s="2" t="s">
        <v>9239</v>
      </c>
      <c r="G147" s="2" t="s">
        <v>8583</v>
      </c>
      <c r="H147" s="2" t="e">
        <f aca="false">VLOOKUP(A147,'[1]NE red list'!A$1:H$1048576,5,FALSE())</f>
        <v>#N/A</v>
      </c>
      <c r="I147" s="2" t="s">
        <v>9242</v>
      </c>
      <c r="J147" s="2" t="s">
        <v>9243</v>
      </c>
      <c r="L147" s="2" t="s">
        <v>8665</v>
      </c>
      <c r="N147" s="2" t="str">
        <f aca="false">_xlfn.CONCAT(Q147," ",R147," ",S147)</f>
        <v>woodland  </v>
      </c>
      <c r="O147" s="2"/>
      <c r="P147" s="2"/>
      <c r="Q147" s="2" t="s">
        <v>16</v>
      </c>
      <c r="T147" s="2"/>
      <c r="U147" s="2" t="s">
        <v>8806</v>
      </c>
      <c r="V147" s="2" t="s">
        <v>8867</v>
      </c>
      <c r="AB147" s="5" t="s">
        <v>8672</v>
      </c>
      <c r="AG147" s="7" t="s">
        <v>8824</v>
      </c>
      <c r="AS147" s="2"/>
      <c r="AV147" s="11"/>
      <c r="BI147" s="2" t="s">
        <v>8590</v>
      </c>
      <c r="BL147" s="2" t="s">
        <v>8591</v>
      </c>
      <c r="BO147" s="2"/>
      <c r="MJM147" s="2"/>
    </row>
    <row r="148" customFormat="false" ht="19.5" hidden="false" customHeight="true" outlineLevel="0" collapsed="false">
      <c r="A148" s="2" t="s">
        <v>9244</v>
      </c>
      <c r="C148" s="2" t="str">
        <f aca="false">_xlfn.CONCAT(A148, " ","(",B148,")")</f>
        <v>Corticeus unicolor ()</v>
      </c>
      <c r="D148" s="2" t="s">
        <v>8580</v>
      </c>
      <c r="E148" s="2" t="s">
        <v>8581</v>
      </c>
      <c r="F148" s="2" t="s">
        <v>9239</v>
      </c>
      <c r="G148" s="2" t="s">
        <v>8583</v>
      </c>
      <c r="H148" s="2" t="str">
        <f aca="false">VLOOKUP(A148,'[1]NE red list'!A$1:H$1048576,5,FALSE())</f>
        <v>LC</v>
      </c>
      <c r="I148" s="2" t="s">
        <v>8564</v>
      </c>
      <c r="J148" s="2" t="s">
        <v>9245</v>
      </c>
      <c r="L148" s="2" t="s">
        <v>8665</v>
      </c>
      <c r="N148" s="2" t="str">
        <f aca="false">_xlfn.CONCAT(Q148," ",R148," ",S148)</f>
        <v>woodland parkland </v>
      </c>
      <c r="O148" s="3" t="s">
        <v>14</v>
      </c>
      <c r="P148" s="2" t="s">
        <v>8587</v>
      </c>
      <c r="Q148" s="2" t="s">
        <v>16</v>
      </c>
      <c r="R148" s="2" t="s">
        <v>8568</v>
      </c>
      <c r="T148" s="2"/>
      <c r="U148" s="2" t="s">
        <v>8570</v>
      </c>
      <c r="V148" s="2" t="s">
        <v>9246</v>
      </c>
      <c r="W148" s="2" t="s">
        <v>8567</v>
      </c>
      <c r="X148" s="2" t="s">
        <v>8625</v>
      </c>
      <c r="Z148" s="2" t="s">
        <v>8637</v>
      </c>
      <c r="AG148" s="7" t="s">
        <v>8575</v>
      </c>
      <c r="AI148" s="7" t="s">
        <v>8617</v>
      </c>
      <c r="AS148" s="2"/>
      <c r="AV148" s="11"/>
      <c r="BI148" s="2" t="s">
        <v>8590</v>
      </c>
      <c r="BL148" s="2" t="s">
        <v>8591</v>
      </c>
      <c r="BO148" s="2"/>
      <c r="MJM148" s="2"/>
    </row>
    <row r="149" customFormat="false" ht="19.5" hidden="false" customHeight="true" outlineLevel="0" collapsed="false">
      <c r="A149" s="2" t="s">
        <v>9247</v>
      </c>
      <c r="C149" s="2" t="str">
        <f aca="false">_xlfn.CONCAT(A149, " ","(",B149,")")</f>
        <v>Cossonus linearis ()</v>
      </c>
      <c r="D149" s="2" t="s">
        <v>8580</v>
      </c>
      <c r="E149" s="2" t="s">
        <v>8581</v>
      </c>
      <c r="F149" s="2" t="s">
        <v>9248</v>
      </c>
      <c r="G149" s="2" t="s">
        <v>8583</v>
      </c>
      <c r="H149" s="2" t="e">
        <f aca="false">VLOOKUP(A149,'[1]NE red list'!A$1:H$1048576,5,FALSE())</f>
        <v>#N/A</v>
      </c>
      <c r="I149" s="2" t="s">
        <v>9249</v>
      </c>
      <c r="J149" s="2" t="s">
        <v>9250</v>
      </c>
      <c r="L149" s="2" t="s">
        <v>8836</v>
      </c>
      <c r="N149" s="2" t="str">
        <f aca="false">_xlfn.CONCAT(Q149," ",R149," ",S149)</f>
        <v> parkland </v>
      </c>
      <c r="O149" s="3" t="s">
        <v>14</v>
      </c>
      <c r="P149" s="2"/>
      <c r="R149" s="2" t="s">
        <v>8568</v>
      </c>
      <c r="T149" s="2"/>
      <c r="U149" s="2" t="s">
        <v>8570</v>
      </c>
      <c r="V149" s="2" t="s">
        <v>9251</v>
      </c>
      <c r="W149" s="2" t="s">
        <v>8567</v>
      </c>
      <c r="X149" s="2" t="s">
        <v>8625</v>
      </c>
      <c r="Z149" s="2" t="s">
        <v>8574</v>
      </c>
      <c r="AG149" s="7" t="s">
        <v>8575</v>
      </c>
      <c r="AI149" s="7" t="s">
        <v>8617</v>
      </c>
      <c r="AS149" s="2"/>
      <c r="AV149" s="11"/>
      <c r="BI149" s="2" t="s">
        <v>8590</v>
      </c>
      <c r="BL149" s="2" t="s">
        <v>8591</v>
      </c>
      <c r="BO149" s="2"/>
      <c r="MJM149" s="2"/>
    </row>
    <row r="150" customFormat="false" ht="19.5" hidden="false" customHeight="true" outlineLevel="0" collapsed="false">
      <c r="A150" s="2" t="s">
        <v>9252</v>
      </c>
      <c r="C150" s="2" t="str">
        <f aca="false">_xlfn.CONCAT(A150, " ","(",B150,")")</f>
        <v>Cossonus parallelepipedus ()</v>
      </c>
      <c r="D150" s="2" t="s">
        <v>8580</v>
      </c>
      <c r="E150" s="2" t="s">
        <v>8581</v>
      </c>
      <c r="F150" s="2" t="s">
        <v>9248</v>
      </c>
      <c r="G150" s="2" t="s">
        <v>8583</v>
      </c>
      <c r="H150" s="2" t="e">
        <f aca="false">VLOOKUP(A150,'[1]NE red list'!A$1:H$1048576,5,FALSE())</f>
        <v>#N/A</v>
      </c>
      <c r="I150" s="2" t="s">
        <v>9253</v>
      </c>
      <c r="J150" s="2" t="s">
        <v>9254</v>
      </c>
      <c r="L150" s="2" t="s">
        <v>8836</v>
      </c>
      <c r="N150" s="2" t="str">
        <f aca="false">_xlfn.CONCAT(Q150," ",R150," ",S150)</f>
        <v> parkland </v>
      </c>
      <c r="O150" s="3" t="s">
        <v>14</v>
      </c>
      <c r="P150" s="2"/>
      <c r="R150" s="2" t="s">
        <v>8568</v>
      </c>
      <c r="T150" s="2"/>
      <c r="U150" s="2" t="s">
        <v>8605</v>
      </c>
      <c r="V150" s="2" t="s">
        <v>9255</v>
      </c>
      <c r="W150" s="2" t="s">
        <v>8567</v>
      </c>
      <c r="X150" s="2" t="s">
        <v>9069</v>
      </c>
      <c r="Z150" s="2" t="s">
        <v>8574</v>
      </c>
      <c r="AG150" s="7" t="s">
        <v>8575</v>
      </c>
      <c r="AH150" s="7" t="s">
        <v>33</v>
      </c>
      <c r="AI150" s="7" t="s">
        <v>8617</v>
      </c>
      <c r="AK150" s="7" t="s">
        <v>8627</v>
      </c>
      <c r="AS150" s="2"/>
      <c r="AV150" s="11"/>
      <c r="BA150" s="2" t="s">
        <v>8868</v>
      </c>
      <c r="BI150" s="2" t="s">
        <v>8590</v>
      </c>
      <c r="BL150" s="2" t="s">
        <v>8591</v>
      </c>
      <c r="BO150" s="2"/>
      <c r="MJM150" s="2"/>
    </row>
    <row r="151" customFormat="false" ht="19.5" hidden="false" customHeight="true" outlineLevel="0" collapsed="false">
      <c r="A151" s="2" t="s">
        <v>9256</v>
      </c>
      <c r="C151" s="2" t="str">
        <f aca="false">_xlfn.CONCAT(A151, " ","(",B151,")")</f>
        <v>Criorhina asilica ()</v>
      </c>
      <c r="D151" s="2" t="s">
        <v>8580</v>
      </c>
      <c r="E151" s="2" t="s">
        <v>8687</v>
      </c>
      <c r="F151" s="2" t="s">
        <v>9024</v>
      </c>
      <c r="G151" s="2" t="s">
        <v>8583</v>
      </c>
      <c r="H151" s="2" t="str">
        <f aca="false">VLOOKUP(A151,'[1]NE red list'!A$1:H$1048576,5,FALSE())</f>
        <v>LC</v>
      </c>
      <c r="I151" s="2" t="s">
        <v>8645</v>
      </c>
      <c r="J151" s="2" t="s">
        <v>9257</v>
      </c>
      <c r="L151" s="2" t="s">
        <v>8770</v>
      </c>
      <c r="N151" s="2" t="str">
        <f aca="false">_xlfn.CONCAT(Q151," ",R151," ",S151)</f>
        <v>woodland parkland </v>
      </c>
      <c r="O151" s="3" t="s">
        <v>14</v>
      </c>
      <c r="P151" s="2" t="s">
        <v>8587</v>
      </c>
      <c r="Q151" s="2" t="s">
        <v>16</v>
      </c>
      <c r="R151" s="2" t="s">
        <v>8568</v>
      </c>
      <c r="T151" s="2"/>
      <c r="U151" s="2" t="s">
        <v>8570</v>
      </c>
      <c r="V151" s="2" t="s">
        <v>9038</v>
      </c>
      <c r="W151" s="2" t="s">
        <v>8571</v>
      </c>
      <c r="X151" s="2" t="s">
        <v>9258</v>
      </c>
      <c r="Z151" s="2" t="s">
        <v>8614</v>
      </c>
      <c r="AA151" s="4" t="s">
        <v>26</v>
      </c>
      <c r="AD151" s="6" t="s">
        <v>8615</v>
      </c>
      <c r="AG151" s="7" t="s">
        <v>8575</v>
      </c>
      <c r="AI151" s="7" t="s">
        <v>8617</v>
      </c>
      <c r="AK151" s="7" t="s">
        <v>8780</v>
      </c>
      <c r="AS151" s="2"/>
      <c r="AV151" s="11"/>
      <c r="BB151" s="2" t="s">
        <v>8618</v>
      </c>
      <c r="BI151" s="2" t="s">
        <v>8590</v>
      </c>
      <c r="BL151" s="2" t="s">
        <v>8591</v>
      </c>
      <c r="BO151" s="2"/>
      <c r="MJM151" s="2"/>
    </row>
    <row r="152" customFormat="false" ht="19.5" hidden="false" customHeight="true" outlineLevel="0" collapsed="false">
      <c r="A152" s="2" t="s">
        <v>9259</v>
      </c>
      <c r="C152" s="2" t="str">
        <f aca="false">_xlfn.CONCAT(A152, " ","(",B152,")")</f>
        <v>Criorhina berberina ()</v>
      </c>
      <c r="D152" s="2" t="s">
        <v>8580</v>
      </c>
      <c r="E152" s="2" t="s">
        <v>8687</v>
      </c>
      <c r="F152" s="2" t="s">
        <v>9024</v>
      </c>
      <c r="G152" s="2" t="s">
        <v>8737</v>
      </c>
      <c r="H152" s="2" t="str">
        <f aca="false">VLOOKUP(A152,'[1]NE red list'!A$1:H$1048576,5,FALSE())</f>
        <v>LC</v>
      </c>
      <c r="I152" s="2" t="s">
        <v>8645</v>
      </c>
      <c r="J152" s="2" t="s">
        <v>9260</v>
      </c>
      <c r="L152" s="2" t="s">
        <v>8770</v>
      </c>
      <c r="N152" s="2" t="str">
        <f aca="false">_xlfn.CONCAT(Q152," ",R152," ",S152)</f>
        <v>woodland parkland </v>
      </c>
      <c r="O152" s="3" t="s">
        <v>14</v>
      </c>
      <c r="P152" s="2" t="s">
        <v>8587</v>
      </c>
      <c r="Q152" s="2" t="s">
        <v>16</v>
      </c>
      <c r="R152" s="2" t="s">
        <v>8568</v>
      </c>
      <c r="T152" s="2"/>
      <c r="U152" s="2" t="s">
        <v>8570</v>
      </c>
      <c r="V152" s="2" t="s">
        <v>9038</v>
      </c>
      <c r="W152" s="2" t="s">
        <v>8571</v>
      </c>
      <c r="X152" s="2" t="s">
        <v>9261</v>
      </c>
      <c r="Z152" s="2" t="s">
        <v>8614</v>
      </c>
      <c r="AA152" s="4" t="s">
        <v>26</v>
      </c>
      <c r="AF152" s="6" t="s">
        <v>9045</v>
      </c>
      <c r="AG152" s="7" t="s">
        <v>8575</v>
      </c>
      <c r="AH152" s="7" t="s">
        <v>33</v>
      </c>
      <c r="AI152" s="7" t="s">
        <v>8617</v>
      </c>
      <c r="AK152" s="7" t="s">
        <v>8780</v>
      </c>
      <c r="AM152" s="4" t="s">
        <v>8657</v>
      </c>
      <c r="AN152" s="8" t="s">
        <v>9262</v>
      </c>
      <c r="AO152" s="8" t="s">
        <v>40</v>
      </c>
      <c r="AQ152" s="8" t="s">
        <v>42</v>
      </c>
      <c r="AR152" s="8" t="s">
        <v>43</v>
      </c>
      <c r="AS152" s="2"/>
      <c r="AV152" s="11"/>
      <c r="BB152" s="2" t="s">
        <v>8618</v>
      </c>
      <c r="BI152" s="2" t="s">
        <v>8590</v>
      </c>
      <c r="BL152" s="2" t="s">
        <v>8591</v>
      </c>
      <c r="BO152" s="2"/>
      <c r="MJM152" s="2"/>
    </row>
    <row r="153" customFormat="false" ht="19.5" hidden="false" customHeight="true" outlineLevel="0" collapsed="false">
      <c r="A153" s="2" t="s">
        <v>9263</v>
      </c>
      <c r="C153" s="2" t="str">
        <f aca="false">_xlfn.CONCAT(A153, " ","(",B153,")")</f>
        <v>Criorhina floccosa ()</v>
      </c>
      <c r="D153" s="2" t="s">
        <v>8580</v>
      </c>
      <c r="E153" s="2" t="s">
        <v>8687</v>
      </c>
      <c r="F153" s="2" t="s">
        <v>9024</v>
      </c>
      <c r="G153" s="2" t="s">
        <v>8737</v>
      </c>
      <c r="H153" s="2" t="str">
        <f aca="false">VLOOKUP(A153,'[1]NE red list'!A$1:H$1048576,5,FALSE())</f>
        <v>LC</v>
      </c>
      <c r="I153" s="2" t="s">
        <v>8645</v>
      </c>
      <c r="J153" s="2" t="s">
        <v>9264</v>
      </c>
      <c r="L153" s="2" t="s">
        <v>8770</v>
      </c>
      <c r="N153" s="2" t="str">
        <f aca="false">_xlfn.CONCAT(Q153," ",R153," ",S153)</f>
        <v>woodland parkland ToW</v>
      </c>
      <c r="O153" s="2" t="s">
        <v>14</v>
      </c>
      <c r="P153" s="2"/>
      <c r="Q153" s="2" t="s">
        <v>16</v>
      </c>
      <c r="R153" s="2" t="s">
        <v>8568</v>
      </c>
      <c r="S153" s="2" t="s">
        <v>18</v>
      </c>
      <c r="T153" s="2"/>
      <c r="U153" s="2" t="s">
        <v>8570</v>
      </c>
      <c r="V153" s="2" t="s">
        <v>9265</v>
      </c>
      <c r="W153" s="2" t="s">
        <v>8567</v>
      </c>
      <c r="X153" s="2" t="s">
        <v>9258</v>
      </c>
      <c r="Z153" s="2" t="s">
        <v>8614</v>
      </c>
      <c r="AA153" s="4" t="s">
        <v>26</v>
      </c>
      <c r="AC153" s="6" t="s">
        <v>9266</v>
      </c>
      <c r="AG153" s="7" t="s">
        <v>8575</v>
      </c>
      <c r="AH153" s="7" t="s">
        <v>33</v>
      </c>
      <c r="AI153" s="7" t="s">
        <v>8617</v>
      </c>
      <c r="AK153" s="7" t="s">
        <v>8780</v>
      </c>
      <c r="AS153" s="2"/>
      <c r="AV153" s="11"/>
      <c r="BB153" s="2" t="s">
        <v>8618</v>
      </c>
      <c r="BI153" s="2" t="s">
        <v>8590</v>
      </c>
      <c r="BL153" s="2" t="s">
        <v>8591</v>
      </c>
      <c r="BO153" s="2"/>
      <c r="MJM153" s="2"/>
    </row>
    <row r="154" customFormat="false" ht="19.5" hidden="false" customHeight="true" outlineLevel="0" collapsed="false">
      <c r="A154" s="2" t="s">
        <v>9267</v>
      </c>
      <c r="C154" s="2" t="str">
        <f aca="false">_xlfn.CONCAT(A154, " ","(",B154,")")</f>
        <v>Criorhina ranunculi ()</v>
      </c>
      <c r="D154" s="2" t="s">
        <v>8580</v>
      </c>
      <c r="E154" s="2" t="s">
        <v>8687</v>
      </c>
      <c r="F154" s="2" t="s">
        <v>9024</v>
      </c>
      <c r="G154" s="2" t="s">
        <v>8737</v>
      </c>
      <c r="H154" s="2" t="str">
        <f aca="false">VLOOKUP(A154,'[1]NE red list'!A$1:H$1048576,5,FALSE())</f>
        <v>LC</v>
      </c>
      <c r="I154" s="2" t="s">
        <v>8645</v>
      </c>
      <c r="J154" s="2" t="s">
        <v>9268</v>
      </c>
      <c r="L154" s="2" t="s">
        <v>8770</v>
      </c>
      <c r="N154" s="2" t="str">
        <f aca="false">_xlfn.CONCAT(Q154," ",R154," ",S154)</f>
        <v>woodland parkland </v>
      </c>
      <c r="O154" s="3" t="s">
        <v>14</v>
      </c>
      <c r="P154" s="2" t="s">
        <v>8567</v>
      </c>
      <c r="Q154" s="2" t="s">
        <v>16</v>
      </c>
      <c r="R154" s="2" t="s">
        <v>8568</v>
      </c>
      <c r="T154" s="2"/>
      <c r="U154" s="2" t="s">
        <v>8570</v>
      </c>
      <c r="W154" s="2" t="s">
        <v>8567</v>
      </c>
      <c r="X154" s="2" t="s">
        <v>9261</v>
      </c>
      <c r="Z154" s="2" t="s">
        <v>8614</v>
      </c>
      <c r="AG154" s="7" t="s">
        <v>8575</v>
      </c>
      <c r="AH154" s="7" t="s">
        <v>33</v>
      </c>
      <c r="AI154" s="7" t="s">
        <v>8617</v>
      </c>
      <c r="AK154" s="7" t="s">
        <v>8780</v>
      </c>
      <c r="AS154" s="2"/>
      <c r="AV154" s="11"/>
      <c r="BB154" s="2" t="s">
        <v>8618</v>
      </c>
      <c r="BI154" s="2" t="s">
        <v>8590</v>
      </c>
      <c r="BL154" s="2" t="s">
        <v>8591</v>
      </c>
      <c r="BO154" s="2"/>
      <c r="MJM154" s="2"/>
    </row>
    <row r="155" customFormat="false" ht="19.5" hidden="false" customHeight="true" outlineLevel="0" collapsed="false">
      <c r="A155" s="1" t="s">
        <v>9269</v>
      </c>
      <c r="B155" s="2" t="s">
        <v>9270</v>
      </c>
      <c r="C155" s="2" t="str">
        <f aca="false">_xlfn.CONCAT(A155, " ","(",B155,")")</f>
        <v>Crossocerus leucostomus (White Mouthed Digger Wasp)</v>
      </c>
      <c r="D155" s="2" t="s">
        <v>8580</v>
      </c>
      <c r="E155" s="2" t="s">
        <v>8839</v>
      </c>
      <c r="F155" s="2" t="s">
        <v>9271</v>
      </c>
      <c r="G155" s="2" t="s">
        <v>8583</v>
      </c>
      <c r="H155" s="2" t="e">
        <f aca="false">VLOOKUP(A155,'[1]NE red list'!A$1:H$1048576,5,FALSE())</f>
        <v>#N/A</v>
      </c>
      <c r="I155" s="2" t="s">
        <v>9129</v>
      </c>
      <c r="J155" s="2" t="s">
        <v>9272</v>
      </c>
      <c r="L155" s="2" t="s">
        <v>8948</v>
      </c>
      <c r="N155" s="2" t="str">
        <f aca="false">_xlfn.CONCAT(Q155," ",R155," ",S155)</f>
        <v>plantations parkland </v>
      </c>
      <c r="O155" s="3" t="s">
        <v>14</v>
      </c>
      <c r="P155" s="2"/>
      <c r="Q155" s="2" t="s">
        <v>8890</v>
      </c>
      <c r="R155" s="2" t="s">
        <v>8568</v>
      </c>
      <c r="T155" s="2"/>
      <c r="U155" s="2" t="s">
        <v>8806</v>
      </c>
      <c r="V155" s="2" t="s">
        <v>8867</v>
      </c>
      <c r="X155" s="2" t="s">
        <v>8625</v>
      </c>
      <c r="Z155" s="2" t="s">
        <v>8574</v>
      </c>
      <c r="AB155" s="5" t="s">
        <v>8672</v>
      </c>
      <c r="AG155" s="7" t="s">
        <v>8824</v>
      </c>
      <c r="AS155" s="2"/>
      <c r="AV155" s="11"/>
      <c r="BC155" s="2" t="s">
        <v>9273</v>
      </c>
      <c r="BF155" s="2" t="s">
        <v>9274</v>
      </c>
      <c r="BH155" s="2" t="s">
        <v>9275</v>
      </c>
      <c r="BI155" s="2" t="s">
        <v>8590</v>
      </c>
      <c r="BL155" s="2" t="s">
        <v>8591</v>
      </c>
      <c r="BO155" s="2"/>
      <c r="MJM155" s="2"/>
    </row>
    <row r="156" customFormat="false" ht="19.5" hidden="false" customHeight="true" outlineLevel="0" collapsed="false">
      <c r="A156" s="2" t="s">
        <v>9276</v>
      </c>
      <c r="C156" s="2" t="str">
        <f aca="false">_xlfn.CONCAT(A156, " ","(",B156,")")</f>
        <v>Crossocerus vagabundus ()</v>
      </c>
      <c r="D156" s="2" t="s">
        <v>8580</v>
      </c>
      <c r="E156" s="2" t="s">
        <v>8839</v>
      </c>
      <c r="F156" s="2" t="s">
        <v>9271</v>
      </c>
      <c r="G156" s="2" t="s">
        <v>8662</v>
      </c>
      <c r="H156" s="2" t="e">
        <f aca="false">VLOOKUP(A156,'[1]NE red list'!A$1:H$1048576,5,FALSE())</f>
        <v>#N/A</v>
      </c>
      <c r="I156" s="2" t="s">
        <v>8610</v>
      </c>
      <c r="J156" s="2" t="s">
        <v>9277</v>
      </c>
      <c r="L156" s="2" t="s">
        <v>8948</v>
      </c>
      <c r="N156" s="2" t="str">
        <f aca="false">_xlfn.CONCAT(Q156," ",R156," ",S156)</f>
        <v> parkland </v>
      </c>
      <c r="O156" s="3" t="s">
        <v>14</v>
      </c>
      <c r="P156" s="2"/>
      <c r="R156" s="2" t="s">
        <v>8568</v>
      </c>
      <c r="T156" s="2"/>
      <c r="U156" s="2" t="s">
        <v>8605</v>
      </c>
      <c r="X156" s="2" t="s">
        <v>8625</v>
      </c>
      <c r="Z156" s="2" t="s">
        <v>8574</v>
      </c>
      <c r="AB156" s="5" t="s">
        <v>8672</v>
      </c>
      <c r="AG156" s="7" t="s">
        <v>8824</v>
      </c>
      <c r="AS156" s="2"/>
      <c r="AV156" s="11"/>
      <c r="BC156" s="2" t="s">
        <v>8600</v>
      </c>
      <c r="BD156" s="2" t="s">
        <v>8577</v>
      </c>
      <c r="BF156" s="2" t="s">
        <v>9274</v>
      </c>
      <c r="BH156" s="2" t="s">
        <v>9275</v>
      </c>
      <c r="BI156" s="2" t="s">
        <v>8590</v>
      </c>
      <c r="BL156" s="2" t="s">
        <v>8591</v>
      </c>
      <c r="BO156" s="2"/>
      <c r="MJM156" s="2"/>
    </row>
    <row r="157" customFormat="false" ht="19.5" hidden="false" customHeight="true" outlineLevel="0" collapsed="false">
      <c r="A157" s="1" t="s">
        <v>9278</v>
      </c>
      <c r="B157" s="2" t="s">
        <v>9279</v>
      </c>
      <c r="C157" s="2" t="str">
        <f aca="false">_xlfn.CONCAT(A157, " ","(",B157,")")</f>
        <v>Cryphia algae (Tree-lichen Beauty)</v>
      </c>
      <c r="D157" s="2" t="s">
        <v>8580</v>
      </c>
      <c r="E157" s="2" t="s">
        <v>8722</v>
      </c>
      <c r="F157" s="2" t="s">
        <v>9280</v>
      </c>
      <c r="H157" s="2" t="e">
        <f aca="false">VLOOKUP(A157,'[1]NE red list'!A$1:H$1048576,5,FALSE())</f>
        <v>#N/A</v>
      </c>
      <c r="I157" s="2" t="s">
        <v>8714</v>
      </c>
      <c r="J157" s="33" t="s">
        <v>9281</v>
      </c>
      <c r="N157" s="2" t="str">
        <f aca="false">_xlfn.CONCAT(Q157," ",R157," ",S157)</f>
        <v>woodland parkland ToW</v>
      </c>
      <c r="O157" s="2" t="s">
        <v>14</v>
      </c>
      <c r="P157" s="2" t="s">
        <v>8567</v>
      </c>
      <c r="Q157" s="2" t="s">
        <v>16</v>
      </c>
      <c r="R157" s="2" t="s">
        <v>8568</v>
      </c>
      <c r="S157" s="2" t="s">
        <v>18</v>
      </c>
      <c r="T157" s="2"/>
      <c r="U157" s="2" t="s">
        <v>8605</v>
      </c>
      <c r="X157" s="2" t="s">
        <v>8625</v>
      </c>
      <c r="AS157" s="2"/>
      <c r="AU157" s="4" t="s">
        <v>8639</v>
      </c>
      <c r="AV157" s="11"/>
      <c r="AW157" s="11" t="s">
        <v>8726</v>
      </c>
      <c r="BO157" s="2"/>
      <c r="MJM157" s="2"/>
    </row>
    <row r="158" s="57" customFormat="true" ht="19.5" hidden="false" customHeight="true" outlineLevel="0" collapsed="false">
      <c r="A158" s="2" t="s">
        <v>9282</v>
      </c>
      <c r="B158" s="2"/>
      <c r="C158" s="2" t="str">
        <f aca="false">_xlfn.CONCAT(A158, " ","(",B158,")")</f>
        <v>Cryptarcha strigata ()</v>
      </c>
      <c r="D158" s="2" t="s">
        <v>8580</v>
      </c>
      <c r="E158" s="2" t="s">
        <v>8581</v>
      </c>
      <c r="F158" s="2" t="s">
        <v>8661</v>
      </c>
      <c r="G158" s="2" t="s">
        <v>8583</v>
      </c>
      <c r="H158" s="2" t="e">
        <f aca="false">VLOOKUP(A158,'[1]NE red list'!A$1:H$1048576,5,FALSE())</f>
        <v>#N/A</v>
      </c>
      <c r="I158" s="2" t="s">
        <v>8645</v>
      </c>
      <c r="J158" s="2" t="s">
        <v>9283</v>
      </c>
      <c r="K158" s="2"/>
      <c r="L158" s="2" t="s">
        <v>8836</v>
      </c>
      <c r="M158" s="2"/>
      <c r="N158" s="2" t="str">
        <f aca="false">_xlfn.CONCAT(Q158," ",R158," ",S158)</f>
        <v>woodland parkland </v>
      </c>
      <c r="O158" s="3" t="s">
        <v>14</v>
      </c>
      <c r="P158" s="2"/>
      <c r="Q158" s="2" t="s">
        <v>16</v>
      </c>
      <c r="R158" s="2" t="s">
        <v>8568</v>
      </c>
      <c r="S158" s="2"/>
      <c r="T158" s="2"/>
      <c r="U158" s="2" t="s">
        <v>8570</v>
      </c>
      <c r="V158" s="2" t="s">
        <v>9284</v>
      </c>
      <c r="W158" s="2"/>
      <c r="X158" s="2" t="s">
        <v>8625</v>
      </c>
      <c r="Y158" s="2"/>
      <c r="Z158" s="2"/>
      <c r="AA158" s="4"/>
      <c r="AB158" s="5"/>
      <c r="AC158" s="6"/>
      <c r="AD158" s="6"/>
      <c r="AE158" s="6"/>
      <c r="AF158" s="6"/>
      <c r="AG158" s="7" t="s">
        <v>8824</v>
      </c>
      <c r="AH158" s="7"/>
      <c r="AI158" s="7"/>
      <c r="AJ158" s="7"/>
      <c r="AK158" s="7"/>
      <c r="AL158" s="7"/>
      <c r="AM158" s="4" t="s">
        <v>8657</v>
      </c>
      <c r="AN158" s="8" t="s">
        <v>9029</v>
      </c>
      <c r="AO158" s="8" t="s">
        <v>40</v>
      </c>
      <c r="AP158" s="8"/>
      <c r="AQ158" s="8" t="s">
        <v>42</v>
      </c>
      <c r="AR158" s="8"/>
      <c r="AS158" s="2"/>
      <c r="AT158" s="2"/>
      <c r="AU158" s="4"/>
      <c r="AV158" s="11"/>
      <c r="AW158" s="11"/>
      <c r="AX158" s="4"/>
      <c r="AY158" s="12"/>
      <c r="AZ158" s="12"/>
      <c r="BA158" s="2" t="s">
        <v>8868</v>
      </c>
      <c r="BB158" s="2"/>
      <c r="BC158" s="2"/>
      <c r="BD158" s="2"/>
      <c r="BE158" s="2"/>
      <c r="BF158" s="2"/>
      <c r="BG158" s="2"/>
      <c r="BH158" s="2"/>
      <c r="BI158" s="2" t="s">
        <v>8590</v>
      </c>
      <c r="BJ158" s="2" t="s">
        <v>8601</v>
      </c>
      <c r="BK158" s="2"/>
      <c r="BL158" s="2" t="s">
        <v>8591</v>
      </c>
      <c r="BM158" s="2"/>
    </row>
    <row r="159" customFormat="false" ht="19.5" hidden="false" customHeight="true" outlineLevel="0" collapsed="false">
      <c r="A159" s="2" t="s">
        <v>9285</v>
      </c>
      <c r="C159" s="2" t="str">
        <f aca="false">_xlfn.CONCAT(A159, " ","(",B159,")")</f>
        <v>Gnorimus variabilis ()</v>
      </c>
      <c r="D159" s="2" t="s">
        <v>8580</v>
      </c>
      <c r="E159" s="2" t="s">
        <v>8581</v>
      </c>
      <c r="F159" s="30" t="s">
        <v>9286</v>
      </c>
      <c r="G159" s="2" t="s">
        <v>8776</v>
      </c>
      <c r="H159" s="2" t="str">
        <f aca="false">VLOOKUP(A159,'[1]NE red list'!A$1:H$1048576,5,FALSE())</f>
        <v>EN</v>
      </c>
      <c r="I159" s="2" t="s">
        <v>8610</v>
      </c>
      <c r="J159" s="2" t="s">
        <v>9287</v>
      </c>
      <c r="L159" s="2" t="s">
        <v>8836</v>
      </c>
      <c r="N159" s="2" t="str">
        <f aca="false">_xlfn.CONCAT(Q159," ",R159," ",S159)</f>
        <v> parkland </v>
      </c>
      <c r="O159" s="3" t="s">
        <v>14</v>
      </c>
      <c r="P159" s="2"/>
      <c r="R159" s="2" t="s">
        <v>8568</v>
      </c>
      <c r="T159" s="2"/>
      <c r="U159" s="2" t="s">
        <v>8570</v>
      </c>
      <c r="V159" s="2" t="s">
        <v>8745</v>
      </c>
      <c r="W159" s="2" t="s">
        <v>8571</v>
      </c>
      <c r="X159" s="2" t="s">
        <v>8771</v>
      </c>
      <c r="Y159" s="2" t="s">
        <v>8573</v>
      </c>
      <c r="Z159" s="2" t="s">
        <v>8614</v>
      </c>
      <c r="AA159" s="4" t="s">
        <v>26</v>
      </c>
      <c r="AD159" s="6" t="s">
        <v>8615</v>
      </c>
      <c r="AF159" s="6" t="s">
        <v>8616</v>
      </c>
      <c r="AG159" s="7" t="s">
        <v>8575</v>
      </c>
      <c r="AI159" s="7" t="s">
        <v>8617</v>
      </c>
      <c r="AJ159" s="7" t="s">
        <v>8626</v>
      </c>
      <c r="AL159" s="7" t="s">
        <v>8628</v>
      </c>
      <c r="AS159" s="2"/>
      <c r="AT159" s="8"/>
      <c r="AV159" s="11"/>
      <c r="BA159" s="8"/>
      <c r="BB159" s="8"/>
      <c r="BC159" s="8"/>
      <c r="BD159" s="2" t="s">
        <v>8629</v>
      </c>
      <c r="BE159" s="8"/>
      <c r="BF159" s="8"/>
      <c r="BG159" s="8"/>
      <c r="BH159" s="8"/>
      <c r="BI159" s="2" t="s">
        <v>8590</v>
      </c>
      <c r="BJ159" s="8" t="s">
        <v>8773</v>
      </c>
      <c r="BK159" s="8"/>
      <c r="BL159" s="8" t="s">
        <v>8578</v>
      </c>
      <c r="BM159" s="8" t="s">
        <v>8619</v>
      </c>
      <c r="BN159" s="8"/>
      <c r="BO159" s="2"/>
      <c r="MJM159" s="2"/>
    </row>
    <row r="160" customFormat="false" ht="19.5" hidden="false" customHeight="true" outlineLevel="0" collapsed="false">
      <c r="A160" s="2" t="s">
        <v>9288</v>
      </c>
      <c r="C160" s="2" t="str">
        <f aca="false">_xlfn.CONCAT(A160, " ","(",B160,")")</f>
        <v>Cryptolestes ferrugineus ()</v>
      </c>
      <c r="D160" s="2" t="s">
        <v>8580</v>
      </c>
      <c r="E160" s="2" t="s">
        <v>8581</v>
      </c>
      <c r="F160" s="3" t="s">
        <v>9289</v>
      </c>
      <c r="H160" s="2" t="e">
        <f aca="false">VLOOKUP(A160,'[1]NE red list'!A$1:H$1048576,5,FALSE())</f>
        <v>#N/A</v>
      </c>
      <c r="I160" s="2" t="s">
        <v>8610</v>
      </c>
      <c r="J160" s="2" t="s">
        <v>9290</v>
      </c>
      <c r="K160" s="2" t="s">
        <v>8637</v>
      </c>
      <c r="L160" s="2" t="s">
        <v>8677</v>
      </c>
      <c r="N160" s="2" t="str">
        <f aca="false">_xlfn.CONCAT(Q160," ",R160," ",S160)</f>
        <v> parkland </v>
      </c>
      <c r="O160" s="3" t="s">
        <v>14</v>
      </c>
      <c r="P160" s="2" t="s">
        <v>8587</v>
      </c>
      <c r="R160" s="2" t="s">
        <v>8568</v>
      </c>
      <c r="T160" s="2"/>
      <c r="U160" s="2" t="s">
        <v>8570</v>
      </c>
      <c r="V160" s="2" t="s">
        <v>9291</v>
      </c>
      <c r="W160" s="2" t="s">
        <v>8567</v>
      </c>
      <c r="X160" s="2" t="s">
        <v>8625</v>
      </c>
      <c r="Z160" s="2" t="s">
        <v>8637</v>
      </c>
      <c r="AG160" s="7" t="s">
        <v>8824</v>
      </c>
      <c r="AN160" s="8" t="s">
        <v>8829</v>
      </c>
      <c r="AS160" s="2"/>
      <c r="AV160" s="11"/>
      <c r="BA160" s="2" t="s">
        <v>8868</v>
      </c>
      <c r="BI160" s="2" t="s">
        <v>8590</v>
      </c>
      <c r="BL160" s="2" t="s">
        <v>8591</v>
      </c>
      <c r="BO160" s="2"/>
      <c r="MJM160" s="2"/>
    </row>
    <row r="161" customFormat="false" ht="19.5" hidden="false" customHeight="true" outlineLevel="0" collapsed="false">
      <c r="A161" s="2" t="s">
        <v>9292</v>
      </c>
      <c r="C161" s="2" t="str">
        <f aca="false">_xlfn.CONCAT(A161, " ","(",B161,")")</f>
        <v>Cryptophagus confusus ()</v>
      </c>
      <c r="D161" s="2" t="s">
        <v>8580</v>
      </c>
      <c r="E161" s="2" t="s">
        <v>8581</v>
      </c>
      <c r="F161" s="3" t="s">
        <v>8929</v>
      </c>
      <c r="G161" s="2" t="s">
        <v>8662</v>
      </c>
      <c r="H161" s="2" t="e">
        <f aca="false">VLOOKUP(A161,'[1]NE red list'!A$1:H$1048576,5,FALSE())</f>
        <v>#N/A</v>
      </c>
      <c r="I161" s="2" t="s">
        <v>8714</v>
      </c>
      <c r="J161" s="2" t="s">
        <v>9293</v>
      </c>
      <c r="L161" s="2" t="s">
        <v>8677</v>
      </c>
      <c r="N161" s="2" t="str">
        <f aca="false">_xlfn.CONCAT(Q161," ",R161," ",S161)</f>
        <v> parkland </v>
      </c>
      <c r="O161" s="3" t="s">
        <v>14</v>
      </c>
      <c r="P161" s="2" t="s">
        <v>8567</v>
      </c>
      <c r="R161" s="2" t="s">
        <v>8568</v>
      </c>
      <c r="T161" s="2"/>
      <c r="U161" s="2" t="s">
        <v>8570</v>
      </c>
      <c r="V161" s="2" t="s">
        <v>9038</v>
      </c>
      <c r="X161" s="2" t="s">
        <v>8625</v>
      </c>
      <c r="Z161" s="2" t="s">
        <v>8574</v>
      </c>
      <c r="AG161" s="7" t="s">
        <v>8575</v>
      </c>
      <c r="AI161" s="7" t="s">
        <v>8617</v>
      </c>
      <c r="AS161" s="2"/>
      <c r="AV161" s="11"/>
      <c r="BI161" s="2" t="s">
        <v>8590</v>
      </c>
      <c r="BJ161" s="2" t="s">
        <v>8601</v>
      </c>
      <c r="BL161" s="2" t="s">
        <v>8591</v>
      </c>
      <c r="BO161" s="2"/>
      <c r="MJM161" s="2"/>
    </row>
    <row r="162" customFormat="false" ht="19.5" hidden="false" customHeight="true" outlineLevel="0" collapsed="false">
      <c r="A162" s="2" t="s">
        <v>9294</v>
      </c>
      <c r="C162" s="2" t="str">
        <f aca="false">_xlfn.CONCAT(A162, " ","(",B162,")")</f>
        <v>Cryptophagus falcozi ()</v>
      </c>
      <c r="D162" s="2" t="s">
        <v>8580</v>
      </c>
      <c r="E162" s="2" t="s">
        <v>8581</v>
      </c>
      <c r="F162" s="3" t="s">
        <v>8929</v>
      </c>
      <c r="G162" s="2" t="s">
        <v>8662</v>
      </c>
      <c r="H162" s="2" t="e">
        <f aca="false">VLOOKUP(A162,'[1]NE red list'!A$1:H$1048576,5,FALSE())</f>
        <v>#N/A</v>
      </c>
      <c r="I162" s="62" t="s">
        <v>8714</v>
      </c>
      <c r="J162" s="2" t="s">
        <v>9295</v>
      </c>
      <c r="K162" s="2" t="s">
        <v>9296</v>
      </c>
      <c r="L162" s="2" t="s">
        <v>8677</v>
      </c>
      <c r="N162" s="2" t="str">
        <f aca="false">_xlfn.CONCAT(Q162," ",R162," ",S162)</f>
        <v> parkland </v>
      </c>
      <c r="O162" s="3" t="s">
        <v>14</v>
      </c>
      <c r="P162" s="2" t="s">
        <v>8567</v>
      </c>
      <c r="R162" s="2" t="s">
        <v>8568</v>
      </c>
      <c r="T162" s="2"/>
      <c r="U162" s="2" t="s">
        <v>8570</v>
      </c>
      <c r="V162" s="2" t="s">
        <v>9038</v>
      </c>
      <c r="X162" s="2" t="s">
        <v>8625</v>
      </c>
      <c r="Z162" s="2" t="s">
        <v>8574</v>
      </c>
      <c r="AG162" s="7" t="s">
        <v>8575</v>
      </c>
      <c r="AI162" s="7" t="s">
        <v>8617</v>
      </c>
      <c r="AK162" s="7" t="s">
        <v>8627</v>
      </c>
      <c r="AS162" s="2"/>
      <c r="AV162" s="11"/>
      <c r="AX162" s="4" t="s">
        <v>8585</v>
      </c>
      <c r="AY162" s="12" t="s">
        <v>8585</v>
      </c>
      <c r="BI162" s="2" t="s">
        <v>8590</v>
      </c>
      <c r="BL162" s="2" t="s">
        <v>8591</v>
      </c>
      <c r="BM162" s="2" t="s">
        <v>8619</v>
      </c>
      <c r="BO162" s="2"/>
      <c r="MJM162" s="2"/>
    </row>
    <row r="163" customFormat="false" ht="19.5" hidden="false" customHeight="true" outlineLevel="0" collapsed="false">
      <c r="A163" s="2" t="s">
        <v>9297</v>
      </c>
      <c r="C163" s="2" t="str">
        <f aca="false">_xlfn.CONCAT(A163, " ","(",B163,")")</f>
        <v>Cryptophagus intermedius ()</v>
      </c>
      <c r="D163" s="2" t="s">
        <v>8580</v>
      </c>
      <c r="E163" s="2" t="s">
        <v>8581</v>
      </c>
      <c r="F163" s="3" t="s">
        <v>8929</v>
      </c>
      <c r="G163" s="2" t="s">
        <v>8662</v>
      </c>
      <c r="H163" s="2" t="e">
        <f aca="false">VLOOKUP(A163,'[1]NE red list'!A$1:H$1048576,5,FALSE())</f>
        <v>#N/A</v>
      </c>
      <c r="I163" s="2" t="s">
        <v>9298</v>
      </c>
      <c r="J163" s="2" t="s">
        <v>9299</v>
      </c>
      <c r="L163" s="2" t="s">
        <v>8836</v>
      </c>
      <c r="N163" s="2" t="str">
        <f aca="false">_xlfn.CONCAT(Q163," ",R163," ",S163)</f>
        <v>woodland parkland ToW</v>
      </c>
      <c r="O163" s="2" t="s">
        <v>14</v>
      </c>
      <c r="P163" s="2"/>
      <c r="Q163" s="2" t="s">
        <v>16</v>
      </c>
      <c r="R163" s="2" t="s">
        <v>8568</v>
      </c>
      <c r="S163" s="2" t="s">
        <v>18</v>
      </c>
      <c r="T163" s="2"/>
      <c r="U163" s="2" t="s">
        <v>8570</v>
      </c>
      <c r="V163" s="2" t="s">
        <v>9300</v>
      </c>
      <c r="X163" s="2" t="s">
        <v>8625</v>
      </c>
      <c r="Z163" s="2" t="s">
        <v>8574</v>
      </c>
      <c r="AB163" s="5" t="s">
        <v>8672</v>
      </c>
      <c r="AG163" s="7" t="s">
        <v>8824</v>
      </c>
      <c r="AN163" s="8" t="s">
        <v>8638</v>
      </c>
      <c r="AS163" s="2"/>
      <c r="AV163" s="11"/>
      <c r="BI163" s="2" t="s">
        <v>8590</v>
      </c>
      <c r="BL163" s="2" t="s">
        <v>8591</v>
      </c>
      <c r="BO163" s="2"/>
      <c r="MJM163" s="2"/>
    </row>
    <row r="164" customFormat="false" ht="19.5" hidden="false" customHeight="true" outlineLevel="0" collapsed="false">
      <c r="A164" s="2" t="s">
        <v>9301</v>
      </c>
      <c r="C164" s="2" t="str">
        <f aca="false">_xlfn.CONCAT(A164, " ","(",B164,")")</f>
        <v>Cryptophagus labilis ()</v>
      </c>
      <c r="D164" s="2" t="s">
        <v>8580</v>
      </c>
      <c r="E164" s="2" t="s">
        <v>8581</v>
      </c>
      <c r="F164" s="3" t="s">
        <v>8929</v>
      </c>
      <c r="G164" s="2" t="s">
        <v>8583</v>
      </c>
      <c r="H164" s="2" t="e">
        <f aca="false">VLOOKUP(A164,'[1]NE red list'!A$1:H$1048576,5,FALSE())</f>
        <v>#N/A</v>
      </c>
      <c r="I164" s="2" t="s">
        <v>9298</v>
      </c>
      <c r="J164" s="2" t="s">
        <v>9302</v>
      </c>
      <c r="K164" s="2" t="s">
        <v>9303</v>
      </c>
      <c r="L164" s="2" t="s">
        <v>8677</v>
      </c>
      <c r="N164" s="2" t="str">
        <f aca="false">_xlfn.CONCAT(Q164," ",R164," ",S164)</f>
        <v> parkland </v>
      </c>
      <c r="O164" s="3" t="s">
        <v>14</v>
      </c>
      <c r="P164" s="2" t="s">
        <v>8587</v>
      </c>
      <c r="R164" s="2" t="s">
        <v>8568</v>
      </c>
      <c r="T164" s="2"/>
      <c r="U164" s="2" t="s">
        <v>8570</v>
      </c>
      <c r="W164" s="2" t="s">
        <v>8571</v>
      </c>
      <c r="X164" s="2" t="s">
        <v>9190</v>
      </c>
      <c r="Z164" s="2" t="s">
        <v>8574</v>
      </c>
      <c r="AG164" s="7" t="s">
        <v>8575</v>
      </c>
      <c r="AI164" s="7" t="s">
        <v>8617</v>
      </c>
      <c r="AK164" s="7" t="s">
        <v>8627</v>
      </c>
      <c r="AS164" s="2"/>
      <c r="AV164" s="11"/>
      <c r="BI164" s="2" t="s">
        <v>8590</v>
      </c>
      <c r="BJ164" s="2" t="s">
        <v>8601</v>
      </c>
      <c r="BL164" s="2" t="s">
        <v>8591</v>
      </c>
      <c r="BM164" s="2" t="s">
        <v>8619</v>
      </c>
      <c r="BO164" s="2"/>
      <c r="MJM164" s="2"/>
    </row>
    <row r="165" s="57" customFormat="true" ht="19.5" hidden="false" customHeight="true" outlineLevel="0" collapsed="false">
      <c r="A165" s="2" t="s">
        <v>9304</v>
      </c>
      <c r="B165" s="2"/>
      <c r="C165" s="2" t="str">
        <f aca="false">_xlfn.CONCAT(A165, " ","(",B165,")")</f>
        <v>Elater ferrugineus ()</v>
      </c>
      <c r="D165" s="2" t="s">
        <v>8580</v>
      </c>
      <c r="E165" s="2" t="s">
        <v>8581</v>
      </c>
      <c r="F165" s="2" t="s">
        <v>8621</v>
      </c>
      <c r="G165" s="2" t="s">
        <v>8662</v>
      </c>
      <c r="H165" s="2" t="e">
        <f aca="false">VLOOKUP(A165,'[1]NE red list'!A$1:H$1048576,5,FALSE())</f>
        <v>#N/A</v>
      </c>
      <c r="I165" s="2" t="s">
        <v>9090</v>
      </c>
      <c r="J165" s="2" t="s">
        <v>9305</v>
      </c>
      <c r="K165" s="2"/>
      <c r="L165" s="2" t="s">
        <v>8665</v>
      </c>
      <c r="M165" s="2"/>
      <c r="N165" s="2" t="str">
        <f aca="false">_xlfn.CONCAT(Q165," ",R165," ",S165)</f>
        <v> parkland </v>
      </c>
      <c r="O165" s="3" t="s">
        <v>14</v>
      </c>
      <c r="P165" s="2"/>
      <c r="Q165" s="2"/>
      <c r="R165" s="2" t="s">
        <v>8568</v>
      </c>
      <c r="S165" s="2"/>
      <c r="T165" s="2"/>
      <c r="U165" s="2" t="s">
        <v>8570</v>
      </c>
      <c r="V165" s="2" t="s">
        <v>9306</v>
      </c>
      <c r="W165" s="2" t="s">
        <v>8571</v>
      </c>
      <c r="X165" s="2"/>
      <c r="Y165" s="2"/>
      <c r="Z165" s="2"/>
      <c r="AA165" s="4" t="s">
        <v>26</v>
      </c>
      <c r="AB165" s="5"/>
      <c r="AC165" s="6"/>
      <c r="AD165" s="6" t="s">
        <v>8615</v>
      </c>
      <c r="AE165" s="6"/>
      <c r="AF165" s="6" t="s">
        <v>8616</v>
      </c>
      <c r="AG165" s="7" t="s">
        <v>8575</v>
      </c>
      <c r="AH165" s="7"/>
      <c r="AI165" s="7" t="s">
        <v>8617</v>
      </c>
      <c r="AJ165" s="7" t="s">
        <v>8612</v>
      </c>
      <c r="AK165" s="7" t="s">
        <v>8627</v>
      </c>
      <c r="AL165" s="7" t="s">
        <v>8628</v>
      </c>
      <c r="AM165" s="4"/>
      <c r="AN165" s="8"/>
      <c r="AO165" s="8"/>
      <c r="AP165" s="8"/>
      <c r="AQ165" s="8"/>
      <c r="AR165" s="8"/>
      <c r="AS165" s="2"/>
      <c r="AT165" s="2"/>
      <c r="AU165" s="4"/>
      <c r="AV165" s="11"/>
      <c r="AW165" s="11"/>
      <c r="AX165" s="4"/>
      <c r="AY165" s="12"/>
      <c r="AZ165" s="12"/>
      <c r="BA165" s="2"/>
      <c r="BB165" s="2"/>
      <c r="BC165" s="2"/>
      <c r="BD165" s="2"/>
      <c r="BE165" s="2"/>
      <c r="BF165" s="2"/>
      <c r="BG165" s="2"/>
      <c r="BH165" s="2"/>
      <c r="BI165" s="2" t="s">
        <v>8590</v>
      </c>
      <c r="BJ165" s="2"/>
      <c r="BK165" s="2"/>
      <c r="BL165" s="2" t="s">
        <v>8591</v>
      </c>
      <c r="BM165" s="2" t="s">
        <v>8619</v>
      </c>
    </row>
    <row r="166" customFormat="false" ht="19.5" hidden="false" customHeight="true" outlineLevel="0" collapsed="false">
      <c r="A166" s="2" t="s">
        <v>9307</v>
      </c>
      <c r="C166" s="2" t="str">
        <f aca="false">_xlfn.CONCAT(A166, " ","(",B166,")")</f>
        <v>Cryptophagus ruficornis ()</v>
      </c>
      <c r="D166" s="2" t="s">
        <v>8580</v>
      </c>
      <c r="E166" s="2" t="s">
        <v>8581</v>
      </c>
      <c r="F166" s="3" t="s">
        <v>8929</v>
      </c>
      <c r="G166" s="2" t="s">
        <v>8583</v>
      </c>
      <c r="H166" s="2" t="e">
        <f aca="false">VLOOKUP(A166,'[1]NE red list'!A$1:H$1048576,5,FALSE())</f>
        <v>#N/A</v>
      </c>
      <c r="I166" s="2" t="s">
        <v>9192</v>
      </c>
      <c r="J166" s="2" t="s">
        <v>9308</v>
      </c>
      <c r="L166" s="2" t="s">
        <v>8677</v>
      </c>
      <c r="N166" s="2" t="str">
        <f aca="false">_xlfn.CONCAT(Q166," ",R166," ",S166)</f>
        <v>woodland parkland </v>
      </c>
      <c r="O166" s="3" t="s">
        <v>14</v>
      </c>
      <c r="P166" s="2" t="s">
        <v>8567</v>
      </c>
      <c r="Q166" s="2" t="s">
        <v>16</v>
      </c>
      <c r="R166" s="2" t="s">
        <v>8568</v>
      </c>
      <c r="T166" s="2"/>
      <c r="U166" s="2" t="s">
        <v>8570</v>
      </c>
      <c r="V166" s="2" t="s">
        <v>9309</v>
      </c>
      <c r="W166" s="2" t="s">
        <v>8567</v>
      </c>
      <c r="Z166" s="2" t="s">
        <v>8574</v>
      </c>
      <c r="AG166" s="7" t="s">
        <v>8575</v>
      </c>
      <c r="AM166" s="4" t="s">
        <v>8657</v>
      </c>
      <c r="AP166" s="8" t="s">
        <v>8791</v>
      </c>
      <c r="AS166" s="2"/>
      <c r="AV166" s="11"/>
      <c r="AX166" s="4" t="s">
        <v>8607</v>
      </c>
      <c r="AY166" s="12" t="s">
        <v>8585</v>
      </c>
      <c r="BI166" s="2" t="s">
        <v>8590</v>
      </c>
      <c r="BL166" s="2" t="s">
        <v>8591</v>
      </c>
      <c r="BO166" s="2"/>
      <c r="MJM166" s="2"/>
    </row>
    <row r="167" customFormat="false" ht="19.5" hidden="false" customHeight="true" outlineLevel="0" collapsed="false">
      <c r="A167" s="2" t="s">
        <v>9310</v>
      </c>
      <c r="C167" s="2" t="str">
        <f aca="false">_xlfn.CONCAT(A167, " ","(",B167,")")</f>
        <v>Crypturgus subcribrosus ()</v>
      </c>
      <c r="D167" s="2" t="s">
        <v>8580</v>
      </c>
      <c r="E167" s="2" t="s">
        <v>8581</v>
      </c>
      <c r="F167" s="2" t="s">
        <v>9248</v>
      </c>
      <c r="H167" s="2" t="e">
        <f aca="false">VLOOKUP(A167,'[1]NE red list'!A$1:H$1048576,5,FALSE())</f>
        <v>#N/A</v>
      </c>
      <c r="I167" s="2" t="s">
        <v>8610</v>
      </c>
      <c r="J167" s="2" t="s">
        <v>9311</v>
      </c>
      <c r="L167" s="2" t="s">
        <v>8613</v>
      </c>
      <c r="N167" s="2" t="str">
        <f aca="false">_xlfn.CONCAT(Q167," ",R167," ",S167)</f>
        <v>woodland  </v>
      </c>
      <c r="O167" s="2"/>
      <c r="P167" s="2"/>
      <c r="Q167" s="2" t="s">
        <v>16</v>
      </c>
      <c r="T167" s="2"/>
      <c r="U167" s="2" t="s">
        <v>8806</v>
      </c>
      <c r="V167" s="2" t="s">
        <v>9312</v>
      </c>
      <c r="X167" s="2" t="s">
        <v>8625</v>
      </c>
      <c r="Z167" s="2" t="s">
        <v>9313</v>
      </c>
      <c r="AB167" s="5" t="s">
        <v>8672</v>
      </c>
      <c r="AG167" s="7" t="s">
        <v>8575</v>
      </c>
      <c r="AS167" s="2"/>
      <c r="AV167" s="11"/>
      <c r="BL167" s="2" t="s">
        <v>8591</v>
      </c>
      <c r="BO167" s="2"/>
      <c r="MJM167" s="2"/>
    </row>
    <row r="168" customFormat="false" ht="19.5" hidden="false" customHeight="true" outlineLevel="0" collapsed="false">
      <c r="A168" s="2" t="s">
        <v>9314</v>
      </c>
      <c r="C168" s="2" t="str">
        <f aca="false">_xlfn.CONCAT(A168, " ","(",B168,")")</f>
        <v>Ctenophora flaveolata ()</v>
      </c>
      <c r="D168" s="2" t="s">
        <v>8580</v>
      </c>
      <c r="E168" s="2" t="s">
        <v>8687</v>
      </c>
      <c r="F168" s="2" t="s">
        <v>8933</v>
      </c>
      <c r="G168" s="2" t="s">
        <v>8662</v>
      </c>
      <c r="H168" s="2" t="e">
        <f aca="false">VLOOKUP(A168,'[1]NE red list'!A$1:H$1048576,5,FALSE())</f>
        <v>#N/A</v>
      </c>
      <c r="I168" s="2" t="s">
        <v>8610</v>
      </c>
      <c r="J168" s="2" t="s">
        <v>9315</v>
      </c>
      <c r="L168" s="2" t="s">
        <v>8770</v>
      </c>
      <c r="N168" s="2" t="str">
        <f aca="false">_xlfn.CONCAT(Q168," ",R168," ",S168)</f>
        <v>woodland parkland </v>
      </c>
      <c r="O168" s="3" t="s">
        <v>14</v>
      </c>
      <c r="P168" s="2" t="s">
        <v>8587</v>
      </c>
      <c r="Q168" s="2" t="s">
        <v>16</v>
      </c>
      <c r="R168" s="2" t="s">
        <v>8568</v>
      </c>
      <c r="T168" s="2"/>
      <c r="U168" s="2" t="s">
        <v>8570</v>
      </c>
      <c r="V168" s="2" t="s">
        <v>9038</v>
      </c>
      <c r="W168" s="2" t="s">
        <v>8571</v>
      </c>
      <c r="X168" s="2" t="s">
        <v>8589</v>
      </c>
      <c r="Z168" s="2" t="s">
        <v>8614</v>
      </c>
      <c r="AA168" s="4" t="s">
        <v>26</v>
      </c>
      <c r="AD168" s="6" t="s">
        <v>9044</v>
      </c>
      <c r="AF168" s="6" t="s">
        <v>8616</v>
      </c>
      <c r="AG168" s="7" t="s">
        <v>8575</v>
      </c>
      <c r="AI168" s="7" t="s">
        <v>8617</v>
      </c>
      <c r="AK168" s="7" t="s">
        <v>8780</v>
      </c>
      <c r="AS168" s="2"/>
      <c r="AV168" s="11"/>
      <c r="BB168" s="2" t="s">
        <v>8618</v>
      </c>
      <c r="BI168" s="2" t="s">
        <v>8590</v>
      </c>
      <c r="BL168" s="2" t="s">
        <v>8591</v>
      </c>
      <c r="BO168" s="2"/>
      <c r="MJM168" s="2"/>
    </row>
    <row r="169" customFormat="false" ht="19.5" hidden="false" customHeight="true" outlineLevel="0" collapsed="false">
      <c r="A169" s="2" t="s">
        <v>9316</v>
      </c>
      <c r="C169" s="2" t="str">
        <f aca="false">_xlfn.CONCAT(A169, " ","(",B169,")")</f>
        <v>Ctenophora ornata ()</v>
      </c>
      <c r="D169" s="2" t="s">
        <v>8580</v>
      </c>
      <c r="E169" s="2" t="s">
        <v>8687</v>
      </c>
      <c r="F169" s="2" t="s">
        <v>8933</v>
      </c>
      <c r="G169" s="2" t="s">
        <v>8662</v>
      </c>
      <c r="H169" s="2" t="e">
        <f aca="false">VLOOKUP(A169,'[1]NE red list'!A$1:H$1048576,5,FALSE())</f>
        <v>#N/A</v>
      </c>
      <c r="I169" s="2" t="s">
        <v>8610</v>
      </c>
      <c r="J169" s="2" t="s">
        <v>9317</v>
      </c>
      <c r="L169" s="2" t="s">
        <v>8836</v>
      </c>
      <c r="N169" s="2" t="str">
        <f aca="false">_xlfn.CONCAT(Q169," ",R169," ",S169)</f>
        <v> parkland </v>
      </c>
      <c r="O169" s="3" t="s">
        <v>14</v>
      </c>
      <c r="P169" s="2" t="s">
        <v>8587</v>
      </c>
      <c r="R169" s="2" t="s">
        <v>8568</v>
      </c>
      <c r="T169" s="2"/>
      <c r="U169" s="2" t="s">
        <v>8570</v>
      </c>
      <c r="V169" s="2" t="s">
        <v>9038</v>
      </c>
      <c r="W169" s="2" t="s">
        <v>8587</v>
      </c>
      <c r="X169" s="2" t="s">
        <v>8589</v>
      </c>
      <c r="Y169" s="2" t="s">
        <v>8772</v>
      </c>
      <c r="Z169" s="2" t="s">
        <v>8614</v>
      </c>
      <c r="AG169" s="7" t="s">
        <v>8575</v>
      </c>
      <c r="AI169" s="7" t="s">
        <v>8617</v>
      </c>
      <c r="AK169" s="7" t="s">
        <v>8780</v>
      </c>
      <c r="AL169" s="7" t="s">
        <v>9318</v>
      </c>
      <c r="AS169" s="2"/>
      <c r="AV169" s="11"/>
      <c r="BI169" s="2" t="s">
        <v>8590</v>
      </c>
      <c r="BL169" s="2" t="s">
        <v>8591</v>
      </c>
      <c r="BO169" s="2"/>
      <c r="MJM169" s="2"/>
    </row>
    <row r="170" customFormat="false" ht="19.5" hidden="false" customHeight="true" outlineLevel="0" collapsed="false">
      <c r="A170" s="2" t="s">
        <v>9319</v>
      </c>
      <c r="C170" s="2" t="str">
        <f aca="false">_xlfn.CONCAT(A170, " ","(",B170,")")</f>
        <v>Ctenophora pectinicornis ()</v>
      </c>
      <c r="D170" s="2" t="s">
        <v>8580</v>
      </c>
      <c r="E170" s="2" t="s">
        <v>8687</v>
      </c>
      <c r="F170" s="2" t="s">
        <v>8933</v>
      </c>
      <c r="G170" s="2" t="s">
        <v>8583</v>
      </c>
      <c r="H170" s="2" t="e">
        <f aca="false">VLOOKUP(A170,'[1]NE red list'!A$1:H$1048576,5,FALSE())</f>
        <v>#N/A</v>
      </c>
      <c r="I170" s="2" t="s">
        <v>8610</v>
      </c>
      <c r="J170" s="2" t="s">
        <v>9320</v>
      </c>
      <c r="L170" s="2" t="s">
        <v>8770</v>
      </c>
      <c r="N170" s="2" t="str">
        <f aca="false">_xlfn.CONCAT(Q170," ",R170," ",S170)</f>
        <v>woodland parkland </v>
      </c>
      <c r="O170" s="3" t="s">
        <v>14</v>
      </c>
      <c r="P170" s="2" t="s">
        <v>8587</v>
      </c>
      <c r="Q170" s="2" t="s">
        <v>16</v>
      </c>
      <c r="R170" s="2" t="s">
        <v>8568</v>
      </c>
      <c r="T170" s="2"/>
      <c r="U170" s="2" t="s">
        <v>8570</v>
      </c>
      <c r="V170" s="2" t="s">
        <v>9038</v>
      </c>
      <c r="W170" s="2" t="s">
        <v>8587</v>
      </c>
      <c r="X170" s="2" t="s">
        <v>8625</v>
      </c>
      <c r="Y170" s="2" t="s">
        <v>8772</v>
      </c>
      <c r="Z170" s="2" t="s">
        <v>8614</v>
      </c>
      <c r="AA170" s="4" t="s">
        <v>26</v>
      </c>
      <c r="AD170" s="6" t="s">
        <v>9044</v>
      </c>
      <c r="AF170" s="6" t="s">
        <v>9045</v>
      </c>
      <c r="AG170" s="7" t="s">
        <v>8575</v>
      </c>
      <c r="AI170" s="7" t="s">
        <v>8617</v>
      </c>
      <c r="AL170" s="7" t="s">
        <v>8628</v>
      </c>
      <c r="AS170" s="2"/>
      <c r="AV170" s="11"/>
      <c r="BB170" s="2" t="s">
        <v>8618</v>
      </c>
      <c r="BI170" s="2" t="s">
        <v>8590</v>
      </c>
      <c r="BJ170" s="2" t="s">
        <v>8630</v>
      </c>
      <c r="BL170" s="2" t="s">
        <v>8591</v>
      </c>
      <c r="BO170" s="2"/>
      <c r="MJM170" s="2"/>
    </row>
    <row r="171" s="8" customFormat="true" ht="19.5" hidden="false" customHeight="true" outlineLevel="0" collapsed="false">
      <c r="A171" s="1" t="s">
        <v>9321</v>
      </c>
      <c r="B171" s="2" t="s">
        <v>9322</v>
      </c>
      <c r="C171" s="2" t="str">
        <f aca="false">_xlfn.CONCAT(A171, " ","(",B171,")")</f>
        <v>Erotides cosnardi (Cosnard's Net-winged Beetle)</v>
      </c>
      <c r="D171" s="2" t="s">
        <v>8580</v>
      </c>
      <c r="E171" s="2" t="s">
        <v>8581</v>
      </c>
      <c r="F171" s="2" t="s">
        <v>9323</v>
      </c>
      <c r="G171" s="2" t="s">
        <v>8776</v>
      </c>
      <c r="H171" s="2" t="str">
        <f aca="false">VLOOKUP(A171,'[1]NE red list'!A$1:H$1048576,5,FALSE())</f>
        <v>EN</v>
      </c>
      <c r="I171" s="2" t="s">
        <v>8610</v>
      </c>
      <c r="J171" s="2" t="s">
        <v>9324</v>
      </c>
      <c r="K171" s="2"/>
      <c r="L171" s="2" t="s">
        <v>8770</v>
      </c>
      <c r="M171" s="2"/>
      <c r="N171" s="2" t="str">
        <f aca="false">_xlfn.CONCAT(Q171," ",R171," ",S171)</f>
        <v>woodland parkland </v>
      </c>
      <c r="O171" s="3" t="s">
        <v>14</v>
      </c>
      <c r="P171" s="2" t="s">
        <v>8587</v>
      </c>
      <c r="Q171" s="2" t="s">
        <v>16</v>
      </c>
      <c r="R171" s="2" t="s">
        <v>8568</v>
      </c>
      <c r="S171" s="2"/>
      <c r="T171" s="2"/>
      <c r="U171" s="2" t="s">
        <v>8570</v>
      </c>
      <c r="V171" s="2" t="s">
        <v>9325</v>
      </c>
      <c r="W171" s="2" t="s">
        <v>8567</v>
      </c>
      <c r="X171" s="2" t="s">
        <v>8589</v>
      </c>
      <c r="Y171" s="2"/>
      <c r="Z171" s="2"/>
      <c r="AA171" s="4" t="s">
        <v>26</v>
      </c>
      <c r="AB171" s="5"/>
      <c r="AC171" s="6"/>
      <c r="AD171" s="6" t="s">
        <v>8615</v>
      </c>
      <c r="AE171" s="6"/>
      <c r="AF171" s="6" t="s">
        <v>8616</v>
      </c>
      <c r="AG171" s="7" t="s">
        <v>8575</v>
      </c>
      <c r="AH171" s="7"/>
      <c r="AI171" s="7" t="s">
        <v>8617</v>
      </c>
      <c r="AJ171" s="7"/>
      <c r="AK171" s="7" t="s">
        <v>8780</v>
      </c>
      <c r="AL171" s="7" t="s">
        <v>8628</v>
      </c>
      <c r="AM171" s="4"/>
      <c r="AS171" s="2"/>
      <c r="AU171" s="4"/>
      <c r="AV171" s="11"/>
      <c r="AW171" s="11"/>
      <c r="AX171" s="4"/>
      <c r="AY171" s="12"/>
      <c r="AZ171" s="12"/>
      <c r="BA171" s="8" t="s">
        <v>8868</v>
      </c>
      <c r="BB171" s="8" t="s">
        <v>8618</v>
      </c>
      <c r="BD171" s="32" t="s">
        <v>8629</v>
      </c>
      <c r="BL171" s="8" t="s">
        <v>8591</v>
      </c>
    </row>
    <row r="172" customFormat="false" ht="19.5" hidden="false" customHeight="true" outlineLevel="0" collapsed="false">
      <c r="A172" s="1" t="s">
        <v>9326</v>
      </c>
      <c r="B172" s="3" t="s">
        <v>9327</v>
      </c>
      <c r="C172" s="2" t="str">
        <f aca="false">_xlfn.CONCAT(A172, " ","(",B172,")")</f>
        <v>Cyanistes caeruleus (Eurasian Blue Tit)</v>
      </c>
      <c r="D172" s="2" t="s">
        <v>8560</v>
      </c>
      <c r="E172" s="2" t="s">
        <v>8561</v>
      </c>
      <c r="F172" s="2" t="s">
        <v>9328</v>
      </c>
      <c r="G172" s="2" t="s">
        <v>9115</v>
      </c>
      <c r="H172" s="2" t="str">
        <f aca="false">VLOOKUP(A172,'[1]NE red list'!A$1:H$1048576,5,FALSE())</f>
        <v>LC</v>
      </c>
      <c r="I172" s="2" t="s">
        <v>8645</v>
      </c>
      <c r="J172" s="2" t="s">
        <v>9329</v>
      </c>
      <c r="L172" s="2" t="s">
        <v>8665</v>
      </c>
      <c r="N172" s="2" t="str">
        <f aca="false">_xlfn.CONCAT(Q172," ",R172," ",S172)</f>
        <v>woodland parkland ToW</v>
      </c>
      <c r="O172" s="2" t="s">
        <v>14</v>
      </c>
      <c r="Q172" s="2" t="s">
        <v>16</v>
      </c>
      <c r="R172" s="2" t="s">
        <v>8568</v>
      </c>
      <c r="S172" s="2" t="s">
        <v>18</v>
      </c>
      <c r="U172" s="2" t="s">
        <v>8605</v>
      </c>
      <c r="W172" s="2" t="s">
        <v>8567</v>
      </c>
      <c r="X172" s="2" t="s">
        <v>9330</v>
      </c>
      <c r="Y172" s="2" t="s">
        <v>8573</v>
      </c>
      <c r="AA172" s="4" t="s">
        <v>26</v>
      </c>
      <c r="AF172" s="6" t="s">
        <v>9331</v>
      </c>
      <c r="AM172" s="4" t="s">
        <v>8657</v>
      </c>
      <c r="AN172" s="2"/>
      <c r="AO172" s="2"/>
      <c r="AP172" s="2"/>
      <c r="AQ172" s="8" t="s">
        <v>42</v>
      </c>
      <c r="AR172" s="8" t="s">
        <v>43</v>
      </c>
      <c r="AT172" s="61"/>
      <c r="MJM172" s="2"/>
    </row>
    <row r="173" customFormat="false" ht="19.5" hidden="false" customHeight="true" outlineLevel="0" collapsed="false">
      <c r="A173" s="63" t="s">
        <v>9332</v>
      </c>
      <c r="C173" s="2" t="str">
        <f aca="false">_xlfn.CONCAT(A173, " ","(",B173,")")</f>
        <v>Cydia leguminana ()</v>
      </c>
      <c r="D173" s="2" t="s">
        <v>8580</v>
      </c>
      <c r="E173" s="2" t="s">
        <v>8722</v>
      </c>
      <c r="F173" s="2" t="s">
        <v>9105</v>
      </c>
      <c r="G173" s="2" t="s">
        <v>8662</v>
      </c>
      <c r="H173" s="2" t="e">
        <f aca="false">VLOOKUP(A173,'[1]NE red list'!A$1:H$1048576,5,FALSE())</f>
        <v>#N/A</v>
      </c>
      <c r="I173" s="2" t="s">
        <v>8750</v>
      </c>
      <c r="J173" s="33" t="s">
        <v>9333</v>
      </c>
      <c r="L173" s="2" t="s">
        <v>8613</v>
      </c>
      <c r="N173" s="2" t="str">
        <f aca="false">_xlfn.CONCAT(Q173," ",R173," ",S173)</f>
        <v> parkland ToW</v>
      </c>
      <c r="O173" s="2" t="s">
        <v>14</v>
      </c>
      <c r="P173" s="2"/>
      <c r="R173" s="2" t="s">
        <v>8568</v>
      </c>
      <c r="S173" s="2" t="s">
        <v>18</v>
      </c>
      <c r="T173" s="2" t="s">
        <v>8569</v>
      </c>
      <c r="U173" s="2" t="s">
        <v>8570</v>
      </c>
      <c r="V173" s="2" t="s">
        <v>9334</v>
      </c>
      <c r="Y173" s="2" t="s">
        <v>8573</v>
      </c>
      <c r="Z173" s="2" t="s">
        <v>8614</v>
      </c>
      <c r="AG173" s="7" t="s">
        <v>8575</v>
      </c>
      <c r="AM173" s="4" t="s">
        <v>8657</v>
      </c>
      <c r="AN173" s="8" t="s">
        <v>9029</v>
      </c>
      <c r="AQ173" s="8" t="s">
        <v>42</v>
      </c>
      <c r="AS173" s="2"/>
      <c r="AT173" s="2" t="s">
        <v>45</v>
      </c>
      <c r="AU173" s="4" t="s">
        <v>8639</v>
      </c>
      <c r="AV173" s="11"/>
      <c r="AW173" s="11" t="s">
        <v>9335</v>
      </c>
      <c r="BL173" s="2" t="s">
        <v>8591</v>
      </c>
      <c r="BO173" s="2"/>
      <c r="MJM173" s="2"/>
    </row>
    <row r="174" customFormat="false" ht="19.5" hidden="false" customHeight="true" outlineLevel="0" collapsed="false">
      <c r="A174" s="2" t="s">
        <v>9336</v>
      </c>
      <c r="C174" s="2" t="str">
        <f aca="false">_xlfn.CONCAT(A174, " ","(",B174,")")</f>
        <v>Cypha imitator ()</v>
      </c>
      <c r="D174" s="2" t="s">
        <v>8580</v>
      </c>
      <c r="E174" s="2" t="s">
        <v>8581</v>
      </c>
      <c r="F174" s="2" t="s">
        <v>8652</v>
      </c>
      <c r="H174" s="2" t="e">
        <f aca="false">VLOOKUP(A174,'[1]NE red list'!A$1:H$1048576,5,FALSE())</f>
        <v>#N/A</v>
      </c>
      <c r="I174" s="2" t="s">
        <v>8610</v>
      </c>
      <c r="J174" s="2" t="s">
        <v>9337</v>
      </c>
      <c r="L174" s="2" t="s">
        <v>8586</v>
      </c>
      <c r="N174" s="2" t="str">
        <f aca="false">_xlfn.CONCAT(Q174," ",R174," ",S174)</f>
        <v>woodland parkland </v>
      </c>
      <c r="O174" s="3" t="s">
        <v>14</v>
      </c>
      <c r="P174" s="2"/>
      <c r="Q174" s="2" t="s">
        <v>16</v>
      </c>
      <c r="R174" s="2" t="s">
        <v>8568</v>
      </c>
      <c r="T174" s="2"/>
      <c r="U174" s="2" t="s">
        <v>8570</v>
      </c>
      <c r="V174" s="2" t="s">
        <v>9338</v>
      </c>
      <c r="W174" s="2" t="s">
        <v>8567</v>
      </c>
      <c r="X174" s="2" t="s">
        <v>9190</v>
      </c>
      <c r="Z174" s="2" t="s">
        <v>8574</v>
      </c>
      <c r="AG174" s="7" t="s">
        <v>8575</v>
      </c>
      <c r="AI174" s="7" t="s">
        <v>8617</v>
      </c>
      <c r="AL174" s="7" t="s">
        <v>8785</v>
      </c>
      <c r="AN174" s="8" t="s">
        <v>8638</v>
      </c>
      <c r="AS174" s="2"/>
      <c r="AV174" s="11"/>
      <c r="BI174" s="2" t="s">
        <v>8590</v>
      </c>
      <c r="BO174" s="2"/>
      <c r="MJM174" s="2"/>
    </row>
    <row r="175" customFormat="false" ht="19.5" hidden="false" customHeight="true" outlineLevel="0" collapsed="false">
      <c r="A175" s="2" t="s">
        <v>9339</v>
      </c>
      <c r="C175" s="2" t="str">
        <f aca="false">_xlfn.CONCAT(A175, " ","(",B175,")")</f>
        <v>Dacne bipustulata ()</v>
      </c>
      <c r="D175" s="2" t="s">
        <v>8580</v>
      </c>
      <c r="E175" s="2" t="s">
        <v>8581</v>
      </c>
      <c r="F175" s="3" t="s">
        <v>9340</v>
      </c>
      <c r="H175" s="2" t="e">
        <f aca="false">VLOOKUP(A175,'[1]NE red list'!A$1:H$1048576,5,FALSE())</f>
        <v>#N/A</v>
      </c>
      <c r="I175" s="2" t="s">
        <v>9086</v>
      </c>
      <c r="J175" s="2" t="s">
        <v>9341</v>
      </c>
      <c r="K175" s="2" t="s">
        <v>8585</v>
      </c>
      <c r="L175" s="2" t="s">
        <v>8677</v>
      </c>
      <c r="N175" s="2" t="str">
        <f aca="false">_xlfn.CONCAT(Q175," ",R175," ",S175)</f>
        <v>woodland parkland </v>
      </c>
      <c r="O175" s="3" t="s">
        <v>14</v>
      </c>
      <c r="P175" s="2" t="s">
        <v>8567</v>
      </c>
      <c r="Q175" s="2" t="s">
        <v>16</v>
      </c>
      <c r="R175" s="2" t="s">
        <v>8568</v>
      </c>
      <c r="T175" s="2"/>
      <c r="U175" s="2" t="s">
        <v>8570</v>
      </c>
      <c r="W175" s="2" t="s">
        <v>8567</v>
      </c>
      <c r="AS175" s="2"/>
      <c r="AV175" s="11"/>
      <c r="AX175" s="4" t="s">
        <v>8585</v>
      </c>
      <c r="AY175" s="12" t="s">
        <v>8585</v>
      </c>
      <c r="BI175" s="2" t="s">
        <v>8590</v>
      </c>
      <c r="BJ175" s="2" t="s">
        <v>8630</v>
      </c>
      <c r="BL175" s="2" t="s">
        <v>8591</v>
      </c>
      <c r="BO175" s="2"/>
      <c r="MJM175" s="2"/>
    </row>
    <row r="176" customFormat="false" ht="19.5" hidden="false" customHeight="true" outlineLevel="0" collapsed="false">
      <c r="A176" s="2" t="s">
        <v>9342</v>
      </c>
      <c r="C176" s="2" t="str">
        <f aca="false">_xlfn.CONCAT(A176, " ","(",B176,")")</f>
        <v>Dacne rufifrons ()</v>
      </c>
      <c r="D176" s="2" t="s">
        <v>8580</v>
      </c>
      <c r="E176" s="2" t="s">
        <v>8581</v>
      </c>
      <c r="F176" s="3" t="s">
        <v>9340</v>
      </c>
      <c r="H176" s="2" t="e">
        <f aca="false">VLOOKUP(A176,'[1]NE red list'!A$1:H$1048576,5,FALSE())</f>
        <v>#N/A</v>
      </c>
      <c r="I176" s="2" t="s">
        <v>9086</v>
      </c>
      <c r="J176" s="2" t="s">
        <v>9343</v>
      </c>
      <c r="K176" s="2" t="s">
        <v>8585</v>
      </c>
      <c r="L176" s="2" t="s">
        <v>8677</v>
      </c>
      <c r="N176" s="2" t="str">
        <f aca="false">_xlfn.CONCAT(Q176," ",R176," ",S176)</f>
        <v>woodland parkland </v>
      </c>
      <c r="O176" s="3" t="s">
        <v>14</v>
      </c>
      <c r="P176" s="2" t="s">
        <v>8567</v>
      </c>
      <c r="Q176" s="2" t="s">
        <v>16</v>
      </c>
      <c r="R176" s="2" t="s">
        <v>8568</v>
      </c>
      <c r="T176" s="2"/>
      <c r="U176" s="2" t="s">
        <v>8570</v>
      </c>
      <c r="W176" s="2" t="s">
        <v>8567</v>
      </c>
      <c r="AS176" s="2"/>
      <c r="AV176" s="11"/>
      <c r="AX176" s="4" t="s">
        <v>8585</v>
      </c>
      <c r="AY176" s="12" t="s">
        <v>8585</v>
      </c>
      <c r="BI176" s="2" t="s">
        <v>8590</v>
      </c>
      <c r="BL176" s="2" t="s">
        <v>8591</v>
      </c>
      <c r="BO176" s="2"/>
      <c r="MJM176" s="2"/>
    </row>
    <row r="177" customFormat="false" ht="19.5" hidden="false" customHeight="true" outlineLevel="0" collapsed="false">
      <c r="A177" s="2" t="s">
        <v>9344</v>
      </c>
      <c r="C177" s="2" t="str">
        <f aca="false">_xlfn.CONCAT(A177, " ","(",B177,")")</f>
        <v>Dadobia immersa ()</v>
      </c>
      <c r="D177" s="2" t="s">
        <v>8580</v>
      </c>
      <c r="E177" s="2" t="s">
        <v>8581</v>
      </c>
      <c r="F177" s="2" t="s">
        <v>8652</v>
      </c>
      <c r="H177" s="2" t="e">
        <f aca="false">VLOOKUP(A177,'[1]NE red list'!A$1:H$1048576,5,FALSE())</f>
        <v>#N/A</v>
      </c>
      <c r="I177" s="2" t="s">
        <v>8645</v>
      </c>
      <c r="J177" s="2" t="s">
        <v>9345</v>
      </c>
      <c r="N177" s="2" t="str">
        <f aca="false">_xlfn.CONCAT(Q177," ",R177," ",S177)</f>
        <v>woodland  </v>
      </c>
      <c r="O177" s="2"/>
      <c r="P177" s="2"/>
      <c r="Q177" s="2" t="s">
        <v>16</v>
      </c>
      <c r="T177" s="2"/>
      <c r="U177" s="2" t="s">
        <v>8806</v>
      </c>
      <c r="V177" s="2" t="s">
        <v>9177</v>
      </c>
      <c r="X177" s="2" t="s">
        <v>8625</v>
      </c>
      <c r="Z177" s="2" t="s">
        <v>8574</v>
      </c>
      <c r="AG177" s="7" t="s">
        <v>8824</v>
      </c>
      <c r="AN177" s="8" t="s">
        <v>8638</v>
      </c>
      <c r="AS177" s="2"/>
      <c r="AV177" s="11"/>
      <c r="BI177" s="2" t="s">
        <v>8590</v>
      </c>
      <c r="BL177" s="2" t="s">
        <v>8591</v>
      </c>
      <c r="BO177" s="2"/>
      <c r="MJM177" s="2"/>
    </row>
    <row r="178" customFormat="false" ht="19.5" hidden="false" customHeight="true" outlineLevel="0" collapsed="false">
      <c r="A178" s="63" t="s">
        <v>9346</v>
      </c>
      <c r="C178" s="2" t="str">
        <f aca="false">_xlfn.CONCAT(A178, " ","(",B178,")")</f>
        <v>Dasycera oliviella ()</v>
      </c>
      <c r="D178" s="2" t="s">
        <v>8580</v>
      </c>
      <c r="E178" s="2" t="s">
        <v>8722</v>
      </c>
      <c r="F178" s="2" t="s">
        <v>8855</v>
      </c>
      <c r="G178" s="2" t="s">
        <v>8883</v>
      </c>
      <c r="H178" s="2" t="e">
        <f aca="false">VLOOKUP(A178,'[1]NE red list'!A$1:H$1048576,5,FALSE())</f>
        <v>#N/A</v>
      </c>
      <c r="I178" s="2" t="s">
        <v>8753</v>
      </c>
      <c r="J178" s="33" t="s">
        <v>9347</v>
      </c>
      <c r="L178" s="2" t="s">
        <v>8613</v>
      </c>
      <c r="N178" s="2" t="str">
        <f aca="false">_xlfn.CONCAT(Q178," ",R178," ",S178)</f>
        <v>woodland  </v>
      </c>
      <c r="O178" s="2" t="s">
        <v>14</v>
      </c>
      <c r="P178" s="2" t="s">
        <v>8567</v>
      </c>
      <c r="Q178" s="2" t="s">
        <v>16</v>
      </c>
      <c r="T178" s="2"/>
      <c r="U178" s="2" t="s">
        <v>8570</v>
      </c>
      <c r="V178" s="2" t="s">
        <v>9348</v>
      </c>
      <c r="W178" s="2" t="s">
        <v>8567</v>
      </c>
      <c r="X178" s="2" t="s">
        <v>8625</v>
      </c>
      <c r="Z178" s="2" t="s">
        <v>8614</v>
      </c>
      <c r="AG178" s="7" t="s">
        <v>8575</v>
      </c>
      <c r="AN178" s="8" t="s">
        <v>8638</v>
      </c>
      <c r="AS178" s="2"/>
      <c r="AV178" s="11"/>
      <c r="BJ178" s="2" t="s">
        <v>8601</v>
      </c>
      <c r="BL178" s="2" t="s">
        <v>8591</v>
      </c>
      <c r="BO178" s="2"/>
      <c r="MJM178" s="2"/>
    </row>
    <row r="179" customFormat="false" ht="19.5" hidden="false" customHeight="true" outlineLevel="0" collapsed="false">
      <c r="A179" s="1" t="s">
        <v>9349</v>
      </c>
      <c r="B179" s="2" t="s">
        <v>9350</v>
      </c>
      <c r="C179" s="2" t="str">
        <f aca="false">_xlfn.CONCAT(A179, " ","(",B179,")")</f>
        <v>Dendrochernes cyrneus (Large Tree-chernes)</v>
      </c>
      <c r="D179" s="2" t="s">
        <v>9351</v>
      </c>
      <c r="E179" s="2" t="s">
        <v>9132</v>
      </c>
      <c r="F179" s="2" t="s">
        <v>9133</v>
      </c>
      <c r="G179" s="2" t="s">
        <v>8662</v>
      </c>
      <c r="H179" s="2" t="e">
        <f aca="false">VLOOKUP(A179,'[1]NE red list'!A$1:H$1048576,5,FALSE())</f>
        <v>#N/A</v>
      </c>
      <c r="I179" s="2" t="s">
        <v>8610</v>
      </c>
      <c r="J179" s="2" t="s">
        <v>9352</v>
      </c>
      <c r="L179" s="2" t="s">
        <v>8665</v>
      </c>
      <c r="N179" s="2" t="str">
        <f aca="false">_xlfn.CONCAT(Q179," ",R179," ",S179)</f>
        <v> parkland </v>
      </c>
      <c r="O179" s="3" t="s">
        <v>14</v>
      </c>
      <c r="P179" s="2" t="s">
        <v>8587</v>
      </c>
      <c r="R179" s="2" t="s">
        <v>8568</v>
      </c>
      <c r="T179" s="2"/>
      <c r="U179" s="2" t="s">
        <v>8570</v>
      </c>
      <c r="W179" s="2" t="s">
        <v>8567</v>
      </c>
      <c r="X179" s="2" t="s">
        <v>8625</v>
      </c>
      <c r="Y179" s="2" t="s">
        <v>8573</v>
      </c>
      <c r="Z179" s="2" t="s">
        <v>8574</v>
      </c>
      <c r="AA179" s="4" t="s">
        <v>26</v>
      </c>
      <c r="AF179" s="6" t="s">
        <v>8616</v>
      </c>
      <c r="AG179" s="7" t="s">
        <v>8575</v>
      </c>
      <c r="AM179" s="4" t="s">
        <v>8657</v>
      </c>
      <c r="AN179" s="8" t="s">
        <v>8734</v>
      </c>
      <c r="AO179" s="8" t="s">
        <v>40</v>
      </c>
      <c r="AQ179" s="8" t="s">
        <v>42</v>
      </c>
      <c r="AS179" s="2"/>
      <c r="AV179" s="11"/>
      <c r="BC179" s="2" t="s">
        <v>9273</v>
      </c>
      <c r="BI179" s="2" t="s">
        <v>8590</v>
      </c>
      <c r="BJ179" s="2" t="s">
        <v>8747</v>
      </c>
      <c r="BL179" s="2" t="s">
        <v>8591</v>
      </c>
      <c r="BO179" s="2"/>
      <c r="MJM179" s="2"/>
    </row>
    <row r="180" customFormat="false" ht="19.5" hidden="false" customHeight="true" outlineLevel="0" collapsed="false">
      <c r="A180" s="1" t="s">
        <v>9353</v>
      </c>
      <c r="B180" s="3" t="s">
        <v>9354</v>
      </c>
      <c r="C180" s="2" t="str">
        <f aca="false">_xlfn.CONCAT(A180, " ","(",B180,")")</f>
        <v>Dendrocopos major (Great Spotted Woodpecker)</v>
      </c>
      <c r="D180" s="2" t="s">
        <v>8560</v>
      </c>
      <c r="E180" s="2" t="s">
        <v>8561</v>
      </c>
      <c r="F180" s="2" t="s">
        <v>8562</v>
      </c>
      <c r="G180" s="2" t="s">
        <v>9115</v>
      </c>
      <c r="H180" s="2" t="str">
        <f aca="false">VLOOKUP(A180,'[1]NE red list'!A$1:H$1048576,5,FALSE())</f>
        <v>LC</v>
      </c>
      <c r="I180" s="2" t="s">
        <v>8645</v>
      </c>
      <c r="J180" s="64" t="s">
        <v>9355</v>
      </c>
      <c r="L180" s="2" t="s">
        <v>8566</v>
      </c>
      <c r="N180" s="2" t="str">
        <f aca="false">_xlfn.CONCAT(Q180," ",R180," ",S180)</f>
        <v>woodland parkland </v>
      </c>
      <c r="O180" s="3" t="s">
        <v>14</v>
      </c>
      <c r="P180" s="2" t="s">
        <v>8567</v>
      </c>
      <c r="Q180" s="3" t="s">
        <v>16</v>
      </c>
      <c r="R180" s="2" t="s">
        <v>8568</v>
      </c>
      <c r="U180" s="2" t="s">
        <v>8605</v>
      </c>
      <c r="W180" s="2" t="s">
        <v>8567</v>
      </c>
      <c r="X180" s="2" t="s">
        <v>8589</v>
      </c>
      <c r="Y180" s="2" t="s">
        <v>8573</v>
      </c>
      <c r="Z180" s="2" t="s">
        <v>8694</v>
      </c>
      <c r="AG180" s="7" t="s">
        <v>8575</v>
      </c>
      <c r="AI180" s="7" t="s">
        <v>8576</v>
      </c>
      <c r="AN180" s="2"/>
      <c r="AO180" s="2"/>
      <c r="AP180" s="2"/>
      <c r="AQ180" s="2"/>
      <c r="AR180" s="2"/>
      <c r="MJM180" s="2"/>
    </row>
    <row r="181" customFormat="false" ht="19.5" hidden="false" customHeight="true" outlineLevel="0" collapsed="false">
      <c r="A181" s="2" t="s">
        <v>9356</v>
      </c>
      <c r="C181" s="2" t="str">
        <f aca="false">_xlfn.CONCAT(A181, " ","(",B181,")")</f>
        <v>Lacon querceus ()</v>
      </c>
      <c r="D181" s="2" t="s">
        <v>8580</v>
      </c>
      <c r="E181" s="2" t="s">
        <v>8581</v>
      </c>
      <c r="F181" s="2" t="s">
        <v>8621</v>
      </c>
      <c r="G181" s="2" t="s">
        <v>8776</v>
      </c>
      <c r="H181" s="2" t="e">
        <f aca="false">VLOOKUP(A181,'[1]NE red list'!A$1:H$1048576,5,FALSE())</f>
        <v>#N/A</v>
      </c>
      <c r="I181" s="2" t="s">
        <v>8714</v>
      </c>
      <c r="J181" s="2" t="s">
        <v>9357</v>
      </c>
      <c r="L181" s="2" t="s">
        <v>8665</v>
      </c>
      <c r="N181" s="2" t="str">
        <f aca="false">_xlfn.CONCAT(Q181," ",R181," ",S181)</f>
        <v> parkland </v>
      </c>
      <c r="O181" s="3" t="s">
        <v>14</v>
      </c>
      <c r="P181" s="2"/>
      <c r="R181" s="2" t="s">
        <v>8568</v>
      </c>
      <c r="T181" s="2"/>
      <c r="U181" s="2" t="s">
        <v>8570</v>
      </c>
      <c r="V181" s="2" t="s">
        <v>8745</v>
      </c>
      <c r="W181" s="2" t="s">
        <v>8571</v>
      </c>
      <c r="X181" s="2" t="s">
        <v>8771</v>
      </c>
      <c r="Z181" s="2" t="s">
        <v>8614</v>
      </c>
      <c r="AA181" s="4" t="s">
        <v>26</v>
      </c>
      <c r="AD181" s="6" t="s">
        <v>8615</v>
      </c>
      <c r="AF181" s="6" t="s">
        <v>8616</v>
      </c>
      <c r="AG181" s="7" t="s">
        <v>8575</v>
      </c>
      <c r="AI181" s="7" t="s">
        <v>8617</v>
      </c>
      <c r="AJ181" s="7" t="s">
        <v>8612</v>
      </c>
      <c r="AS181" s="2"/>
      <c r="AT181" s="8"/>
      <c r="AV181" s="11"/>
      <c r="BA181" s="8"/>
      <c r="BB181" s="8"/>
      <c r="BC181" s="8"/>
      <c r="BD181" s="8"/>
      <c r="BE181" s="8"/>
      <c r="BF181" s="8"/>
      <c r="BG181" s="8"/>
      <c r="BH181" s="8"/>
      <c r="BI181" s="2" t="s">
        <v>8590</v>
      </c>
      <c r="BJ181" s="8" t="s">
        <v>8773</v>
      </c>
      <c r="BK181" s="8"/>
      <c r="BL181" s="8" t="s">
        <v>8578</v>
      </c>
      <c r="BM181" s="8" t="s">
        <v>8619</v>
      </c>
      <c r="BN181" s="8"/>
      <c r="BO181" s="2"/>
      <c r="MJM181" s="2"/>
    </row>
    <row r="182" customFormat="false" ht="19.5" hidden="false" customHeight="true" outlineLevel="0" collapsed="false">
      <c r="A182" s="2" t="s">
        <v>9358</v>
      </c>
      <c r="C182" s="2" t="str">
        <f aca="false">_xlfn.CONCAT(A182, " ","(",B182,")")</f>
        <v>Grammoptera abdominalis ()</v>
      </c>
      <c r="D182" s="2" t="s">
        <v>8580</v>
      </c>
      <c r="E182" s="2" t="s">
        <v>8581</v>
      </c>
      <c r="F182" s="2" t="s">
        <v>8787</v>
      </c>
      <c r="G182" s="2" t="s">
        <v>8633</v>
      </c>
      <c r="H182" s="2" t="str">
        <f aca="false">VLOOKUP(A182,'[1]NE red list'!A$1:H$1048576,5,FALSE())</f>
        <v>LC</v>
      </c>
      <c r="I182" s="2" t="s">
        <v>8564</v>
      </c>
      <c r="J182" s="2" t="s">
        <v>9359</v>
      </c>
      <c r="L182" s="2" t="s">
        <v>8790</v>
      </c>
      <c r="N182" s="2" t="str">
        <f aca="false">_xlfn.CONCAT(Q182," ",R182," ",S182)</f>
        <v>woodland  ToW</v>
      </c>
      <c r="O182" s="2" t="s">
        <v>14</v>
      </c>
      <c r="P182" s="2"/>
      <c r="Q182" s="2" t="s">
        <v>16</v>
      </c>
      <c r="S182" s="2" t="s">
        <v>18</v>
      </c>
      <c r="T182" s="2"/>
      <c r="U182" s="2" t="s">
        <v>8570</v>
      </c>
      <c r="V182" s="2" t="s">
        <v>8745</v>
      </c>
      <c r="W182" s="2" t="s">
        <v>8567</v>
      </c>
      <c r="X182" s="2" t="s">
        <v>8597</v>
      </c>
      <c r="Z182" s="2" t="s">
        <v>8614</v>
      </c>
      <c r="AG182" s="7" t="s">
        <v>8824</v>
      </c>
      <c r="AS182" s="2" t="s">
        <v>8599</v>
      </c>
      <c r="AV182" s="11"/>
      <c r="AX182" s="4" t="s">
        <v>8607</v>
      </c>
      <c r="AZ182" s="12" t="s">
        <v>8607</v>
      </c>
      <c r="BB182" s="2" t="s">
        <v>8618</v>
      </c>
      <c r="BI182" s="2" t="s">
        <v>8590</v>
      </c>
      <c r="BO182" s="2"/>
      <c r="MJM182" s="2"/>
    </row>
    <row r="183" customFormat="false" ht="19.5" hidden="false" customHeight="true" outlineLevel="0" collapsed="false">
      <c r="A183" s="2" t="s">
        <v>9360</v>
      </c>
      <c r="C183" s="2" t="str">
        <f aca="false">_xlfn.CONCAT(A183, " ","(",B183,")")</f>
        <v>Denisia similella
 ()</v>
      </c>
      <c r="D183" s="2" t="s">
        <v>8580</v>
      </c>
      <c r="E183" s="2" t="s">
        <v>8722</v>
      </c>
      <c r="F183" s="2" t="s">
        <v>8855</v>
      </c>
      <c r="H183" s="2" t="e">
        <f aca="false">VLOOKUP(A183,'[1]NE red list'!A$1:H$1048576,5,FALSE())</f>
        <v>#N/A</v>
      </c>
      <c r="I183" s="2" t="s">
        <v>9361</v>
      </c>
      <c r="J183" s="33" t="s">
        <v>9362</v>
      </c>
      <c r="L183" s="2" t="s">
        <v>8586</v>
      </c>
      <c r="M183" s="33"/>
      <c r="N183" s="2" t="str">
        <f aca="false">_xlfn.CONCAT(Q183," ",R183," ",S183)</f>
        <v>woodland parkland ToW</v>
      </c>
      <c r="O183" s="2" t="s">
        <v>14</v>
      </c>
      <c r="P183" s="2"/>
      <c r="Q183" s="3" t="s">
        <v>16</v>
      </c>
      <c r="R183" s="2" t="s">
        <v>8568</v>
      </c>
      <c r="S183" s="2" t="s">
        <v>18</v>
      </c>
      <c r="U183" s="2" t="s">
        <v>8570</v>
      </c>
      <c r="Z183" s="2" t="s">
        <v>8574</v>
      </c>
      <c r="AM183" s="4" t="s">
        <v>8657</v>
      </c>
      <c r="AO183" s="8" t="s">
        <v>40</v>
      </c>
      <c r="AQ183" s="8" t="s">
        <v>42</v>
      </c>
      <c r="AS183" s="2"/>
      <c r="AV183" s="11"/>
      <c r="AX183" s="4" t="s">
        <v>8585</v>
      </c>
      <c r="AY183" s="12" t="s">
        <v>8585</v>
      </c>
      <c r="BO183" s="2"/>
      <c r="MJM183" s="2"/>
    </row>
    <row r="184" customFormat="false" ht="19.5" hidden="false" customHeight="true" outlineLevel="0" collapsed="false">
      <c r="A184" s="2" t="s">
        <v>9363</v>
      </c>
      <c r="C184" s="2" t="str">
        <f aca="false">_xlfn.CONCAT(A184, " ","(",B184,")")</f>
        <v>Diacanthous undulatus ()</v>
      </c>
      <c r="D184" s="2" t="s">
        <v>8580</v>
      </c>
      <c r="E184" s="2" t="s">
        <v>8581</v>
      </c>
      <c r="F184" s="2" t="s">
        <v>8787</v>
      </c>
      <c r="G184" s="2" t="s">
        <v>8583</v>
      </c>
      <c r="H184" s="2" t="e">
        <f aca="false">VLOOKUP(A184,'[1]NE red list'!A$1:H$1048576,5,FALSE())</f>
        <v>#N/A</v>
      </c>
      <c r="I184" s="2" t="s">
        <v>9129</v>
      </c>
      <c r="J184" s="2" t="s">
        <v>9364</v>
      </c>
      <c r="L184" s="2" t="s">
        <v>8665</v>
      </c>
      <c r="N184" s="2" t="str">
        <f aca="false">_xlfn.CONCAT(Q184," ",R184," ",S184)</f>
        <v>woodland  </v>
      </c>
      <c r="O184" s="2"/>
      <c r="P184" s="2"/>
      <c r="Q184" s="3" t="s">
        <v>16</v>
      </c>
      <c r="T184" s="2"/>
      <c r="U184" s="2" t="s">
        <v>8570</v>
      </c>
      <c r="V184" s="2" t="s">
        <v>8763</v>
      </c>
      <c r="X184" s="2" t="s">
        <v>8625</v>
      </c>
      <c r="Z184" s="2" t="s">
        <v>8574</v>
      </c>
      <c r="AG184" s="7" t="s">
        <v>8824</v>
      </c>
      <c r="AN184" s="8" t="s">
        <v>9365</v>
      </c>
      <c r="AS184" s="2"/>
      <c r="AV184" s="11"/>
      <c r="BI184" s="2" t="s">
        <v>8590</v>
      </c>
      <c r="BL184" s="2" t="s">
        <v>8591</v>
      </c>
      <c r="BO184" s="2"/>
      <c r="MJM184" s="2"/>
    </row>
    <row r="185" customFormat="false" ht="19.5" hidden="false" customHeight="true" outlineLevel="0" collapsed="false">
      <c r="A185" s="2" t="s">
        <v>9366</v>
      </c>
      <c r="C185" s="2" t="str">
        <f aca="false">_xlfn.CONCAT(A185, " ","(",B185,")")</f>
        <v>Diaperis boleti ()</v>
      </c>
      <c r="D185" s="2" t="s">
        <v>8580</v>
      </c>
      <c r="E185" s="2" t="s">
        <v>8581</v>
      </c>
      <c r="F185" s="2" t="s">
        <v>9239</v>
      </c>
      <c r="G185" s="2" t="s">
        <v>8583</v>
      </c>
      <c r="H185" s="2" t="str">
        <f aca="false">VLOOKUP(A185,'[1]NE red list'!A$1:H$1048576,5,FALSE())</f>
        <v>LC</v>
      </c>
      <c r="I185" s="2" t="s">
        <v>8714</v>
      </c>
      <c r="J185" s="2" t="s">
        <v>9367</v>
      </c>
      <c r="L185" s="2" t="s">
        <v>8677</v>
      </c>
      <c r="N185" s="2" t="str">
        <f aca="false">_xlfn.CONCAT(Q185," ",R185," ",S185)</f>
        <v>woodland parkland ToW</v>
      </c>
      <c r="O185" s="2" t="s">
        <v>14</v>
      </c>
      <c r="P185" s="2" t="s">
        <v>8567</v>
      </c>
      <c r="Q185" s="2" t="s">
        <v>16</v>
      </c>
      <c r="R185" s="2" t="s">
        <v>8568</v>
      </c>
      <c r="S185" s="2" t="s">
        <v>18</v>
      </c>
      <c r="T185" s="2"/>
      <c r="U185" s="2" t="s">
        <v>8570</v>
      </c>
      <c r="Z185" s="2" t="s">
        <v>8614</v>
      </c>
      <c r="AS185" s="2"/>
      <c r="AV185" s="11"/>
      <c r="AX185" s="4" t="s">
        <v>8607</v>
      </c>
      <c r="BI185" s="2" t="s">
        <v>8590</v>
      </c>
      <c r="BL185" s="2" t="s">
        <v>8591</v>
      </c>
      <c r="BO185" s="2"/>
      <c r="MJM185" s="2"/>
    </row>
    <row r="186" customFormat="false" ht="19.5" hidden="false" customHeight="true" outlineLevel="0" collapsed="false">
      <c r="A186" s="2" t="s">
        <v>9368</v>
      </c>
      <c r="C186" s="2" t="str">
        <f aca="false">_xlfn.CONCAT(A186, " ","(",B186,")")</f>
        <v>Dictenidia bimaculata ()</v>
      </c>
      <c r="D186" s="2" t="s">
        <v>8580</v>
      </c>
      <c r="E186" s="2" t="s">
        <v>8687</v>
      </c>
      <c r="F186" s="2" t="s">
        <v>8933</v>
      </c>
      <c r="G186" s="2" t="s">
        <v>8737</v>
      </c>
      <c r="H186" s="2" t="e">
        <f aca="false">VLOOKUP(A186,'[1]NE red list'!A$1:H$1048576,5,FALSE())</f>
        <v>#N/A</v>
      </c>
      <c r="I186" s="2" t="s">
        <v>8645</v>
      </c>
      <c r="J186" s="2" t="s">
        <v>9369</v>
      </c>
      <c r="L186" s="2" t="s">
        <v>8836</v>
      </c>
      <c r="N186" s="2" t="str">
        <f aca="false">_xlfn.CONCAT(Q186," ",R186," ",S186)</f>
        <v>woodland parkland </v>
      </c>
      <c r="O186" s="3" t="s">
        <v>14</v>
      </c>
      <c r="P186" s="2" t="s">
        <v>8587</v>
      </c>
      <c r="Q186" s="2" t="s">
        <v>16</v>
      </c>
      <c r="R186" s="2" t="s">
        <v>8568</v>
      </c>
      <c r="T186" s="2"/>
      <c r="U186" s="2" t="s">
        <v>8570</v>
      </c>
      <c r="W186" s="2" t="s">
        <v>8587</v>
      </c>
      <c r="X186" s="2" t="s">
        <v>8625</v>
      </c>
      <c r="Y186" s="2" t="s">
        <v>8772</v>
      </c>
      <c r="Z186" s="2" t="s">
        <v>8614</v>
      </c>
      <c r="AA186" s="4" t="s">
        <v>26</v>
      </c>
      <c r="AD186" s="6" t="s">
        <v>9044</v>
      </c>
      <c r="AF186" s="6" t="s">
        <v>8616</v>
      </c>
      <c r="AG186" s="7" t="s">
        <v>8575</v>
      </c>
      <c r="AI186" s="7" t="s">
        <v>8617</v>
      </c>
      <c r="AL186" s="7" t="s">
        <v>8628</v>
      </c>
      <c r="AS186" s="2"/>
      <c r="AV186" s="11"/>
      <c r="BI186" s="2" t="s">
        <v>8590</v>
      </c>
      <c r="BL186" s="2" t="s">
        <v>8591</v>
      </c>
      <c r="BO186" s="2"/>
      <c r="MJM186" s="2"/>
    </row>
    <row r="187" customFormat="false" ht="19.5" hidden="false" customHeight="true" outlineLevel="0" collapsed="false">
      <c r="A187" s="2" t="s">
        <v>9370</v>
      </c>
      <c r="C187" s="2" t="str">
        <f aca="false">_xlfn.CONCAT(A187, " ","(",B187,")")</f>
        <v>Diplocoelus fagi ()</v>
      </c>
      <c r="D187" s="2" t="s">
        <v>8580</v>
      </c>
      <c r="E187" s="2" t="s">
        <v>8581</v>
      </c>
      <c r="F187" s="2" t="s">
        <v>9000</v>
      </c>
      <c r="G187" s="2" t="s">
        <v>8583</v>
      </c>
      <c r="H187" s="2" t="e">
        <f aca="false">VLOOKUP(A187,'[1]NE red list'!A$1:H$1048576,5,FALSE())</f>
        <v>#N/A</v>
      </c>
      <c r="I187" s="2" t="s">
        <v>8753</v>
      </c>
      <c r="J187" s="2" t="s">
        <v>9371</v>
      </c>
      <c r="L187" s="2" t="s">
        <v>9372</v>
      </c>
      <c r="N187" s="2" t="str">
        <f aca="false">_xlfn.CONCAT(Q187," ",R187," ",S187)</f>
        <v>woodland parkland </v>
      </c>
      <c r="O187" s="3" t="s">
        <v>14</v>
      </c>
      <c r="P187" s="2" t="s">
        <v>8587</v>
      </c>
      <c r="Q187" s="2" t="s">
        <v>16</v>
      </c>
      <c r="R187" s="2" t="s">
        <v>8568</v>
      </c>
      <c r="T187" s="2"/>
      <c r="U187" s="2" t="s">
        <v>8570</v>
      </c>
      <c r="V187" s="2" t="s">
        <v>9373</v>
      </c>
      <c r="W187" s="2" t="s">
        <v>8567</v>
      </c>
      <c r="Z187" s="2" t="s">
        <v>8614</v>
      </c>
      <c r="AG187" s="7" t="s">
        <v>8824</v>
      </c>
      <c r="AM187" s="4" t="s">
        <v>8657</v>
      </c>
      <c r="AN187" s="8" t="s">
        <v>8734</v>
      </c>
      <c r="AO187" s="8" t="s">
        <v>40</v>
      </c>
      <c r="AQ187" s="8" t="s">
        <v>42</v>
      </c>
      <c r="AS187" s="2"/>
      <c r="AV187" s="11"/>
      <c r="AX187" s="4" t="s">
        <v>8607</v>
      </c>
      <c r="AZ187" s="12" t="s">
        <v>8607</v>
      </c>
      <c r="BI187" s="2" t="s">
        <v>8590</v>
      </c>
      <c r="BL187" s="2" t="s">
        <v>8591</v>
      </c>
      <c r="BO187" s="2"/>
      <c r="MJM187" s="2"/>
    </row>
    <row r="188" customFormat="false" ht="19.5" hidden="false" customHeight="true" outlineLevel="0" collapsed="false">
      <c r="A188" s="65" t="s">
        <v>9374</v>
      </c>
      <c r="B188" s="49"/>
      <c r="C188" s="2" t="str">
        <f aca="false">_xlfn.CONCAT(A188, " ","(",B188,")")</f>
        <v>Diplodoma laichartingella
 ()</v>
      </c>
      <c r="D188" s="2" t="s">
        <v>8580</v>
      </c>
      <c r="E188" s="2" t="s">
        <v>8722</v>
      </c>
      <c r="F188" s="2" t="s">
        <v>8962</v>
      </c>
      <c r="H188" s="2" t="e">
        <f aca="false">VLOOKUP(A188,'[1]NE red list'!A$1:H$1048576,5,FALSE())</f>
        <v>#N/A</v>
      </c>
      <c r="I188" s="2" t="s">
        <v>8564</v>
      </c>
      <c r="J188" s="49" t="s">
        <v>9375</v>
      </c>
      <c r="K188" s="3"/>
      <c r="L188" s="2" t="s">
        <v>9376</v>
      </c>
      <c r="M188" s="3"/>
      <c r="N188" s="2" t="str">
        <f aca="false">_xlfn.CONCAT(Q188," ",R188," ",S188)</f>
        <v>woodland parkland </v>
      </c>
      <c r="O188" s="3" t="s">
        <v>14</v>
      </c>
      <c r="P188" s="3" t="s">
        <v>8567</v>
      </c>
      <c r="Q188" s="3" t="s">
        <v>16</v>
      </c>
      <c r="R188" s="2" t="s">
        <v>8568</v>
      </c>
      <c r="U188" s="2" t="s">
        <v>8570</v>
      </c>
      <c r="W188" s="2" t="s">
        <v>8567</v>
      </c>
      <c r="X188" s="3" t="s">
        <v>9377</v>
      </c>
      <c r="Z188" s="2" t="s">
        <v>8694</v>
      </c>
      <c r="AM188" s="4" t="s">
        <v>8657</v>
      </c>
      <c r="AO188" s="8" t="s">
        <v>9378</v>
      </c>
      <c r="AQ188" s="8" t="s">
        <v>42</v>
      </c>
      <c r="AR188" s="2" t="s">
        <v>9379</v>
      </c>
      <c r="AS188" s="2"/>
      <c r="AU188" s="4" t="s">
        <v>8639</v>
      </c>
      <c r="AV188" s="11"/>
      <c r="AW188" s="50" t="s">
        <v>9380</v>
      </c>
      <c r="BO188" s="2"/>
      <c r="MJM188" s="2"/>
    </row>
    <row r="189" customFormat="false" ht="19.5" hidden="false" customHeight="true" outlineLevel="0" collapsed="false">
      <c r="A189" s="2" t="s">
        <v>9381</v>
      </c>
      <c r="C189" s="2" t="str">
        <f aca="false">_xlfn.CONCAT(A189, " ","(",B189,")")</f>
        <v>Dipogon subintermedius ()</v>
      </c>
      <c r="D189" s="2" t="s">
        <v>8580</v>
      </c>
      <c r="E189" s="2" t="s">
        <v>8839</v>
      </c>
      <c r="F189" s="2" t="s">
        <v>8944</v>
      </c>
      <c r="G189" s="2" t="s">
        <v>8737</v>
      </c>
      <c r="H189" s="2" t="e">
        <f aca="false">VLOOKUP(A189,'[1]NE red list'!A$1:H$1048576,5,FALSE())</f>
        <v>#N/A</v>
      </c>
      <c r="I189" s="2" t="s">
        <v>8645</v>
      </c>
      <c r="J189" s="2" t="s">
        <v>9382</v>
      </c>
      <c r="K189" s="2" t="s">
        <v>9383</v>
      </c>
      <c r="L189" s="2" t="s">
        <v>8948</v>
      </c>
      <c r="N189" s="2" t="str">
        <f aca="false">_xlfn.CONCAT(Q189," ",R189," ",S189)</f>
        <v> parkland ToW</v>
      </c>
      <c r="O189" s="2" t="s">
        <v>14</v>
      </c>
      <c r="P189" s="2" t="s">
        <v>8587</v>
      </c>
      <c r="R189" s="2" t="s">
        <v>8568</v>
      </c>
      <c r="S189" s="2" t="s">
        <v>18</v>
      </c>
      <c r="T189" s="2"/>
      <c r="U189" s="2" t="s">
        <v>8570</v>
      </c>
      <c r="W189" s="2" t="s">
        <v>8567</v>
      </c>
      <c r="X189" s="2" t="s">
        <v>8625</v>
      </c>
      <c r="Z189" s="2" t="s">
        <v>8574</v>
      </c>
      <c r="AG189" s="7" t="s">
        <v>8824</v>
      </c>
      <c r="AS189" s="2"/>
      <c r="AV189" s="11"/>
      <c r="AX189" s="4" t="s">
        <v>8585</v>
      </c>
      <c r="AY189" s="12" t="s">
        <v>8585</v>
      </c>
      <c r="BI189" s="2" t="s">
        <v>8590</v>
      </c>
      <c r="BL189" s="2" t="s">
        <v>8591</v>
      </c>
      <c r="BO189" s="2"/>
      <c r="MJM189" s="2"/>
    </row>
    <row r="190" customFormat="false" ht="19.5" hidden="false" customHeight="true" outlineLevel="0" collapsed="false">
      <c r="A190" s="2" t="s">
        <v>9384</v>
      </c>
      <c r="C190" s="2" t="str">
        <f aca="false">_xlfn.CONCAT(A190, " ","(",B190,")")</f>
        <v>Dorcatoma ambjoerni ()</v>
      </c>
      <c r="D190" s="2" t="s">
        <v>8580</v>
      </c>
      <c r="E190" s="2" t="s">
        <v>8581</v>
      </c>
      <c r="F190" s="35" t="s">
        <v>8818</v>
      </c>
      <c r="G190" s="2" t="s">
        <v>8633</v>
      </c>
      <c r="H190" s="2" t="str">
        <f aca="false">VLOOKUP(A190,'[1]NE red list'!A$1:H$1048576,5,FALSE())</f>
        <v>LC</v>
      </c>
      <c r="I190" s="2" t="s">
        <v>8610</v>
      </c>
      <c r="J190" s="2" t="s">
        <v>9385</v>
      </c>
      <c r="K190" s="2" t="s">
        <v>9386</v>
      </c>
      <c r="L190" s="2" t="s">
        <v>8677</v>
      </c>
      <c r="N190" s="2" t="str">
        <f aca="false">_xlfn.CONCAT(Q190," ",R190," ",S190)</f>
        <v> parkland </v>
      </c>
      <c r="O190" s="3" t="s">
        <v>14</v>
      </c>
      <c r="P190" s="2"/>
      <c r="R190" s="2" t="s">
        <v>8568</v>
      </c>
      <c r="T190" s="2"/>
      <c r="U190" s="2" t="s">
        <v>8570</v>
      </c>
      <c r="V190" s="2" t="s">
        <v>9038</v>
      </c>
      <c r="W190" s="2" t="s">
        <v>8567</v>
      </c>
      <c r="Z190" s="2" t="s">
        <v>8614</v>
      </c>
      <c r="AG190" s="7" t="s">
        <v>8575</v>
      </c>
      <c r="AI190" s="7" t="s">
        <v>8617</v>
      </c>
      <c r="AJ190" s="7" t="s">
        <v>8612</v>
      </c>
      <c r="AS190" s="2"/>
      <c r="AV190" s="11"/>
      <c r="AX190" s="4" t="s">
        <v>8585</v>
      </c>
      <c r="AY190" s="12" t="s">
        <v>8585</v>
      </c>
      <c r="BI190" s="2" t="s">
        <v>8590</v>
      </c>
      <c r="BL190" s="2" t="s">
        <v>8591</v>
      </c>
      <c r="BM190" s="2" t="s">
        <v>8619</v>
      </c>
      <c r="BO190" s="2"/>
      <c r="MJM190" s="2"/>
    </row>
    <row r="191" customFormat="false" ht="19.5" hidden="false" customHeight="true" outlineLevel="0" collapsed="false">
      <c r="A191" s="2" t="s">
        <v>9387</v>
      </c>
      <c r="C191" s="2" t="str">
        <f aca="false">_xlfn.CONCAT(A191, " ","(",B191,")")</f>
        <v>Dorcatoma chrysomelina ()</v>
      </c>
      <c r="D191" s="2" t="s">
        <v>8580</v>
      </c>
      <c r="E191" s="2" t="s">
        <v>8581</v>
      </c>
      <c r="F191" s="35" t="s">
        <v>8818</v>
      </c>
      <c r="H191" s="2" t="str">
        <f aca="false">VLOOKUP(A191,'[1]NE red list'!A$1:H$1048576,5,FALSE())</f>
        <v>LC</v>
      </c>
      <c r="I191" s="2" t="s">
        <v>8593</v>
      </c>
      <c r="J191" s="2" t="s">
        <v>9388</v>
      </c>
      <c r="L191" s="2" t="s">
        <v>8677</v>
      </c>
      <c r="N191" s="2" t="str">
        <f aca="false">_xlfn.CONCAT(Q191," ",R191," ",S191)</f>
        <v> parkland </v>
      </c>
      <c r="O191" s="3" t="s">
        <v>14</v>
      </c>
      <c r="P191" s="2" t="s">
        <v>8587</v>
      </c>
      <c r="R191" s="2" t="s">
        <v>8568</v>
      </c>
      <c r="T191" s="2"/>
      <c r="U191" s="2" t="s">
        <v>8570</v>
      </c>
      <c r="V191" s="2" t="s">
        <v>8897</v>
      </c>
      <c r="W191" s="2" t="s">
        <v>8571</v>
      </c>
      <c r="Z191" s="2" t="s">
        <v>8614</v>
      </c>
      <c r="AG191" s="7" t="s">
        <v>8575</v>
      </c>
      <c r="AI191" s="7" t="s">
        <v>8617</v>
      </c>
      <c r="AJ191" s="7" t="s">
        <v>8612</v>
      </c>
      <c r="AS191" s="2"/>
      <c r="AV191" s="11"/>
      <c r="BI191" s="2" t="s">
        <v>8590</v>
      </c>
      <c r="BL191" s="2" t="s">
        <v>8591</v>
      </c>
      <c r="BM191" s="2" t="s">
        <v>8619</v>
      </c>
      <c r="BO191" s="2"/>
      <c r="MJM191" s="2"/>
    </row>
    <row r="192" customFormat="false" ht="19.5" hidden="false" customHeight="true" outlineLevel="0" collapsed="false">
      <c r="A192" s="2" t="s">
        <v>9389</v>
      </c>
      <c r="C192" s="2" t="str">
        <f aca="false">_xlfn.CONCAT(A192, " ","(",B192,")")</f>
        <v>Dorcatoma dresdensis ()</v>
      </c>
      <c r="D192" s="2" t="s">
        <v>8580</v>
      </c>
      <c r="E192" s="2" t="s">
        <v>8581</v>
      </c>
      <c r="F192" s="35" t="s">
        <v>8818</v>
      </c>
      <c r="G192" s="2" t="s">
        <v>8583</v>
      </c>
      <c r="H192" s="2" t="str">
        <f aca="false">VLOOKUP(A192,'[1]NE red list'!A$1:H$1048576,5,FALSE())</f>
        <v>LC</v>
      </c>
      <c r="I192" s="2" t="s">
        <v>8753</v>
      </c>
      <c r="J192" s="2" t="s">
        <v>9390</v>
      </c>
      <c r="K192" s="2" t="s">
        <v>9391</v>
      </c>
      <c r="L192" s="2" t="s">
        <v>8677</v>
      </c>
      <c r="N192" s="2" t="str">
        <f aca="false">_xlfn.CONCAT(Q192," ",R192," ",S192)</f>
        <v> parkland </v>
      </c>
      <c r="O192" s="3" t="s">
        <v>14</v>
      </c>
      <c r="P192" s="2" t="s">
        <v>8587</v>
      </c>
      <c r="R192" s="2" t="s">
        <v>8568</v>
      </c>
      <c r="T192" s="2"/>
      <c r="U192" s="2" t="s">
        <v>8570</v>
      </c>
      <c r="V192" s="2" t="s">
        <v>9038</v>
      </c>
      <c r="W192" s="2" t="s">
        <v>8567</v>
      </c>
      <c r="AS192" s="2"/>
      <c r="AV192" s="11"/>
      <c r="AX192" s="4" t="s">
        <v>8585</v>
      </c>
      <c r="AY192" s="12" t="s">
        <v>8585</v>
      </c>
      <c r="BI192" s="2" t="s">
        <v>8590</v>
      </c>
      <c r="BJ192" s="2" t="s">
        <v>8601</v>
      </c>
      <c r="BL192" s="2" t="s">
        <v>8591</v>
      </c>
      <c r="BM192" s="2" t="s">
        <v>8619</v>
      </c>
      <c r="BO192" s="2"/>
      <c r="MJM192" s="2"/>
    </row>
    <row r="193" customFormat="false" ht="19.5" hidden="false" customHeight="true" outlineLevel="0" collapsed="false">
      <c r="A193" s="2" t="s">
        <v>9392</v>
      </c>
      <c r="C193" s="2" t="str">
        <f aca="false">_xlfn.CONCAT(A193, " ","(",B193,")")</f>
        <v>Dorcatoma flavicornis ()</v>
      </c>
      <c r="D193" s="2" t="s">
        <v>8580</v>
      </c>
      <c r="E193" s="2" t="s">
        <v>8581</v>
      </c>
      <c r="F193" s="35" t="s">
        <v>8818</v>
      </c>
      <c r="G193" s="2" t="s">
        <v>8583</v>
      </c>
      <c r="H193" s="2" t="str">
        <f aca="false">VLOOKUP(A193,'[1]NE red list'!A$1:H$1048576,5,FALSE())</f>
        <v>LC</v>
      </c>
      <c r="I193" s="2" t="s">
        <v>9393</v>
      </c>
      <c r="J193" s="2" t="s">
        <v>9388</v>
      </c>
      <c r="L193" s="2" t="s">
        <v>8677</v>
      </c>
      <c r="N193" s="2" t="str">
        <f aca="false">_xlfn.CONCAT(Q193," ",R193," ",S193)</f>
        <v> parkland </v>
      </c>
      <c r="O193" s="3" t="s">
        <v>14</v>
      </c>
      <c r="P193" s="2" t="s">
        <v>8587</v>
      </c>
      <c r="R193" s="2" t="s">
        <v>8568</v>
      </c>
      <c r="T193" s="2"/>
      <c r="U193" s="2" t="s">
        <v>8570</v>
      </c>
      <c r="V193" s="2" t="s">
        <v>8897</v>
      </c>
      <c r="W193" s="2" t="s">
        <v>8571</v>
      </c>
      <c r="Z193" s="2" t="s">
        <v>8614</v>
      </c>
      <c r="AG193" s="7" t="s">
        <v>8575</v>
      </c>
      <c r="AI193" s="7" t="s">
        <v>8617</v>
      </c>
      <c r="AJ193" s="7" t="s">
        <v>8612</v>
      </c>
      <c r="AS193" s="2"/>
      <c r="AV193" s="11"/>
      <c r="BI193" s="2" t="s">
        <v>8590</v>
      </c>
      <c r="BJ193" s="2" t="s">
        <v>8747</v>
      </c>
      <c r="BL193" s="2" t="s">
        <v>8591</v>
      </c>
      <c r="BM193" s="2" t="s">
        <v>8619</v>
      </c>
      <c r="BO193" s="2"/>
      <c r="MJM193" s="2"/>
    </row>
    <row r="194" customFormat="false" ht="19.5" hidden="false" customHeight="true" outlineLevel="0" collapsed="false">
      <c r="A194" s="2" t="s">
        <v>9394</v>
      </c>
      <c r="C194" s="2" t="str">
        <f aca="false">_xlfn.CONCAT(A194, " ","(",B194,")")</f>
        <v>Dorcatoma substriata ()</v>
      </c>
      <c r="D194" s="2" t="s">
        <v>8580</v>
      </c>
      <c r="E194" s="2" t="s">
        <v>8581</v>
      </c>
      <c r="F194" s="35" t="s">
        <v>8818</v>
      </c>
      <c r="G194" s="2" t="s">
        <v>8583</v>
      </c>
      <c r="H194" s="2" t="str">
        <f aca="false">VLOOKUP(A194,'[1]NE red list'!A$1:H$1048576,5,FALSE())</f>
        <v>LC</v>
      </c>
      <c r="I194" s="2" t="s">
        <v>9223</v>
      </c>
      <c r="J194" s="2" t="s">
        <v>9395</v>
      </c>
      <c r="K194" s="2" t="s">
        <v>9396</v>
      </c>
      <c r="L194" s="2" t="s">
        <v>8677</v>
      </c>
      <c r="N194" s="2" t="str">
        <f aca="false">_xlfn.CONCAT(Q194," ",R194," ",S194)</f>
        <v> parkland </v>
      </c>
      <c r="O194" s="3" t="s">
        <v>14</v>
      </c>
      <c r="P194" s="2" t="s">
        <v>8587</v>
      </c>
      <c r="R194" s="2" t="s">
        <v>8568</v>
      </c>
      <c r="T194" s="2"/>
      <c r="U194" s="2" t="s">
        <v>8570</v>
      </c>
      <c r="W194" s="2" t="s">
        <v>8567</v>
      </c>
      <c r="AS194" s="2"/>
      <c r="AV194" s="11"/>
      <c r="AX194" s="4" t="s">
        <v>8585</v>
      </c>
      <c r="AY194" s="12" t="s">
        <v>8585</v>
      </c>
      <c r="BI194" s="2" t="s">
        <v>8590</v>
      </c>
      <c r="BL194" s="2" t="s">
        <v>8591</v>
      </c>
      <c r="BM194" s="2" t="s">
        <v>8619</v>
      </c>
      <c r="BO194" s="2"/>
      <c r="MJM194" s="2"/>
    </row>
    <row r="195" customFormat="false" ht="19.5" hidden="false" customHeight="true" outlineLevel="0" collapsed="false">
      <c r="A195" s="1" t="s">
        <v>9397</v>
      </c>
      <c r="B195" s="2" t="s">
        <v>9398</v>
      </c>
      <c r="C195" s="2" t="str">
        <f aca="false">_xlfn.CONCAT(A195, " ","(",B195,")")</f>
        <v>Dorcus parallelipipedus (Lesser Stag Beetle)</v>
      </c>
      <c r="D195" s="2" t="s">
        <v>8580</v>
      </c>
      <c r="E195" s="2" t="s">
        <v>8581</v>
      </c>
      <c r="F195" s="2" t="s">
        <v>9399</v>
      </c>
      <c r="H195" s="2" t="str">
        <f aca="false">VLOOKUP(A195,'[1]NE red list'!A$1:H$1048576,5,FALSE())</f>
        <v>LC</v>
      </c>
      <c r="I195" s="2" t="s">
        <v>8593</v>
      </c>
      <c r="J195" s="2" t="s">
        <v>9400</v>
      </c>
      <c r="L195" s="2" t="s">
        <v>8836</v>
      </c>
      <c r="N195" s="2" t="str">
        <f aca="false">_xlfn.CONCAT(Q195," ",R195," ",S195)</f>
        <v>woodland parkland ToW</v>
      </c>
      <c r="O195" s="2" t="s">
        <v>14</v>
      </c>
      <c r="P195" s="2"/>
      <c r="Q195" s="2" t="s">
        <v>16</v>
      </c>
      <c r="R195" s="2" t="s">
        <v>8568</v>
      </c>
      <c r="S195" s="2" t="s">
        <v>18</v>
      </c>
      <c r="T195" s="2"/>
      <c r="U195" s="2" t="s">
        <v>8570</v>
      </c>
      <c r="V195" s="2" t="s">
        <v>9401</v>
      </c>
      <c r="W195" s="2" t="s">
        <v>8567</v>
      </c>
      <c r="Z195" s="2" t="s">
        <v>8614</v>
      </c>
      <c r="AG195" s="7" t="s">
        <v>8575</v>
      </c>
      <c r="AI195" s="7" t="s">
        <v>8617</v>
      </c>
      <c r="AK195" s="7" t="s">
        <v>8627</v>
      </c>
      <c r="AS195" s="2"/>
      <c r="AV195" s="11"/>
      <c r="BI195" s="2" t="s">
        <v>8590</v>
      </c>
      <c r="BL195" s="2" t="s">
        <v>8591</v>
      </c>
      <c r="BO195" s="2"/>
      <c r="MJM195" s="2"/>
    </row>
    <row r="196" customFormat="false" ht="19.5" hidden="false" customHeight="true" outlineLevel="0" collapsed="false">
      <c r="A196" s="2" t="s">
        <v>9402</v>
      </c>
      <c r="C196" s="2" t="str">
        <f aca="false">_xlfn.CONCAT(A196, " ","(",B196,")")</f>
        <v>Drapetis arcuata ()</v>
      </c>
      <c r="D196" s="2" t="s">
        <v>8580</v>
      </c>
      <c r="E196" s="2" t="s">
        <v>8687</v>
      </c>
      <c r="F196" s="2" t="s">
        <v>9403</v>
      </c>
      <c r="G196" s="2" t="s">
        <v>8583</v>
      </c>
      <c r="H196" s="2" t="e">
        <f aca="false">VLOOKUP(A196,'[1]NE red list'!A$1:H$1048576,5,FALSE())</f>
        <v>#N/A</v>
      </c>
      <c r="I196" s="2" t="s">
        <v>8564</v>
      </c>
      <c r="J196" s="2" t="s">
        <v>9404</v>
      </c>
      <c r="L196" s="2" t="s">
        <v>8665</v>
      </c>
      <c r="N196" s="2" t="str">
        <f aca="false">_xlfn.CONCAT(Q196," ",R196," ",S196)</f>
        <v> parkland </v>
      </c>
      <c r="O196" s="3" t="s">
        <v>14</v>
      </c>
      <c r="P196" s="2"/>
      <c r="R196" s="2" t="s">
        <v>8568</v>
      </c>
      <c r="T196" s="2"/>
      <c r="U196" s="2" t="s">
        <v>8570</v>
      </c>
      <c r="V196" s="2" t="s">
        <v>9405</v>
      </c>
      <c r="W196" s="2" t="s">
        <v>8571</v>
      </c>
      <c r="X196" s="2" t="s">
        <v>8589</v>
      </c>
      <c r="AA196" s="4" t="s">
        <v>26</v>
      </c>
      <c r="AD196" s="6" t="s">
        <v>9044</v>
      </c>
      <c r="AG196" s="7" t="s">
        <v>8575</v>
      </c>
      <c r="AI196" s="7" t="s">
        <v>8617</v>
      </c>
      <c r="AS196" s="2"/>
      <c r="AV196" s="11"/>
      <c r="BI196" s="2" t="s">
        <v>8590</v>
      </c>
      <c r="BL196" s="2" t="s">
        <v>8591</v>
      </c>
      <c r="BO196" s="2"/>
      <c r="MJM196" s="2"/>
    </row>
    <row r="197" customFormat="false" ht="19.5" hidden="false" customHeight="true" outlineLevel="0" collapsed="false">
      <c r="A197" s="2" t="s">
        <v>9406</v>
      </c>
      <c r="C197" s="2" t="str">
        <f aca="false">_xlfn.CONCAT(A197, " ","(",B197,")")</f>
        <v>Drapetis simulans ()</v>
      </c>
      <c r="D197" s="2" t="s">
        <v>8580</v>
      </c>
      <c r="E197" s="2" t="s">
        <v>8687</v>
      </c>
      <c r="F197" s="2" t="s">
        <v>9403</v>
      </c>
      <c r="G197" s="2" t="s">
        <v>8583</v>
      </c>
      <c r="H197" s="2" t="e">
        <f aca="false">VLOOKUP(A197,'[1]NE red list'!A$1:H$1048576,5,FALSE())</f>
        <v>#N/A</v>
      </c>
      <c r="I197" s="2" t="s">
        <v>8750</v>
      </c>
      <c r="J197" s="2" t="s">
        <v>9407</v>
      </c>
      <c r="L197" s="2" t="s">
        <v>8665</v>
      </c>
      <c r="N197" s="2" t="str">
        <f aca="false">_xlfn.CONCAT(Q197," ",R197," ",S197)</f>
        <v> parkland </v>
      </c>
      <c r="O197" s="3" t="s">
        <v>14</v>
      </c>
      <c r="P197" s="2"/>
      <c r="R197" s="2" t="s">
        <v>8568</v>
      </c>
      <c r="T197" s="2"/>
      <c r="U197" s="2" t="s">
        <v>8570</v>
      </c>
      <c r="V197" s="2" t="s">
        <v>9408</v>
      </c>
      <c r="W197" s="2" t="s">
        <v>8571</v>
      </c>
      <c r="X197" s="2" t="s">
        <v>8589</v>
      </c>
      <c r="AA197" s="4" t="s">
        <v>26</v>
      </c>
      <c r="AC197" s="6" t="s">
        <v>8666</v>
      </c>
      <c r="AD197" s="6" t="s">
        <v>9044</v>
      </c>
      <c r="AF197" s="6" t="s">
        <v>8616</v>
      </c>
      <c r="AG197" s="7" t="s">
        <v>8575</v>
      </c>
      <c r="AI197" s="7" t="s">
        <v>8617</v>
      </c>
      <c r="AS197" s="2"/>
      <c r="AU197" s="4" t="s">
        <v>8639</v>
      </c>
      <c r="BI197" s="2" t="s">
        <v>8590</v>
      </c>
      <c r="BL197" s="2" t="s">
        <v>8591</v>
      </c>
      <c r="BO197" s="2"/>
      <c r="MJM197" s="2"/>
    </row>
    <row r="198" customFormat="false" ht="19.5" hidden="false" customHeight="true" outlineLevel="0" collapsed="false">
      <c r="A198" s="2" t="s">
        <v>9409</v>
      </c>
      <c r="C198" s="2" t="str">
        <f aca="false">_xlfn.CONCAT(A198, " ","(",B198,")")</f>
        <v>Dromius agilis ()</v>
      </c>
      <c r="D198" s="2" t="s">
        <v>8580</v>
      </c>
      <c r="E198" s="2" t="s">
        <v>8581</v>
      </c>
      <c r="F198" s="2" t="s">
        <v>9053</v>
      </c>
      <c r="G198" s="2" t="s">
        <v>8737</v>
      </c>
      <c r="H198" s="2" t="str">
        <f aca="false">VLOOKUP(A198,'[1]NE red list'!A$1:H$1048576,5,FALSE())</f>
        <v>LC</v>
      </c>
      <c r="I198" s="2" t="s">
        <v>8645</v>
      </c>
      <c r="J198" s="2" t="s">
        <v>9410</v>
      </c>
      <c r="L198" s="2" t="s">
        <v>8665</v>
      </c>
      <c r="N198" s="2" t="str">
        <f aca="false">_xlfn.CONCAT(Q198," ",R198," ",S198)</f>
        <v>woodland parkland </v>
      </c>
      <c r="O198" s="3" t="s">
        <v>14</v>
      </c>
      <c r="P198" s="2"/>
      <c r="Q198" s="2" t="s">
        <v>16</v>
      </c>
      <c r="R198" s="2" t="s">
        <v>8568</v>
      </c>
      <c r="T198" s="2"/>
      <c r="U198" s="2" t="s">
        <v>8605</v>
      </c>
      <c r="Y198" s="2" t="s">
        <v>8573</v>
      </c>
      <c r="AM198" s="4" t="s">
        <v>8657</v>
      </c>
      <c r="AN198" s="8" t="s">
        <v>40</v>
      </c>
      <c r="AO198" s="8" t="s">
        <v>40</v>
      </c>
      <c r="AQ198" s="8" t="s">
        <v>42</v>
      </c>
      <c r="AS198" s="2"/>
      <c r="AV198" s="11"/>
      <c r="BI198" s="2" t="s">
        <v>8590</v>
      </c>
      <c r="BJ198" s="2" t="s">
        <v>8630</v>
      </c>
      <c r="BL198" s="2" t="s">
        <v>8591</v>
      </c>
      <c r="BO198" s="2"/>
      <c r="MJM198" s="2"/>
    </row>
    <row r="199" customFormat="false" ht="19.5" hidden="false" customHeight="true" outlineLevel="0" collapsed="false">
      <c r="A199" s="2" t="s">
        <v>9411</v>
      </c>
      <c r="C199" s="2" t="str">
        <f aca="false">_xlfn.CONCAT(A199, " ","(",B199,")")</f>
        <v>Gyrophaena strictula ()</v>
      </c>
      <c r="D199" s="2" t="s">
        <v>8580</v>
      </c>
      <c r="E199" s="2" t="s">
        <v>8581</v>
      </c>
      <c r="F199" s="2" t="s">
        <v>8652</v>
      </c>
      <c r="G199" s="2" t="s">
        <v>8583</v>
      </c>
      <c r="H199" s="2" t="e">
        <f aca="false">VLOOKUP(A199,'[1]NE red list'!A$1:H$1048576,5,FALSE())</f>
        <v>#N/A</v>
      </c>
      <c r="I199" s="2" t="s">
        <v>8610</v>
      </c>
      <c r="J199" s="2" t="s">
        <v>9412</v>
      </c>
      <c r="K199" s="2" t="s">
        <v>8585</v>
      </c>
      <c r="L199" s="2" t="s">
        <v>8677</v>
      </c>
      <c r="N199" s="2" t="str">
        <f aca="false">_xlfn.CONCAT(Q199," ",R199," ",S199)</f>
        <v>woodland parkland </v>
      </c>
      <c r="O199" s="3" t="s">
        <v>14</v>
      </c>
      <c r="P199" s="2"/>
      <c r="Q199" s="2" t="s">
        <v>16</v>
      </c>
      <c r="R199" s="2" t="s">
        <v>8568</v>
      </c>
      <c r="T199" s="2"/>
      <c r="U199" s="2" t="s">
        <v>8570</v>
      </c>
      <c r="V199" s="2" t="s">
        <v>8745</v>
      </c>
      <c r="AS199" s="2"/>
      <c r="AV199" s="11"/>
      <c r="AX199" s="4" t="s">
        <v>8585</v>
      </c>
      <c r="AY199" s="12" t="s">
        <v>8585</v>
      </c>
      <c r="BI199" s="2" t="s">
        <v>8590</v>
      </c>
      <c r="BL199" s="2" t="s">
        <v>8591</v>
      </c>
      <c r="BO199" s="2"/>
      <c r="MJM199" s="2"/>
    </row>
    <row r="200" customFormat="false" ht="19.5" hidden="false" customHeight="true" outlineLevel="0" collapsed="false">
      <c r="A200" s="2" t="s">
        <v>9413</v>
      </c>
      <c r="C200" s="2" t="str">
        <f aca="false">_xlfn.CONCAT(A200, " ","(",B200,")")</f>
        <v>Dropephylla ioptera ()</v>
      </c>
      <c r="D200" s="2" t="s">
        <v>8580</v>
      </c>
      <c r="E200" s="2" t="s">
        <v>8581</v>
      </c>
      <c r="F200" s="2" t="s">
        <v>8652</v>
      </c>
      <c r="G200" s="2" t="s">
        <v>8737</v>
      </c>
      <c r="H200" s="2" t="e">
        <f aca="false">VLOOKUP(A200,'[1]NE red list'!A$1:H$1048576,5,FALSE())</f>
        <v>#N/A</v>
      </c>
      <c r="I200" s="2" t="s">
        <v>8645</v>
      </c>
      <c r="J200" s="2" t="s">
        <v>9414</v>
      </c>
      <c r="L200" s="2" t="s">
        <v>9415</v>
      </c>
      <c r="N200" s="2" t="str">
        <f aca="false">_xlfn.CONCAT(Q200," ",R200," ",S200)</f>
        <v>woodland parkland </v>
      </c>
      <c r="O200" s="3" t="s">
        <v>14</v>
      </c>
      <c r="P200" s="2"/>
      <c r="Q200" s="2" t="s">
        <v>16</v>
      </c>
      <c r="R200" s="2" t="s">
        <v>8568</v>
      </c>
      <c r="T200" s="2"/>
      <c r="U200" s="2" t="s">
        <v>8570</v>
      </c>
      <c r="X200" s="2" t="s">
        <v>8597</v>
      </c>
      <c r="Z200" s="2" t="s">
        <v>8574</v>
      </c>
      <c r="AG200" s="7" t="s">
        <v>8824</v>
      </c>
      <c r="AN200" s="8" t="s">
        <v>8638</v>
      </c>
      <c r="AS200" s="2" t="s">
        <v>8792</v>
      </c>
      <c r="AV200" s="11"/>
      <c r="BB200" s="2" t="s">
        <v>8618</v>
      </c>
      <c r="BI200" s="2" t="s">
        <v>8590</v>
      </c>
      <c r="BJ200" s="2" t="s">
        <v>8747</v>
      </c>
      <c r="BL200" s="2" t="s">
        <v>8591</v>
      </c>
      <c r="BO200" s="2"/>
      <c r="MJM200" s="2"/>
    </row>
    <row r="201" customFormat="false" ht="19.5" hidden="false" customHeight="true" outlineLevel="0" collapsed="false">
      <c r="A201" s="1" t="s">
        <v>9416</v>
      </c>
      <c r="B201" s="2" t="s">
        <v>9417</v>
      </c>
      <c r="C201" s="2" t="str">
        <f aca="false">_xlfn.CONCAT(A201, " ","(",B201,")")</f>
        <v>Dryophthorus corticalis (Wood-Boring Weevil)</v>
      </c>
      <c r="D201" s="2" t="s">
        <v>8580</v>
      </c>
      <c r="E201" s="2" t="s">
        <v>8581</v>
      </c>
      <c r="F201" s="2" t="s">
        <v>8632</v>
      </c>
      <c r="G201" s="2" t="s">
        <v>8662</v>
      </c>
      <c r="H201" s="2" t="e">
        <f aca="false">VLOOKUP(A201,'[1]NE red list'!A$1:H$1048576,5,FALSE())</f>
        <v>#N/A</v>
      </c>
      <c r="I201" s="2" t="s">
        <v>8610</v>
      </c>
      <c r="J201" s="2" t="s">
        <v>9418</v>
      </c>
      <c r="L201" s="2" t="s">
        <v>8836</v>
      </c>
      <c r="N201" s="2" t="str">
        <f aca="false">_xlfn.CONCAT(Q201," ",R201," ",S201)</f>
        <v>woodland parkland </v>
      </c>
      <c r="O201" s="3" t="s">
        <v>14</v>
      </c>
      <c r="P201" s="2" t="s">
        <v>8587</v>
      </c>
      <c r="Q201" s="2" t="s">
        <v>16</v>
      </c>
      <c r="R201" s="2" t="s">
        <v>8568</v>
      </c>
      <c r="T201" s="2"/>
      <c r="U201" s="2" t="s">
        <v>8570</v>
      </c>
      <c r="V201" s="2" t="s">
        <v>8828</v>
      </c>
      <c r="W201" s="2" t="s">
        <v>8567</v>
      </c>
      <c r="Z201" s="2" t="s">
        <v>8694</v>
      </c>
      <c r="AG201" s="7" t="s">
        <v>8575</v>
      </c>
      <c r="AI201" s="7" t="s">
        <v>8617</v>
      </c>
      <c r="AJ201" s="7" t="s">
        <v>8626</v>
      </c>
      <c r="AS201" s="2"/>
      <c r="AU201" s="4" t="s">
        <v>8639</v>
      </c>
      <c r="AV201" s="10" t="s">
        <v>8664</v>
      </c>
      <c r="BD201" s="2" t="s">
        <v>8629</v>
      </c>
      <c r="BI201" s="2" t="s">
        <v>8590</v>
      </c>
      <c r="BJ201" s="2" t="s">
        <v>8601</v>
      </c>
      <c r="BL201" s="2" t="s">
        <v>8591</v>
      </c>
      <c r="BM201" s="2" t="s">
        <v>8619</v>
      </c>
      <c r="BO201" s="2"/>
      <c r="MJM201" s="2"/>
    </row>
    <row r="202" customFormat="false" ht="19.5" hidden="false" customHeight="true" outlineLevel="0" collapsed="false">
      <c r="A202" s="2" t="s">
        <v>9419</v>
      </c>
      <c r="C202" s="2" t="str">
        <f aca="false">_xlfn.CONCAT(A202, " ","(",B202,")")</f>
        <v>Malthodes crassicornis ()</v>
      </c>
      <c r="D202" s="2" t="s">
        <v>8580</v>
      </c>
      <c r="E202" s="2" t="s">
        <v>8581</v>
      </c>
      <c r="F202" s="2" t="s">
        <v>9420</v>
      </c>
      <c r="G202" s="2" t="s">
        <v>8633</v>
      </c>
      <c r="H202" s="2" t="str">
        <f aca="false">VLOOKUP(A202,'[1]NE red list'!A$1:H$1048576,5,FALSE())</f>
        <v>NT</v>
      </c>
      <c r="I202" s="2" t="s">
        <v>9421</v>
      </c>
      <c r="J202" s="2" t="s">
        <v>9422</v>
      </c>
      <c r="L202" s="2" t="s">
        <v>8665</v>
      </c>
      <c r="N202" s="2" t="str">
        <f aca="false">_xlfn.CONCAT(Q202," ",R202," ",S202)</f>
        <v> parkland </v>
      </c>
      <c r="O202" s="3" t="s">
        <v>14</v>
      </c>
      <c r="P202" s="2" t="s">
        <v>8587</v>
      </c>
      <c r="R202" s="2" t="s">
        <v>8568</v>
      </c>
      <c r="T202" s="2"/>
      <c r="U202" s="2" t="s">
        <v>8570</v>
      </c>
      <c r="V202" s="2" t="s">
        <v>8745</v>
      </c>
      <c r="W202" s="2" t="s">
        <v>8587</v>
      </c>
      <c r="X202" s="2" t="s">
        <v>8589</v>
      </c>
      <c r="Y202" s="2" t="s">
        <v>8573</v>
      </c>
      <c r="Z202" s="2" t="s">
        <v>8614</v>
      </c>
      <c r="AA202" s="4" t="s">
        <v>26</v>
      </c>
      <c r="AD202" s="6" t="s">
        <v>8615</v>
      </c>
      <c r="AF202" s="6" t="s">
        <v>8616</v>
      </c>
      <c r="AG202" s="7" t="s">
        <v>8575</v>
      </c>
      <c r="AI202" s="7" t="s">
        <v>8617</v>
      </c>
      <c r="AJ202" s="7" t="s">
        <v>8626</v>
      </c>
      <c r="AN202" s="32"/>
      <c r="AO202" s="32"/>
      <c r="AP202" s="32"/>
      <c r="AQ202" s="32"/>
      <c r="AR202" s="32"/>
      <c r="AS202" s="2"/>
      <c r="AT202" s="32"/>
      <c r="AV202" s="11"/>
      <c r="BA202" s="32"/>
      <c r="BB202" s="32"/>
      <c r="BC202" s="32"/>
      <c r="BD202" s="2" t="s">
        <v>8629</v>
      </c>
      <c r="BE202" s="32"/>
      <c r="BF202" s="32"/>
      <c r="BG202" s="32"/>
      <c r="BH202" s="32"/>
      <c r="BI202" s="2" t="s">
        <v>8590</v>
      </c>
      <c r="BJ202" s="32" t="s">
        <v>8747</v>
      </c>
      <c r="BK202" s="32"/>
      <c r="BL202" s="32" t="s">
        <v>8591</v>
      </c>
      <c r="BM202" s="32" t="s">
        <v>8619</v>
      </c>
      <c r="BN202" s="32"/>
      <c r="BO202" s="2"/>
      <c r="MJM202" s="2"/>
    </row>
    <row r="203" customFormat="false" ht="19.5" hidden="false" customHeight="true" outlineLevel="0" collapsed="false">
      <c r="A203" s="2" t="s">
        <v>9423</v>
      </c>
      <c r="C203" s="2" t="str">
        <f aca="false">_xlfn.CONCAT(A203, " ","(",B203,")")</f>
        <v>Ectemnius sexcinctus ()</v>
      </c>
      <c r="D203" s="2" t="s">
        <v>8580</v>
      </c>
      <c r="E203" s="2" t="s">
        <v>8839</v>
      </c>
      <c r="F203" s="2" t="s">
        <v>9424</v>
      </c>
      <c r="G203" s="2" t="s">
        <v>8583</v>
      </c>
      <c r="H203" s="2" t="e">
        <f aca="false">VLOOKUP(A203,'[1]NE red list'!A$1:H$1048576,5,FALSE())</f>
        <v>#N/A</v>
      </c>
      <c r="I203" s="2" t="s">
        <v>8564</v>
      </c>
      <c r="J203" s="2" t="s">
        <v>9425</v>
      </c>
      <c r="L203" s="2" t="s">
        <v>9050</v>
      </c>
      <c r="N203" s="2" t="str">
        <f aca="false">_xlfn.CONCAT(Q203," ",R203," ",S203)</f>
        <v> parkland ToW</v>
      </c>
      <c r="O203" s="2" t="s">
        <v>14</v>
      </c>
      <c r="P203" s="2"/>
      <c r="R203" s="2" t="s">
        <v>8568</v>
      </c>
      <c r="S203" s="2" t="s">
        <v>18</v>
      </c>
      <c r="T203" s="2" t="s">
        <v>8569</v>
      </c>
      <c r="U203" s="2" t="s">
        <v>8605</v>
      </c>
      <c r="X203" s="2" t="s">
        <v>9426</v>
      </c>
      <c r="Z203" s="2" t="s">
        <v>8574</v>
      </c>
      <c r="AB203" s="5" t="s">
        <v>8672</v>
      </c>
      <c r="AG203" s="7" t="s">
        <v>8824</v>
      </c>
      <c r="AS203" s="2"/>
      <c r="AV203" s="11"/>
      <c r="BB203" s="2" t="s">
        <v>8618</v>
      </c>
      <c r="BC203" s="2" t="s">
        <v>9427</v>
      </c>
      <c r="BF203" s="2" t="s">
        <v>9274</v>
      </c>
      <c r="BH203" s="2" t="s">
        <v>9275</v>
      </c>
      <c r="BI203" s="2" t="s">
        <v>8590</v>
      </c>
      <c r="BL203" s="2" t="s">
        <v>8591</v>
      </c>
      <c r="BO203" s="2"/>
      <c r="MJM203" s="2"/>
    </row>
    <row r="204" customFormat="false" ht="19.5" hidden="false" customHeight="true" outlineLevel="0" collapsed="false">
      <c r="A204" s="1" t="s">
        <v>9428</v>
      </c>
      <c r="B204" s="2" t="s">
        <v>9429</v>
      </c>
      <c r="C204" s="2" t="str">
        <f aca="false">_xlfn.CONCAT(A204, " ","(",B204,")")</f>
        <v>Eilema depressa (Buff Footman)</v>
      </c>
      <c r="D204" s="2" t="s">
        <v>8580</v>
      </c>
      <c r="E204" s="2" t="s">
        <v>8722</v>
      </c>
      <c r="F204" s="2" t="s">
        <v>8922</v>
      </c>
      <c r="G204" s="2" t="s">
        <v>8737</v>
      </c>
      <c r="H204" s="2" t="e">
        <f aca="false">VLOOKUP(A204,'[1]NE red list'!A$1:H$1048576,5,FALSE())</f>
        <v>#N/A</v>
      </c>
      <c r="I204" s="2" t="s">
        <v>8645</v>
      </c>
      <c r="J204" s="33" t="s">
        <v>9430</v>
      </c>
      <c r="K204" s="2" t="s">
        <v>8725</v>
      </c>
      <c r="L204" s="2" t="s">
        <v>8648</v>
      </c>
      <c r="N204" s="2" t="str">
        <f aca="false">_xlfn.CONCAT(Q204," ",R204," ",S204)</f>
        <v>woodland parkland </v>
      </c>
      <c r="O204" s="3" t="s">
        <v>14</v>
      </c>
      <c r="P204" s="2"/>
      <c r="Q204" s="2" t="s">
        <v>16</v>
      </c>
      <c r="R204" s="2" t="s">
        <v>8568</v>
      </c>
      <c r="T204" s="2"/>
      <c r="U204" s="2" t="s">
        <v>8605</v>
      </c>
      <c r="X204" s="2" t="s">
        <v>8597</v>
      </c>
      <c r="Y204" s="2" t="s">
        <v>8573</v>
      </c>
      <c r="Z204" s="2" t="s">
        <v>8694</v>
      </c>
      <c r="AS204" s="2"/>
      <c r="AU204" s="4" t="s">
        <v>8639</v>
      </c>
      <c r="AV204" s="11"/>
      <c r="AW204" s="11" t="s">
        <v>8726</v>
      </c>
      <c r="BI204" s="2" t="s">
        <v>8590</v>
      </c>
      <c r="BJ204" s="2" t="s">
        <v>8907</v>
      </c>
      <c r="BL204" s="2" t="s">
        <v>8591</v>
      </c>
      <c r="BO204" s="2"/>
      <c r="MJM204" s="2"/>
    </row>
    <row r="205" s="57" customFormat="true" ht="19.5" hidden="false" customHeight="true" outlineLevel="0" collapsed="false">
      <c r="A205" s="1" t="s">
        <v>9431</v>
      </c>
      <c r="B205" s="2" t="s">
        <v>9432</v>
      </c>
      <c r="C205" s="2" t="str">
        <f aca="false">_xlfn.CONCAT(A205, " ","(",B205,")")</f>
        <v>Eilema griseola (Dingy Footman)</v>
      </c>
      <c r="D205" s="2" t="s">
        <v>8580</v>
      </c>
      <c r="E205" s="2" t="s">
        <v>8722</v>
      </c>
      <c r="F205" s="2" t="s">
        <v>8922</v>
      </c>
      <c r="G205" s="2" t="s">
        <v>8737</v>
      </c>
      <c r="H205" s="2" t="e">
        <f aca="false">VLOOKUP(A205,'[1]NE red list'!A$1:H$1048576,5,FALSE())</f>
        <v>#N/A</v>
      </c>
      <c r="I205" s="2" t="s">
        <v>8645</v>
      </c>
      <c r="J205" s="33" t="s">
        <v>9433</v>
      </c>
      <c r="K205" s="2" t="s">
        <v>8725</v>
      </c>
      <c r="L205" s="2" t="s">
        <v>8648</v>
      </c>
      <c r="M205" s="2"/>
      <c r="N205" s="2" t="str">
        <f aca="false">_xlfn.CONCAT(Q205," ",R205," ",S205)</f>
        <v>woodland  </v>
      </c>
      <c r="O205" s="2" t="s">
        <v>14</v>
      </c>
      <c r="P205" s="2"/>
      <c r="Q205" s="2" t="s">
        <v>16</v>
      </c>
      <c r="R205" s="2"/>
      <c r="S205" s="2"/>
      <c r="T205" s="2"/>
      <c r="U205" s="2" t="s">
        <v>8605</v>
      </c>
      <c r="V205" s="2"/>
      <c r="W205" s="2"/>
      <c r="X205" s="2" t="s">
        <v>8597</v>
      </c>
      <c r="Y205" s="2" t="s">
        <v>8573</v>
      </c>
      <c r="Z205" s="2" t="s">
        <v>8694</v>
      </c>
      <c r="AA205" s="4"/>
      <c r="AB205" s="5"/>
      <c r="AC205" s="6"/>
      <c r="AD205" s="6"/>
      <c r="AE205" s="6"/>
      <c r="AF205" s="6"/>
      <c r="AG205" s="7"/>
      <c r="AH205" s="7"/>
      <c r="AI205" s="7"/>
      <c r="AJ205" s="7"/>
      <c r="AK205" s="7"/>
      <c r="AL205" s="7"/>
      <c r="AM205" s="4"/>
      <c r="AN205" s="8"/>
      <c r="AO205" s="8"/>
      <c r="AP205" s="8"/>
      <c r="AQ205" s="8"/>
      <c r="AR205" s="8"/>
      <c r="AS205" s="2"/>
      <c r="AT205" s="2"/>
      <c r="AU205" s="4" t="s">
        <v>8639</v>
      </c>
      <c r="AV205" s="11"/>
      <c r="AW205" s="11" t="s">
        <v>8726</v>
      </c>
      <c r="AX205" s="4"/>
      <c r="AY205" s="12"/>
      <c r="AZ205" s="12"/>
      <c r="BA205" s="2"/>
      <c r="BB205" s="2"/>
      <c r="BC205" s="2"/>
      <c r="BD205" s="2" t="s">
        <v>9046</v>
      </c>
      <c r="BE205" s="2"/>
      <c r="BF205" s="2"/>
      <c r="BG205" s="2"/>
      <c r="BH205" s="2" t="s">
        <v>9434</v>
      </c>
      <c r="BI205" s="2" t="s">
        <v>8590</v>
      </c>
      <c r="BJ205" s="2"/>
      <c r="BK205" s="2"/>
      <c r="BL205" s="2" t="s">
        <v>8591</v>
      </c>
      <c r="BM205" s="2"/>
    </row>
    <row r="206" customFormat="false" ht="19.5" hidden="false" customHeight="true" outlineLevel="0" collapsed="false">
      <c r="A206" s="1" t="s">
        <v>9435</v>
      </c>
      <c r="B206" s="2" t="s">
        <v>9436</v>
      </c>
      <c r="C206" s="2" t="str">
        <f aca="false">_xlfn.CONCAT(A206, " ","(",B206,")")</f>
        <v>Eilema lurideola (Common Footman)</v>
      </c>
      <c r="D206" s="2" t="s">
        <v>8580</v>
      </c>
      <c r="E206" s="2" t="s">
        <v>8722</v>
      </c>
      <c r="F206" s="2" t="s">
        <v>8922</v>
      </c>
      <c r="G206" s="2" t="s">
        <v>8737</v>
      </c>
      <c r="H206" s="2" t="e">
        <f aca="false">VLOOKUP(A206,'[1]NE red list'!A$1:H$1048576,5,FALSE())</f>
        <v>#N/A</v>
      </c>
      <c r="I206" s="2" t="s">
        <v>8645</v>
      </c>
      <c r="J206" s="33" t="s">
        <v>9437</v>
      </c>
      <c r="K206" s="2" t="s">
        <v>8725</v>
      </c>
      <c r="L206" s="2" t="s">
        <v>8648</v>
      </c>
      <c r="N206" s="2" t="str">
        <f aca="false">_xlfn.CONCAT(Q206," ",R206," ",S206)</f>
        <v>woodland parkland </v>
      </c>
      <c r="O206" s="3" t="s">
        <v>14</v>
      </c>
      <c r="P206" s="2"/>
      <c r="Q206" s="2" t="s">
        <v>16</v>
      </c>
      <c r="R206" s="2" t="s">
        <v>8568</v>
      </c>
      <c r="T206" s="2"/>
      <c r="U206" s="2" t="s">
        <v>8605</v>
      </c>
      <c r="X206" s="2" t="s">
        <v>8625</v>
      </c>
      <c r="Y206" s="2" t="s">
        <v>8573</v>
      </c>
      <c r="Z206" s="2" t="s">
        <v>8694</v>
      </c>
      <c r="AS206" s="2"/>
      <c r="AU206" s="4" t="s">
        <v>8639</v>
      </c>
      <c r="AV206" s="11"/>
      <c r="AW206" s="11" t="s">
        <v>8726</v>
      </c>
      <c r="BO206" s="2"/>
      <c r="MJM206" s="2"/>
    </row>
    <row r="207" customFormat="false" ht="19.5" hidden="false" customHeight="true" outlineLevel="0" collapsed="false">
      <c r="A207" s="1" t="s">
        <v>9438</v>
      </c>
      <c r="B207" s="2" t="s">
        <v>9439</v>
      </c>
      <c r="C207" s="2" t="str">
        <f aca="false">_xlfn.CONCAT(A207, " ","(",B207,")")</f>
        <v>Eilema sororcula (Orange Footman)</v>
      </c>
      <c r="D207" s="2" t="s">
        <v>8580</v>
      </c>
      <c r="E207" s="2" t="s">
        <v>8722</v>
      </c>
      <c r="F207" s="2" t="s">
        <v>8922</v>
      </c>
      <c r="G207" s="2" t="s">
        <v>8737</v>
      </c>
      <c r="H207" s="2" t="e">
        <f aca="false">VLOOKUP(A207,'[1]NE red list'!A$1:H$1048576,5,FALSE())</f>
        <v>#N/A</v>
      </c>
      <c r="I207" s="2" t="s">
        <v>8645</v>
      </c>
      <c r="J207" s="33" t="s">
        <v>9440</v>
      </c>
      <c r="K207" s="2" t="s">
        <v>8725</v>
      </c>
      <c r="L207" s="2" t="s">
        <v>8648</v>
      </c>
      <c r="N207" s="2" t="str">
        <f aca="false">_xlfn.CONCAT(Q207," ",R207," ",S207)</f>
        <v>woodland parkland </v>
      </c>
      <c r="O207" s="3" t="s">
        <v>14</v>
      </c>
      <c r="P207" s="2"/>
      <c r="Q207" s="2" t="s">
        <v>16</v>
      </c>
      <c r="R207" s="2" t="s">
        <v>8568</v>
      </c>
      <c r="T207" s="2"/>
      <c r="U207" s="2" t="s">
        <v>8570</v>
      </c>
      <c r="V207" s="2" t="s">
        <v>8828</v>
      </c>
      <c r="X207" s="2" t="s">
        <v>8589</v>
      </c>
      <c r="Y207" s="2" t="s">
        <v>8573</v>
      </c>
      <c r="Z207" s="2" t="s">
        <v>8694</v>
      </c>
      <c r="AS207" s="2"/>
      <c r="AU207" s="4" t="s">
        <v>8639</v>
      </c>
      <c r="AV207" s="11"/>
      <c r="AW207" s="11" t="s">
        <v>8726</v>
      </c>
      <c r="BI207" s="2" t="s">
        <v>8590</v>
      </c>
      <c r="BJ207" s="2" t="s">
        <v>8601</v>
      </c>
      <c r="BL207" s="2" t="s">
        <v>8591</v>
      </c>
      <c r="BO207" s="2"/>
      <c r="MJM207" s="2"/>
    </row>
    <row r="208" customFormat="false" ht="19.5" hidden="false" customHeight="true" outlineLevel="0" collapsed="false">
      <c r="A208" s="2" t="s">
        <v>9441</v>
      </c>
      <c r="C208" s="2" t="str">
        <f aca="false">_xlfn.CONCAT(A208, " ","(",B208,")")</f>
        <v>Euplectus kirbyi ()</v>
      </c>
      <c r="D208" s="2" t="s">
        <v>8580</v>
      </c>
      <c r="E208" s="2" t="s">
        <v>8581</v>
      </c>
      <c r="F208" s="2" t="s">
        <v>8652</v>
      </c>
      <c r="G208" s="2" t="s">
        <v>8583</v>
      </c>
      <c r="H208" s="2" t="e">
        <f aca="false">VLOOKUP(A208,'[1]NE red list'!A$1:H$1048576,5,FALSE())</f>
        <v>#N/A</v>
      </c>
      <c r="I208" s="2" t="s">
        <v>9442</v>
      </c>
      <c r="J208" s="2" t="s">
        <v>9443</v>
      </c>
      <c r="L208" s="2" t="s">
        <v>8836</v>
      </c>
      <c r="N208" s="2" t="str">
        <f aca="false">_xlfn.CONCAT(Q208," ",R208," ",S208)</f>
        <v> parkland </v>
      </c>
      <c r="O208" s="3" t="s">
        <v>14</v>
      </c>
      <c r="P208" s="2" t="s">
        <v>8587</v>
      </c>
      <c r="R208" s="2" t="s">
        <v>8568</v>
      </c>
      <c r="T208" s="2"/>
      <c r="U208" s="2" t="s">
        <v>8570</v>
      </c>
      <c r="W208" s="2" t="s">
        <v>8571</v>
      </c>
      <c r="X208" s="2" t="s">
        <v>8625</v>
      </c>
      <c r="Z208" s="2" t="s">
        <v>8574</v>
      </c>
      <c r="AA208" s="4" t="s">
        <v>26</v>
      </c>
      <c r="AD208" s="6" t="s">
        <v>8615</v>
      </c>
      <c r="AF208" s="6" t="s">
        <v>8616</v>
      </c>
      <c r="AG208" s="7" t="s">
        <v>8575</v>
      </c>
      <c r="AI208" s="7" t="s">
        <v>8617</v>
      </c>
      <c r="AK208" s="7" t="s">
        <v>8627</v>
      </c>
      <c r="AL208" s="7" t="s">
        <v>8785</v>
      </c>
      <c r="AM208" s="4" t="s">
        <v>8657</v>
      </c>
      <c r="AN208" s="8" t="s">
        <v>9444</v>
      </c>
      <c r="AO208" s="8" t="s">
        <v>40</v>
      </c>
      <c r="AQ208" s="8" t="s">
        <v>42</v>
      </c>
      <c r="AS208" s="2"/>
      <c r="AV208" s="11"/>
      <c r="BI208" s="2" t="s">
        <v>8590</v>
      </c>
      <c r="BL208" s="2" t="s">
        <v>8591</v>
      </c>
      <c r="BM208" s="2" t="s">
        <v>8619</v>
      </c>
      <c r="BO208" s="2"/>
      <c r="MJM208" s="2"/>
    </row>
    <row r="209" customFormat="false" ht="19.5" hidden="false" customHeight="true" outlineLevel="0" collapsed="false">
      <c r="A209" s="2" t="s">
        <v>9445</v>
      </c>
      <c r="C209" s="2" t="str">
        <f aca="false">_xlfn.CONCAT(A209, " ","(",B209,")")</f>
        <v>Eledona agricola ()</v>
      </c>
      <c r="D209" s="2" t="s">
        <v>8580</v>
      </c>
      <c r="E209" s="2" t="s">
        <v>8581</v>
      </c>
      <c r="F209" s="2" t="s">
        <v>9239</v>
      </c>
      <c r="H209" s="2" t="str">
        <f aca="false">VLOOKUP(A209,'[1]NE red list'!A$1:H$1048576,5,FALSE())</f>
        <v>LC</v>
      </c>
      <c r="I209" s="2" t="s">
        <v>8634</v>
      </c>
      <c r="J209" s="2" t="s">
        <v>9446</v>
      </c>
      <c r="K209" s="2" t="s">
        <v>8585</v>
      </c>
      <c r="L209" s="2" t="s">
        <v>8677</v>
      </c>
      <c r="N209" s="2" t="str">
        <f aca="false">_xlfn.CONCAT(Q209," ",R209," ",S209)</f>
        <v> parkland </v>
      </c>
      <c r="O209" s="3" t="s">
        <v>14</v>
      </c>
      <c r="P209" s="2"/>
      <c r="R209" s="2" t="s">
        <v>8568</v>
      </c>
      <c r="T209" s="2"/>
      <c r="U209" s="2" t="s">
        <v>8570</v>
      </c>
      <c r="W209" s="2" t="s">
        <v>8567</v>
      </c>
      <c r="AS209" s="2"/>
      <c r="AV209" s="11"/>
      <c r="AX209" s="4" t="s">
        <v>8585</v>
      </c>
      <c r="AY209" s="12" t="s">
        <v>8585</v>
      </c>
      <c r="BI209" s="2" t="s">
        <v>8590</v>
      </c>
      <c r="BJ209" s="2" t="s">
        <v>8601</v>
      </c>
      <c r="BL209" s="2" t="s">
        <v>8591</v>
      </c>
      <c r="BO209" s="2"/>
      <c r="MJM209" s="2"/>
    </row>
    <row r="210" customFormat="false" ht="19.5" hidden="false" customHeight="true" outlineLevel="0" collapsed="false">
      <c r="A210" s="2" t="s">
        <v>9447</v>
      </c>
      <c r="C210" s="2" t="str">
        <f aca="false">_xlfn.CONCAT(A210, " ","(",B210,")")</f>
        <v>Enarmonia formosana
 ()</v>
      </c>
      <c r="D210" s="2" t="s">
        <v>8580</v>
      </c>
      <c r="E210" s="2" t="s">
        <v>8722</v>
      </c>
      <c r="F210" s="2" t="s">
        <v>9105</v>
      </c>
      <c r="G210" s="2" t="s">
        <v>8737</v>
      </c>
      <c r="H210" s="2" t="e">
        <f aca="false">VLOOKUP(A210,'[1]NE red list'!A$1:H$1048576,5,FALSE())</f>
        <v>#N/A</v>
      </c>
      <c r="I210" s="2" t="s">
        <v>8645</v>
      </c>
      <c r="J210" s="33" t="s">
        <v>9448</v>
      </c>
      <c r="L210" s="2" t="s">
        <v>8586</v>
      </c>
      <c r="M210" s="33"/>
      <c r="N210" s="2" t="str">
        <f aca="false">_xlfn.CONCAT(Q210," ",R210," ",S210)</f>
        <v>woodland  orchards</v>
      </c>
      <c r="O210" s="2" t="s">
        <v>14</v>
      </c>
      <c r="P210" s="2"/>
      <c r="Q210" s="3" t="s">
        <v>16</v>
      </c>
      <c r="S210" s="2" t="s">
        <v>8692</v>
      </c>
      <c r="U210" s="2" t="s">
        <v>9449</v>
      </c>
      <c r="V210" s="2" t="s">
        <v>9450</v>
      </c>
      <c r="AM210" s="4" t="s">
        <v>8657</v>
      </c>
      <c r="AO210" s="8" t="s">
        <v>40</v>
      </c>
      <c r="AP210" s="8" t="s">
        <v>8953</v>
      </c>
      <c r="AQ210" s="8" t="s">
        <v>42</v>
      </c>
      <c r="AS210" s="2"/>
      <c r="AV210" s="11"/>
      <c r="BO210" s="2"/>
      <c r="MJM210" s="2"/>
    </row>
    <row r="211" customFormat="false" ht="19.5" hidden="false" customHeight="true" outlineLevel="0" collapsed="false">
      <c r="A211" s="2" t="s">
        <v>9451</v>
      </c>
      <c r="C211" s="2" t="str">
        <f aca="false">_xlfn.CONCAT(A211, " ","(",B211,")")</f>
        <v>Endomychus coccineus ()</v>
      </c>
      <c r="D211" s="2" t="s">
        <v>8580</v>
      </c>
      <c r="E211" s="2" t="s">
        <v>8581</v>
      </c>
      <c r="F211" s="30" t="s">
        <v>9452</v>
      </c>
      <c r="G211" s="2" t="s">
        <v>8737</v>
      </c>
      <c r="H211" s="2" t="e">
        <f aca="false">VLOOKUP(A211,'[1]NE red list'!A$1:H$1048576,5,FALSE())</f>
        <v>#N/A</v>
      </c>
      <c r="I211" s="2" t="s">
        <v>8645</v>
      </c>
      <c r="J211" s="2" t="s">
        <v>9453</v>
      </c>
      <c r="K211" s="2" t="s">
        <v>9454</v>
      </c>
      <c r="L211" s="2" t="s">
        <v>8677</v>
      </c>
      <c r="N211" s="2" t="str">
        <f aca="false">_xlfn.CONCAT(Q211," ",R211," ",S211)</f>
        <v>woodland  </v>
      </c>
      <c r="O211" s="2" t="s">
        <v>14</v>
      </c>
      <c r="P211" s="2"/>
      <c r="Q211" s="3" t="s">
        <v>16</v>
      </c>
      <c r="T211" s="2"/>
      <c r="U211" s="2" t="s">
        <v>8570</v>
      </c>
      <c r="V211" s="2" t="s">
        <v>9455</v>
      </c>
      <c r="W211" s="2" t="s">
        <v>8567</v>
      </c>
      <c r="Z211" s="2" t="s">
        <v>8574</v>
      </c>
      <c r="AG211" s="7" t="s">
        <v>8824</v>
      </c>
      <c r="AN211" s="8" t="s">
        <v>8852</v>
      </c>
      <c r="AS211" s="2"/>
      <c r="AV211" s="11"/>
      <c r="AX211" s="4" t="s">
        <v>8607</v>
      </c>
      <c r="BI211" s="2" t="s">
        <v>8590</v>
      </c>
      <c r="BL211" s="2" t="s">
        <v>8591</v>
      </c>
      <c r="BO211" s="2"/>
      <c r="MJM211" s="2"/>
    </row>
    <row r="212" customFormat="false" ht="19.5" hidden="false" customHeight="true" outlineLevel="0" collapsed="false">
      <c r="A212" s="2" t="s">
        <v>9456</v>
      </c>
      <c r="C212" s="2" t="str">
        <f aca="false">_xlfn.CONCAT(A212, " ","(",B212,")")</f>
        <v>Enicmus brevicornis ()</v>
      </c>
      <c r="D212" s="2" t="s">
        <v>8580</v>
      </c>
      <c r="E212" s="2" t="s">
        <v>8581</v>
      </c>
      <c r="F212" s="2" t="s">
        <v>8983</v>
      </c>
      <c r="G212" s="2" t="s">
        <v>8583</v>
      </c>
      <c r="H212" s="2" t="e">
        <f aca="false">VLOOKUP(A212,'[1]NE red list'!A$1:H$1048576,5,FALSE())</f>
        <v>#N/A</v>
      </c>
      <c r="I212" s="2" t="s">
        <v>9457</v>
      </c>
      <c r="J212" s="2" t="s">
        <v>9458</v>
      </c>
      <c r="L212" s="2" t="s">
        <v>8677</v>
      </c>
      <c r="N212" s="2" t="str">
        <f aca="false">_xlfn.CONCAT(Q212," ",R212," ",S212)</f>
        <v>woodland  </v>
      </c>
      <c r="O212" s="2"/>
      <c r="P212" s="2"/>
      <c r="Q212" s="3" t="s">
        <v>16</v>
      </c>
      <c r="T212" s="2"/>
      <c r="U212" s="2" t="s">
        <v>8570</v>
      </c>
      <c r="V212" s="2" t="s">
        <v>9459</v>
      </c>
      <c r="Z212" s="2" t="s">
        <v>8614</v>
      </c>
      <c r="AG212" s="7" t="s">
        <v>8824</v>
      </c>
      <c r="AM212" s="4" t="s">
        <v>8657</v>
      </c>
      <c r="AN212" s="8" t="s">
        <v>8734</v>
      </c>
      <c r="AO212" s="8" t="s">
        <v>40</v>
      </c>
      <c r="AP212" s="55"/>
      <c r="AQ212" s="8" t="s">
        <v>42</v>
      </c>
      <c r="AS212" s="2"/>
      <c r="AV212" s="11"/>
      <c r="AX212" s="4" t="s">
        <v>8607</v>
      </c>
      <c r="AZ212" s="12" t="s">
        <v>8607</v>
      </c>
      <c r="BI212" s="2" t="s">
        <v>8590</v>
      </c>
      <c r="BL212" s="2" t="s">
        <v>8591</v>
      </c>
      <c r="BO212" s="2"/>
      <c r="MJM212" s="2"/>
    </row>
    <row r="213" customFormat="false" ht="19.5" hidden="false" customHeight="true" outlineLevel="0" collapsed="false">
      <c r="A213" s="2" t="s">
        <v>9460</v>
      </c>
      <c r="C213" s="2" t="str">
        <f aca="false">_xlfn.CONCAT(A213, " ","(",B213,")")</f>
        <v>Enicmus fungicola ()</v>
      </c>
      <c r="D213" s="2" t="s">
        <v>8580</v>
      </c>
      <c r="E213" s="2" t="s">
        <v>8581</v>
      </c>
      <c r="F213" s="2" t="s">
        <v>8983</v>
      </c>
      <c r="G213" s="2" t="s">
        <v>8583</v>
      </c>
      <c r="H213" s="2" t="e">
        <f aca="false">VLOOKUP(A213,'[1]NE red list'!A$1:H$1048576,5,FALSE())</f>
        <v>#N/A</v>
      </c>
      <c r="I213" s="2" t="s">
        <v>9461</v>
      </c>
      <c r="J213" s="2" t="s">
        <v>9462</v>
      </c>
      <c r="K213" s="2" t="s">
        <v>9463</v>
      </c>
      <c r="L213" s="2" t="s">
        <v>8677</v>
      </c>
      <c r="N213" s="2" t="str">
        <f aca="false">_xlfn.CONCAT(Q213," ",R213," ",S213)</f>
        <v>woodland parkland </v>
      </c>
      <c r="O213" s="3" t="s">
        <v>14</v>
      </c>
      <c r="P213" s="2"/>
      <c r="Q213" s="3" t="s">
        <v>16</v>
      </c>
      <c r="R213" s="2" t="s">
        <v>8568</v>
      </c>
      <c r="T213" s="2"/>
      <c r="U213" s="2" t="s">
        <v>8570</v>
      </c>
      <c r="V213" s="2" t="s">
        <v>8828</v>
      </c>
      <c r="X213" s="2" t="s">
        <v>8625</v>
      </c>
      <c r="Z213" s="2" t="s">
        <v>8574</v>
      </c>
      <c r="AG213" s="7" t="s">
        <v>8824</v>
      </c>
      <c r="AM213" s="4" t="s">
        <v>8657</v>
      </c>
      <c r="AN213" s="8" t="s">
        <v>8734</v>
      </c>
      <c r="AO213" s="8" t="s">
        <v>40</v>
      </c>
      <c r="AQ213" s="8" t="s">
        <v>42</v>
      </c>
      <c r="AS213" s="2"/>
      <c r="AV213" s="11"/>
      <c r="AX213" s="4" t="s">
        <v>8676</v>
      </c>
      <c r="AZ213" s="12" t="s">
        <v>8676</v>
      </c>
      <c r="BI213" s="2" t="s">
        <v>8590</v>
      </c>
      <c r="BJ213" s="2" t="s">
        <v>8630</v>
      </c>
      <c r="BL213" s="2" t="s">
        <v>8591</v>
      </c>
      <c r="BO213" s="2"/>
      <c r="MJM213" s="2"/>
    </row>
    <row r="214" customFormat="false" ht="19.5" hidden="false" customHeight="true" outlineLevel="0" collapsed="false">
      <c r="A214" s="2" t="s">
        <v>9464</v>
      </c>
      <c r="C214" s="2" t="str">
        <f aca="false">_xlfn.CONCAT(A214, " ","(",B214,")")</f>
        <v>Enicmus rugosus ()</v>
      </c>
      <c r="D214" s="2" t="s">
        <v>8580</v>
      </c>
      <c r="E214" s="2" t="s">
        <v>8581</v>
      </c>
      <c r="F214" s="2" t="s">
        <v>8983</v>
      </c>
      <c r="G214" s="2" t="s">
        <v>8583</v>
      </c>
      <c r="H214" s="2" t="e">
        <f aca="false">VLOOKUP(A214,'[1]NE red list'!A$1:H$1048576,5,FALSE())</f>
        <v>#N/A</v>
      </c>
      <c r="I214" s="2" t="s">
        <v>9465</v>
      </c>
      <c r="J214" s="2" t="s">
        <v>9466</v>
      </c>
      <c r="L214" s="2" t="s">
        <v>8677</v>
      </c>
      <c r="N214" s="2" t="str">
        <f aca="false">_xlfn.CONCAT(Q214," ",R214," ",S214)</f>
        <v>woodland parkland </v>
      </c>
      <c r="O214" s="3" t="s">
        <v>14</v>
      </c>
      <c r="P214" s="2"/>
      <c r="Q214" s="2" t="s">
        <v>16</v>
      </c>
      <c r="R214" s="2" t="s">
        <v>8568</v>
      </c>
      <c r="T214" s="2"/>
      <c r="U214" s="2" t="s">
        <v>8605</v>
      </c>
      <c r="V214" s="2" t="s">
        <v>9467</v>
      </c>
      <c r="W214" s="2" t="s">
        <v>8567</v>
      </c>
      <c r="Z214" s="2" t="s">
        <v>8574</v>
      </c>
      <c r="AG214" s="7" t="s">
        <v>8824</v>
      </c>
      <c r="AM214" s="4" t="s">
        <v>8657</v>
      </c>
      <c r="AN214" s="8" t="s">
        <v>8734</v>
      </c>
      <c r="AO214" s="8" t="s">
        <v>40</v>
      </c>
      <c r="AQ214" s="8" t="s">
        <v>42</v>
      </c>
      <c r="AS214" s="2"/>
      <c r="AV214" s="11"/>
      <c r="AX214" s="4" t="s">
        <v>8676</v>
      </c>
      <c r="AZ214" s="12" t="s">
        <v>8676</v>
      </c>
      <c r="BI214" s="2" t="s">
        <v>8590</v>
      </c>
      <c r="BJ214" s="2" t="s">
        <v>8601</v>
      </c>
      <c r="BL214" s="2" t="s">
        <v>8591</v>
      </c>
      <c r="BO214" s="2"/>
      <c r="MJM214" s="2"/>
    </row>
    <row r="215" customFormat="false" ht="19.5" hidden="false" customHeight="true" outlineLevel="0" collapsed="false">
      <c r="A215" s="2" t="s">
        <v>9468</v>
      </c>
      <c r="C215" s="2" t="str">
        <f aca="false">_xlfn.CONCAT(A215, " ","(",B215,")")</f>
        <v>Enicmus testaceus ()</v>
      </c>
      <c r="D215" s="2" t="s">
        <v>8580</v>
      </c>
      <c r="E215" s="2" t="s">
        <v>8581</v>
      </c>
      <c r="F215" s="2" t="s">
        <v>8983</v>
      </c>
      <c r="H215" s="2" t="e">
        <f aca="false">VLOOKUP(A215,'[1]NE red list'!A$1:H$1048576,5,FALSE())</f>
        <v>#N/A</v>
      </c>
      <c r="I215" s="2" t="s">
        <v>8564</v>
      </c>
      <c r="J215" s="2" t="s">
        <v>9469</v>
      </c>
      <c r="K215" s="2" t="s">
        <v>9470</v>
      </c>
      <c r="L215" s="2" t="s">
        <v>8677</v>
      </c>
      <c r="N215" s="2" t="str">
        <f aca="false">_xlfn.CONCAT(Q215," ",R215," ",S215)</f>
        <v>woodland parkland </v>
      </c>
      <c r="O215" s="3" t="s">
        <v>14</v>
      </c>
      <c r="P215" s="2"/>
      <c r="Q215" s="2" t="s">
        <v>16</v>
      </c>
      <c r="R215" s="2" t="s">
        <v>8568</v>
      </c>
      <c r="T215" s="2"/>
      <c r="U215" s="2" t="s">
        <v>8570</v>
      </c>
      <c r="V215" s="2" t="s">
        <v>9038</v>
      </c>
      <c r="X215" s="2" t="s">
        <v>8589</v>
      </c>
      <c r="Z215" s="2" t="s">
        <v>8574</v>
      </c>
      <c r="AG215" s="7" t="s">
        <v>8824</v>
      </c>
      <c r="AM215" s="4" t="s">
        <v>8657</v>
      </c>
      <c r="AN215" s="8" t="s">
        <v>8734</v>
      </c>
      <c r="AO215" s="8" t="s">
        <v>40</v>
      </c>
      <c r="AQ215" s="8" t="s">
        <v>42</v>
      </c>
      <c r="AS215" s="2"/>
      <c r="AV215" s="11"/>
      <c r="AX215" s="4" t="s">
        <v>8676</v>
      </c>
      <c r="AZ215" s="12" t="s">
        <v>8676</v>
      </c>
      <c r="BI215" s="2" t="s">
        <v>8590</v>
      </c>
      <c r="BL215" s="2" t="s">
        <v>8591</v>
      </c>
      <c r="BO215" s="2"/>
      <c r="MJM215" s="2"/>
    </row>
    <row r="216" customFormat="false" ht="19.5" hidden="false" customHeight="true" outlineLevel="0" collapsed="false">
      <c r="A216" s="1" t="s">
        <v>9471</v>
      </c>
      <c r="B216" s="2" t="s">
        <v>9472</v>
      </c>
      <c r="C216" s="2" t="str">
        <f aca="false">_xlfn.CONCAT(A216, " ","(",B216,")")</f>
        <v>Hypebaeus flavipes (Moccas Beetle)</v>
      </c>
      <c r="D216" s="2" t="s">
        <v>8580</v>
      </c>
      <c r="E216" s="2" t="s">
        <v>8581</v>
      </c>
      <c r="F216" s="2" t="s">
        <v>9473</v>
      </c>
      <c r="G216" s="2" t="s">
        <v>8633</v>
      </c>
      <c r="H216" s="2" t="str">
        <f aca="false">VLOOKUP(A216,'[1]NE red list'!A$1:H$1048576,5,FALSE())</f>
        <v>VU</v>
      </c>
      <c r="I216" s="2" t="s">
        <v>8696</v>
      </c>
      <c r="J216" s="2" t="s">
        <v>9474</v>
      </c>
      <c r="L216" s="2" t="s">
        <v>8665</v>
      </c>
      <c r="N216" s="2" t="str">
        <f aca="false">_xlfn.CONCAT(Q216," ",R216," ",S216)</f>
        <v> parkland </v>
      </c>
      <c r="O216" s="3" t="s">
        <v>14</v>
      </c>
      <c r="P216" s="2" t="s">
        <v>8587</v>
      </c>
      <c r="R216" s="2" t="s">
        <v>8568</v>
      </c>
      <c r="T216" s="2"/>
      <c r="U216" s="2" t="s">
        <v>8570</v>
      </c>
      <c r="V216" s="2" t="s">
        <v>8745</v>
      </c>
      <c r="W216" s="2" t="s">
        <v>8587</v>
      </c>
      <c r="X216" s="2" t="s">
        <v>8625</v>
      </c>
      <c r="Y216" s="2" t="s">
        <v>8573</v>
      </c>
      <c r="Z216" s="2" t="s">
        <v>8694</v>
      </c>
      <c r="AG216" s="7" t="s">
        <v>8824</v>
      </c>
      <c r="AI216" s="7" t="s">
        <v>8617</v>
      </c>
      <c r="AJ216" s="7" t="s">
        <v>8612</v>
      </c>
      <c r="AL216" s="7" t="s">
        <v>8785</v>
      </c>
      <c r="AS216" s="2"/>
      <c r="AT216" s="8"/>
      <c r="AV216" s="11"/>
      <c r="BA216" s="8"/>
      <c r="BB216" s="8"/>
      <c r="BC216" s="8" t="s">
        <v>9273</v>
      </c>
      <c r="BD216" s="8"/>
      <c r="BE216" s="8"/>
      <c r="BF216" s="8"/>
      <c r="BG216" s="8"/>
      <c r="BH216" s="8"/>
      <c r="BI216" s="2" t="s">
        <v>8590</v>
      </c>
      <c r="BJ216" s="8" t="s">
        <v>8747</v>
      </c>
      <c r="BK216" s="8"/>
      <c r="BL216" s="8" t="s">
        <v>8591</v>
      </c>
      <c r="BM216" s="8" t="s">
        <v>8619</v>
      </c>
      <c r="BN216" s="8"/>
      <c r="BO216" s="2"/>
      <c r="MJM216" s="2"/>
    </row>
    <row r="217" s="8" customFormat="true" ht="19.5" hidden="false" customHeight="true" outlineLevel="0" collapsed="false">
      <c r="A217" s="1" t="s">
        <v>9475</v>
      </c>
      <c r="B217" s="2" t="s">
        <v>9476</v>
      </c>
      <c r="C217" s="2" t="str">
        <f aca="false">_xlfn.CONCAT(A217, " ","(",B217,")")</f>
        <v>Enterographa elaborata (New Forest Beech-lichen)</v>
      </c>
      <c r="D217" s="2" t="s">
        <v>8892</v>
      </c>
      <c r="E217" s="2" t="s">
        <v>8892</v>
      </c>
      <c r="F217" s="2" t="s">
        <v>8892</v>
      </c>
      <c r="G217" s="2" t="s">
        <v>9477</v>
      </c>
      <c r="H217" s="2" t="str">
        <f aca="false">VLOOKUP(A217,'[1]NE red list'!A$1:H$1048576,5,FALSE())</f>
        <v>CR</v>
      </c>
      <c r="I217" s="2" t="s">
        <v>8610</v>
      </c>
      <c r="J217" s="33" t="s">
        <v>9478</v>
      </c>
      <c r="K217" s="2"/>
      <c r="L217" s="2" t="s">
        <v>8896</v>
      </c>
      <c r="M217" s="2"/>
      <c r="N217" s="2" t="str">
        <f aca="false">_xlfn.CONCAT(Q217," ",R217," ",S217)</f>
        <v>woodland parkland </v>
      </c>
      <c r="O217" s="3" t="s">
        <v>14</v>
      </c>
      <c r="P217" s="2"/>
      <c r="Q217" s="2" t="s">
        <v>16</v>
      </c>
      <c r="R217" s="2" t="s">
        <v>8568</v>
      </c>
      <c r="S217" s="2"/>
      <c r="T217" s="2"/>
      <c r="U217" s="2" t="s">
        <v>8570</v>
      </c>
      <c r="V217" s="2" t="s">
        <v>9038</v>
      </c>
      <c r="W217" s="2" t="s">
        <v>8567</v>
      </c>
      <c r="X217" s="2"/>
      <c r="Y217" s="2"/>
      <c r="Z217" s="2" t="s">
        <v>8694</v>
      </c>
      <c r="AA217" s="4"/>
      <c r="AB217" s="5"/>
      <c r="AC217" s="6"/>
      <c r="AD217" s="6"/>
      <c r="AE217" s="6"/>
      <c r="AF217" s="6"/>
      <c r="AG217" s="7"/>
      <c r="AH217" s="7"/>
      <c r="AI217" s="7"/>
      <c r="AJ217" s="7"/>
      <c r="AK217" s="7"/>
      <c r="AL217" s="7"/>
      <c r="AM217" s="4" t="s">
        <v>8657</v>
      </c>
      <c r="AN217" s="8" t="s">
        <v>8898</v>
      </c>
      <c r="AO217" s="8" t="s">
        <v>40</v>
      </c>
      <c r="AQ217" s="8" t="s">
        <v>42</v>
      </c>
      <c r="AS217" s="2"/>
      <c r="AU217" s="4"/>
      <c r="AV217" s="11"/>
      <c r="AW217" s="11"/>
      <c r="AX217" s="4"/>
      <c r="AY217" s="12"/>
      <c r="AZ217" s="12"/>
      <c r="BC217" s="8" t="s">
        <v>9479</v>
      </c>
      <c r="BG217" s="8" t="s">
        <v>9480</v>
      </c>
      <c r="BK217" s="8" t="s">
        <v>8578</v>
      </c>
      <c r="BL217" s="8" t="s">
        <v>8591</v>
      </c>
    </row>
    <row r="218" s="8" customFormat="true" ht="19.5" hidden="false" customHeight="true" outlineLevel="0" collapsed="false">
      <c r="A218" s="2" t="s">
        <v>9481</v>
      </c>
      <c r="B218" s="2"/>
      <c r="C218" s="2" t="str">
        <f aca="false">_xlfn.CONCAT(A218, " ","(",B218,")")</f>
        <v>Epierus comptus ()</v>
      </c>
      <c r="D218" s="2" t="s">
        <v>8580</v>
      </c>
      <c r="E218" s="2" t="s">
        <v>8581</v>
      </c>
      <c r="F218" s="2" t="s">
        <v>9234</v>
      </c>
      <c r="G218" s="2" t="s">
        <v>8633</v>
      </c>
      <c r="H218" s="2" t="e">
        <f aca="false">VLOOKUP(A218,'[1]NE red list'!A$1:H$1048576,5,FALSE())</f>
        <v>#N/A</v>
      </c>
      <c r="I218" s="2" t="s">
        <v>8610</v>
      </c>
      <c r="J218" s="2" t="s">
        <v>9482</v>
      </c>
      <c r="K218" s="2" t="s">
        <v>9483</v>
      </c>
      <c r="L218" s="2" t="s">
        <v>8665</v>
      </c>
      <c r="M218" s="2"/>
      <c r="N218" s="2" t="str">
        <f aca="false">_xlfn.CONCAT(Q218," ",R218," ",S218)</f>
        <v>woodland parkland </v>
      </c>
      <c r="O218" s="3" t="s">
        <v>14</v>
      </c>
      <c r="P218" s="2" t="s">
        <v>8567</v>
      </c>
      <c r="Q218" s="2" t="s">
        <v>16</v>
      </c>
      <c r="R218" s="2" t="s">
        <v>8568</v>
      </c>
      <c r="S218" s="2"/>
      <c r="T218" s="2"/>
      <c r="U218" s="2" t="s">
        <v>8570</v>
      </c>
      <c r="V218" s="2" t="s">
        <v>9038</v>
      </c>
      <c r="W218" s="2" t="s">
        <v>8567</v>
      </c>
      <c r="X218" s="2"/>
      <c r="Y218" s="2"/>
      <c r="Z218" s="2" t="s">
        <v>8574</v>
      </c>
      <c r="AA218" s="4"/>
      <c r="AB218" s="5"/>
      <c r="AC218" s="6"/>
      <c r="AD218" s="6"/>
      <c r="AE218" s="6"/>
      <c r="AF218" s="6"/>
      <c r="AG218" s="7" t="s">
        <v>8824</v>
      </c>
      <c r="AH218" s="7"/>
      <c r="AI218" s="7"/>
      <c r="AJ218" s="7"/>
      <c r="AK218" s="7"/>
      <c r="AL218" s="7"/>
      <c r="AM218" s="4"/>
      <c r="AN218" s="8" t="s">
        <v>8638</v>
      </c>
      <c r="AS218" s="2"/>
      <c r="AU218" s="4"/>
      <c r="AV218" s="11"/>
      <c r="AW218" s="11"/>
      <c r="AX218" s="4"/>
      <c r="AY218" s="12"/>
      <c r="AZ218" s="12"/>
      <c r="BI218" s="2" t="s">
        <v>8590</v>
      </c>
      <c r="BL218" s="8" t="s">
        <v>8591</v>
      </c>
    </row>
    <row r="219" customFormat="false" ht="19.5" hidden="false" customHeight="true" outlineLevel="0" collapsed="false">
      <c r="A219" s="2" t="s">
        <v>9484</v>
      </c>
      <c r="C219" s="2" t="str">
        <f aca="false">_xlfn.CONCAT(A219, " ","(",B219,")")</f>
        <v>Euplectus nanus ()</v>
      </c>
      <c r="D219" s="2" t="s">
        <v>8580</v>
      </c>
      <c r="E219" s="2" t="s">
        <v>8581</v>
      </c>
      <c r="F219" s="2" t="s">
        <v>8652</v>
      </c>
      <c r="G219" s="2" t="s">
        <v>8662</v>
      </c>
      <c r="H219" s="2" t="e">
        <f aca="false">VLOOKUP(A219,'[1]NE red list'!A$1:H$1048576,5,FALSE())</f>
        <v>#N/A</v>
      </c>
      <c r="I219" s="2" t="s">
        <v>8564</v>
      </c>
      <c r="J219" s="2" t="s">
        <v>9485</v>
      </c>
      <c r="L219" s="2" t="s">
        <v>8836</v>
      </c>
      <c r="N219" s="2" t="str">
        <f aca="false">_xlfn.CONCAT(Q219," ",R219," ",S219)</f>
        <v> parkland </v>
      </c>
      <c r="O219" s="3" t="s">
        <v>14</v>
      </c>
      <c r="P219" s="2"/>
      <c r="R219" s="2" t="s">
        <v>8568</v>
      </c>
      <c r="T219" s="2"/>
      <c r="U219" s="2" t="s">
        <v>8570</v>
      </c>
      <c r="W219" s="2" t="s">
        <v>8571</v>
      </c>
      <c r="X219" s="2" t="s">
        <v>8625</v>
      </c>
      <c r="Z219" s="2" t="s">
        <v>8574</v>
      </c>
      <c r="AA219" s="4" t="s">
        <v>26</v>
      </c>
      <c r="AD219" s="6" t="s">
        <v>8615</v>
      </c>
      <c r="AF219" s="6" t="s">
        <v>8616</v>
      </c>
      <c r="AG219" s="7" t="s">
        <v>8575</v>
      </c>
      <c r="AI219" s="7" t="s">
        <v>8617</v>
      </c>
      <c r="AJ219" s="7" t="s">
        <v>8612</v>
      </c>
      <c r="AK219" s="7" t="s">
        <v>8627</v>
      </c>
      <c r="AL219" s="7" t="s">
        <v>8785</v>
      </c>
      <c r="AM219" s="4" t="s">
        <v>8657</v>
      </c>
      <c r="AN219" s="8" t="s">
        <v>8734</v>
      </c>
      <c r="AO219" s="8" t="s">
        <v>40</v>
      </c>
      <c r="AQ219" s="8" t="s">
        <v>42</v>
      </c>
      <c r="AS219" s="2"/>
      <c r="AV219" s="11"/>
      <c r="BI219" s="2" t="s">
        <v>8590</v>
      </c>
      <c r="BJ219" s="2" t="s">
        <v>8630</v>
      </c>
      <c r="BL219" s="2" t="s">
        <v>8591</v>
      </c>
      <c r="BM219" s="2" t="s">
        <v>8619</v>
      </c>
      <c r="BO219" s="2"/>
      <c r="MJM219" s="2"/>
    </row>
    <row r="220" customFormat="false" ht="19.5" hidden="false" customHeight="true" outlineLevel="0" collapsed="false">
      <c r="A220" s="2" t="s">
        <v>9486</v>
      </c>
      <c r="C220" s="2" t="str">
        <f aca="false">_xlfn.CONCAT(A220, " ","(",B220,")")</f>
        <v>Epuraea angustula ()</v>
      </c>
      <c r="D220" s="2" t="s">
        <v>8580</v>
      </c>
      <c r="E220" s="2" t="s">
        <v>8581</v>
      </c>
      <c r="F220" s="2" t="s">
        <v>8661</v>
      </c>
      <c r="G220" s="2" t="s">
        <v>8583</v>
      </c>
      <c r="H220" s="2" t="e">
        <f aca="false">VLOOKUP(A220,'[1]NE red list'!A$1:H$1048576,5,FALSE())</f>
        <v>#N/A</v>
      </c>
      <c r="I220" s="2" t="s">
        <v>9487</v>
      </c>
      <c r="J220" s="2" t="s">
        <v>9488</v>
      </c>
      <c r="L220" s="2" t="s">
        <v>8677</v>
      </c>
      <c r="N220" s="2" t="str">
        <f aca="false">_xlfn.CONCAT(Q220," ",R220," ",S220)</f>
        <v> parkland </v>
      </c>
      <c r="O220" s="3" t="s">
        <v>14</v>
      </c>
      <c r="P220" s="2" t="s">
        <v>8587</v>
      </c>
      <c r="R220" s="2" t="s">
        <v>8568</v>
      </c>
      <c r="T220" s="2"/>
      <c r="U220" s="2" t="s">
        <v>8570</v>
      </c>
      <c r="V220" s="2" t="s">
        <v>9489</v>
      </c>
      <c r="W220" s="2" t="s">
        <v>8567</v>
      </c>
      <c r="X220" s="2" t="s">
        <v>8625</v>
      </c>
      <c r="Z220" s="2" t="s">
        <v>9490</v>
      </c>
      <c r="AB220" s="5" t="s">
        <v>8672</v>
      </c>
      <c r="AG220" s="7" t="s">
        <v>8824</v>
      </c>
      <c r="AS220" s="2"/>
      <c r="AV220" s="11"/>
      <c r="BI220" s="2" t="s">
        <v>8590</v>
      </c>
      <c r="BJ220" s="2" t="s">
        <v>8630</v>
      </c>
      <c r="BL220" s="2" t="s">
        <v>8591</v>
      </c>
      <c r="BO220" s="2"/>
      <c r="MJM220" s="2"/>
    </row>
    <row r="221" customFormat="false" ht="19.5" hidden="false" customHeight="true" outlineLevel="0" collapsed="false">
      <c r="A221" s="2" t="s">
        <v>9491</v>
      </c>
      <c r="C221" s="2" t="str">
        <f aca="false">_xlfn.CONCAT(A221, " ","(",B221,")")</f>
        <v>Epuraea distincta ()</v>
      </c>
      <c r="D221" s="2" t="s">
        <v>8580</v>
      </c>
      <c r="E221" s="2" t="s">
        <v>8581</v>
      </c>
      <c r="F221" s="2" t="s">
        <v>8661</v>
      </c>
      <c r="G221" s="2" t="s">
        <v>8583</v>
      </c>
      <c r="H221" s="2" t="e">
        <f aca="false">VLOOKUP(A221,'[1]NE red list'!A$1:H$1048576,5,FALSE())</f>
        <v>#N/A</v>
      </c>
      <c r="I221" s="2" t="s">
        <v>9492</v>
      </c>
      <c r="J221" s="2" t="s">
        <v>9493</v>
      </c>
      <c r="K221" s="2" t="s">
        <v>8585</v>
      </c>
      <c r="L221" s="2" t="s">
        <v>8677</v>
      </c>
      <c r="N221" s="2" t="str">
        <f aca="false">_xlfn.CONCAT(Q221," ",R221," ",S221)</f>
        <v>  ToW</v>
      </c>
      <c r="O221" s="2" t="s">
        <v>14</v>
      </c>
      <c r="P221" s="2"/>
      <c r="S221" s="2" t="s">
        <v>18</v>
      </c>
      <c r="T221" s="2"/>
      <c r="U221" s="2" t="s">
        <v>8570</v>
      </c>
      <c r="V221" s="2" t="s">
        <v>9255</v>
      </c>
      <c r="X221" s="2" t="s">
        <v>8625</v>
      </c>
      <c r="Z221" s="2" t="s">
        <v>8574</v>
      </c>
      <c r="AG221" s="7" t="s">
        <v>8575</v>
      </c>
      <c r="AS221" s="2"/>
      <c r="AV221" s="11"/>
      <c r="AX221" s="4" t="s">
        <v>8585</v>
      </c>
      <c r="AY221" s="12" t="s">
        <v>8585</v>
      </c>
      <c r="BI221" s="2" t="s">
        <v>8590</v>
      </c>
      <c r="BL221" s="2" t="s">
        <v>8591</v>
      </c>
      <c r="BO221" s="2"/>
      <c r="MJM221" s="2"/>
    </row>
    <row r="222" customFormat="false" ht="19.5" hidden="false" customHeight="true" outlineLevel="0" collapsed="false">
      <c r="A222" s="2" t="s">
        <v>9494</v>
      </c>
      <c r="C222" s="2" t="str">
        <f aca="false">_xlfn.CONCAT(A222, " ","(",B222,")")</f>
        <v>Epuraea fuscicollis ()</v>
      </c>
      <c r="D222" s="2" t="s">
        <v>8580</v>
      </c>
      <c r="E222" s="2" t="s">
        <v>8581</v>
      </c>
      <c r="F222" s="2" t="s">
        <v>8661</v>
      </c>
      <c r="G222" s="2" t="s">
        <v>8583</v>
      </c>
      <c r="H222" s="2" t="e">
        <f aca="false">VLOOKUP(A222,'[1]NE red list'!A$1:H$1048576,5,FALSE())</f>
        <v>#N/A</v>
      </c>
      <c r="I222" s="2" t="s">
        <v>8564</v>
      </c>
      <c r="J222" s="2" t="s">
        <v>9495</v>
      </c>
      <c r="L222" s="2" t="s">
        <v>8836</v>
      </c>
      <c r="N222" s="2" t="str">
        <f aca="false">_xlfn.CONCAT(Q222," ",R222," ",S222)</f>
        <v>woodland parkland </v>
      </c>
      <c r="O222" s="3" t="s">
        <v>14</v>
      </c>
      <c r="P222" s="2"/>
      <c r="Q222" s="2" t="s">
        <v>16</v>
      </c>
      <c r="R222" s="2" t="s">
        <v>8568</v>
      </c>
      <c r="T222" s="2"/>
      <c r="U222" s="2" t="s">
        <v>8570</v>
      </c>
      <c r="X222" s="2" t="s">
        <v>8625</v>
      </c>
      <c r="AB222" s="5" t="s">
        <v>9028</v>
      </c>
      <c r="AG222" s="7" t="s">
        <v>8824</v>
      </c>
      <c r="AM222" s="4" t="s">
        <v>8657</v>
      </c>
      <c r="AN222" s="8" t="s">
        <v>9029</v>
      </c>
      <c r="AO222" s="8" t="s">
        <v>40</v>
      </c>
      <c r="AQ222" s="8" t="s">
        <v>42</v>
      </c>
      <c r="AS222" s="2"/>
      <c r="AV222" s="11"/>
      <c r="BA222" s="2" t="s">
        <v>8868</v>
      </c>
      <c r="BI222" s="2" t="s">
        <v>8590</v>
      </c>
      <c r="BL222" s="2" t="s">
        <v>8591</v>
      </c>
      <c r="BO222" s="2"/>
      <c r="MJM222" s="2"/>
    </row>
    <row r="223" customFormat="false" ht="19.5" hidden="false" customHeight="true" outlineLevel="0" collapsed="false">
      <c r="A223" s="2" t="s">
        <v>9496</v>
      </c>
      <c r="C223" s="2" t="str">
        <f aca="false">_xlfn.CONCAT(A223, " ","(",B223,")")</f>
        <v>Epuraea guttata ()</v>
      </c>
      <c r="D223" s="2" t="s">
        <v>8580</v>
      </c>
      <c r="E223" s="2" t="s">
        <v>8581</v>
      </c>
      <c r="F223" s="2" t="s">
        <v>8661</v>
      </c>
      <c r="G223" s="2" t="s">
        <v>8583</v>
      </c>
      <c r="H223" s="2" t="e">
        <f aca="false">VLOOKUP(A223,'[1]NE red list'!A$1:H$1048576,5,FALSE())</f>
        <v>#N/A</v>
      </c>
      <c r="I223" s="2" t="s">
        <v>9235</v>
      </c>
      <c r="J223" s="2" t="s">
        <v>9497</v>
      </c>
      <c r="L223" s="2" t="s">
        <v>8836</v>
      </c>
      <c r="N223" s="2" t="str">
        <f aca="false">_xlfn.CONCAT(Q223," ",R223," ",S223)</f>
        <v>woodland parkland </v>
      </c>
      <c r="O223" s="3" t="s">
        <v>14</v>
      </c>
      <c r="P223" s="2"/>
      <c r="Q223" s="2" t="s">
        <v>16</v>
      </c>
      <c r="R223" s="2" t="s">
        <v>8568</v>
      </c>
      <c r="T223" s="2"/>
      <c r="U223" s="2" t="s">
        <v>8570</v>
      </c>
      <c r="X223" s="2" t="s">
        <v>8625</v>
      </c>
      <c r="AB223" s="5" t="s">
        <v>9028</v>
      </c>
      <c r="AG223" s="7" t="s">
        <v>8824</v>
      </c>
      <c r="AM223" s="4" t="s">
        <v>8657</v>
      </c>
      <c r="AN223" s="8" t="s">
        <v>9029</v>
      </c>
      <c r="AO223" s="8" t="s">
        <v>40</v>
      </c>
      <c r="AQ223" s="8" t="s">
        <v>42</v>
      </c>
      <c r="AS223" s="2"/>
      <c r="AV223" s="11"/>
      <c r="BA223" s="2" t="s">
        <v>8868</v>
      </c>
      <c r="BI223" s="2" t="s">
        <v>8590</v>
      </c>
      <c r="BJ223" s="2" t="s">
        <v>8630</v>
      </c>
      <c r="BL223" s="2" t="s">
        <v>8591</v>
      </c>
      <c r="BO223" s="2"/>
      <c r="MJM223" s="2"/>
    </row>
    <row r="224" customFormat="false" ht="19.5" hidden="false" customHeight="true" outlineLevel="0" collapsed="false">
      <c r="A224" s="2" t="s">
        <v>9498</v>
      </c>
      <c r="C224" s="2" t="str">
        <f aca="false">_xlfn.CONCAT(A224, " ","(",B224,")")</f>
        <v>Epuraea limbata ()</v>
      </c>
      <c r="D224" s="2" t="s">
        <v>8580</v>
      </c>
      <c r="E224" s="2" t="s">
        <v>8581</v>
      </c>
      <c r="F224" s="2" t="s">
        <v>8661</v>
      </c>
      <c r="H224" s="2" t="e">
        <f aca="false">VLOOKUP(A224,'[1]NE red list'!A$1:H$1048576,5,FALSE())</f>
        <v>#N/A</v>
      </c>
      <c r="I224" s="2" t="s">
        <v>9499</v>
      </c>
      <c r="J224" s="2" t="s">
        <v>9500</v>
      </c>
      <c r="L224" s="2" t="s">
        <v>8677</v>
      </c>
      <c r="N224" s="2" t="str">
        <f aca="false">_xlfn.CONCAT(Q224," ",R224," ",S224)</f>
        <v>woodland parkland </v>
      </c>
      <c r="O224" s="3" t="s">
        <v>14</v>
      </c>
      <c r="P224" s="2"/>
      <c r="Q224" s="2" t="s">
        <v>16</v>
      </c>
      <c r="R224" s="2" t="s">
        <v>8568</v>
      </c>
      <c r="T224" s="2"/>
      <c r="U224" s="2" t="s">
        <v>8570</v>
      </c>
      <c r="X224" s="2" t="s">
        <v>8625</v>
      </c>
      <c r="AS224" s="2"/>
      <c r="AV224" s="11"/>
      <c r="AX224" s="4" t="s">
        <v>8607</v>
      </c>
      <c r="BI224" s="2" t="s">
        <v>8590</v>
      </c>
      <c r="BL224" s="2" t="s">
        <v>8591</v>
      </c>
      <c r="BO224" s="2"/>
      <c r="MJM224" s="2"/>
    </row>
    <row r="225" customFormat="false" ht="19.5" hidden="false" customHeight="true" outlineLevel="0" collapsed="false">
      <c r="A225" s="2" t="s">
        <v>9501</v>
      </c>
      <c r="C225" s="2" t="str">
        <f aca="false">_xlfn.CONCAT(A225, " ","(",B225,")")</f>
        <v>Epuraea longula ()</v>
      </c>
      <c r="D225" s="2" t="s">
        <v>8580</v>
      </c>
      <c r="E225" s="2" t="s">
        <v>8581</v>
      </c>
      <c r="F225" s="2" t="s">
        <v>8661</v>
      </c>
      <c r="G225" s="2" t="s">
        <v>8583</v>
      </c>
      <c r="H225" s="2" t="e">
        <f aca="false">VLOOKUP(A225,'[1]NE red list'!A$1:H$1048576,5,FALSE())</f>
        <v>#N/A</v>
      </c>
      <c r="I225" s="2" t="s">
        <v>8564</v>
      </c>
      <c r="J225" s="2" t="s">
        <v>9502</v>
      </c>
      <c r="L225" s="2" t="s">
        <v>8770</v>
      </c>
      <c r="N225" s="2" t="str">
        <f aca="false">_xlfn.CONCAT(Q225," ",R225," ",S225)</f>
        <v>woodland parkland </v>
      </c>
      <c r="O225" s="3" t="s">
        <v>14</v>
      </c>
      <c r="P225" s="2"/>
      <c r="Q225" s="2" t="s">
        <v>16</v>
      </c>
      <c r="R225" s="2" t="s">
        <v>8568</v>
      </c>
      <c r="T225" s="2"/>
      <c r="U225" s="2" t="s">
        <v>8570</v>
      </c>
      <c r="V225" s="2" t="s">
        <v>8940</v>
      </c>
      <c r="X225" s="2" t="s">
        <v>8625</v>
      </c>
      <c r="Z225" s="2" t="s">
        <v>8614</v>
      </c>
      <c r="AB225" s="5" t="s">
        <v>9028</v>
      </c>
      <c r="AG225" s="7" t="s">
        <v>8824</v>
      </c>
      <c r="AM225" s="4" t="s">
        <v>8657</v>
      </c>
      <c r="AN225" s="8" t="s">
        <v>9029</v>
      </c>
      <c r="AO225" s="8" t="s">
        <v>40</v>
      </c>
      <c r="AQ225" s="8" t="s">
        <v>42</v>
      </c>
      <c r="AS225" s="2"/>
      <c r="AV225" s="11"/>
      <c r="BB225" s="2" t="s">
        <v>8618</v>
      </c>
      <c r="BI225" s="2" t="s">
        <v>8590</v>
      </c>
      <c r="BL225" s="2" t="s">
        <v>8591</v>
      </c>
      <c r="BO225" s="2"/>
      <c r="MJM225" s="2"/>
    </row>
    <row r="226" customFormat="false" ht="19.5" hidden="false" customHeight="true" outlineLevel="0" collapsed="false">
      <c r="A226" s="2" t="s">
        <v>9503</v>
      </c>
      <c r="C226" s="2" t="str">
        <f aca="false">_xlfn.CONCAT(A226, " ","(",B226,")")</f>
        <v>Epuraea marseuli ()</v>
      </c>
      <c r="D226" s="2" t="s">
        <v>8580</v>
      </c>
      <c r="E226" s="2" t="s">
        <v>8581</v>
      </c>
      <c r="F226" s="2" t="s">
        <v>8661</v>
      </c>
      <c r="H226" s="2" t="e">
        <f aca="false">VLOOKUP(A226,'[1]NE red list'!A$1:H$1048576,5,FALSE())</f>
        <v>#N/A</v>
      </c>
      <c r="I226" s="2" t="s">
        <v>8564</v>
      </c>
      <c r="J226" s="2" t="s">
        <v>9504</v>
      </c>
      <c r="K226" s="2" t="s">
        <v>8637</v>
      </c>
      <c r="L226" s="2" t="s">
        <v>8844</v>
      </c>
      <c r="N226" s="2" t="str">
        <f aca="false">_xlfn.CONCAT(Q226," ",R226," ",S226)</f>
        <v>woodland parkland </v>
      </c>
      <c r="O226" s="3" t="s">
        <v>14</v>
      </c>
      <c r="P226" s="2"/>
      <c r="Q226" s="2" t="s">
        <v>16</v>
      </c>
      <c r="R226" s="2" t="s">
        <v>8568</v>
      </c>
      <c r="T226" s="2"/>
      <c r="U226" s="2" t="s">
        <v>8605</v>
      </c>
      <c r="X226" s="2" t="s">
        <v>8625</v>
      </c>
      <c r="Z226" s="2" t="s">
        <v>8637</v>
      </c>
      <c r="AG226" s="7" t="s">
        <v>8824</v>
      </c>
      <c r="AN226" s="8" t="s">
        <v>8829</v>
      </c>
      <c r="AS226" s="2"/>
      <c r="AV226" s="11"/>
      <c r="AX226" s="4" t="s">
        <v>8607</v>
      </c>
      <c r="BA226" s="2" t="s">
        <v>8868</v>
      </c>
      <c r="BB226" s="2" t="s">
        <v>8618</v>
      </c>
      <c r="BI226" s="2" t="s">
        <v>8590</v>
      </c>
      <c r="BJ226" s="2" t="s">
        <v>8630</v>
      </c>
      <c r="BL226" s="2" t="s">
        <v>8591</v>
      </c>
      <c r="BO226" s="2"/>
      <c r="MJM226" s="2"/>
    </row>
    <row r="227" customFormat="false" ht="19.5" hidden="false" customHeight="true" outlineLevel="0" collapsed="false">
      <c r="A227" s="2" t="s">
        <v>9505</v>
      </c>
      <c r="C227" s="2" t="str">
        <f aca="false">_xlfn.CONCAT(A227, " ","(",B227,")")</f>
        <v>Epuraea rufomarginata ()</v>
      </c>
      <c r="D227" s="2" t="s">
        <v>8580</v>
      </c>
      <c r="E227" s="2" t="s">
        <v>8581</v>
      </c>
      <c r="F227" s="2" t="s">
        <v>8661</v>
      </c>
      <c r="H227" s="2" t="e">
        <f aca="false">VLOOKUP(A227,'[1]NE red list'!A$1:H$1048576,5,FALSE())</f>
        <v>#N/A</v>
      </c>
      <c r="I227" s="2" t="s">
        <v>9506</v>
      </c>
      <c r="J227" s="2" t="s">
        <v>9507</v>
      </c>
      <c r="K227" s="2" t="s">
        <v>8637</v>
      </c>
      <c r="L227" s="2" t="s">
        <v>9508</v>
      </c>
      <c r="N227" s="2" t="str">
        <f aca="false">_xlfn.CONCAT(Q227," ",R227," ",S227)</f>
        <v>woodland parkland </v>
      </c>
      <c r="O227" s="3" t="s">
        <v>14</v>
      </c>
      <c r="P227" s="2"/>
      <c r="Q227" s="2" t="s">
        <v>16</v>
      </c>
      <c r="R227" s="2" t="s">
        <v>8568</v>
      </c>
      <c r="T227" s="2"/>
      <c r="U227" s="2" t="s">
        <v>8605</v>
      </c>
      <c r="X227" s="2" t="s">
        <v>8625</v>
      </c>
      <c r="Z227" s="2" t="s">
        <v>8637</v>
      </c>
      <c r="AB227" s="5" t="s">
        <v>8672</v>
      </c>
      <c r="AG227" s="7" t="s">
        <v>8824</v>
      </c>
      <c r="AN227" s="8" t="s">
        <v>8829</v>
      </c>
      <c r="AS227" s="2"/>
      <c r="AV227" s="11"/>
      <c r="AX227" s="4" t="s">
        <v>8607</v>
      </c>
      <c r="AY227" s="12" t="s">
        <v>8585</v>
      </c>
      <c r="BI227" s="2" t="s">
        <v>8590</v>
      </c>
      <c r="BJ227" s="2" t="s">
        <v>8630</v>
      </c>
      <c r="BL227" s="2" t="s">
        <v>8591</v>
      </c>
      <c r="BO227" s="2"/>
      <c r="MJM227" s="2"/>
    </row>
    <row r="228" customFormat="false" ht="19.5" hidden="false" customHeight="true" outlineLevel="0" collapsed="false">
      <c r="A228" s="2" t="s">
        <v>9509</v>
      </c>
      <c r="C228" s="2" t="str">
        <f aca="false">_xlfn.CONCAT(A228, " ","(",B228,")")</f>
        <v>Epuraea silacea ()</v>
      </c>
      <c r="D228" s="2" t="s">
        <v>8580</v>
      </c>
      <c r="E228" s="2" t="s">
        <v>8581</v>
      </c>
      <c r="F228" s="2" t="s">
        <v>8661</v>
      </c>
      <c r="G228" s="2" t="s">
        <v>8662</v>
      </c>
      <c r="H228" s="2" t="e">
        <f aca="false">VLOOKUP(A228,'[1]NE red list'!A$1:H$1048576,5,FALSE())</f>
        <v>#N/A</v>
      </c>
      <c r="I228" s="2" t="s">
        <v>8564</v>
      </c>
      <c r="J228" s="2" t="s">
        <v>9510</v>
      </c>
      <c r="K228" s="2" t="s">
        <v>8637</v>
      </c>
      <c r="L228" s="2" t="s">
        <v>8770</v>
      </c>
      <c r="N228" s="2" t="str">
        <f aca="false">_xlfn.CONCAT(Q228," ",R228," ",S228)</f>
        <v>woodland parkland </v>
      </c>
      <c r="O228" s="3" t="s">
        <v>14</v>
      </c>
      <c r="P228" s="2"/>
      <c r="Q228" s="2" t="s">
        <v>16</v>
      </c>
      <c r="R228" s="2" t="s">
        <v>8568</v>
      </c>
      <c r="T228" s="2"/>
      <c r="U228" s="2" t="s">
        <v>8570</v>
      </c>
      <c r="X228" s="2" t="s">
        <v>8625</v>
      </c>
      <c r="Z228" s="2" t="s">
        <v>8637</v>
      </c>
      <c r="AG228" s="7" t="s">
        <v>8824</v>
      </c>
      <c r="AN228" s="8" t="s">
        <v>8829</v>
      </c>
      <c r="AS228" s="2"/>
      <c r="AV228" s="11"/>
      <c r="AX228" s="4" t="s">
        <v>8585</v>
      </c>
      <c r="AY228" s="12" t="s">
        <v>8585</v>
      </c>
      <c r="BA228" s="2" t="s">
        <v>8868</v>
      </c>
      <c r="BB228" s="2" t="s">
        <v>8618</v>
      </c>
      <c r="BI228" s="2" t="s">
        <v>8590</v>
      </c>
      <c r="BJ228" s="2" t="s">
        <v>8630</v>
      </c>
      <c r="BL228" s="2" t="s">
        <v>8591</v>
      </c>
      <c r="BO228" s="2"/>
      <c r="MJM228" s="2"/>
    </row>
    <row r="229" customFormat="false" ht="19.5" hidden="false" customHeight="true" outlineLevel="0" collapsed="false">
      <c r="A229" s="2" t="s">
        <v>9511</v>
      </c>
      <c r="C229" s="2" t="str">
        <f aca="false">_xlfn.CONCAT(A229, " ","(",B229,")")</f>
        <v>Ernobius gigas ()</v>
      </c>
      <c r="D229" s="2" t="s">
        <v>8580</v>
      </c>
      <c r="E229" s="2" t="s">
        <v>8581</v>
      </c>
      <c r="F229" s="2" t="s">
        <v>8818</v>
      </c>
      <c r="H229" s="2" t="e">
        <f aca="false">VLOOKUP(A229,'[1]NE red list'!A$1:H$1048576,5,FALSE())</f>
        <v>#N/A</v>
      </c>
      <c r="I229" s="2" t="s">
        <v>8610</v>
      </c>
      <c r="J229" s="2" t="s">
        <v>9512</v>
      </c>
      <c r="K229" s="2" t="s">
        <v>9513</v>
      </c>
      <c r="L229" s="2" t="s">
        <v>8613</v>
      </c>
      <c r="N229" s="2" t="str">
        <f aca="false">_xlfn.CONCAT(Q229," ",R229," ",S229)</f>
        <v>woodland  </v>
      </c>
      <c r="O229" s="2"/>
      <c r="P229" s="2"/>
      <c r="Q229" s="2" t="s">
        <v>16</v>
      </c>
      <c r="T229" s="2"/>
      <c r="U229" s="2" t="s">
        <v>8806</v>
      </c>
      <c r="V229" s="2" t="s">
        <v>8867</v>
      </c>
      <c r="Z229" s="2" t="s">
        <v>8574</v>
      </c>
      <c r="AG229" s="7" t="s">
        <v>8824</v>
      </c>
      <c r="AM229" s="4" t="s">
        <v>8657</v>
      </c>
      <c r="AN229" s="8" t="s">
        <v>9514</v>
      </c>
      <c r="AP229" s="8" t="s">
        <v>8791</v>
      </c>
      <c r="AQ229" s="8" t="s">
        <v>42</v>
      </c>
      <c r="AS229" s="2"/>
      <c r="AV229" s="11"/>
      <c r="BI229" s="2" t="s">
        <v>8590</v>
      </c>
      <c r="BL229" s="2" t="s">
        <v>8591</v>
      </c>
      <c r="BO229" s="2"/>
      <c r="MJM229" s="2"/>
    </row>
    <row r="230" customFormat="false" ht="19.5" hidden="false" customHeight="true" outlineLevel="0" collapsed="false">
      <c r="A230" s="2" t="s">
        <v>9515</v>
      </c>
      <c r="C230" s="2" t="str">
        <f aca="false">_xlfn.CONCAT(A230, " ","(",B230,")")</f>
        <v>Ernobius nigrinus ()</v>
      </c>
      <c r="D230" s="2" t="s">
        <v>8580</v>
      </c>
      <c r="E230" s="2" t="s">
        <v>8581</v>
      </c>
      <c r="F230" s="2" t="s">
        <v>8818</v>
      </c>
      <c r="G230" s="2" t="s">
        <v>8633</v>
      </c>
      <c r="H230" s="2" t="str">
        <f aca="false">VLOOKUP(A230,'[1]NE red list'!A$1:H$1048576,5,FALSE())</f>
        <v>LC</v>
      </c>
      <c r="I230" s="2" t="s">
        <v>8610</v>
      </c>
      <c r="J230" s="2" t="s">
        <v>9516</v>
      </c>
      <c r="L230" s="2" t="s">
        <v>8613</v>
      </c>
      <c r="N230" s="2" t="str">
        <f aca="false">_xlfn.CONCAT(Q230," ",R230," ",S230)</f>
        <v>woodland  </v>
      </c>
      <c r="O230" s="2"/>
      <c r="P230" s="2"/>
      <c r="Q230" s="2" t="s">
        <v>16</v>
      </c>
      <c r="T230" s="2"/>
      <c r="U230" s="2" t="s">
        <v>8806</v>
      </c>
      <c r="V230" s="2" t="s">
        <v>9312</v>
      </c>
      <c r="X230" s="2" t="s">
        <v>8625</v>
      </c>
      <c r="Z230" s="2" t="s">
        <v>8574</v>
      </c>
      <c r="AB230" s="5" t="s">
        <v>8672</v>
      </c>
      <c r="AG230" s="7" t="s">
        <v>8824</v>
      </c>
      <c r="AS230" s="2"/>
      <c r="AV230" s="11"/>
      <c r="BI230" s="2" t="s">
        <v>8590</v>
      </c>
      <c r="BL230" s="2" t="s">
        <v>8591</v>
      </c>
      <c r="BO230" s="2"/>
      <c r="MJM230" s="2"/>
    </row>
    <row r="231" customFormat="false" ht="19.5" hidden="false" customHeight="true" outlineLevel="0" collapsed="false">
      <c r="A231" s="2" t="s">
        <v>9517</v>
      </c>
      <c r="C231" s="2" t="str">
        <f aca="false">_xlfn.CONCAT(A231, " ","(",B231,")")</f>
        <v>Euplectus piceus ()</v>
      </c>
      <c r="D231" s="2" t="s">
        <v>8580</v>
      </c>
      <c r="E231" s="2" t="s">
        <v>8581</v>
      </c>
      <c r="F231" s="2" t="s">
        <v>8652</v>
      </c>
      <c r="H231" s="2" t="e">
        <f aca="false">VLOOKUP(A231,'[1]NE red list'!A$1:H$1048576,5,FALSE())</f>
        <v>#N/A</v>
      </c>
      <c r="I231" s="2" t="s">
        <v>8564</v>
      </c>
      <c r="J231" s="2" t="s">
        <v>9518</v>
      </c>
      <c r="L231" s="2" t="s">
        <v>8836</v>
      </c>
      <c r="N231" s="2" t="str">
        <f aca="false">_xlfn.CONCAT(Q231," ",R231," ",S231)</f>
        <v> parkland </v>
      </c>
      <c r="O231" s="3" t="s">
        <v>14</v>
      </c>
      <c r="P231" s="2"/>
      <c r="R231" s="2" t="s">
        <v>8568</v>
      </c>
      <c r="T231" s="2"/>
      <c r="U231" s="2" t="s">
        <v>8570</v>
      </c>
      <c r="V231" s="2" t="s">
        <v>8828</v>
      </c>
      <c r="W231" s="2" t="s">
        <v>8571</v>
      </c>
      <c r="X231" s="2" t="s">
        <v>8625</v>
      </c>
      <c r="Z231" s="2" t="s">
        <v>8574</v>
      </c>
      <c r="AA231" s="4" t="s">
        <v>26</v>
      </c>
      <c r="AD231" s="6" t="s">
        <v>8615</v>
      </c>
      <c r="AF231" s="6" t="s">
        <v>8616</v>
      </c>
      <c r="AG231" s="7" t="s">
        <v>8575</v>
      </c>
      <c r="AI231" s="7" t="s">
        <v>8617</v>
      </c>
      <c r="AJ231" s="7" t="s">
        <v>8612</v>
      </c>
      <c r="AL231" s="7" t="s">
        <v>8785</v>
      </c>
      <c r="AS231" s="2"/>
      <c r="AV231" s="11"/>
      <c r="BI231" s="2" t="s">
        <v>8590</v>
      </c>
      <c r="BJ231" s="2" t="s">
        <v>8630</v>
      </c>
      <c r="BL231" s="2" t="s">
        <v>8591</v>
      </c>
      <c r="BO231" s="2"/>
      <c r="MJM231" s="2"/>
    </row>
    <row r="232" customFormat="false" ht="19.5" hidden="false" customHeight="true" outlineLevel="0" collapsed="false">
      <c r="A232" s="2" t="s">
        <v>9519</v>
      </c>
      <c r="C232" s="2" t="str">
        <f aca="false">_xlfn.CONCAT(A232, " ","(",B232,")")</f>
        <v>Esperia sulphurella
 ()</v>
      </c>
      <c r="D232" s="2" t="s">
        <v>8580</v>
      </c>
      <c r="E232" s="2" t="s">
        <v>8722</v>
      </c>
      <c r="F232" s="2" t="s">
        <v>8855</v>
      </c>
      <c r="G232" s="2" t="s">
        <v>8731</v>
      </c>
      <c r="H232" s="2" t="e">
        <f aca="false">VLOOKUP(A232,'[1]NE red list'!A$1:H$1048576,5,FALSE())</f>
        <v>#N/A</v>
      </c>
      <c r="I232" s="2" t="s">
        <v>8878</v>
      </c>
      <c r="J232" s="33" t="s">
        <v>9520</v>
      </c>
      <c r="L232" s="2" t="s">
        <v>8586</v>
      </c>
      <c r="M232" s="33"/>
      <c r="N232" s="2" t="str">
        <f aca="false">_xlfn.CONCAT(Q232," ",R232," ",S232)</f>
        <v>woodland parkland ToW</v>
      </c>
      <c r="O232" s="2" t="s">
        <v>14</v>
      </c>
      <c r="P232" s="2"/>
      <c r="Q232" s="3" t="s">
        <v>16</v>
      </c>
      <c r="R232" s="2" t="s">
        <v>8568</v>
      </c>
      <c r="S232" s="2" t="s">
        <v>18</v>
      </c>
      <c r="U232" s="2" t="s">
        <v>8570</v>
      </c>
      <c r="Z232" s="2" t="s">
        <v>8574</v>
      </c>
      <c r="AM232" s="4" t="s">
        <v>8657</v>
      </c>
      <c r="AO232" s="8" t="s">
        <v>40</v>
      </c>
      <c r="AQ232" s="8" t="s">
        <v>42</v>
      </c>
      <c r="AS232" s="2"/>
      <c r="AV232" s="11"/>
      <c r="AX232" s="4" t="s">
        <v>8607</v>
      </c>
      <c r="AY232" s="12" t="s">
        <v>8585</v>
      </c>
      <c r="BD232" s="2" t="s">
        <v>8793</v>
      </c>
      <c r="BO232" s="2"/>
      <c r="MJM232" s="2"/>
    </row>
    <row r="233" customFormat="false" ht="19.5" hidden="false" customHeight="true" outlineLevel="0" collapsed="false">
      <c r="A233" s="1" t="s">
        <v>9521</v>
      </c>
      <c r="B233" s="2" t="s">
        <v>9522</v>
      </c>
      <c r="C233" s="2" t="str">
        <f aca="false">_xlfn.CONCAT(A233, " ","(",B233,")")</f>
        <v>Euplectus punctatus (E. tholini)</v>
      </c>
      <c r="D233" s="2" t="s">
        <v>8580</v>
      </c>
      <c r="E233" s="2" t="s">
        <v>8581</v>
      </c>
      <c r="F233" s="2" t="s">
        <v>8652</v>
      </c>
      <c r="G233" s="2" t="s">
        <v>8662</v>
      </c>
      <c r="H233" s="2" t="e">
        <f aca="false">VLOOKUP(A233,'[1]NE red list'!A$1:H$1048576,5,FALSE())</f>
        <v>#N/A</v>
      </c>
      <c r="I233" s="2" t="s">
        <v>8750</v>
      </c>
      <c r="J233" s="2" t="s">
        <v>9523</v>
      </c>
      <c r="L233" s="2" t="s">
        <v>8836</v>
      </c>
      <c r="N233" s="2" t="str">
        <f aca="false">_xlfn.CONCAT(Q233," ",R233," ",S233)</f>
        <v>woodland parkland </v>
      </c>
      <c r="O233" s="3" t="s">
        <v>14</v>
      </c>
      <c r="P233" s="2" t="s">
        <v>8587</v>
      </c>
      <c r="Q233" s="2" t="s">
        <v>16</v>
      </c>
      <c r="R233" s="2" t="s">
        <v>8568</v>
      </c>
      <c r="T233" s="2"/>
      <c r="U233" s="2" t="s">
        <v>8570</v>
      </c>
      <c r="V233" s="2" t="s">
        <v>8828</v>
      </c>
      <c r="W233" s="2" t="s">
        <v>8571</v>
      </c>
      <c r="X233" s="2" t="s">
        <v>8625</v>
      </c>
      <c r="Z233" s="2" t="s">
        <v>8574</v>
      </c>
      <c r="AA233" s="4" t="s">
        <v>26</v>
      </c>
      <c r="AD233" s="6" t="s">
        <v>8615</v>
      </c>
      <c r="AF233" s="6" t="s">
        <v>8616</v>
      </c>
      <c r="AG233" s="7" t="s">
        <v>8575</v>
      </c>
      <c r="AI233" s="7" t="s">
        <v>8617</v>
      </c>
      <c r="AS233" s="2"/>
      <c r="AV233" s="11"/>
      <c r="BI233" s="2" t="s">
        <v>8590</v>
      </c>
      <c r="BJ233" s="2" t="s">
        <v>8630</v>
      </c>
      <c r="BL233" s="2" t="s">
        <v>8591</v>
      </c>
      <c r="BM233" s="2" t="s">
        <v>8619</v>
      </c>
      <c r="BO233" s="2"/>
      <c r="MJM233" s="2"/>
    </row>
    <row r="234" customFormat="false" ht="19.5" hidden="false" customHeight="true" outlineLevel="0" collapsed="false">
      <c r="A234" s="2" t="s">
        <v>9524</v>
      </c>
      <c r="C234" s="2" t="str">
        <f aca="false">_xlfn.CONCAT(A234, " ","(",B234,")")</f>
        <v>Euryusa optabilis ()</v>
      </c>
      <c r="D234" s="2" t="s">
        <v>8580</v>
      </c>
      <c r="E234" s="2" t="s">
        <v>8581</v>
      </c>
      <c r="F234" s="2" t="s">
        <v>8652</v>
      </c>
      <c r="G234" s="2" t="s">
        <v>8662</v>
      </c>
      <c r="H234" s="2" t="e">
        <f aca="false">VLOOKUP(A234,'[1]NE red list'!A$1:H$1048576,5,FALSE())</f>
        <v>#N/A</v>
      </c>
      <c r="I234" s="2" t="s">
        <v>8714</v>
      </c>
      <c r="J234" s="2" t="s">
        <v>9525</v>
      </c>
      <c r="K234" s="2" t="s">
        <v>8664</v>
      </c>
      <c r="N234" s="2" t="str">
        <f aca="false">_xlfn.CONCAT(Q234," ",R234," ",S234)</f>
        <v> parkland </v>
      </c>
      <c r="O234" s="3" t="s">
        <v>14</v>
      </c>
      <c r="P234" s="2"/>
      <c r="R234" s="2" t="s">
        <v>8568</v>
      </c>
      <c r="T234" s="2"/>
      <c r="U234" s="2" t="s">
        <v>8570</v>
      </c>
      <c r="V234" s="2" t="s">
        <v>9526</v>
      </c>
      <c r="W234" s="2" t="s">
        <v>8571</v>
      </c>
      <c r="X234" s="2" t="s">
        <v>9527</v>
      </c>
      <c r="Z234" s="2" t="s">
        <v>8614</v>
      </c>
      <c r="AA234" s="4" t="s">
        <v>26</v>
      </c>
      <c r="AB234" s="5" t="s">
        <v>9028</v>
      </c>
      <c r="AD234" s="6" t="s">
        <v>8615</v>
      </c>
      <c r="AF234" s="6" t="s">
        <v>8616</v>
      </c>
      <c r="AG234" s="7" t="s">
        <v>8575</v>
      </c>
      <c r="AI234" s="7" t="s">
        <v>8617</v>
      </c>
      <c r="AS234" s="2"/>
      <c r="AU234" s="4" t="s">
        <v>8639</v>
      </c>
      <c r="AV234" s="11" t="s">
        <v>8664</v>
      </c>
      <c r="BI234" s="2" t="s">
        <v>8590</v>
      </c>
      <c r="BJ234" s="2" t="s">
        <v>8601</v>
      </c>
      <c r="BL234" s="2" t="s">
        <v>8591</v>
      </c>
      <c r="BM234" s="2" t="s">
        <v>8619</v>
      </c>
      <c r="BO234" s="2"/>
      <c r="MJM234" s="2"/>
    </row>
    <row r="235" customFormat="false" ht="19.5" hidden="false" customHeight="true" outlineLevel="0" collapsed="false">
      <c r="A235" s="65" t="s">
        <v>9528</v>
      </c>
      <c r="B235" s="49"/>
      <c r="C235" s="2" t="str">
        <f aca="false">_xlfn.CONCAT(A235, " ","(",B235,")")</f>
        <v>Eudonia delunella
 ()</v>
      </c>
      <c r="D235" s="2" t="s">
        <v>8580</v>
      </c>
      <c r="E235" s="2" t="s">
        <v>8722</v>
      </c>
      <c r="F235" s="2" t="s">
        <v>9529</v>
      </c>
      <c r="H235" s="2" t="e">
        <f aca="false">VLOOKUP(A235,'[1]NE red list'!A$1:H$1048576,5,FALSE())</f>
        <v>#N/A</v>
      </c>
      <c r="I235" s="2" t="s">
        <v>8564</v>
      </c>
      <c r="J235" s="49" t="s">
        <v>9530</v>
      </c>
      <c r="K235" s="3"/>
      <c r="L235" s="2" t="s">
        <v>8725</v>
      </c>
      <c r="M235" s="3"/>
      <c r="N235" s="2" t="str">
        <f aca="false">_xlfn.CONCAT(Q235," ",R235," ",S235)</f>
        <v>woodland parkland </v>
      </c>
      <c r="O235" s="3" t="s">
        <v>14</v>
      </c>
      <c r="P235" s="3" t="s">
        <v>8567</v>
      </c>
      <c r="Q235" s="3" t="s">
        <v>16</v>
      </c>
      <c r="R235" s="2" t="s">
        <v>8568</v>
      </c>
      <c r="U235" s="2" t="s">
        <v>8570</v>
      </c>
      <c r="V235" s="2" t="s">
        <v>9531</v>
      </c>
      <c r="W235" s="2" t="s">
        <v>8567</v>
      </c>
      <c r="X235" s="3"/>
      <c r="Z235" s="2" t="s">
        <v>8694</v>
      </c>
      <c r="AS235" s="2"/>
      <c r="AU235" s="4" t="s">
        <v>8639</v>
      </c>
      <c r="AV235" s="11"/>
      <c r="AW235" s="50" t="s">
        <v>9380</v>
      </c>
      <c r="BO235" s="2"/>
      <c r="MJM235" s="2"/>
    </row>
    <row r="236" customFormat="false" ht="19.5" hidden="false" customHeight="true" outlineLevel="0" collapsed="false">
      <c r="A236" s="2" t="s">
        <v>9532</v>
      </c>
      <c r="C236" s="2" t="str">
        <f aca="false">_xlfn.CONCAT(A236, " ","(",B236,")")</f>
        <v>Eudonia lineola
 ()</v>
      </c>
      <c r="D236" s="2" t="s">
        <v>8580</v>
      </c>
      <c r="E236" s="2" t="s">
        <v>8722</v>
      </c>
      <c r="F236" s="2" t="s">
        <v>9529</v>
      </c>
      <c r="H236" s="2" t="e">
        <f aca="false">VLOOKUP(A236,'[1]NE red list'!A$1:H$1048576,5,FALSE())</f>
        <v>#N/A</v>
      </c>
      <c r="I236" s="2" t="s">
        <v>8945</v>
      </c>
      <c r="J236" s="33" t="s">
        <v>9533</v>
      </c>
      <c r="L236" s="2" t="s">
        <v>8725</v>
      </c>
      <c r="M236" s="33"/>
      <c r="N236" s="2" t="str">
        <f aca="false">_xlfn.CONCAT(Q236," ",R236," ",S236)</f>
        <v>woodland parkland </v>
      </c>
      <c r="O236" s="3" t="s">
        <v>14</v>
      </c>
      <c r="P236" s="2"/>
      <c r="Q236" s="3" t="s">
        <v>16</v>
      </c>
      <c r="R236" s="2" t="s">
        <v>8568</v>
      </c>
      <c r="U236" s="2" t="s">
        <v>8678</v>
      </c>
      <c r="AS236" s="2"/>
      <c r="AV236" s="11"/>
      <c r="BO236" s="2"/>
      <c r="MJM236" s="2"/>
    </row>
    <row r="237" customFormat="false" ht="19.5" hidden="false" customHeight="true" outlineLevel="0" collapsed="false">
      <c r="A237" s="2" t="s">
        <v>9534</v>
      </c>
      <c r="C237" s="2" t="str">
        <f aca="false">_xlfn.CONCAT(A237, " ","(",B237,")")</f>
        <v>Micridium halidaii ()</v>
      </c>
      <c r="D237" s="2" t="s">
        <v>8580</v>
      </c>
      <c r="E237" s="2" t="s">
        <v>8581</v>
      </c>
      <c r="F237" s="2" t="s">
        <v>9535</v>
      </c>
      <c r="G237" s="2" t="s">
        <v>8662</v>
      </c>
      <c r="H237" s="2" t="e">
        <f aca="false">VLOOKUP(A237,'[1]NE red list'!A$1:H$1048576,5,FALSE())</f>
        <v>#N/A</v>
      </c>
      <c r="I237" s="2" t="s">
        <v>8945</v>
      </c>
      <c r="J237" s="2" t="s">
        <v>9536</v>
      </c>
      <c r="K237" s="2" t="s">
        <v>9537</v>
      </c>
      <c r="L237" s="2" t="s">
        <v>8677</v>
      </c>
      <c r="N237" s="2" t="str">
        <f aca="false">_xlfn.CONCAT(Q237," ",R237," ",S237)</f>
        <v> parkland ToW</v>
      </c>
      <c r="O237" s="2" t="s">
        <v>14</v>
      </c>
      <c r="P237" s="2"/>
      <c r="R237" s="2" t="s">
        <v>8568</v>
      </c>
      <c r="S237" s="2" t="s">
        <v>18</v>
      </c>
      <c r="T237" s="2"/>
      <c r="U237" s="2" t="s">
        <v>8570</v>
      </c>
      <c r="V237" s="2" t="s">
        <v>8745</v>
      </c>
      <c r="W237" s="2" t="s">
        <v>8571</v>
      </c>
      <c r="AA237" s="4" t="s">
        <v>26</v>
      </c>
      <c r="AD237" s="6" t="s">
        <v>8615</v>
      </c>
      <c r="AF237" s="6" t="s">
        <v>8616</v>
      </c>
      <c r="AG237" s="7" t="s">
        <v>8575</v>
      </c>
      <c r="AI237" s="7" t="s">
        <v>8617</v>
      </c>
      <c r="AJ237" s="7" t="s">
        <v>8612</v>
      </c>
      <c r="AS237" s="2"/>
      <c r="AV237" s="11"/>
      <c r="AX237" s="4" t="s">
        <v>8607</v>
      </c>
      <c r="AZ237" s="12" t="s">
        <v>8607</v>
      </c>
      <c r="BI237" s="2" t="s">
        <v>8590</v>
      </c>
      <c r="BJ237" s="2" t="s">
        <v>8773</v>
      </c>
      <c r="BL237" s="2" t="s">
        <v>8591</v>
      </c>
      <c r="BM237" s="2" t="s">
        <v>8619</v>
      </c>
      <c r="BO237" s="2"/>
      <c r="MJM237" s="2"/>
    </row>
    <row r="238" customFormat="false" ht="19.5" hidden="false" customHeight="true" outlineLevel="0" collapsed="false">
      <c r="A238" s="1" t="s">
        <v>9538</v>
      </c>
      <c r="B238" s="2" t="s">
        <v>9539</v>
      </c>
      <c r="C238" s="2" t="str">
        <f aca="false">_xlfn.CONCAT(A238, " ","(",B238,")")</f>
        <v>Lucanus cervus (Stag Beetle)</v>
      </c>
      <c r="D238" s="2" t="s">
        <v>8580</v>
      </c>
      <c r="E238" s="2" t="s">
        <v>8581</v>
      </c>
      <c r="F238" s="30" t="s">
        <v>9399</v>
      </c>
      <c r="G238" s="2" t="s">
        <v>8776</v>
      </c>
      <c r="H238" s="2" t="str">
        <f aca="false">VLOOKUP(A238,'[1]NE red list'!A$1:H$1048576,5,FALSE())</f>
        <v>LC</v>
      </c>
      <c r="I238" s="2" t="s">
        <v>8564</v>
      </c>
      <c r="J238" s="2" t="s">
        <v>9540</v>
      </c>
      <c r="K238" s="2" t="s">
        <v>9541</v>
      </c>
      <c r="L238" s="2" t="s">
        <v>8836</v>
      </c>
      <c r="N238" s="2" t="str">
        <f aca="false">_xlfn.CONCAT(Q238," ",R238," ",S238)</f>
        <v> parkland ToW</v>
      </c>
      <c r="O238" s="2" t="s">
        <v>14</v>
      </c>
      <c r="P238" s="2" t="s">
        <v>8567</v>
      </c>
      <c r="R238" s="2" t="s">
        <v>8568</v>
      </c>
      <c r="S238" s="2" t="s">
        <v>18</v>
      </c>
      <c r="T238" s="2"/>
      <c r="U238" s="2" t="s">
        <v>8570</v>
      </c>
      <c r="V238" s="2" t="s">
        <v>8745</v>
      </c>
      <c r="W238" s="2" t="s">
        <v>8571</v>
      </c>
      <c r="X238" s="2" t="s">
        <v>9542</v>
      </c>
      <c r="Z238" s="2" t="s">
        <v>8614</v>
      </c>
      <c r="AG238" s="7" t="s">
        <v>8575</v>
      </c>
      <c r="AI238" s="7" t="s">
        <v>8617</v>
      </c>
      <c r="AK238" s="7" t="s">
        <v>8627</v>
      </c>
      <c r="AS238" s="2"/>
      <c r="AV238" s="11"/>
      <c r="BE238" s="2" t="s">
        <v>56</v>
      </c>
      <c r="BH238" s="2" t="s">
        <v>8972</v>
      </c>
      <c r="BI238" s="2" t="s">
        <v>8590</v>
      </c>
      <c r="BJ238" s="2" t="s">
        <v>8601</v>
      </c>
      <c r="BL238" s="2" t="s">
        <v>8578</v>
      </c>
      <c r="BO238" s="2"/>
      <c r="MJM238" s="2"/>
    </row>
    <row r="239" customFormat="false" ht="19.5" hidden="false" customHeight="true" outlineLevel="0" collapsed="false">
      <c r="A239" s="2" t="s">
        <v>9543</v>
      </c>
      <c r="C239" s="2" t="str">
        <f aca="false">_xlfn.CONCAT(A239, " ","(",B239,")")</f>
        <v>Euophryum confine ()</v>
      </c>
      <c r="D239" s="2" t="s">
        <v>8580</v>
      </c>
      <c r="E239" s="2" t="s">
        <v>8581</v>
      </c>
      <c r="F239" s="2" t="s">
        <v>8632</v>
      </c>
      <c r="G239" s="2" t="s">
        <v>8737</v>
      </c>
      <c r="H239" s="2" t="e">
        <f aca="false">VLOOKUP(A239,'[1]NE red list'!A$1:H$1048576,5,FALSE())</f>
        <v>#N/A</v>
      </c>
      <c r="I239" s="2" t="s">
        <v>8645</v>
      </c>
      <c r="J239" s="2" t="s">
        <v>9544</v>
      </c>
      <c r="K239" s="2" t="s">
        <v>9545</v>
      </c>
      <c r="L239" s="2" t="s">
        <v>8836</v>
      </c>
      <c r="N239" s="2" t="str">
        <f aca="false">_xlfn.CONCAT(Q239," ",R239," ",S239)</f>
        <v>woodland parkland </v>
      </c>
      <c r="O239" s="3" t="s">
        <v>14</v>
      </c>
      <c r="P239" s="2"/>
      <c r="Q239" s="2" t="s">
        <v>16</v>
      </c>
      <c r="R239" s="2" t="s">
        <v>8568</v>
      </c>
      <c r="T239" s="2"/>
      <c r="U239" s="2" t="s">
        <v>8605</v>
      </c>
      <c r="W239" s="2" t="s">
        <v>8567</v>
      </c>
      <c r="Z239" s="2" t="s">
        <v>8574</v>
      </c>
      <c r="AG239" s="7" t="s">
        <v>8575</v>
      </c>
      <c r="AI239" s="7" t="s">
        <v>8617</v>
      </c>
      <c r="AJ239" s="7" t="s">
        <v>8612</v>
      </c>
      <c r="AS239" s="2"/>
      <c r="AV239" s="11"/>
      <c r="BD239" s="2" t="s">
        <v>8577</v>
      </c>
      <c r="BI239" s="2" t="s">
        <v>8590</v>
      </c>
      <c r="BL239" s="2" t="s">
        <v>8591</v>
      </c>
      <c r="BO239" s="2"/>
      <c r="MJM239" s="2"/>
    </row>
    <row r="240" s="63" customFormat="true" ht="19.5" hidden="false" customHeight="true" outlineLevel="0" collapsed="false">
      <c r="A240" s="63" t="s">
        <v>9546</v>
      </c>
      <c r="C240" s="63" t="str">
        <f aca="false">_xlfn.CONCAT(A240, " ","(",B240,")")</f>
        <v>Euplectus bonvouloiri ()</v>
      </c>
      <c r="D240" s="63" t="s">
        <v>8580</v>
      </c>
      <c r="E240" s="63" t="s">
        <v>8581</v>
      </c>
      <c r="F240" s="63" t="s">
        <v>8652</v>
      </c>
      <c r="G240" s="63" t="s">
        <v>8583</v>
      </c>
      <c r="H240" s="63" t="e">
        <f aca="false">VLOOKUP(A240,'[1]NE red list'!A$1:H$1048576,5,FALSE())</f>
        <v>#N/A</v>
      </c>
      <c r="I240" s="63" t="s">
        <v>8750</v>
      </c>
      <c r="J240" s="63" t="s">
        <v>9547</v>
      </c>
      <c r="L240" s="63" t="s">
        <v>8665</v>
      </c>
      <c r="N240" s="63" t="str">
        <f aca="false">_xlfn.CONCAT(Q240," ",R240," ",S240)</f>
        <v> parkland </v>
      </c>
      <c r="O240" s="63" t="s">
        <v>14</v>
      </c>
      <c r="R240" s="63" t="s">
        <v>8568</v>
      </c>
      <c r="U240" s="63" t="s">
        <v>8570</v>
      </c>
      <c r="W240" s="63" t="s">
        <v>8571</v>
      </c>
      <c r="X240" s="63" t="s">
        <v>9548</v>
      </c>
      <c r="Z240" s="63" t="s">
        <v>8614</v>
      </c>
      <c r="AA240" s="66"/>
      <c r="AB240" s="67"/>
      <c r="AC240" s="68"/>
      <c r="AD240" s="68"/>
      <c r="AE240" s="68"/>
      <c r="AF240" s="68"/>
      <c r="AG240" s="69" t="s">
        <v>8575</v>
      </c>
      <c r="AH240" s="69" t="s">
        <v>33</v>
      </c>
      <c r="AI240" s="69" t="s">
        <v>8617</v>
      </c>
      <c r="AJ240" s="69"/>
      <c r="AK240" s="69" t="s">
        <v>8627</v>
      </c>
      <c r="AL240" s="69"/>
      <c r="AM240" s="66"/>
      <c r="AN240" s="70"/>
      <c r="AO240" s="70"/>
      <c r="AP240" s="70"/>
      <c r="AQ240" s="70"/>
      <c r="AR240" s="70"/>
      <c r="AU240" s="66"/>
      <c r="AV240" s="71"/>
      <c r="AW240" s="71"/>
      <c r="AX240" s="66"/>
      <c r="AY240" s="72"/>
      <c r="AZ240" s="72"/>
      <c r="BI240" s="2" t="s">
        <v>8590</v>
      </c>
      <c r="BL240" s="63" t="s">
        <v>8591</v>
      </c>
      <c r="BM240" s="63" t="s">
        <v>8619</v>
      </c>
    </row>
    <row r="241" customFormat="false" ht="19.5" hidden="false" customHeight="true" outlineLevel="0" collapsed="false">
      <c r="A241" s="2" t="s">
        <v>9549</v>
      </c>
      <c r="C241" s="2" t="str">
        <f aca="false">_xlfn.CONCAT(A241, " ","(",B241,")")</f>
        <v>Euplectus brunneus ()</v>
      </c>
      <c r="D241" s="2" t="s">
        <v>8580</v>
      </c>
      <c r="E241" s="2" t="s">
        <v>8581</v>
      </c>
      <c r="F241" s="2" t="s">
        <v>8652</v>
      </c>
      <c r="G241" s="2" t="s">
        <v>8662</v>
      </c>
      <c r="H241" s="2" t="e">
        <f aca="false">VLOOKUP(A241,'[1]NE red list'!A$1:H$1048576,5,FALSE())</f>
        <v>#N/A</v>
      </c>
      <c r="I241" s="2" t="s">
        <v>8714</v>
      </c>
      <c r="J241" s="2" t="s">
        <v>9550</v>
      </c>
      <c r="L241" s="2" t="s">
        <v>8836</v>
      </c>
      <c r="N241" s="2" t="str">
        <f aca="false">_xlfn.CONCAT(Q241," ",R241," ",S241)</f>
        <v> parkland </v>
      </c>
      <c r="O241" s="3" t="s">
        <v>14</v>
      </c>
      <c r="P241" s="2"/>
      <c r="R241" s="2" t="s">
        <v>8568</v>
      </c>
      <c r="T241" s="2"/>
      <c r="U241" s="2" t="s">
        <v>8570</v>
      </c>
      <c r="W241" s="2" t="s">
        <v>8567</v>
      </c>
      <c r="X241" s="2" t="s">
        <v>8625</v>
      </c>
      <c r="Z241" s="2" t="s">
        <v>8574</v>
      </c>
      <c r="AG241" s="7" t="s">
        <v>8575</v>
      </c>
      <c r="AM241" s="4" t="s">
        <v>8657</v>
      </c>
      <c r="AN241" s="8" t="s">
        <v>9444</v>
      </c>
      <c r="AO241" s="8" t="s">
        <v>40</v>
      </c>
      <c r="AQ241" s="8" t="s">
        <v>42</v>
      </c>
      <c r="AS241" s="2"/>
      <c r="AU241" s="4" t="s">
        <v>8639</v>
      </c>
      <c r="AV241" s="10" t="s">
        <v>8664</v>
      </c>
      <c r="BJ241" s="2" t="s">
        <v>8630</v>
      </c>
      <c r="BL241" s="2" t="s">
        <v>8591</v>
      </c>
      <c r="BM241" s="2" t="s">
        <v>8619</v>
      </c>
      <c r="BO241" s="2"/>
      <c r="MJM241" s="2"/>
    </row>
    <row r="242" customFormat="false" ht="19.5" hidden="false" customHeight="true" outlineLevel="0" collapsed="false">
      <c r="A242" s="2" t="s">
        <v>9551</v>
      </c>
      <c r="C242" s="2" t="str">
        <f aca="false">_xlfn.CONCAT(A242, " ","(",B242,")")</f>
        <v>Euryusa sinuata ()</v>
      </c>
      <c r="D242" s="2" t="s">
        <v>8580</v>
      </c>
      <c r="E242" s="2" t="s">
        <v>8581</v>
      </c>
      <c r="F242" s="2" t="s">
        <v>8652</v>
      </c>
      <c r="G242" s="2" t="s">
        <v>8662</v>
      </c>
      <c r="H242" s="2" t="e">
        <f aca="false">VLOOKUP(A242,'[1]NE red list'!A$1:H$1048576,5,FALSE())</f>
        <v>#N/A</v>
      </c>
      <c r="I242" s="2" t="s">
        <v>8714</v>
      </c>
      <c r="J242" s="2" t="s">
        <v>9552</v>
      </c>
      <c r="K242" s="2" t="s">
        <v>8664</v>
      </c>
      <c r="N242" s="2" t="str">
        <f aca="false">_xlfn.CONCAT(Q242," ",R242," ",S242)</f>
        <v> parkland </v>
      </c>
      <c r="O242" s="3" t="s">
        <v>14</v>
      </c>
      <c r="P242" s="2"/>
      <c r="R242" s="2" t="s">
        <v>8568</v>
      </c>
      <c r="T242" s="2"/>
      <c r="U242" s="2" t="s">
        <v>8570</v>
      </c>
      <c r="V242" s="2" t="s">
        <v>8828</v>
      </c>
      <c r="W242" s="2" t="s">
        <v>8571</v>
      </c>
      <c r="Z242" s="2" t="s">
        <v>8614</v>
      </c>
      <c r="AA242" s="4" t="s">
        <v>26</v>
      </c>
      <c r="AD242" s="6" t="s">
        <v>8615</v>
      </c>
      <c r="AF242" s="6" t="s">
        <v>8616</v>
      </c>
      <c r="AG242" s="7" t="s">
        <v>8575</v>
      </c>
      <c r="AI242" s="7" t="s">
        <v>8617</v>
      </c>
      <c r="AS242" s="2"/>
      <c r="AU242" s="4" t="s">
        <v>8639</v>
      </c>
      <c r="AV242" s="10" t="s">
        <v>8664</v>
      </c>
      <c r="BI242" s="2" t="s">
        <v>8590</v>
      </c>
      <c r="BJ242" s="2" t="s">
        <v>8630</v>
      </c>
      <c r="BL242" s="2" t="s">
        <v>8591</v>
      </c>
      <c r="BM242" s="2" t="s">
        <v>8619</v>
      </c>
      <c r="BO242" s="2"/>
      <c r="MJM242" s="2"/>
    </row>
    <row r="243" customFormat="false" ht="19.5" hidden="false" customHeight="true" outlineLevel="0" collapsed="false">
      <c r="A243" s="2" t="s">
        <v>9553</v>
      </c>
      <c r="C243" s="2" t="str">
        <f aca="false">_xlfn.CONCAT(A243, " ","(",B243,")")</f>
        <v>Eutheia formicetorum ()</v>
      </c>
      <c r="D243" s="2" t="s">
        <v>8580</v>
      </c>
      <c r="E243" s="2" t="s">
        <v>8581</v>
      </c>
      <c r="F243" s="2" t="s">
        <v>8652</v>
      </c>
      <c r="G243" s="2" t="s">
        <v>8662</v>
      </c>
      <c r="H243" s="2" t="e">
        <f aca="false">VLOOKUP(A243,'[1]NE red list'!A$1:H$1048576,5,FALSE())</f>
        <v>#N/A</v>
      </c>
      <c r="I243" s="2" t="s">
        <v>8610</v>
      </c>
      <c r="J243" s="2" t="s">
        <v>9554</v>
      </c>
      <c r="L243" s="2" t="s">
        <v>8665</v>
      </c>
      <c r="N243" s="2" t="str">
        <f aca="false">_xlfn.CONCAT(Q243," ",R243," ",S243)</f>
        <v>woodland parkland </v>
      </c>
      <c r="O243" s="3" t="s">
        <v>14</v>
      </c>
      <c r="P243" s="2" t="s">
        <v>8587</v>
      </c>
      <c r="Q243" s="2" t="s">
        <v>16</v>
      </c>
      <c r="R243" s="2" t="s">
        <v>8568</v>
      </c>
      <c r="T243" s="2"/>
      <c r="U243" s="2" t="s">
        <v>8570</v>
      </c>
      <c r="V243" s="2" t="s">
        <v>8828</v>
      </c>
      <c r="W243" s="2" t="s">
        <v>8571</v>
      </c>
      <c r="Z243" s="2" t="s">
        <v>8574</v>
      </c>
      <c r="AA243" s="4" t="s">
        <v>26</v>
      </c>
      <c r="AD243" s="6" t="s">
        <v>8615</v>
      </c>
      <c r="AF243" s="6" t="s">
        <v>8616</v>
      </c>
      <c r="AG243" s="7" t="s">
        <v>8575</v>
      </c>
      <c r="AI243" s="7" t="s">
        <v>8617</v>
      </c>
      <c r="AL243" s="7" t="s">
        <v>8628</v>
      </c>
      <c r="AS243" s="2"/>
      <c r="AU243" s="4" t="s">
        <v>8639</v>
      </c>
      <c r="AV243" s="10" t="s">
        <v>8664</v>
      </c>
      <c r="BI243" s="2" t="s">
        <v>8590</v>
      </c>
      <c r="BJ243" s="2" t="s">
        <v>8630</v>
      </c>
      <c r="BL243" s="2" t="s">
        <v>8591</v>
      </c>
      <c r="BM243" s="2" t="s">
        <v>8619</v>
      </c>
      <c r="BO243" s="2"/>
      <c r="MJM243" s="2"/>
    </row>
    <row r="244" customFormat="false" ht="19.5" hidden="false" customHeight="true" outlineLevel="0" collapsed="false">
      <c r="A244" s="1" t="s">
        <v>9555</v>
      </c>
      <c r="B244" s="2" t="s">
        <v>9556</v>
      </c>
      <c r="C244" s="2" t="str">
        <f aca="false">_xlfn.CONCAT(A244, " ","(",B244,")")</f>
        <v>Euplectus mutator (Euplectus fauveli)</v>
      </c>
      <c r="D244" s="2" t="s">
        <v>8580</v>
      </c>
      <c r="E244" s="2" t="s">
        <v>8581</v>
      </c>
      <c r="F244" s="2" t="s">
        <v>8652</v>
      </c>
      <c r="G244" s="2" t="s">
        <v>8583</v>
      </c>
      <c r="H244" s="2" t="e">
        <f aca="false">VLOOKUP(A244,'[1]NE red list'!A$1:H$1048576,5,FALSE())</f>
        <v>#N/A</v>
      </c>
      <c r="I244" s="2" t="s">
        <v>9557</v>
      </c>
      <c r="J244" s="2" t="s">
        <v>9558</v>
      </c>
      <c r="L244" s="2" t="s">
        <v>8836</v>
      </c>
      <c r="N244" s="2" t="str">
        <f aca="false">_xlfn.CONCAT(Q244," ",R244," ",S244)</f>
        <v>woodland parkland </v>
      </c>
      <c r="O244" s="3" t="s">
        <v>14</v>
      </c>
      <c r="P244" s="2"/>
      <c r="Q244" s="2" t="s">
        <v>16</v>
      </c>
      <c r="R244" s="2" t="s">
        <v>8568</v>
      </c>
      <c r="T244" s="2"/>
      <c r="U244" s="2" t="s">
        <v>8570</v>
      </c>
      <c r="V244" s="2" t="s">
        <v>8828</v>
      </c>
      <c r="W244" s="2" t="s">
        <v>8567</v>
      </c>
      <c r="X244" s="2" t="s">
        <v>8625</v>
      </c>
      <c r="Z244" s="2" t="s">
        <v>8574</v>
      </c>
      <c r="AG244" s="7" t="s">
        <v>8575</v>
      </c>
      <c r="AM244" s="4" t="s">
        <v>8657</v>
      </c>
      <c r="AN244" s="8" t="s">
        <v>9444</v>
      </c>
      <c r="AO244" s="8" t="s">
        <v>40</v>
      </c>
      <c r="AQ244" s="8" t="s">
        <v>42</v>
      </c>
      <c r="AS244" s="2"/>
      <c r="AU244" s="4" t="s">
        <v>8639</v>
      </c>
      <c r="AV244" s="10" t="s">
        <v>8659</v>
      </c>
      <c r="BL244" s="2" t="s">
        <v>8591</v>
      </c>
      <c r="BM244" s="2" t="s">
        <v>8619</v>
      </c>
      <c r="BO244" s="2"/>
      <c r="MJM244" s="2"/>
    </row>
    <row r="245" customFormat="false" ht="19.5" hidden="false" customHeight="true" outlineLevel="0" collapsed="false">
      <c r="A245" s="2" t="s">
        <v>9559</v>
      </c>
      <c r="C245" s="2" t="str">
        <f aca="false">_xlfn.CONCAT(A245, " ","(",B245,")")</f>
        <v>Opilo mollis ()</v>
      </c>
      <c r="D245" s="2" t="s">
        <v>8580</v>
      </c>
      <c r="E245" s="2" t="s">
        <v>8581</v>
      </c>
      <c r="F245" s="2" t="s">
        <v>9560</v>
      </c>
      <c r="G245" s="2" t="s">
        <v>8583</v>
      </c>
      <c r="H245" s="2" t="str">
        <f aca="false">VLOOKUP(A245,'[1]NE red list'!A$1:H$1048576,5,FALSE())</f>
        <v>LC</v>
      </c>
      <c r="I245" s="2" t="s">
        <v>8645</v>
      </c>
      <c r="J245" s="2" t="s">
        <v>9561</v>
      </c>
      <c r="K245" s="2" t="s">
        <v>9562</v>
      </c>
      <c r="L245" s="2" t="s">
        <v>8665</v>
      </c>
      <c r="N245" s="2" t="str">
        <f aca="false">_xlfn.CONCAT(Q245," ",R245," ",S245)</f>
        <v> parkland </v>
      </c>
      <c r="O245" s="3" t="s">
        <v>14</v>
      </c>
      <c r="P245" s="2"/>
      <c r="R245" s="2" t="s">
        <v>8568</v>
      </c>
      <c r="T245" s="2"/>
      <c r="U245" s="2" t="s">
        <v>8570</v>
      </c>
      <c r="V245" s="2" t="s">
        <v>8745</v>
      </c>
      <c r="W245" s="2" t="s">
        <v>8571</v>
      </c>
      <c r="Z245" s="2" t="s">
        <v>8574</v>
      </c>
      <c r="AA245" s="4" t="s">
        <v>26</v>
      </c>
      <c r="AB245" s="5" t="s">
        <v>8672</v>
      </c>
      <c r="AD245" s="6" t="s">
        <v>8615</v>
      </c>
      <c r="AG245" s="7" t="s">
        <v>8824</v>
      </c>
      <c r="AI245" s="7" t="s">
        <v>8617</v>
      </c>
      <c r="AS245" s="2"/>
      <c r="AV245" s="11"/>
      <c r="BI245" s="2" t="s">
        <v>8590</v>
      </c>
      <c r="BL245" s="2" t="s">
        <v>8591</v>
      </c>
      <c r="BO245" s="2"/>
      <c r="MJM245" s="2"/>
    </row>
    <row r="246" s="8" customFormat="true" ht="19.5" hidden="false" customHeight="true" outlineLevel="0" collapsed="false">
      <c r="A246" s="1" t="s">
        <v>9563</v>
      </c>
      <c r="B246" s="2" t="s">
        <v>9564</v>
      </c>
      <c r="C246" s="2" t="str">
        <f aca="false">_xlfn.CONCAT(A246, " ","(",B246,")")</f>
        <v>Globicornis nigripes (Globicornis rufitarsis)</v>
      </c>
      <c r="D246" s="2" t="s">
        <v>8580</v>
      </c>
      <c r="E246" s="2" t="s">
        <v>8581</v>
      </c>
      <c r="F246" s="2" t="s">
        <v>9085</v>
      </c>
      <c r="G246" s="2" t="s">
        <v>8662</v>
      </c>
      <c r="H246" s="2" t="e">
        <f aca="false">VLOOKUP(A246,'[1]NE red list'!A$1:H$1048576,5,FALSE())</f>
        <v>#N/A</v>
      </c>
      <c r="I246" s="2" t="s">
        <v>8610</v>
      </c>
      <c r="J246" s="2" t="s">
        <v>9565</v>
      </c>
      <c r="K246" s="2"/>
      <c r="L246" s="2" t="s">
        <v>9566</v>
      </c>
      <c r="M246" s="2"/>
      <c r="N246" s="2" t="str">
        <f aca="false">_xlfn.CONCAT(Q246," ",R246," ",S246)</f>
        <v> parkland ToW</v>
      </c>
      <c r="O246" s="2" t="s">
        <v>14</v>
      </c>
      <c r="P246" s="2" t="s">
        <v>8587</v>
      </c>
      <c r="Q246" s="2"/>
      <c r="R246" s="2" t="s">
        <v>8568</v>
      </c>
      <c r="S246" s="2" t="s">
        <v>18</v>
      </c>
      <c r="T246" s="2"/>
      <c r="U246" s="2" t="s">
        <v>8570</v>
      </c>
      <c r="V246" s="2" t="s">
        <v>8716</v>
      </c>
      <c r="W246" s="2" t="s">
        <v>8571</v>
      </c>
      <c r="X246" s="2" t="s">
        <v>8589</v>
      </c>
      <c r="Y246" s="2"/>
      <c r="Z246" s="2" t="s">
        <v>8614</v>
      </c>
      <c r="AA246" s="4" t="s">
        <v>26</v>
      </c>
      <c r="AB246" s="5"/>
      <c r="AC246" s="6" t="s">
        <v>8666</v>
      </c>
      <c r="AD246" s="6" t="s">
        <v>8615</v>
      </c>
      <c r="AE246" s="6"/>
      <c r="AF246" s="6"/>
      <c r="AG246" s="7" t="s">
        <v>8575</v>
      </c>
      <c r="AH246" s="7"/>
      <c r="AI246" s="7" t="s">
        <v>8617</v>
      </c>
      <c r="AJ246" s="7"/>
      <c r="AK246" s="7"/>
      <c r="AL246" s="7"/>
      <c r="AM246" s="4" t="s">
        <v>8657</v>
      </c>
      <c r="AN246" s="8" t="s">
        <v>8734</v>
      </c>
      <c r="AO246" s="8" t="s">
        <v>40</v>
      </c>
      <c r="AQ246" s="8" t="s">
        <v>42</v>
      </c>
      <c r="AS246" s="2"/>
      <c r="AU246" s="4" t="s">
        <v>8639</v>
      </c>
      <c r="AV246" s="10" t="s">
        <v>8664</v>
      </c>
      <c r="AW246" s="11"/>
      <c r="AX246" s="4"/>
      <c r="AY246" s="12"/>
      <c r="AZ246" s="12"/>
      <c r="BB246" s="8" t="s">
        <v>8618</v>
      </c>
      <c r="BI246" s="2" t="s">
        <v>8590</v>
      </c>
      <c r="BJ246" s="8" t="s">
        <v>8601</v>
      </c>
      <c r="BL246" s="8" t="s">
        <v>8591</v>
      </c>
      <c r="BM246" s="8" t="s">
        <v>8619</v>
      </c>
    </row>
    <row r="247" customFormat="false" ht="19.5" hidden="false" customHeight="true" outlineLevel="0" collapsed="false">
      <c r="A247" s="2" t="s">
        <v>9567</v>
      </c>
      <c r="C247" s="2" t="str">
        <f aca="false">_xlfn.CONCAT(A247, " ","(",B247,")")</f>
        <v>Gnathoncus buyssoni ()</v>
      </c>
      <c r="D247" s="2" t="s">
        <v>8580</v>
      </c>
      <c r="E247" s="2" t="s">
        <v>8581</v>
      </c>
      <c r="F247" s="2" t="s">
        <v>9234</v>
      </c>
      <c r="H247" s="2" t="e">
        <f aca="false">VLOOKUP(A247,'[1]NE red list'!A$1:H$1048576,5,FALSE())</f>
        <v>#N/A</v>
      </c>
      <c r="I247" s="2" t="s">
        <v>9086</v>
      </c>
      <c r="J247" s="2" t="s">
        <v>9568</v>
      </c>
      <c r="L247" s="2" t="s">
        <v>9566</v>
      </c>
      <c r="N247" s="2" t="str">
        <f aca="false">_xlfn.CONCAT(Q247," ",R247," ",S247)</f>
        <v>woodland parkland </v>
      </c>
      <c r="O247" s="3" t="s">
        <v>14</v>
      </c>
      <c r="P247" s="2" t="s">
        <v>8587</v>
      </c>
      <c r="Q247" s="2" t="s">
        <v>16</v>
      </c>
      <c r="R247" s="2" t="s">
        <v>8568</v>
      </c>
      <c r="T247" s="2"/>
      <c r="U247" s="2" t="s">
        <v>8605</v>
      </c>
      <c r="W247" s="2" t="s">
        <v>8571</v>
      </c>
      <c r="AA247" s="4" t="s">
        <v>26</v>
      </c>
      <c r="AC247" s="6" t="s">
        <v>8666</v>
      </c>
      <c r="AD247" s="6" t="s">
        <v>8615</v>
      </c>
      <c r="AG247" s="7" t="s">
        <v>8575</v>
      </c>
      <c r="AI247" s="7" t="s">
        <v>8617</v>
      </c>
      <c r="AS247" s="2"/>
      <c r="AU247" s="4" t="s">
        <v>8639</v>
      </c>
      <c r="AV247" s="10" t="s">
        <v>9569</v>
      </c>
      <c r="BI247" s="2" t="s">
        <v>8590</v>
      </c>
      <c r="BJ247" s="2" t="s">
        <v>8630</v>
      </c>
      <c r="BL247" s="2" t="s">
        <v>8591</v>
      </c>
      <c r="BO247" s="2"/>
      <c r="MJM247" s="2"/>
    </row>
    <row r="248" customFormat="false" ht="19.5" hidden="false" customHeight="true" outlineLevel="0" collapsed="false">
      <c r="A248" s="2" t="s">
        <v>9570</v>
      </c>
      <c r="C248" s="2" t="str">
        <f aca="false">_xlfn.CONCAT(A248, " ","(",B248,")")</f>
        <v>Gnathoncus communis ()</v>
      </c>
      <c r="D248" s="2" t="s">
        <v>8580</v>
      </c>
      <c r="E248" s="2" t="s">
        <v>8581</v>
      </c>
      <c r="F248" s="2" t="s">
        <v>9234</v>
      </c>
      <c r="H248" s="2" t="e">
        <f aca="false">VLOOKUP(A248,'[1]NE red list'!A$1:H$1048576,5,FALSE())</f>
        <v>#N/A</v>
      </c>
      <c r="I248" s="2" t="s">
        <v>8593</v>
      </c>
      <c r="J248" s="2" t="s">
        <v>9571</v>
      </c>
      <c r="L248" s="2" t="s">
        <v>9566</v>
      </c>
      <c r="N248" s="2" t="str">
        <f aca="false">_xlfn.CONCAT(Q248," ",R248," ",S248)</f>
        <v> parkland ToW</v>
      </c>
      <c r="O248" s="2" t="s">
        <v>14</v>
      </c>
      <c r="P248" s="2"/>
      <c r="R248" s="2" t="s">
        <v>8568</v>
      </c>
      <c r="S248" s="2" t="s">
        <v>18</v>
      </c>
      <c r="T248" s="2"/>
      <c r="U248" s="2" t="s">
        <v>8605</v>
      </c>
      <c r="W248" s="2" t="s">
        <v>8571</v>
      </c>
      <c r="AA248" s="4" t="s">
        <v>26</v>
      </c>
      <c r="AC248" s="6" t="s">
        <v>8666</v>
      </c>
      <c r="AD248" s="6" t="s">
        <v>8615</v>
      </c>
      <c r="AG248" s="7" t="s">
        <v>8575</v>
      </c>
      <c r="AS248" s="2"/>
      <c r="AU248" s="4" t="s">
        <v>8639</v>
      </c>
      <c r="AV248" s="10" t="s">
        <v>8659</v>
      </c>
      <c r="BL248" s="2" t="s">
        <v>8591</v>
      </c>
      <c r="BO248" s="2"/>
      <c r="MJM248" s="2"/>
    </row>
    <row r="249" customFormat="false" ht="19.5" hidden="false" customHeight="true" outlineLevel="0" collapsed="false">
      <c r="A249" s="2" t="s">
        <v>9572</v>
      </c>
      <c r="C249" s="2" t="str">
        <f aca="false">_xlfn.CONCAT(A249, " ","(",B249,")")</f>
        <v>Gnathoncus nannetensis ()</v>
      </c>
      <c r="D249" s="2" t="s">
        <v>8580</v>
      </c>
      <c r="E249" s="2" t="s">
        <v>8581</v>
      </c>
      <c r="F249" s="2" t="s">
        <v>9234</v>
      </c>
      <c r="H249" s="2" t="e">
        <f aca="false">VLOOKUP(A249,'[1]NE red list'!A$1:H$1048576,5,FALSE())</f>
        <v>#N/A</v>
      </c>
      <c r="I249" s="2" t="s">
        <v>8593</v>
      </c>
      <c r="J249" s="2" t="s">
        <v>9573</v>
      </c>
      <c r="L249" s="2" t="s">
        <v>9566</v>
      </c>
      <c r="N249" s="2" t="str">
        <f aca="false">_xlfn.CONCAT(Q249," ",R249," ",S249)</f>
        <v>woodland parkland </v>
      </c>
      <c r="O249" s="3" t="s">
        <v>14</v>
      </c>
      <c r="P249" s="2" t="s">
        <v>8587</v>
      </c>
      <c r="Q249" s="2" t="s">
        <v>16</v>
      </c>
      <c r="R249" s="2" t="s">
        <v>8568</v>
      </c>
      <c r="T249" s="2"/>
      <c r="U249" s="2" t="s">
        <v>8605</v>
      </c>
      <c r="W249" s="2" t="s">
        <v>8571</v>
      </c>
      <c r="AA249" s="4" t="s">
        <v>26</v>
      </c>
      <c r="AC249" s="6" t="s">
        <v>8666</v>
      </c>
      <c r="AD249" s="6" t="s">
        <v>8615</v>
      </c>
      <c r="AG249" s="7" t="s">
        <v>8575</v>
      </c>
      <c r="AI249" s="7" t="s">
        <v>8617</v>
      </c>
      <c r="AS249" s="2"/>
      <c r="AU249" s="4" t="s">
        <v>8639</v>
      </c>
      <c r="BI249" s="2" t="s">
        <v>8590</v>
      </c>
      <c r="BJ249" s="2" t="s">
        <v>8630</v>
      </c>
      <c r="BL249" s="2" t="s">
        <v>8591</v>
      </c>
      <c r="BO249" s="2"/>
      <c r="MJM249" s="2"/>
    </row>
    <row r="250" customFormat="false" ht="19.5" hidden="false" customHeight="true" outlineLevel="0" collapsed="false">
      <c r="A250" s="2" t="s">
        <v>9574</v>
      </c>
      <c r="C250" s="2" t="str">
        <f aca="false">_xlfn.CONCAT(A250, " ","(",B250,")")</f>
        <v>Gnathoncus nanus ()</v>
      </c>
      <c r="D250" s="2" t="s">
        <v>8580</v>
      </c>
      <c r="E250" s="2" t="s">
        <v>8581</v>
      </c>
      <c r="F250" s="2" t="s">
        <v>9234</v>
      </c>
      <c r="H250" s="2" t="e">
        <f aca="false">VLOOKUP(A250,'[1]NE red list'!A$1:H$1048576,5,FALSE())</f>
        <v>#N/A</v>
      </c>
      <c r="I250" s="2" t="s">
        <v>8564</v>
      </c>
      <c r="J250" s="2" t="s">
        <v>9575</v>
      </c>
      <c r="L250" s="2" t="s">
        <v>9566</v>
      </c>
      <c r="N250" s="2" t="str">
        <f aca="false">_xlfn.CONCAT(Q250," ",R250," ",S250)</f>
        <v> parkland </v>
      </c>
      <c r="O250" s="3" t="s">
        <v>14</v>
      </c>
      <c r="P250" s="2"/>
      <c r="R250" s="2" t="s">
        <v>8568</v>
      </c>
      <c r="T250" s="2"/>
      <c r="U250" s="2" t="s">
        <v>8605</v>
      </c>
      <c r="W250" s="2" t="s">
        <v>8571</v>
      </c>
      <c r="AA250" s="4" t="s">
        <v>26</v>
      </c>
      <c r="AC250" s="6" t="s">
        <v>8666</v>
      </c>
      <c r="AD250" s="6" t="s">
        <v>8615</v>
      </c>
      <c r="AG250" s="7" t="s">
        <v>8575</v>
      </c>
      <c r="AI250" s="7" t="s">
        <v>8617</v>
      </c>
      <c r="AS250" s="2"/>
      <c r="AU250" s="4" t="s">
        <v>8639</v>
      </c>
      <c r="BI250" s="2" t="s">
        <v>8590</v>
      </c>
      <c r="BL250" s="2" t="s">
        <v>8591</v>
      </c>
      <c r="BO250" s="2"/>
      <c r="MJM250" s="2"/>
    </row>
    <row r="251" customFormat="false" ht="19.5" hidden="false" customHeight="true" outlineLevel="0" collapsed="false">
      <c r="A251" s="1" t="s">
        <v>9576</v>
      </c>
      <c r="B251" s="2" t="s">
        <v>9577</v>
      </c>
      <c r="C251" s="2" t="str">
        <f aca="false">_xlfn.CONCAT(A251, " ","(",B251,")")</f>
        <v>Gnorimus nobilis (Noble Chafer)</v>
      </c>
      <c r="D251" s="2" t="s">
        <v>8580</v>
      </c>
      <c r="E251" s="2" t="s">
        <v>8581</v>
      </c>
      <c r="F251" s="30" t="s">
        <v>9286</v>
      </c>
      <c r="G251" s="2" t="s">
        <v>8776</v>
      </c>
      <c r="H251" s="2" t="str">
        <f aca="false">VLOOKUP(A251,'[1]NE red list'!A$1:H$1048576,5,FALSE())</f>
        <v>VU</v>
      </c>
      <c r="I251" s="2" t="s">
        <v>8714</v>
      </c>
      <c r="J251" s="2" t="s">
        <v>9578</v>
      </c>
      <c r="L251" s="2" t="s">
        <v>8836</v>
      </c>
      <c r="N251" s="2" t="str">
        <f aca="false">_xlfn.CONCAT(Q251," ",R251," ",S251)</f>
        <v> parkland orchards</v>
      </c>
      <c r="O251" s="2" t="s">
        <v>14</v>
      </c>
      <c r="P251" s="2"/>
      <c r="R251" s="2" t="s">
        <v>8568</v>
      </c>
      <c r="S251" s="2" t="s">
        <v>8692</v>
      </c>
      <c r="T251" s="2"/>
      <c r="U251" s="2" t="s">
        <v>8570</v>
      </c>
      <c r="V251" s="2" t="s">
        <v>9579</v>
      </c>
      <c r="W251" s="2" t="s">
        <v>8571</v>
      </c>
      <c r="X251" s="2" t="s">
        <v>8625</v>
      </c>
      <c r="Y251" s="2" t="s">
        <v>8573</v>
      </c>
      <c r="Z251" s="2" t="s">
        <v>8614</v>
      </c>
      <c r="AA251" s="4" t="s">
        <v>26</v>
      </c>
      <c r="AD251" s="6" t="s">
        <v>8615</v>
      </c>
      <c r="AF251" s="6" t="s">
        <v>8616</v>
      </c>
      <c r="AG251" s="7" t="s">
        <v>8575</v>
      </c>
      <c r="AI251" s="7" t="s">
        <v>8617</v>
      </c>
      <c r="AL251" s="7" t="s">
        <v>8628</v>
      </c>
      <c r="AS251" s="2"/>
      <c r="AV251" s="11"/>
      <c r="BI251" s="2" t="s">
        <v>8590</v>
      </c>
      <c r="BL251" s="2" t="s">
        <v>8578</v>
      </c>
      <c r="BM251" s="2" t="s">
        <v>8619</v>
      </c>
      <c r="BO251" s="2"/>
      <c r="MJM251" s="2"/>
    </row>
    <row r="252" customFormat="false" ht="19.5" hidden="false" customHeight="true" outlineLevel="0" collapsed="false">
      <c r="A252" s="2" t="s">
        <v>9580</v>
      </c>
      <c r="C252" s="2" t="str">
        <f aca="false">_xlfn.CONCAT(A252, " ","(",B252,")")</f>
        <v>Euthyneura halidayi ()</v>
      </c>
      <c r="D252" s="2" t="s">
        <v>8580</v>
      </c>
      <c r="E252" s="2" t="s">
        <v>8687</v>
      </c>
      <c r="F252" s="2" t="s">
        <v>9403</v>
      </c>
      <c r="H252" s="2" t="e">
        <f aca="false">VLOOKUP(A252,'[1]NE red list'!A$1:H$1048576,5,FALSE())</f>
        <v>#N/A</v>
      </c>
      <c r="I252" s="2" t="s">
        <v>8564</v>
      </c>
      <c r="J252" s="2" t="s">
        <v>9581</v>
      </c>
      <c r="N252" s="2" t="str">
        <f aca="false">_xlfn.CONCAT(Q252," ",R252," ",S252)</f>
        <v>woodland parkland </v>
      </c>
      <c r="O252" s="3" t="s">
        <v>14</v>
      </c>
      <c r="P252" s="2"/>
      <c r="Q252" s="2" t="s">
        <v>16</v>
      </c>
      <c r="R252" s="2" t="s">
        <v>8568</v>
      </c>
      <c r="T252" s="2"/>
      <c r="U252" s="2" t="s">
        <v>8570</v>
      </c>
      <c r="V252" s="2" t="s">
        <v>9255</v>
      </c>
      <c r="W252" s="2" t="s">
        <v>8571</v>
      </c>
      <c r="Z252" s="2" t="s">
        <v>8574</v>
      </c>
      <c r="AA252" s="4" t="s">
        <v>26</v>
      </c>
      <c r="AD252" s="6" t="s">
        <v>9044</v>
      </c>
      <c r="AF252" s="6" t="s">
        <v>8616</v>
      </c>
      <c r="AG252" s="7" t="s">
        <v>8575</v>
      </c>
      <c r="AI252" s="7" t="s">
        <v>8617</v>
      </c>
      <c r="AS252" s="2"/>
      <c r="AV252" s="11"/>
      <c r="BD252" s="2" t="s">
        <v>8577</v>
      </c>
      <c r="BI252" s="2" t="s">
        <v>8590</v>
      </c>
      <c r="BL252" s="2" t="s">
        <v>8591</v>
      </c>
      <c r="BO252" s="2"/>
      <c r="MJM252" s="2"/>
    </row>
    <row r="253" customFormat="false" ht="19.5" hidden="false" customHeight="true" outlineLevel="0" collapsed="false">
      <c r="A253" s="2" t="s">
        <v>9582</v>
      </c>
      <c r="C253" s="2" t="str">
        <f aca="false">_xlfn.CONCAT(A253, " ","(",B253,")")</f>
        <v>Fannia aequilineata ()</v>
      </c>
      <c r="D253" s="2" t="s">
        <v>8580</v>
      </c>
      <c r="E253" s="2" t="s">
        <v>8687</v>
      </c>
      <c r="F253" s="2" t="s">
        <v>9583</v>
      </c>
      <c r="H253" s="2" t="e">
        <f aca="false">VLOOKUP(A253,'[1]NE red list'!A$1:H$1048576,5,FALSE())</f>
        <v>#N/A</v>
      </c>
      <c r="I253" s="2" t="s">
        <v>8564</v>
      </c>
      <c r="J253" s="2" t="s">
        <v>9584</v>
      </c>
      <c r="L253" s="2" t="s">
        <v>8677</v>
      </c>
      <c r="N253" s="2" t="str">
        <f aca="false">_xlfn.CONCAT(Q253," ",R253," ",S253)</f>
        <v> parkland </v>
      </c>
      <c r="O253" s="3" t="s">
        <v>14</v>
      </c>
      <c r="P253" s="2"/>
      <c r="R253" s="2" t="s">
        <v>8568</v>
      </c>
      <c r="T253" s="2"/>
      <c r="U253" s="2" t="s">
        <v>8570</v>
      </c>
      <c r="W253" s="2" t="s">
        <v>8571</v>
      </c>
      <c r="AA253" s="4" t="s">
        <v>26</v>
      </c>
      <c r="AB253" s="5" t="s">
        <v>9028</v>
      </c>
      <c r="AC253" s="6" t="s">
        <v>8666</v>
      </c>
      <c r="AD253" s="6" t="s">
        <v>8615</v>
      </c>
      <c r="AF253" s="6" t="s">
        <v>8616</v>
      </c>
      <c r="AG253" s="7" t="s">
        <v>8575</v>
      </c>
      <c r="AI253" s="7" t="s">
        <v>8617</v>
      </c>
      <c r="AL253" s="7" t="s">
        <v>8628</v>
      </c>
      <c r="AS253" s="2"/>
      <c r="AU253" s="4" t="s">
        <v>8639</v>
      </c>
      <c r="AX253" s="4" t="s">
        <v>8607</v>
      </c>
      <c r="AY253" s="12" t="s">
        <v>8585</v>
      </c>
      <c r="BA253" s="2" t="s">
        <v>9030</v>
      </c>
      <c r="BB253" s="2" t="s">
        <v>8618</v>
      </c>
      <c r="BI253" s="2" t="s">
        <v>8590</v>
      </c>
      <c r="BL253" s="2" t="s">
        <v>8591</v>
      </c>
      <c r="BO253" s="2"/>
      <c r="MJM253" s="2"/>
    </row>
    <row r="254" customFormat="false" ht="19.5" hidden="false" customHeight="true" outlineLevel="0" collapsed="false">
      <c r="A254" s="2" t="s">
        <v>9585</v>
      </c>
      <c r="C254" s="2" t="str">
        <f aca="false">_xlfn.CONCAT(A254, " ","(",B254,")")</f>
        <v>Fannia difficilis ()</v>
      </c>
      <c r="D254" s="2" t="s">
        <v>8580</v>
      </c>
      <c r="E254" s="2" t="s">
        <v>8687</v>
      </c>
      <c r="F254" s="2" t="s">
        <v>9583</v>
      </c>
      <c r="H254" s="2" t="e">
        <f aca="false">VLOOKUP(A254,'[1]NE red list'!A$1:H$1048576,5,FALSE())</f>
        <v>#N/A</v>
      </c>
      <c r="I254" s="2" t="s">
        <v>8564</v>
      </c>
      <c r="J254" s="2" t="s">
        <v>9586</v>
      </c>
      <c r="L254" s="2" t="s">
        <v>9508</v>
      </c>
      <c r="N254" s="2" t="str">
        <f aca="false">_xlfn.CONCAT(Q254," ",R254," ",S254)</f>
        <v>woodland parkland ToW</v>
      </c>
      <c r="O254" s="2" t="s">
        <v>14</v>
      </c>
      <c r="P254" s="2"/>
      <c r="Q254" s="2" t="s">
        <v>16</v>
      </c>
      <c r="R254" s="2" t="s">
        <v>8568</v>
      </c>
      <c r="S254" s="2" t="s">
        <v>18</v>
      </c>
      <c r="T254" s="2"/>
      <c r="U254" s="2" t="s">
        <v>8570</v>
      </c>
      <c r="W254" s="2" t="s">
        <v>8571</v>
      </c>
      <c r="AA254" s="4" t="s">
        <v>26</v>
      </c>
      <c r="AC254" s="6" t="s">
        <v>8666</v>
      </c>
      <c r="AD254" s="6" t="s">
        <v>8615</v>
      </c>
      <c r="AF254" s="6" t="s">
        <v>8616</v>
      </c>
      <c r="AG254" s="7" t="s">
        <v>8575</v>
      </c>
      <c r="AS254" s="2"/>
      <c r="AU254" s="4" t="s">
        <v>8639</v>
      </c>
      <c r="AX254" s="4" t="s">
        <v>8607</v>
      </c>
      <c r="AZ254" s="12" t="s">
        <v>8607</v>
      </c>
      <c r="BA254" s="2" t="s">
        <v>9030</v>
      </c>
      <c r="BI254" s="2" t="s">
        <v>8590</v>
      </c>
      <c r="BL254" s="2" t="s">
        <v>8591</v>
      </c>
      <c r="BO254" s="2"/>
      <c r="MJM254" s="2"/>
    </row>
    <row r="255" customFormat="false" ht="19.5" hidden="false" customHeight="true" outlineLevel="0" collapsed="false">
      <c r="A255" s="2" t="s">
        <v>9587</v>
      </c>
      <c r="C255" s="2" t="str">
        <f aca="false">_xlfn.CONCAT(A255, " ","(",B255,")")</f>
        <v>Fannia gotlandica ()</v>
      </c>
      <c r="D255" s="2" t="s">
        <v>8580</v>
      </c>
      <c r="E255" s="2" t="s">
        <v>8687</v>
      </c>
      <c r="F255" s="2" t="s">
        <v>9583</v>
      </c>
      <c r="G255" s="2" t="s">
        <v>8583</v>
      </c>
      <c r="H255" s="2" t="e">
        <f aca="false">VLOOKUP(A255,'[1]NE red list'!A$1:H$1048576,5,FALSE())</f>
        <v>#N/A</v>
      </c>
      <c r="I255" s="2" t="s">
        <v>8750</v>
      </c>
      <c r="J255" s="2" t="s">
        <v>9588</v>
      </c>
      <c r="N255" s="2" t="str">
        <f aca="false">_xlfn.CONCAT(Q255," ",R255," ",S255)</f>
        <v> parkland </v>
      </c>
      <c r="O255" s="3" t="s">
        <v>14</v>
      </c>
      <c r="P255" s="2"/>
      <c r="R255" s="2" t="s">
        <v>8568</v>
      </c>
      <c r="T255" s="2"/>
      <c r="U255" s="2" t="s">
        <v>8570</v>
      </c>
      <c r="V255" s="2" t="s">
        <v>9589</v>
      </c>
      <c r="W255" s="2" t="s">
        <v>8571</v>
      </c>
      <c r="AA255" s="4" t="s">
        <v>26</v>
      </c>
      <c r="AD255" s="6" t="s">
        <v>8615</v>
      </c>
      <c r="AF255" s="6" t="s">
        <v>8616</v>
      </c>
      <c r="AG255" s="7" t="s">
        <v>8575</v>
      </c>
      <c r="AS255" s="2"/>
      <c r="AV255" s="11"/>
      <c r="BI255" s="2" t="s">
        <v>8590</v>
      </c>
      <c r="BL255" s="2" t="s">
        <v>8591</v>
      </c>
      <c r="BO255" s="2"/>
      <c r="MJM255" s="2"/>
    </row>
    <row r="256" customFormat="false" ht="19.5" hidden="false" customHeight="true" outlineLevel="0" collapsed="false">
      <c r="A256" s="2" t="s">
        <v>9590</v>
      </c>
      <c r="C256" s="2" t="str">
        <f aca="false">_xlfn.CONCAT(A256, " ","(",B256,")")</f>
        <v>Ferdinandea cuprea ()</v>
      </c>
      <c r="D256" s="2" t="s">
        <v>8580</v>
      </c>
      <c r="E256" s="2" t="s">
        <v>8687</v>
      </c>
      <c r="F256" s="2" t="s">
        <v>9024</v>
      </c>
      <c r="H256" s="2" t="str">
        <f aca="false">VLOOKUP(A256,'[1]NE red list'!A$1:H$1048576,5,FALSE())</f>
        <v>LC</v>
      </c>
      <c r="I256" s="2" t="s">
        <v>8743</v>
      </c>
      <c r="J256" s="2" t="s">
        <v>9591</v>
      </c>
      <c r="L256" s="2" t="s">
        <v>8770</v>
      </c>
      <c r="N256" s="2" t="str">
        <f aca="false">_xlfn.CONCAT(Q256," ",R256," ",S256)</f>
        <v>woodland parkland ToW</v>
      </c>
      <c r="O256" s="2" t="s">
        <v>14</v>
      </c>
      <c r="P256" s="2"/>
      <c r="Q256" s="2" t="s">
        <v>16</v>
      </c>
      <c r="R256" s="2" t="s">
        <v>8568</v>
      </c>
      <c r="S256" s="2" t="s">
        <v>18</v>
      </c>
      <c r="T256" s="2"/>
      <c r="U256" s="2" t="s">
        <v>8605</v>
      </c>
      <c r="AS256" s="2"/>
      <c r="AV256" s="11"/>
      <c r="BA256" s="2" t="s">
        <v>9030</v>
      </c>
      <c r="BI256" s="2" t="s">
        <v>8590</v>
      </c>
      <c r="BO256" s="2"/>
      <c r="MJM256" s="2"/>
    </row>
    <row r="257" customFormat="false" ht="19.5" hidden="false" customHeight="true" outlineLevel="0" collapsed="false">
      <c r="A257" s="1" t="s">
        <v>9592</v>
      </c>
      <c r="B257" s="2" t="s">
        <v>9593</v>
      </c>
      <c r="C257" s="2" t="str">
        <f aca="false">_xlfn.CONCAT(A257, " ","(",B257,")")</f>
        <v>Ficedula hypoleuca (Pied flycatcher)</v>
      </c>
      <c r="D257" s="2" t="s">
        <v>8560</v>
      </c>
      <c r="E257" s="2" t="s">
        <v>8561</v>
      </c>
      <c r="F257" s="2" t="s">
        <v>9594</v>
      </c>
      <c r="G257" s="2" t="s">
        <v>9595</v>
      </c>
      <c r="H257" s="2" t="str">
        <f aca="false">VLOOKUP(A257,'[1]NE red list'!A$1:H$1048576,5,FALSE())</f>
        <v>NT</v>
      </c>
      <c r="I257" s="2" t="s">
        <v>9596</v>
      </c>
      <c r="J257" s="2" t="s">
        <v>9597</v>
      </c>
      <c r="L257" s="2" t="s">
        <v>8566</v>
      </c>
      <c r="N257" s="2" t="str">
        <f aca="false">_xlfn.CONCAT(Q257," ",R257," ",S257)</f>
        <v>woodland parkland </v>
      </c>
      <c r="O257" s="3" t="s">
        <v>14</v>
      </c>
      <c r="P257" s="2"/>
      <c r="Q257" s="2" t="s">
        <v>16</v>
      </c>
      <c r="R257" s="2" t="s">
        <v>8568</v>
      </c>
      <c r="T257" s="2"/>
      <c r="U257" s="2" t="s">
        <v>8605</v>
      </c>
      <c r="W257" s="2" t="s">
        <v>8571</v>
      </c>
      <c r="AA257" s="4" t="s">
        <v>26</v>
      </c>
      <c r="AC257" s="6" t="s">
        <v>30</v>
      </c>
      <c r="AS257" s="2"/>
      <c r="AV257" s="11"/>
      <c r="BJ257" s="2" t="s">
        <v>8601</v>
      </c>
      <c r="BL257" s="2" t="s">
        <v>8591</v>
      </c>
      <c r="MJM257" s="2"/>
    </row>
    <row r="258" customFormat="false" ht="19.5" hidden="false" customHeight="true" outlineLevel="0" collapsed="false">
      <c r="A258" s="1" t="s">
        <v>9598</v>
      </c>
      <c r="B258" s="2" t="s">
        <v>9599</v>
      </c>
      <c r="C258" s="2" t="str">
        <f aca="false">_xlfn.CONCAT(A258, " ","(",B258,")")</f>
        <v>Gastrallus immarginatus (Maple Wood-boring Beetle)</v>
      </c>
      <c r="D258" s="2" t="s">
        <v>8580</v>
      </c>
      <c r="E258" s="2" t="s">
        <v>8581</v>
      </c>
      <c r="F258" s="2" t="s">
        <v>8818</v>
      </c>
      <c r="G258" s="2" t="s">
        <v>8583</v>
      </c>
      <c r="H258" s="2" t="str">
        <f aca="false">VLOOKUP(A258,'[1]NE red list'!A$1:H$1048576,5,FALSE())</f>
        <v>LC</v>
      </c>
      <c r="I258" s="2" t="s">
        <v>8610</v>
      </c>
      <c r="J258" s="2" t="s">
        <v>9600</v>
      </c>
      <c r="L258" s="2" t="s">
        <v>8613</v>
      </c>
      <c r="N258" s="2" t="str">
        <f aca="false">_xlfn.CONCAT(Q258," ",R258," ",S258)</f>
        <v>woodland parkland </v>
      </c>
      <c r="O258" s="3" t="s">
        <v>14</v>
      </c>
      <c r="P258" s="2" t="s">
        <v>8587</v>
      </c>
      <c r="Q258" s="2" t="s">
        <v>16</v>
      </c>
      <c r="R258" s="2" t="s">
        <v>8568</v>
      </c>
      <c r="T258" s="2"/>
      <c r="U258" s="2" t="s">
        <v>8570</v>
      </c>
      <c r="V258" s="2" t="s">
        <v>9601</v>
      </c>
      <c r="W258" s="2" t="s">
        <v>8567</v>
      </c>
      <c r="X258" s="2" t="s">
        <v>8589</v>
      </c>
      <c r="Y258" s="2" t="s">
        <v>8573</v>
      </c>
      <c r="Z258" s="2" t="s">
        <v>8694</v>
      </c>
      <c r="AB258" s="5" t="s">
        <v>8672</v>
      </c>
      <c r="AG258" s="7" t="s">
        <v>8824</v>
      </c>
      <c r="AN258" s="8" t="s">
        <v>8858</v>
      </c>
      <c r="AS258" s="2"/>
      <c r="AV258" s="11"/>
      <c r="BC258" s="2" t="s">
        <v>8899</v>
      </c>
      <c r="BI258" s="2" t="s">
        <v>8590</v>
      </c>
      <c r="BJ258" s="2" t="s">
        <v>8747</v>
      </c>
      <c r="BL258" s="2" t="s">
        <v>8591</v>
      </c>
      <c r="BO258" s="2"/>
      <c r="MJM258" s="2"/>
    </row>
    <row r="259" customFormat="false" ht="19.5" hidden="false" customHeight="true" outlineLevel="0" collapsed="false">
      <c r="A259" s="2" t="s">
        <v>9602</v>
      </c>
      <c r="C259" s="2" t="str">
        <f aca="false">_xlfn.CONCAT(A259, " ","(",B259,")")</f>
        <v>Gelechia turpella
 ()</v>
      </c>
      <c r="D259" s="2" t="s">
        <v>8580</v>
      </c>
      <c r="E259" s="2" t="s">
        <v>8722</v>
      </c>
      <c r="F259" s="2" t="s">
        <v>9603</v>
      </c>
      <c r="H259" s="2" t="e">
        <f aca="false">VLOOKUP(A259,'[1]NE red list'!A$1:H$1048576,5,FALSE())</f>
        <v>#N/A</v>
      </c>
      <c r="I259" s="2" t="s">
        <v>8714</v>
      </c>
      <c r="J259" s="33" t="s">
        <v>9604</v>
      </c>
      <c r="L259" s="2" t="s">
        <v>9605</v>
      </c>
      <c r="M259" s="33"/>
      <c r="N259" s="2" t="str">
        <f aca="false">_xlfn.CONCAT(Q259," ",R259," ",S259)</f>
        <v>woodland parkland </v>
      </c>
      <c r="O259" s="3" t="s">
        <v>14</v>
      </c>
      <c r="P259" s="2"/>
      <c r="Q259" s="2" t="s">
        <v>16</v>
      </c>
      <c r="R259" s="2" t="s">
        <v>8568</v>
      </c>
      <c r="U259" s="2" t="s">
        <v>8570</v>
      </c>
      <c r="V259" s="2" t="s">
        <v>9606</v>
      </c>
      <c r="AM259" s="4" t="s">
        <v>8657</v>
      </c>
      <c r="AO259" s="8" t="s">
        <v>40</v>
      </c>
      <c r="AQ259" s="8" t="s">
        <v>42</v>
      </c>
      <c r="AS259" s="2"/>
      <c r="AV259" s="11"/>
      <c r="BO259" s="2"/>
      <c r="MJM259" s="2"/>
    </row>
    <row r="260" customFormat="false" ht="19.5" hidden="false" customHeight="true" outlineLevel="0" collapsed="false">
      <c r="A260" s="2" t="s">
        <v>9607</v>
      </c>
      <c r="C260" s="2" t="str">
        <f aca="false">_xlfn.CONCAT(A260, " ","(",B260,")")</f>
        <v>Glaphyra umbellatarum ()</v>
      </c>
      <c r="D260" s="2" t="s">
        <v>8580</v>
      </c>
      <c r="E260" s="2" t="s">
        <v>8581</v>
      </c>
      <c r="F260" s="2" t="s">
        <v>8787</v>
      </c>
      <c r="G260" s="2" t="s">
        <v>8583</v>
      </c>
      <c r="H260" s="2" t="str">
        <f aca="false">VLOOKUP(A260,'[1]NE red list'!A$1:H$1048576,5,FALSE())</f>
        <v>LC</v>
      </c>
      <c r="I260" s="2" t="s">
        <v>9223</v>
      </c>
      <c r="J260" s="2" t="s">
        <v>9608</v>
      </c>
      <c r="L260" s="2" t="s">
        <v>8790</v>
      </c>
      <c r="N260" s="2" t="str">
        <f aca="false">_xlfn.CONCAT(Q260," ",R260," ",S260)</f>
        <v>woodland parkland ToW</v>
      </c>
      <c r="O260" s="2" t="s">
        <v>14</v>
      </c>
      <c r="P260" s="2"/>
      <c r="Q260" s="2" t="s">
        <v>16</v>
      </c>
      <c r="R260" s="2" t="s">
        <v>8568</v>
      </c>
      <c r="S260" s="2" t="s">
        <v>18</v>
      </c>
      <c r="T260" s="2"/>
      <c r="U260" s="2" t="s">
        <v>8605</v>
      </c>
      <c r="V260" s="2" t="s">
        <v>9609</v>
      </c>
      <c r="X260" s="2" t="s">
        <v>8625</v>
      </c>
      <c r="Z260" s="2" t="s">
        <v>8598</v>
      </c>
      <c r="AG260" s="7" t="s">
        <v>8824</v>
      </c>
      <c r="AM260" s="4" t="s">
        <v>8657</v>
      </c>
      <c r="AP260" s="8" t="s">
        <v>8719</v>
      </c>
      <c r="AS260" s="2"/>
      <c r="AV260" s="11"/>
      <c r="BB260" s="2" t="s">
        <v>8618</v>
      </c>
      <c r="BI260" s="2" t="s">
        <v>8590</v>
      </c>
      <c r="BL260" s="2" t="s">
        <v>8591</v>
      </c>
      <c r="BO260" s="2"/>
      <c r="MJM260" s="2"/>
    </row>
    <row r="261" customFormat="false" ht="19.5" hidden="false" customHeight="true" outlineLevel="0" collapsed="false">
      <c r="A261" s="2" t="s">
        <v>9610</v>
      </c>
      <c r="C261" s="2" t="str">
        <f aca="false">_xlfn.CONCAT(A261, " ","(",B261,")")</f>
        <v>Glischrochilus quadriguttatus ()</v>
      </c>
      <c r="D261" s="2" t="s">
        <v>8580</v>
      </c>
      <c r="E261" s="2" t="s">
        <v>8581</v>
      </c>
      <c r="F261" s="2" t="s">
        <v>8661</v>
      </c>
      <c r="G261" s="2" t="s">
        <v>8737</v>
      </c>
      <c r="H261" s="2" t="e">
        <f aca="false">VLOOKUP(A261,'[1]NE red list'!A$1:H$1048576,5,FALSE())</f>
        <v>#N/A</v>
      </c>
      <c r="I261" s="2" t="s">
        <v>8645</v>
      </c>
      <c r="J261" s="2" t="s">
        <v>9611</v>
      </c>
      <c r="L261" s="2" t="s">
        <v>8836</v>
      </c>
      <c r="N261" s="2" t="str">
        <f aca="false">_xlfn.CONCAT(Q261," ",R261," ",S261)</f>
        <v> parkland ToW</v>
      </c>
      <c r="O261" s="2" t="s">
        <v>14</v>
      </c>
      <c r="P261" s="2"/>
      <c r="R261" s="2" t="s">
        <v>8568</v>
      </c>
      <c r="S261" s="2" t="s">
        <v>18</v>
      </c>
      <c r="T261" s="2"/>
      <c r="U261" s="2" t="s">
        <v>8570</v>
      </c>
      <c r="V261" s="2" t="s">
        <v>9002</v>
      </c>
      <c r="X261" s="2" t="s">
        <v>8589</v>
      </c>
      <c r="Z261" s="2" t="s">
        <v>8637</v>
      </c>
      <c r="AG261" s="7" t="s">
        <v>8824</v>
      </c>
      <c r="AN261" s="8" t="s">
        <v>8829</v>
      </c>
      <c r="AS261" s="2"/>
      <c r="AV261" s="11"/>
      <c r="AX261" s="4" t="s">
        <v>8607</v>
      </c>
      <c r="BA261" s="2" t="s">
        <v>9612</v>
      </c>
      <c r="BI261" s="2" t="s">
        <v>8590</v>
      </c>
      <c r="BJ261" s="2" t="s">
        <v>8601</v>
      </c>
      <c r="BL261" s="2" t="s">
        <v>8591</v>
      </c>
      <c r="BO261" s="2"/>
      <c r="MJM261" s="2"/>
    </row>
    <row r="262" s="8" customFormat="true" ht="19.5" hidden="false" customHeight="true" outlineLevel="0" collapsed="false">
      <c r="A262" s="2" t="s">
        <v>9613</v>
      </c>
      <c r="B262" s="2"/>
      <c r="C262" s="2" t="str">
        <f aca="false">_xlfn.CONCAT(A262, " ","(",B262,")")</f>
        <v>Oxypoda recondita ()</v>
      </c>
      <c r="D262" s="2" t="s">
        <v>8580</v>
      </c>
      <c r="E262" s="2" t="s">
        <v>8581</v>
      </c>
      <c r="F262" s="2" t="s">
        <v>8652</v>
      </c>
      <c r="G262" s="2" t="s">
        <v>8583</v>
      </c>
      <c r="H262" s="2" t="e">
        <f aca="false">VLOOKUP(A262,'[1]NE red list'!A$1:H$1048576,5,FALSE())</f>
        <v>#N/A</v>
      </c>
      <c r="I262" s="2" t="s">
        <v>9614</v>
      </c>
      <c r="J262" s="2" t="s">
        <v>9615</v>
      </c>
      <c r="K262" s="2" t="s">
        <v>8664</v>
      </c>
      <c r="L262" s="2" t="s">
        <v>8677</v>
      </c>
      <c r="M262" s="2"/>
      <c r="N262" s="2" t="str">
        <f aca="false">_xlfn.CONCAT(Q262," ",R262," ",S262)</f>
        <v> parkland </v>
      </c>
      <c r="O262" s="3" t="s">
        <v>14</v>
      </c>
      <c r="P262" s="2"/>
      <c r="Q262" s="2"/>
      <c r="R262" s="2" t="s">
        <v>8568</v>
      </c>
      <c r="S262" s="2"/>
      <c r="T262" s="2"/>
      <c r="U262" s="2" t="s">
        <v>8570</v>
      </c>
      <c r="V262" s="2" t="s">
        <v>8745</v>
      </c>
      <c r="W262" s="2" t="s">
        <v>8571</v>
      </c>
      <c r="X262" s="2"/>
      <c r="Y262" s="2"/>
      <c r="Z262" s="2" t="s">
        <v>8614</v>
      </c>
      <c r="AA262" s="4" t="s">
        <v>26</v>
      </c>
      <c r="AB262" s="5"/>
      <c r="AC262" s="6"/>
      <c r="AD262" s="6" t="s">
        <v>8615</v>
      </c>
      <c r="AE262" s="6"/>
      <c r="AF262" s="6" t="s">
        <v>8616</v>
      </c>
      <c r="AG262" s="7" t="s">
        <v>8575</v>
      </c>
      <c r="AH262" s="7"/>
      <c r="AI262" s="7" t="s">
        <v>8617</v>
      </c>
      <c r="AJ262" s="7" t="s">
        <v>8612</v>
      </c>
      <c r="AK262" s="7"/>
      <c r="AL262" s="7" t="s">
        <v>8785</v>
      </c>
      <c r="AM262" s="4"/>
      <c r="AS262" s="2"/>
      <c r="AT262" s="2"/>
      <c r="AU262" s="4" t="s">
        <v>8639</v>
      </c>
      <c r="AV262" s="10" t="s">
        <v>8664</v>
      </c>
      <c r="AW262" s="11"/>
      <c r="AX262" s="4"/>
      <c r="AY262" s="12"/>
      <c r="AZ262" s="12"/>
      <c r="BA262" s="2"/>
      <c r="BB262" s="2"/>
      <c r="BC262" s="2"/>
      <c r="BD262" s="2"/>
      <c r="BE262" s="2"/>
      <c r="BF262" s="2"/>
      <c r="BG262" s="2"/>
      <c r="BH262" s="2"/>
      <c r="BI262" s="2" t="s">
        <v>8590</v>
      </c>
      <c r="BJ262" s="2"/>
      <c r="BK262" s="2"/>
      <c r="BL262" s="2" t="s">
        <v>8591</v>
      </c>
      <c r="BM262" s="2"/>
      <c r="BN262" s="2"/>
    </row>
    <row r="263" customFormat="false" ht="19.5" hidden="false" customHeight="true" outlineLevel="0" collapsed="false">
      <c r="A263" s="2" t="s">
        <v>9616</v>
      </c>
      <c r="C263" s="2" t="str">
        <f aca="false">_xlfn.CONCAT(A263, " ","(",B263,")")</f>
        <v>Haploglossa gentilis ()</v>
      </c>
      <c r="D263" s="2" t="s">
        <v>8580</v>
      </c>
      <c r="E263" s="2" t="s">
        <v>8581</v>
      </c>
      <c r="F263" s="2" t="s">
        <v>8652</v>
      </c>
      <c r="H263" s="2" t="e">
        <f aca="false">VLOOKUP(A263,'[1]NE red list'!A$1:H$1048576,5,FALSE())</f>
        <v>#N/A</v>
      </c>
      <c r="I263" s="2" t="s">
        <v>9617</v>
      </c>
      <c r="J263" s="2" t="s">
        <v>9618</v>
      </c>
      <c r="K263" s="2" t="s">
        <v>8664</v>
      </c>
      <c r="L263" s="2" t="s">
        <v>8665</v>
      </c>
      <c r="N263" s="2" t="str">
        <f aca="false">_xlfn.CONCAT(Q263," ",R263," ",S263)</f>
        <v> parkland </v>
      </c>
      <c r="O263" s="3" t="s">
        <v>14</v>
      </c>
      <c r="P263" s="2"/>
      <c r="R263" s="2" t="s">
        <v>8568</v>
      </c>
      <c r="T263" s="2"/>
      <c r="U263" s="2" t="s">
        <v>8570</v>
      </c>
      <c r="W263" s="2" t="s">
        <v>8571</v>
      </c>
      <c r="Z263" s="2" t="s">
        <v>8614</v>
      </c>
      <c r="AA263" s="4" t="s">
        <v>26</v>
      </c>
      <c r="AC263" s="6" t="s">
        <v>8666</v>
      </c>
      <c r="AD263" s="6" t="s">
        <v>8615</v>
      </c>
      <c r="AG263" s="7" t="s">
        <v>8575</v>
      </c>
      <c r="AI263" s="7" t="s">
        <v>8617</v>
      </c>
      <c r="AS263" s="2"/>
      <c r="AU263" s="4" t="s">
        <v>8639</v>
      </c>
      <c r="AV263" s="47" t="s">
        <v>9619</v>
      </c>
      <c r="BI263" s="2" t="s">
        <v>8590</v>
      </c>
      <c r="BJ263" s="2" t="s">
        <v>8601</v>
      </c>
      <c r="BL263" s="2" t="s">
        <v>8591</v>
      </c>
      <c r="BO263" s="2"/>
      <c r="MJM263" s="2"/>
    </row>
    <row r="264" customFormat="false" ht="19.5" hidden="false" customHeight="true" outlineLevel="0" collapsed="false">
      <c r="A264" s="1" t="s">
        <v>9620</v>
      </c>
      <c r="B264" s="2" t="s">
        <v>9621</v>
      </c>
      <c r="C264" s="2" t="str">
        <f aca="false">_xlfn.CONCAT(A264, " ","(",B264,")")</f>
        <v>Hypnogyra angularis (Xantholinus angularis)</v>
      </c>
      <c r="D264" s="2" t="s">
        <v>8580</v>
      </c>
      <c r="E264" s="2" t="s">
        <v>8581</v>
      </c>
      <c r="F264" s="2" t="s">
        <v>8652</v>
      </c>
      <c r="G264" s="2" t="s">
        <v>8583</v>
      </c>
      <c r="H264" s="2" t="e">
        <f aca="false">VLOOKUP(A264,'[1]NE red list'!A$1:H$1048576,5,FALSE())</f>
        <v>#N/A</v>
      </c>
      <c r="I264" s="2" t="s">
        <v>9622</v>
      </c>
      <c r="J264" s="2" t="s">
        <v>9623</v>
      </c>
      <c r="N264" s="2" t="str">
        <f aca="false">_xlfn.CONCAT(Q264," ",R264," ",S264)</f>
        <v> parkland </v>
      </c>
      <c r="O264" s="3" t="s">
        <v>14</v>
      </c>
      <c r="P264" s="2"/>
      <c r="R264" s="2" t="s">
        <v>8568</v>
      </c>
      <c r="T264" s="2"/>
      <c r="U264" s="2" t="s">
        <v>8570</v>
      </c>
      <c r="V264" s="2" t="s">
        <v>9624</v>
      </c>
      <c r="W264" s="2" t="s">
        <v>8571</v>
      </c>
      <c r="AA264" s="4" t="s">
        <v>26</v>
      </c>
      <c r="AC264" s="6" t="s">
        <v>8666</v>
      </c>
      <c r="AD264" s="6" t="s">
        <v>8615</v>
      </c>
      <c r="AG264" s="7" t="s">
        <v>8575</v>
      </c>
      <c r="AI264" s="7" t="s">
        <v>8617</v>
      </c>
      <c r="AL264" s="7" t="s">
        <v>9077</v>
      </c>
      <c r="AS264" s="2"/>
      <c r="AU264" s="4" t="s">
        <v>8639</v>
      </c>
      <c r="BD264" s="2" t="s">
        <v>8629</v>
      </c>
      <c r="BI264" s="2" t="s">
        <v>8590</v>
      </c>
      <c r="BL264" s="2" t="s">
        <v>8591</v>
      </c>
      <c r="BO264" s="2"/>
      <c r="MJM264" s="2"/>
    </row>
    <row r="265" customFormat="false" ht="19.5" hidden="false" customHeight="true" outlineLevel="0" collapsed="false">
      <c r="A265" s="2" t="s">
        <v>9625</v>
      </c>
      <c r="C265" s="2" t="str">
        <f aca="false">_xlfn.CONCAT(A265, " ","(",B265,")")</f>
        <v>Ischnodes sanguinicollis ()</v>
      </c>
      <c r="D265" s="2" t="s">
        <v>8580</v>
      </c>
      <c r="E265" s="2" t="s">
        <v>8581</v>
      </c>
      <c r="F265" s="2" t="s">
        <v>9626</v>
      </c>
      <c r="G265" s="2" t="s">
        <v>8583</v>
      </c>
      <c r="H265" s="2" t="e">
        <f aca="false">VLOOKUP(A265,'[1]NE red list'!A$1:H$1048576,5,FALSE())</f>
        <v>#N/A</v>
      </c>
      <c r="I265" s="2" t="s">
        <v>8753</v>
      </c>
      <c r="J265" s="2" t="s">
        <v>9627</v>
      </c>
      <c r="L265" s="2" t="s">
        <v>8836</v>
      </c>
      <c r="N265" s="2" t="str">
        <f aca="false">_xlfn.CONCAT(Q265," ",R265," ",S265)</f>
        <v>woodland parkland </v>
      </c>
      <c r="O265" s="3" t="s">
        <v>14</v>
      </c>
      <c r="P265" s="2"/>
      <c r="Q265" s="2" t="s">
        <v>16</v>
      </c>
      <c r="R265" s="2" t="s">
        <v>8568</v>
      </c>
      <c r="T265" s="2"/>
      <c r="U265" s="2" t="s">
        <v>8570</v>
      </c>
      <c r="V265" s="2" t="s">
        <v>9628</v>
      </c>
      <c r="Z265" s="2" t="s">
        <v>8614</v>
      </c>
      <c r="AA265" s="4" t="s">
        <v>26</v>
      </c>
      <c r="AC265" s="6" t="s">
        <v>8666</v>
      </c>
      <c r="AD265" s="6" t="s">
        <v>8615</v>
      </c>
      <c r="AG265" s="7" t="s">
        <v>8575</v>
      </c>
      <c r="AI265" s="7" t="s">
        <v>8617</v>
      </c>
      <c r="AK265" s="7" t="s">
        <v>8780</v>
      </c>
      <c r="AL265" s="7" t="s">
        <v>9077</v>
      </c>
      <c r="AS265" s="2"/>
      <c r="AU265" s="4" t="s">
        <v>8639</v>
      </c>
      <c r="BD265" s="2" t="s">
        <v>8629</v>
      </c>
      <c r="BI265" s="2" t="s">
        <v>8590</v>
      </c>
      <c r="BL265" s="2" t="s">
        <v>8591</v>
      </c>
      <c r="BM265" s="2" t="s">
        <v>8619</v>
      </c>
      <c r="BO265" s="2"/>
      <c r="MJM265" s="2"/>
    </row>
    <row r="266" s="8" customFormat="true" ht="19.5" hidden="false" customHeight="true" outlineLevel="0" collapsed="false">
      <c r="A266" s="2" t="s">
        <v>9629</v>
      </c>
      <c r="B266" s="2"/>
      <c r="C266" s="2" t="str">
        <f aca="false">_xlfn.CONCAT(A266, " ","(",B266,")")</f>
        <v>Plectophloeus nitidus ()</v>
      </c>
      <c r="D266" s="2" t="s">
        <v>8580</v>
      </c>
      <c r="E266" s="2" t="s">
        <v>8581</v>
      </c>
      <c r="F266" s="2" t="s">
        <v>8652</v>
      </c>
      <c r="G266" s="2" t="s">
        <v>8662</v>
      </c>
      <c r="H266" s="2" t="e">
        <f aca="false">VLOOKUP(A266,'[1]NE red list'!A$1:H$1048576,5,FALSE())</f>
        <v>#N/A</v>
      </c>
      <c r="I266" s="2" t="s">
        <v>8750</v>
      </c>
      <c r="J266" s="2" t="s">
        <v>9630</v>
      </c>
      <c r="K266" s="2"/>
      <c r="L266" s="2"/>
      <c r="M266" s="2"/>
      <c r="N266" s="2" t="str">
        <f aca="false">_xlfn.CONCAT(Q266," ",R266," ",S266)</f>
        <v>woodland parkland </v>
      </c>
      <c r="O266" s="3" t="s">
        <v>14</v>
      </c>
      <c r="P266" s="2" t="s">
        <v>8587</v>
      </c>
      <c r="Q266" s="2" t="s">
        <v>16</v>
      </c>
      <c r="R266" s="2" t="s">
        <v>8568</v>
      </c>
      <c r="S266" s="2"/>
      <c r="T266" s="2"/>
      <c r="U266" s="2" t="s">
        <v>8570</v>
      </c>
      <c r="V266" s="2" t="s">
        <v>8745</v>
      </c>
      <c r="W266" s="2" t="s">
        <v>8571</v>
      </c>
      <c r="X266" s="2"/>
      <c r="Y266" s="2"/>
      <c r="Z266" s="2" t="s">
        <v>8614</v>
      </c>
      <c r="AA266" s="4" t="s">
        <v>26</v>
      </c>
      <c r="AB266" s="5"/>
      <c r="AC266" s="6"/>
      <c r="AD266" s="6" t="s">
        <v>8615</v>
      </c>
      <c r="AE266" s="6"/>
      <c r="AF266" s="6" t="s">
        <v>8616</v>
      </c>
      <c r="AG266" s="7" t="s">
        <v>8575</v>
      </c>
      <c r="AH266" s="7"/>
      <c r="AI266" s="7" t="s">
        <v>8617</v>
      </c>
      <c r="AJ266" s="7" t="s">
        <v>8612</v>
      </c>
      <c r="AK266" s="7"/>
      <c r="AL266" s="7" t="s">
        <v>8628</v>
      </c>
      <c r="AM266" s="4"/>
      <c r="AS266" s="2"/>
      <c r="AT266" s="2"/>
      <c r="AU266" s="4"/>
      <c r="AV266" s="11"/>
      <c r="AW266" s="11"/>
      <c r="AX266" s="4"/>
      <c r="AY266" s="12"/>
      <c r="AZ266" s="12"/>
      <c r="BA266" s="2"/>
      <c r="BB266" s="2"/>
      <c r="BC266" s="2"/>
      <c r="BD266" s="2"/>
      <c r="BE266" s="2"/>
      <c r="BF266" s="2"/>
      <c r="BG266" s="2"/>
      <c r="BH266" s="2"/>
      <c r="BI266" s="2" t="s">
        <v>8590</v>
      </c>
      <c r="BJ266" s="2" t="s">
        <v>8773</v>
      </c>
      <c r="BK266" s="2"/>
      <c r="BL266" s="2" t="s">
        <v>8591</v>
      </c>
      <c r="BM266" s="2" t="s">
        <v>8619</v>
      </c>
      <c r="BN266" s="2"/>
    </row>
    <row r="267" s="8" customFormat="true" ht="19.5" hidden="false" customHeight="true" outlineLevel="0" collapsed="false">
      <c r="A267" s="1" t="s">
        <v>9631</v>
      </c>
      <c r="B267" s="2" t="s">
        <v>9632</v>
      </c>
      <c r="C267" s="2" t="str">
        <f aca="false">_xlfn.CONCAT(A267, " ","(",B267,")")</f>
        <v>Gnophomyia elsneri (Royal Cranefly)</v>
      </c>
      <c r="D267" s="2" t="s">
        <v>8580</v>
      </c>
      <c r="E267" s="2" t="s">
        <v>8687</v>
      </c>
      <c r="F267" s="2" t="s">
        <v>9633</v>
      </c>
      <c r="G267" s="2" t="s">
        <v>8776</v>
      </c>
      <c r="H267" s="2" t="e">
        <f aca="false">VLOOKUP(A267,'[1]NE red list'!A$1:H$1048576,5,FALSE())</f>
        <v>#N/A</v>
      </c>
      <c r="I267" s="2" t="s">
        <v>8610</v>
      </c>
      <c r="J267" s="2" t="s">
        <v>9634</v>
      </c>
      <c r="K267" s="2"/>
      <c r="L267" s="2" t="s">
        <v>8836</v>
      </c>
      <c r="M267" s="2"/>
      <c r="N267" s="2" t="str">
        <f aca="false">_xlfn.CONCAT(Q267," ",R267," ",S267)</f>
        <v>woodland parkland </v>
      </c>
      <c r="O267" s="3" t="s">
        <v>14</v>
      </c>
      <c r="P267" s="2" t="s">
        <v>8587</v>
      </c>
      <c r="Q267" s="2" t="s">
        <v>16</v>
      </c>
      <c r="R267" s="2" t="s">
        <v>8568</v>
      </c>
      <c r="S267" s="2"/>
      <c r="T267" s="2"/>
      <c r="U267" s="2" t="s">
        <v>8570</v>
      </c>
      <c r="V267" s="2"/>
      <c r="W267" s="2" t="s">
        <v>8571</v>
      </c>
      <c r="X267" s="2" t="s">
        <v>8589</v>
      </c>
      <c r="Y267" s="2" t="s">
        <v>8573</v>
      </c>
      <c r="Z267" s="2" t="s">
        <v>8694</v>
      </c>
      <c r="AA267" s="4" t="s">
        <v>26</v>
      </c>
      <c r="AB267" s="5"/>
      <c r="AC267" s="6"/>
      <c r="AD267" s="6" t="s">
        <v>9044</v>
      </c>
      <c r="AE267" s="6"/>
      <c r="AF267" s="6" t="s">
        <v>9635</v>
      </c>
      <c r="AG267" s="7" t="s">
        <v>8575</v>
      </c>
      <c r="AH267" s="7"/>
      <c r="AI267" s="7" t="s">
        <v>8617</v>
      </c>
      <c r="AJ267" s="7"/>
      <c r="AK267" s="7" t="s">
        <v>8780</v>
      </c>
      <c r="AL267" s="7" t="s">
        <v>8628</v>
      </c>
      <c r="AM267" s="4"/>
      <c r="AS267" s="2"/>
      <c r="AU267" s="4"/>
      <c r="AV267" s="11"/>
      <c r="AW267" s="11"/>
      <c r="AX267" s="4"/>
      <c r="AY267" s="12"/>
      <c r="AZ267" s="12"/>
      <c r="BI267" s="2" t="s">
        <v>8590</v>
      </c>
      <c r="BL267" s="8" t="s">
        <v>8578</v>
      </c>
    </row>
    <row r="268" s="8" customFormat="true" ht="19.5" hidden="false" customHeight="true" outlineLevel="0" collapsed="false">
      <c r="A268" s="1" t="s">
        <v>9636</v>
      </c>
      <c r="B268" s="2" t="s">
        <v>9637</v>
      </c>
      <c r="C268" s="2" t="str">
        <f aca="false">_xlfn.CONCAT(A268, " ","(",B268,")")</f>
        <v>Limoniscus violaceus (Violet Click Beetle)</v>
      </c>
      <c r="D268" s="2" t="s">
        <v>8580</v>
      </c>
      <c r="E268" s="2" t="s">
        <v>8581</v>
      </c>
      <c r="F268" s="2" t="s">
        <v>8621</v>
      </c>
      <c r="G268" s="2" t="s">
        <v>8776</v>
      </c>
      <c r="H268" s="2" t="e">
        <f aca="false">VLOOKUP(A268,'[1]NE red list'!A$1:H$1048576,5,FALSE())</f>
        <v>#N/A</v>
      </c>
      <c r="I268" s="2" t="s">
        <v>8622</v>
      </c>
      <c r="J268" s="2" t="s">
        <v>9638</v>
      </c>
      <c r="K268" s="2" t="s">
        <v>9639</v>
      </c>
      <c r="L268" s="2" t="s">
        <v>8836</v>
      </c>
      <c r="M268" s="2"/>
      <c r="N268" s="2" t="str">
        <f aca="false">_xlfn.CONCAT(Q268," ",R268," ",S268)</f>
        <v> parkland </v>
      </c>
      <c r="O268" s="3" t="s">
        <v>14</v>
      </c>
      <c r="P268" s="2" t="s">
        <v>8567</v>
      </c>
      <c r="Q268" s="2"/>
      <c r="R268" s="2" t="s">
        <v>8568</v>
      </c>
      <c r="S268" s="2"/>
      <c r="T268" s="2"/>
      <c r="U268" s="2" t="s">
        <v>8570</v>
      </c>
      <c r="V268" s="2" t="s">
        <v>9640</v>
      </c>
      <c r="W268" s="2" t="s">
        <v>8571</v>
      </c>
      <c r="X268" s="2" t="s">
        <v>8589</v>
      </c>
      <c r="Y268" s="2"/>
      <c r="Z268" s="2" t="s">
        <v>8614</v>
      </c>
      <c r="AA268" s="4" t="s">
        <v>26</v>
      </c>
      <c r="AB268" s="5"/>
      <c r="AC268" s="6" t="s">
        <v>8666</v>
      </c>
      <c r="AD268" s="6" t="s">
        <v>8615</v>
      </c>
      <c r="AE268" s="6"/>
      <c r="AF268" s="6" t="s">
        <v>8616</v>
      </c>
      <c r="AG268" s="7" t="s">
        <v>8575</v>
      </c>
      <c r="AH268" s="7"/>
      <c r="AI268" s="7" t="s">
        <v>8617</v>
      </c>
      <c r="AJ268" s="7"/>
      <c r="AK268" s="7" t="s">
        <v>8627</v>
      </c>
      <c r="AL268" s="7" t="s">
        <v>9077</v>
      </c>
      <c r="AM268" s="4"/>
      <c r="AS268" s="2"/>
      <c r="AU268" s="4" t="s">
        <v>8639</v>
      </c>
      <c r="AV268" s="10"/>
      <c r="AW268" s="11"/>
      <c r="AX268" s="4"/>
      <c r="AY268" s="12"/>
      <c r="AZ268" s="12"/>
      <c r="BB268" s="8" t="s">
        <v>8618</v>
      </c>
      <c r="BD268" s="2" t="s">
        <v>8629</v>
      </c>
      <c r="BI268" s="2" t="s">
        <v>8590</v>
      </c>
      <c r="BL268" s="8" t="s">
        <v>8578</v>
      </c>
      <c r="BM268" s="8" t="s">
        <v>8619</v>
      </c>
    </row>
    <row r="269" customFormat="false" ht="19.5" hidden="false" customHeight="true" outlineLevel="0" collapsed="false">
      <c r="A269" s="2" t="s">
        <v>9641</v>
      </c>
      <c r="C269" s="2" t="str">
        <f aca="false">_xlfn.CONCAT(A269, " ","(",B269,")")</f>
        <v>Malthinus frontalis ()</v>
      </c>
      <c r="D269" s="2" t="s">
        <v>8580</v>
      </c>
      <c r="E269" s="2" t="s">
        <v>8581</v>
      </c>
      <c r="F269" s="2" t="s">
        <v>9420</v>
      </c>
      <c r="G269" s="2" t="s">
        <v>8583</v>
      </c>
      <c r="H269" s="2" t="str">
        <f aca="false">VLOOKUP(A269,'[1]NE red list'!A$1:H$1048576,5,FALSE())</f>
        <v>LC</v>
      </c>
      <c r="I269" s="2" t="s">
        <v>8564</v>
      </c>
      <c r="J269" s="2" t="s">
        <v>9642</v>
      </c>
      <c r="L269" s="2" t="s">
        <v>8665</v>
      </c>
      <c r="N269" s="2" t="str">
        <f aca="false">_xlfn.CONCAT(Q269," ",R269," ",S269)</f>
        <v> parkland ToW</v>
      </c>
      <c r="O269" s="2" t="s">
        <v>14</v>
      </c>
      <c r="P269" s="2"/>
      <c r="R269" s="2" t="s">
        <v>8568</v>
      </c>
      <c r="S269" s="2" t="s">
        <v>18</v>
      </c>
      <c r="T269" s="2"/>
      <c r="U269" s="2" t="s">
        <v>8570</v>
      </c>
      <c r="W269" s="2" t="s">
        <v>8571</v>
      </c>
      <c r="X269" s="2" t="s">
        <v>8625</v>
      </c>
      <c r="Z269" s="2" t="s">
        <v>8694</v>
      </c>
      <c r="AA269" s="4" t="s">
        <v>26</v>
      </c>
      <c r="AD269" s="6" t="s">
        <v>8615</v>
      </c>
      <c r="AF269" s="6" t="s">
        <v>8616</v>
      </c>
      <c r="AG269" s="7" t="s">
        <v>8575</v>
      </c>
      <c r="AI269" s="7" t="s">
        <v>8617</v>
      </c>
      <c r="AK269" s="7" t="s">
        <v>8627</v>
      </c>
      <c r="AS269" s="2"/>
      <c r="AV269" s="11"/>
      <c r="BI269" s="2" t="s">
        <v>8590</v>
      </c>
      <c r="BJ269" s="2" t="s">
        <v>8630</v>
      </c>
      <c r="BL269" s="2" t="s">
        <v>8591</v>
      </c>
      <c r="BO269" s="2"/>
      <c r="MJM269" s="2"/>
    </row>
    <row r="270" customFormat="false" ht="19.5" hidden="false" customHeight="true" outlineLevel="0" collapsed="false">
      <c r="A270" s="2" t="s">
        <v>9643</v>
      </c>
      <c r="C270" s="2" t="str">
        <f aca="false">_xlfn.CONCAT(A270, " ","(",B270,")")</f>
        <v>Mycetophagus piceus ()</v>
      </c>
      <c r="D270" s="2" t="s">
        <v>8580</v>
      </c>
      <c r="E270" s="2" t="s">
        <v>8581</v>
      </c>
      <c r="F270" s="2" t="s">
        <v>9239</v>
      </c>
      <c r="G270" s="2" t="s">
        <v>8737</v>
      </c>
      <c r="H270" s="2" t="str">
        <f aca="false">VLOOKUP(A270,'[1]NE red list'!A$1:H$1048576,5,FALSE())</f>
        <v>LC</v>
      </c>
      <c r="I270" s="2" t="s">
        <v>8645</v>
      </c>
      <c r="J270" s="2" t="s">
        <v>9644</v>
      </c>
      <c r="L270" s="2" t="s">
        <v>8677</v>
      </c>
      <c r="N270" s="2" t="str">
        <f aca="false">_xlfn.CONCAT(Q270," ",R270," ",S270)</f>
        <v>woodland parkland </v>
      </c>
      <c r="O270" s="3" t="s">
        <v>14</v>
      </c>
      <c r="P270" s="2" t="s">
        <v>8587</v>
      </c>
      <c r="Q270" s="2" t="s">
        <v>16</v>
      </c>
      <c r="R270" s="2" t="s">
        <v>8568</v>
      </c>
      <c r="T270" s="2"/>
      <c r="U270" s="2" t="s">
        <v>8570</v>
      </c>
      <c r="V270" s="2" t="s">
        <v>8745</v>
      </c>
      <c r="W270" s="2" t="s">
        <v>8571</v>
      </c>
      <c r="X270" s="2" t="s">
        <v>8625</v>
      </c>
      <c r="Z270" s="2" t="s">
        <v>8614</v>
      </c>
      <c r="AG270" s="7" t="s">
        <v>8575</v>
      </c>
      <c r="AI270" s="7" t="s">
        <v>8617</v>
      </c>
      <c r="AJ270" s="7" t="s">
        <v>8612</v>
      </c>
      <c r="AS270" s="2"/>
      <c r="AV270" s="11"/>
      <c r="AX270" s="4" t="s">
        <v>8585</v>
      </c>
      <c r="AY270" s="12" t="s">
        <v>8585</v>
      </c>
      <c r="BD270" s="2" t="s">
        <v>8577</v>
      </c>
      <c r="BI270" s="2" t="s">
        <v>8590</v>
      </c>
      <c r="BJ270" s="2" t="s">
        <v>8747</v>
      </c>
      <c r="BL270" s="2" t="s">
        <v>8591</v>
      </c>
      <c r="BM270" s="2" t="s">
        <v>8619</v>
      </c>
      <c r="BO270" s="2"/>
      <c r="MJM270" s="2"/>
    </row>
    <row r="271" customFormat="false" ht="19.5" hidden="false" customHeight="true" outlineLevel="0" collapsed="false">
      <c r="A271" s="2" t="s">
        <v>9645</v>
      </c>
      <c r="C271" s="2" t="str">
        <f aca="false">_xlfn.CONCAT(A271, " ","(",B271,")")</f>
        <v>Grammoptera ruficornis ()</v>
      </c>
      <c r="D271" s="2" t="s">
        <v>8580</v>
      </c>
      <c r="E271" s="2" t="s">
        <v>8581</v>
      </c>
      <c r="F271" s="2" t="s">
        <v>8787</v>
      </c>
      <c r="G271" s="2" t="s">
        <v>8737</v>
      </c>
      <c r="H271" s="2" t="str">
        <f aca="false">VLOOKUP(A271,'[1]NE red list'!A$1:H$1048576,5,FALSE())</f>
        <v>LC</v>
      </c>
      <c r="I271" s="2" t="s">
        <v>8878</v>
      </c>
      <c r="J271" s="2" t="s">
        <v>9646</v>
      </c>
      <c r="L271" s="2" t="s">
        <v>8790</v>
      </c>
      <c r="N271" s="2" t="str">
        <f aca="false">_xlfn.CONCAT(Q271," ",R271," ",S271)</f>
        <v> parkland </v>
      </c>
      <c r="O271" s="3" t="s">
        <v>14</v>
      </c>
      <c r="P271" s="2"/>
      <c r="R271" s="2" t="s">
        <v>8568</v>
      </c>
      <c r="T271" s="2"/>
      <c r="U271" s="2" t="s">
        <v>8570</v>
      </c>
      <c r="X271" s="2" t="s">
        <v>8597</v>
      </c>
      <c r="Y271" s="2" t="s">
        <v>8573</v>
      </c>
      <c r="Z271" s="2" t="s">
        <v>8574</v>
      </c>
      <c r="AG271" s="7" t="s">
        <v>8824</v>
      </c>
      <c r="AS271" s="2" t="s">
        <v>8599</v>
      </c>
      <c r="AV271" s="11"/>
      <c r="BB271" s="2" t="s">
        <v>8618</v>
      </c>
      <c r="BI271" s="2" t="s">
        <v>8590</v>
      </c>
      <c r="BL271" s="2" t="s">
        <v>8591</v>
      </c>
      <c r="BO271" s="2"/>
      <c r="MJM271" s="2"/>
    </row>
    <row r="272" customFormat="false" ht="19.5" hidden="false" customHeight="true" outlineLevel="0" collapsed="false">
      <c r="A272" s="2" t="s">
        <v>9647</v>
      </c>
      <c r="C272" s="2" t="str">
        <f aca="false">_xlfn.CONCAT(A272, " ","(",B272,")")</f>
        <v>Grammoptera ustulata ()</v>
      </c>
      <c r="D272" s="2" t="s">
        <v>8580</v>
      </c>
      <c r="E272" s="2" t="s">
        <v>8581</v>
      </c>
      <c r="F272" s="2" t="s">
        <v>8787</v>
      </c>
      <c r="G272" s="2" t="s">
        <v>8633</v>
      </c>
      <c r="H272" s="2" t="str">
        <f aca="false">VLOOKUP(A272,'[1]NE red list'!A$1:H$1048576,5,FALSE())</f>
        <v>LC</v>
      </c>
      <c r="I272" s="2" t="s">
        <v>8669</v>
      </c>
      <c r="J272" s="2" t="s">
        <v>9648</v>
      </c>
      <c r="K272" s="2" t="s">
        <v>9649</v>
      </c>
      <c r="L272" s="2" t="s">
        <v>8790</v>
      </c>
      <c r="N272" s="2" t="str">
        <f aca="false">_xlfn.CONCAT(Q272," ",R272," ",S272)</f>
        <v>woodland parkland </v>
      </c>
      <c r="O272" s="3" t="s">
        <v>14</v>
      </c>
      <c r="P272" s="2"/>
      <c r="Q272" s="2" t="s">
        <v>16</v>
      </c>
      <c r="R272" s="2" t="s">
        <v>8568</v>
      </c>
      <c r="T272" s="2"/>
      <c r="U272" s="2" t="s">
        <v>8570</v>
      </c>
      <c r="V272" s="2" t="s">
        <v>9650</v>
      </c>
      <c r="X272" s="2" t="s">
        <v>8597</v>
      </c>
      <c r="Y272" s="2" t="s">
        <v>8573</v>
      </c>
      <c r="Z272" s="2" t="s">
        <v>8574</v>
      </c>
      <c r="AG272" s="7" t="s">
        <v>8824</v>
      </c>
      <c r="AS272" s="2" t="s">
        <v>8599</v>
      </c>
      <c r="AV272" s="11"/>
      <c r="BB272" s="2" t="s">
        <v>8618</v>
      </c>
      <c r="BI272" s="2" t="s">
        <v>8590</v>
      </c>
      <c r="BJ272" s="2" t="s">
        <v>8601</v>
      </c>
      <c r="BL272" s="2" t="s">
        <v>8591</v>
      </c>
      <c r="BO272" s="2"/>
      <c r="MJM272" s="2"/>
    </row>
    <row r="273" customFormat="false" ht="19.5" hidden="false" customHeight="true" outlineLevel="0" collapsed="false">
      <c r="A273" s="2" t="s">
        <v>9651</v>
      </c>
      <c r="C273" s="2" t="str">
        <f aca="false">_xlfn.CONCAT(A273, " ","(",B273,")")</f>
        <v>Grammoptera variegata ()</v>
      </c>
      <c r="D273" s="2" t="s">
        <v>8580</v>
      </c>
      <c r="E273" s="2" t="s">
        <v>8581</v>
      </c>
      <c r="F273" s="2" t="s">
        <v>8787</v>
      </c>
      <c r="G273" s="2" t="s">
        <v>8583</v>
      </c>
      <c r="H273" s="2" t="e">
        <f aca="false">VLOOKUP(A273,'[1]NE red list'!A$1:H$1048576,5,FALSE())</f>
        <v>#N/A</v>
      </c>
      <c r="I273" s="2" t="s">
        <v>8669</v>
      </c>
      <c r="J273" s="2" t="s">
        <v>9652</v>
      </c>
      <c r="K273" s="2" t="s">
        <v>9653</v>
      </c>
      <c r="L273" s="2" t="s">
        <v>8790</v>
      </c>
      <c r="N273" s="2" t="str">
        <f aca="false">_xlfn.CONCAT(Q273," ",R273," ",S273)</f>
        <v> parkland </v>
      </c>
      <c r="O273" s="3" t="s">
        <v>14</v>
      </c>
      <c r="P273" s="2"/>
      <c r="R273" s="2" t="s">
        <v>8568</v>
      </c>
      <c r="T273" s="2"/>
      <c r="U273" s="2" t="s">
        <v>8570</v>
      </c>
      <c r="V273" s="2" t="s">
        <v>9654</v>
      </c>
      <c r="W273" s="2" t="s">
        <v>8567</v>
      </c>
      <c r="X273" s="2" t="s">
        <v>8597</v>
      </c>
      <c r="Z273" s="2" t="s">
        <v>8574</v>
      </c>
      <c r="AG273" s="7" t="s">
        <v>8824</v>
      </c>
      <c r="AS273" s="2" t="s">
        <v>8792</v>
      </c>
      <c r="AV273" s="11"/>
      <c r="AX273" s="4" t="s">
        <v>8607</v>
      </c>
      <c r="BB273" s="2" t="s">
        <v>8618</v>
      </c>
      <c r="BI273" s="2" t="s">
        <v>8590</v>
      </c>
      <c r="BL273" s="2" t="s">
        <v>8591</v>
      </c>
      <c r="BO273" s="2"/>
      <c r="MJM273" s="2"/>
    </row>
    <row r="274" customFormat="false" ht="19.5" hidden="false" customHeight="true" outlineLevel="0" collapsed="false">
      <c r="A274" s="2" t="s">
        <v>9655</v>
      </c>
      <c r="C274" s="2" t="str">
        <f aca="false">_xlfn.CONCAT(A274, " ","(",B274,")")</f>
        <v>Grapholita janthinana
 ()</v>
      </c>
      <c r="D274" s="2" t="s">
        <v>8580</v>
      </c>
      <c r="E274" s="2" t="s">
        <v>8722</v>
      </c>
      <c r="F274" s="2" t="s">
        <v>9105</v>
      </c>
      <c r="G274" s="2" t="s">
        <v>8731</v>
      </c>
      <c r="H274" s="2" t="e">
        <f aca="false">VLOOKUP(A274,'[1]NE red list'!A$1:H$1048576,5,FALSE())</f>
        <v>#N/A</v>
      </c>
      <c r="I274" s="2" t="s">
        <v>8878</v>
      </c>
      <c r="J274" s="33" t="s">
        <v>9656</v>
      </c>
      <c r="L274" s="2" t="s">
        <v>8586</v>
      </c>
      <c r="M274" s="33"/>
      <c r="N274" s="2" t="str">
        <f aca="false">_xlfn.CONCAT(Q274," ",R274," ",S274)</f>
        <v>woodland parkland ToW</v>
      </c>
      <c r="O274" s="2" t="s">
        <v>14</v>
      </c>
      <c r="P274" s="2"/>
      <c r="Q274" s="2" t="s">
        <v>16</v>
      </c>
      <c r="R274" s="2" t="s">
        <v>8568</v>
      </c>
      <c r="S274" s="2" t="s">
        <v>18</v>
      </c>
      <c r="U274" s="2" t="s">
        <v>8570</v>
      </c>
      <c r="V274" s="2" t="s">
        <v>9657</v>
      </c>
      <c r="W274" s="2" t="s">
        <v>8567</v>
      </c>
      <c r="Y274" s="2" t="s">
        <v>8573</v>
      </c>
      <c r="Z274" s="2" t="s">
        <v>8694</v>
      </c>
      <c r="AM274" s="4" t="s">
        <v>8657</v>
      </c>
      <c r="AO274" s="8" t="s">
        <v>40</v>
      </c>
      <c r="AQ274" s="8" t="s">
        <v>42</v>
      </c>
      <c r="AS274" s="2"/>
      <c r="AV274" s="11"/>
      <c r="BO274" s="2"/>
      <c r="MJM274" s="2"/>
    </row>
    <row r="275" customFormat="false" ht="19.5" hidden="false" customHeight="true" outlineLevel="0" collapsed="false">
      <c r="A275" s="2" t="s">
        <v>9658</v>
      </c>
      <c r="C275" s="2" t="str">
        <f aca="false">_xlfn.CONCAT(A275, " ","(",B275,")")</f>
        <v>Gyrophaena affinis ()</v>
      </c>
      <c r="D275" s="2" t="s">
        <v>8580</v>
      </c>
      <c r="E275" s="2" t="s">
        <v>8581</v>
      </c>
      <c r="F275" s="2" t="s">
        <v>8652</v>
      </c>
      <c r="G275" s="2" t="s">
        <v>8737</v>
      </c>
      <c r="H275" s="2" t="e">
        <f aca="false">VLOOKUP(A275,'[1]NE red list'!A$1:H$1048576,5,FALSE())</f>
        <v>#N/A</v>
      </c>
      <c r="I275" s="2" t="s">
        <v>8645</v>
      </c>
      <c r="J275" s="2" t="s">
        <v>9659</v>
      </c>
      <c r="K275" s="2" t="s">
        <v>8585</v>
      </c>
      <c r="L275" s="2" t="s">
        <v>8677</v>
      </c>
      <c r="N275" s="2" t="str">
        <f aca="false">_xlfn.CONCAT(Q275," ",R275," ",S275)</f>
        <v>woodland  </v>
      </c>
      <c r="O275" s="2" t="s">
        <v>14</v>
      </c>
      <c r="P275" s="2"/>
      <c r="Q275" s="2" t="s">
        <v>16</v>
      </c>
      <c r="T275" s="2"/>
      <c r="U275" s="2" t="s">
        <v>8570</v>
      </c>
      <c r="W275" s="2" t="s">
        <v>8567</v>
      </c>
      <c r="X275" s="2" t="s">
        <v>8625</v>
      </c>
      <c r="AS275" s="2"/>
      <c r="AV275" s="11"/>
      <c r="AX275" s="4" t="s">
        <v>8585</v>
      </c>
      <c r="AY275" s="12" t="s">
        <v>8585</v>
      </c>
      <c r="BI275" s="2" t="s">
        <v>8590</v>
      </c>
      <c r="BL275" s="2" t="s">
        <v>8591</v>
      </c>
      <c r="BO275" s="2"/>
      <c r="MJM275" s="2"/>
    </row>
    <row r="276" customFormat="false" ht="19.5" hidden="false" customHeight="true" outlineLevel="0" collapsed="false">
      <c r="A276" s="2" t="s">
        <v>9660</v>
      </c>
      <c r="C276" s="2" t="str">
        <f aca="false">_xlfn.CONCAT(A276, " ","(",B276,")")</f>
        <v>Gyrophaena bihamata ()</v>
      </c>
      <c r="D276" s="2" t="s">
        <v>8580</v>
      </c>
      <c r="E276" s="2" t="s">
        <v>8581</v>
      </c>
      <c r="F276" s="2" t="s">
        <v>8652</v>
      </c>
      <c r="H276" s="2" t="e">
        <f aca="false">VLOOKUP(A276,'[1]NE red list'!A$1:H$1048576,5,FALSE())</f>
        <v>#N/A</v>
      </c>
      <c r="I276" s="2" t="s">
        <v>8610</v>
      </c>
      <c r="J276" s="2" t="s">
        <v>9661</v>
      </c>
      <c r="K276" s="2" t="s">
        <v>8585</v>
      </c>
      <c r="L276" s="2" t="s">
        <v>8677</v>
      </c>
      <c r="N276" s="2" t="str">
        <f aca="false">_xlfn.CONCAT(Q276," ",R276," ",S276)</f>
        <v>woodland  </v>
      </c>
      <c r="O276" s="2" t="s">
        <v>14</v>
      </c>
      <c r="P276" s="2"/>
      <c r="Q276" s="2" t="s">
        <v>16</v>
      </c>
      <c r="T276" s="2"/>
      <c r="U276" s="2" t="s">
        <v>8570</v>
      </c>
      <c r="W276" s="2" t="s">
        <v>8567</v>
      </c>
      <c r="AS276" s="2"/>
      <c r="AV276" s="11"/>
      <c r="AX276" s="4" t="s">
        <v>8585</v>
      </c>
      <c r="AY276" s="12" t="s">
        <v>8585</v>
      </c>
      <c r="BI276" s="2" t="s">
        <v>8590</v>
      </c>
      <c r="BL276" s="2" t="s">
        <v>8591</v>
      </c>
      <c r="BO276" s="2"/>
      <c r="MJM276" s="2"/>
    </row>
    <row r="277" customFormat="false" ht="19.5" hidden="false" customHeight="true" outlineLevel="0" collapsed="false">
      <c r="A277" s="2" t="s">
        <v>9662</v>
      </c>
      <c r="C277" s="2" t="str">
        <f aca="false">_xlfn.CONCAT(A277, " ","(",B277,")")</f>
        <v>Gyrophaena congrua ()</v>
      </c>
      <c r="D277" s="2" t="s">
        <v>8580</v>
      </c>
      <c r="E277" s="2" t="s">
        <v>8581</v>
      </c>
      <c r="F277" s="2" t="s">
        <v>8652</v>
      </c>
      <c r="G277" s="2" t="s">
        <v>8583</v>
      </c>
      <c r="H277" s="2" t="e">
        <f aca="false">VLOOKUP(A277,'[1]NE red list'!A$1:H$1048576,5,FALSE())</f>
        <v>#N/A</v>
      </c>
      <c r="I277" s="2" t="s">
        <v>9249</v>
      </c>
      <c r="J277" s="2" t="s">
        <v>9663</v>
      </c>
      <c r="K277" s="2" t="s">
        <v>8585</v>
      </c>
      <c r="L277" s="2" t="s">
        <v>8677</v>
      </c>
      <c r="N277" s="2" t="str">
        <f aca="false">_xlfn.CONCAT(Q277," ",R277," ",S277)</f>
        <v>woodland parkland </v>
      </c>
      <c r="O277" s="3" t="s">
        <v>14</v>
      </c>
      <c r="P277" s="2"/>
      <c r="Q277" s="2" t="s">
        <v>16</v>
      </c>
      <c r="R277" s="2" t="s">
        <v>8568</v>
      </c>
      <c r="T277" s="2"/>
      <c r="U277" s="2" t="s">
        <v>8570</v>
      </c>
      <c r="W277" s="2" t="s">
        <v>8567</v>
      </c>
      <c r="AS277" s="2"/>
      <c r="AV277" s="11"/>
      <c r="AX277" s="4" t="s">
        <v>8585</v>
      </c>
      <c r="AY277" s="12" t="s">
        <v>8585</v>
      </c>
      <c r="BI277" s="2" t="s">
        <v>8590</v>
      </c>
      <c r="BL277" s="2" t="s">
        <v>8591</v>
      </c>
      <c r="BO277" s="2"/>
      <c r="MJM277" s="2"/>
    </row>
    <row r="278" customFormat="false" ht="19.5" hidden="false" customHeight="true" outlineLevel="0" collapsed="false">
      <c r="A278" s="2" t="s">
        <v>9664</v>
      </c>
      <c r="C278" s="2" t="str">
        <f aca="false">_xlfn.CONCAT(A278, " ","(",B278,")")</f>
        <v>Gyrophaena joyi ()</v>
      </c>
      <c r="D278" s="2" t="s">
        <v>8580</v>
      </c>
      <c r="E278" s="2" t="s">
        <v>8581</v>
      </c>
      <c r="F278" s="2" t="s">
        <v>8652</v>
      </c>
      <c r="G278" s="2" t="s">
        <v>8583</v>
      </c>
      <c r="H278" s="2" t="e">
        <f aca="false">VLOOKUP(A278,'[1]NE red list'!A$1:H$1048576,5,FALSE())</f>
        <v>#N/A</v>
      </c>
      <c r="I278" s="2" t="s">
        <v>8610</v>
      </c>
      <c r="J278" s="2" t="s">
        <v>9665</v>
      </c>
      <c r="K278" s="2" t="s">
        <v>8585</v>
      </c>
      <c r="L278" s="2" t="s">
        <v>8677</v>
      </c>
      <c r="N278" s="2" t="str">
        <f aca="false">_xlfn.CONCAT(Q278," ",R278," ",S278)</f>
        <v>woodland  </v>
      </c>
      <c r="O278" s="2"/>
      <c r="P278" s="2"/>
      <c r="Q278" s="2" t="s">
        <v>16</v>
      </c>
      <c r="T278" s="2"/>
      <c r="U278" s="2" t="s">
        <v>8570</v>
      </c>
      <c r="Z278" s="2" t="s">
        <v>8614</v>
      </c>
      <c r="AS278" s="2"/>
      <c r="AV278" s="11"/>
      <c r="AX278" s="4" t="s">
        <v>8585</v>
      </c>
      <c r="AY278" s="12" t="s">
        <v>8585</v>
      </c>
      <c r="BD278" s="2" t="s">
        <v>9046</v>
      </c>
      <c r="BI278" s="2" t="s">
        <v>8590</v>
      </c>
      <c r="BL278" s="2" t="s">
        <v>8591</v>
      </c>
      <c r="BO278" s="2"/>
      <c r="MJM278" s="2"/>
    </row>
    <row r="279" customFormat="false" ht="19.5" hidden="false" customHeight="true" outlineLevel="0" collapsed="false">
      <c r="A279" s="2" t="s">
        <v>9666</v>
      </c>
      <c r="C279" s="2" t="str">
        <f aca="false">_xlfn.CONCAT(A279, " ","(",B279,")")</f>
        <v>Gyrophaena lucidula ()</v>
      </c>
      <c r="D279" s="2" t="s">
        <v>8580</v>
      </c>
      <c r="E279" s="2" t="s">
        <v>8581</v>
      </c>
      <c r="F279" s="2" t="s">
        <v>8652</v>
      </c>
      <c r="G279" s="2" t="s">
        <v>8583</v>
      </c>
      <c r="H279" s="2" t="e">
        <f aca="false">VLOOKUP(A279,'[1]NE red list'!A$1:H$1048576,5,FALSE())</f>
        <v>#N/A</v>
      </c>
      <c r="I279" s="2" t="s">
        <v>8610</v>
      </c>
      <c r="J279" s="2" t="s">
        <v>9667</v>
      </c>
      <c r="K279" s="2" t="s">
        <v>8585</v>
      </c>
      <c r="L279" s="2" t="s">
        <v>8677</v>
      </c>
      <c r="N279" s="2" t="str">
        <f aca="false">_xlfn.CONCAT(Q279," ",R279," ",S279)</f>
        <v>woodland  </v>
      </c>
      <c r="O279" s="2" t="s">
        <v>14</v>
      </c>
      <c r="P279" s="2"/>
      <c r="Q279" s="2" t="s">
        <v>16</v>
      </c>
      <c r="T279" s="2"/>
      <c r="U279" s="2" t="s">
        <v>8570</v>
      </c>
      <c r="V279" s="2" t="s">
        <v>9002</v>
      </c>
      <c r="AS279" s="2"/>
      <c r="AV279" s="11"/>
      <c r="AX279" s="4" t="s">
        <v>8585</v>
      </c>
      <c r="AY279" s="12" t="s">
        <v>8585</v>
      </c>
      <c r="BD279" s="2" t="s">
        <v>9046</v>
      </c>
      <c r="BI279" s="2" t="s">
        <v>8590</v>
      </c>
      <c r="BJ279" s="2" t="s">
        <v>8630</v>
      </c>
      <c r="BL279" s="2" t="s">
        <v>8591</v>
      </c>
      <c r="BO279" s="2"/>
      <c r="MJM279" s="2"/>
    </row>
    <row r="280" customFormat="false" ht="19.5" hidden="false" customHeight="true" outlineLevel="0" collapsed="false">
      <c r="A280" s="2" t="s">
        <v>9668</v>
      </c>
      <c r="C280" s="2" t="str">
        <f aca="false">_xlfn.CONCAT(A280, " ","(",B280,")")</f>
        <v>Gyrophaena munsteri ()</v>
      </c>
      <c r="D280" s="2" t="s">
        <v>8580</v>
      </c>
      <c r="E280" s="2" t="s">
        <v>8581</v>
      </c>
      <c r="F280" s="2" t="s">
        <v>8652</v>
      </c>
      <c r="G280" s="2" t="s">
        <v>8662</v>
      </c>
      <c r="H280" s="2" t="e">
        <f aca="false">VLOOKUP(A280,'[1]NE red list'!A$1:H$1048576,5,FALSE())</f>
        <v>#N/A</v>
      </c>
      <c r="I280" s="2" t="s">
        <v>8610</v>
      </c>
      <c r="J280" s="2" t="s">
        <v>9669</v>
      </c>
      <c r="K280" s="2" t="s">
        <v>8585</v>
      </c>
      <c r="L280" s="2" t="s">
        <v>8677</v>
      </c>
      <c r="N280" s="2" t="str">
        <f aca="false">_xlfn.CONCAT(Q280," ",R280," ",S280)</f>
        <v>woodland  </v>
      </c>
      <c r="O280" s="2"/>
      <c r="P280" s="2"/>
      <c r="Q280" s="2" t="s">
        <v>16</v>
      </c>
      <c r="T280" s="2"/>
      <c r="U280" s="2" t="s">
        <v>8570</v>
      </c>
      <c r="Z280" s="2" t="s">
        <v>8614</v>
      </c>
      <c r="AS280" s="2"/>
      <c r="AV280" s="11"/>
      <c r="AX280" s="4" t="s">
        <v>8585</v>
      </c>
      <c r="AY280" s="12" t="s">
        <v>8585</v>
      </c>
      <c r="BI280" s="2" t="s">
        <v>8590</v>
      </c>
      <c r="BL280" s="2" t="s">
        <v>8591</v>
      </c>
      <c r="BO280" s="2"/>
      <c r="MJM280" s="2"/>
    </row>
    <row r="281" customFormat="false" ht="19.5" hidden="false" customHeight="true" outlineLevel="0" collapsed="false">
      <c r="A281" s="2" t="s">
        <v>9670</v>
      </c>
      <c r="C281" s="2" t="str">
        <f aca="false">_xlfn.CONCAT(A281, " ","(",B281,")")</f>
        <v>Gyrophaena poweri ()</v>
      </c>
      <c r="D281" s="2" t="s">
        <v>8580</v>
      </c>
      <c r="E281" s="2" t="s">
        <v>8581</v>
      </c>
      <c r="F281" s="2" t="s">
        <v>8652</v>
      </c>
      <c r="G281" s="2" t="s">
        <v>8662</v>
      </c>
      <c r="H281" s="2" t="e">
        <f aca="false">VLOOKUP(A281,'[1]NE red list'!A$1:H$1048576,5,FALSE())</f>
        <v>#N/A</v>
      </c>
      <c r="I281" s="2" t="s">
        <v>8714</v>
      </c>
      <c r="J281" s="2" t="s">
        <v>9671</v>
      </c>
      <c r="K281" s="2" t="s">
        <v>9019</v>
      </c>
      <c r="L281" s="2" t="s">
        <v>8677</v>
      </c>
      <c r="N281" s="2" t="str">
        <f aca="false">_xlfn.CONCAT(Q281," ",R281," ",S281)</f>
        <v>woodland  </v>
      </c>
      <c r="O281" s="2"/>
      <c r="P281" s="2"/>
      <c r="Q281" s="2" t="s">
        <v>16</v>
      </c>
      <c r="T281" s="2"/>
      <c r="U281" s="2" t="s">
        <v>8570</v>
      </c>
      <c r="Z281" s="2" t="s">
        <v>8614</v>
      </c>
      <c r="AS281" s="2"/>
      <c r="AV281" s="11"/>
      <c r="AX281" s="4" t="s">
        <v>8607</v>
      </c>
      <c r="BI281" s="2" t="s">
        <v>8590</v>
      </c>
      <c r="BL281" s="2" t="s">
        <v>8591</v>
      </c>
      <c r="BO281" s="2"/>
      <c r="MJM281" s="2"/>
    </row>
    <row r="282" customFormat="false" ht="19.5" hidden="false" customHeight="true" outlineLevel="0" collapsed="false">
      <c r="A282" s="2" t="s">
        <v>9672</v>
      </c>
      <c r="C282" s="2" t="str">
        <f aca="false">_xlfn.CONCAT(A282, " ","(",B282,")")</f>
        <v>Gyrophaena pulchella ()</v>
      </c>
      <c r="D282" s="2" t="s">
        <v>8580</v>
      </c>
      <c r="E282" s="2" t="s">
        <v>8581</v>
      </c>
      <c r="F282" s="2" t="s">
        <v>8652</v>
      </c>
      <c r="G282" s="2" t="s">
        <v>8662</v>
      </c>
      <c r="H282" s="2" t="e">
        <f aca="false">VLOOKUP(A282,'[1]NE red list'!A$1:H$1048576,5,FALSE())</f>
        <v>#N/A</v>
      </c>
      <c r="I282" s="2" t="s">
        <v>8714</v>
      </c>
      <c r="J282" s="2" t="s">
        <v>9673</v>
      </c>
      <c r="K282" s="2" t="s">
        <v>9019</v>
      </c>
      <c r="L282" s="2" t="s">
        <v>8677</v>
      </c>
      <c r="N282" s="2" t="str">
        <f aca="false">_xlfn.CONCAT(Q282," ",R282," ",S282)</f>
        <v>woodland  </v>
      </c>
      <c r="O282" s="2"/>
      <c r="P282" s="2"/>
      <c r="Q282" s="2" t="s">
        <v>16</v>
      </c>
      <c r="T282" s="2"/>
      <c r="U282" s="2" t="s">
        <v>8570</v>
      </c>
      <c r="AS282" s="2"/>
      <c r="AV282" s="11"/>
      <c r="AX282" s="4" t="s">
        <v>8607</v>
      </c>
      <c r="BI282" s="2" t="s">
        <v>8590</v>
      </c>
      <c r="BL282" s="2" t="s">
        <v>8591</v>
      </c>
      <c r="BO282" s="2"/>
      <c r="MJM282" s="2"/>
    </row>
    <row r="283" customFormat="false" ht="19.5" hidden="false" customHeight="true" outlineLevel="0" collapsed="false">
      <c r="A283" s="2" t="s">
        <v>9674</v>
      </c>
      <c r="C283" s="2" t="str">
        <f aca="false">_xlfn.CONCAT(A283, " ","(",B283,")")</f>
        <v>Gyrophaena rousi ()</v>
      </c>
      <c r="D283" s="2" t="s">
        <v>8580</v>
      </c>
      <c r="E283" s="2" t="s">
        <v>8581</v>
      </c>
      <c r="F283" s="2" t="s">
        <v>8652</v>
      </c>
      <c r="H283" s="2" t="e">
        <f aca="false">VLOOKUP(A283,'[1]NE red list'!A$1:H$1048576,5,FALSE())</f>
        <v>#N/A</v>
      </c>
      <c r="I283" s="2" t="s">
        <v>8610</v>
      </c>
      <c r="J283" s="2" t="s">
        <v>9675</v>
      </c>
      <c r="K283" s="2" t="s">
        <v>8585</v>
      </c>
      <c r="L283" s="2" t="s">
        <v>8677</v>
      </c>
      <c r="N283" s="2" t="str">
        <f aca="false">_xlfn.CONCAT(Q283," ",R283," ",S283)</f>
        <v>woodland  </v>
      </c>
      <c r="O283" s="2" t="s">
        <v>14</v>
      </c>
      <c r="P283" s="2"/>
      <c r="Q283" s="2" t="s">
        <v>16</v>
      </c>
      <c r="T283" s="2"/>
      <c r="U283" s="2" t="s">
        <v>8570</v>
      </c>
      <c r="AS283" s="2"/>
      <c r="AV283" s="11"/>
      <c r="AX283" s="4" t="s">
        <v>8585</v>
      </c>
      <c r="AY283" s="12" t="s">
        <v>8585</v>
      </c>
      <c r="BI283" s="2" t="s">
        <v>8590</v>
      </c>
      <c r="BL283" s="2" t="s">
        <v>8591</v>
      </c>
      <c r="BO283" s="2"/>
      <c r="MJM283" s="2"/>
    </row>
    <row r="284" customFormat="false" ht="19.5" hidden="false" customHeight="true" outlineLevel="0" collapsed="false">
      <c r="A284" s="2" t="s">
        <v>9676</v>
      </c>
      <c r="C284" s="2" t="str">
        <f aca="false">_xlfn.CONCAT(A284, " ","(",B284,")")</f>
        <v>Prionychus melanarius ()</v>
      </c>
      <c r="D284" s="2" t="s">
        <v>8580</v>
      </c>
      <c r="E284" s="2" t="s">
        <v>8581</v>
      </c>
      <c r="F284" s="30" t="s">
        <v>9239</v>
      </c>
      <c r="G284" s="2" t="s">
        <v>8583</v>
      </c>
      <c r="H284" s="2" t="str">
        <f aca="false">VLOOKUP(A284,'[1]NE red list'!A$1:H$1048576,5,FALSE())</f>
        <v>LC</v>
      </c>
      <c r="I284" s="2" t="s">
        <v>8610</v>
      </c>
      <c r="J284" s="2" t="s">
        <v>9677</v>
      </c>
      <c r="L284" s="2" t="s">
        <v>8586</v>
      </c>
      <c r="N284" s="2" t="str">
        <f aca="false">_xlfn.CONCAT(Q284," ",R284," ",S284)</f>
        <v>woodland parkland </v>
      </c>
      <c r="O284" s="3" t="s">
        <v>14</v>
      </c>
      <c r="P284" s="2" t="s">
        <v>8587</v>
      </c>
      <c r="Q284" s="2" t="s">
        <v>16</v>
      </c>
      <c r="R284" s="2" t="s">
        <v>8568</v>
      </c>
      <c r="T284" s="2"/>
      <c r="U284" s="2" t="s">
        <v>8570</v>
      </c>
      <c r="V284" s="2" t="s">
        <v>8745</v>
      </c>
      <c r="W284" s="2" t="s">
        <v>8571</v>
      </c>
      <c r="Z284" s="2" t="s">
        <v>8614</v>
      </c>
      <c r="AA284" s="4" t="s">
        <v>26</v>
      </c>
      <c r="AD284" s="6" t="s">
        <v>8615</v>
      </c>
      <c r="AF284" s="6" t="s">
        <v>8616</v>
      </c>
      <c r="AG284" s="7" t="s">
        <v>8575</v>
      </c>
      <c r="AI284" s="7" t="s">
        <v>8617</v>
      </c>
      <c r="AL284" s="7" t="s">
        <v>8628</v>
      </c>
      <c r="AM284" s="4" t="s">
        <v>8657</v>
      </c>
      <c r="AN284" s="8" t="s">
        <v>8734</v>
      </c>
      <c r="AO284" s="8" t="s">
        <v>40</v>
      </c>
      <c r="AQ284" s="8" t="s">
        <v>42</v>
      </c>
      <c r="AS284" s="2"/>
      <c r="AV284" s="11"/>
      <c r="BI284" s="2" t="s">
        <v>8590</v>
      </c>
      <c r="BL284" s="2" t="s">
        <v>8591</v>
      </c>
      <c r="BM284" s="2" t="s">
        <v>8619</v>
      </c>
      <c r="BO284" s="2"/>
      <c r="MJM284" s="2"/>
    </row>
    <row r="285" customFormat="false" ht="19.5" hidden="false" customHeight="true" outlineLevel="0" collapsed="false">
      <c r="A285" s="2" t="s">
        <v>9678</v>
      </c>
      <c r="C285" s="2" t="str">
        <f aca="false">_xlfn.CONCAT(A285, " ","(",B285,")")</f>
        <v>Hadrobregmus denticollis ()</v>
      </c>
      <c r="D285" s="2" t="s">
        <v>8580</v>
      </c>
      <c r="E285" s="2" t="s">
        <v>8581</v>
      </c>
      <c r="F285" s="2" t="s">
        <v>8818</v>
      </c>
      <c r="G285" s="2" t="s">
        <v>8583</v>
      </c>
      <c r="H285" s="2" t="str">
        <f aca="false">VLOOKUP(A285,'[1]NE red list'!A$1:H$1048576,5,FALSE())</f>
        <v>LC</v>
      </c>
      <c r="I285" s="2" t="s">
        <v>8610</v>
      </c>
      <c r="J285" s="2" t="s">
        <v>9679</v>
      </c>
      <c r="K285" s="2" t="s">
        <v>9680</v>
      </c>
      <c r="L285" s="2" t="s">
        <v>8836</v>
      </c>
      <c r="N285" s="2" t="str">
        <f aca="false">_xlfn.CONCAT(Q285," ",R285," ",S285)</f>
        <v> parkland </v>
      </c>
      <c r="O285" s="3" t="s">
        <v>14</v>
      </c>
      <c r="P285" s="2"/>
      <c r="R285" s="2" t="s">
        <v>8568</v>
      </c>
      <c r="T285" s="2"/>
      <c r="U285" s="2" t="s">
        <v>8570</v>
      </c>
      <c r="V285" s="2" t="s">
        <v>9681</v>
      </c>
      <c r="W285" s="2" t="s">
        <v>8571</v>
      </c>
      <c r="X285" s="2" t="s">
        <v>8589</v>
      </c>
      <c r="Z285" s="2" t="s">
        <v>8574</v>
      </c>
      <c r="AG285" s="7" t="s">
        <v>8575</v>
      </c>
      <c r="AI285" s="7" t="s">
        <v>8617</v>
      </c>
      <c r="AJ285" s="7" t="s">
        <v>8612</v>
      </c>
      <c r="AS285" s="2"/>
      <c r="AV285" s="11"/>
      <c r="BI285" s="2" t="s">
        <v>8590</v>
      </c>
      <c r="BJ285" s="2" t="s">
        <v>8747</v>
      </c>
      <c r="BL285" s="2" t="s">
        <v>8591</v>
      </c>
      <c r="BO285" s="2"/>
      <c r="MJM285" s="2"/>
    </row>
    <row r="286" customFormat="false" ht="19.5" hidden="false" customHeight="true" outlineLevel="0" collapsed="false">
      <c r="A286" s="2" t="s">
        <v>9682</v>
      </c>
      <c r="C286" s="2" t="str">
        <f aca="false">_xlfn.CONCAT(A286, " ","(",B286,")")</f>
        <v>Hallomenus binotatus ()</v>
      </c>
      <c r="D286" s="2" t="s">
        <v>8580</v>
      </c>
      <c r="E286" s="2" t="s">
        <v>8581</v>
      </c>
      <c r="F286" s="2" t="s">
        <v>9683</v>
      </c>
      <c r="G286" s="2" t="s">
        <v>8583</v>
      </c>
      <c r="H286" s="2" t="e">
        <f aca="false">VLOOKUP(A286,'[1]NE red list'!A$1:H$1048576,5,FALSE())</f>
        <v>#N/A</v>
      </c>
      <c r="I286" s="2" t="s">
        <v>8564</v>
      </c>
      <c r="J286" s="2" t="s">
        <v>9684</v>
      </c>
      <c r="K286" s="2" t="s">
        <v>8585</v>
      </c>
      <c r="L286" s="2" t="s">
        <v>8677</v>
      </c>
      <c r="N286" s="2" t="str">
        <f aca="false">_xlfn.CONCAT(Q286," ",R286," ",S286)</f>
        <v> parkland </v>
      </c>
      <c r="O286" s="3" t="s">
        <v>14</v>
      </c>
      <c r="P286" s="2" t="s">
        <v>8587</v>
      </c>
      <c r="R286" s="2" t="s">
        <v>8568</v>
      </c>
      <c r="T286" s="2"/>
      <c r="U286" s="2" t="s">
        <v>8605</v>
      </c>
      <c r="V286" s="2" t="s">
        <v>9685</v>
      </c>
      <c r="W286" s="2" t="s">
        <v>8567</v>
      </c>
      <c r="AS286" s="2"/>
      <c r="AV286" s="11"/>
      <c r="AX286" s="4" t="s">
        <v>8585</v>
      </c>
      <c r="AY286" s="12" t="s">
        <v>8585</v>
      </c>
      <c r="BI286" s="2" t="s">
        <v>8590</v>
      </c>
      <c r="BJ286" s="2" t="s">
        <v>8747</v>
      </c>
      <c r="BL286" s="2" t="s">
        <v>8591</v>
      </c>
      <c r="BO286" s="2"/>
      <c r="MJM286" s="2"/>
    </row>
    <row r="287" customFormat="false" ht="19.5" hidden="false" customHeight="true" outlineLevel="0" collapsed="false">
      <c r="A287" s="2" t="s">
        <v>9686</v>
      </c>
      <c r="C287" s="2" t="str">
        <f aca="false">_xlfn.CONCAT(A287, " ","(",B287,")")</f>
        <v>Hapalaraea pygmaea ()</v>
      </c>
      <c r="D287" s="2" t="s">
        <v>8580</v>
      </c>
      <c r="E287" s="2" t="s">
        <v>8581</v>
      </c>
      <c r="F287" s="2" t="s">
        <v>8652</v>
      </c>
      <c r="H287" s="2" t="e">
        <f aca="false">VLOOKUP(A287,'[1]NE red list'!A$1:H$1048576,5,FALSE())</f>
        <v>#N/A</v>
      </c>
      <c r="I287" s="2" t="s">
        <v>8645</v>
      </c>
      <c r="J287" s="2" t="s">
        <v>9687</v>
      </c>
      <c r="K287" s="2" t="s">
        <v>8585</v>
      </c>
      <c r="L287" s="2" t="s">
        <v>8836</v>
      </c>
      <c r="N287" s="2" t="str">
        <f aca="false">_xlfn.CONCAT(Q287," ",R287," ",S287)</f>
        <v>woodland  </v>
      </c>
      <c r="O287" s="2"/>
      <c r="P287" s="2" t="s">
        <v>8567</v>
      </c>
      <c r="Q287" s="2" t="s">
        <v>16</v>
      </c>
      <c r="T287" s="2"/>
      <c r="U287" s="2" t="s">
        <v>8570</v>
      </c>
      <c r="W287" s="2" t="s">
        <v>8567</v>
      </c>
      <c r="AC287" s="55"/>
      <c r="AS287" s="2"/>
      <c r="AU287" s="4" t="s">
        <v>8639</v>
      </c>
      <c r="AV287" s="10" t="s">
        <v>8990</v>
      </c>
      <c r="AX287" s="4" t="s">
        <v>8585</v>
      </c>
      <c r="AY287" s="12" t="s">
        <v>8585</v>
      </c>
      <c r="BI287" s="2" t="s">
        <v>8590</v>
      </c>
      <c r="BJ287" s="2" t="s">
        <v>8630</v>
      </c>
      <c r="BL287" s="2" t="s">
        <v>8591</v>
      </c>
      <c r="BO287" s="2"/>
      <c r="MJM287" s="2"/>
    </row>
    <row r="288" s="32" customFormat="true" ht="19.5" hidden="false" customHeight="true" outlineLevel="0" collapsed="false">
      <c r="A288" s="2" t="s">
        <v>9688</v>
      </c>
      <c r="B288" s="2"/>
      <c r="C288" s="2" t="str">
        <f aca="false">_xlfn.CONCAT(A288, " ","(",B288,")")</f>
        <v>Oxypoda vittata ()</v>
      </c>
      <c r="D288" s="2" t="s">
        <v>8580</v>
      </c>
      <c r="E288" s="2" t="s">
        <v>8581</v>
      </c>
      <c r="F288" s="2" t="s">
        <v>8652</v>
      </c>
      <c r="G288" s="2" t="s">
        <v>8737</v>
      </c>
      <c r="H288" s="2" t="e">
        <f aca="false">VLOOKUP(A288,'[1]NE red list'!A$1:H$1048576,5,FALSE())</f>
        <v>#N/A</v>
      </c>
      <c r="I288" s="2" t="s">
        <v>8645</v>
      </c>
      <c r="J288" s="2" t="s">
        <v>9689</v>
      </c>
      <c r="K288" s="2"/>
      <c r="L288" s="2" t="s">
        <v>8677</v>
      </c>
      <c r="M288" s="2"/>
      <c r="N288" s="2" t="str">
        <f aca="false">_xlfn.CONCAT(Q288," ",R288," ",S288)</f>
        <v>woodland  </v>
      </c>
      <c r="O288" s="2" t="s">
        <v>14</v>
      </c>
      <c r="P288" s="2"/>
      <c r="Q288" s="2" t="s">
        <v>16</v>
      </c>
      <c r="R288" s="2"/>
      <c r="S288" s="2"/>
      <c r="T288" s="2"/>
      <c r="U288" s="2" t="s">
        <v>8570</v>
      </c>
      <c r="V288" s="2" t="s">
        <v>8745</v>
      </c>
      <c r="W288" s="2"/>
      <c r="X288" s="2"/>
      <c r="Y288" s="2"/>
      <c r="Z288" s="2"/>
      <c r="AA288" s="4"/>
      <c r="AB288" s="5"/>
      <c r="AC288" s="6"/>
      <c r="AD288" s="6"/>
      <c r="AE288" s="6"/>
      <c r="AF288" s="6"/>
      <c r="AG288" s="7"/>
      <c r="AH288" s="7"/>
      <c r="AI288" s="7"/>
      <c r="AJ288" s="7"/>
      <c r="AK288" s="7"/>
      <c r="AL288" s="7"/>
      <c r="AM288" s="4"/>
      <c r="AN288" s="8"/>
      <c r="AO288" s="8"/>
      <c r="AP288" s="8"/>
      <c r="AQ288" s="8"/>
      <c r="AR288" s="8"/>
      <c r="AS288" s="2"/>
      <c r="AT288" s="2"/>
      <c r="AU288" s="4" t="s">
        <v>8639</v>
      </c>
      <c r="AV288" s="10" t="s">
        <v>8664</v>
      </c>
      <c r="AW288" s="11"/>
      <c r="AX288" s="4"/>
      <c r="AY288" s="12"/>
      <c r="AZ288" s="12"/>
      <c r="BA288" s="2"/>
      <c r="BB288" s="2"/>
      <c r="BC288" s="2"/>
      <c r="BD288" s="2"/>
      <c r="BE288" s="2"/>
      <c r="BF288" s="2"/>
      <c r="BG288" s="2"/>
      <c r="BH288" s="2"/>
      <c r="BI288" s="2" t="s">
        <v>8590</v>
      </c>
      <c r="BJ288" s="2" t="s">
        <v>8630</v>
      </c>
      <c r="BK288" s="2"/>
      <c r="BL288" s="2" t="s">
        <v>8591</v>
      </c>
      <c r="BM288" s="2"/>
      <c r="BN288" s="2"/>
    </row>
    <row r="289" s="57" customFormat="true" ht="19.5" hidden="false" customHeight="true" outlineLevel="0" collapsed="false">
      <c r="A289" s="2" t="s">
        <v>9690</v>
      </c>
      <c r="B289" s="2"/>
      <c r="C289" s="2" t="str">
        <f aca="false">_xlfn.CONCAT(A289, " ","(",B289,")")</f>
        <v>Haplotinea insectella
 ()</v>
      </c>
      <c r="D289" s="2" t="s">
        <v>8580</v>
      </c>
      <c r="E289" s="2" t="s">
        <v>8722</v>
      </c>
      <c r="F289" s="2" t="s">
        <v>8873</v>
      </c>
      <c r="G289" s="2"/>
      <c r="H289" s="2" t="e">
        <f aca="false">VLOOKUP(A289,'[1]NE red list'!A$1:H$1048576,5,FALSE())</f>
        <v>#N/A</v>
      </c>
      <c r="I289" s="2" t="s">
        <v>9006</v>
      </c>
      <c r="J289" s="2" t="s">
        <v>9691</v>
      </c>
      <c r="K289" s="2"/>
      <c r="L289" s="2" t="s">
        <v>8586</v>
      </c>
      <c r="M289" s="33"/>
      <c r="N289" s="2" t="str">
        <f aca="false">_xlfn.CONCAT(Q289," ",R289," ",S289)</f>
        <v>woodland parkland ToW</v>
      </c>
      <c r="O289" s="2" t="s">
        <v>14</v>
      </c>
      <c r="P289" s="2"/>
      <c r="Q289" s="3" t="s">
        <v>16</v>
      </c>
      <c r="R289" s="2" t="s">
        <v>8568</v>
      </c>
      <c r="S289" s="2" t="s">
        <v>18</v>
      </c>
      <c r="T289" s="3"/>
      <c r="U289" s="2" t="s">
        <v>8570</v>
      </c>
      <c r="V289" s="2"/>
      <c r="W289" s="2"/>
      <c r="X289" s="2"/>
      <c r="Y289" s="2"/>
      <c r="Z289" s="2" t="s">
        <v>8574</v>
      </c>
      <c r="AA289" s="4" t="s">
        <v>26</v>
      </c>
      <c r="AB289" s="5"/>
      <c r="AC289" s="6"/>
      <c r="AD289" s="6"/>
      <c r="AE289" s="6"/>
      <c r="AF289" s="6" t="s">
        <v>8616</v>
      </c>
      <c r="AG289" s="7"/>
      <c r="AH289" s="7"/>
      <c r="AI289" s="7"/>
      <c r="AJ289" s="7"/>
      <c r="AK289" s="7"/>
      <c r="AL289" s="7"/>
      <c r="AM289" s="4"/>
      <c r="AN289" s="8"/>
      <c r="AO289" s="8"/>
      <c r="AP289" s="8"/>
      <c r="AQ289" s="8"/>
      <c r="AR289" s="8"/>
      <c r="AS289" s="2"/>
      <c r="AT289" s="2"/>
      <c r="AU289" s="4"/>
      <c r="AV289" s="11"/>
      <c r="AW289" s="11"/>
      <c r="AX289" s="4" t="s">
        <v>8607</v>
      </c>
      <c r="AY289" s="12"/>
      <c r="AZ289" s="12"/>
      <c r="BA289" s="2"/>
      <c r="BB289" s="2"/>
      <c r="BC289" s="2"/>
      <c r="BD289" s="2"/>
      <c r="BE289" s="2"/>
      <c r="BF289" s="2"/>
      <c r="BG289" s="2"/>
      <c r="BH289" s="2"/>
      <c r="BI289" s="2"/>
      <c r="BJ289" s="2"/>
      <c r="BK289" s="2"/>
      <c r="BL289" s="2"/>
      <c r="BM289" s="2"/>
    </row>
    <row r="290" customFormat="false" ht="19.5" hidden="false" customHeight="true" outlineLevel="0" collapsed="false">
      <c r="A290" s="2" t="s">
        <v>9692</v>
      </c>
      <c r="C290" s="2" t="str">
        <f aca="false">_xlfn.CONCAT(A290, " ","(",B290,")")</f>
        <v>Harpella forficella
 ()</v>
      </c>
      <c r="D290" s="2" t="s">
        <v>8580</v>
      </c>
      <c r="E290" s="2" t="s">
        <v>8722</v>
      </c>
      <c r="F290" s="2" t="s">
        <v>8855</v>
      </c>
      <c r="G290" s="2" t="s">
        <v>8883</v>
      </c>
      <c r="H290" s="2" t="e">
        <f aca="false">VLOOKUP(A290,'[1]NE red list'!A$1:H$1048576,5,FALSE())</f>
        <v>#N/A</v>
      </c>
      <c r="I290" s="2" t="s">
        <v>8564</v>
      </c>
      <c r="J290" s="33" t="s">
        <v>9693</v>
      </c>
      <c r="L290" s="2" t="s">
        <v>8586</v>
      </c>
      <c r="M290" s="33"/>
      <c r="N290" s="2" t="str">
        <f aca="false">_xlfn.CONCAT(Q290," ",R290," ",S290)</f>
        <v>woodland parkland ToW</v>
      </c>
      <c r="O290" s="2" t="s">
        <v>14</v>
      </c>
      <c r="P290" s="2"/>
      <c r="Q290" s="3" t="s">
        <v>16</v>
      </c>
      <c r="R290" s="2" t="s">
        <v>8568</v>
      </c>
      <c r="S290" s="2" t="s">
        <v>18</v>
      </c>
      <c r="U290" s="2" t="s">
        <v>8570</v>
      </c>
      <c r="V290" s="2" t="s">
        <v>9694</v>
      </c>
      <c r="Y290" s="2" t="s">
        <v>9695</v>
      </c>
      <c r="Z290" s="2" t="s">
        <v>8574</v>
      </c>
      <c r="AM290" s="4" t="s">
        <v>8657</v>
      </c>
      <c r="AO290" s="8" t="s">
        <v>40</v>
      </c>
      <c r="AQ290" s="8" t="s">
        <v>42</v>
      </c>
      <c r="AS290" s="2"/>
      <c r="AV290" s="11"/>
      <c r="AX290" s="4" t="s">
        <v>8607</v>
      </c>
      <c r="AY290" s="12" t="s">
        <v>8585</v>
      </c>
      <c r="BO290" s="2"/>
      <c r="MJM290" s="2"/>
    </row>
    <row r="291" customFormat="false" ht="19.5" hidden="false" customHeight="true" outlineLevel="0" collapsed="false">
      <c r="A291" s="2" t="s">
        <v>9696</v>
      </c>
      <c r="C291" s="2" t="str">
        <f aca="false">_xlfn.CONCAT(A291, " ","(",B291,")")</f>
        <v>Helicigona lapicida lapicida  ()</v>
      </c>
      <c r="D291" s="2" t="s">
        <v>8728</v>
      </c>
      <c r="E291" s="2" t="s">
        <v>9697</v>
      </c>
      <c r="F291" s="2" t="s">
        <v>9698</v>
      </c>
      <c r="H291" s="2" t="e">
        <f aca="false">VLOOKUP(A291,'[1]NE red list'!A$1:H$1048576,5,FALSE())</f>
        <v>#N/A</v>
      </c>
      <c r="I291" s="2" t="s">
        <v>8610</v>
      </c>
      <c r="J291" s="33" t="s">
        <v>9699</v>
      </c>
      <c r="L291" s="2" t="s">
        <v>8648</v>
      </c>
      <c r="N291" s="2" t="str">
        <f aca="false">_xlfn.CONCAT(Q291," ",R291," ",S291)</f>
        <v>woodland parkland </v>
      </c>
      <c r="O291" s="3" t="s">
        <v>14</v>
      </c>
      <c r="P291" s="2"/>
      <c r="Q291" s="2" t="s">
        <v>16</v>
      </c>
      <c r="R291" s="2" t="s">
        <v>8568</v>
      </c>
      <c r="T291" s="2"/>
      <c r="U291" s="2" t="s">
        <v>8570</v>
      </c>
      <c r="V291" s="2" t="s">
        <v>9700</v>
      </c>
      <c r="X291" s="2" t="s">
        <v>8589</v>
      </c>
      <c r="AM291" s="4" t="s">
        <v>8657</v>
      </c>
      <c r="AN291" s="8" t="s">
        <v>8858</v>
      </c>
      <c r="AQ291" s="8" t="s">
        <v>42</v>
      </c>
      <c r="AR291" s="8" t="s">
        <v>43</v>
      </c>
      <c r="AS291" s="2"/>
      <c r="AU291" s="4" t="s">
        <v>8639</v>
      </c>
      <c r="AV291" s="11"/>
      <c r="AW291" s="11" t="s">
        <v>8640</v>
      </c>
      <c r="BD291" s="2" t="s">
        <v>8629</v>
      </c>
      <c r="BL291" s="2" t="s">
        <v>8591</v>
      </c>
      <c r="BO291" s="2"/>
      <c r="MJM291" s="2"/>
    </row>
    <row r="292" customFormat="false" ht="19.5" hidden="false" customHeight="true" outlineLevel="0" collapsed="false">
      <c r="A292" s="2" t="s">
        <v>9701</v>
      </c>
      <c r="C292" s="2" t="str">
        <f aca="false">_xlfn.CONCAT(A292, " ","(",B292,")")</f>
        <v>Helops caeruleus ()</v>
      </c>
      <c r="D292" s="2" t="s">
        <v>8580</v>
      </c>
      <c r="E292" s="2" t="s">
        <v>8581</v>
      </c>
      <c r="F292" s="2" t="s">
        <v>9239</v>
      </c>
      <c r="G292" s="2" t="s">
        <v>8583</v>
      </c>
      <c r="H292" s="2" t="str">
        <f aca="false">VLOOKUP(A292,'[1]NE red list'!A$1:H$1048576,5,FALSE())</f>
        <v>LC</v>
      </c>
      <c r="I292" s="2" t="s">
        <v>8945</v>
      </c>
      <c r="J292" s="2" t="s">
        <v>9702</v>
      </c>
      <c r="L292" s="2" t="s">
        <v>8836</v>
      </c>
      <c r="N292" s="2" t="str">
        <f aca="false">_xlfn.CONCAT(Q292," ",R292," ",S292)</f>
        <v> parkland </v>
      </c>
      <c r="O292" s="3" t="s">
        <v>14</v>
      </c>
      <c r="P292" s="2" t="s">
        <v>8587</v>
      </c>
      <c r="R292" s="2" t="s">
        <v>8568</v>
      </c>
      <c r="T292" s="2"/>
      <c r="U292" s="2" t="s">
        <v>8605</v>
      </c>
      <c r="V292" s="2" t="s">
        <v>8848</v>
      </c>
      <c r="W292" s="2" t="s">
        <v>8571</v>
      </c>
      <c r="Z292" s="2" t="s">
        <v>8614</v>
      </c>
      <c r="AG292" s="7" t="s">
        <v>8575</v>
      </c>
      <c r="AI292" s="7" t="s">
        <v>8617</v>
      </c>
      <c r="AJ292" s="7" t="s">
        <v>8612</v>
      </c>
      <c r="AS292" s="2"/>
      <c r="AV292" s="11"/>
      <c r="BI292" s="2" t="s">
        <v>8590</v>
      </c>
      <c r="BJ292" s="2" t="s">
        <v>8601</v>
      </c>
      <c r="BL292" s="2" t="s">
        <v>8591</v>
      </c>
      <c r="BO292" s="2"/>
      <c r="MJM292" s="2"/>
    </row>
    <row r="293" customFormat="false" ht="19.5" hidden="false" customHeight="true" outlineLevel="0" collapsed="false">
      <c r="A293" s="2" t="s">
        <v>9703</v>
      </c>
      <c r="C293" s="2" t="str">
        <f aca="false">_xlfn.CONCAT(A293, " ","(",B293,")")</f>
        <v>Henoticus serratus ()</v>
      </c>
      <c r="D293" s="2" t="s">
        <v>8580</v>
      </c>
      <c r="E293" s="2" t="s">
        <v>8581</v>
      </c>
      <c r="F293" s="2" t="s">
        <v>8929</v>
      </c>
      <c r="G293" s="2" t="s">
        <v>8737</v>
      </c>
      <c r="H293" s="2" t="e">
        <f aca="false">VLOOKUP(A293,'[1]NE red list'!A$1:H$1048576,5,FALSE())</f>
        <v>#N/A</v>
      </c>
      <c r="I293" s="2" t="s">
        <v>8645</v>
      </c>
      <c r="J293" s="2" t="s">
        <v>9704</v>
      </c>
      <c r="L293" s="2" t="s">
        <v>9225</v>
      </c>
      <c r="N293" s="2" t="str">
        <f aca="false">_xlfn.CONCAT(Q293," ",R293," ",S293)</f>
        <v>  ToW</v>
      </c>
      <c r="O293" s="2" t="s">
        <v>14</v>
      </c>
      <c r="P293" s="2"/>
      <c r="S293" s="2" t="s">
        <v>18</v>
      </c>
      <c r="T293" s="2"/>
      <c r="U293" s="2" t="s">
        <v>8605</v>
      </c>
      <c r="Z293" s="2" t="s">
        <v>8574</v>
      </c>
      <c r="AG293" s="7" t="s">
        <v>8824</v>
      </c>
      <c r="AN293" s="8" t="s">
        <v>8852</v>
      </c>
      <c r="AS293" s="2"/>
      <c r="AV293" s="11"/>
      <c r="AX293" s="4" t="s">
        <v>8607</v>
      </c>
      <c r="BB293" s="2" t="s">
        <v>8618</v>
      </c>
      <c r="BD293" s="2" t="s">
        <v>9046</v>
      </c>
      <c r="BI293" s="2" t="s">
        <v>8590</v>
      </c>
      <c r="BJ293" s="2" t="s">
        <v>8630</v>
      </c>
      <c r="BL293" s="2" t="s">
        <v>8591</v>
      </c>
      <c r="BO293" s="2"/>
      <c r="MJM293" s="2"/>
    </row>
    <row r="294" customFormat="false" ht="19.5" hidden="false" customHeight="true" outlineLevel="0" collapsed="false">
      <c r="A294" s="2" t="s">
        <v>9705</v>
      </c>
      <c r="C294" s="2" t="str">
        <f aca="false">_xlfn.CONCAT(A294, " ","(",B294,")")</f>
        <v>Hercostomus nigrilamellatus ()</v>
      </c>
      <c r="D294" s="2" t="s">
        <v>8580</v>
      </c>
      <c r="E294" s="2" t="s">
        <v>8687</v>
      </c>
      <c r="F294" s="2" t="s">
        <v>9706</v>
      </c>
      <c r="G294" s="2" t="s">
        <v>8583</v>
      </c>
      <c r="H294" s="2" t="str">
        <f aca="false">VLOOKUP(A294,'[1]NE red list'!A$1:H$1048576,5,FALSE())</f>
        <v>LC</v>
      </c>
      <c r="I294" s="2" t="s">
        <v>8564</v>
      </c>
      <c r="J294" s="2" t="s">
        <v>9707</v>
      </c>
      <c r="L294" s="2" t="s">
        <v>8836</v>
      </c>
      <c r="N294" s="2" t="str">
        <f aca="false">_xlfn.CONCAT(Q294," ",R294," ",S294)</f>
        <v> parkland </v>
      </c>
      <c r="O294" s="3" t="s">
        <v>14</v>
      </c>
      <c r="P294" s="2"/>
      <c r="R294" s="2" t="s">
        <v>8568</v>
      </c>
      <c r="T294" s="2"/>
      <c r="U294" s="2" t="s">
        <v>8570</v>
      </c>
      <c r="V294" s="2" t="s">
        <v>9708</v>
      </c>
      <c r="W294" s="2" t="s">
        <v>8571</v>
      </c>
      <c r="X294" s="2" t="s">
        <v>8589</v>
      </c>
      <c r="AA294" s="4" t="s">
        <v>26</v>
      </c>
      <c r="AD294" s="6" t="s">
        <v>8615</v>
      </c>
      <c r="AG294" s="7" t="s">
        <v>8575</v>
      </c>
      <c r="AI294" s="7" t="s">
        <v>8617</v>
      </c>
      <c r="AL294" s="7" t="s">
        <v>8628</v>
      </c>
      <c r="AS294" s="2"/>
      <c r="AV294" s="11"/>
      <c r="BI294" s="2" t="s">
        <v>8590</v>
      </c>
      <c r="BL294" s="2" t="s">
        <v>8591</v>
      </c>
      <c r="BO294" s="2"/>
      <c r="MJM294" s="2"/>
    </row>
    <row r="295" customFormat="false" ht="19.5" hidden="false" customHeight="true" outlineLevel="0" collapsed="false">
      <c r="A295" s="2" t="s">
        <v>9709</v>
      </c>
      <c r="C295" s="2" t="str">
        <f aca="false">_xlfn.CONCAT(A295, " ","(",B295,")")</f>
        <v>Homalota plana ()</v>
      </c>
      <c r="D295" s="2" t="s">
        <v>8580</v>
      </c>
      <c r="E295" s="2" t="s">
        <v>8581</v>
      </c>
      <c r="F295" s="2" t="s">
        <v>8652</v>
      </c>
      <c r="H295" s="2" t="e">
        <f aca="false">VLOOKUP(A295,'[1]NE red list'!A$1:H$1048576,5,FALSE())</f>
        <v>#N/A</v>
      </c>
      <c r="I295" s="2" t="s">
        <v>8610</v>
      </c>
      <c r="J295" s="2" t="s">
        <v>9710</v>
      </c>
      <c r="L295" s="2" t="s">
        <v>8836</v>
      </c>
      <c r="N295" s="2" t="str">
        <f aca="false">_xlfn.CONCAT(Q295," ",R295," ",S295)</f>
        <v>woodland parkland </v>
      </c>
      <c r="O295" s="3" t="s">
        <v>14</v>
      </c>
      <c r="P295" s="2"/>
      <c r="Q295" s="2" t="s">
        <v>16</v>
      </c>
      <c r="R295" s="2" t="s">
        <v>8568</v>
      </c>
      <c r="T295" s="2"/>
      <c r="U295" s="2" t="s">
        <v>8570</v>
      </c>
      <c r="V295" s="2" t="s">
        <v>9038</v>
      </c>
      <c r="Z295" s="2" t="s">
        <v>8574</v>
      </c>
      <c r="AG295" s="7" t="s">
        <v>8824</v>
      </c>
      <c r="AM295" s="4" t="s">
        <v>8657</v>
      </c>
      <c r="AN295" s="8" t="s">
        <v>8734</v>
      </c>
      <c r="AO295" s="8" t="s">
        <v>40</v>
      </c>
      <c r="AQ295" s="8" t="s">
        <v>42</v>
      </c>
      <c r="AS295" s="2"/>
      <c r="AV295" s="11"/>
      <c r="BI295" s="2" t="s">
        <v>8590</v>
      </c>
      <c r="BL295" s="2" t="s">
        <v>8591</v>
      </c>
      <c r="BO295" s="2"/>
      <c r="MJM295" s="2"/>
    </row>
    <row r="296" customFormat="false" ht="19.5" hidden="false" customHeight="true" outlineLevel="0" collapsed="false">
      <c r="A296" s="2" t="s">
        <v>9711</v>
      </c>
      <c r="C296" s="2" t="str">
        <f aca="false">_xlfn.CONCAT(A296, " ","(",B296,")")</f>
        <v>Hylis cariniceps ()</v>
      </c>
      <c r="D296" s="2" t="s">
        <v>8580</v>
      </c>
      <c r="E296" s="2" t="s">
        <v>8581</v>
      </c>
      <c r="F296" s="2" t="s">
        <v>9626</v>
      </c>
      <c r="G296" s="2" t="s">
        <v>8662</v>
      </c>
      <c r="H296" s="2" t="e">
        <f aca="false">VLOOKUP(A296,'[1]NE red list'!A$1:H$1048576,5,FALSE())</f>
        <v>#N/A</v>
      </c>
      <c r="I296" s="2" t="s">
        <v>8610</v>
      </c>
      <c r="J296" s="2" t="s">
        <v>9712</v>
      </c>
      <c r="K296" s="2" t="s">
        <v>9483</v>
      </c>
      <c r="L296" s="2" t="s">
        <v>8836</v>
      </c>
      <c r="N296" s="2" t="str">
        <f aca="false">_xlfn.CONCAT(Q296," ",R296," ",S296)</f>
        <v>woodland parkland </v>
      </c>
      <c r="O296" s="3" t="s">
        <v>14</v>
      </c>
      <c r="P296" s="2" t="s">
        <v>8587</v>
      </c>
      <c r="Q296" s="2" t="s">
        <v>16</v>
      </c>
      <c r="R296" s="2" t="s">
        <v>8568</v>
      </c>
      <c r="T296" s="2"/>
      <c r="U296" s="2" t="s">
        <v>8570</v>
      </c>
      <c r="V296" s="2" t="s">
        <v>9038</v>
      </c>
      <c r="W296" s="2" t="s">
        <v>8567</v>
      </c>
      <c r="X296" s="2" t="s">
        <v>8625</v>
      </c>
      <c r="Z296" s="2" t="s">
        <v>8574</v>
      </c>
      <c r="AG296" s="7" t="s">
        <v>8575</v>
      </c>
      <c r="AI296" s="7" t="s">
        <v>8617</v>
      </c>
      <c r="AJ296" s="7" t="s">
        <v>8626</v>
      </c>
      <c r="AK296" s="7" t="s">
        <v>8627</v>
      </c>
      <c r="AS296" s="2"/>
      <c r="AV296" s="11"/>
      <c r="BD296" s="2" t="s">
        <v>8629</v>
      </c>
      <c r="BI296" s="2" t="s">
        <v>8590</v>
      </c>
      <c r="BL296" s="2" t="s">
        <v>8591</v>
      </c>
      <c r="BM296" s="2" t="s">
        <v>8619</v>
      </c>
      <c r="BO296" s="2"/>
      <c r="MJM296" s="2"/>
    </row>
    <row r="297" customFormat="false" ht="19.5" hidden="false" customHeight="true" outlineLevel="0" collapsed="false">
      <c r="A297" s="2" t="s">
        <v>9713</v>
      </c>
      <c r="C297" s="2" t="str">
        <f aca="false">_xlfn.CONCAT(A297, " ","(",B297,")")</f>
        <v>Hylis olexai ()</v>
      </c>
      <c r="D297" s="2" t="s">
        <v>8580</v>
      </c>
      <c r="E297" s="2" t="s">
        <v>8581</v>
      </c>
      <c r="F297" s="2" t="s">
        <v>9626</v>
      </c>
      <c r="G297" s="2" t="s">
        <v>8662</v>
      </c>
      <c r="H297" s="2" t="e">
        <f aca="false">VLOOKUP(A297,'[1]NE red list'!A$1:H$1048576,5,FALSE())</f>
        <v>#N/A</v>
      </c>
      <c r="I297" s="2" t="s">
        <v>8714</v>
      </c>
      <c r="J297" s="2" t="s">
        <v>9714</v>
      </c>
      <c r="K297" s="2" t="s">
        <v>9483</v>
      </c>
      <c r="L297" s="2" t="s">
        <v>8836</v>
      </c>
      <c r="N297" s="2" t="str">
        <f aca="false">_xlfn.CONCAT(Q297," ",R297," ",S297)</f>
        <v>woodland parkland </v>
      </c>
      <c r="O297" s="3" t="s">
        <v>14</v>
      </c>
      <c r="P297" s="2" t="s">
        <v>8587</v>
      </c>
      <c r="Q297" s="2" t="s">
        <v>16</v>
      </c>
      <c r="R297" s="2" t="s">
        <v>8568</v>
      </c>
      <c r="T297" s="2"/>
      <c r="U297" s="2" t="s">
        <v>8605</v>
      </c>
      <c r="V297" s="2" t="s">
        <v>9715</v>
      </c>
      <c r="W297" s="2" t="s">
        <v>8567</v>
      </c>
      <c r="X297" s="2" t="s">
        <v>8625</v>
      </c>
      <c r="Z297" s="2" t="s">
        <v>8614</v>
      </c>
      <c r="AG297" s="7" t="s">
        <v>8575</v>
      </c>
      <c r="AI297" s="7" t="s">
        <v>8617</v>
      </c>
      <c r="AK297" s="7" t="s">
        <v>8780</v>
      </c>
      <c r="AS297" s="2"/>
      <c r="AV297" s="11"/>
      <c r="BD297" s="2" t="s">
        <v>8629</v>
      </c>
      <c r="BI297" s="2" t="s">
        <v>8590</v>
      </c>
      <c r="BL297" s="2" t="s">
        <v>8591</v>
      </c>
      <c r="BM297" s="2" t="s">
        <v>8619</v>
      </c>
      <c r="BO297" s="2"/>
      <c r="MJM297" s="2"/>
    </row>
    <row r="298" s="8" customFormat="true" ht="19.5" hidden="false" customHeight="true" outlineLevel="0" collapsed="false">
      <c r="A298" s="2" t="s">
        <v>9716</v>
      </c>
      <c r="B298" s="2"/>
      <c r="C298" s="2" t="str">
        <f aca="false">_xlfn.CONCAT(A298, " ","(",B298,")")</f>
        <v>Pentaphyllus testaceus ()</v>
      </c>
      <c r="D298" s="2" t="s">
        <v>8580</v>
      </c>
      <c r="E298" s="2" t="s">
        <v>8581</v>
      </c>
      <c r="F298" s="2" t="s">
        <v>9239</v>
      </c>
      <c r="G298" s="2" t="s">
        <v>8633</v>
      </c>
      <c r="H298" s="2" t="str">
        <f aca="false">VLOOKUP(A298,'[1]NE red list'!A$1:H$1048576,5,FALSE())</f>
        <v>VU</v>
      </c>
      <c r="I298" s="2" t="s">
        <v>8714</v>
      </c>
      <c r="J298" s="2" t="s">
        <v>9717</v>
      </c>
      <c r="K298" s="2" t="s">
        <v>9718</v>
      </c>
      <c r="L298" s="2" t="s">
        <v>8677</v>
      </c>
      <c r="M298" s="2"/>
      <c r="N298" s="2" t="str">
        <f aca="false">_xlfn.CONCAT(Q298," ",R298," ",S298)</f>
        <v> parkland </v>
      </c>
      <c r="O298" s="3" t="s">
        <v>14</v>
      </c>
      <c r="P298" s="2"/>
      <c r="Q298" s="2"/>
      <c r="R298" s="2" t="s">
        <v>8568</v>
      </c>
      <c r="S298" s="2"/>
      <c r="T298" s="2"/>
      <c r="U298" s="2" t="s">
        <v>8570</v>
      </c>
      <c r="V298" s="2" t="s">
        <v>8745</v>
      </c>
      <c r="W298" s="2" t="s">
        <v>8571</v>
      </c>
      <c r="X298" s="2"/>
      <c r="Y298" s="2"/>
      <c r="Z298" s="2" t="s">
        <v>8614</v>
      </c>
      <c r="AA298" s="4"/>
      <c r="AB298" s="5"/>
      <c r="AC298" s="6"/>
      <c r="AD298" s="6"/>
      <c r="AE298" s="6"/>
      <c r="AF298" s="6"/>
      <c r="AG298" s="7" t="s">
        <v>8575</v>
      </c>
      <c r="AH298" s="7"/>
      <c r="AI298" s="7" t="s">
        <v>8617</v>
      </c>
      <c r="AJ298" s="7" t="s">
        <v>8612</v>
      </c>
      <c r="AK298" s="7"/>
      <c r="AL298" s="7"/>
      <c r="AM298" s="4"/>
      <c r="AN298" s="32"/>
      <c r="AO298" s="32"/>
      <c r="AP298" s="32"/>
      <c r="AQ298" s="32"/>
      <c r="AR298" s="32"/>
      <c r="AS298" s="2"/>
      <c r="AT298" s="32"/>
      <c r="AU298" s="4"/>
      <c r="AV298" s="11"/>
      <c r="AW298" s="11"/>
      <c r="AX298" s="4" t="s">
        <v>8607</v>
      </c>
      <c r="AY298" s="12" t="s">
        <v>8585</v>
      </c>
      <c r="AZ298" s="12"/>
      <c r="BA298" s="32"/>
      <c r="BB298" s="32"/>
      <c r="BC298" s="32"/>
      <c r="BD298" s="32"/>
      <c r="BE298" s="32"/>
      <c r="BF298" s="32"/>
      <c r="BG298" s="32"/>
      <c r="BH298" s="32"/>
      <c r="BI298" s="2" t="s">
        <v>8590</v>
      </c>
      <c r="BJ298" s="32" t="s">
        <v>8773</v>
      </c>
      <c r="BK298" s="32"/>
      <c r="BL298" s="32" t="s">
        <v>8591</v>
      </c>
      <c r="BM298" s="32" t="s">
        <v>8619</v>
      </c>
      <c r="BN298" s="32"/>
    </row>
    <row r="299" s="32" customFormat="true" ht="19.5" hidden="false" customHeight="true" outlineLevel="0" collapsed="false">
      <c r="A299" s="1" t="s">
        <v>9719</v>
      </c>
      <c r="B299" s="2" t="s">
        <v>8775</v>
      </c>
      <c r="C299" s="2" t="str">
        <f aca="false">_xlfn.CONCAT(A299, " ","(",B299,")")</f>
        <v>Megapenthes lugens (a click-beetle)</v>
      </c>
      <c r="D299" s="2" t="s">
        <v>8580</v>
      </c>
      <c r="E299" s="2" t="s">
        <v>8581</v>
      </c>
      <c r="F299" s="2" t="s">
        <v>8621</v>
      </c>
      <c r="G299" s="2" t="s">
        <v>8662</v>
      </c>
      <c r="H299" s="2" t="e">
        <f aca="false">VLOOKUP(A299,'[1]NE red list'!A$1:H$1048576,5,FALSE())</f>
        <v>#N/A</v>
      </c>
      <c r="I299" s="2" t="s">
        <v>8610</v>
      </c>
      <c r="J299" s="2" t="s">
        <v>9720</v>
      </c>
      <c r="K299" s="2" t="s">
        <v>9721</v>
      </c>
      <c r="L299" s="2" t="s">
        <v>8665</v>
      </c>
      <c r="M299" s="2"/>
      <c r="N299" s="2" t="str">
        <f aca="false">_xlfn.CONCAT(Q299," ",R299," ",S299)</f>
        <v> parkland </v>
      </c>
      <c r="O299" s="3" t="s">
        <v>14</v>
      </c>
      <c r="P299" s="2" t="s">
        <v>8587</v>
      </c>
      <c r="Q299" s="2"/>
      <c r="R299" s="2" t="s">
        <v>8568</v>
      </c>
      <c r="S299" s="2"/>
      <c r="T299" s="2"/>
      <c r="U299" s="2" t="s">
        <v>8570</v>
      </c>
      <c r="V299" s="2" t="s">
        <v>9589</v>
      </c>
      <c r="W299" s="2" t="s">
        <v>8571</v>
      </c>
      <c r="X299" s="2" t="s">
        <v>8625</v>
      </c>
      <c r="Y299" s="2"/>
      <c r="Z299" s="2" t="s">
        <v>8614</v>
      </c>
      <c r="AA299" s="4" t="s">
        <v>26</v>
      </c>
      <c r="AB299" s="5"/>
      <c r="AC299" s="6"/>
      <c r="AD299" s="6" t="s">
        <v>8615</v>
      </c>
      <c r="AE299" s="6"/>
      <c r="AF299" s="6" t="s">
        <v>8616</v>
      </c>
      <c r="AG299" s="7" t="s">
        <v>8575</v>
      </c>
      <c r="AH299" s="7"/>
      <c r="AI299" s="7" t="s">
        <v>8617</v>
      </c>
      <c r="AJ299" s="7"/>
      <c r="AK299" s="7" t="s">
        <v>8627</v>
      </c>
      <c r="AL299" s="7" t="s">
        <v>9077</v>
      </c>
      <c r="AM299" s="4"/>
      <c r="AS299" s="2"/>
      <c r="AU299" s="4"/>
      <c r="AV299" s="11"/>
      <c r="AW299" s="11"/>
      <c r="AX299" s="4"/>
      <c r="AY299" s="12"/>
      <c r="AZ299" s="12"/>
      <c r="BB299" s="32" t="s">
        <v>8618</v>
      </c>
      <c r="BD299" s="2" t="s">
        <v>8629</v>
      </c>
      <c r="BI299" s="2" t="s">
        <v>8590</v>
      </c>
      <c r="BL299" s="32" t="s">
        <v>8591</v>
      </c>
      <c r="BM299" s="32" t="s">
        <v>8619</v>
      </c>
    </row>
    <row r="300" customFormat="false" ht="19.5" hidden="false" customHeight="true" outlineLevel="0" collapsed="false">
      <c r="A300" s="1" t="s">
        <v>9722</v>
      </c>
      <c r="B300" s="2" t="s">
        <v>9723</v>
      </c>
      <c r="C300" s="2" t="str">
        <f aca="false">_xlfn.CONCAT(A300, " ","(",B300,")")</f>
        <v>Hypocreopsis lichenoides (Willow Gloves)</v>
      </c>
      <c r="D300" s="2" t="s">
        <v>9724</v>
      </c>
      <c r="E300" s="2" t="s">
        <v>9724</v>
      </c>
      <c r="F300" s="30" t="s">
        <v>9725</v>
      </c>
      <c r="G300" s="2" t="s">
        <v>8776</v>
      </c>
      <c r="H300" s="2" t="e">
        <f aca="false">VLOOKUP(A300,'[1]NE red list'!A$1:H$1048576,5,FALSE())</f>
        <v>#N/A</v>
      </c>
      <c r="I300" s="2" t="s">
        <v>9223</v>
      </c>
      <c r="J300" s="33" t="s">
        <v>9726</v>
      </c>
      <c r="K300" s="2" t="s">
        <v>9727</v>
      </c>
      <c r="N300" s="2" t="str">
        <f aca="false">_xlfn.CONCAT(Q300," ",R300," ",S300)</f>
        <v>woodland  </v>
      </c>
      <c r="O300" s="2" t="s">
        <v>14</v>
      </c>
      <c r="P300" s="2"/>
      <c r="Q300" s="2" t="s">
        <v>16</v>
      </c>
      <c r="T300" s="2" t="s">
        <v>9728</v>
      </c>
      <c r="U300" s="2" t="s">
        <v>8570</v>
      </c>
      <c r="V300" s="2" t="s">
        <v>9255</v>
      </c>
      <c r="X300" s="2" t="s">
        <v>8597</v>
      </c>
      <c r="Y300" s="2" t="s">
        <v>8573</v>
      </c>
      <c r="Z300" s="2" t="s">
        <v>8574</v>
      </c>
      <c r="AS300" s="2"/>
      <c r="AV300" s="11"/>
      <c r="AX300" s="4" t="s">
        <v>8607</v>
      </c>
      <c r="AY300" s="12" t="s">
        <v>8585</v>
      </c>
      <c r="BD300" s="2" t="s">
        <v>8629</v>
      </c>
      <c r="BL300" s="2" t="s">
        <v>8578</v>
      </c>
      <c r="BO300" s="2"/>
      <c r="MJM300" s="2"/>
    </row>
    <row r="301" customFormat="false" ht="19.5" hidden="false" customHeight="true" outlineLevel="0" collapsed="false">
      <c r="A301" s="1" t="s">
        <v>9729</v>
      </c>
      <c r="B301" s="2" t="s">
        <v>9730</v>
      </c>
      <c r="C301" s="2" t="str">
        <f aca="false">_xlfn.CONCAT(A301, " ","(",B301,")")</f>
        <v>Hypocreopsis rhododendri (Hazel Gloves)</v>
      </c>
      <c r="D301" s="2" t="s">
        <v>9724</v>
      </c>
      <c r="E301" s="2" t="s">
        <v>9724</v>
      </c>
      <c r="F301" s="30" t="s">
        <v>9725</v>
      </c>
      <c r="G301" s="2" t="s">
        <v>8776</v>
      </c>
      <c r="H301" s="2" t="e">
        <f aca="false">VLOOKUP(A301,'[1]NE red list'!A$1:H$1048576,5,FALSE())</f>
        <v>#N/A</v>
      </c>
      <c r="I301" s="2" t="s">
        <v>9731</v>
      </c>
      <c r="J301" s="33" t="s">
        <v>9732</v>
      </c>
      <c r="K301" s="2" t="s">
        <v>9733</v>
      </c>
      <c r="N301" s="2" t="str">
        <f aca="false">_xlfn.CONCAT(Q301," ",R301," ",S301)</f>
        <v>woodland  </v>
      </c>
      <c r="O301" s="2"/>
      <c r="P301" s="2"/>
      <c r="Q301" s="2" t="s">
        <v>16</v>
      </c>
      <c r="T301" s="2" t="s">
        <v>9728</v>
      </c>
      <c r="U301" s="2" t="s">
        <v>8570</v>
      </c>
      <c r="V301" s="2" t="s">
        <v>9734</v>
      </c>
      <c r="X301" s="2" t="s">
        <v>8625</v>
      </c>
      <c r="Y301" s="2" t="s">
        <v>8573</v>
      </c>
      <c r="Z301" s="2" t="s">
        <v>8574</v>
      </c>
      <c r="AS301" s="2"/>
      <c r="AV301" s="11"/>
      <c r="AX301" s="4" t="s">
        <v>8607</v>
      </c>
      <c r="BD301" s="2" t="s">
        <v>8629</v>
      </c>
      <c r="BL301" s="2" t="s">
        <v>8578</v>
      </c>
      <c r="BO301" s="2"/>
      <c r="MJM301" s="2"/>
    </row>
    <row r="302" s="63" customFormat="true" ht="19.5" hidden="false" customHeight="true" outlineLevel="0" collapsed="false">
      <c r="A302" s="73" t="s">
        <v>9735</v>
      </c>
      <c r="B302" s="63" t="s">
        <v>9736</v>
      </c>
      <c r="C302" s="63" t="str">
        <f aca="false">_xlfn.CONCAT(A302, " ","(",B302,")")</f>
        <v>Inonotus hispidus (Shaggy Bracket)</v>
      </c>
      <c r="D302" s="63" t="s">
        <v>9724</v>
      </c>
      <c r="E302" s="63" t="s">
        <v>9724</v>
      </c>
      <c r="F302" s="74" t="s">
        <v>9737</v>
      </c>
      <c r="G302" s="2" t="s">
        <v>8737</v>
      </c>
      <c r="H302" s="2" t="e">
        <f aca="false">VLOOKUP(A302,'[1]NE red list'!A$1:H$1048576,5,FALSE())</f>
        <v>#N/A</v>
      </c>
      <c r="I302" s="2" t="s">
        <v>8645</v>
      </c>
      <c r="J302" s="63" t="s">
        <v>9738</v>
      </c>
      <c r="K302" s="63" t="s">
        <v>9739</v>
      </c>
      <c r="L302" s="63" t="s">
        <v>9740</v>
      </c>
      <c r="N302" s="63" t="str">
        <f aca="false">_xlfn.CONCAT(Q302," ",R302," ",S302)</f>
        <v>woodland parkland ToW</v>
      </c>
      <c r="O302" s="63" t="s">
        <v>14</v>
      </c>
      <c r="Q302" s="63" t="s">
        <v>16</v>
      </c>
      <c r="R302" s="63" t="s">
        <v>8568</v>
      </c>
      <c r="S302" s="63" t="s">
        <v>18</v>
      </c>
      <c r="U302" s="63" t="s">
        <v>8570</v>
      </c>
      <c r="V302" s="63" t="s">
        <v>9741</v>
      </c>
      <c r="W302" s="63" t="s">
        <v>8567</v>
      </c>
      <c r="X302" s="63" t="s">
        <v>8589</v>
      </c>
      <c r="Y302" s="63" t="s">
        <v>8573</v>
      </c>
      <c r="Z302" s="63" t="s">
        <v>8694</v>
      </c>
      <c r="AA302" s="66"/>
      <c r="AB302" s="67"/>
      <c r="AC302" s="68"/>
      <c r="AD302" s="68"/>
      <c r="AE302" s="68"/>
      <c r="AF302" s="68"/>
      <c r="AG302" s="69"/>
      <c r="AH302" s="69"/>
      <c r="AI302" s="69"/>
      <c r="AJ302" s="69"/>
      <c r="AK302" s="69"/>
      <c r="AL302" s="69"/>
      <c r="AM302" s="66"/>
      <c r="AN302" s="70"/>
      <c r="AO302" s="70"/>
      <c r="AP302" s="70"/>
      <c r="AQ302" s="70"/>
      <c r="AR302" s="70"/>
      <c r="AU302" s="66"/>
      <c r="AV302" s="71"/>
      <c r="AW302" s="71"/>
      <c r="AX302" s="66"/>
      <c r="AY302" s="72"/>
      <c r="AZ302" s="72"/>
      <c r="BL302" s="63" t="s">
        <v>8591</v>
      </c>
    </row>
    <row r="303" customFormat="false" ht="19.5" hidden="false" customHeight="true" outlineLevel="0" collapsed="false">
      <c r="A303" s="2" t="s">
        <v>9742</v>
      </c>
      <c r="C303" s="2" t="str">
        <f aca="false">_xlfn.CONCAT(A303, " ","(",B303,")")</f>
        <v>Megatoma undata ()</v>
      </c>
      <c r="D303" s="2" t="s">
        <v>8580</v>
      </c>
      <c r="E303" s="2" t="s">
        <v>8581</v>
      </c>
      <c r="F303" s="75" t="s">
        <v>9085</v>
      </c>
      <c r="G303" s="2" t="s">
        <v>8583</v>
      </c>
      <c r="H303" s="2" t="str">
        <f aca="false">VLOOKUP(A303,'[1]NE red list'!A$1:H$1048576,5,FALSE())</f>
        <v>LC</v>
      </c>
      <c r="I303" s="2" t="s">
        <v>9086</v>
      </c>
      <c r="J303" s="2" t="s">
        <v>9743</v>
      </c>
      <c r="K303" s="2" t="s">
        <v>9744</v>
      </c>
      <c r="L303" s="2" t="s">
        <v>9566</v>
      </c>
      <c r="N303" s="2" t="str">
        <f aca="false">_xlfn.CONCAT(Q303," ",R303," ",S303)</f>
        <v> parkland </v>
      </c>
      <c r="O303" s="3" t="s">
        <v>14</v>
      </c>
      <c r="P303" s="2"/>
      <c r="R303" s="2" t="s">
        <v>8568</v>
      </c>
      <c r="T303" s="2"/>
      <c r="U303" s="2" t="s">
        <v>8570</v>
      </c>
      <c r="W303" s="2" t="s">
        <v>8571</v>
      </c>
      <c r="Z303" s="2" t="s">
        <v>8614</v>
      </c>
      <c r="AA303" s="4" t="s">
        <v>26</v>
      </c>
      <c r="AB303" s="5" t="s">
        <v>9745</v>
      </c>
      <c r="AC303" s="6" t="s">
        <v>8666</v>
      </c>
      <c r="AD303" s="6" t="s">
        <v>8615</v>
      </c>
      <c r="AF303" s="6" t="s">
        <v>8616</v>
      </c>
      <c r="AG303" s="7" t="s">
        <v>8575</v>
      </c>
      <c r="AI303" s="7" t="s">
        <v>8617</v>
      </c>
      <c r="AM303" s="4" t="s">
        <v>8657</v>
      </c>
      <c r="AN303" s="2" t="s">
        <v>8734</v>
      </c>
      <c r="AO303" s="2" t="s">
        <v>40</v>
      </c>
      <c r="AP303" s="2"/>
      <c r="AQ303" s="8" t="s">
        <v>42</v>
      </c>
      <c r="AR303" s="2"/>
      <c r="AS303" s="2"/>
      <c r="AV303" s="11"/>
      <c r="BB303" s="2" t="s">
        <v>8618</v>
      </c>
      <c r="BI303" s="2" t="s">
        <v>8590</v>
      </c>
      <c r="BJ303" s="2" t="s">
        <v>8747</v>
      </c>
      <c r="BL303" s="2" t="s">
        <v>8591</v>
      </c>
      <c r="BM303" s="2" t="s">
        <v>8619</v>
      </c>
      <c r="BO303" s="2"/>
      <c r="MJM303" s="2"/>
    </row>
    <row r="304" customFormat="false" ht="19.5" hidden="false" customHeight="true" outlineLevel="0" collapsed="false">
      <c r="A304" s="2" t="s">
        <v>9746</v>
      </c>
      <c r="C304" s="2" t="str">
        <f aca="false">_xlfn.CONCAT(A304, " ","(",B304,")")</f>
        <v>Ischnomera caerulea ()</v>
      </c>
      <c r="D304" s="2" t="s">
        <v>8580</v>
      </c>
      <c r="E304" s="2" t="s">
        <v>8581</v>
      </c>
      <c r="F304" s="76" t="s">
        <v>9747</v>
      </c>
      <c r="G304" s="2" t="s">
        <v>8633</v>
      </c>
      <c r="H304" s="2" t="str">
        <f aca="false">VLOOKUP(A304,'[1]NE red list'!A$1:H$1048576,5,FALSE())</f>
        <v>LC</v>
      </c>
      <c r="I304" s="2" t="s">
        <v>9086</v>
      </c>
      <c r="J304" s="2" t="s">
        <v>9748</v>
      </c>
      <c r="L304" s="2" t="s">
        <v>8770</v>
      </c>
      <c r="N304" s="2" t="str">
        <f aca="false">_xlfn.CONCAT(Q304," ",R304," ",S304)</f>
        <v>woodland parkland </v>
      </c>
      <c r="O304" s="3" t="s">
        <v>14</v>
      </c>
      <c r="P304" s="2" t="s">
        <v>8587</v>
      </c>
      <c r="Q304" s="2" t="s">
        <v>16</v>
      </c>
      <c r="R304" s="2" t="s">
        <v>8568</v>
      </c>
      <c r="T304" s="2"/>
      <c r="U304" s="2" t="s">
        <v>8570</v>
      </c>
      <c r="V304" s="2" t="s">
        <v>9749</v>
      </c>
      <c r="W304" s="2" t="s">
        <v>8571</v>
      </c>
      <c r="Z304" s="2" t="s">
        <v>8614</v>
      </c>
      <c r="AG304" s="7" t="s">
        <v>8575</v>
      </c>
      <c r="AI304" s="7" t="s">
        <v>8617</v>
      </c>
      <c r="AK304" s="7" t="s">
        <v>8627</v>
      </c>
      <c r="AS304" s="2"/>
      <c r="AV304" s="11"/>
      <c r="BB304" s="2" t="s">
        <v>8618</v>
      </c>
      <c r="BI304" s="2" t="s">
        <v>8590</v>
      </c>
      <c r="BJ304" s="2" t="s">
        <v>8630</v>
      </c>
      <c r="BL304" s="2" t="s">
        <v>8591</v>
      </c>
      <c r="BO304" s="2"/>
      <c r="MJM304" s="2"/>
    </row>
    <row r="305" customFormat="false" ht="19.5" hidden="false" customHeight="true" outlineLevel="0" collapsed="false">
      <c r="A305" s="2" t="s">
        <v>9750</v>
      </c>
      <c r="C305" s="2" t="str">
        <f aca="false">_xlfn.CONCAT(A305, " ","(",B305,")")</f>
        <v>Ischnomera cinerascens ()</v>
      </c>
      <c r="D305" s="2" t="s">
        <v>8580</v>
      </c>
      <c r="E305" s="2" t="s">
        <v>8581</v>
      </c>
      <c r="F305" s="76" t="s">
        <v>9747</v>
      </c>
      <c r="G305" s="2" t="s">
        <v>8633</v>
      </c>
      <c r="H305" s="2" t="str">
        <f aca="false">VLOOKUP(A305,'[1]NE red list'!A$1:H$1048576,5,FALSE())</f>
        <v>LC</v>
      </c>
      <c r="I305" s="2" t="s">
        <v>9086</v>
      </c>
      <c r="J305" s="2" t="s">
        <v>9751</v>
      </c>
      <c r="L305" s="2" t="s">
        <v>8770</v>
      </c>
      <c r="N305" s="2" t="str">
        <f aca="false">_xlfn.CONCAT(Q305," ",R305," ",S305)</f>
        <v>woodland parkland </v>
      </c>
      <c r="O305" s="3" t="s">
        <v>14</v>
      </c>
      <c r="P305" s="2" t="s">
        <v>8587</v>
      </c>
      <c r="Q305" s="2" t="s">
        <v>16</v>
      </c>
      <c r="R305" s="2" t="s">
        <v>8568</v>
      </c>
      <c r="T305" s="2" t="s">
        <v>9728</v>
      </c>
      <c r="U305" s="2" t="s">
        <v>8570</v>
      </c>
      <c r="V305" s="2" t="s">
        <v>8940</v>
      </c>
      <c r="W305" s="2" t="s">
        <v>8567</v>
      </c>
      <c r="Z305" s="2" t="s">
        <v>8614</v>
      </c>
      <c r="AG305" s="7" t="s">
        <v>8575</v>
      </c>
      <c r="AI305" s="7" t="s">
        <v>8617</v>
      </c>
      <c r="AK305" s="7" t="s">
        <v>8627</v>
      </c>
      <c r="AS305" s="2"/>
      <c r="AV305" s="11"/>
      <c r="BB305" s="2" t="s">
        <v>8618</v>
      </c>
      <c r="BI305" s="2" t="s">
        <v>8590</v>
      </c>
      <c r="BL305" s="2" t="s">
        <v>8591</v>
      </c>
      <c r="BO305" s="2"/>
      <c r="MJM305" s="2"/>
    </row>
    <row r="306" customFormat="false" ht="19.5" hidden="false" customHeight="true" outlineLevel="0" collapsed="false">
      <c r="A306" s="2" t="s">
        <v>9752</v>
      </c>
      <c r="C306" s="2" t="str">
        <f aca="false">_xlfn.CONCAT(A306, " ","(",B306,")")</f>
        <v>Ischnomera sanguinicollis ()</v>
      </c>
      <c r="D306" s="2" t="s">
        <v>8580</v>
      </c>
      <c r="E306" s="2" t="s">
        <v>8581</v>
      </c>
      <c r="F306" s="76" t="s">
        <v>9747</v>
      </c>
      <c r="G306" s="2" t="s">
        <v>8583</v>
      </c>
      <c r="H306" s="2" t="str">
        <f aca="false">VLOOKUP(A306,'[1]NE red list'!A$1:H$1048576,5,FALSE())</f>
        <v>LC</v>
      </c>
      <c r="I306" s="2" t="s">
        <v>8634</v>
      </c>
      <c r="J306" s="2" t="s">
        <v>9753</v>
      </c>
      <c r="L306" s="2" t="s">
        <v>8770</v>
      </c>
      <c r="N306" s="2" t="str">
        <f aca="false">_xlfn.CONCAT(Q306," ",R306," ",S306)</f>
        <v>woodland parkland </v>
      </c>
      <c r="O306" s="3" t="s">
        <v>14</v>
      </c>
      <c r="P306" s="2" t="s">
        <v>8587</v>
      </c>
      <c r="Q306" s="2" t="s">
        <v>16</v>
      </c>
      <c r="R306" s="2" t="s">
        <v>8568</v>
      </c>
      <c r="T306" s="2"/>
      <c r="U306" s="2" t="s">
        <v>8570</v>
      </c>
      <c r="V306" s="2" t="s">
        <v>8940</v>
      </c>
      <c r="W306" s="2" t="s">
        <v>8567</v>
      </c>
      <c r="Z306" s="2" t="s">
        <v>8574</v>
      </c>
      <c r="AG306" s="7" t="s">
        <v>8575</v>
      </c>
      <c r="AI306" s="7" t="s">
        <v>8617</v>
      </c>
      <c r="AK306" s="7" t="s">
        <v>8627</v>
      </c>
      <c r="AS306" s="2"/>
      <c r="AV306" s="11"/>
      <c r="BB306" s="2" t="s">
        <v>8618</v>
      </c>
      <c r="BI306" s="2" t="s">
        <v>8590</v>
      </c>
      <c r="BJ306" s="2" t="s">
        <v>8630</v>
      </c>
      <c r="BL306" s="2" t="s">
        <v>8591</v>
      </c>
      <c r="BO306" s="2"/>
      <c r="MJM306" s="2"/>
    </row>
    <row r="307" customFormat="false" ht="19.5" hidden="false" customHeight="true" outlineLevel="0" collapsed="false">
      <c r="A307" s="2" t="s">
        <v>9754</v>
      </c>
      <c r="C307" s="2" t="str">
        <f aca="false">_xlfn.CONCAT(A307, " ","(",B307,")")</f>
        <v>Ixapion variegatum ()</v>
      </c>
      <c r="D307" s="2" t="s">
        <v>8580</v>
      </c>
      <c r="E307" s="2" t="s">
        <v>8581</v>
      </c>
      <c r="F307" s="2" t="s">
        <v>8632</v>
      </c>
      <c r="H307" s="2" t="e">
        <f aca="false">VLOOKUP(A307,'[1]NE red list'!A$1:H$1048576,5,FALSE())</f>
        <v>#N/A</v>
      </c>
      <c r="I307" s="2" t="s">
        <v>8750</v>
      </c>
      <c r="J307" s="2" t="s">
        <v>9755</v>
      </c>
      <c r="N307" s="2" t="str">
        <f aca="false">_xlfn.CONCAT(Q307," ",R307," ",S307)</f>
        <v> parkland ToW</v>
      </c>
      <c r="O307" s="2" t="s">
        <v>14</v>
      </c>
      <c r="P307" s="2"/>
      <c r="R307" s="2" t="s">
        <v>8568</v>
      </c>
      <c r="S307" s="2" t="s">
        <v>18</v>
      </c>
      <c r="T307" s="2"/>
      <c r="U307" s="2" t="s">
        <v>8570</v>
      </c>
      <c r="W307" s="2" t="s">
        <v>8567</v>
      </c>
      <c r="X307" s="2" t="s">
        <v>9756</v>
      </c>
      <c r="Y307" s="2" t="s">
        <v>8573</v>
      </c>
      <c r="Z307" s="2" t="s">
        <v>8694</v>
      </c>
      <c r="AS307" s="2"/>
      <c r="AU307" s="4" t="s">
        <v>8639</v>
      </c>
      <c r="AV307" s="11"/>
      <c r="AW307" s="11" t="s">
        <v>9757</v>
      </c>
      <c r="BI307" s="2" t="s">
        <v>8590</v>
      </c>
      <c r="BO307" s="2"/>
      <c r="MJM307" s="2"/>
    </row>
    <row r="308" customFormat="false" ht="19.5" hidden="false" customHeight="true" outlineLevel="0" collapsed="false">
      <c r="A308" s="1" t="s">
        <v>9758</v>
      </c>
      <c r="B308" s="2" t="s">
        <v>8992</v>
      </c>
      <c r="C308" s="2" t="str">
        <f aca="false">_xlfn.CONCAT(A308, " ","(",B308,")")</f>
        <v>Karstenia dictyospora (a lichen)</v>
      </c>
      <c r="D308" s="2" t="s">
        <v>8892</v>
      </c>
      <c r="E308" s="2" t="s">
        <v>8892</v>
      </c>
      <c r="F308" s="2" t="s">
        <v>8892</v>
      </c>
      <c r="G308" s="2" t="s">
        <v>8776</v>
      </c>
      <c r="H308" s="2" t="e">
        <f aca="false">VLOOKUP(A308,'[1]NE red list'!A$1:H$1048576,5,FALSE())</f>
        <v>#N/A</v>
      </c>
      <c r="I308" s="2" t="s">
        <v>9759</v>
      </c>
      <c r="J308" s="2" t="s">
        <v>9760</v>
      </c>
      <c r="L308" s="2" t="s">
        <v>8896</v>
      </c>
      <c r="N308" s="2" t="str">
        <f aca="false">_xlfn.CONCAT(Q308," ",R308," ",S308)</f>
        <v>woodland parkland ToW</v>
      </c>
      <c r="O308" s="2" t="s">
        <v>14</v>
      </c>
      <c r="P308" s="2" t="s">
        <v>8567</v>
      </c>
      <c r="Q308" s="2" t="s">
        <v>16</v>
      </c>
      <c r="R308" s="2" t="s">
        <v>8568</v>
      </c>
      <c r="S308" s="2" t="s">
        <v>18</v>
      </c>
      <c r="T308" s="2"/>
      <c r="U308" s="2" t="s">
        <v>8570</v>
      </c>
      <c r="V308" s="2" t="s">
        <v>9761</v>
      </c>
      <c r="W308" s="2" t="s">
        <v>8571</v>
      </c>
      <c r="X308" s="2" t="s">
        <v>8589</v>
      </c>
      <c r="Z308" s="2" t="s">
        <v>8574</v>
      </c>
      <c r="AA308" s="4" t="s">
        <v>26</v>
      </c>
      <c r="AD308" s="6" t="s">
        <v>8615</v>
      </c>
      <c r="AS308" s="2"/>
      <c r="AV308" s="11"/>
      <c r="BC308" s="2" t="s">
        <v>8600</v>
      </c>
      <c r="BJ308" s="2" t="s">
        <v>8601</v>
      </c>
      <c r="BK308" s="2" t="s">
        <v>8578</v>
      </c>
      <c r="BL308" s="2" t="s">
        <v>8578</v>
      </c>
      <c r="BO308" s="2"/>
      <c r="MJM308" s="2"/>
    </row>
    <row r="309" s="32" customFormat="true" ht="19.5" hidden="false" customHeight="true" outlineLevel="0" collapsed="false">
      <c r="A309" s="1" t="s">
        <v>9762</v>
      </c>
      <c r="B309" s="2" t="s">
        <v>8992</v>
      </c>
      <c r="C309" s="2" t="str">
        <f aca="false">_xlfn.CONCAT(A309, " ","(",B309,")")</f>
        <v>Karstenia nigra (a lichen)</v>
      </c>
      <c r="D309" s="2" t="s">
        <v>8892</v>
      </c>
      <c r="E309" s="2" t="s">
        <v>8892</v>
      </c>
      <c r="F309" s="2" t="s">
        <v>8892</v>
      </c>
      <c r="G309" s="2" t="s">
        <v>8776</v>
      </c>
      <c r="H309" s="2" t="e">
        <f aca="false">VLOOKUP(A309,'[1]NE red list'!A$1:H$1048576,5,FALSE())</f>
        <v>#N/A</v>
      </c>
      <c r="I309" s="2" t="s">
        <v>9763</v>
      </c>
      <c r="J309" s="2" t="s">
        <v>9764</v>
      </c>
      <c r="K309" s="2"/>
      <c r="L309" s="2" t="s">
        <v>8896</v>
      </c>
      <c r="M309" s="2"/>
      <c r="N309" s="2" t="str">
        <f aca="false">_xlfn.CONCAT(Q309," ",R309," ",S309)</f>
        <v> parkland ToW</v>
      </c>
      <c r="O309" s="2" t="s">
        <v>14</v>
      </c>
      <c r="P309" s="2" t="s">
        <v>8567</v>
      </c>
      <c r="Q309" s="2"/>
      <c r="R309" s="2" t="s">
        <v>8568</v>
      </c>
      <c r="S309" s="2" t="s">
        <v>18</v>
      </c>
      <c r="T309" s="2"/>
      <c r="U309" s="2" t="s">
        <v>8570</v>
      </c>
      <c r="V309" s="2" t="s">
        <v>9765</v>
      </c>
      <c r="W309" s="2" t="s">
        <v>8571</v>
      </c>
      <c r="X309" s="2" t="s">
        <v>8589</v>
      </c>
      <c r="Y309" s="2"/>
      <c r="Z309" s="2"/>
      <c r="AA309" s="4" t="s">
        <v>26</v>
      </c>
      <c r="AB309" s="5"/>
      <c r="AC309" s="6"/>
      <c r="AD309" s="6" t="s">
        <v>8615</v>
      </c>
      <c r="AE309" s="6"/>
      <c r="AF309" s="6"/>
      <c r="AG309" s="7"/>
      <c r="AH309" s="7"/>
      <c r="AI309" s="7"/>
      <c r="AJ309" s="7"/>
      <c r="AK309" s="7"/>
      <c r="AL309" s="7"/>
      <c r="AM309" s="4"/>
      <c r="AN309" s="32" t="s">
        <v>8858</v>
      </c>
      <c r="AS309" s="2"/>
      <c r="AU309" s="4"/>
      <c r="AV309" s="11"/>
      <c r="AW309" s="11"/>
      <c r="AX309" s="4"/>
      <c r="AY309" s="12"/>
      <c r="AZ309" s="12"/>
      <c r="BC309" s="32" t="s">
        <v>8600</v>
      </c>
      <c r="BJ309" s="32" t="s">
        <v>8601</v>
      </c>
      <c r="BK309" s="32" t="s">
        <v>8578</v>
      </c>
      <c r="BL309" s="32" t="s">
        <v>8578</v>
      </c>
    </row>
    <row r="310" customFormat="false" ht="19.5" hidden="false" customHeight="true" outlineLevel="0" collapsed="false">
      <c r="A310" s="2" t="s">
        <v>9766</v>
      </c>
      <c r="C310" s="2" t="str">
        <f aca="false">_xlfn.CONCAT(A310, " ","(",B310,")")</f>
        <v>Kyklioacalles roboris ()</v>
      </c>
      <c r="D310" s="2" t="s">
        <v>8580</v>
      </c>
      <c r="E310" s="2" t="s">
        <v>8581</v>
      </c>
      <c r="F310" s="2" t="s">
        <v>8632</v>
      </c>
      <c r="G310" s="2" t="s">
        <v>8583</v>
      </c>
      <c r="H310" s="2" t="e">
        <f aca="false">VLOOKUP(A310,'[1]NE red list'!A$1:H$1048576,5,FALSE())</f>
        <v>#N/A</v>
      </c>
      <c r="I310" s="2" t="s">
        <v>8564</v>
      </c>
      <c r="J310" s="2" t="s">
        <v>9767</v>
      </c>
      <c r="L310" s="2" t="s">
        <v>8613</v>
      </c>
      <c r="N310" s="2" t="str">
        <f aca="false">_xlfn.CONCAT(Q310," ",R310," ",S310)</f>
        <v>woodland parkland ToW</v>
      </c>
      <c r="O310" s="2" t="s">
        <v>14</v>
      </c>
      <c r="P310" s="2"/>
      <c r="Q310" s="2" t="s">
        <v>16</v>
      </c>
      <c r="R310" s="2" t="s">
        <v>8568</v>
      </c>
      <c r="S310" s="2" t="s">
        <v>18</v>
      </c>
      <c r="T310" s="2"/>
      <c r="U310" s="2" t="s">
        <v>8570</v>
      </c>
      <c r="V310" s="2" t="s">
        <v>9768</v>
      </c>
      <c r="X310" s="2" t="s">
        <v>8625</v>
      </c>
      <c r="Z310" s="2" t="s">
        <v>8574</v>
      </c>
      <c r="AN310" s="8" t="s">
        <v>8638</v>
      </c>
      <c r="AS310" s="2"/>
      <c r="AV310" s="11"/>
      <c r="BJ310" s="2" t="s">
        <v>8747</v>
      </c>
      <c r="BL310" s="2" t="s">
        <v>8591</v>
      </c>
      <c r="BO310" s="2"/>
      <c r="MJM310" s="2"/>
    </row>
    <row r="311" customFormat="false" ht="19.5" hidden="false" customHeight="true" outlineLevel="0" collapsed="false">
      <c r="A311" s="2" t="s">
        <v>9769</v>
      </c>
      <c r="C311" s="2" t="str">
        <f aca="false">_xlfn.CONCAT(A311, " ","(",B311,")")</f>
        <v>Phloiophilus edwardsii ()</v>
      </c>
      <c r="D311" s="2" t="s">
        <v>8580</v>
      </c>
      <c r="E311" s="2" t="s">
        <v>8581</v>
      </c>
      <c r="F311" s="30" t="s">
        <v>9770</v>
      </c>
      <c r="G311" s="2" t="s">
        <v>8583</v>
      </c>
      <c r="H311" s="2" t="str">
        <f aca="false">VLOOKUP(A311,'[1]NE red list'!A$1:H$1048576,5,FALSE())</f>
        <v>LC</v>
      </c>
      <c r="I311" s="2" t="s">
        <v>8645</v>
      </c>
      <c r="J311" s="2" t="s">
        <v>9771</v>
      </c>
      <c r="L311" s="2" t="s">
        <v>8677</v>
      </c>
      <c r="N311" s="2" t="str">
        <f aca="false">_xlfn.CONCAT(Q311," ",R311," ",S311)</f>
        <v>woodland parkland </v>
      </c>
      <c r="O311" s="3" t="s">
        <v>14</v>
      </c>
      <c r="P311" s="2" t="s">
        <v>8567</v>
      </c>
      <c r="Q311" s="2" t="s">
        <v>16</v>
      </c>
      <c r="R311" s="2" t="s">
        <v>8568</v>
      </c>
      <c r="T311" s="2"/>
      <c r="U311" s="2" t="s">
        <v>8570</v>
      </c>
      <c r="V311" s="2" t="s">
        <v>8745</v>
      </c>
      <c r="X311" s="2" t="s">
        <v>8597</v>
      </c>
      <c r="Y311" s="2" t="s">
        <v>8573</v>
      </c>
      <c r="Z311" s="2" t="s">
        <v>8574</v>
      </c>
      <c r="AG311" s="7" t="s">
        <v>8824</v>
      </c>
      <c r="AS311" s="2" t="s">
        <v>8599</v>
      </c>
      <c r="AV311" s="11"/>
      <c r="AX311" s="4" t="s">
        <v>8607</v>
      </c>
      <c r="BI311" s="2" t="s">
        <v>8590</v>
      </c>
      <c r="BJ311" s="2" t="s">
        <v>8601</v>
      </c>
      <c r="BL311" s="2" t="s">
        <v>8591</v>
      </c>
      <c r="BO311" s="2"/>
      <c r="MJM311" s="2"/>
    </row>
    <row r="312" customFormat="false" ht="19.5" hidden="false" customHeight="true" outlineLevel="0" collapsed="false">
      <c r="A312" s="2" t="s">
        <v>9772</v>
      </c>
      <c r="C312" s="2" t="str">
        <f aca="false">_xlfn.CONCAT(A312, " ","(",B312,")")</f>
        <v>Scraptia fuscula ()</v>
      </c>
      <c r="D312" s="2" t="s">
        <v>8580</v>
      </c>
      <c r="E312" s="2" t="s">
        <v>8581</v>
      </c>
      <c r="F312" s="2" t="s">
        <v>8813</v>
      </c>
      <c r="G312" s="2" t="s">
        <v>8633</v>
      </c>
      <c r="H312" s="2" t="str">
        <f aca="false">VLOOKUP(A312,'[1]NE red list'!A$1:H$1048576,5,FALSE())</f>
        <v>VU</v>
      </c>
      <c r="I312" s="2" t="s">
        <v>8714</v>
      </c>
      <c r="J312" s="2" t="s">
        <v>9773</v>
      </c>
      <c r="K312" s="2" t="s">
        <v>9774</v>
      </c>
      <c r="L312" s="2" t="s">
        <v>8665</v>
      </c>
      <c r="N312" s="2" t="str">
        <f aca="false">_xlfn.CONCAT(Q312," ",R312," ",S312)</f>
        <v> parkland </v>
      </c>
      <c r="O312" s="3" t="s">
        <v>14</v>
      </c>
      <c r="P312" s="2" t="s">
        <v>8587</v>
      </c>
      <c r="R312" s="2" t="s">
        <v>8568</v>
      </c>
      <c r="T312" s="2"/>
      <c r="U312" s="2" t="s">
        <v>8570</v>
      </c>
      <c r="V312" s="2" t="s">
        <v>8745</v>
      </c>
      <c r="W312" s="2" t="s">
        <v>8571</v>
      </c>
      <c r="Z312" s="2" t="s">
        <v>8614</v>
      </c>
      <c r="AA312" s="4" t="s">
        <v>26</v>
      </c>
      <c r="AD312" s="6" t="s">
        <v>8615</v>
      </c>
      <c r="AF312" s="6" t="s">
        <v>8616</v>
      </c>
      <c r="AG312" s="7" t="s">
        <v>8575</v>
      </c>
      <c r="AI312" s="7" t="s">
        <v>8617</v>
      </c>
      <c r="AK312" s="7" t="s">
        <v>8627</v>
      </c>
      <c r="AN312" s="32"/>
      <c r="AO312" s="32"/>
      <c r="AP312" s="32"/>
      <c r="AQ312" s="32"/>
      <c r="AR312" s="32"/>
      <c r="AS312" s="2"/>
      <c r="AT312" s="32"/>
      <c r="AV312" s="11"/>
      <c r="BA312" s="32"/>
      <c r="BB312" s="32" t="s">
        <v>8618</v>
      </c>
      <c r="BC312" s="32"/>
      <c r="BD312" s="32"/>
      <c r="BE312" s="32"/>
      <c r="BF312" s="32"/>
      <c r="BG312" s="32"/>
      <c r="BH312" s="32"/>
      <c r="BI312" s="2" t="s">
        <v>8590</v>
      </c>
      <c r="BJ312" s="32" t="s">
        <v>8747</v>
      </c>
      <c r="BK312" s="32"/>
      <c r="BL312" s="32" t="s">
        <v>8591</v>
      </c>
      <c r="BM312" s="32" t="s">
        <v>8619</v>
      </c>
      <c r="BN312" s="32"/>
      <c r="BO312" s="2"/>
      <c r="MJM312" s="2"/>
    </row>
    <row r="313" customFormat="false" ht="19.5" hidden="false" customHeight="true" outlineLevel="0" collapsed="false">
      <c r="A313" s="2" t="s">
        <v>9775</v>
      </c>
      <c r="C313" s="2" t="str">
        <f aca="false">_xlfn.CONCAT(A313, " ","(",B313,")")</f>
        <v>Lasiambia baliola ()</v>
      </c>
      <c r="D313" s="2" t="s">
        <v>8580</v>
      </c>
      <c r="E313" s="2" t="s">
        <v>8687</v>
      </c>
      <c r="F313" s="2" t="s">
        <v>9776</v>
      </c>
      <c r="G313" s="2" t="s">
        <v>9777</v>
      </c>
      <c r="H313" s="2" t="e">
        <f aca="false">VLOOKUP(A313,'[1]NE red list'!A$1:H$1048576,5,FALSE())</f>
        <v>#N/A</v>
      </c>
      <c r="I313" s="2" t="s">
        <v>8750</v>
      </c>
      <c r="J313" s="2" t="s">
        <v>9778</v>
      </c>
      <c r="L313" s="2" t="s">
        <v>8836</v>
      </c>
      <c r="N313" s="2" t="str">
        <f aca="false">_xlfn.CONCAT(Q313," ",R313," ",S313)</f>
        <v> parkland </v>
      </c>
      <c r="O313" s="3" t="s">
        <v>14</v>
      </c>
      <c r="P313" s="2" t="s">
        <v>8587</v>
      </c>
      <c r="R313" s="2" t="s">
        <v>8568</v>
      </c>
      <c r="T313" s="2"/>
      <c r="U313" s="2" t="s">
        <v>8570</v>
      </c>
      <c r="AG313" s="7" t="s">
        <v>8575</v>
      </c>
      <c r="AN313" s="8" t="s">
        <v>8829</v>
      </c>
      <c r="AS313" s="2"/>
      <c r="AV313" s="11"/>
      <c r="BA313" s="2" t="s">
        <v>9030</v>
      </c>
      <c r="BI313" s="2" t="s">
        <v>8590</v>
      </c>
      <c r="BL313" s="2" t="s">
        <v>8591</v>
      </c>
      <c r="BO313" s="2"/>
      <c r="MJM313" s="2"/>
    </row>
    <row r="314" customFormat="false" ht="19.5" hidden="false" customHeight="true" outlineLevel="0" collapsed="false">
      <c r="A314" s="2" t="s">
        <v>9779</v>
      </c>
      <c r="C314" s="2" t="str">
        <f aca="false">_xlfn.CONCAT(A314, " ","(",B314,")")</f>
        <v>Lasiambia brevibucca ()</v>
      </c>
      <c r="D314" s="2" t="s">
        <v>8580</v>
      </c>
      <c r="E314" s="2" t="s">
        <v>8687</v>
      </c>
      <c r="F314" s="2" t="s">
        <v>9776</v>
      </c>
      <c r="G314" s="2" t="s">
        <v>9777</v>
      </c>
      <c r="H314" s="2" t="e">
        <f aca="false">VLOOKUP(A314,'[1]NE red list'!A$1:H$1048576,5,FALSE())</f>
        <v>#N/A</v>
      </c>
      <c r="I314" s="2" t="s">
        <v>9086</v>
      </c>
      <c r="J314" s="2" t="s">
        <v>9780</v>
      </c>
      <c r="K314" s="2" t="s">
        <v>8858</v>
      </c>
      <c r="L314" s="2" t="s">
        <v>8836</v>
      </c>
      <c r="N314" s="2" t="str">
        <f aca="false">_xlfn.CONCAT(Q314," ",R314," ",S314)</f>
        <v> parkland </v>
      </c>
      <c r="O314" s="3" t="s">
        <v>14</v>
      </c>
      <c r="P314" s="2" t="s">
        <v>8587</v>
      </c>
      <c r="R314" s="2" t="s">
        <v>8568</v>
      </c>
      <c r="T314" s="2"/>
      <c r="U314" s="2" t="s">
        <v>8570</v>
      </c>
      <c r="W314" s="2" t="s">
        <v>8571</v>
      </c>
      <c r="AA314" s="4" t="s">
        <v>26</v>
      </c>
      <c r="AD314" s="6" t="s">
        <v>8615</v>
      </c>
      <c r="AF314" s="6" t="s">
        <v>8616</v>
      </c>
      <c r="AG314" s="7" t="s">
        <v>8575</v>
      </c>
      <c r="AI314" s="7" t="s">
        <v>8617</v>
      </c>
      <c r="AN314" s="8" t="s">
        <v>8829</v>
      </c>
      <c r="AS314" s="2"/>
      <c r="AV314" s="11"/>
      <c r="BA314" s="2" t="s">
        <v>9030</v>
      </c>
      <c r="BI314" s="2" t="s">
        <v>8590</v>
      </c>
      <c r="BL314" s="2" t="s">
        <v>8591</v>
      </c>
      <c r="BO314" s="2"/>
      <c r="MJM314" s="2"/>
    </row>
    <row r="315" customFormat="false" ht="19.5" hidden="false" customHeight="true" outlineLevel="0" collapsed="false">
      <c r="A315" s="2" t="s">
        <v>9781</v>
      </c>
      <c r="C315" s="2" t="str">
        <f aca="false">_xlfn.CONCAT(A315, " ","(",B315,")")</f>
        <v>Trinodes hirtus ()</v>
      </c>
      <c r="D315" s="2" t="s">
        <v>8580</v>
      </c>
      <c r="E315" s="2" t="s">
        <v>8581</v>
      </c>
      <c r="F315" s="35" t="s">
        <v>9085</v>
      </c>
      <c r="G315" s="2" t="s">
        <v>8633</v>
      </c>
      <c r="H315" s="2" t="str">
        <f aca="false">VLOOKUP(A315,'[1]NE red list'!A$1:H$1048576,5,FALSE())</f>
        <v>NT</v>
      </c>
      <c r="I315" s="2" t="s">
        <v>9086</v>
      </c>
      <c r="J315" s="2" t="s">
        <v>9782</v>
      </c>
      <c r="K315" s="2" t="s">
        <v>8947</v>
      </c>
      <c r="L315" s="2" t="s">
        <v>9566</v>
      </c>
      <c r="N315" s="2" t="str">
        <f aca="false">_xlfn.CONCAT(Q315," ",R315," ",S315)</f>
        <v>woodland parkland </v>
      </c>
      <c r="O315" s="3" t="s">
        <v>14</v>
      </c>
      <c r="P315" s="2" t="s">
        <v>8587</v>
      </c>
      <c r="Q315" s="2" t="s">
        <v>16</v>
      </c>
      <c r="R315" s="2" t="s">
        <v>8568</v>
      </c>
      <c r="T315" s="2"/>
      <c r="U315" s="2" t="s">
        <v>8570</v>
      </c>
      <c r="V315" s="2" t="s">
        <v>8745</v>
      </c>
      <c r="W315" s="2" t="s">
        <v>8587</v>
      </c>
      <c r="X315" s="2" t="s">
        <v>8589</v>
      </c>
      <c r="Y315" s="2" t="s">
        <v>8573</v>
      </c>
      <c r="Z315" s="2" t="s">
        <v>8694</v>
      </c>
      <c r="AA315" s="4" t="s">
        <v>26</v>
      </c>
      <c r="AC315" s="6" t="s">
        <v>8666</v>
      </c>
      <c r="AD315" s="6" t="s">
        <v>8615</v>
      </c>
      <c r="AG315" s="7" t="s">
        <v>8575</v>
      </c>
      <c r="AI315" s="7" t="s">
        <v>8617</v>
      </c>
      <c r="AM315" s="4" t="s">
        <v>8657</v>
      </c>
      <c r="AN315" s="32" t="s">
        <v>8734</v>
      </c>
      <c r="AO315" s="32" t="s">
        <v>40</v>
      </c>
      <c r="AP315" s="32"/>
      <c r="AQ315" s="8" t="s">
        <v>42</v>
      </c>
      <c r="AR315" s="32"/>
      <c r="AS315" s="2"/>
      <c r="AT315" s="32"/>
      <c r="AV315" s="11"/>
      <c r="BA315" s="32"/>
      <c r="BB315" s="32" t="s">
        <v>8618</v>
      </c>
      <c r="BC315" s="32"/>
      <c r="BD315" s="32"/>
      <c r="BE315" s="32"/>
      <c r="BF315" s="32"/>
      <c r="BG315" s="32"/>
      <c r="BH315" s="32"/>
      <c r="BI315" s="2" t="s">
        <v>8590</v>
      </c>
      <c r="BJ315" s="32" t="s">
        <v>8747</v>
      </c>
      <c r="BK315" s="32"/>
      <c r="BL315" s="32" t="s">
        <v>8591</v>
      </c>
      <c r="BM315" s="32"/>
      <c r="BN315" s="32"/>
      <c r="BO315" s="2"/>
      <c r="MJM315" s="2"/>
    </row>
    <row r="316" customFormat="false" ht="19.5" hidden="false" customHeight="true" outlineLevel="0" collapsed="false">
      <c r="A316" s="1" t="s">
        <v>9783</v>
      </c>
      <c r="B316" s="2" t="s">
        <v>9784</v>
      </c>
      <c r="C316" s="2" t="str">
        <f aca="false">_xlfn.CONCAT(A316, " ","(",B316,")")</f>
        <v>Lasius fuliginosus (Jet Ant)</v>
      </c>
      <c r="D316" s="2" t="s">
        <v>8580</v>
      </c>
      <c r="E316" s="2" t="s">
        <v>8839</v>
      </c>
      <c r="F316" s="2" t="s">
        <v>9785</v>
      </c>
      <c r="H316" s="2" t="e">
        <f aca="false">VLOOKUP(A316,'[1]NE red list'!A$1:H$1048576,5,FALSE())</f>
        <v>#N/A</v>
      </c>
      <c r="I316" s="2" t="s">
        <v>9786</v>
      </c>
      <c r="J316" s="2" t="s">
        <v>9787</v>
      </c>
      <c r="K316" s="2" t="s">
        <v>9788</v>
      </c>
      <c r="L316" s="2" t="s">
        <v>8665</v>
      </c>
      <c r="N316" s="2" t="str">
        <f aca="false">_xlfn.CONCAT(Q316," ",R316," ",S316)</f>
        <v> parkland ToW</v>
      </c>
      <c r="O316" s="2" t="s">
        <v>14</v>
      </c>
      <c r="P316" s="2"/>
      <c r="R316" s="2" t="s">
        <v>8568</v>
      </c>
      <c r="S316" s="2" t="s">
        <v>18</v>
      </c>
      <c r="T316" s="2"/>
      <c r="U316" s="2" t="s">
        <v>8570</v>
      </c>
      <c r="W316" s="2" t="s">
        <v>8571</v>
      </c>
      <c r="X316" s="2" t="s">
        <v>8649</v>
      </c>
      <c r="Z316" s="2" t="s">
        <v>8614</v>
      </c>
      <c r="AA316" s="4" t="s">
        <v>26</v>
      </c>
      <c r="AD316" s="6" t="s">
        <v>8615</v>
      </c>
      <c r="AG316" s="7" t="s">
        <v>8575</v>
      </c>
      <c r="AI316" s="7" t="s">
        <v>8617</v>
      </c>
      <c r="AS316" s="2"/>
      <c r="AV316" s="11"/>
      <c r="BC316" s="2" t="s">
        <v>8899</v>
      </c>
      <c r="BH316" s="2" t="s">
        <v>9275</v>
      </c>
      <c r="BI316" s="2" t="s">
        <v>8590</v>
      </c>
      <c r="BL316" s="2" t="s">
        <v>8591</v>
      </c>
      <c r="BO316" s="2"/>
      <c r="MJM316" s="2"/>
    </row>
    <row r="317" customFormat="false" ht="19.5" hidden="false" customHeight="true" outlineLevel="0" collapsed="false">
      <c r="A317" s="1" t="s">
        <v>9789</v>
      </c>
      <c r="B317" s="2" t="s">
        <v>9790</v>
      </c>
      <c r="C317" s="2" t="str">
        <f aca="false">_xlfn.CONCAT(A317, " ","(",B317,")")</f>
        <v>Laspeyria flexula (Beautiful Hook-tip)</v>
      </c>
      <c r="D317" s="2" t="s">
        <v>8580</v>
      </c>
      <c r="E317" s="2" t="s">
        <v>8722</v>
      </c>
      <c r="F317" s="2" t="s">
        <v>8922</v>
      </c>
      <c r="G317" s="2" t="s">
        <v>8644</v>
      </c>
      <c r="H317" s="2" t="e">
        <f aca="false">VLOOKUP(A317,'[1]NE red list'!A$1:H$1048576,5,FALSE())</f>
        <v>#N/A</v>
      </c>
      <c r="I317" s="2" t="s">
        <v>8610</v>
      </c>
      <c r="J317" s="33" t="s">
        <v>9791</v>
      </c>
      <c r="K317" s="2" t="s">
        <v>8725</v>
      </c>
      <c r="L317" s="2" t="s">
        <v>8648</v>
      </c>
      <c r="N317" s="2" t="str">
        <f aca="false">_xlfn.CONCAT(Q317," ",R317," ",S317)</f>
        <v>woodland parkland ToW</v>
      </c>
      <c r="O317" s="2" t="s">
        <v>14</v>
      </c>
      <c r="P317" s="2"/>
      <c r="Q317" s="2" t="s">
        <v>16</v>
      </c>
      <c r="R317" s="2" t="s">
        <v>8568</v>
      </c>
      <c r="S317" s="2" t="s">
        <v>18</v>
      </c>
      <c r="T317" s="2"/>
      <c r="U317" s="2" t="s">
        <v>8605</v>
      </c>
      <c r="Y317" s="2" t="s">
        <v>8573</v>
      </c>
      <c r="Z317" s="2" t="s">
        <v>8694</v>
      </c>
      <c r="AS317" s="2"/>
      <c r="AU317" s="4" t="s">
        <v>8639</v>
      </c>
      <c r="AV317" s="11"/>
      <c r="AW317" s="11" t="s">
        <v>8726</v>
      </c>
      <c r="BI317" s="2" t="s">
        <v>8590</v>
      </c>
      <c r="BO317" s="2"/>
      <c r="MJM317" s="2"/>
    </row>
    <row r="318" customFormat="false" ht="19.5" hidden="false" customHeight="true" outlineLevel="0" collapsed="false">
      <c r="A318" s="2" t="s">
        <v>9792</v>
      </c>
      <c r="C318" s="2" t="str">
        <f aca="false">_xlfn.CONCAT(A318, " ","(",B318,")")</f>
        <v>Lathridius consimilis ()</v>
      </c>
      <c r="D318" s="2" t="s">
        <v>8580</v>
      </c>
      <c r="E318" s="2" t="s">
        <v>8581</v>
      </c>
      <c r="F318" s="2" t="s">
        <v>8983</v>
      </c>
      <c r="G318" s="2" t="s">
        <v>8583</v>
      </c>
      <c r="H318" s="2" t="e">
        <f aca="false">VLOOKUP(A318,'[1]NE red list'!A$1:H$1048576,5,FALSE())</f>
        <v>#N/A</v>
      </c>
      <c r="I318" s="2" t="s">
        <v>8979</v>
      </c>
      <c r="J318" s="2" t="s">
        <v>9793</v>
      </c>
      <c r="K318" s="2" t="s">
        <v>8585</v>
      </c>
      <c r="L318" s="2" t="s">
        <v>8677</v>
      </c>
      <c r="N318" s="2" t="str">
        <f aca="false">_xlfn.CONCAT(Q318," ",R318," ",S318)</f>
        <v>woodland parkland ToW</v>
      </c>
      <c r="O318" s="2" t="s">
        <v>14</v>
      </c>
      <c r="P318" s="2"/>
      <c r="Q318" s="2" t="s">
        <v>16</v>
      </c>
      <c r="R318" s="2" t="s">
        <v>8568</v>
      </c>
      <c r="S318" s="2" t="s">
        <v>18</v>
      </c>
      <c r="T318" s="2"/>
      <c r="U318" s="2" t="s">
        <v>8570</v>
      </c>
      <c r="V318" s="2" t="s">
        <v>9794</v>
      </c>
      <c r="X318" s="2" t="s">
        <v>8625</v>
      </c>
      <c r="AS318" s="2"/>
      <c r="AV318" s="11"/>
      <c r="AX318" s="4" t="s">
        <v>8585</v>
      </c>
      <c r="AY318" s="12" t="s">
        <v>8585</v>
      </c>
      <c r="BI318" s="2" t="s">
        <v>8590</v>
      </c>
      <c r="BL318" s="2" t="s">
        <v>8591</v>
      </c>
      <c r="BO318" s="2"/>
      <c r="MJM318" s="2"/>
    </row>
    <row r="319" customFormat="false" ht="19.5" hidden="false" customHeight="true" outlineLevel="0" collapsed="false">
      <c r="A319" s="2" t="s">
        <v>9795</v>
      </c>
      <c r="C319" s="2" t="str">
        <f aca="false">_xlfn.CONCAT(A319, " ","(",B319,")")</f>
        <v>Lecanactis abietina ()</v>
      </c>
      <c r="D319" s="2" t="s">
        <v>8892</v>
      </c>
      <c r="E319" s="2" t="s">
        <v>8892</v>
      </c>
      <c r="F319" s="2" t="s">
        <v>8892</v>
      </c>
      <c r="H319" s="2" t="str">
        <f aca="false">VLOOKUP(A319,'[1]NE red list'!A$1:H$1048576,5,FALSE())</f>
        <v>LC</v>
      </c>
      <c r="I319" s="2" t="s">
        <v>8645</v>
      </c>
      <c r="J319" s="33" t="s">
        <v>9796</v>
      </c>
      <c r="L319" s="2" t="s">
        <v>8896</v>
      </c>
      <c r="N319" s="2" t="str">
        <f aca="false">_xlfn.CONCAT(Q319," ",R319," ",S319)</f>
        <v>woodland  </v>
      </c>
      <c r="O319" s="2"/>
      <c r="P319" s="2"/>
      <c r="Q319" s="2" t="s">
        <v>16</v>
      </c>
      <c r="T319" s="2"/>
      <c r="U319" s="2" t="s">
        <v>8605</v>
      </c>
      <c r="W319" s="2" t="s">
        <v>8567</v>
      </c>
      <c r="X319" s="2" t="s">
        <v>8589</v>
      </c>
      <c r="AM319" s="4" t="s">
        <v>8657</v>
      </c>
      <c r="AN319" s="8" t="s">
        <v>9262</v>
      </c>
      <c r="AO319" s="8" t="s">
        <v>40</v>
      </c>
      <c r="AQ319" s="8" t="s">
        <v>42</v>
      </c>
      <c r="AR319" s="8" t="s">
        <v>43</v>
      </c>
      <c r="AS319" s="2"/>
      <c r="AV319" s="11"/>
      <c r="BC319" s="2" t="s">
        <v>8600</v>
      </c>
      <c r="BD319" s="2" t="s">
        <v>8793</v>
      </c>
      <c r="BJ319" s="2" t="s">
        <v>8601</v>
      </c>
      <c r="BL319" s="2" t="s">
        <v>8591</v>
      </c>
      <c r="BO319" s="2"/>
      <c r="MJM319" s="2"/>
    </row>
    <row r="320" customFormat="false" ht="19.5" hidden="false" customHeight="true" outlineLevel="0" collapsed="false">
      <c r="A320" s="2" t="s">
        <v>9797</v>
      </c>
      <c r="C320" s="2" t="str">
        <f aca="false">_xlfn.CONCAT(A320, " ","(",B320,")")</f>
        <v>Lecania chlorotiza ()</v>
      </c>
      <c r="D320" s="2" t="s">
        <v>8892</v>
      </c>
      <c r="E320" s="2" t="s">
        <v>8892</v>
      </c>
      <c r="F320" s="2" t="s">
        <v>8892</v>
      </c>
      <c r="G320" s="2" t="s">
        <v>8776</v>
      </c>
      <c r="H320" s="2" t="str">
        <f aca="false">VLOOKUP(A320,'[1]NE red list'!A$1:H$1048576,5,FALSE())</f>
        <v>NT</v>
      </c>
      <c r="I320" s="77" t="s">
        <v>8979</v>
      </c>
      <c r="J320" s="2" t="s">
        <v>9798</v>
      </c>
      <c r="L320" s="2" t="s">
        <v>8896</v>
      </c>
      <c r="N320" s="2" t="str">
        <f aca="false">_xlfn.CONCAT(Q320," ",R320," ",S320)</f>
        <v> parkland </v>
      </c>
      <c r="O320" s="3" t="s">
        <v>14</v>
      </c>
      <c r="P320" s="2"/>
      <c r="R320" s="2" t="s">
        <v>8568</v>
      </c>
      <c r="T320" s="2"/>
      <c r="U320" s="2" t="s">
        <v>8570</v>
      </c>
      <c r="V320" s="2" t="s">
        <v>9799</v>
      </c>
      <c r="W320" s="2" t="s">
        <v>8571</v>
      </c>
      <c r="X320" s="2" t="s">
        <v>8589</v>
      </c>
      <c r="AA320" s="4" t="s">
        <v>26</v>
      </c>
      <c r="AD320" s="6" t="s">
        <v>8615</v>
      </c>
      <c r="AN320" s="8" t="s">
        <v>8858</v>
      </c>
      <c r="AS320" s="2"/>
      <c r="AV320" s="11"/>
      <c r="BC320" s="2" t="s">
        <v>8600</v>
      </c>
      <c r="BJ320" s="2" t="s">
        <v>8601</v>
      </c>
      <c r="BK320" s="2" t="s">
        <v>8578</v>
      </c>
      <c r="BL320" s="2" t="s">
        <v>8578</v>
      </c>
      <c r="BO320" s="2"/>
      <c r="MJM320" s="2"/>
    </row>
    <row r="321" customFormat="false" ht="19.5" hidden="false" customHeight="true" outlineLevel="0" collapsed="false">
      <c r="A321" s="2" t="s">
        <v>9800</v>
      </c>
      <c r="C321" s="2" t="str">
        <f aca="false">_xlfn.CONCAT(A321, " ","(",B321,")")</f>
        <v>Xyletinus longitarsis ()</v>
      </c>
      <c r="E321" s="2" t="s">
        <v>8581</v>
      </c>
      <c r="F321" s="2" t="s">
        <v>8818</v>
      </c>
      <c r="G321" s="2" t="s">
        <v>9801</v>
      </c>
      <c r="H321" s="2" t="str">
        <f aca="false">VLOOKUP(A321,'[1]NE red list'!A$1:H$1048576,5,FALSE())</f>
        <v>VU</v>
      </c>
      <c r="I321" s="2" t="s">
        <v>9802</v>
      </c>
      <c r="J321" s="2" t="s">
        <v>9803</v>
      </c>
      <c r="L321" s="78"/>
      <c r="N321" s="2" t="str">
        <f aca="false">_xlfn.CONCAT(Q321," ",R321," ",S321)</f>
        <v> parkland </v>
      </c>
      <c r="O321" s="3" t="s">
        <v>14</v>
      </c>
      <c r="P321" s="2"/>
      <c r="R321" s="2" t="s">
        <v>8568</v>
      </c>
      <c r="T321" s="2"/>
      <c r="U321" s="2" t="s">
        <v>8570</v>
      </c>
      <c r="V321" s="2" t="s">
        <v>8745</v>
      </c>
      <c r="W321" s="2" t="s">
        <v>8571</v>
      </c>
      <c r="X321" s="2" t="s">
        <v>8589</v>
      </c>
      <c r="Y321" s="2" t="s">
        <v>8573</v>
      </c>
      <c r="Z321" s="2" t="s">
        <v>8598</v>
      </c>
      <c r="AA321" s="4" t="s">
        <v>26</v>
      </c>
      <c r="AB321" s="6"/>
      <c r="AD321" s="6" t="s">
        <v>8615</v>
      </c>
      <c r="AG321" s="7" t="s">
        <v>8824</v>
      </c>
      <c r="AI321" s="7" t="s">
        <v>8617</v>
      </c>
      <c r="AK321" s="7" t="s">
        <v>8627</v>
      </c>
      <c r="AN321" s="32"/>
      <c r="AO321" s="79"/>
      <c r="AP321" s="32"/>
      <c r="AQ321" s="32"/>
      <c r="AR321" s="32"/>
      <c r="AS321" s="2"/>
      <c r="AT321" s="32"/>
      <c r="AV321" s="11"/>
      <c r="BA321" s="32"/>
      <c r="BB321" s="32"/>
      <c r="BC321" s="32"/>
      <c r="BD321" s="32"/>
      <c r="BE321" s="32"/>
      <c r="BF321" s="32"/>
      <c r="BG321" s="32"/>
      <c r="BH321" s="32"/>
      <c r="BI321" s="2" t="s">
        <v>8590</v>
      </c>
      <c r="BJ321" s="32"/>
      <c r="BK321" s="32"/>
      <c r="BL321" s="32"/>
      <c r="BM321" s="32"/>
      <c r="BN321" s="32" t="s">
        <v>8619</v>
      </c>
      <c r="BO321" s="2"/>
      <c r="MJM321" s="2"/>
    </row>
    <row r="322" customFormat="false" ht="19.5" hidden="false" customHeight="true" outlineLevel="0" collapsed="false">
      <c r="A322" s="2" t="s">
        <v>9804</v>
      </c>
      <c r="C322" s="2" t="str">
        <f aca="false">_xlfn.CONCAT(A322, " ","(",B322,")")</f>
        <v>Leiopus linnei/nebulosus agg. ()</v>
      </c>
      <c r="D322" s="2" t="s">
        <v>8580</v>
      </c>
      <c r="E322" s="2" t="s">
        <v>8581</v>
      </c>
      <c r="F322" s="2" t="s">
        <v>8787</v>
      </c>
      <c r="H322" s="2" t="e">
        <f aca="false">VLOOKUP(A322,'[1]NE red list'!A$1:H$1048576,5,FALSE())</f>
        <v>#N/A</v>
      </c>
      <c r="I322" s="2" t="s">
        <v>9805</v>
      </c>
      <c r="J322" s="2" t="s">
        <v>9806</v>
      </c>
      <c r="K322" s="2" t="s">
        <v>8792</v>
      </c>
      <c r="L322" s="2" t="s">
        <v>8613</v>
      </c>
      <c r="N322" s="2" t="str">
        <f aca="false">_xlfn.CONCAT(Q322," ",R322," ",S322)</f>
        <v> parkland </v>
      </c>
      <c r="O322" s="3" t="s">
        <v>14</v>
      </c>
      <c r="P322" s="2"/>
      <c r="R322" s="2" t="s">
        <v>8568</v>
      </c>
      <c r="T322" s="2"/>
      <c r="U322" s="2" t="s">
        <v>8570</v>
      </c>
      <c r="X322" s="2" t="s">
        <v>8597</v>
      </c>
      <c r="Z322" s="2" t="s">
        <v>8574</v>
      </c>
      <c r="AG322" s="7" t="s">
        <v>8575</v>
      </c>
      <c r="AN322" s="8" t="s">
        <v>9807</v>
      </c>
      <c r="AS322" s="2" t="s">
        <v>8599</v>
      </c>
      <c r="AV322" s="11"/>
      <c r="BL322" s="2" t="s">
        <v>8591</v>
      </c>
      <c r="BO322" s="2"/>
      <c r="MJM322" s="2"/>
    </row>
    <row r="323" customFormat="false" ht="19.5" hidden="false" customHeight="true" outlineLevel="0" collapsed="false">
      <c r="A323" s="1" t="s">
        <v>9808</v>
      </c>
      <c r="C323" s="2" t="str">
        <f aca="false">_xlfn.CONCAT(A323, " ","(",B323,")")</f>
        <v>Lepthyphantes midas ()</v>
      </c>
      <c r="D323" s="2" t="s">
        <v>8728</v>
      </c>
      <c r="E323" s="34" t="s">
        <v>8729</v>
      </c>
      <c r="F323" s="2" t="s">
        <v>9809</v>
      </c>
      <c r="G323" s="2" t="s">
        <v>8662</v>
      </c>
      <c r="H323" s="2" t="e">
        <f aca="false">VLOOKUP(A323,'[1]NE red list'!A$1:H$1048576,5,FALSE())</f>
        <v>#N/A</v>
      </c>
      <c r="I323" s="2" t="s">
        <v>8610</v>
      </c>
      <c r="J323" s="2" t="s">
        <v>9810</v>
      </c>
      <c r="K323" s="2" t="s">
        <v>9811</v>
      </c>
      <c r="L323" s="2" t="s">
        <v>8665</v>
      </c>
      <c r="N323" s="2" t="str">
        <f aca="false">_xlfn.CONCAT(Q323," ",R323," ",S323)</f>
        <v>woodland parkland </v>
      </c>
      <c r="O323" s="3" t="s">
        <v>14</v>
      </c>
      <c r="P323" s="2" t="s">
        <v>8587</v>
      </c>
      <c r="Q323" s="2" t="s">
        <v>16</v>
      </c>
      <c r="R323" s="2" t="s">
        <v>8568</v>
      </c>
      <c r="T323" s="2"/>
      <c r="U323" s="2" t="s">
        <v>8570</v>
      </c>
      <c r="V323" s="2" t="s">
        <v>9812</v>
      </c>
      <c r="W323" s="2" t="s">
        <v>8571</v>
      </c>
      <c r="X323" s="2" t="s">
        <v>8589</v>
      </c>
      <c r="Y323" s="2" t="s">
        <v>8573</v>
      </c>
      <c r="Z323" s="2" t="s">
        <v>8694</v>
      </c>
      <c r="AA323" s="4" t="s">
        <v>26</v>
      </c>
      <c r="AC323" s="6" t="s">
        <v>8666</v>
      </c>
      <c r="AD323" s="6" t="s">
        <v>8615</v>
      </c>
      <c r="AG323" s="7" t="s">
        <v>8575</v>
      </c>
      <c r="AI323" s="7" t="s">
        <v>8617</v>
      </c>
      <c r="AS323" s="2"/>
      <c r="AU323" s="4" t="s">
        <v>8639</v>
      </c>
      <c r="AV323" s="10" t="s">
        <v>9569</v>
      </c>
      <c r="BD323" s="2" t="s">
        <v>8629</v>
      </c>
      <c r="BI323" s="2" t="s">
        <v>8590</v>
      </c>
      <c r="BL323" s="2" t="s">
        <v>8591</v>
      </c>
      <c r="BO323" s="2"/>
      <c r="MJM323" s="2"/>
    </row>
    <row r="324" customFormat="false" ht="19.5" hidden="false" customHeight="true" outlineLevel="0" collapsed="false">
      <c r="A324" s="1" t="s">
        <v>9813</v>
      </c>
      <c r="B324" s="2" t="s">
        <v>8992</v>
      </c>
      <c r="C324" s="2" t="str">
        <f aca="false">_xlfn.CONCAT(A324, " ","(",B324,")")</f>
        <v>Leptogium cochleatum (a lichen)</v>
      </c>
      <c r="D324" s="2" t="s">
        <v>8892</v>
      </c>
      <c r="E324" s="2" t="s">
        <v>8892</v>
      </c>
      <c r="F324" s="2" t="s">
        <v>8892</v>
      </c>
      <c r="G324" s="2" t="s">
        <v>8776</v>
      </c>
      <c r="H324" s="2" t="str">
        <f aca="false">VLOOKUP(A324,'[1]NE red list'!A$1:H$1048576,5,FALSE())</f>
        <v>VU</v>
      </c>
      <c r="I324" s="2" t="s">
        <v>9814</v>
      </c>
      <c r="J324" s="33" t="s">
        <v>9815</v>
      </c>
      <c r="L324" s="2" t="s">
        <v>8896</v>
      </c>
      <c r="N324" s="2" t="str">
        <f aca="false">_xlfn.CONCAT(Q324," ",R324," ",S324)</f>
        <v>woodland  </v>
      </c>
      <c r="O324" s="2"/>
      <c r="P324" s="2"/>
      <c r="Q324" s="2" t="s">
        <v>16</v>
      </c>
      <c r="T324" s="2"/>
      <c r="U324" s="2" t="s">
        <v>8570</v>
      </c>
      <c r="W324" s="2" t="s">
        <v>8571</v>
      </c>
      <c r="X324" s="2" t="s">
        <v>8589</v>
      </c>
      <c r="AN324" s="8" t="s">
        <v>8858</v>
      </c>
      <c r="AS324" s="2"/>
      <c r="AU324" s="4" t="s">
        <v>8639</v>
      </c>
      <c r="AV324" s="11"/>
      <c r="AW324" s="11" t="s">
        <v>8650</v>
      </c>
      <c r="BD324" s="2" t="s">
        <v>8629</v>
      </c>
      <c r="BG324" s="2" t="s">
        <v>8900</v>
      </c>
      <c r="BK324" s="2" t="s">
        <v>8578</v>
      </c>
      <c r="BL324" s="2" t="s">
        <v>8578</v>
      </c>
      <c r="BO324" s="2"/>
      <c r="MJM324" s="2"/>
    </row>
    <row r="325" customFormat="false" ht="19.5" hidden="false" customHeight="true" outlineLevel="0" collapsed="false">
      <c r="A325" s="2" t="s">
        <v>9816</v>
      </c>
      <c r="C325" s="2" t="str">
        <f aca="false">_xlfn.CONCAT(A325, " ","(",B325,")")</f>
        <v>Microscydmus minimus ()</v>
      </c>
      <c r="D325" s="2" t="s">
        <v>8580</v>
      </c>
      <c r="E325" s="2" t="s">
        <v>8581</v>
      </c>
      <c r="F325" s="2" t="s">
        <v>8652</v>
      </c>
      <c r="G325" s="2" t="s">
        <v>8662</v>
      </c>
      <c r="H325" s="2" t="e">
        <f aca="false">VLOOKUP(A325,'[1]NE red list'!A$1:H$1048576,5,FALSE())</f>
        <v>#N/A</v>
      </c>
      <c r="I325" s="2" t="s">
        <v>8945</v>
      </c>
      <c r="J325" s="2" t="s">
        <v>9817</v>
      </c>
      <c r="L325" s="2" t="s">
        <v>8665</v>
      </c>
      <c r="N325" s="2" t="str">
        <f aca="false">_xlfn.CONCAT(Q325," ",R325," ",S325)</f>
        <v>woodland parkland </v>
      </c>
      <c r="O325" s="3" t="s">
        <v>14</v>
      </c>
      <c r="P325" s="2" t="s">
        <v>8587</v>
      </c>
      <c r="Q325" s="2" t="s">
        <v>16</v>
      </c>
      <c r="R325" s="2" t="s">
        <v>8568</v>
      </c>
      <c r="T325" s="2"/>
      <c r="U325" s="2" t="s">
        <v>8570</v>
      </c>
      <c r="V325" s="2" t="s">
        <v>8828</v>
      </c>
      <c r="W325" s="2" t="s">
        <v>8571</v>
      </c>
      <c r="AA325" s="4" t="s">
        <v>26</v>
      </c>
      <c r="AD325" s="6" t="s">
        <v>8615</v>
      </c>
      <c r="AF325" s="6" t="s">
        <v>8616</v>
      </c>
      <c r="AG325" s="7" t="s">
        <v>8575</v>
      </c>
      <c r="AI325" s="7" t="s">
        <v>8617</v>
      </c>
      <c r="AJ325" s="7" t="s">
        <v>8612</v>
      </c>
      <c r="AL325" s="7" t="s">
        <v>8628</v>
      </c>
      <c r="AS325" s="2"/>
      <c r="AV325" s="11"/>
      <c r="BI325" s="2" t="s">
        <v>8590</v>
      </c>
      <c r="BL325" s="2" t="s">
        <v>8591</v>
      </c>
      <c r="BM325" s="2" t="s">
        <v>8619</v>
      </c>
      <c r="BO325" s="2"/>
      <c r="MJM325" s="2"/>
    </row>
    <row r="326" customFormat="false" ht="19.5" hidden="false" customHeight="true" outlineLevel="0" collapsed="false">
      <c r="A326" s="2" t="s">
        <v>9818</v>
      </c>
      <c r="C326" s="2" t="str">
        <f aca="false">_xlfn.CONCAT(A326, " ","(",B326,")")</f>
        <v>Leptusa pulchella ()</v>
      </c>
      <c r="D326" s="2" t="s">
        <v>8580</v>
      </c>
      <c r="E326" s="2" t="s">
        <v>8581</v>
      </c>
      <c r="F326" s="2" t="s">
        <v>8652</v>
      </c>
      <c r="H326" s="2" t="e">
        <f aca="false">VLOOKUP(A326,'[1]NE red list'!A$1:H$1048576,5,FALSE())</f>
        <v>#N/A</v>
      </c>
      <c r="I326" s="2" t="s">
        <v>8610</v>
      </c>
      <c r="J326" s="2" t="s">
        <v>9819</v>
      </c>
      <c r="L326" s="2" t="s">
        <v>8836</v>
      </c>
      <c r="N326" s="2" t="str">
        <f aca="false">_xlfn.CONCAT(Q326," ",R326," ",S326)</f>
        <v>woodland  </v>
      </c>
      <c r="O326" s="2"/>
      <c r="P326" s="2" t="s">
        <v>8587</v>
      </c>
      <c r="Q326" s="2" t="s">
        <v>16</v>
      </c>
      <c r="T326" s="2"/>
      <c r="U326" s="2" t="s">
        <v>8605</v>
      </c>
      <c r="W326" s="2" t="s">
        <v>8567</v>
      </c>
      <c r="X326" s="2" t="s">
        <v>8589</v>
      </c>
      <c r="AG326" s="7" t="s">
        <v>8824</v>
      </c>
      <c r="AM326" s="4" t="s">
        <v>8657</v>
      </c>
      <c r="AN326" s="8" t="s">
        <v>9444</v>
      </c>
      <c r="AO326" s="8" t="s">
        <v>40</v>
      </c>
      <c r="AQ326" s="8" t="s">
        <v>42</v>
      </c>
      <c r="AS326" s="2"/>
      <c r="AV326" s="11"/>
      <c r="BD326" s="2" t="s">
        <v>8629</v>
      </c>
      <c r="BI326" s="2" t="s">
        <v>8590</v>
      </c>
      <c r="BJ326" s="2" t="s">
        <v>8630</v>
      </c>
      <c r="BL326" s="2" t="s">
        <v>8591</v>
      </c>
      <c r="BO326" s="2"/>
      <c r="MJM326" s="2"/>
    </row>
    <row r="327" customFormat="false" ht="19.5" hidden="false" customHeight="true" outlineLevel="0" collapsed="false">
      <c r="A327" s="2" t="s">
        <v>9820</v>
      </c>
      <c r="C327" s="2" t="str">
        <f aca="false">_xlfn.CONCAT(A327, " ","(",B327,")")</f>
        <v>Leviellus stroemi ()</v>
      </c>
      <c r="D327" s="2" t="s">
        <v>8728</v>
      </c>
      <c r="E327" s="34" t="s">
        <v>8729</v>
      </c>
      <c r="F327" s="2" t="s">
        <v>9821</v>
      </c>
      <c r="G327" s="2" t="s">
        <v>8583</v>
      </c>
      <c r="H327" s="2" t="e">
        <f aca="false">VLOOKUP(A327,'[1]NE red list'!A$1:H$1048576,5,FALSE())</f>
        <v>#N/A</v>
      </c>
      <c r="I327" s="2" t="s">
        <v>8634</v>
      </c>
      <c r="J327" s="2" t="s">
        <v>9822</v>
      </c>
      <c r="K327" s="2" t="s">
        <v>9823</v>
      </c>
      <c r="L327" s="2" t="s">
        <v>8665</v>
      </c>
      <c r="N327" s="2" t="str">
        <f aca="false">_xlfn.CONCAT(Q327," ",R327," ",S327)</f>
        <v> parkland </v>
      </c>
      <c r="O327" s="3" t="s">
        <v>14</v>
      </c>
      <c r="P327" s="2"/>
      <c r="R327" s="2" t="s">
        <v>8568</v>
      </c>
      <c r="T327" s="2"/>
      <c r="U327" s="2" t="s">
        <v>8605</v>
      </c>
      <c r="V327" s="2" t="s">
        <v>8848</v>
      </c>
      <c r="X327" s="2" t="s">
        <v>8625</v>
      </c>
      <c r="Y327" s="2" t="s">
        <v>8573</v>
      </c>
      <c r="Z327" s="2" t="s">
        <v>8694</v>
      </c>
      <c r="AM327" s="4" t="s">
        <v>8657</v>
      </c>
      <c r="AN327" s="8" t="s">
        <v>9824</v>
      </c>
      <c r="AQ327" s="8" t="s">
        <v>42</v>
      </c>
      <c r="AR327" s="8" t="s">
        <v>43</v>
      </c>
      <c r="AS327" s="2"/>
      <c r="AV327" s="11"/>
      <c r="BL327" s="2" t="s">
        <v>8591</v>
      </c>
      <c r="BO327" s="2"/>
      <c r="MJM327" s="2"/>
    </row>
    <row r="328" customFormat="false" ht="19.5" hidden="false" customHeight="true" outlineLevel="0" collapsed="false">
      <c r="A328" s="1" t="s">
        <v>9825</v>
      </c>
      <c r="B328" s="2" t="s">
        <v>9826</v>
      </c>
      <c r="C328" s="2" t="str">
        <f aca="false">_xlfn.CONCAT(A328, " ","(",B328,")")</f>
        <v>Limax cinereoniger (Ash-black Slug. )</v>
      </c>
      <c r="D328" s="2" t="s">
        <v>8728</v>
      </c>
      <c r="E328" s="2" t="s">
        <v>9697</v>
      </c>
      <c r="F328" s="80" t="s">
        <v>9827</v>
      </c>
      <c r="G328" s="2" t="s">
        <v>8737</v>
      </c>
      <c r="H328" s="2" t="str">
        <f aca="false">VLOOKUP(A328,'[1]NE red list'!A$1:H$1048576,5,FALSE())</f>
        <v>LC</v>
      </c>
      <c r="I328" s="2" t="s">
        <v>8645</v>
      </c>
      <c r="J328" s="2" t="s">
        <v>9828</v>
      </c>
      <c r="K328" s="2" t="s">
        <v>9829</v>
      </c>
      <c r="L328" s="2" t="s">
        <v>8648</v>
      </c>
      <c r="N328" s="2" t="str">
        <f aca="false">_xlfn.CONCAT(Q328," ",R328," ",S328)</f>
        <v>woodland parkland </v>
      </c>
      <c r="O328" s="3" t="s">
        <v>14</v>
      </c>
      <c r="P328" s="2" t="s">
        <v>8587</v>
      </c>
      <c r="Q328" s="2" t="s">
        <v>16</v>
      </c>
      <c r="R328" s="2" t="s">
        <v>8568</v>
      </c>
      <c r="T328" s="2"/>
      <c r="U328" s="2" t="s">
        <v>8570</v>
      </c>
      <c r="W328" s="2" t="s">
        <v>8567</v>
      </c>
      <c r="X328" s="2" t="s">
        <v>8784</v>
      </c>
      <c r="AA328" s="4" t="s">
        <v>26</v>
      </c>
      <c r="AC328" s="6" t="s">
        <v>30</v>
      </c>
      <c r="AM328" s="4" t="s">
        <v>8657</v>
      </c>
      <c r="AQ328" s="8" t="s">
        <v>42</v>
      </c>
      <c r="AR328" s="8" t="s">
        <v>43</v>
      </c>
      <c r="AS328" s="2"/>
      <c r="AU328" s="4" t="s">
        <v>8639</v>
      </c>
      <c r="AV328" s="11"/>
      <c r="AW328" s="11" t="s">
        <v>9830</v>
      </c>
      <c r="BD328" s="2" t="s">
        <v>8629</v>
      </c>
      <c r="BL328" s="2" t="s">
        <v>8591</v>
      </c>
      <c r="BO328" s="2"/>
      <c r="MJM328" s="2"/>
    </row>
    <row r="329" customFormat="false" ht="19.5" hidden="false" customHeight="true" outlineLevel="0" collapsed="false">
      <c r="A329" s="1" t="s">
        <v>9831</v>
      </c>
      <c r="B329" s="2" t="s">
        <v>9832</v>
      </c>
      <c r="C329" s="2" t="str">
        <f aca="false">_xlfn.CONCAT(A329, " ","(",B329,")")</f>
        <v>Limax tenellus (Slender Slug)</v>
      </c>
      <c r="D329" s="2" t="s">
        <v>8728</v>
      </c>
      <c r="E329" s="2" t="s">
        <v>9697</v>
      </c>
      <c r="F329" s="80" t="s">
        <v>9827</v>
      </c>
      <c r="G329" s="2" t="s">
        <v>8583</v>
      </c>
      <c r="H329" s="2" t="e">
        <f aca="false">VLOOKUP(A329,'[1]NE red list'!A$1:H$1048576,5,FALSE())</f>
        <v>#N/A</v>
      </c>
      <c r="I329" s="2" t="s">
        <v>8645</v>
      </c>
      <c r="J329" s="33" t="s">
        <v>9833</v>
      </c>
      <c r="L329" s="2" t="s">
        <v>8677</v>
      </c>
      <c r="N329" s="2" t="str">
        <f aca="false">_xlfn.CONCAT(Q329," ",R329," ",S329)</f>
        <v> parkland </v>
      </c>
      <c r="O329" s="3" t="s">
        <v>14</v>
      </c>
      <c r="P329" s="2" t="s">
        <v>8587</v>
      </c>
      <c r="R329" s="2" t="s">
        <v>8568</v>
      </c>
      <c r="T329" s="2"/>
      <c r="U329" s="2" t="s">
        <v>8570</v>
      </c>
      <c r="W329" s="2" t="s">
        <v>8567</v>
      </c>
      <c r="Z329" s="2" t="s">
        <v>8574</v>
      </c>
      <c r="AS329" s="2"/>
      <c r="AV329" s="11"/>
      <c r="AX329" s="4" t="s">
        <v>8607</v>
      </c>
      <c r="BD329" s="2" t="s">
        <v>8629</v>
      </c>
      <c r="BL329" s="2" t="s">
        <v>8591</v>
      </c>
      <c r="BO329" s="2"/>
      <c r="MJM329" s="2"/>
    </row>
    <row r="330" customFormat="false" ht="19.5" hidden="false" customHeight="true" outlineLevel="0" collapsed="false">
      <c r="A330" s="2" t="s">
        <v>9834</v>
      </c>
      <c r="C330" s="2" t="str">
        <f aca="false">_xlfn.CONCAT(A330, " ","(",B330,")")</f>
        <v>Mycetochara humeralis ()</v>
      </c>
      <c r="D330" s="2" t="s">
        <v>8580</v>
      </c>
      <c r="E330" s="2" t="s">
        <v>8581</v>
      </c>
      <c r="F330" s="2" t="s">
        <v>9239</v>
      </c>
      <c r="G330" s="2" t="s">
        <v>8583</v>
      </c>
      <c r="H330" s="2" t="str">
        <f aca="false">VLOOKUP(A330,'[1]NE red list'!A$1:H$1048576,5,FALSE())</f>
        <v>LC</v>
      </c>
      <c r="I330" s="2" t="s">
        <v>9835</v>
      </c>
      <c r="J330" s="2" t="s">
        <v>9836</v>
      </c>
      <c r="L330" s="2" t="s">
        <v>8677</v>
      </c>
      <c r="N330" s="2" t="str">
        <f aca="false">_xlfn.CONCAT(Q330," ",R330," ",S330)</f>
        <v> parkland </v>
      </c>
      <c r="O330" s="3" t="s">
        <v>14</v>
      </c>
      <c r="P330" s="2"/>
      <c r="R330" s="2" t="s">
        <v>8568</v>
      </c>
      <c r="T330" s="2"/>
      <c r="U330" s="2" t="s">
        <v>8570</v>
      </c>
      <c r="V330" s="2" t="s">
        <v>8851</v>
      </c>
      <c r="W330" s="2" t="s">
        <v>8571</v>
      </c>
      <c r="X330" s="2" t="s">
        <v>8589</v>
      </c>
      <c r="Z330" s="2" t="s">
        <v>8614</v>
      </c>
      <c r="AA330" s="4" t="s">
        <v>26</v>
      </c>
      <c r="AC330" s="6" t="s">
        <v>8666</v>
      </c>
      <c r="AD330" s="6" t="s">
        <v>8615</v>
      </c>
      <c r="AG330" s="7" t="s">
        <v>8575</v>
      </c>
      <c r="AI330" s="7" t="s">
        <v>8617</v>
      </c>
      <c r="AL330" s="7" t="s">
        <v>8628</v>
      </c>
      <c r="AN330" s="8" t="s">
        <v>8638</v>
      </c>
      <c r="AS330" s="2"/>
      <c r="AU330" s="4" t="s">
        <v>8639</v>
      </c>
      <c r="BI330" s="2" t="s">
        <v>8590</v>
      </c>
      <c r="BJ330" s="2" t="s">
        <v>8601</v>
      </c>
      <c r="BL330" s="2" t="s">
        <v>8591</v>
      </c>
      <c r="BM330" s="2" t="s">
        <v>8619</v>
      </c>
      <c r="BO330" s="2"/>
      <c r="MJM330" s="2"/>
    </row>
    <row r="331" customFormat="false" ht="19.5" hidden="false" customHeight="true" outlineLevel="0" collapsed="false">
      <c r="A331" s="2" t="s">
        <v>9837</v>
      </c>
      <c r="C331" s="2" t="str">
        <f aca="false">_xlfn.CONCAT(A331, " ","(",B331,")")</f>
        <v>Lissodema cursor ()</v>
      </c>
      <c r="D331" s="2" t="s">
        <v>8580</v>
      </c>
      <c r="E331" s="2" t="s">
        <v>8581</v>
      </c>
      <c r="F331" s="2" t="s">
        <v>9838</v>
      </c>
      <c r="G331" s="2" t="s">
        <v>8633</v>
      </c>
      <c r="H331" s="2" t="str">
        <f aca="false">VLOOKUP(A331,'[1]NE red list'!A$1:H$1048576,5,FALSE())</f>
        <v>LC</v>
      </c>
      <c r="I331" s="2" t="s">
        <v>9249</v>
      </c>
      <c r="J331" s="2" t="s">
        <v>9839</v>
      </c>
      <c r="L331" s="2" t="s">
        <v>8665</v>
      </c>
      <c r="N331" s="2" t="str">
        <f aca="false">_xlfn.CONCAT(Q331," ",R331," ",S331)</f>
        <v> parkland ToW</v>
      </c>
      <c r="O331" s="2" t="s">
        <v>14</v>
      </c>
      <c r="P331" s="2" t="s">
        <v>8567</v>
      </c>
      <c r="R331" s="2" t="s">
        <v>8568</v>
      </c>
      <c r="S331" s="2" t="s">
        <v>18</v>
      </c>
      <c r="T331" s="2"/>
      <c r="U331" s="2" t="s">
        <v>8570</v>
      </c>
      <c r="V331" s="2" t="s">
        <v>9002</v>
      </c>
      <c r="W331" s="2" t="s">
        <v>8567</v>
      </c>
      <c r="X331" s="2" t="s">
        <v>8597</v>
      </c>
      <c r="Y331" s="2" t="s">
        <v>8573</v>
      </c>
      <c r="Z331" s="2" t="s">
        <v>9313</v>
      </c>
      <c r="AG331" s="7" t="s">
        <v>8824</v>
      </c>
      <c r="AS331" s="2" t="s">
        <v>8599</v>
      </c>
      <c r="AV331" s="11"/>
      <c r="BI331" s="2" t="s">
        <v>8590</v>
      </c>
      <c r="BL331" s="2" t="s">
        <v>8591</v>
      </c>
      <c r="BO331" s="2"/>
      <c r="MJM331" s="2"/>
    </row>
    <row r="332" customFormat="false" ht="19.5" hidden="false" customHeight="true" outlineLevel="0" collapsed="false">
      <c r="A332" s="2" t="s">
        <v>9840</v>
      </c>
      <c r="C332" s="2" t="str">
        <f aca="false">_xlfn.CONCAT(A332, " ","(",B332,")")</f>
        <v>Lissodema denticollis ()</v>
      </c>
      <c r="D332" s="2" t="s">
        <v>8580</v>
      </c>
      <c r="E332" s="2" t="s">
        <v>8581</v>
      </c>
      <c r="F332" s="2" t="s">
        <v>9838</v>
      </c>
      <c r="G332" s="2" t="s">
        <v>8583</v>
      </c>
      <c r="H332" s="2" t="e">
        <f aca="false">VLOOKUP(A332,'[1]NE red list'!A$1:H$1048576,5,FALSE())</f>
        <v>#N/A</v>
      </c>
      <c r="I332" s="2" t="s">
        <v>9841</v>
      </c>
      <c r="J332" s="2" t="s">
        <v>9842</v>
      </c>
      <c r="K332" s="2" t="s">
        <v>8759</v>
      </c>
      <c r="L332" s="2" t="s">
        <v>8665</v>
      </c>
      <c r="N332" s="2" t="str">
        <f aca="false">_xlfn.CONCAT(Q332," ",R332," ",S332)</f>
        <v>woodland parkland ToW</v>
      </c>
      <c r="O332" s="2" t="s">
        <v>14</v>
      </c>
      <c r="P332" s="2"/>
      <c r="Q332" s="2" t="s">
        <v>16</v>
      </c>
      <c r="R332" s="2" t="s">
        <v>8568</v>
      </c>
      <c r="S332" s="2" t="s">
        <v>18</v>
      </c>
      <c r="T332" s="2"/>
      <c r="U332" s="2" t="s">
        <v>8605</v>
      </c>
      <c r="V332" s="2" t="s">
        <v>8867</v>
      </c>
      <c r="X332" s="2" t="s">
        <v>8597</v>
      </c>
      <c r="Y332" s="2" t="s">
        <v>8573</v>
      </c>
      <c r="Z332" s="2" t="s">
        <v>8574</v>
      </c>
      <c r="AG332" s="7" t="s">
        <v>8575</v>
      </c>
      <c r="AS332" s="2" t="s">
        <v>8599</v>
      </c>
      <c r="AV332" s="11"/>
      <c r="BL332" s="2" t="s">
        <v>8591</v>
      </c>
      <c r="BO332" s="2"/>
      <c r="MJM332" s="2"/>
    </row>
    <row r="333" customFormat="false" ht="19.5" hidden="false" customHeight="true" outlineLevel="0" collapsed="false">
      <c r="A333" s="2" t="s">
        <v>9843</v>
      </c>
      <c r="C333" s="2" t="str">
        <f aca="false">_xlfn.CONCAT(A333, " ","(",B333,")")</f>
        <v>Litargus connexus ()</v>
      </c>
      <c r="D333" s="2" t="s">
        <v>8580</v>
      </c>
      <c r="E333" s="2" t="s">
        <v>8581</v>
      </c>
      <c r="F333" s="30" t="s">
        <v>9844</v>
      </c>
      <c r="H333" s="2" t="str">
        <f aca="false">VLOOKUP(A333,'[1]NE red list'!A$1:H$1048576,5,FALSE())</f>
        <v>LC</v>
      </c>
      <c r="I333" s="77" t="s">
        <v>9086</v>
      </c>
      <c r="J333" s="2" t="s">
        <v>9845</v>
      </c>
      <c r="L333" s="2" t="s">
        <v>8677</v>
      </c>
      <c r="N333" s="2" t="str">
        <f aca="false">_xlfn.CONCAT(Q333," ",R333," ",S333)</f>
        <v>woodland parkland ToW</v>
      </c>
      <c r="O333" s="2" t="s">
        <v>14</v>
      </c>
      <c r="P333" s="2"/>
      <c r="Q333" s="2" t="s">
        <v>16</v>
      </c>
      <c r="R333" s="2" t="s">
        <v>8568</v>
      </c>
      <c r="S333" s="2" t="s">
        <v>18</v>
      </c>
      <c r="T333" s="2"/>
      <c r="U333" s="2" t="s">
        <v>8570</v>
      </c>
      <c r="X333" s="2" t="s">
        <v>8625</v>
      </c>
      <c r="AM333" s="4" t="s">
        <v>8657</v>
      </c>
      <c r="AN333" s="8" t="s">
        <v>9444</v>
      </c>
      <c r="AO333" s="8" t="s">
        <v>40</v>
      </c>
      <c r="AQ333" s="8" t="s">
        <v>42</v>
      </c>
      <c r="AS333" s="2"/>
      <c r="AV333" s="11"/>
      <c r="AX333" s="4" t="s">
        <v>8607</v>
      </c>
      <c r="AY333" s="12" t="s">
        <v>8585</v>
      </c>
      <c r="BI333" s="2" t="s">
        <v>8590</v>
      </c>
      <c r="BJ333" s="2" t="s">
        <v>8630</v>
      </c>
      <c r="BL333" s="2" t="s">
        <v>8591</v>
      </c>
      <c r="BO333" s="2"/>
      <c r="MJM333" s="2"/>
    </row>
    <row r="334" customFormat="false" ht="19.5" hidden="false" customHeight="true" outlineLevel="0" collapsed="false">
      <c r="A334" s="1" t="s">
        <v>9846</v>
      </c>
      <c r="B334" s="2" t="s">
        <v>9847</v>
      </c>
      <c r="C334" s="2" t="str">
        <f aca="false">_xlfn.CONCAT(A334, " ","(",B334,")")</f>
        <v>Ptinus palliatus ((not listed))</v>
      </c>
      <c r="E334" s="2" t="s">
        <v>8581</v>
      </c>
      <c r="F334" s="2" t="s">
        <v>8818</v>
      </c>
      <c r="G334" s="2" t="s">
        <v>9801</v>
      </c>
      <c r="H334" s="2" t="str">
        <f aca="false">VLOOKUP(A334,'[1]NE red list'!A$1:H$1048576,5,FALSE())</f>
        <v>VU</v>
      </c>
      <c r="I334" s="2" t="s">
        <v>9848</v>
      </c>
      <c r="J334" s="2" t="s">
        <v>9849</v>
      </c>
      <c r="L334" s="2" t="s">
        <v>9376</v>
      </c>
      <c r="N334" s="2" t="str">
        <f aca="false">_xlfn.CONCAT(Q334," ",R334," ",S334)</f>
        <v> parkland </v>
      </c>
      <c r="O334" s="3" t="s">
        <v>14</v>
      </c>
      <c r="P334" s="2"/>
      <c r="R334" s="2" t="s">
        <v>8568</v>
      </c>
      <c r="T334" s="2"/>
      <c r="U334" s="2" t="s">
        <v>8570</v>
      </c>
      <c r="V334" s="2" t="s">
        <v>8745</v>
      </c>
      <c r="W334" s="2" t="s">
        <v>8571</v>
      </c>
      <c r="AB334" s="6" t="s">
        <v>8672</v>
      </c>
      <c r="AK334" s="7" t="s">
        <v>8627</v>
      </c>
      <c r="AO334" s="31"/>
      <c r="AS334" s="2"/>
      <c r="AT334" s="8"/>
      <c r="AV334" s="11"/>
      <c r="BA334" s="8"/>
      <c r="BB334" s="8"/>
      <c r="BC334" s="8"/>
      <c r="BD334" s="8"/>
      <c r="BE334" s="8"/>
      <c r="BF334" s="8"/>
      <c r="BG334" s="8"/>
      <c r="BH334" s="8"/>
      <c r="BI334" s="2" t="s">
        <v>8590</v>
      </c>
      <c r="BJ334" s="8"/>
      <c r="BK334" s="8"/>
      <c r="BL334" s="8"/>
      <c r="BM334" s="8"/>
      <c r="BN334" s="8" t="s">
        <v>8619</v>
      </c>
      <c r="BO334" s="2"/>
      <c r="MJM334" s="2"/>
    </row>
    <row r="335" customFormat="false" ht="19.5" hidden="false" customHeight="true" outlineLevel="0" collapsed="false">
      <c r="A335" s="2" t="s">
        <v>9850</v>
      </c>
      <c r="C335" s="2" t="str">
        <f aca="false">_xlfn.CONCAT(A335, " ","(",B335,")")</f>
        <v>Lonchaea caucasica ()</v>
      </c>
      <c r="D335" s="2" t="s">
        <v>8580</v>
      </c>
      <c r="E335" s="2" t="s">
        <v>8687</v>
      </c>
      <c r="F335" s="3" t="s">
        <v>9851</v>
      </c>
      <c r="H335" s="2" t="e">
        <f aca="false">VLOOKUP(A335,'[1]NE red list'!A$1:H$1048576,5,FALSE())</f>
        <v>#N/A</v>
      </c>
      <c r="I335" s="2" t="s">
        <v>8610</v>
      </c>
      <c r="J335" s="2" t="s">
        <v>9852</v>
      </c>
      <c r="K335" s="2" t="s">
        <v>8585</v>
      </c>
      <c r="L335" s="2" t="s">
        <v>8836</v>
      </c>
      <c r="N335" s="2" t="str">
        <f aca="false">_xlfn.CONCAT(Q335," ",R335," ",S335)</f>
        <v>woodland parkland ToW</v>
      </c>
      <c r="O335" s="2" t="s">
        <v>14</v>
      </c>
      <c r="P335" s="2"/>
      <c r="Q335" s="2" t="s">
        <v>16</v>
      </c>
      <c r="R335" s="2" t="s">
        <v>8568</v>
      </c>
      <c r="S335" s="2" t="s">
        <v>18</v>
      </c>
      <c r="T335" s="2"/>
      <c r="U335" s="2" t="s">
        <v>8570</v>
      </c>
      <c r="V335" s="2" t="s">
        <v>9038</v>
      </c>
      <c r="X335" s="2" t="s">
        <v>8625</v>
      </c>
      <c r="Z335" s="2" t="s">
        <v>8574</v>
      </c>
      <c r="AG335" s="7" t="s">
        <v>8824</v>
      </c>
      <c r="AN335" s="8" t="s">
        <v>8852</v>
      </c>
      <c r="AS335" s="2"/>
      <c r="AV335" s="11"/>
      <c r="AX335" s="4" t="s">
        <v>8585</v>
      </c>
      <c r="AY335" s="12" t="s">
        <v>8585</v>
      </c>
      <c r="BI335" s="2" t="s">
        <v>8590</v>
      </c>
      <c r="BL335" s="2" t="s">
        <v>8591</v>
      </c>
      <c r="BO335" s="2"/>
      <c r="MJM335" s="2"/>
    </row>
    <row r="336" customFormat="false" ht="19.5" hidden="false" customHeight="true" outlineLevel="0" collapsed="false">
      <c r="A336" s="2" t="s">
        <v>9853</v>
      </c>
      <c r="C336" s="2" t="str">
        <f aca="false">_xlfn.CONCAT(A336, " ","(",B336,")")</f>
        <v>Lonchaea collini ()</v>
      </c>
      <c r="D336" s="2" t="s">
        <v>8580</v>
      </c>
      <c r="E336" s="2" t="s">
        <v>8687</v>
      </c>
      <c r="F336" s="3" t="s">
        <v>9851</v>
      </c>
      <c r="H336" s="2" t="e">
        <f aca="false">VLOOKUP(A336,'[1]NE red list'!A$1:H$1048576,5,FALSE())</f>
        <v>#N/A</v>
      </c>
      <c r="I336" s="2" t="s">
        <v>8645</v>
      </c>
      <c r="J336" s="2" t="s">
        <v>9854</v>
      </c>
      <c r="L336" s="2" t="s">
        <v>8836</v>
      </c>
      <c r="N336" s="2" t="str">
        <f aca="false">_xlfn.CONCAT(Q336," ",R336," ",S336)</f>
        <v>woodland  </v>
      </c>
      <c r="O336" s="2"/>
      <c r="P336" s="2"/>
      <c r="Q336" s="2" t="s">
        <v>16</v>
      </c>
      <c r="T336" s="2"/>
      <c r="U336" s="2" t="s">
        <v>8806</v>
      </c>
      <c r="V336" s="2" t="s">
        <v>9855</v>
      </c>
      <c r="X336" s="2" t="s">
        <v>8625</v>
      </c>
      <c r="Z336" s="2" t="s">
        <v>8614</v>
      </c>
      <c r="AB336" s="5" t="s">
        <v>8672</v>
      </c>
      <c r="AG336" s="7" t="s">
        <v>8824</v>
      </c>
      <c r="AS336" s="2"/>
      <c r="AV336" s="11"/>
      <c r="BI336" s="2" t="s">
        <v>8590</v>
      </c>
      <c r="BL336" s="2" t="s">
        <v>8591</v>
      </c>
      <c r="BO336" s="2"/>
      <c r="MJM336" s="2"/>
    </row>
    <row r="337" customFormat="false" ht="19.5" hidden="false" customHeight="true" outlineLevel="0" collapsed="false">
      <c r="A337" s="2" t="s">
        <v>9856</v>
      </c>
      <c r="C337" s="2" t="str">
        <f aca="false">_xlfn.CONCAT(A337, " ","(",B337,")")</f>
        <v>Lonchaea contraria ()</v>
      </c>
      <c r="D337" s="2" t="s">
        <v>8580</v>
      </c>
      <c r="E337" s="2" t="s">
        <v>8687</v>
      </c>
      <c r="F337" s="3" t="s">
        <v>9851</v>
      </c>
      <c r="H337" s="2" t="e">
        <f aca="false">VLOOKUP(A337,'[1]NE red list'!A$1:H$1048576,5,FALSE())</f>
        <v>#N/A</v>
      </c>
      <c r="I337" s="2" t="s">
        <v>8610</v>
      </c>
      <c r="J337" s="2" t="s">
        <v>9857</v>
      </c>
      <c r="L337" s="2" t="s">
        <v>8836</v>
      </c>
      <c r="N337" s="2" t="str">
        <f aca="false">_xlfn.CONCAT(Q337," ",R337," ",S337)</f>
        <v> parkland </v>
      </c>
      <c r="O337" s="3" t="s">
        <v>14</v>
      </c>
      <c r="P337" s="2"/>
      <c r="R337" s="2" t="s">
        <v>8568</v>
      </c>
      <c r="T337" s="2"/>
      <c r="U337" s="2" t="s">
        <v>8570</v>
      </c>
      <c r="V337" s="2" t="s">
        <v>9038</v>
      </c>
      <c r="W337" s="2" t="s">
        <v>8567</v>
      </c>
      <c r="X337" s="2" t="s">
        <v>8625</v>
      </c>
      <c r="Z337" s="2" t="s">
        <v>8614</v>
      </c>
      <c r="AG337" s="7" t="s">
        <v>8824</v>
      </c>
      <c r="AN337" s="8" t="s">
        <v>8638</v>
      </c>
      <c r="AS337" s="2"/>
      <c r="AV337" s="11"/>
      <c r="BI337" s="2" t="s">
        <v>8590</v>
      </c>
      <c r="BL337" s="2" t="s">
        <v>8591</v>
      </c>
      <c r="BO337" s="2"/>
      <c r="MJM337" s="2"/>
    </row>
    <row r="338" customFormat="false" ht="19.5" hidden="false" customHeight="true" outlineLevel="0" collapsed="false">
      <c r="A338" s="2" t="s">
        <v>9858</v>
      </c>
      <c r="C338" s="2" t="str">
        <f aca="false">_xlfn.CONCAT(A338, " ","(",B338,")")</f>
        <v>Lonchaea fraxina ()</v>
      </c>
      <c r="D338" s="2" t="s">
        <v>8580</v>
      </c>
      <c r="E338" s="2" t="s">
        <v>8687</v>
      </c>
      <c r="F338" s="3" t="s">
        <v>9851</v>
      </c>
      <c r="G338" s="2" t="s">
        <v>8737</v>
      </c>
      <c r="H338" s="2" t="e">
        <f aca="false">VLOOKUP(A338,'[1]NE red list'!A$1:H$1048576,5,FALSE())</f>
        <v>#N/A</v>
      </c>
      <c r="I338" s="2" t="s">
        <v>8645</v>
      </c>
      <c r="J338" s="2" t="s">
        <v>9859</v>
      </c>
      <c r="L338" s="2" t="s">
        <v>8836</v>
      </c>
      <c r="N338" s="2" t="str">
        <f aca="false">_xlfn.CONCAT(Q338," ",R338," ",S338)</f>
        <v>woodland parkland ToW</v>
      </c>
      <c r="O338" s="2" t="s">
        <v>14</v>
      </c>
      <c r="P338" s="2"/>
      <c r="Q338" s="2" t="s">
        <v>16</v>
      </c>
      <c r="R338" s="2" t="s">
        <v>8568</v>
      </c>
      <c r="S338" s="2" t="s">
        <v>18</v>
      </c>
      <c r="T338" s="2"/>
      <c r="U338" s="2" t="s">
        <v>8570</v>
      </c>
      <c r="V338" s="2" t="s">
        <v>9002</v>
      </c>
      <c r="X338" s="2" t="s">
        <v>8625</v>
      </c>
      <c r="Z338" s="2" t="s">
        <v>8574</v>
      </c>
      <c r="AG338" s="7" t="s">
        <v>8824</v>
      </c>
      <c r="AM338" s="4" t="s">
        <v>8657</v>
      </c>
      <c r="AN338" s="8" t="s">
        <v>9444</v>
      </c>
      <c r="AO338" s="8" t="s">
        <v>40</v>
      </c>
      <c r="AQ338" s="8" t="s">
        <v>42</v>
      </c>
      <c r="AS338" s="2"/>
      <c r="AV338" s="11"/>
      <c r="BI338" s="2" t="s">
        <v>8590</v>
      </c>
      <c r="BL338" s="2" t="s">
        <v>8591</v>
      </c>
      <c r="BO338" s="2"/>
      <c r="MJM338" s="2"/>
    </row>
    <row r="339" customFormat="false" ht="19.5" hidden="false" customHeight="true" outlineLevel="0" collapsed="false">
      <c r="A339" s="2" t="s">
        <v>9860</v>
      </c>
      <c r="C339" s="2" t="str">
        <f aca="false">_xlfn.CONCAT(A339, " ","(",B339,")")</f>
        <v>Lonchaea hackmani ()</v>
      </c>
      <c r="D339" s="2" t="s">
        <v>8580</v>
      </c>
      <c r="E339" s="2" t="s">
        <v>8687</v>
      </c>
      <c r="F339" s="3" t="s">
        <v>9851</v>
      </c>
      <c r="H339" s="2" t="e">
        <f aca="false">VLOOKUP(A339,'[1]NE red list'!A$1:H$1048576,5,FALSE())</f>
        <v>#N/A</v>
      </c>
      <c r="I339" s="2" t="s">
        <v>8750</v>
      </c>
      <c r="J339" s="2" t="s">
        <v>9861</v>
      </c>
      <c r="L339" s="2" t="s">
        <v>8836</v>
      </c>
      <c r="N339" s="2" t="str">
        <f aca="false">_xlfn.CONCAT(Q339," ",R339," ",S339)</f>
        <v>woodland  </v>
      </c>
      <c r="O339" s="2" t="s">
        <v>14</v>
      </c>
      <c r="P339" s="2"/>
      <c r="Q339" s="2" t="s">
        <v>16</v>
      </c>
      <c r="T339" s="2"/>
      <c r="U339" s="2" t="s">
        <v>8570</v>
      </c>
      <c r="V339" s="2" t="s">
        <v>9862</v>
      </c>
      <c r="X339" s="2" t="s">
        <v>8625</v>
      </c>
      <c r="Z339" s="2" t="s">
        <v>8614</v>
      </c>
      <c r="AG339" s="7" t="s">
        <v>8824</v>
      </c>
      <c r="AN339" s="8" t="s">
        <v>8638</v>
      </c>
      <c r="AS339" s="2"/>
      <c r="AV339" s="11"/>
      <c r="BI339" s="2" t="s">
        <v>8590</v>
      </c>
      <c r="BL339" s="2" t="s">
        <v>8591</v>
      </c>
      <c r="BO339" s="2"/>
      <c r="MJM339" s="2"/>
    </row>
    <row r="340" customFormat="false" ht="19.5" hidden="false" customHeight="true" outlineLevel="0" collapsed="false">
      <c r="A340" s="2" t="s">
        <v>9863</v>
      </c>
      <c r="C340" s="2" t="str">
        <f aca="false">_xlfn.CONCAT(A340, " ","(",B340,")")</f>
        <v>Lonchaea mallochi ()</v>
      </c>
      <c r="D340" s="2" t="s">
        <v>8580</v>
      </c>
      <c r="E340" s="2" t="s">
        <v>8687</v>
      </c>
      <c r="F340" s="3" t="s">
        <v>9851</v>
      </c>
      <c r="H340" s="2" t="e">
        <f aca="false">VLOOKUP(A340,'[1]NE red list'!A$1:H$1048576,5,FALSE())</f>
        <v>#N/A</v>
      </c>
      <c r="I340" s="2" t="s">
        <v>8564</v>
      </c>
      <c r="J340" s="2" t="s">
        <v>9864</v>
      </c>
      <c r="L340" s="2" t="s">
        <v>8836</v>
      </c>
      <c r="N340" s="2" t="str">
        <f aca="false">_xlfn.CONCAT(Q340," ",R340," ",S340)</f>
        <v> parkland </v>
      </c>
      <c r="O340" s="3" t="s">
        <v>14</v>
      </c>
      <c r="P340" s="2"/>
      <c r="R340" s="2" t="s">
        <v>8568</v>
      </c>
      <c r="T340" s="2"/>
      <c r="U340" s="2" t="s">
        <v>8570</v>
      </c>
      <c r="V340" s="2" t="s">
        <v>9865</v>
      </c>
      <c r="X340" s="2" t="s">
        <v>8625</v>
      </c>
      <c r="Z340" s="2" t="s">
        <v>8574</v>
      </c>
      <c r="AG340" s="7" t="s">
        <v>8824</v>
      </c>
      <c r="AN340" s="8" t="s">
        <v>8638</v>
      </c>
      <c r="AS340" s="2"/>
      <c r="AV340" s="11"/>
      <c r="BI340" s="2" t="s">
        <v>8590</v>
      </c>
      <c r="BJ340" s="2" t="s">
        <v>8601</v>
      </c>
      <c r="BL340" s="2" t="s">
        <v>8591</v>
      </c>
      <c r="BO340" s="2"/>
      <c r="MJM340" s="2"/>
    </row>
    <row r="341" customFormat="false" ht="19.5" hidden="false" customHeight="true" outlineLevel="0" collapsed="false">
      <c r="A341" s="2" t="s">
        <v>9866</v>
      </c>
      <c r="C341" s="2" t="str">
        <f aca="false">_xlfn.CONCAT(A341, " ","(",B341,")")</f>
        <v>Lonchaea peregrina ()</v>
      </c>
      <c r="D341" s="2" t="s">
        <v>8580</v>
      </c>
      <c r="E341" s="2" t="s">
        <v>8687</v>
      </c>
      <c r="F341" s="3" t="s">
        <v>9851</v>
      </c>
      <c r="G341" s="2" t="s">
        <v>8737</v>
      </c>
      <c r="H341" s="2" t="e">
        <f aca="false">VLOOKUP(A341,'[1]NE red list'!A$1:H$1048576,5,FALSE())</f>
        <v>#N/A</v>
      </c>
      <c r="I341" s="2" t="s">
        <v>8645</v>
      </c>
      <c r="J341" s="2" t="s">
        <v>9867</v>
      </c>
      <c r="L341" s="2" t="s">
        <v>8836</v>
      </c>
      <c r="N341" s="2" t="str">
        <f aca="false">_xlfn.CONCAT(Q341," ",R341," ",S341)</f>
        <v>woodland parkland ToW</v>
      </c>
      <c r="O341" s="2" t="s">
        <v>14</v>
      </c>
      <c r="P341" s="2"/>
      <c r="Q341" s="2" t="s">
        <v>16</v>
      </c>
      <c r="R341" s="2" t="s">
        <v>8568</v>
      </c>
      <c r="S341" s="2" t="s">
        <v>18</v>
      </c>
      <c r="T341" s="2"/>
      <c r="U341" s="2" t="s">
        <v>8570</v>
      </c>
      <c r="V341" s="2" t="s">
        <v>9868</v>
      </c>
      <c r="X341" s="2" t="s">
        <v>8625</v>
      </c>
      <c r="Z341" s="2" t="s">
        <v>8614</v>
      </c>
      <c r="AG341" s="7" t="s">
        <v>8824</v>
      </c>
      <c r="AN341" s="8" t="s">
        <v>8638</v>
      </c>
      <c r="AS341" s="2"/>
      <c r="AV341" s="11"/>
      <c r="BI341" s="2" t="s">
        <v>8590</v>
      </c>
      <c r="BL341" s="2" t="s">
        <v>8591</v>
      </c>
      <c r="BO341" s="2"/>
      <c r="MJM341" s="2"/>
    </row>
    <row r="342" customFormat="false" ht="19.5" hidden="false" customHeight="true" outlineLevel="0" collapsed="false">
      <c r="A342" s="2" t="s">
        <v>9869</v>
      </c>
      <c r="C342" s="2" t="str">
        <f aca="false">_xlfn.CONCAT(A342, " ","(",B342,")")</f>
        <v>Lonchaea serrata ()</v>
      </c>
      <c r="D342" s="2" t="s">
        <v>8580</v>
      </c>
      <c r="E342" s="2" t="s">
        <v>8687</v>
      </c>
      <c r="F342" s="3" t="s">
        <v>9851</v>
      </c>
      <c r="G342" s="2" t="s">
        <v>9870</v>
      </c>
      <c r="H342" s="2" t="e">
        <f aca="false">VLOOKUP(A342,'[1]NE red list'!A$1:H$1048576,5,FALSE())</f>
        <v>#N/A</v>
      </c>
      <c r="I342" s="2" t="s">
        <v>8610</v>
      </c>
      <c r="J342" s="2" t="s">
        <v>9871</v>
      </c>
      <c r="L342" s="2" t="s">
        <v>8836</v>
      </c>
      <c r="N342" s="2" t="str">
        <f aca="false">_xlfn.CONCAT(Q342," ",R342," ",S342)</f>
        <v> parkland </v>
      </c>
      <c r="O342" s="3" t="s">
        <v>14</v>
      </c>
      <c r="P342" s="2"/>
      <c r="R342" s="2" t="s">
        <v>8568</v>
      </c>
      <c r="T342" s="2"/>
      <c r="U342" s="2" t="s">
        <v>8570</v>
      </c>
      <c r="V342" s="2" t="s">
        <v>9872</v>
      </c>
      <c r="X342" s="2" t="s">
        <v>8625</v>
      </c>
      <c r="Z342" s="2" t="s">
        <v>8574</v>
      </c>
      <c r="AG342" s="7" t="s">
        <v>8824</v>
      </c>
      <c r="AN342" s="8" t="s">
        <v>8638</v>
      </c>
      <c r="AS342" s="2"/>
      <c r="AV342" s="11"/>
      <c r="BI342" s="2" t="s">
        <v>8590</v>
      </c>
      <c r="BL342" s="2" t="s">
        <v>8591</v>
      </c>
      <c r="BO342" s="2"/>
      <c r="MJM342" s="2"/>
    </row>
    <row r="343" s="61" customFormat="true" ht="19.5" hidden="false" customHeight="true" outlineLevel="0" collapsed="false">
      <c r="A343" s="1" t="s">
        <v>9873</v>
      </c>
      <c r="B343" s="3" t="s">
        <v>9874</v>
      </c>
      <c r="C343" s="2" t="str">
        <f aca="false">_xlfn.CONCAT(A343, " ","(",B343,")")</f>
        <v>Lophophanes cristatus (Crested tit)</v>
      </c>
      <c r="D343" s="2" t="s">
        <v>8560</v>
      </c>
      <c r="E343" s="2" t="s">
        <v>8561</v>
      </c>
      <c r="F343" s="2" t="s">
        <v>9328</v>
      </c>
      <c r="G343" s="2" t="s">
        <v>9115</v>
      </c>
      <c r="H343" s="2" t="e">
        <f aca="false">VLOOKUP(A343,'[1]NE red list'!A$1:H$1048576,5,FALSE())</f>
        <v>#N/A</v>
      </c>
      <c r="I343" s="2" t="s">
        <v>8874</v>
      </c>
      <c r="J343" s="62" t="s">
        <v>9875</v>
      </c>
      <c r="K343" s="2"/>
      <c r="L343" s="2" t="s">
        <v>8566</v>
      </c>
      <c r="M343" s="2"/>
      <c r="N343" s="2" t="str">
        <f aca="false">_xlfn.CONCAT(Q343," ",R343," ",S343)</f>
        <v>woodland  </v>
      </c>
      <c r="O343" s="3"/>
      <c r="P343" s="2" t="s">
        <v>8567</v>
      </c>
      <c r="Q343" s="3" t="s">
        <v>16</v>
      </c>
      <c r="R343" s="2"/>
      <c r="S343" s="2"/>
      <c r="T343" s="3"/>
      <c r="U343" s="2" t="s">
        <v>9876</v>
      </c>
      <c r="V343" s="2" t="s">
        <v>8867</v>
      </c>
      <c r="W343" s="2" t="s">
        <v>8567</v>
      </c>
      <c r="X343" s="2" t="s">
        <v>9189</v>
      </c>
      <c r="Y343" s="2" t="s">
        <v>8573</v>
      </c>
      <c r="Z343" s="2" t="s">
        <v>8598</v>
      </c>
      <c r="AA343" s="4" t="s">
        <v>26</v>
      </c>
      <c r="AB343" s="5"/>
      <c r="AC343" s="6" t="s">
        <v>30</v>
      </c>
      <c r="AD343" s="6" t="s">
        <v>8615</v>
      </c>
      <c r="AE343" s="6"/>
      <c r="AF343" s="6" t="s">
        <v>8616</v>
      </c>
      <c r="AG343" s="7"/>
      <c r="AH343" s="7"/>
      <c r="AI343" s="7"/>
      <c r="AJ343" s="7"/>
      <c r="AK343" s="7"/>
      <c r="AL343" s="7"/>
      <c r="AM343" s="4"/>
      <c r="AS343" s="9"/>
      <c r="AU343" s="4"/>
      <c r="AV343" s="10"/>
      <c r="AW343" s="11"/>
      <c r="AX343" s="4"/>
      <c r="AY343" s="12"/>
      <c r="AZ343" s="12"/>
    </row>
    <row r="344" customFormat="false" ht="19.5" hidden="false" customHeight="true" outlineLevel="0" collapsed="false">
      <c r="A344" s="2" t="s">
        <v>9877</v>
      </c>
      <c r="C344" s="2" t="str">
        <f aca="false">_xlfn.CONCAT(A344, " ","(",B344,")")</f>
        <v>Loricula elegantula ()</v>
      </c>
      <c r="D344" s="2" t="s">
        <v>8580</v>
      </c>
      <c r="E344" s="2" t="s">
        <v>8642</v>
      </c>
      <c r="F344" s="30" t="s">
        <v>9878</v>
      </c>
      <c r="G344" s="2" t="s">
        <v>8737</v>
      </c>
      <c r="H344" s="2" t="e">
        <f aca="false">VLOOKUP(A344,'[1]NE red list'!A$1:H$1048576,5,FALSE())</f>
        <v>#N/A</v>
      </c>
      <c r="I344" s="2" t="s">
        <v>8645</v>
      </c>
      <c r="J344" s="2" t="s">
        <v>9879</v>
      </c>
      <c r="L344" s="2" t="s">
        <v>8665</v>
      </c>
      <c r="N344" s="2" t="str">
        <f aca="false">_xlfn.CONCAT(Q344," ",R344," ",S344)</f>
        <v>woodland parkland ToW</v>
      </c>
      <c r="O344" s="2" t="s">
        <v>14</v>
      </c>
      <c r="P344" s="2"/>
      <c r="Q344" s="2" t="s">
        <v>16</v>
      </c>
      <c r="R344" s="2" t="s">
        <v>8568</v>
      </c>
      <c r="S344" s="2" t="s">
        <v>18</v>
      </c>
      <c r="T344" s="2"/>
      <c r="U344" s="2" t="s">
        <v>8605</v>
      </c>
      <c r="X344" s="2" t="s">
        <v>8589</v>
      </c>
      <c r="AG344" s="7" t="s">
        <v>8575</v>
      </c>
      <c r="AN344" s="8" t="s">
        <v>8858</v>
      </c>
      <c r="AS344" s="2"/>
      <c r="AU344" s="4" t="s">
        <v>8639</v>
      </c>
      <c r="AV344" s="11"/>
      <c r="AW344" s="11" t="s">
        <v>8726</v>
      </c>
      <c r="AX344" s="4" t="s">
        <v>8607</v>
      </c>
      <c r="BL344" s="2" t="s">
        <v>8591</v>
      </c>
      <c r="BO344" s="2"/>
      <c r="MJM344" s="2"/>
    </row>
    <row r="345" customFormat="false" ht="19.5" hidden="false" customHeight="true" outlineLevel="0" collapsed="false">
      <c r="A345" s="2" t="s">
        <v>9880</v>
      </c>
      <c r="C345" s="2" t="str">
        <f aca="false">_xlfn.CONCAT(A345, " ","(",B345,")")</f>
        <v>Loricula pselaphiformis ()</v>
      </c>
      <c r="D345" s="2" t="s">
        <v>8580</v>
      </c>
      <c r="E345" s="2" t="s">
        <v>8642</v>
      </c>
      <c r="F345" s="3" t="s">
        <v>9878</v>
      </c>
      <c r="G345" s="2" t="s">
        <v>8737</v>
      </c>
      <c r="H345" s="2" t="e">
        <f aca="false">VLOOKUP(A345,'[1]NE red list'!A$1:H$1048576,5,FALSE())</f>
        <v>#N/A</v>
      </c>
      <c r="I345" s="2" t="s">
        <v>8645</v>
      </c>
      <c r="J345" s="2" t="s">
        <v>9881</v>
      </c>
      <c r="L345" s="2" t="s">
        <v>8665</v>
      </c>
      <c r="N345" s="2" t="str">
        <f aca="false">_xlfn.CONCAT(Q345," ",R345," ",S345)</f>
        <v>woodland parkland ToW</v>
      </c>
      <c r="O345" s="2" t="s">
        <v>14</v>
      </c>
      <c r="P345" s="2" t="s">
        <v>8587</v>
      </c>
      <c r="Q345" s="2" t="s">
        <v>16</v>
      </c>
      <c r="R345" s="2" t="s">
        <v>8568</v>
      </c>
      <c r="S345" s="2" t="s">
        <v>18</v>
      </c>
      <c r="T345" s="2"/>
      <c r="U345" s="2" t="s">
        <v>8570</v>
      </c>
      <c r="V345" s="2" t="s">
        <v>9882</v>
      </c>
      <c r="W345" s="2" t="s">
        <v>8567</v>
      </c>
      <c r="X345" s="2" t="s">
        <v>8597</v>
      </c>
      <c r="Y345" s="2" t="s">
        <v>8573</v>
      </c>
      <c r="Z345" s="2" t="s">
        <v>8574</v>
      </c>
      <c r="AG345" s="7" t="s">
        <v>8575</v>
      </c>
      <c r="AN345" s="8" t="s">
        <v>8858</v>
      </c>
      <c r="AS345" s="2" t="s">
        <v>8599</v>
      </c>
      <c r="AU345" s="4" t="s">
        <v>8639</v>
      </c>
      <c r="AV345" s="11"/>
      <c r="AW345" s="11" t="s">
        <v>8726</v>
      </c>
      <c r="BI345" s="2" t="s">
        <v>8590</v>
      </c>
      <c r="BL345" s="2" t="s">
        <v>8591</v>
      </c>
      <c r="BO345" s="2"/>
      <c r="MJM345" s="2"/>
    </row>
    <row r="346" customFormat="false" ht="19.5" hidden="false" customHeight="true" outlineLevel="0" collapsed="false">
      <c r="A346" s="2" t="s">
        <v>9883</v>
      </c>
      <c r="C346" s="2" t="str">
        <f aca="false">_xlfn.CONCAT(A346, " ","(",B346,")")</f>
        <v>Pyrrhidium sanguineum ()</v>
      </c>
      <c r="D346" s="2" t="s">
        <v>8580</v>
      </c>
      <c r="E346" s="2" t="s">
        <v>8581</v>
      </c>
      <c r="F346" s="2" t="s">
        <v>8787</v>
      </c>
      <c r="G346" s="2" t="s">
        <v>8662</v>
      </c>
      <c r="H346" s="2" t="str">
        <f aca="false">VLOOKUP(A346,'[1]NE red list'!A$1:H$1048576,5,FALSE())</f>
        <v>LC</v>
      </c>
      <c r="I346" s="2" t="s">
        <v>8750</v>
      </c>
      <c r="J346" s="2" t="s">
        <v>9884</v>
      </c>
      <c r="K346" s="2" t="s">
        <v>8637</v>
      </c>
      <c r="L346" s="2" t="s">
        <v>8613</v>
      </c>
      <c r="N346" s="2" t="str">
        <f aca="false">_xlfn.CONCAT(Q346," ",R346," ",S346)</f>
        <v> parkland </v>
      </c>
      <c r="O346" s="3" t="s">
        <v>14</v>
      </c>
      <c r="P346" s="2"/>
      <c r="R346" s="2" t="s">
        <v>8568</v>
      </c>
      <c r="T346" s="2"/>
      <c r="U346" s="2" t="s">
        <v>8570</v>
      </c>
      <c r="V346" s="2" t="s">
        <v>8745</v>
      </c>
      <c r="X346" s="2" t="s">
        <v>9885</v>
      </c>
      <c r="Z346" s="2" t="s">
        <v>8574</v>
      </c>
      <c r="AG346" s="7" t="s">
        <v>8824</v>
      </c>
      <c r="AN346" s="8" t="s">
        <v>8829</v>
      </c>
      <c r="AS346" s="2" t="s">
        <v>8599</v>
      </c>
      <c r="AV346" s="11"/>
      <c r="BI346" s="2" t="s">
        <v>8590</v>
      </c>
      <c r="BJ346" s="2" t="s">
        <v>8747</v>
      </c>
      <c r="BL346" s="2" t="s">
        <v>8591</v>
      </c>
      <c r="BO346" s="2"/>
      <c r="MJM346" s="2"/>
    </row>
    <row r="347" customFormat="false" ht="19.5" hidden="false" customHeight="true" outlineLevel="0" collapsed="false">
      <c r="A347" s="2" t="s">
        <v>9886</v>
      </c>
      <c r="C347" s="2" t="str">
        <f aca="false">_xlfn.CONCAT(A347, " ","(",B347,")")</f>
        <v>Luffia lapidella
 ()</v>
      </c>
      <c r="D347" s="2" t="s">
        <v>8580</v>
      </c>
      <c r="E347" s="2" t="s">
        <v>8722</v>
      </c>
      <c r="F347" s="2" t="s">
        <v>8962</v>
      </c>
      <c r="H347" s="2" t="e">
        <f aca="false">VLOOKUP(A347,'[1]NE red list'!A$1:H$1048576,5,FALSE())</f>
        <v>#N/A</v>
      </c>
      <c r="I347" s="2" t="s">
        <v>8645</v>
      </c>
      <c r="J347" s="33" t="s">
        <v>9887</v>
      </c>
      <c r="L347" s="2" t="s">
        <v>8725</v>
      </c>
      <c r="M347" s="33"/>
      <c r="N347" s="2" t="str">
        <f aca="false">_xlfn.CONCAT(Q347," ",R347," ",S347)</f>
        <v>woodland parkland ToW</v>
      </c>
      <c r="O347" s="2" t="s">
        <v>14</v>
      </c>
      <c r="P347" s="2"/>
      <c r="Q347" s="2" t="s">
        <v>16</v>
      </c>
      <c r="R347" s="2" t="s">
        <v>8568</v>
      </c>
      <c r="S347" s="2" t="s">
        <v>18</v>
      </c>
      <c r="U347" s="2" t="s">
        <v>8605</v>
      </c>
      <c r="W347" s="3"/>
      <c r="X347" s="2" t="s">
        <v>8589</v>
      </c>
      <c r="AS347" s="2"/>
      <c r="AV347" s="11"/>
      <c r="BC347" s="2" t="s">
        <v>8600</v>
      </c>
      <c r="BO347" s="2"/>
      <c r="MJM347" s="2"/>
    </row>
    <row r="348" customFormat="false" ht="19.5" hidden="false" customHeight="true" outlineLevel="0" collapsed="false">
      <c r="A348" s="2" t="s">
        <v>9888</v>
      </c>
      <c r="C348" s="2" t="str">
        <f aca="false">_xlfn.CONCAT(A348, " ","(",B348,")")</f>
        <v>Lymantor coryli ()</v>
      </c>
      <c r="D348" s="2" t="s">
        <v>8580</v>
      </c>
      <c r="E348" s="2" t="s">
        <v>8581</v>
      </c>
      <c r="F348" s="2" t="s">
        <v>8632</v>
      </c>
      <c r="G348" s="2" t="s">
        <v>8662</v>
      </c>
      <c r="H348" s="2" t="e">
        <f aca="false">VLOOKUP(A348,'[1]NE red list'!A$1:H$1048576,5,FALSE())</f>
        <v>#N/A</v>
      </c>
      <c r="I348" s="2" t="s">
        <v>8610</v>
      </c>
      <c r="J348" s="2" t="s">
        <v>9889</v>
      </c>
      <c r="K348" s="2" t="s">
        <v>9890</v>
      </c>
      <c r="L348" s="2" t="s">
        <v>8613</v>
      </c>
      <c r="N348" s="2" t="str">
        <f aca="false">_xlfn.CONCAT(Q348," ",R348," ",S348)</f>
        <v>woodland  </v>
      </c>
      <c r="O348" s="2"/>
      <c r="P348" s="2"/>
      <c r="Q348" s="2" t="s">
        <v>16</v>
      </c>
      <c r="T348" s="2"/>
      <c r="U348" s="2" t="s">
        <v>8570</v>
      </c>
      <c r="V348" s="2" t="s">
        <v>9891</v>
      </c>
      <c r="X348" s="2" t="s">
        <v>8597</v>
      </c>
      <c r="Y348" s="2" t="s">
        <v>8573</v>
      </c>
      <c r="Z348" s="2" t="s">
        <v>8574</v>
      </c>
      <c r="AG348" s="7" t="s">
        <v>8824</v>
      </c>
      <c r="AS348" s="2" t="s">
        <v>8599</v>
      </c>
      <c r="AV348" s="11"/>
      <c r="BD348" s="2" t="s">
        <v>8793</v>
      </c>
      <c r="BI348" s="2" t="s">
        <v>8590</v>
      </c>
      <c r="BL348" s="2" t="s">
        <v>8591</v>
      </c>
      <c r="BO348" s="2"/>
      <c r="MJM348" s="2"/>
    </row>
    <row r="349" customFormat="false" ht="19.5" hidden="false" customHeight="true" outlineLevel="0" collapsed="false">
      <c r="A349" s="2" t="s">
        <v>9892</v>
      </c>
      <c r="C349" s="2" t="str">
        <f aca="false">_xlfn.CONCAT(A349, " ","(",B349,")")</f>
        <v>Lymexylon navale ()</v>
      </c>
      <c r="D349" s="2" t="s">
        <v>8580</v>
      </c>
      <c r="E349" s="2" t="s">
        <v>8581</v>
      </c>
      <c r="F349" s="2" t="s">
        <v>9893</v>
      </c>
      <c r="G349" s="2" t="s">
        <v>8583</v>
      </c>
      <c r="H349" s="2" t="str">
        <f aca="false">VLOOKUP(A349,'[1]NE red list'!A$1:H$1048576,5,FALSE())</f>
        <v>LC</v>
      </c>
      <c r="I349" s="2" t="s">
        <v>9223</v>
      </c>
      <c r="J349" s="2" t="s">
        <v>9894</v>
      </c>
      <c r="K349" s="2" t="s">
        <v>9895</v>
      </c>
      <c r="L349" s="2" t="s">
        <v>8836</v>
      </c>
      <c r="N349" s="2" t="str">
        <f aca="false">_xlfn.CONCAT(Q349," ",R349," ",S349)</f>
        <v>woodland parkland </v>
      </c>
      <c r="O349" s="3" t="s">
        <v>14</v>
      </c>
      <c r="P349" s="2" t="s">
        <v>8587</v>
      </c>
      <c r="Q349" s="2" t="s">
        <v>16</v>
      </c>
      <c r="R349" s="2" t="s">
        <v>8568</v>
      </c>
      <c r="T349" s="2"/>
      <c r="U349" s="2" t="s">
        <v>8570</v>
      </c>
      <c r="V349" s="2" t="s">
        <v>9896</v>
      </c>
      <c r="W349" s="2" t="s">
        <v>8567</v>
      </c>
      <c r="X349" s="2" t="s">
        <v>8625</v>
      </c>
      <c r="Z349" s="2" t="s">
        <v>8574</v>
      </c>
      <c r="AG349" s="7" t="s">
        <v>8575</v>
      </c>
      <c r="AI349" s="7" t="s">
        <v>8617</v>
      </c>
      <c r="AK349" s="7" t="s">
        <v>8627</v>
      </c>
      <c r="AS349" s="2"/>
      <c r="AV349" s="11"/>
      <c r="BI349" s="2" t="s">
        <v>8590</v>
      </c>
      <c r="BJ349" s="2" t="s">
        <v>8747</v>
      </c>
      <c r="BL349" s="2" t="s">
        <v>8591</v>
      </c>
      <c r="BO349" s="2"/>
      <c r="MJM349" s="2"/>
    </row>
    <row r="350" customFormat="false" ht="19.5" hidden="false" customHeight="true" outlineLevel="0" collapsed="false">
      <c r="A350" s="2" t="s">
        <v>9897</v>
      </c>
      <c r="C350" s="2" t="str">
        <f aca="false">_xlfn.CONCAT(A350, " ","(",B350,")")</f>
        <v>Macronychia polyodon ()</v>
      </c>
      <c r="D350" s="2" t="s">
        <v>8580</v>
      </c>
      <c r="E350" s="2" t="s">
        <v>8687</v>
      </c>
      <c r="F350" s="35" t="s">
        <v>9898</v>
      </c>
      <c r="G350" s="2" t="s">
        <v>8662</v>
      </c>
      <c r="H350" s="2" t="e">
        <f aca="false">VLOOKUP(A350,'[1]NE red list'!A$1:H$1048576,5,FALSE())</f>
        <v>#N/A</v>
      </c>
      <c r="I350" s="2" t="s">
        <v>8564</v>
      </c>
      <c r="J350" s="2" t="s">
        <v>9899</v>
      </c>
      <c r="L350" s="2" t="s">
        <v>8948</v>
      </c>
      <c r="N350" s="2" t="str">
        <f aca="false">_xlfn.CONCAT(Q350," ",R350," ",S350)</f>
        <v>  ToW</v>
      </c>
      <c r="O350" s="2" t="s">
        <v>14</v>
      </c>
      <c r="P350" s="2"/>
      <c r="S350" s="2" t="s">
        <v>18</v>
      </c>
      <c r="T350" s="2"/>
      <c r="U350" s="2" t="s">
        <v>8570</v>
      </c>
      <c r="Z350" s="2" t="s">
        <v>8574</v>
      </c>
      <c r="AB350" s="5" t="s">
        <v>9900</v>
      </c>
      <c r="AS350" s="2"/>
      <c r="AV350" s="11"/>
      <c r="BK350" s="2" t="s">
        <v>9901</v>
      </c>
      <c r="BL350" s="2" t="s">
        <v>8591</v>
      </c>
      <c r="BO350" s="2"/>
      <c r="MJM350" s="2"/>
    </row>
    <row r="351" customFormat="false" ht="19.5" hidden="false" customHeight="true" outlineLevel="0" collapsed="false">
      <c r="A351" s="2" t="s">
        <v>9902</v>
      </c>
      <c r="C351" s="2" t="str">
        <f aca="false">_xlfn.CONCAT(A351, " ","(",B351,")")</f>
        <v>Macronychia striginervis ()</v>
      </c>
      <c r="D351" s="2" t="s">
        <v>8580</v>
      </c>
      <c r="E351" s="2" t="s">
        <v>8687</v>
      </c>
      <c r="F351" s="35" t="s">
        <v>9898</v>
      </c>
      <c r="G351" s="2" t="s">
        <v>9777</v>
      </c>
      <c r="H351" s="2" t="e">
        <f aca="false">VLOOKUP(A351,'[1]NE red list'!A$1:H$1048576,5,FALSE())</f>
        <v>#N/A</v>
      </c>
      <c r="I351" s="2" t="s">
        <v>8714</v>
      </c>
      <c r="J351" s="2" t="s">
        <v>9899</v>
      </c>
      <c r="L351" s="2" t="s">
        <v>8948</v>
      </c>
      <c r="N351" s="2" t="str">
        <f aca="false">_xlfn.CONCAT(Q351," ",R351," ",S351)</f>
        <v>  ToW</v>
      </c>
      <c r="O351" s="2" t="s">
        <v>14</v>
      </c>
      <c r="P351" s="2"/>
      <c r="S351" s="2" t="s">
        <v>18</v>
      </c>
      <c r="T351" s="2"/>
      <c r="U351" s="2" t="s">
        <v>8570</v>
      </c>
      <c r="Z351" s="2" t="s">
        <v>8574</v>
      </c>
      <c r="AB351" s="5" t="s">
        <v>9900</v>
      </c>
      <c r="AS351" s="2"/>
      <c r="AV351" s="11"/>
      <c r="BK351" s="2" t="s">
        <v>9901</v>
      </c>
      <c r="BL351" s="2" t="s">
        <v>8591</v>
      </c>
      <c r="BO351" s="2"/>
      <c r="MJM351" s="2"/>
    </row>
    <row r="352" customFormat="false" ht="19.5" hidden="false" customHeight="true" outlineLevel="0" collapsed="false">
      <c r="A352" s="1" t="s">
        <v>9903</v>
      </c>
      <c r="B352" s="2" t="s">
        <v>9904</v>
      </c>
      <c r="C352" s="2" t="str">
        <f aca="false">_xlfn.CONCAT(A352, " ","(",B352,")")</f>
        <v>Malachius bipustulatus (Malachite Beetle)</v>
      </c>
      <c r="D352" s="2" t="s">
        <v>8580</v>
      </c>
      <c r="E352" s="2" t="s">
        <v>8581</v>
      </c>
      <c r="F352" s="2" t="s">
        <v>8668</v>
      </c>
      <c r="G352" s="2" t="s">
        <v>8731</v>
      </c>
      <c r="H352" s="2" t="str">
        <f aca="false">VLOOKUP(A352,'[1]NE red list'!A$1:H$1048576,5,FALSE())</f>
        <v>LC</v>
      </c>
      <c r="I352" s="2" t="s">
        <v>8645</v>
      </c>
      <c r="J352" s="2" t="s">
        <v>9905</v>
      </c>
      <c r="L352" s="2" t="s">
        <v>9906</v>
      </c>
      <c r="N352" s="2" t="str">
        <f aca="false">_xlfn.CONCAT(Q352," ",R352," ",S352)</f>
        <v> parkland ToW</v>
      </c>
      <c r="O352" s="2" t="s">
        <v>14</v>
      </c>
      <c r="P352" s="2"/>
      <c r="R352" s="2" t="s">
        <v>8568</v>
      </c>
      <c r="S352" s="2" t="s">
        <v>18</v>
      </c>
      <c r="T352" s="2" t="s">
        <v>8569</v>
      </c>
      <c r="U352" s="2" t="s">
        <v>8570</v>
      </c>
      <c r="X352" s="2" t="s">
        <v>8625</v>
      </c>
      <c r="Z352" s="2" t="s">
        <v>8574</v>
      </c>
      <c r="AB352" s="5" t="s">
        <v>8672</v>
      </c>
      <c r="AG352" s="7" t="s">
        <v>8824</v>
      </c>
      <c r="AM352" s="4" t="s">
        <v>8657</v>
      </c>
      <c r="AN352" s="8" t="s">
        <v>8852</v>
      </c>
      <c r="AO352" s="8" t="s">
        <v>40</v>
      </c>
      <c r="AQ352" s="8" t="s">
        <v>42</v>
      </c>
      <c r="AS352" s="2"/>
      <c r="AV352" s="11"/>
      <c r="BB352" s="2" t="s">
        <v>8618</v>
      </c>
      <c r="BC352" s="2" t="s">
        <v>9427</v>
      </c>
      <c r="BI352" s="2" t="s">
        <v>8590</v>
      </c>
      <c r="BJ352" s="2" t="s">
        <v>8630</v>
      </c>
      <c r="BL352" s="2" t="s">
        <v>8591</v>
      </c>
      <c r="BO352" s="2"/>
      <c r="MJM352" s="2"/>
    </row>
    <row r="353" customFormat="false" ht="19.5" hidden="false" customHeight="true" outlineLevel="0" collapsed="false">
      <c r="A353" s="2" t="s">
        <v>9907</v>
      </c>
      <c r="C353" s="2" t="str">
        <f aca="false">_xlfn.CONCAT(A353, " ","(",B353,")")</f>
        <v>Mallota cimbiciformis ()</v>
      </c>
      <c r="D353" s="2" t="s">
        <v>8580</v>
      </c>
      <c r="E353" s="2" t="s">
        <v>8687</v>
      </c>
      <c r="F353" s="2" t="s">
        <v>9024</v>
      </c>
      <c r="G353" s="2" t="s">
        <v>8583</v>
      </c>
      <c r="H353" s="2" t="str">
        <f aca="false">VLOOKUP(A353,'[1]NE red list'!A$1:H$1048576,5,FALSE())</f>
        <v>LC</v>
      </c>
      <c r="I353" s="2" t="s">
        <v>9086</v>
      </c>
      <c r="J353" s="2" t="s">
        <v>9908</v>
      </c>
      <c r="L353" s="2" t="s">
        <v>8770</v>
      </c>
      <c r="N353" s="2" t="str">
        <f aca="false">_xlfn.CONCAT(Q353," ",R353," ",S353)</f>
        <v>woodland parkland </v>
      </c>
      <c r="O353" s="3" t="s">
        <v>14</v>
      </c>
      <c r="P353" s="2" t="s">
        <v>8587</v>
      </c>
      <c r="Q353" s="2" t="s">
        <v>16</v>
      </c>
      <c r="R353" s="2" t="s">
        <v>8568</v>
      </c>
      <c r="T353" s="2"/>
      <c r="U353" s="2" t="s">
        <v>8570</v>
      </c>
      <c r="W353" s="2" t="s">
        <v>8571</v>
      </c>
      <c r="Z353" s="2" t="s">
        <v>8614</v>
      </c>
      <c r="AA353" s="4" t="s">
        <v>26</v>
      </c>
      <c r="AD353" s="6" t="s">
        <v>9044</v>
      </c>
      <c r="AF353" s="6" t="s">
        <v>9635</v>
      </c>
      <c r="AG353" s="7" t="s">
        <v>8575</v>
      </c>
      <c r="AI353" s="7" t="s">
        <v>8617</v>
      </c>
      <c r="AK353" s="7" t="s">
        <v>8627</v>
      </c>
      <c r="AL353" s="7" t="s">
        <v>9077</v>
      </c>
      <c r="AS353" s="2"/>
      <c r="AV353" s="11"/>
      <c r="BB353" s="2" t="s">
        <v>8618</v>
      </c>
      <c r="BI353" s="2" t="s">
        <v>8590</v>
      </c>
      <c r="BL353" s="2" t="s">
        <v>8591</v>
      </c>
      <c r="BM353" s="2" t="s">
        <v>8619</v>
      </c>
      <c r="BO353" s="2"/>
      <c r="MJM353" s="2"/>
    </row>
    <row r="354" customFormat="false" ht="19.5" hidden="false" customHeight="true" outlineLevel="0" collapsed="false">
      <c r="A354" s="2" t="s">
        <v>9909</v>
      </c>
      <c r="C354" s="2" t="str">
        <f aca="false">_xlfn.CONCAT(A354, " ","(",B354,")")</f>
        <v>Mycetophagus quadriguttatus ()</v>
      </c>
      <c r="D354" s="2" t="s">
        <v>8580</v>
      </c>
      <c r="E354" s="2" t="s">
        <v>8581</v>
      </c>
      <c r="F354" s="2" t="s">
        <v>9239</v>
      </c>
      <c r="G354" s="2" t="s">
        <v>8583</v>
      </c>
      <c r="H354" s="2" t="str">
        <f aca="false">VLOOKUP(A354,'[1]NE red list'!A$1:H$1048576,5,FALSE())</f>
        <v>LC</v>
      </c>
      <c r="I354" s="2" t="s">
        <v>9910</v>
      </c>
      <c r="J354" s="2" t="s">
        <v>9911</v>
      </c>
      <c r="L354" s="2" t="s">
        <v>8677</v>
      </c>
      <c r="N354" s="2" t="str">
        <f aca="false">_xlfn.CONCAT(Q354," ",R354," ",S354)</f>
        <v> parkland </v>
      </c>
      <c r="O354" s="3" t="s">
        <v>14</v>
      </c>
      <c r="P354" s="2"/>
      <c r="R354" s="2" t="s">
        <v>8568</v>
      </c>
      <c r="T354" s="2"/>
      <c r="U354" s="2" t="s">
        <v>8570</v>
      </c>
      <c r="W354" s="2" t="s">
        <v>8571</v>
      </c>
      <c r="X354" s="2" t="s">
        <v>8625</v>
      </c>
      <c r="Z354" s="2" t="s">
        <v>8574</v>
      </c>
      <c r="AA354" s="4" t="s">
        <v>26</v>
      </c>
      <c r="AF354" s="6" t="s">
        <v>8616</v>
      </c>
      <c r="AG354" s="7" t="s">
        <v>8575</v>
      </c>
      <c r="AI354" s="7" t="s">
        <v>8617</v>
      </c>
      <c r="AS354" s="2"/>
      <c r="AV354" s="11"/>
      <c r="BI354" s="2" t="s">
        <v>8590</v>
      </c>
      <c r="BL354" s="2" t="s">
        <v>8591</v>
      </c>
      <c r="BM354" s="2" t="s">
        <v>8619</v>
      </c>
      <c r="BO354" s="2"/>
      <c r="MJM354" s="2"/>
    </row>
    <row r="355" customFormat="false" ht="19.5" hidden="false" customHeight="true" outlineLevel="0" collapsed="false">
      <c r="A355" s="2" t="s">
        <v>9912</v>
      </c>
      <c r="C355" s="2" t="str">
        <f aca="false">_xlfn.CONCAT(A355, " ","(",B355,")")</f>
        <v>Oligella intermedia ()</v>
      </c>
      <c r="D355" s="2" t="s">
        <v>8580</v>
      </c>
      <c r="E355" s="2" t="s">
        <v>8581</v>
      </c>
      <c r="F355" s="2" t="s">
        <v>9535</v>
      </c>
      <c r="G355" s="2" t="s">
        <v>8662</v>
      </c>
      <c r="H355" s="2" t="e">
        <f aca="false">VLOOKUP(A355,'[1]NE red list'!A$1:H$1048576,5,FALSE())</f>
        <v>#N/A</v>
      </c>
      <c r="I355" s="2" t="s">
        <v>9913</v>
      </c>
      <c r="J355" s="2" t="s">
        <v>9914</v>
      </c>
      <c r="L355" s="2" t="s">
        <v>8677</v>
      </c>
      <c r="N355" s="2" t="str">
        <f aca="false">_xlfn.CONCAT(Q355," ",R355," ",S355)</f>
        <v> parkland </v>
      </c>
      <c r="O355" s="3" t="s">
        <v>14</v>
      </c>
      <c r="P355" s="2"/>
      <c r="R355" s="2" t="s">
        <v>8568</v>
      </c>
      <c r="T355" s="2"/>
      <c r="U355" s="2" t="s">
        <v>8570</v>
      </c>
      <c r="W355" s="2" t="s">
        <v>8571</v>
      </c>
      <c r="X355" s="2" t="s">
        <v>9915</v>
      </c>
      <c r="AA355" s="4" t="s">
        <v>26</v>
      </c>
      <c r="AD355" s="6" t="s">
        <v>8615</v>
      </c>
      <c r="AG355" s="7" t="s">
        <v>8575</v>
      </c>
      <c r="AI355" s="7" t="s">
        <v>8617</v>
      </c>
      <c r="AL355" s="7" t="s">
        <v>8628</v>
      </c>
      <c r="AS355" s="2"/>
      <c r="AV355" s="11"/>
      <c r="BI355" s="2" t="s">
        <v>8590</v>
      </c>
      <c r="BL355" s="2" t="s">
        <v>8591</v>
      </c>
      <c r="BO355" s="2"/>
      <c r="MJM355" s="2"/>
    </row>
    <row r="356" customFormat="false" ht="19.5" hidden="false" customHeight="true" outlineLevel="0" collapsed="false">
      <c r="A356" s="2" t="s">
        <v>9916</v>
      </c>
      <c r="C356" s="2" t="str">
        <f aca="false">_xlfn.CONCAT(A356, " ","(",B356,")")</f>
        <v>Malthodes marginatus ()</v>
      </c>
      <c r="D356" s="2" t="s">
        <v>8580</v>
      </c>
      <c r="E356" s="2" t="s">
        <v>8581</v>
      </c>
      <c r="F356" s="2" t="s">
        <v>9420</v>
      </c>
      <c r="H356" s="2" t="e">
        <f aca="false">VLOOKUP(A356,'[1]NE red list'!A$1:H$1048576,5,FALSE())</f>
        <v>#N/A</v>
      </c>
      <c r="I356" s="2" t="s">
        <v>8645</v>
      </c>
      <c r="J356" s="2" t="s">
        <v>9917</v>
      </c>
      <c r="L356" s="2" t="s">
        <v>8665</v>
      </c>
      <c r="N356" s="2" t="str">
        <f aca="false">_xlfn.CONCAT(Q356," ",R356," ",S356)</f>
        <v>woodland  </v>
      </c>
      <c r="O356" s="2"/>
      <c r="P356" s="2"/>
      <c r="Q356" s="2" t="s">
        <v>16</v>
      </c>
      <c r="T356" s="2"/>
      <c r="U356" s="2" t="s">
        <v>8570</v>
      </c>
      <c r="W356" s="2" t="s">
        <v>8567</v>
      </c>
      <c r="X356" s="2" t="s">
        <v>8625</v>
      </c>
      <c r="Z356" s="2" t="s">
        <v>8614</v>
      </c>
      <c r="AG356" s="7" t="s">
        <v>8824</v>
      </c>
      <c r="AN356" s="8" t="s">
        <v>8638</v>
      </c>
      <c r="AS356" s="2"/>
      <c r="AV356" s="11"/>
      <c r="BB356" s="2" t="s">
        <v>8618</v>
      </c>
      <c r="BI356" s="2" t="s">
        <v>8590</v>
      </c>
      <c r="BJ356" s="2" t="s">
        <v>8630</v>
      </c>
      <c r="BL356" s="2" t="s">
        <v>8591</v>
      </c>
      <c r="BO356" s="2"/>
      <c r="MJM356" s="2"/>
    </row>
    <row r="357" customFormat="false" ht="19.5" hidden="false" customHeight="true" outlineLevel="0" collapsed="false">
      <c r="A357" s="1" t="s">
        <v>9918</v>
      </c>
      <c r="B357" s="2" t="s">
        <v>9919</v>
      </c>
      <c r="C357" s="2" t="str">
        <f aca="false">_xlfn.CONCAT(A357, " ","(",B357,")")</f>
        <v>Martes martes (Pine Marten)</v>
      </c>
      <c r="D357" s="2" t="s">
        <v>8560</v>
      </c>
      <c r="E357" s="2" t="s">
        <v>8967</v>
      </c>
      <c r="F357" s="2" t="s">
        <v>9920</v>
      </c>
      <c r="G357" s="2" t="s">
        <v>8776</v>
      </c>
      <c r="H357" s="2" t="str">
        <f aca="false">VLOOKUP(A357,'[1]NE red list'!A$1:H$1048576,5,FALSE())</f>
        <v>LC</v>
      </c>
      <c r="I357" s="2" t="s">
        <v>8645</v>
      </c>
      <c r="J357" s="2" t="s">
        <v>9921</v>
      </c>
      <c r="L357" s="2" t="s">
        <v>8665</v>
      </c>
      <c r="N357" s="2" t="str">
        <f aca="false">_xlfn.CONCAT(Q357," ",R357," ",S357)</f>
        <v>woodland parkland </v>
      </c>
      <c r="O357" s="3" t="s">
        <v>14</v>
      </c>
      <c r="P357" s="2" t="s">
        <v>8567</v>
      </c>
      <c r="Q357" s="2" t="s">
        <v>16</v>
      </c>
      <c r="R357" s="2" t="s">
        <v>8568</v>
      </c>
      <c r="T357" s="2" t="s">
        <v>8569</v>
      </c>
      <c r="U357" s="2" t="s">
        <v>8806</v>
      </c>
      <c r="W357" s="2" t="s">
        <v>8567</v>
      </c>
      <c r="X357" s="2" t="s">
        <v>8589</v>
      </c>
      <c r="AA357" s="4" t="s">
        <v>26</v>
      </c>
      <c r="AC357" s="6" t="s">
        <v>30</v>
      </c>
      <c r="AD357" s="6" t="s">
        <v>8615</v>
      </c>
      <c r="AS357" s="2"/>
      <c r="AV357" s="11"/>
      <c r="BH357" s="2" t="s">
        <v>8972</v>
      </c>
      <c r="BJ357" s="2" t="s">
        <v>8907</v>
      </c>
      <c r="BK357" s="2" t="s">
        <v>8578</v>
      </c>
      <c r="BL357" s="2" t="s">
        <v>8578</v>
      </c>
      <c r="MJM357" s="2"/>
    </row>
    <row r="358" s="32" customFormat="true" ht="19.5" hidden="false" customHeight="true" outlineLevel="0" collapsed="false">
      <c r="A358" s="1" t="s">
        <v>9922</v>
      </c>
      <c r="B358" s="2"/>
      <c r="C358" s="2" t="str">
        <f aca="false">_xlfn.CONCAT(A358, " ","(",B358,")")</f>
        <v>Mastigusa arietina ()</v>
      </c>
      <c r="D358" s="2" t="s">
        <v>8728</v>
      </c>
      <c r="E358" s="34" t="s">
        <v>8729</v>
      </c>
      <c r="F358" s="3" t="s">
        <v>9923</v>
      </c>
      <c r="G358" s="2" t="s">
        <v>8662</v>
      </c>
      <c r="H358" s="2" t="str">
        <f aca="false">VLOOKUP(A358,'[1]NE red list'!A$1:H$1048576,5,FALSE())</f>
        <v>RE</v>
      </c>
      <c r="I358" s="2" t="s">
        <v>8714</v>
      </c>
      <c r="J358" s="2" t="s">
        <v>9924</v>
      </c>
      <c r="K358" s="2" t="s">
        <v>9925</v>
      </c>
      <c r="L358" s="2" t="s">
        <v>8665</v>
      </c>
      <c r="M358" s="2"/>
      <c r="N358" s="2" t="str">
        <f aca="false">_xlfn.CONCAT(Q358," ",R358," ",S358)</f>
        <v> parkland </v>
      </c>
      <c r="O358" s="3" t="s">
        <v>14</v>
      </c>
      <c r="P358" s="2" t="s">
        <v>8587</v>
      </c>
      <c r="Q358" s="2"/>
      <c r="R358" s="2" t="s">
        <v>8568</v>
      </c>
      <c r="S358" s="2"/>
      <c r="T358" s="2"/>
      <c r="U358" s="2" t="s">
        <v>8605</v>
      </c>
      <c r="V358" s="2"/>
      <c r="W358" s="2" t="s">
        <v>8571</v>
      </c>
      <c r="X358" s="2" t="s">
        <v>9190</v>
      </c>
      <c r="Y358" s="2"/>
      <c r="Z358" s="2"/>
      <c r="AA358" s="4" t="s">
        <v>26</v>
      </c>
      <c r="AB358" s="5"/>
      <c r="AC358" s="6"/>
      <c r="AD358" s="6" t="s">
        <v>8615</v>
      </c>
      <c r="AE358" s="6"/>
      <c r="AF358" s="6"/>
      <c r="AG358" s="7" t="s">
        <v>8575</v>
      </c>
      <c r="AH358" s="7"/>
      <c r="AI358" s="7" t="s">
        <v>8617</v>
      </c>
      <c r="AJ358" s="7"/>
      <c r="AK358" s="7"/>
      <c r="AL358" s="7"/>
      <c r="AM358" s="4"/>
      <c r="AS358" s="2"/>
      <c r="AU358" s="4" t="s">
        <v>8639</v>
      </c>
      <c r="AV358" s="10" t="s">
        <v>8664</v>
      </c>
      <c r="AW358" s="11"/>
      <c r="AX358" s="4"/>
      <c r="AY358" s="12"/>
      <c r="AZ358" s="12"/>
      <c r="BI358" s="2" t="s">
        <v>8590</v>
      </c>
      <c r="BL358" s="32" t="s">
        <v>8591</v>
      </c>
    </row>
    <row r="359" s="32" customFormat="true" ht="19.5" hidden="false" customHeight="true" outlineLevel="0" collapsed="false">
      <c r="A359" s="1" t="s">
        <v>9926</v>
      </c>
      <c r="B359" s="2"/>
      <c r="C359" s="2" t="str">
        <f aca="false">_xlfn.CONCAT(A359, " ","(",B359,")")</f>
        <v>Mastigusa macrophthalma ()</v>
      </c>
      <c r="D359" s="2" t="s">
        <v>8728</v>
      </c>
      <c r="E359" s="34" t="s">
        <v>8729</v>
      </c>
      <c r="F359" s="3" t="s">
        <v>9923</v>
      </c>
      <c r="G359" s="2" t="s">
        <v>8662</v>
      </c>
      <c r="H359" s="2" t="str">
        <f aca="false">VLOOKUP(A359,'[1]NE red list'!A$1:H$1048576,5,FALSE())</f>
        <v>VU</v>
      </c>
      <c r="I359" s="2" t="s">
        <v>8610</v>
      </c>
      <c r="J359" s="2" t="s">
        <v>9927</v>
      </c>
      <c r="K359" s="2" t="s">
        <v>9928</v>
      </c>
      <c r="L359" s="2" t="s">
        <v>8665</v>
      </c>
      <c r="M359" s="2"/>
      <c r="N359" s="2" t="str">
        <f aca="false">_xlfn.CONCAT(Q359," ",R359," ",S359)</f>
        <v> parkland </v>
      </c>
      <c r="O359" s="3" t="s">
        <v>14</v>
      </c>
      <c r="P359" s="2" t="s">
        <v>8587</v>
      </c>
      <c r="Q359" s="2"/>
      <c r="R359" s="2" t="s">
        <v>8568</v>
      </c>
      <c r="S359" s="2"/>
      <c r="T359" s="2"/>
      <c r="U359" s="2" t="s">
        <v>8570</v>
      </c>
      <c r="V359" s="2"/>
      <c r="W359" s="2" t="s">
        <v>8571</v>
      </c>
      <c r="X359" s="2" t="s">
        <v>8589</v>
      </c>
      <c r="Y359" s="2"/>
      <c r="Z359" s="2"/>
      <c r="AA359" s="4" t="s">
        <v>26</v>
      </c>
      <c r="AB359" s="5"/>
      <c r="AC359" s="6"/>
      <c r="AD359" s="6" t="s">
        <v>8615</v>
      </c>
      <c r="AE359" s="6"/>
      <c r="AF359" s="6"/>
      <c r="AG359" s="7" t="s">
        <v>8575</v>
      </c>
      <c r="AH359" s="7"/>
      <c r="AI359" s="7" t="s">
        <v>8617</v>
      </c>
      <c r="AJ359" s="7"/>
      <c r="AK359" s="7"/>
      <c r="AL359" s="7"/>
      <c r="AM359" s="4"/>
      <c r="AS359" s="2"/>
      <c r="AU359" s="4" t="s">
        <v>8639</v>
      </c>
      <c r="AV359" s="10" t="s">
        <v>8664</v>
      </c>
      <c r="AW359" s="11"/>
      <c r="AX359" s="4"/>
      <c r="AY359" s="12"/>
      <c r="AZ359" s="12"/>
      <c r="BI359" s="2" t="s">
        <v>8590</v>
      </c>
      <c r="BL359" s="32" t="s">
        <v>8591</v>
      </c>
    </row>
    <row r="360" customFormat="false" ht="19.5" hidden="false" customHeight="true" outlineLevel="0" collapsed="false">
      <c r="A360" s="2" t="s">
        <v>9929</v>
      </c>
      <c r="C360" s="2" t="str">
        <f aca="false">_xlfn.CONCAT(A360, " ","(",B360,")")</f>
        <v>Medetera bispinosa ()</v>
      </c>
      <c r="D360" s="2" t="s">
        <v>8580</v>
      </c>
      <c r="E360" s="2" t="s">
        <v>8687</v>
      </c>
      <c r="F360" s="2" t="s">
        <v>9706</v>
      </c>
      <c r="H360" s="2" t="str">
        <f aca="false">VLOOKUP(A360,'[1]NE red list'!A$1:H$1048576,5,FALSE())</f>
        <v>DD</v>
      </c>
      <c r="I360" s="2" t="s">
        <v>8610</v>
      </c>
      <c r="J360" s="2" t="s">
        <v>9930</v>
      </c>
      <c r="K360" s="2" t="s">
        <v>9931</v>
      </c>
      <c r="L360" s="2" t="s">
        <v>8665</v>
      </c>
      <c r="N360" s="2" t="str">
        <f aca="false">_xlfn.CONCAT(Q360," ",R360," ",S360)</f>
        <v> parkland ToW</v>
      </c>
      <c r="O360" s="2" t="s">
        <v>14</v>
      </c>
      <c r="P360" s="2"/>
      <c r="R360" s="2" t="s">
        <v>8568</v>
      </c>
      <c r="S360" s="2" t="s">
        <v>18</v>
      </c>
      <c r="T360" s="2"/>
      <c r="U360" s="2" t="s">
        <v>8570</v>
      </c>
      <c r="V360" s="2" t="s">
        <v>8940</v>
      </c>
      <c r="AB360" s="5" t="s">
        <v>8672</v>
      </c>
      <c r="AG360" s="7" t="s">
        <v>8824</v>
      </c>
      <c r="AS360" s="2"/>
      <c r="AV360" s="11"/>
      <c r="BI360" s="2" t="s">
        <v>8590</v>
      </c>
      <c r="BL360" s="2" t="s">
        <v>8591</v>
      </c>
      <c r="BO360" s="2"/>
      <c r="MJM360" s="2"/>
    </row>
    <row r="361" customFormat="false" ht="19.5" hidden="false" customHeight="true" outlineLevel="0" collapsed="false">
      <c r="A361" s="1" t="s">
        <v>9932</v>
      </c>
      <c r="B361" s="2" t="s">
        <v>9933</v>
      </c>
      <c r="C361" s="2" t="str">
        <f aca="false">_xlfn.CONCAT(A361, " ","(",B361,")")</f>
        <v>Medetera impigra (Medeterus impiger)</v>
      </c>
      <c r="D361" s="2" t="s">
        <v>8580</v>
      </c>
      <c r="E361" s="2" t="s">
        <v>8687</v>
      </c>
      <c r="F361" s="2" t="s">
        <v>9706</v>
      </c>
      <c r="H361" s="2" t="str">
        <f aca="false">VLOOKUP(A361,'[1]NE red list'!A$1:H$1048576,5,FALSE())</f>
        <v>LC</v>
      </c>
      <c r="I361" s="2" t="s">
        <v>9934</v>
      </c>
      <c r="J361" s="2" t="s">
        <v>9935</v>
      </c>
      <c r="K361" s="2" t="s">
        <v>9936</v>
      </c>
      <c r="L361" s="2" t="s">
        <v>8665</v>
      </c>
      <c r="N361" s="2" t="str">
        <f aca="false">_xlfn.CONCAT(Q361," ",R361," ",S361)</f>
        <v>woodland  </v>
      </c>
      <c r="O361" s="2"/>
      <c r="P361" s="2"/>
      <c r="Q361" s="2" t="s">
        <v>16</v>
      </c>
      <c r="T361" s="2"/>
      <c r="U361" s="2" t="s">
        <v>8605</v>
      </c>
      <c r="V361" s="2" t="s">
        <v>9937</v>
      </c>
      <c r="AB361" s="5" t="s">
        <v>8672</v>
      </c>
      <c r="AG361" s="7" t="s">
        <v>8575</v>
      </c>
      <c r="AS361" s="2"/>
      <c r="AV361" s="11"/>
      <c r="AX361" s="4" t="s">
        <v>8607</v>
      </c>
      <c r="AY361" s="12" t="s">
        <v>8585</v>
      </c>
      <c r="BI361" s="2" t="s">
        <v>8590</v>
      </c>
      <c r="BL361" s="2" t="s">
        <v>8591</v>
      </c>
      <c r="BO361" s="2"/>
      <c r="MJM361" s="2"/>
    </row>
    <row r="362" customFormat="false" ht="19.5" hidden="false" customHeight="true" outlineLevel="0" collapsed="false">
      <c r="A362" s="2" t="s">
        <v>9938</v>
      </c>
      <c r="C362" s="2" t="str">
        <f aca="false">_xlfn.CONCAT(A362, " ","(",B362,")")</f>
        <v>Medetera jacula  ()</v>
      </c>
      <c r="D362" s="2" t="s">
        <v>8580</v>
      </c>
      <c r="E362" s="2" t="s">
        <v>8687</v>
      </c>
      <c r="F362" s="2" t="s">
        <v>9706</v>
      </c>
      <c r="H362" s="2" t="e">
        <f aca="false">VLOOKUP(A362,'[1]NE red list'!A$1:H$1048576,5,FALSE())</f>
        <v>#N/A</v>
      </c>
      <c r="I362" s="2" t="s">
        <v>9939</v>
      </c>
      <c r="J362" s="2" t="s">
        <v>9940</v>
      </c>
      <c r="L362" s="2" t="s">
        <v>9941</v>
      </c>
      <c r="N362" s="2" t="str">
        <f aca="false">_xlfn.CONCAT(Q362," ",R362," ",S362)</f>
        <v>woodland  </v>
      </c>
      <c r="O362" s="2" t="s">
        <v>14</v>
      </c>
      <c r="P362" s="2"/>
      <c r="Q362" s="2" t="s">
        <v>16</v>
      </c>
      <c r="T362" s="2"/>
      <c r="U362" s="2" t="s">
        <v>8605</v>
      </c>
      <c r="V362" s="2" t="s">
        <v>9942</v>
      </c>
      <c r="AB362" s="5" t="s">
        <v>8672</v>
      </c>
      <c r="AG362" s="7" t="s">
        <v>8575</v>
      </c>
      <c r="AS362" s="2"/>
      <c r="AV362" s="11"/>
      <c r="BL362" s="2" t="s">
        <v>8591</v>
      </c>
      <c r="BO362" s="2"/>
      <c r="MJM362" s="2"/>
    </row>
    <row r="363" customFormat="false" ht="19.5" hidden="false" customHeight="true" outlineLevel="0" collapsed="false">
      <c r="A363" s="1" t="s">
        <v>9943</v>
      </c>
      <c r="B363" s="2" t="s">
        <v>8992</v>
      </c>
      <c r="C363" s="2" t="str">
        <f aca="false">_xlfn.CONCAT(A363, " ","(",B363,")")</f>
        <v>Megalaria laureri (a lichen)</v>
      </c>
      <c r="D363" s="2" t="s">
        <v>8892</v>
      </c>
      <c r="E363" s="2" t="s">
        <v>8892</v>
      </c>
      <c r="F363" s="2" t="s">
        <v>8892</v>
      </c>
      <c r="G363" s="2" t="s">
        <v>8776</v>
      </c>
      <c r="H363" s="2" t="str">
        <f aca="false">VLOOKUP(A363,'[1]NE red list'!A$1:H$1048576,5,FALSE())</f>
        <v>EN</v>
      </c>
      <c r="I363" s="2" t="s">
        <v>8610</v>
      </c>
      <c r="J363" s="33" t="s">
        <v>9944</v>
      </c>
      <c r="L363" s="2" t="s">
        <v>8896</v>
      </c>
      <c r="N363" s="2" t="str">
        <f aca="false">_xlfn.CONCAT(Q363," ",R363," ",S363)</f>
        <v>woodland parkland </v>
      </c>
      <c r="O363" s="3" t="s">
        <v>14</v>
      </c>
      <c r="P363" s="2" t="s">
        <v>8567</v>
      </c>
      <c r="Q363" s="2" t="s">
        <v>16</v>
      </c>
      <c r="R363" s="2" t="s">
        <v>8568</v>
      </c>
      <c r="T363" s="2"/>
      <c r="U363" s="2" t="s">
        <v>8570</v>
      </c>
      <c r="V363" s="2" t="s">
        <v>9038</v>
      </c>
      <c r="W363" s="2" t="s">
        <v>8567</v>
      </c>
      <c r="X363" s="2" t="s">
        <v>8589</v>
      </c>
      <c r="AM363" s="4" t="s">
        <v>8657</v>
      </c>
      <c r="AN363" s="8" t="s">
        <v>8898</v>
      </c>
      <c r="AO363" s="8" t="s">
        <v>40</v>
      </c>
      <c r="AQ363" s="8" t="s">
        <v>42</v>
      </c>
      <c r="AS363" s="2"/>
      <c r="AV363" s="11"/>
      <c r="BC363" s="2" t="s">
        <v>8899</v>
      </c>
      <c r="BK363" s="2" t="s">
        <v>8578</v>
      </c>
      <c r="BL363" s="2" t="s">
        <v>8578</v>
      </c>
      <c r="BO363" s="2"/>
      <c r="MJM363" s="2"/>
    </row>
    <row r="364" customFormat="false" ht="19.5" hidden="false" customHeight="true" outlineLevel="0" collapsed="false">
      <c r="A364" s="2" t="s">
        <v>9945</v>
      </c>
      <c r="C364" s="2" t="str">
        <f aca="false">_xlfn.CONCAT(A364, " ","(",B364,")")</f>
        <v>Megamerina dolium ()</v>
      </c>
      <c r="D364" s="2" t="s">
        <v>8580</v>
      </c>
      <c r="E364" s="2" t="s">
        <v>8687</v>
      </c>
      <c r="F364" s="2" t="s">
        <v>9946</v>
      </c>
      <c r="G364" s="2" t="s">
        <v>9777</v>
      </c>
      <c r="H364" s="2" t="e">
        <f aca="false">VLOOKUP(A364,'[1]NE red list'!A$1:H$1048576,5,FALSE())</f>
        <v>#N/A</v>
      </c>
      <c r="I364" s="2" t="s">
        <v>8564</v>
      </c>
      <c r="J364" s="2" t="s">
        <v>9947</v>
      </c>
      <c r="L364" s="2" t="s">
        <v>9948</v>
      </c>
      <c r="N364" s="2" t="str">
        <f aca="false">_xlfn.CONCAT(Q364," ",R364," ",S364)</f>
        <v>woodland parkland </v>
      </c>
      <c r="O364" s="3" t="s">
        <v>14</v>
      </c>
      <c r="P364" s="2" t="s">
        <v>8587</v>
      </c>
      <c r="Q364" s="2" t="s">
        <v>16</v>
      </c>
      <c r="R364" s="2" t="s">
        <v>8568</v>
      </c>
      <c r="T364" s="2"/>
      <c r="U364" s="2" t="s">
        <v>8570</v>
      </c>
      <c r="Z364" s="2" t="s">
        <v>9313</v>
      </c>
      <c r="AG364" s="7" t="s">
        <v>8575</v>
      </c>
      <c r="AN364" s="8" t="s">
        <v>8638</v>
      </c>
      <c r="AS364" s="2"/>
      <c r="AV364" s="11"/>
      <c r="BI364" s="2" t="s">
        <v>8590</v>
      </c>
      <c r="BL364" s="2" t="s">
        <v>8591</v>
      </c>
      <c r="BO364" s="2"/>
      <c r="MJM364" s="2"/>
    </row>
    <row r="365" customFormat="false" ht="19.5" hidden="false" customHeight="true" outlineLevel="0" collapsed="false">
      <c r="A365" s="2" t="s">
        <v>9949</v>
      </c>
      <c r="C365" s="2" t="str">
        <f aca="false">_xlfn.CONCAT(A365, " ","(",B365,")")</f>
        <v>Rhizophagus oblongicollis ()</v>
      </c>
      <c r="D365" s="2" t="s">
        <v>8580</v>
      </c>
      <c r="E365" s="2" t="s">
        <v>8581</v>
      </c>
      <c r="F365" s="2" t="s">
        <v>9950</v>
      </c>
      <c r="G365" s="2" t="s">
        <v>8662</v>
      </c>
      <c r="H365" s="2" t="str">
        <f aca="false">VLOOKUP(A365,'[1]NE red list'!A$1:H$1048576,5,FALSE())</f>
        <v>LC</v>
      </c>
      <c r="I365" s="2" t="s">
        <v>8750</v>
      </c>
      <c r="J365" s="2" t="s">
        <v>9951</v>
      </c>
      <c r="L365" s="2" t="s">
        <v>8665</v>
      </c>
      <c r="N365" s="2" t="str">
        <f aca="false">_xlfn.CONCAT(Q365," ",R365," ",S365)</f>
        <v>woodland parkland ToW</v>
      </c>
      <c r="O365" s="2" t="s">
        <v>14</v>
      </c>
      <c r="P365" s="2"/>
      <c r="Q365" s="2" t="s">
        <v>16</v>
      </c>
      <c r="R365" s="2" t="s">
        <v>8568</v>
      </c>
      <c r="S365" s="2" t="s">
        <v>18</v>
      </c>
      <c r="T365" s="2"/>
      <c r="U365" s="2" t="s">
        <v>8570</v>
      </c>
      <c r="V365" s="2" t="s">
        <v>8745</v>
      </c>
      <c r="X365" s="2" t="s">
        <v>9548</v>
      </c>
      <c r="Y365" s="2" t="s">
        <v>8573</v>
      </c>
      <c r="Z365" s="2" t="s">
        <v>8694</v>
      </c>
      <c r="AG365" s="7" t="s">
        <v>8824</v>
      </c>
      <c r="AH365" s="7" t="s">
        <v>33</v>
      </c>
      <c r="AM365" s="4" t="s">
        <v>8657</v>
      </c>
      <c r="AP365" s="8" t="s">
        <v>8735</v>
      </c>
      <c r="AS365" s="2"/>
      <c r="AV365" s="11"/>
      <c r="BA365" s="2" t="s">
        <v>8868</v>
      </c>
      <c r="BI365" s="2" t="s">
        <v>8590</v>
      </c>
      <c r="BJ365" s="2" t="s">
        <v>8773</v>
      </c>
      <c r="BL365" s="2" t="s">
        <v>8591</v>
      </c>
      <c r="BO365" s="2"/>
      <c r="MJM365" s="2"/>
    </row>
    <row r="366" s="32" customFormat="true" ht="19.5" hidden="false" customHeight="true" outlineLevel="0" collapsed="false">
      <c r="A366" s="2" t="s">
        <v>9952</v>
      </c>
      <c r="B366" s="2"/>
      <c r="C366" s="2" t="str">
        <f aca="false">_xlfn.CONCAT(A366, " ","(",B366,")")</f>
        <v>Megarthrus hemipterus ()</v>
      </c>
      <c r="D366" s="2" t="s">
        <v>8580</v>
      </c>
      <c r="E366" s="2" t="s">
        <v>8581</v>
      </c>
      <c r="F366" s="2" t="s">
        <v>8652</v>
      </c>
      <c r="G366" s="2" t="s">
        <v>8583</v>
      </c>
      <c r="H366" s="2" t="e">
        <f aca="false">VLOOKUP(A366,'[1]NE red list'!A$1:H$1048576,5,FALSE())</f>
        <v>#N/A</v>
      </c>
      <c r="I366" s="2" t="s">
        <v>8610</v>
      </c>
      <c r="J366" s="2" t="s">
        <v>9953</v>
      </c>
      <c r="K366" s="2" t="s">
        <v>9954</v>
      </c>
      <c r="L366" s="2" t="s">
        <v>8677</v>
      </c>
      <c r="M366" s="2"/>
      <c r="N366" s="2" t="str">
        <f aca="false">_xlfn.CONCAT(Q366," ",R366," ",S366)</f>
        <v> parkland </v>
      </c>
      <c r="O366" s="3" t="s">
        <v>14</v>
      </c>
      <c r="P366" s="2" t="s">
        <v>8587</v>
      </c>
      <c r="Q366" s="2"/>
      <c r="R366" s="2" t="s">
        <v>8568</v>
      </c>
      <c r="S366" s="2"/>
      <c r="T366" s="2"/>
      <c r="U366" s="2" t="s">
        <v>8570</v>
      </c>
      <c r="V366" s="2"/>
      <c r="W366" s="2"/>
      <c r="X366" s="2"/>
      <c r="Y366" s="2"/>
      <c r="Z366" s="2" t="s">
        <v>8614</v>
      </c>
      <c r="AA366" s="4"/>
      <c r="AB366" s="5"/>
      <c r="AC366" s="6"/>
      <c r="AD366" s="6"/>
      <c r="AE366" s="6"/>
      <c r="AF366" s="6"/>
      <c r="AG366" s="7"/>
      <c r="AH366" s="7"/>
      <c r="AI366" s="7"/>
      <c r="AJ366" s="7"/>
      <c r="AK366" s="7"/>
      <c r="AL366" s="7"/>
      <c r="AM366" s="4"/>
      <c r="AS366" s="2"/>
      <c r="AU366" s="4"/>
      <c r="AV366" s="11"/>
      <c r="AW366" s="11"/>
      <c r="AX366" s="4" t="s">
        <v>8607</v>
      </c>
      <c r="AY366" s="12" t="s">
        <v>8585</v>
      </c>
      <c r="AZ366" s="12"/>
      <c r="BI366" s="2" t="s">
        <v>8590</v>
      </c>
      <c r="BL366" s="32" t="s">
        <v>8591</v>
      </c>
    </row>
    <row r="367" customFormat="false" ht="19.5" hidden="false" customHeight="true" outlineLevel="0" collapsed="false">
      <c r="A367" s="2" t="s">
        <v>9955</v>
      </c>
      <c r="C367" s="2" t="str">
        <f aca="false">_xlfn.CONCAT(A367, " ","(",B367,")")</f>
        <v>Pedostrangalia revestita ()</v>
      </c>
      <c r="D367" s="2" t="s">
        <v>8580</v>
      </c>
      <c r="E367" s="2" t="s">
        <v>8581</v>
      </c>
      <c r="F367" s="2" t="s">
        <v>8787</v>
      </c>
      <c r="G367" s="2" t="s">
        <v>8662</v>
      </c>
      <c r="H367" s="2" t="str">
        <f aca="false">VLOOKUP(A367,'[1]NE red list'!A$1:H$1048576,5,FALSE())</f>
        <v>EN</v>
      </c>
      <c r="I367" s="2" t="s">
        <v>9465</v>
      </c>
      <c r="J367" s="2" t="s">
        <v>9956</v>
      </c>
      <c r="K367" s="2" t="s">
        <v>9463</v>
      </c>
      <c r="L367" s="2" t="s">
        <v>8613</v>
      </c>
      <c r="N367" s="2" t="str">
        <f aca="false">_xlfn.CONCAT(Q367," ",R367," ",S367)</f>
        <v> parkland </v>
      </c>
      <c r="O367" s="3" t="s">
        <v>14</v>
      </c>
      <c r="P367" s="2"/>
      <c r="R367" s="2" t="s">
        <v>8568</v>
      </c>
      <c r="T367" s="2" t="s">
        <v>8569</v>
      </c>
      <c r="U367" s="2" t="s">
        <v>8570</v>
      </c>
      <c r="V367" s="2" t="s">
        <v>8745</v>
      </c>
      <c r="W367" s="2" t="s">
        <v>8571</v>
      </c>
      <c r="X367" s="2" t="s">
        <v>9957</v>
      </c>
      <c r="Z367" s="2" t="s">
        <v>8694</v>
      </c>
      <c r="AG367" s="7" t="s">
        <v>8824</v>
      </c>
      <c r="AI367" s="7" t="s">
        <v>8617</v>
      </c>
      <c r="AM367" s="4" t="s">
        <v>8657</v>
      </c>
      <c r="AN367" s="32"/>
      <c r="AO367" s="32"/>
      <c r="AP367" s="32" t="s">
        <v>8719</v>
      </c>
      <c r="AQ367" s="32"/>
      <c r="AR367" s="32"/>
      <c r="AS367" s="2" t="s">
        <v>9958</v>
      </c>
      <c r="AT367" s="32"/>
      <c r="AV367" s="11"/>
      <c r="BA367" s="32"/>
      <c r="BB367" s="32"/>
      <c r="BC367" s="32"/>
      <c r="BD367" s="2" t="s">
        <v>9046</v>
      </c>
      <c r="BE367" s="32"/>
      <c r="BF367" s="32"/>
      <c r="BG367" s="32"/>
      <c r="BH367" s="32"/>
      <c r="BI367" s="2" t="s">
        <v>8590</v>
      </c>
      <c r="BJ367" s="32" t="s">
        <v>8747</v>
      </c>
      <c r="BK367" s="32"/>
      <c r="BL367" s="32" t="s">
        <v>8591</v>
      </c>
      <c r="BM367" s="32"/>
      <c r="BN367" s="32"/>
      <c r="BO367" s="2"/>
      <c r="MJM367" s="2"/>
    </row>
    <row r="368" s="32" customFormat="true" ht="19.5" hidden="false" customHeight="true" outlineLevel="0" collapsed="false">
      <c r="A368" s="1" t="s">
        <v>9959</v>
      </c>
      <c r="B368" s="2" t="s">
        <v>9960</v>
      </c>
      <c r="C368" s="2" t="str">
        <f aca="false">_xlfn.CONCAT(A368, " ","(",B368,")")</f>
        <v>Melandrya barbata (Bearded False Darkling Beetle)</v>
      </c>
      <c r="D368" s="2" t="s">
        <v>8580</v>
      </c>
      <c r="E368" s="2" t="s">
        <v>8581</v>
      </c>
      <c r="F368" s="75" t="s">
        <v>8582</v>
      </c>
      <c r="G368" s="2" t="s">
        <v>8776</v>
      </c>
      <c r="H368" s="2" t="str">
        <f aca="false">VLOOKUP(A368,'[1]NE red list'!A$1:H$1048576,5,FALSE())</f>
        <v>VU</v>
      </c>
      <c r="I368" s="2" t="s">
        <v>8610</v>
      </c>
      <c r="J368" s="2" t="s">
        <v>9961</v>
      </c>
      <c r="K368" s="2"/>
      <c r="L368" s="2" t="s">
        <v>8677</v>
      </c>
      <c r="M368" s="2"/>
      <c r="N368" s="2" t="str">
        <f aca="false">_xlfn.CONCAT(Q368," ",R368," ",S368)</f>
        <v> parkland </v>
      </c>
      <c r="O368" s="3" t="s">
        <v>14</v>
      </c>
      <c r="P368" s="2" t="s">
        <v>8567</v>
      </c>
      <c r="Q368" s="2"/>
      <c r="R368" s="2" t="s">
        <v>8568</v>
      </c>
      <c r="S368" s="2"/>
      <c r="T368" s="2"/>
      <c r="U368" s="2" t="s">
        <v>8570</v>
      </c>
      <c r="V368" s="2"/>
      <c r="W368" s="2" t="s">
        <v>8571</v>
      </c>
      <c r="X368" s="2" t="s">
        <v>8589</v>
      </c>
      <c r="Y368" s="2" t="s">
        <v>8573</v>
      </c>
      <c r="Z368" s="2" t="s">
        <v>8614</v>
      </c>
      <c r="AA368" s="4"/>
      <c r="AB368" s="5"/>
      <c r="AC368" s="6"/>
      <c r="AD368" s="6"/>
      <c r="AE368" s="6"/>
      <c r="AF368" s="6"/>
      <c r="AG368" s="7" t="s">
        <v>8575</v>
      </c>
      <c r="AH368" s="7"/>
      <c r="AI368" s="7" t="s">
        <v>8617</v>
      </c>
      <c r="AJ368" s="7"/>
      <c r="AK368" s="7" t="s">
        <v>8627</v>
      </c>
      <c r="AL368" s="7"/>
      <c r="AM368" s="4"/>
      <c r="AS368" s="2"/>
      <c r="AU368" s="4"/>
      <c r="AV368" s="11"/>
      <c r="AW368" s="11"/>
      <c r="AX368" s="4"/>
      <c r="AY368" s="12"/>
      <c r="AZ368" s="12"/>
      <c r="BI368" s="2" t="s">
        <v>8590</v>
      </c>
      <c r="BJ368" s="32" t="s">
        <v>8601</v>
      </c>
      <c r="BL368" s="32" t="s">
        <v>8578</v>
      </c>
    </row>
    <row r="369" customFormat="false" ht="19.5" hidden="false" customHeight="true" outlineLevel="0" collapsed="false">
      <c r="A369" s="2" t="s">
        <v>9962</v>
      </c>
      <c r="C369" s="2" t="str">
        <f aca="false">_xlfn.CONCAT(A369, " ","(",B369,")")</f>
        <v>Melandrya caraboides ()</v>
      </c>
      <c r="D369" s="2" t="s">
        <v>8580</v>
      </c>
      <c r="E369" s="2" t="s">
        <v>8581</v>
      </c>
      <c r="F369" s="75" t="s">
        <v>8582</v>
      </c>
      <c r="G369" s="2" t="s">
        <v>9870</v>
      </c>
      <c r="H369" s="2" t="str">
        <f aca="false">VLOOKUP(A369,'[1]NE red list'!A$1:H$1048576,5,FALSE())</f>
        <v>LC</v>
      </c>
      <c r="I369" s="2" t="s">
        <v>8610</v>
      </c>
      <c r="J369" s="2" t="s">
        <v>9963</v>
      </c>
      <c r="K369" s="2" t="s">
        <v>9964</v>
      </c>
      <c r="L369" s="2" t="s">
        <v>8677</v>
      </c>
      <c r="N369" s="2" t="str">
        <f aca="false">_xlfn.CONCAT(Q369," ",R369," ",S369)</f>
        <v>woodland parkland ToW</v>
      </c>
      <c r="O369" s="2" t="s">
        <v>14</v>
      </c>
      <c r="P369" s="2" t="s">
        <v>8587</v>
      </c>
      <c r="Q369" s="2" t="s">
        <v>16</v>
      </c>
      <c r="R369" s="2" t="s">
        <v>8568</v>
      </c>
      <c r="S369" s="2" t="s">
        <v>18</v>
      </c>
      <c r="T369" s="2"/>
      <c r="U369" s="2" t="s">
        <v>8570</v>
      </c>
      <c r="V369" s="2" t="s">
        <v>9694</v>
      </c>
      <c r="W369" s="2" t="s">
        <v>8567</v>
      </c>
      <c r="X369" s="2" t="s">
        <v>9965</v>
      </c>
      <c r="Z369" s="2" t="s">
        <v>8614</v>
      </c>
      <c r="AG369" s="7" t="s">
        <v>8575</v>
      </c>
      <c r="AI369" s="7" t="s">
        <v>8617</v>
      </c>
      <c r="AK369" s="7" t="s">
        <v>8627</v>
      </c>
      <c r="AS369" s="2"/>
      <c r="AV369" s="11"/>
      <c r="BI369" s="2" t="s">
        <v>8590</v>
      </c>
      <c r="BL369" s="2" t="s">
        <v>8591</v>
      </c>
      <c r="BO369" s="2"/>
      <c r="MJM369" s="2"/>
    </row>
    <row r="370" s="32" customFormat="true" ht="19.5" hidden="false" customHeight="true" outlineLevel="0" collapsed="false">
      <c r="A370" s="1" t="s">
        <v>9966</v>
      </c>
      <c r="B370" s="2" t="s">
        <v>9967</v>
      </c>
      <c r="C370" s="2" t="str">
        <f aca="false">_xlfn.CONCAT(A370, " ","(",B370,")")</f>
        <v>Melanophila acuminata (Fire beetle)</v>
      </c>
      <c r="D370" s="2" t="s">
        <v>8580</v>
      </c>
      <c r="E370" s="2" t="s">
        <v>8581</v>
      </c>
      <c r="F370" s="2" t="s">
        <v>8713</v>
      </c>
      <c r="G370" s="2"/>
      <c r="H370" s="2" t="str">
        <f aca="false">VLOOKUP(A370,'[1]NE red list'!A$1:H$1048576,5,FALSE())</f>
        <v>EN</v>
      </c>
      <c r="I370" s="2" t="s">
        <v>8610</v>
      </c>
      <c r="J370" s="2" t="s">
        <v>9968</v>
      </c>
      <c r="K370" s="2"/>
      <c r="L370" s="2" t="s">
        <v>8613</v>
      </c>
      <c r="M370" s="2"/>
      <c r="N370" s="2" t="str">
        <f aca="false">_xlfn.CONCAT(Q370," ",R370," ",S370)</f>
        <v>woodland  </v>
      </c>
      <c r="O370" s="2"/>
      <c r="P370" s="2"/>
      <c r="Q370" s="2" t="s">
        <v>16</v>
      </c>
      <c r="R370" s="2"/>
      <c r="S370" s="2"/>
      <c r="T370" s="2"/>
      <c r="U370" s="2" t="s">
        <v>8605</v>
      </c>
      <c r="V370" s="2" t="s">
        <v>9969</v>
      </c>
      <c r="W370" s="2"/>
      <c r="X370" s="2"/>
      <c r="Y370" s="2"/>
      <c r="Z370" s="2"/>
      <c r="AA370" s="4"/>
      <c r="AB370" s="5"/>
      <c r="AC370" s="6"/>
      <c r="AD370" s="6"/>
      <c r="AE370" s="6"/>
      <c r="AF370" s="6"/>
      <c r="AG370" s="7" t="s">
        <v>8575</v>
      </c>
      <c r="AH370" s="7"/>
      <c r="AI370" s="7"/>
      <c r="AJ370" s="7"/>
      <c r="AK370" s="7"/>
      <c r="AL370" s="7"/>
      <c r="AM370" s="4" t="s">
        <v>8657</v>
      </c>
      <c r="AN370" s="32" t="s">
        <v>9514</v>
      </c>
      <c r="AO370" s="32" t="s">
        <v>40</v>
      </c>
      <c r="AP370" s="32" t="s">
        <v>8791</v>
      </c>
      <c r="AQ370" s="8" t="s">
        <v>42</v>
      </c>
      <c r="AS370" s="2"/>
      <c r="AU370" s="4"/>
      <c r="AV370" s="11"/>
      <c r="AW370" s="11"/>
      <c r="AX370" s="4"/>
      <c r="AY370" s="12"/>
      <c r="AZ370" s="12"/>
      <c r="BI370" s="2" t="s">
        <v>8590</v>
      </c>
      <c r="BL370" s="32" t="s">
        <v>8591</v>
      </c>
    </row>
    <row r="371" customFormat="false" ht="19.5" hidden="false" customHeight="true" outlineLevel="0" collapsed="false">
      <c r="A371" s="2" t="s">
        <v>9970</v>
      </c>
      <c r="C371" s="2" t="str">
        <f aca="false">_xlfn.CONCAT(A371, " ","(",B371,")")</f>
        <v>Melanophthalma suturalis ()</v>
      </c>
      <c r="D371" s="2" t="s">
        <v>8580</v>
      </c>
      <c r="E371" s="2" t="s">
        <v>8581</v>
      </c>
      <c r="F371" s="30" t="s">
        <v>9971</v>
      </c>
      <c r="G371" s="2" t="s">
        <v>8737</v>
      </c>
      <c r="H371" s="2" t="e">
        <f aca="false">VLOOKUP(A371,'[1]NE red list'!A$1:H$1048576,5,FALSE())</f>
        <v>#N/A</v>
      </c>
      <c r="I371" s="2" t="s">
        <v>8645</v>
      </c>
      <c r="J371" s="2" t="s">
        <v>9972</v>
      </c>
      <c r="K371" s="2" t="s">
        <v>8585</v>
      </c>
      <c r="L371" s="2" t="s">
        <v>8677</v>
      </c>
      <c r="N371" s="2" t="str">
        <f aca="false">_xlfn.CONCAT(Q371," ",R371," ",S371)</f>
        <v>woodland parkland </v>
      </c>
      <c r="O371" s="3" t="s">
        <v>14</v>
      </c>
      <c r="P371" s="2"/>
      <c r="Q371" s="2" t="s">
        <v>16</v>
      </c>
      <c r="R371" s="2" t="s">
        <v>8568</v>
      </c>
      <c r="T371" s="2"/>
      <c r="U371" s="2" t="s">
        <v>8570</v>
      </c>
      <c r="AS371" s="2"/>
      <c r="AV371" s="11"/>
      <c r="AX371" s="4" t="s">
        <v>8585</v>
      </c>
      <c r="AY371" s="12" t="s">
        <v>8585</v>
      </c>
      <c r="BI371" s="2" t="s">
        <v>8590</v>
      </c>
      <c r="BL371" s="2" t="s">
        <v>8591</v>
      </c>
      <c r="BO371" s="2"/>
      <c r="MJM371" s="2"/>
    </row>
    <row r="372" s="8" customFormat="true" ht="19.5" hidden="false" customHeight="true" outlineLevel="0" collapsed="false">
      <c r="A372" s="2" t="s">
        <v>9973</v>
      </c>
      <c r="B372" s="2"/>
      <c r="C372" s="2" t="str">
        <f aca="false">_xlfn.CONCAT(A372, " ","(",B372,")")</f>
        <v>Melaspilea lentiginosa ()</v>
      </c>
      <c r="D372" s="2"/>
      <c r="E372" s="2" t="s">
        <v>8892</v>
      </c>
      <c r="F372" s="2" t="s">
        <v>8892</v>
      </c>
      <c r="G372" s="2" t="s">
        <v>8883</v>
      </c>
      <c r="H372" s="2" t="str">
        <f aca="false">VLOOKUP(A372,'[1]NE red list'!A$1:H$1048576,5,FALSE())</f>
        <v>NT</v>
      </c>
      <c r="I372" s="2" t="s">
        <v>9974</v>
      </c>
      <c r="J372" s="2" t="s">
        <v>9975</v>
      </c>
      <c r="K372" s="2"/>
      <c r="L372" s="33"/>
      <c r="M372" s="2"/>
      <c r="N372" s="2" t="str">
        <f aca="false">_xlfn.CONCAT(Q372," ",R372," ",S372)</f>
        <v>woodland parkland </v>
      </c>
      <c r="O372" s="3" t="s">
        <v>14</v>
      </c>
      <c r="P372" s="2"/>
      <c r="Q372" s="2" t="s">
        <v>16</v>
      </c>
      <c r="R372" s="2" t="s">
        <v>8568</v>
      </c>
      <c r="S372" s="2"/>
      <c r="T372" s="2"/>
      <c r="U372" s="2" t="s">
        <v>8570</v>
      </c>
      <c r="V372" s="2" t="s">
        <v>9976</v>
      </c>
      <c r="W372" s="2" t="s">
        <v>8571</v>
      </c>
      <c r="X372" s="2"/>
      <c r="Y372" s="2" t="s">
        <v>8573</v>
      </c>
      <c r="Z372" s="2" t="s">
        <v>8694</v>
      </c>
      <c r="AA372" s="4"/>
      <c r="AB372" s="6"/>
      <c r="AC372" s="6"/>
      <c r="AD372" s="6"/>
      <c r="AE372" s="6"/>
      <c r="AF372" s="6"/>
      <c r="AG372" s="7"/>
      <c r="AH372" s="7"/>
      <c r="AI372" s="7"/>
      <c r="AJ372" s="7"/>
      <c r="AK372" s="7"/>
      <c r="AL372" s="7"/>
      <c r="AM372" s="4"/>
      <c r="AO372" s="31"/>
      <c r="AS372" s="2"/>
      <c r="AU372" s="4" t="s">
        <v>8639</v>
      </c>
      <c r="AV372" s="11"/>
      <c r="AW372" s="11" t="s">
        <v>8725</v>
      </c>
      <c r="AX372" s="4"/>
      <c r="AY372" s="12"/>
      <c r="AZ372" s="12"/>
      <c r="BN372" s="8" t="s">
        <v>8619</v>
      </c>
    </row>
    <row r="373" customFormat="false" ht="19.5" hidden="false" customHeight="true" outlineLevel="0" collapsed="false">
      <c r="A373" s="2" t="s">
        <v>9977</v>
      </c>
      <c r="C373" s="2" t="str">
        <f aca="false">_xlfn.CONCAT(A373, " ","(",B373,")")</f>
        <v>Mesosa nebulosa ()</v>
      </c>
      <c r="D373" s="2" t="s">
        <v>8580</v>
      </c>
      <c r="E373" s="2" t="s">
        <v>8581</v>
      </c>
      <c r="F373" s="2" t="s">
        <v>8787</v>
      </c>
      <c r="G373" s="2" t="s">
        <v>8662</v>
      </c>
      <c r="H373" s="2" t="str">
        <f aca="false">VLOOKUP(A373,'[1]NE red list'!A$1:H$1048576,5,FALSE())</f>
        <v>LC</v>
      </c>
      <c r="I373" s="2" t="s">
        <v>9978</v>
      </c>
      <c r="J373" s="2" t="s">
        <v>9979</v>
      </c>
      <c r="K373" s="2" t="s">
        <v>9980</v>
      </c>
      <c r="L373" s="2" t="s">
        <v>8613</v>
      </c>
      <c r="N373" s="2" t="str">
        <f aca="false">_xlfn.CONCAT(Q373," ",R373," ",S373)</f>
        <v>woodland  </v>
      </c>
      <c r="O373" s="2" t="s">
        <v>14</v>
      </c>
      <c r="P373" s="2"/>
      <c r="Q373" s="2" t="s">
        <v>16</v>
      </c>
      <c r="T373" s="2"/>
      <c r="U373" s="2" t="s">
        <v>8570</v>
      </c>
      <c r="X373" s="2" t="s">
        <v>8597</v>
      </c>
      <c r="Y373" s="2" t="s">
        <v>8573</v>
      </c>
      <c r="Z373" s="2" t="s">
        <v>8574</v>
      </c>
      <c r="AG373" s="7" t="s">
        <v>8824</v>
      </c>
      <c r="AN373" s="8" t="s">
        <v>9807</v>
      </c>
      <c r="AS373" s="2" t="s">
        <v>9981</v>
      </c>
      <c r="AV373" s="11"/>
      <c r="BI373" s="2" t="s">
        <v>8590</v>
      </c>
      <c r="BL373" s="2" t="s">
        <v>8591</v>
      </c>
      <c r="BO373" s="2"/>
      <c r="MJM373" s="2"/>
    </row>
    <row r="374" customFormat="false" ht="19.5" hidden="false" customHeight="true" outlineLevel="0" collapsed="false">
      <c r="A374" s="2" t="s">
        <v>9982</v>
      </c>
      <c r="C374" s="2" t="str">
        <f aca="false">_xlfn.CONCAT(A374, " ","(",B374,")")</f>
        <v>Meta bourneti ()</v>
      </c>
      <c r="D374" s="2" t="s">
        <v>8728</v>
      </c>
      <c r="E374" s="34" t="s">
        <v>8729</v>
      </c>
      <c r="F374" s="2" t="s">
        <v>9983</v>
      </c>
      <c r="G374" s="2" t="s">
        <v>8841</v>
      </c>
      <c r="H374" s="2" t="str">
        <f aca="false">VLOOKUP(A374,'[1]NE red list'!A$1:H$1048576,5,FALSE())</f>
        <v>LC</v>
      </c>
      <c r="I374" s="2" t="s">
        <v>8610</v>
      </c>
      <c r="J374" s="2" t="s">
        <v>9984</v>
      </c>
      <c r="K374" s="2" t="s">
        <v>9985</v>
      </c>
      <c r="L374" s="2" t="s">
        <v>8665</v>
      </c>
      <c r="N374" s="2" t="str">
        <f aca="false">_xlfn.CONCAT(Q374," ",R374," ",S374)</f>
        <v>woodland parkland </v>
      </c>
      <c r="O374" s="3" t="s">
        <v>14</v>
      </c>
      <c r="P374" s="2" t="s">
        <v>8587</v>
      </c>
      <c r="Q374" s="2" t="s">
        <v>16</v>
      </c>
      <c r="R374" s="2" t="s">
        <v>8568</v>
      </c>
      <c r="T374" s="2"/>
      <c r="U374" s="2" t="s">
        <v>8605</v>
      </c>
      <c r="W374" s="2" t="s">
        <v>8571</v>
      </c>
      <c r="X374" s="2" t="s">
        <v>8589</v>
      </c>
      <c r="AA374" s="4" t="s">
        <v>26</v>
      </c>
      <c r="AD374" s="6" t="s">
        <v>8615</v>
      </c>
      <c r="AG374" s="7" t="s">
        <v>8575</v>
      </c>
      <c r="AI374" s="7" t="s">
        <v>8617</v>
      </c>
      <c r="AS374" s="2"/>
      <c r="AV374" s="11"/>
      <c r="BC374" s="2" t="s">
        <v>9986</v>
      </c>
      <c r="BI374" s="2" t="s">
        <v>8590</v>
      </c>
      <c r="BL374" s="2" t="s">
        <v>8591</v>
      </c>
      <c r="BO374" s="2"/>
      <c r="MJM374" s="2"/>
    </row>
    <row r="375" customFormat="false" ht="19.5" hidden="false" customHeight="true" outlineLevel="0" collapsed="false">
      <c r="A375" s="2" t="s">
        <v>9987</v>
      </c>
      <c r="C375" s="2" t="str">
        <f aca="false">_xlfn.CONCAT(A375, " ","(",B375,")")</f>
        <v>Meta menardi ()</v>
      </c>
      <c r="D375" s="2" t="s">
        <v>8728</v>
      </c>
      <c r="E375" s="34" t="s">
        <v>8729</v>
      </c>
      <c r="F375" s="2" t="s">
        <v>9983</v>
      </c>
      <c r="G375" s="2" t="s">
        <v>8841</v>
      </c>
      <c r="H375" s="2" t="str">
        <f aca="false">VLOOKUP(A375,'[1]NE red list'!A$1:H$1048576,5,FALSE())</f>
        <v>LC</v>
      </c>
      <c r="I375" s="2" t="s">
        <v>8645</v>
      </c>
      <c r="J375" s="2" t="s">
        <v>9984</v>
      </c>
      <c r="K375" s="2" t="s">
        <v>9985</v>
      </c>
      <c r="L375" s="2" t="s">
        <v>8665</v>
      </c>
      <c r="N375" s="2" t="str">
        <f aca="false">_xlfn.CONCAT(Q375," ",R375," ",S375)</f>
        <v>woodland parkland </v>
      </c>
      <c r="O375" s="3" t="s">
        <v>14</v>
      </c>
      <c r="P375" s="2" t="s">
        <v>8587</v>
      </c>
      <c r="Q375" s="2" t="s">
        <v>16</v>
      </c>
      <c r="R375" s="2" t="s">
        <v>8568</v>
      </c>
      <c r="T375" s="2"/>
      <c r="U375" s="2" t="s">
        <v>8605</v>
      </c>
      <c r="W375" s="2" t="s">
        <v>8571</v>
      </c>
      <c r="X375" s="2" t="s">
        <v>8589</v>
      </c>
      <c r="AA375" s="4" t="s">
        <v>26</v>
      </c>
      <c r="AD375" s="6" t="s">
        <v>8615</v>
      </c>
      <c r="AG375" s="7" t="s">
        <v>8575</v>
      </c>
      <c r="AI375" s="7" t="s">
        <v>8617</v>
      </c>
      <c r="AS375" s="2"/>
      <c r="AV375" s="11"/>
      <c r="BC375" s="2" t="s">
        <v>9986</v>
      </c>
      <c r="BI375" s="2" t="s">
        <v>8590</v>
      </c>
      <c r="BL375" s="2" t="s">
        <v>8591</v>
      </c>
      <c r="BO375" s="2"/>
      <c r="MJM375" s="2"/>
    </row>
    <row r="376" customFormat="false" ht="19.5" hidden="false" customHeight="true" outlineLevel="0" collapsed="false">
      <c r="A376" s="2" t="s">
        <v>9988</v>
      </c>
      <c r="C376" s="2" t="str">
        <f aca="false">_xlfn.CONCAT(A376, " ","(",B376,")")</f>
        <v>Metalimnobia quadrimaculata ()</v>
      </c>
      <c r="D376" s="2" t="s">
        <v>8580</v>
      </c>
      <c r="E376" s="2" t="s">
        <v>8687</v>
      </c>
      <c r="F376" s="2" t="s">
        <v>9633</v>
      </c>
      <c r="G376" s="2" t="s">
        <v>8662</v>
      </c>
      <c r="H376" s="2" t="e">
        <f aca="false">VLOOKUP(A376,'[1]NE red list'!A$1:H$1048576,5,FALSE())</f>
        <v>#N/A</v>
      </c>
      <c r="I376" s="2" t="s">
        <v>8645</v>
      </c>
      <c r="J376" s="2" t="s">
        <v>9989</v>
      </c>
      <c r="K376" s="2" t="s">
        <v>8585</v>
      </c>
      <c r="L376" s="2" t="s">
        <v>8677</v>
      </c>
      <c r="N376" s="2" t="str">
        <f aca="false">_xlfn.CONCAT(Q376," ",R376," ",S376)</f>
        <v>woodland  </v>
      </c>
      <c r="O376" s="2"/>
      <c r="P376" s="2"/>
      <c r="Q376" s="2" t="s">
        <v>16</v>
      </c>
      <c r="T376" s="2"/>
      <c r="U376" s="2" t="s">
        <v>8605</v>
      </c>
      <c r="X376" s="2" t="s">
        <v>8589</v>
      </c>
      <c r="Z376" s="2" t="s">
        <v>8614</v>
      </c>
      <c r="AS376" s="2"/>
      <c r="AV376" s="11"/>
      <c r="AX376" s="4" t="s">
        <v>8585</v>
      </c>
      <c r="AY376" s="12" t="s">
        <v>8585</v>
      </c>
      <c r="BI376" s="2" t="s">
        <v>8590</v>
      </c>
      <c r="BL376" s="2" t="s">
        <v>8591</v>
      </c>
      <c r="BO376" s="2"/>
      <c r="MJM376" s="2"/>
    </row>
    <row r="377" s="32" customFormat="true" ht="19.5" hidden="false" customHeight="true" outlineLevel="0" collapsed="false">
      <c r="A377" s="2" t="s">
        <v>9990</v>
      </c>
      <c r="B377" s="2"/>
      <c r="C377" s="2" t="str">
        <f aca="false">_xlfn.CONCAT(A377, " ","(",B377,")")</f>
        <v>Phyllodrepa nigra ()</v>
      </c>
      <c r="D377" s="2" t="s">
        <v>8580</v>
      </c>
      <c r="E377" s="2" t="s">
        <v>8581</v>
      </c>
      <c r="F377" s="2" t="s">
        <v>8652</v>
      </c>
      <c r="G377" s="2" t="s">
        <v>8662</v>
      </c>
      <c r="H377" s="2" t="e">
        <f aca="false">VLOOKUP(A377,'[1]NE red list'!A$1:H$1048576,5,FALSE())</f>
        <v>#N/A</v>
      </c>
      <c r="I377" s="2" t="s">
        <v>8714</v>
      </c>
      <c r="J377" s="2" t="s">
        <v>9991</v>
      </c>
      <c r="K377" s="2" t="s">
        <v>8976</v>
      </c>
      <c r="L377" s="2" t="s">
        <v>9992</v>
      </c>
      <c r="M377" s="2"/>
      <c r="N377" s="2" t="str">
        <f aca="false">_xlfn.CONCAT(Q377," ",R377," ",S377)</f>
        <v>woodland parkland </v>
      </c>
      <c r="O377" s="3" t="s">
        <v>14</v>
      </c>
      <c r="P377" s="2"/>
      <c r="Q377" s="2" t="s">
        <v>16</v>
      </c>
      <c r="R377" s="2" t="s">
        <v>8568</v>
      </c>
      <c r="S377" s="2"/>
      <c r="T377" s="3"/>
      <c r="U377" s="2" t="s">
        <v>8570</v>
      </c>
      <c r="V377" s="2"/>
      <c r="W377" s="2" t="s">
        <v>8571</v>
      </c>
      <c r="X377" s="2"/>
      <c r="Y377" s="2"/>
      <c r="Z377" s="2"/>
      <c r="AA377" s="4" t="s">
        <v>26</v>
      </c>
      <c r="AB377" s="5"/>
      <c r="AC377" s="55" t="s">
        <v>8666</v>
      </c>
      <c r="AD377" s="6" t="s">
        <v>8615</v>
      </c>
      <c r="AE377" s="6"/>
      <c r="AF377" s="6"/>
      <c r="AG377" s="7" t="s">
        <v>8575</v>
      </c>
      <c r="AH377" s="7"/>
      <c r="AI377" s="7" t="s">
        <v>8617</v>
      </c>
      <c r="AJ377" s="7" t="s">
        <v>8612</v>
      </c>
      <c r="AK377" s="7"/>
      <c r="AL377" s="7" t="s">
        <v>8628</v>
      </c>
      <c r="AM377" s="4"/>
      <c r="AS377" s="2"/>
      <c r="AU377" s="4" t="s">
        <v>8639</v>
      </c>
      <c r="AV377" s="10" t="s">
        <v>9993</v>
      </c>
      <c r="AW377" s="11"/>
      <c r="AX377" s="4" t="s">
        <v>8607</v>
      </c>
      <c r="AY377" s="12"/>
      <c r="AZ377" s="12"/>
      <c r="BA377" s="32" t="s">
        <v>9030</v>
      </c>
      <c r="BB377" s="32" t="s">
        <v>8618</v>
      </c>
      <c r="BI377" s="2" t="s">
        <v>8590</v>
      </c>
      <c r="BJ377" s="32" t="s">
        <v>8630</v>
      </c>
      <c r="BL377" s="32" t="s">
        <v>8591</v>
      </c>
      <c r="BM377" s="32" t="s">
        <v>8619</v>
      </c>
    </row>
    <row r="378" customFormat="false" ht="19.5" hidden="false" customHeight="true" outlineLevel="0" collapsed="false">
      <c r="A378" s="2" t="s">
        <v>9994</v>
      </c>
      <c r="C378" s="2" t="str">
        <f aca="false">_xlfn.CONCAT(A378, " ","(",B378,")")</f>
        <v>Microdynerus exilis ()</v>
      </c>
      <c r="D378" s="2" t="s">
        <v>8580</v>
      </c>
      <c r="E378" s="2" t="s">
        <v>8839</v>
      </c>
      <c r="F378" s="2" t="s">
        <v>9995</v>
      </c>
      <c r="G378" s="2" t="s">
        <v>8583</v>
      </c>
      <c r="H378" s="2" t="e">
        <f aca="false">VLOOKUP(A378,'[1]NE red list'!A$1:H$1048576,5,FALSE())</f>
        <v>#N/A</v>
      </c>
      <c r="I378" s="2" t="s">
        <v>8945</v>
      </c>
      <c r="J378" s="2" t="s">
        <v>9996</v>
      </c>
      <c r="K378" s="2" t="s">
        <v>9997</v>
      </c>
      <c r="L378" s="2" t="s">
        <v>9050</v>
      </c>
      <c r="N378" s="2" t="str">
        <f aca="false">_xlfn.CONCAT(Q378," ",R378," ",S378)</f>
        <v>woodland parkland ToW</v>
      </c>
      <c r="O378" s="2" t="s">
        <v>14</v>
      </c>
      <c r="P378" s="2"/>
      <c r="Q378" s="2" t="s">
        <v>16</v>
      </c>
      <c r="R378" s="2" t="s">
        <v>8568</v>
      </c>
      <c r="S378" s="2" t="s">
        <v>18</v>
      </c>
      <c r="T378" s="2" t="s">
        <v>8569</v>
      </c>
      <c r="U378" s="2" t="s">
        <v>8570</v>
      </c>
      <c r="X378" s="2" t="s">
        <v>8625</v>
      </c>
      <c r="Z378" s="2" t="s">
        <v>8574</v>
      </c>
      <c r="AB378" s="5" t="s">
        <v>8672</v>
      </c>
      <c r="AG378" s="7" t="s">
        <v>8824</v>
      </c>
      <c r="AS378" s="2"/>
      <c r="AV378" s="11"/>
      <c r="BB378" s="2" t="s">
        <v>8618</v>
      </c>
      <c r="BC378" s="2" t="s">
        <v>9427</v>
      </c>
      <c r="BF378" s="2" t="s">
        <v>9274</v>
      </c>
      <c r="BH378" s="2" t="s">
        <v>9275</v>
      </c>
      <c r="BI378" s="2" t="s">
        <v>8590</v>
      </c>
      <c r="BL378" s="2" t="s">
        <v>8591</v>
      </c>
      <c r="BO378" s="2"/>
      <c r="MJM378" s="2"/>
    </row>
    <row r="379" customFormat="false" ht="19.5" hidden="false" customHeight="true" outlineLevel="0" collapsed="false">
      <c r="A379" s="2" t="s">
        <v>9998</v>
      </c>
      <c r="C379" s="2" t="str">
        <f aca="false">_xlfn.CONCAT(A379, " ","(",B379,")")</f>
        <v>Microrhagus pygmaeus ()</v>
      </c>
      <c r="D379" s="2" t="s">
        <v>8580</v>
      </c>
      <c r="E379" s="2" t="s">
        <v>8581</v>
      </c>
      <c r="F379" s="2" t="s">
        <v>9626</v>
      </c>
      <c r="G379" s="2" t="s">
        <v>8662</v>
      </c>
      <c r="H379" s="2" t="e">
        <f aca="false">VLOOKUP(A379,'[1]NE red list'!A$1:H$1048576,5,FALSE())</f>
        <v>#N/A</v>
      </c>
      <c r="I379" s="2" t="s">
        <v>8610</v>
      </c>
      <c r="J379" s="2" t="s">
        <v>9999</v>
      </c>
      <c r="L379" s="2" t="s">
        <v>8836</v>
      </c>
      <c r="N379" s="2" t="str">
        <f aca="false">_xlfn.CONCAT(Q379," ",R379," ",S379)</f>
        <v>woodland parkland </v>
      </c>
      <c r="O379" s="3" t="s">
        <v>14</v>
      </c>
      <c r="P379" s="2" t="s">
        <v>8567</v>
      </c>
      <c r="Q379" s="2" t="s">
        <v>16</v>
      </c>
      <c r="R379" s="2" t="s">
        <v>8568</v>
      </c>
      <c r="T379" s="2"/>
      <c r="U379" s="2" t="s">
        <v>8570</v>
      </c>
      <c r="V379" s="2" t="s">
        <v>8828</v>
      </c>
      <c r="W379" s="2" t="s">
        <v>8567</v>
      </c>
      <c r="AG379" s="7" t="s">
        <v>8575</v>
      </c>
      <c r="AI379" s="7" t="s">
        <v>8617</v>
      </c>
      <c r="AK379" s="7" t="s">
        <v>8780</v>
      </c>
      <c r="AS379" s="2"/>
      <c r="AV379" s="11"/>
      <c r="BC379" s="2" t="s">
        <v>8600</v>
      </c>
      <c r="BD379" s="2" t="s">
        <v>8629</v>
      </c>
      <c r="BI379" s="2" t="s">
        <v>8590</v>
      </c>
      <c r="BJ379" s="2" t="s">
        <v>8747</v>
      </c>
      <c r="BL379" s="2" t="s">
        <v>8591</v>
      </c>
      <c r="BO379" s="2"/>
      <c r="MJM379" s="2"/>
    </row>
    <row r="380" customFormat="false" ht="19.5" hidden="false" customHeight="true" outlineLevel="0" collapsed="false">
      <c r="A380" s="2" t="s">
        <v>10000</v>
      </c>
      <c r="C380" s="2" t="str">
        <f aca="false">_xlfn.CONCAT(A380, " ","(",B380,")")</f>
        <v>Platycis minutus ()</v>
      </c>
      <c r="D380" s="2" t="s">
        <v>8580</v>
      </c>
      <c r="E380" s="2" t="s">
        <v>8581</v>
      </c>
      <c r="F380" s="2" t="s">
        <v>9323</v>
      </c>
      <c r="H380" s="2" t="str">
        <f aca="false">VLOOKUP(A380,'[1]NE red list'!A$1:H$1048576,5,FALSE())</f>
        <v>LC</v>
      </c>
      <c r="I380" s="2" t="s">
        <v>8945</v>
      </c>
      <c r="J380" s="2" t="s">
        <v>10001</v>
      </c>
      <c r="K380" s="2" t="s">
        <v>10002</v>
      </c>
      <c r="N380" s="2" t="str">
        <f aca="false">_xlfn.CONCAT(Q380," ",R380," ",S380)</f>
        <v>woodland parkland </v>
      </c>
      <c r="O380" s="3" t="s">
        <v>14</v>
      </c>
      <c r="P380" s="2" t="s">
        <v>8587</v>
      </c>
      <c r="Q380" s="2" t="s">
        <v>16</v>
      </c>
      <c r="R380" s="2" t="s">
        <v>8568</v>
      </c>
      <c r="T380" s="2"/>
      <c r="U380" s="2" t="s">
        <v>8570</v>
      </c>
      <c r="V380" s="2" t="s">
        <v>9640</v>
      </c>
      <c r="W380" s="2" t="s">
        <v>8571</v>
      </c>
      <c r="X380" s="2" t="s">
        <v>8589</v>
      </c>
      <c r="Z380" s="2" t="s">
        <v>8614</v>
      </c>
      <c r="AA380" s="4" t="s">
        <v>26</v>
      </c>
      <c r="AD380" s="6" t="s">
        <v>8615</v>
      </c>
      <c r="AG380" s="7" t="s">
        <v>8575</v>
      </c>
      <c r="AI380" s="7" t="s">
        <v>8617</v>
      </c>
      <c r="AK380" s="7" t="s">
        <v>8780</v>
      </c>
      <c r="AL380" s="7" t="s">
        <v>8628</v>
      </c>
      <c r="AS380" s="2"/>
      <c r="AV380" s="11"/>
      <c r="BC380" s="2" t="s">
        <v>8600</v>
      </c>
      <c r="BD380" s="2" t="s">
        <v>8629</v>
      </c>
      <c r="BI380" s="2" t="s">
        <v>8590</v>
      </c>
      <c r="BL380" s="2" t="s">
        <v>8591</v>
      </c>
      <c r="BO380" s="2"/>
      <c r="MJM380" s="2"/>
    </row>
    <row r="381" customFormat="false" ht="19.5" hidden="false" customHeight="true" outlineLevel="0" collapsed="false">
      <c r="A381" s="2" t="s">
        <v>10003</v>
      </c>
      <c r="C381" s="2" t="str">
        <f aca="false">_xlfn.CONCAT(A381, " ","(",B381,")")</f>
        <v>Microscydmus nanus ()</v>
      </c>
      <c r="D381" s="2" t="s">
        <v>8580</v>
      </c>
      <c r="E381" s="2" t="s">
        <v>8581</v>
      </c>
      <c r="F381" s="2" t="s">
        <v>8652</v>
      </c>
      <c r="G381" s="2" t="s">
        <v>9777</v>
      </c>
      <c r="H381" s="2" t="e">
        <f aca="false">VLOOKUP(A381,'[1]NE red list'!A$1:H$1048576,5,FALSE())</f>
        <v>#N/A</v>
      </c>
      <c r="I381" s="2" t="s">
        <v>8564</v>
      </c>
      <c r="J381" s="2" t="s">
        <v>10004</v>
      </c>
      <c r="N381" s="2" t="str">
        <f aca="false">_xlfn.CONCAT(Q381," ",R381," ",S381)</f>
        <v>woodland parkland </v>
      </c>
      <c r="O381" s="3" t="s">
        <v>14</v>
      </c>
      <c r="P381" s="2" t="s">
        <v>8587</v>
      </c>
      <c r="Q381" s="2" t="s">
        <v>16</v>
      </c>
      <c r="R381" s="2" t="s">
        <v>8568</v>
      </c>
      <c r="T381" s="2"/>
      <c r="U381" s="2" t="s">
        <v>8570</v>
      </c>
      <c r="W381" s="2" t="s">
        <v>8571</v>
      </c>
      <c r="AG381" s="7" t="s">
        <v>8575</v>
      </c>
      <c r="AI381" s="7" t="s">
        <v>8617</v>
      </c>
      <c r="AN381" s="8" t="s">
        <v>8638</v>
      </c>
      <c r="AS381" s="2"/>
      <c r="AV381" s="11"/>
      <c r="BF381" s="2" t="s">
        <v>10005</v>
      </c>
      <c r="BI381" s="2" t="s">
        <v>8590</v>
      </c>
      <c r="BL381" s="2" t="s">
        <v>8591</v>
      </c>
      <c r="BO381" s="2"/>
      <c r="MJM381" s="2"/>
    </row>
    <row r="382" s="32" customFormat="true" ht="19.5" hidden="false" customHeight="true" outlineLevel="0" collapsed="false">
      <c r="A382" s="1" t="s">
        <v>10006</v>
      </c>
      <c r="B382" s="2" t="s">
        <v>10007</v>
      </c>
      <c r="C382" s="2" t="str">
        <f aca="false">_xlfn.CONCAT(A382, " ","(",B382,")")</f>
        <v>Midia midas (Midas Tree-weaver )</v>
      </c>
      <c r="D382" s="2" t="s">
        <v>8728</v>
      </c>
      <c r="E382" s="34" t="s">
        <v>8729</v>
      </c>
      <c r="F382" s="2" t="s">
        <v>9809</v>
      </c>
      <c r="G382" s="2" t="s">
        <v>8776</v>
      </c>
      <c r="H382" s="2" t="str">
        <f aca="false">VLOOKUP(A382,'[1]NE red list'!A$1:H$1048576,5,FALSE())</f>
        <v>EN</v>
      </c>
      <c r="I382" s="2" t="s">
        <v>8622</v>
      </c>
      <c r="J382" s="2" t="s">
        <v>10008</v>
      </c>
      <c r="K382" s="2" t="s">
        <v>10009</v>
      </c>
      <c r="L382" s="2" t="s">
        <v>8665</v>
      </c>
      <c r="M382" s="2"/>
      <c r="N382" s="2" t="str">
        <f aca="false">_xlfn.CONCAT(Q382," ",R382," ",S382)</f>
        <v>woodland parkland </v>
      </c>
      <c r="O382" s="3" t="s">
        <v>14</v>
      </c>
      <c r="P382" s="2" t="s">
        <v>8587</v>
      </c>
      <c r="Q382" s="2" t="s">
        <v>16</v>
      </c>
      <c r="R382" s="2" t="s">
        <v>8568</v>
      </c>
      <c r="S382" s="2"/>
      <c r="T382" s="2"/>
      <c r="U382" s="2" t="s">
        <v>8570</v>
      </c>
      <c r="V382" s="2" t="s">
        <v>9038</v>
      </c>
      <c r="W382" s="2" t="s">
        <v>8571</v>
      </c>
      <c r="X382" s="2" t="s">
        <v>8589</v>
      </c>
      <c r="Y382" s="2" t="s">
        <v>8573</v>
      </c>
      <c r="Z382" s="2" t="s">
        <v>8614</v>
      </c>
      <c r="AA382" s="4" t="s">
        <v>26</v>
      </c>
      <c r="AB382" s="5"/>
      <c r="AC382" s="55" t="s">
        <v>8666</v>
      </c>
      <c r="AD382" s="6" t="s">
        <v>8615</v>
      </c>
      <c r="AE382" s="6"/>
      <c r="AF382" s="6" t="s">
        <v>8616</v>
      </c>
      <c r="AG382" s="7" t="s">
        <v>8575</v>
      </c>
      <c r="AH382" s="7"/>
      <c r="AI382" s="7" t="s">
        <v>8617</v>
      </c>
      <c r="AJ382" s="7"/>
      <c r="AK382" s="7"/>
      <c r="AL382" s="7"/>
      <c r="AM382" s="4" t="s">
        <v>8657</v>
      </c>
      <c r="AQ382" s="8" t="s">
        <v>42</v>
      </c>
      <c r="AR382" s="8" t="s">
        <v>43</v>
      </c>
      <c r="AS382" s="2"/>
      <c r="AU382" s="4" t="s">
        <v>8639</v>
      </c>
      <c r="AV382" s="10"/>
      <c r="AW382" s="11"/>
      <c r="AX382" s="4"/>
      <c r="AY382" s="12"/>
      <c r="AZ382" s="12"/>
      <c r="BC382" s="32" t="s">
        <v>8600</v>
      </c>
      <c r="BI382" s="2" t="s">
        <v>8590</v>
      </c>
      <c r="BJ382" s="32" t="s">
        <v>8601</v>
      </c>
      <c r="BK382" s="32" t="s">
        <v>8578</v>
      </c>
      <c r="BL382" s="32" t="s">
        <v>8578</v>
      </c>
    </row>
    <row r="383" customFormat="false" ht="19.5" hidden="false" customHeight="true" outlineLevel="0" collapsed="false">
      <c r="A383" s="1" t="s">
        <v>10010</v>
      </c>
      <c r="B383" s="2" t="s">
        <v>10011</v>
      </c>
      <c r="C383" s="2" t="str">
        <f aca="false">_xlfn.CONCAT(A383, " ","(",B383,")")</f>
        <v>Miltochrista miniata (Rosy Footman)</v>
      </c>
      <c r="D383" s="2" t="s">
        <v>8580</v>
      </c>
      <c r="E383" s="2" t="s">
        <v>8722</v>
      </c>
      <c r="F383" s="2" t="s">
        <v>8922</v>
      </c>
      <c r="G383" s="2" t="s">
        <v>9870</v>
      </c>
      <c r="H383" s="2" t="e">
        <f aca="false">VLOOKUP(A383,'[1]NE red list'!A$1:H$1048576,5,FALSE())</f>
        <v>#N/A</v>
      </c>
      <c r="I383" s="2" t="s">
        <v>8610</v>
      </c>
      <c r="J383" s="33" t="s">
        <v>10012</v>
      </c>
      <c r="K383" s="2" t="s">
        <v>8725</v>
      </c>
      <c r="L383" s="2" t="s">
        <v>8648</v>
      </c>
      <c r="N383" s="2" t="str">
        <f aca="false">_xlfn.CONCAT(Q383," ",R383," ",S383)</f>
        <v>woodland parkland ToW</v>
      </c>
      <c r="O383" s="2" t="s">
        <v>14</v>
      </c>
      <c r="P383" s="2"/>
      <c r="Q383" s="2" t="s">
        <v>16</v>
      </c>
      <c r="R383" s="2" t="s">
        <v>8568</v>
      </c>
      <c r="S383" s="2" t="s">
        <v>18</v>
      </c>
      <c r="T383" s="2"/>
      <c r="U383" s="2" t="s">
        <v>8570</v>
      </c>
      <c r="X383" s="2" t="s">
        <v>8597</v>
      </c>
      <c r="Y383" s="2" t="s">
        <v>8573</v>
      </c>
      <c r="Z383" s="2" t="s">
        <v>8694</v>
      </c>
      <c r="AS383" s="2"/>
      <c r="AU383" s="4" t="s">
        <v>8639</v>
      </c>
      <c r="AV383" s="11"/>
      <c r="AW383" s="11" t="s">
        <v>8726</v>
      </c>
      <c r="BI383" s="2" t="s">
        <v>8590</v>
      </c>
      <c r="BJ383" s="2" t="s">
        <v>8601</v>
      </c>
      <c r="BL383" s="2" t="s">
        <v>8591</v>
      </c>
      <c r="BO383" s="2"/>
      <c r="MJM383" s="2"/>
    </row>
    <row r="384" customFormat="false" ht="19.5" hidden="false" customHeight="true" outlineLevel="0" collapsed="false">
      <c r="A384" s="2" t="s">
        <v>10013</v>
      </c>
      <c r="C384" s="2" t="str">
        <f aca="false">_xlfn.CONCAT(A384, " ","(",B384,")")</f>
        <v>Mimumesa dahlbomi ()</v>
      </c>
      <c r="D384" s="2" t="s">
        <v>8580</v>
      </c>
      <c r="E384" s="2" t="s">
        <v>8839</v>
      </c>
      <c r="F384" s="2" t="s">
        <v>10014</v>
      </c>
      <c r="H384" s="2" t="e">
        <f aca="false">VLOOKUP(A384,'[1]NE red list'!A$1:H$1048576,5,FALSE())</f>
        <v>#N/A</v>
      </c>
      <c r="I384" s="2" t="s">
        <v>9086</v>
      </c>
      <c r="J384" s="2" t="s">
        <v>10015</v>
      </c>
      <c r="K384" s="2" t="s">
        <v>10016</v>
      </c>
      <c r="L384" s="2" t="s">
        <v>8948</v>
      </c>
      <c r="N384" s="2" t="str">
        <f aca="false">_xlfn.CONCAT(Q384," ",R384," ",S384)</f>
        <v>woodland parkland ToW</v>
      </c>
      <c r="O384" s="2" t="s">
        <v>14</v>
      </c>
      <c r="P384" s="2"/>
      <c r="Q384" s="2" t="s">
        <v>16</v>
      </c>
      <c r="R384" s="2" t="s">
        <v>8568</v>
      </c>
      <c r="S384" s="2" t="s">
        <v>18</v>
      </c>
      <c r="T384" s="2"/>
      <c r="U384" s="2" t="s">
        <v>8605</v>
      </c>
      <c r="X384" s="2" t="s">
        <v>8625</v>
      </c>
      <c r="Z384" s="2" t="s">
        <v>8574</v>
      </c>
      <c r="AB384" s="5" t="s">
        <v>8672</v>
      </c>
      <c r="AG384" s="7" t="s">
        <v>8824</v>
      </c>
      <c r="AM384" s="4" t="s">
        <v>8657</v>
      </c>
      <c r="AP384" s="8" t="s">
        <v>8719</v>
      </c>
      <c r="AS384" s="2"/>
      <c r="AV384" s="11"/>
      <c r="BI384" s="2" t="s">
        <v>8590</v>
      </c>
      <c r="BL384" s="2" t="s">
        <v>8591</v>
      </c>
      <c r="BO384" s="2"/>
      <c r="MJM384" s="2"/>
    </row>
    <row r="385" customFormat="false" ht="19.5" hidden="false" customHeight="true" outlineLevel="0" collapsed="false">
      <c r="A385" s="2" t="s">
        <v>10017</v>
      </c>
      <c r="C385" s="2" t="str">
        <f aca="false">_xlfn.CONCAT(A385, " ","(",B385,")")</f>
        <v>Molorchus minor ()</v>
      </c>
      <c r="D385" s="2" t="s">
        <v>8580</v>
      </c>
      <c r="E385" s="2" t="s">
        <v>8581</v>
      </c>
      <c r="F385" s="2" t="s">
        <v>8787</v>
      </c>
      <c r="H385" s="2" t="e">
        <f aca="false">VLOOKUP(A385,'[1]NE red list'!A$1:H$1048576,5,FALSE())</f>
        <v>#N/A</v>
      </c>
      <c r="I385" s="2" t="s">
        <v>8622</v>
      </c>
      <c r="J385" s="2" t="s">
        <v>10018</v>
      </c>
      <c r="L385" s="2" t="s">
        <v>8790</v>
      </c>
      <c r="N385" s="2" t="str">
        <f aca="false">_xlfn.CONCAT(Q385," ",R385," ",S385)</f>
        <v>woodland  </v>
      </c>
      <c r="O385" s="2"/>
      <c r="P385" s="2"/>
      <c r="Q385" s="2" t="s">
        <v>16</v>
      </c>
      <c r="T385" s="2"/>
      <c r="U385" s="2" t="s">
        <v>8806</v>
      </c>
      <c r="V385" s="2" t="s">
        <v>10019</v>
      </c>
      <c r="X385" s="2" t="s">
        <v>8625</v>
      </c>
      <c r="Z385" s="2" t="s">
        <v>9313</v>
      </c>
      <c r="AG385" s="7" t="s">
        <v>8575</v>
      </c>
      <c r="AM385" s="4" t="s">
        <v>8657</v>
      </c>
      <c r="AP385" s="8" t="s">
        <v>8719</v>
      </c>
      <c r="AS385" s="2"/>
      <c r="AV385" s="11"/>
      <c r="BB385" s="2" t="s">
        <v>8618</v>
      </c>
      <c r="BI385" s="2" t="s">
        <v>8590</v>
      </c>
      <c r="BO385" s="2"/>
      <c r="MJM385" s="2"/>
    </row>
    <row r="386" customFormat="false" ht="19.5" hidden="false" customHeight="true" outlineLevel="0" collapsed="false">
      <c r="A386" s="1" t="s">
        <v>10020</v>
      </c>
      <c r="B386" s="1" t="s">
        <v>10021</v>
      </c>
      <c r="C386" s="2" t="str">
        <f aca="false">_xlfn.CONCAT(A386, " ","(",B386,")")</f>
        <v>Monocephalus castaneipes (a money spider)</v>
      </c>
      <c r="D386" s="2" t="s">
        <v>8728</v>
      </c>
      <c r="E386" s="34" t="s">
        <v>8729</v>
      </c>
      <c r="F386" s="2" t="s">
        <v>9809</v>
      </c>
      <c r="G386" s="2" t="s">
        <v>8776</v>
      </c>
      <c r="H386" s="2" t="str">
        <f aca="false">VLOOKUP(A386,'[1]NE red list'!A$1:H$1048576,5,FALSE())</f>
        <v>LC</v>
      </c>
      <c r="I386" s="2" t="s">
        <v>10022</v>
      </c>
      <c r="J386" s="2" t="s">
        <v>10023</v>
      </c>
      <c r="K386" s="2" t="s">
        <v>10024</v>
      </c>
      <c r="L386" s="2" t="s">
        <v>8665</v>
      </c>
      <c r="N386" s="2" t="str">
        <f aca="false">_xlfn.CONCAT(Q386," ",R386," ",S386)</f>
        <v>woodland  </v>
      </c>
      <c r="O386" s="2"/>
      <c r="P386" s="2"/>
      <c r="Q386" s="2" t="s">
        <v>16</v>
      </c>
      <c r="T386" s="2" t="s">
        <v>9728</v>
      </c>
      <c r="U386" s="2" t="s">
        <v>8605</v>
      </c>
      <c r="X386" s="2" t="s">
        <v>9009</v>
      </c>
      <c r="AS386" s="2"/>
      <c r="AU386" s="4" t="s">
        <v>8639</v>
      </c>
      <c r="AV386" s="11"/>
      <c r="AW386" s="11" t="s">
        <v>8650</v>
      </c>
      <c r="BD386" s="2" t="s">
        <v>8629</v>
      </c>
      <c r="BE386" s="2" t="s">
        <v>56</v>
      </c>
      <c r="BF386" s="2" t="s">
        <v>8650</v>
      </c>
      <c r="BI386" s="2" t="s">
        <v>8590</v>
      </c>
      <c r="BK386" s="2" t="s">
        <v>8578</v>
      </c>
      <c r="BL386" s="2" t="s">
        <v>8578</v>
      </c>
      <c r="BO386" s="2"/>
      <c r="MJM386" s="2"/>
    </row>
    <row r="387" customFormat="false" ht="19.5" hidden="false" customHeight="true" outlineLevel="0" collapsed="false">
      <c r="A387" s="2" t="s">
        <v>10025</v>
      </c>
      <c r="C387" s="2" t="str">
        <f aca="false">_xlfn.CONCAT(A387, " ","(",B387,")")</f>
        <v>Monopis fenestratella ()</v>
      </c>
      <c r="D387" s="2" t="s">
        <v>8580</v>
      </c>
      <c r="E387" s="2" t="s">
        <v>8722</v>
      </c>
      <c r="F387" s="2" t="s">
        <v>8873</v>
      </c>
      <c r="G387" s="2" t="s">
        <v>8662</v>
      </c>
      <c r="H387" s="2" t="e">
        <f aca="false">VLOOKUP(A387,'[1]NE red list'!A$1:H$1048576,5,FALSE())</f>
        <v>#N/A</v>
      </c>
      <c r="I387" s="2" t="s">
        <v>8945</v>
      </c>
      <c r="J387" s="2" t="s">
        <v>10026</v>
      </c>
      <c r="L387" s="2" t="s">
        <v>9376</v>
      </c>
      <c r="N387" s="2" t="str">
        <f aca="false">_xlfn.CONCAT(Q387," ",R387," ",S387)</f>
        <v> parkland ToW</v>
      </c>
      <c r="O387" s="2" t="s">
        <v>14</v>
      </c>
      <c r="P387" s="2" t="s">
        <v>8567</v>
      </c>
      <c r="R387" s="2" t="s">
        <v>8568</v>
      </c>
      <c r="S387" s="2" t="s">
        <v>18</v>
      </c>
      <c r="T387" s="2"/>
      <c r="U387" s="2" t="s">
        <v>8570</v>
      </c>
      <c r="V387" s="2" t="s">
        <v>9749</v>
      </c>
      <c r="W387" s="2" t="s">
        <v>8571</v>
      </c>
      <c r="X387" s="2" t="s">
        <v>9190</v>
      </c>
      <c r="Z387" s="2" t="s">
        <v>8614</v>
      </c>
      <c r="AA387" s="4" t="s">
        <v>26</v>
      </c>
      <c r="AC387" s="55" t="s">
        <v>8666</v>
      </c>
      <c r="AD387" s="6" t="s">
        <v>8615</v>
      </c>
      <c r="AF387" s="6" t="s">
        <v>8616</v>
      </c>
      <c r="AG387" s="7" t="s">
        <v>8575</v>
      </c>
      <c r="AS387" s="2"/>
      <c r="AU387" s="4" t="s">
        <v>8639</v>
      </c>
      <c r="AX387" s="4" t="s">
        <v>8607</v>
      </c>
      <c r="BL387" s="2" t="s">
        <v>8591</v>
      </c>
      <c r="BO387" s="2"/>
      <c r="MJM387" s="2"/>
    </row>
    <row r="388" customFormat="false" ht="19.5" hidden="false" customHeight="true" outlineLevel="0" collapsed="false">
      <c r="A388" s="2" t="s">
        <v>10027</v>
      </c>
      <c r="C388" s="2" t="str">
        <f aca="false">_xlfn.CONCAT(A388, " ","(",B388,")")</f>
        <v>Mordellochroa abdominalis ()</v>
      </c>
      <c r="D388" s="2" t="s">
        <v>8580</v>
      </c>
      <c r="E388" s="2" t="s">
        <v>8581</v>
      </c>
      <c r="F388" s="30" t="s">
        <v>10028</v>
      </c>
      <c r="H388" s="2" t="str">
        <f aca="false">VLOOKUP(A388,'[1]NE red list'!A$1:H$1048576,5,FALSE())</f>
        <v>LC</v>
      </c>
      <c r="I388" s="2" t="s">
        <v>8610</v>
      </c>
      <c r="J388" s="2" t="s">
        <v>10029</v>
      </c>
      <c r="L388" s="2" t="s">
        <v>8790</v>
      </c>
      <c r="N388" s="2" t="str">
        <f aca="false">_xlfn.CONCAT(Q388," ",R388," ",S388)</f>
        <v> parkland </v>
      </c>
      <c r="O388" s="3" t="s">
        <v>14</v>
      </c>
      <c r="P388" s="2"/>
      <c r="R388" s="2" t="s">
        <v>8568</v>
      </c>
      <c r="T388" s="2"/>
      <c r="U388" s="2" t="s">
        <v>8570</v>
      </c>
      <c r="V388" s="2" t="s">
        <v>9002</v>
      </c>
      <c r="X388" s="2" t="s">
        <v>8625</v>
      </c>
      <c r="Z388" s="2" t="s">
        <v>8574</v>
      </c>
      <c r="AG388" s="7" t="s">
        <v>8824</v>
      </c>
      <c r="AN388" s="8" t="s">
        <v>8638</v>
      </c>
      <c r="AS388" s="2"/>
      <c r="AV388" s="11"/>
      <c r="BB388" s="2" t="s">
        <v>8618</v>
      </c>
      <c r="BI388" s="2" t="s">
        <v>8590</v>
      </c>
      <c r="BJ388" s="2" t="s">
        <v>8630</v>
      </c>
      <c r="BL388" s="2" t="s">
        <v>8591</v>
      </c>
      <c r="BO388" s="2"/>
      <c r="MJM388" s="2"/>
    </row>
    <row r="389" s="2" customFormat="true" ht="19.5" hidden="false" customHeight="true" outlineLevel="0" collapsed="false">
      <c r="A389" s="2" t="s">
        <v>10030</v>
      </c>
      <c r="C389" s="2" t="str">
        <f aca="false">_xlfn.CONCAT(A389, " ","(",B389,")")</f>
        <v>Morophaga choragella
 ()</v>
      </c>
      <c r="D389" s="2" t="s">
        <v>8580</v>
      </c>
      <c r="E389" s="2" t="s">
        <v>8722</v>
      </c>
      <c r="F389" s="2" t="s">
        <v>8873</v>
      </c>
      <c r="H389" s="2" t="e">
        <f aca="false">VLOOKUP(A389,'[1]NE red list'!A$1:H$1048576,5,FALSE())</f>
        <v>#N/A</v>
      </c>
      <c r="I389" s="2" t="s">
        <v>8753</v>
      </c>
      <c r="J389" s="33" t="s">
        <v>10031</v>
      </c>
      <c r="L389" s="2" t="s">
        <v>8677</v>
      </c>
      <c r="M389" s="33"/>
      <c r="N389" s="2" t="str">
        <f aca="false">_xlfn.CONCAT(Q389," ",R389," ",S389)</f>
        <v>woodland parkland ToW</v>
      </c>
      <c r="O389" s="2" t="s">
        <v>14</v>
      </c>
      <c r="Q389" s="3" t="s">
        <v>16</v>
      </c>
      <c r="R389" s="2" t="s">
        <v>8568</v>
      </c>
      <c r="S389" s="2" t="s">
        <v>18</v>
      </c>
      <c r="T389" s="3"/>
      <c r="U389" s="2" t="s">
        <v>8570</v>
      </c>
      <c r="X389" s="2" t="s">
        <v>8589</v>
      </c>
      <c r="Y389" s="2" t="s">
        <v>8573</v>
      </c>
      <c r="Z389" s="2" t="s">
        <v>8614</v>
      </c>
      <c r="AA389" s="38"/>
      <c r="AB389" s="39"/>
      <c r="AC389" s="40"/>
      <c r="AD389" s="40"/>
      <c r="AE389" s="40"/>
      <c r="AF389" s="40"/>
      <c r="AG389" s="41"/>
      <c r="AH389" s="41"/>
      <c r="AI389" s="41"/>
      <c r="AJ389" s="41"/>
      <c r="AK389" s="41"/>
      <c r="AL389" s="41"/>
      <c r="AM389" s="38"/>
      <c r="AN389" s="42"/>
      <c r="AO389" s="42"/>
      <c r="AP389" s="42"/>
      <c r="AQ389" s="42"/>
      <c r="AR389" s="42"/>
      <c r="AS389" s="33"/>
      <c r="AT389" s="33"/>
      <c r="AU389" s="38"/>
      <c r="AV389" s="44"/>
      <c r="AW389" s="44"/>
      <c r="AX389" s="4" t="s">
        <v>8585</v>
      </c>
      <c r="AY389" s="12" t="s">
        <v>8585</v>
      </c>
      <c r="AZ389" s="12"/>
      <c r="BA389" s="33"/>
      <c r="BB389" s="33"/>
      <c r="BC389" s="33"/>
      <c r="BD389" s="33"/>
      <c r="BE389" s="33"/>
      <c r="BF389" s="33"/>
      <c r="BG389" s="33"/>
      <c r="BH389" s="33"/>
      <c r="BI389" s="33"/>
      <c r="BJ389" s="33"/>
      <c r="BK389" s="33"/>
      <c r="BL389" s="33"/>
      <c r="BM389" s="33"/>
    </row>
    <row r="390" customFormat="false" ht="19.5" hidden="false" customHeight="true" outlineLevel="0" collapsed="false">
      <c r="A390" s="1" t="s">
        <v>10032</v>
      </c>
      <c r="B390" s="2" t="s">
        <v>10033</v>
      </c>
      <c r="C390" s="2" t="str">
        <f aca="false">_xlfn.CONCAT(A390, " ","(",B390,")")</f>
        <v>Muscicapa striata striata (Spotted Flycatcher)</v>
      </c>
      <c r="D390" s="2" t="s">
        <v>8560</v>
      </c>
      <c r="E390" s="2" t="s">
        <v>8561</v>
      </c>
      <c r="F390" s="2" t="s">
        <v>9594</v>
      </c>
      <c r="G390" s="2" t="s">
        <v>10034</v>
      </c>
      <c r="H390" s="2" t="e">
        <f aca="false">VLOOKUP(A390,'[1]NE red list'!A$1:H$1048576,5,FALSE())</f>
        <v>#N/A</v>
      </c>
      <c r="I390" s="2" t="s">
        <v>8564</v>
      </c>
      <c r="J390" s="2" t="s">
        <v>10035</v>
      </c>
      <c r="K390" s="2" t="s">
        <v>10036</v>
      </c>
      <c r="L390" s="2" t="s">
        <v>8665</v>
      </c>
      <c r="N390" s="2" t="str">
        <f aca="false">_xlfn.CONCAT(Q390," ",R390," ",S390)</f>
        <v>woodland parkland ToW</v>
      </c>
      <c r="O390" s="2" t="s">
        <v>14</v>
      </c>
      <c r="P390" s="2"/>
      <c r="Q390" s="2" t="s">
        <v>16</v>
      </c>
      <c r="R390" s="2" t="s">
        <v>8568</v>
      </c>
      <c r="S390" s="2" t="s">
        <v>18</v>
      </c>
      <c r="T390" s="2"/>
      <c r="U390" s="2" t="s">
        <v>8605</v>
      </c>
      <c r="W390" s="2" t="s">
        <v>8571</v>
      </c>
      <c r="X390" s="2" t="s">
        <v>8589</v>
      </c>
      <c r="AA390" s="4" t="s">
        <v>26</v>
      </c>
      <c r="AC390" s="6" t="s">
        <v>30</v>
      </c>
      <c r="AM390" s="4" t="s">
        <v>8657</v>
      </c>
      <c r="AQ390" s="8" t="s">
        <v>42</v>
      </c>
      <c r="AR390" s="8" t="s">
        <v>43</v>
      </c>
      <c r="AS390" s="2"/>
      <c r="AU390" s="4" t="s">
        <v>8639</v>
      </c>
      <c r="AV390" s="11"/>
      <c r="AW390" s="11" t="s">
        <v>8640</v>
      </c>
      <c r="BF390" s="2" t="s">
        <v>10037</v>
      </c>
      <c r="BG390" s="2" t="s">
        <v>8900</v>
      </c>
      <c r="BH390" s="2" t="s">
        <v>8972</v>
      </c>
      <c r="BL390" s="2" t="s">
        <v>8578</v>
      </c>
      <c r="MJM390" s="2"/>
    </row>
    <row r="391" customFormat="false" ht="19.5" hidden="false" customHeight="true" outlineLevel="0" collapsed="false">
      <c r="A391" s="2" t="s">
        <v>10038</v>
      </c>
      <c r="C391" s="2" t="str">
        <f aca="false">_xlfn.CONCAT(A391, " ","(",B391,")")</f>
        <v>Myathropa florea ()</v>
      </c>
      <c r="D391" s="2" t="s">
        <v>8580</v>
      </c>
      <c r="E391" s="2" t="s">
        <v>8687</v>
      </c>
      <c r="F391" s="2" t="s">
        <v>9024</v>
      </c>
      <c r="G391" s="2" t="s">
        <v>8737</v>
      </c>
      <c r="H391" s="2" t="str">
        <f aca="false">VLOOKUP(A391,'[1]NE red list'!A$1:H$1048576,5,FALSE())</f>
        <v>LC</v>
      </c>
      <c r="I391" s="2" t="s">
        <v>8645</v>
      </c>
      <c r="J391" s="2" t="s">
        <v>10039</v>
      </c>
      <c r="L391" s="2" t="s">
        <v>8770</v>
      </c>
      <c r="N391" s="2" t="str">
        <f aca="false">_xlfn.CONCAT(Q391," ",R391," ",S391)</f>
        <v> parkland </v>
      </c>
      <c r="O391" s="3" t="s">
        <v>14</v>
      </c>
      <c r="P391" s="2"/>
      <c r="R391" s="2" t="s">
        <v>8568</v>
      </c>
      <c r="T391" s="2"/>
      <c r="U391" s="2" t="s">
        <v>8570</v>
      </c>
      <c r="W391" s="2" t="s">
        <v>8571</v>
      </c>
      <c r="X391" s="2" t="s">
        <v>10040</v>
      </c>
      <c r="Z391" s="2" t="s">
        <v>8614</v>
      </c>
      <c r="AA391" s="4" t="s">
        <v>26</v>
      </c>
      <c r="AF391" s="6" t="s">
        <v>9635</v>
      </c>
      <c r="AG391" s="7" t="s">
        <v>8575</v>
      </c>
      <c r="AH391" s="7" t="s">
        <v>33</v>
      </c>
      <c r="AI391" s="7" t="s">
        <v>8617</v>
      </c>
      <c r="AL391" s="7" t="s">
        <v>9077</v>
      </c>
      <c r="AS391" s="2"/>
      <c r="AV391" s="11"/>
      <c r="BA391" s="2" t="s">
        <v>9030</v>
      </c>
      <c r="BB391" s="2" t="s">
        <v>8618</v>
      </c>
      <c r="BD391" s="2" t="s">
        <v>9046</v>
      </c>
      <c r="BI391" s="2" t="s">
        <v>8590</v>
      </c>
      <c r="BL391" s="2" t="s">
        <v>8591</v>
      </c>
      <c r="BO391" s="2"/>
      <c r="MJM391" s="2"/>
    </row>
    <row r="392" customFormat="false" ht="19.5" hidden="false" customHeight="true" outlineLevel="0" collapsed="false">
      <c r="A392" s="2" t="s">
        <v>10041</v>
      </c>
      <c r="C392" s="2" t="str">
        <f aca="false">_xlfn.CONCAT(A392, " ","(",B392,")")</f>
        <v>Mycetobia pallipes ()</v>
      </c>
      <c r="D392" s="2" t="s">
        <v>8580</v>
      </c>
      <c r="E392" s="2" t="s">
        <v>8687</v>
      </c>
      <c r="F392" s="3" t="s">
        <v>10042</v>
      </c>
      <c r="G392" s="2" t="s">
        <v>8737</v>
      </c>
      <c r="H392" s="2" t="e">
        <f aca="false">VLOOKUP(A392,'[1]NE red list'!A$1:H$1048576,5,FALSE())</f>
        <v>#N/A</v>
      </c>
      <c r="I392" s="2" t="s">
        <v>8645</v>
      </c>
      <c r="J392" s="2" t="s">
        <v>10043</v>
      </c>
      <c r="L392" s="2" t="s">
        <v>8836</v>
      </c>
      <c r="N392" s="2" t="str">
        <f aca="false">_xlfn.CONCAT(Q392," ",R392," ",S392)</f>
        <v>woodland parkland </v>
      </c>
      <c r="O392" s="3" t="s">
        <v>14</v>
      </c>
      <c r="P392" s="2" t="s">
        <v>8587</v>
      </c>
      <c r="Q392" s="2" t="s">
        <v>16</v>
      </c>
      <c r="R392" s="2" t="s">
        <v>8568</v>
      </c>
      <c r="T392" s="2"/>
      <c r="U392" s="2" t="s">
        <v>8570</v>
      </c>
      <c r="V392" s="2" t="s">
        <v>10044</v>
      </c>
      <c r="W392" s="2" t="s">
        <v>8571</v>
      </c>
      <c r="X392" s="2" t="s">
        <v>8589</v>
      </c>
      <c r="Z392" s="2" t="s">
        <v>8614</v>
      </c>
      <c r="AA392" s="4" t="s">
        <v>26</v>
      </c>
      <c r="AF392" s="6" t="s">
        <v>8616</v>
      </c>
      <c r="AG392" s="7" t="s">
        <v>8824</v>
      </c>
      <c r="AI392" s="7" t="s">
        <v>8617</v>
      </c>
      <c r="AN392" s="8" t="s">
        <v>8638</v>
      </c>
      <c r="AS392" s="2"/>
      <c r="AV392" s="11"/>
      <c r="BA392" s="2" t="s">
        <v>9030</v>
      </c>
      <c r="BI392" s="2" t="s">
        <v>8590</v>
      </c>
      <c r="BL392" s="2" t="s">
        <v>8591</v>
      </c>
      <c r="BO392" s="2"/>
      <c r="MJM392" s="2"/>
    </row>
    <row r="393" customFormat="false" ht="19.5" hidden="false" customHeight="true" outlineLevel="0" collapsed="false">
      <c r="A393" s="2" t="s">
        <v>10045</v>
      </c>
      <c r="C393" s="2" t="str">
        <f aca="false">_xlfn.CONCAT(A393, " ","(",B393,")")</f>
        <v>Tachyusida gracilis ()</v>
      </c>
      <c r="D393" s="2" t="s">
        <v>8580</v>
      </c>
      <c r="E393" s="2" t="s">
        <v>8581</v>
      </c>
      <c r="F393" s="2" t="s">
        <v>8652</v>
      </c>
      <c r="G393" s="2" t="s">
        <v>8662</v>
      </c>
      <c r="H393" s="2" t="e">
        <f aca="false">VLOOKUP(A393,'[1]NE red list'!A$1:H$1048576,5,FALSE())</f>
        <v>#N/A</v>
      </c>
      <c r="I393" s="2" t="s">
        <v>8610</v>
      </c>
      <c r="J393" s="2" t="s">
        <v>10046</v>
      </c>
      <c r="K393" s="2" t="s">
        <v>8664</v>
      </c>
      <c r="L393" s="2" t="s">
        <v>8836</v>
      </c>
      <c r="N393" s="2" t="str">
        <f aca="false">_xlfn.CONCAT(Q393," ",R393," ",S393)</f>
        <v>woodland parkland </v>
      </c>
      <c r="O393" s="3" t="s">
        <v>14</v>
      </c>
      <c r="P393" s="2" t="s">
        <v>8587</v>
      </c>
      <c r="Q393" s="2" t="s">
        <v>16</v>
      </c>
      <c r="R393" s="2" t="s">
        <v>8568</v>
      </c>
      <c r="T393" s="2"/>
      <c r="U393" s="2" t="s">
        <v>8570</v>
      </c>
      <c r="V393" s="2" t="s">
        <v>8745</v>
      </c>
      <c r="W393" s="2" t="s">
        <v>8571</v>
      </c>
      <c r="Z393" s="2" t="s">
        <v>8694</v>
      </c>
      <c r="AA393" s="4" t="s">
        <v>26</v>
      </c>
      <c r="AD393" s="6" t="s">
        <v>8615</v>
      </c>
      <c r="AG393" s="7" t="s">
        <v>8575</v>
      </c>
      <c r="AI393" s="7" t="s">
        <v>8617</v>
      </c>
      <c r="AJ393" s="7" t="s">
        <v>8612</v>
      </c>
      <c r="AL393" s="7" t="s">
        <v>8628</v>
      </c>
      <c r="AS393" s="2"/>
      <c r="AU393" s="4" t="s">
        <v>8639</v>
      </c>
      <c r="AV393" s="10" t="s">
        <v>8664</v>
      </c>
      <c r="BI393" s="2" t="s">
        <v>8590</v>
      </c>
      <c r="BJ393" s="2" t="s">
        <v>8747</v>
      </c>
      <c r="BL393" s="2" t="s">
        <v>8591</v>
      </c>
      <c r="BM393" s="2" t="s">
        <v>8619</v>
      </c>
      <c r="BO393" s="2"/>
      <c r="MJM393" s="2"/>
    </row>
    <row r="394" customFormat="false" ht="19.5" hidden="false" customHeight="true" outlineLevel="0" collapsed="false">
      <c r="A394" s="2" t="s">
        <v>10047</v>
      </c>
      <c r="C394" s="2" t="str">
        <f aca="false">_xlfn.CONCAT(A394, " ","(",B394,")")</f>
        <v>Mycetophagus atomarius ()</v>
      </c>
      <c r="D394" s="2" t="s">
        <v>8580</v>
      </c>
      <c r="E394" s="2" t="s">
        <v>8581</v>
      </c>
      <c r="F394" s="2" t="s">
        <v>9239</v>
      </c>
      <c r="H394" s="2" t="str">
        <f aca="false">VLOOKUP(A394,'[1]NE red list'!A$1:H$1048576,5,FALSE())</f>
        <v>LC</v>
      </c>
      <c r="I394" s="2" t="s">
        <v>8645</v>
      </c>
      <c r="J394" s="2" t="s">
        <v>10048</v>
      </c>
      <c r="K394" s="2" t="s">
        <v>9964</v>
      </c>
      <c r="L394" s="2" t="s">
        <v>8677</v>
      </c>
      <c r="N394" s="2" t="str">
        <f aca="false">_xlfn.CONCAT(Q394," ",R394," ",S394)</f>
        <v>woodland  </v>
      </c>
      <c r="O394" s="2"/>
      <c r="P394" s="2"/>
      <c r="Q394" s="2" t="s">
        <v>16</v>
      </c>
      <c r="T394" s="2"/>
      <c r="U394" s="2" t="s">
        <v>8570</v>
      </c>
      <c r="V394" s="2" t="s">
        <v>9640</v>
      </c>
      <c r="X394" s="2" t="s">
        <v>8589</v>
      </c>
      <c r="Z394" s="2" t="s">
        <v>9313</v>
      </c>
      <c r="AN394" s="8" t="s">
        <v>8638</v>
      </c>
      <c r="AS394" s="2"/>
      <c r="AV394" s="11"/>
      <c r="AX394" s="4" t="s">
        <v>8607</v>
      </c>
      <c r="AY394" s="12" t="s">
        <v>8585</v>
      </c>
      <c r="BI394" s="2" t="s">
        <v>8590</v>
      </c>
      <c r="BL394" s="2" t="s">
        <v>8591</v>
      </c>
      <c r="BO394" s="2"/>
      <c r="MJM394" s="2"/>
    </row>
    <row r="395" customFormat="false" ht="19.5" hidden="false" customHeight="true" outlineLevel="0" collapsed="false">
      <c r="A395" s="2" t="s">
        <v>10049</v>
      </c>
      <c r="C395" s="2" t="str">
        <f aca="false">_xlfn.CONCAT(A395, " ","(",B395,")")</f>
        <v>Mycetophagus multipunctatus ()</v>
      </c>
      <c r="D395" s="2" t="s">
        <v>8580</v>
      </c>
      <c r="E395" s="2" t="s">
        <v>8581</v>
      </c>
      <c r="F395" s="2" t="s">
        <v>9239</v>
      </c>
      <c r="H395" s="2" t="str">
        <f aca="false">VLOOKUP(A395,'[1]NE red list'!A$1:H$1048576,5,FALSE())</f>
        <v>LC</v>
      </c>
      <c r="I395" s="2" t="s">
        <v>9086</v>
      </c>
      <c r="J395" s="2" t="s">
        <v>10050</v>
      </c>
      <c r="L395" s="2" t="s">
        <v>8677</v>
      </c>
      <c r="N395" s="2" t="str">
        <f aca="false">_xlfn.CONCAT(Q395," ",R395," ",S395)</f>
        <v>woodland  ToW</v>
      </c>
      <c r="O395" s="2" t="s">
        <v>14</v>
      </c>
      <c r="P395" s="2"/>
      <c r="Q395" s="2" t="s">
        <v>16</v>
      </c>
      <c r="S395" s="2" t="s">
        <v>18</v>
      </c>
      <c r="T395" s="2"/>
      <c r="U395" s="2" t="s">
        <v>8570</v>
      </c>
      <c r="V395" s="2" t="s">
        <v>9002</v>
      </c>
      <c r="X395" s="2" t="s">
        <v>8625</v>
      </c>
      <c r="AS395" s="2"/>
      <c r="AV395" s="11"/>
      <c r="AX395" s="4" t="s">
        <v>8607</v>
      </c>
      <c r="AZ395" s="12" t="s">
        <v>8607</v>
      </c>
      <c r="BI395" s="2" t="s">
        <v>8590</v>
      </c>
      <c r="BL395" s="2" t="s">
        <v>8591</v>
      </c>
      <c r="BO395" s="2"/>
      <c r="MJM395" s="2"/>
    </row>
    <row r="396" customFormat="false" ht="19.5" hidden="false" customHeight="true" outlineLevel="0" collapsed="false">
      <c r="A396" s="2" t="s">
        <v>10051</v>
      </c>
      <c r="C396" s="2" t="str">
        <f aca="false">_xlfn.CONCAT(A396, " ","(",B396,")")</f>
        <v>Tetratoma desmarestii ()</v>
      </c>
      <c r="D396" s="2" t="s">
        <v>8580</v>
      </c>
      <c r="E396" s="2" t="s">
        <v>8581</v>
      </c>
      <c r="F396" s="2" t="s">
        <v>9683</v>
      </c>
      <c r="G396" s="2" t="s">
        <v>8583</v>
      </c>
      <c r="H396" s="2" t="str">
        <f aca="false">VLOOKUP(A396,'[1]NE red list'!A$1:H$1048576,5,FALSE())</f>
        <v>LC</v>
      </c>
      <c r="I396" s="2" t="s">
        <v>8564</v>
      </c>
      <c r="J396" s="2" t="s">
        <v>10052</v>
      </c>
      <c r="L396" s="2" t="s">
        <v>8677</v>
      </c>
      <c r="N396" s="2" t="str">
        <f aca="false">_xlfn.CONCAT(Q396," ",R396," ",S396)</f>
        <v>woodland parkland </v>
      </c>
      <c r="O396" s="3" t="s">
        <v>14</v>
      </c>
      <c r="P396" s="2" t="s">
        <v>8567</v>
      </c>
      <c r="Q396" s="2" t="s">
        <v>16</v>
      </c>
      <c r="R396" s="2" t="s">
        <v>8568</v>
      </c>
      <c r="T396" s="2"/>
      <c r="U396" s="2" t="s">
        <v>8570</v>
      </c>
      <c r="V396" s="2" t="s">
        <v>8745</v>
      </c>
      <c r="W396" s="2" t="s">
        <v>8567</v>
      </c>
      <c r="X396" s="2" t="s">
        <v>8597</v>
      </c>
      <c r="Y396" s="2" t="s">
        <v>8573</v>
      </c>
      <c r="Z396" s="2" t="s">
        <v>8574</v>
      </c>
      <c r="AG396" s="7" t="s">
        <v>8824</v>
      </c>
      <c r="AS396" s="2" t="s">
        <v>10053</v>
      </c>
      <c r="AV396" s="11"/>
      <c r="AX396" s="4" t="s">
        <v>8607</v>
      </c>
      <c r="AY396" s="12" t="s">
        <v>8585</v>
      </c>
      <c r="AZ396" s="12" t="s">
        <v>8607</v>
      </c>
      <c r="BI396" s="2" t="s">
        <v>8590</v>
      </c>
      <c r="BL396" s="2" t="s">
        <v>8591</v>
      </c>
      <c r="BO396" s="2"/>
      <c r="MJM396" s="2"/>
    </row>
    <row r="397" customFormat="false" ht="19.5" hidden="false" customHeight="true" outlineLevel="0" collapsed="false">
      <c r="A397" s="2" t="s">
        <v>10054</v>
      </c>
      <c r="C397" s="2" t="str">
        <f aca="false">_xlfn.CONCAT(A397, " ","(",B397,")")</f>
        <v>Prionychus ater ()</v>
      </c>
      <c r="D397" s="2" t="s">
        <v>8580</v>
      </c>
      <c r="E397" s="2" t="s">
        <v>8581</v>
      </c>
      <c r="F397" s="2" t="s">
        <v>9239</v>
      </c>
      <c r="H397" s="2" t="str">
        <f aca="false">VLOOKUP(A397,'[1]NE red list'!A$1:H$1048576,5,FALSE())</f>
        <v>LC</v>
      </c>
      <c r="I397" s="2" t="s">
        <v>8610</v>
      </c>
      <c r="J397" s="2" t="s">
        <v>10055</v>
      </c>
      <c r="L397" s="2" t="s">
        <v>8586</v>
      </c>
      <c r="N397" s="2" t="str">
        <f aca="false">_xlfn.CONCAT(Q397," ",R397," ",S397)</f>
        <v> parkland </v>
      </c>
      <c r="O397" s="3" t="s">
        <v>14</v>
      </c>
      <c r="P397" s="2"/>
      <c r="R397" s="2" t="s">
        <v>8568</v>
      </c>
      <c r="T397" s="2"/>
      <c r="U397" s="2" t="s">
        <v>8570</v>
      </c>
      <c r="W397" s="2" t="s">
        <v>8571</v>
      </c>
      <c r="Z397" s="2" t="s">
        <v>8614</v>
      </c>
      <c r="AA397" s="4" t="s">
        <v>26</v>
      </c>
      <c r="AC397" s="55" t="s">
        <v>8666</v>
      </c>
      <c r="AD397" s="6" t="s">
        <v>8615</v>
      </c>
      <c r="AF397" s="6" t="s">
        <v>8616</v>
      </c>
      <c r="AG397" s="7" t="s">
        <v>8575</v>
      </c>
      <c r="AI397" s="7" t="s">
        <v>8617</v>
      </c>
      <c r="AL397" s="7" t="s">
        <v>8628</v>
      </c>
      <c r="AM397" s="4" t="s">
        <v>8657</v>
      </c>
      <c r="AN397" s="8" t="s">
        <v>8734</v>
      </c>
      <c r="AO397" s="8" t="s">
        <v>40</v>
      </c>
      <c r="AQ397" s="8" t="s">
        <v>42</v>
      </c>
      <c r="AS397" s="2"/>
      <c r="AU397" s="4" t="s">
        <v>8639</v>
      </c>
      <c r="BI397" s="2" t="s">
        <v>8590</v>
      </c>
      <c r="BJ397" s="2" t="s">
        <v>8601</v>
      </c>
      <c r="BL397" s="2" t="s">
        <v>8591</v>
      </c>
      <c r="BM397" s="2" t="s">
        <v>8619</v>
      </c>
      <c r="BO397" s="2"/>
      <c r="MJM397" s="2"/>
    </row>
    <row r="398" customFormat="false" ht="19.5" hidden="false" customHeight="true" outlineLevel="0" collapsed="false">
      <c r="A398" s="2" t="s">
        <v>10056</v>
      </c>
      <c r="C398" s="2" t="str">
        <f aca="false">_xlfn.CONCAT(A398, " ","(",B398,")")</f>
        <v>Thamiaraea cinnamomea ()</v>
      </c>
      <c r="D398" s="2" t="s">
        <v>8580</v>
      </c>
      <c r="E398" s="2" t="s">
        <v>8581</v>
      </c>
      <c r="F398" s="2" t="s">
        <v>8652</v>
      </c>
      <c r="H398" s="2" t="e">
        <f aca="false">VLOOKUP(A398,'[1]NE red list'!A$1:H$1048576,5,FALSE())</f>
        <v>#N/A</v>
      </c>
      <c r="I398" s="2" t="s">
        <v>8610</v>
      </c>
      <c r="J398" s="2" t="s">
        <v>10057</v>
      </c>
      <c r="L398" s="2" t="s">
        <v>8836</v>
      </c>
      <c r="N398" s="2" t="str">
        <f aca="false">_xlfn.CONCAT(Q398," ",R398," ",S398)</f>
        <v>woodland parkland </v>
      </c>
      <c r="O398" s="3" t="s">
        <v>14</v>
      </c>
      <c r="P398" s="2"/>
      <c r="Q398" s="2" t="s">
        <v>16</v>
      </c>
      <c r="R398" s="2" t="s">
        <v>8568</v>
      </c>
      <c r="T398" s="2"/>
      <c r="U398" s="2" t="s">
        <v>8570</v>
      </c>
      <c r="V398" s="2" t="s">
        <v>8745</v>
      </c>
      <c r="X398" s="2" t="s">
        <v>8589</v>
      </c>
      <c r="AB398" s="5" t="s">
        <v>9028</v>
      </c>
      <c r="AG398" s="7" t="s">
        <v>8824</v>
      </c>
      <c r="AM398" s="4" t="s">
        <v>8657</v>
      </c>
      <c r="AN398" s="8" t="s">
        <v>9029</v>
      </c>
      <c r="AO398" s="8" t="s">
        <v>40</v>
      </c>
      <c r="AQ398" s="8" t="s">
        <v>42</v>
      </c>
      <c r="AS398" s="2"/>
      <c r="AV398" s="11"/>
      <c r="BA398" s="2" t="s">
        <v>9030</v>
      </c>
      <c r="BI398" s="2" t="s">
        <v>8590</v>
      </c>
      <c r="BJ398" s="2" t="s">
        <v>8630</v>
      </c>
      <c r="BL398" s="2" t="s">
        <v>8591</v>
      </c>
      <c r="BO398" s="2"/>
      <c r="MJM398" s="2"/>
    </row>
    <row r="399" customFormat="false" ht="19.5" hidden="false" customHeight="true" outlineLevel="0" collapsed="false">
      <c r="A399" s="2" t="s">
        <v>10058</v>
      </c>
      <c r="C399" s="2" t="str">
        <f aca="false">_xlfn.CONCAT(A399, " ","(",B399,")")</f>
        <v>Mycetophagus quadripustulatus ()</v>
      </c>
      <c r="D399" s="2" t="s">
        <v>8580</v>
      </c>
      <c r="E399" s="2" t="s">
        <v>8581</v>
      </c>
      <c r="F399" s="2" t="s">
        <v>9239</v>
      </c>
      <c r="G399" s="2" t="s">
        <v>8737</v>
      </c>
      <c r="H399" s="2" t="str">
        <f aca="false">VLOOKUP(A399,'[1]NE red list'!A$1:H$1048576,5,FALSE())</f>
        <v>LC</v>
      </c>
      <c r="I399" s="2" t="s">
        <v>8645</v>
      </c>
      <c r="J399" s="2" t="s">
        <v>10059</v>
      </c>
      <c r="K399" s="2" t="s">
        <v>10060</v>
      </c>
      <c r="L399" s="2" t="s">
        <v>8677</v>
      </c>
      <c r="N399" s="2" t="str">
        <f aca="false">_xlfn.CONCAT(Q399," ",R399," ",S399)</f>
        <v>woodland parkland </v>
      </c>
      <c r="O399" s="3" t="s">
        <v>14</v>
      </c>
      <c r="P399" s="2" t="s">
        <v>8587</v>
      </c>
      <c r="Q399" s="2" t="s">
        <v>16</v>
      </c>
      <c r="R399" s="2" t="s">
        <v>8568</v>
      </c>
      <c r="T399" s="2"/>
      <c r="U399" s="2" t="s">
        <v>8570</v>
      </c>
      <c r="W399" s="2" t="s">
        <v>8567</v>
      </c>
      <c r="X399" s="2" t="s">
        <v>8625</v>
      </c>
      <c r="AN399" s="8" t="s">
        <v>8638</v>
      </c>
      <c r="AS399" s="2"/>
      <c r="AV399" s="11"/>
      <c r="AX399" s="4" t="s">
        <v>8585</v>
      </c>
      <c r="AY399" s="12" t="s">
        <v>8585</v>
      </c>
      <c r="BI399" s="2" t="s">
        <v>8590</v>
      </c>
      <c r="BL399" s="2" t="s">
        <v>8591</v>
      </c>
      <c r="BO399" s="2"/>
      <c r="MJM399" s="2"/>
    </row>
    <row r="400" customFormat="false" ht="19.5" hidden="false" customHeight="true" outlineLevel="0" collapsed="false">
      <c r="A400" s="2" t="s">
        <v>10061</v>
      </c>
      <c r="C400" s="2" t="str">
        <f aca="false">_xlfn.CONCAT(A400, " ","(",B400,")")</f>
        <v>Myolepta dubia ()</v>
      </c>
      <c r="D400" s="2" t="s">
        <v>8580</v>
      </c>
      <c r="E400" s="2" t="s">
        <v>8687</v>
      </c>
      <c r="F400" s="2" t="s">
        <v>9024</v>
      </c>
      <c r="G400" s="2" t="s">
        <v>8662</v>
      </c>
      <c r="H400" s="2" t="e">
        <f aca="false">VLOOKUP(A400,'[1]NE red list'!A$1:H$1048576,5,FALSE())</f>
        <v>#N/A</v>
      </c>
      <c r="I400" s="2" t="s">
        <v>8945</v>
      </c>
      <c r="J400" s="2" t="s">
        <v>10062</v>
      </c>
      <c r="L400" s="2" t="s">
        <v>8586</v>
      </c>
      <c r="N400" s="2" t="str">
        <f aca="false">_xlfn.CONCAT(Q400," ",R400," ",S400)</f>
        <v>woodland parkland </v>
      </c>
      <c r="O400" s="3" t="s">
        <v>14</v>
      </c>
      <c r="P400" s="2" t="s">
        <v>8587</v>
      </c>
      <c r="Q400" s="2" t="s">
        <v>16</v>
      </c>
      <c r="R400" s="2" t="s">
        <v>8568</v>
      </c>
      <c r="T400" s="2"/>
      <c r="U400" s="2" t="s">
        <v>8570</v>
      </c>
      <c r="V400" s="2" t="s">
        <v>9038</v>
      </c>
      <c r="W400" s="2" t="s">
        <v>8571</v>
      </c>
      <c r="Z400" s="2" t="s">
        <v>8614</v>
      </c>
      <c r="AA400" s="4" t="s">
        <v>26</v>
      </c>
      <c r="AF400" s="6" t="s">
        <v>9635</v>
      </c>
      <c r="AG400" s="7" t="s">
        <v>8575</v>
      </c>
      <c r="AI400" s="7" t="s">
        <v>8617</v>
      </c>
      <c r="AS400" s="2"/>
      <c r="AV400" s="11"/>
      <c r="BD400" s="2" t="s">
        <v>9046</v>
      </c>
      <c r="BI400" s="2" t="s">
        <v>8590</v>
      </c>
      <c r="BL400" s="2" t="s">
        <v>8591</v>
      </c>
      <c r="BO400" s="2"/>
      <c r="MJM400" s="2"/>
    </row>
    <row r="401" s="32" customFormat="true" ht="19.5" hidden="false" customHeight="true" outlineLevel="0" collapsed="false">
      <c r="A401" s="1" t="s">
        <v>10063</v>
      </c>
      <c r="B401" s="2" t="s">
        <v>10064</v>
      </c>
      <c r="C401" s="2" t="str">
        <f aca="false">_xlfn.CONCAT(A401, " ","(",B401,")")</f>
        <v>Myolepta potens (Western Wood-vase Hoverfly)</v>
      </c>
      <c r="D401" s="2" t="s">
        <v>8580</v>
      </c>
      <c r="E401" s="2" t="s">
        <v>8687</v>
      </c>
      <c r="F401" s="2" t="s">
        <v>9024</v>
      </c>
      <c r="G401" s="2" t="s">
        <v>8776</v>
      </c>
      <c r="H401" s="2" t="e">
        <f aca="false">VLOOKUP(A401,'[1]NE red list'!A$1:H$1048576,5,FALSE())</f>
        <v>#N/A</v>
      </c>
      <c r="I401" s="2" t="s">
        <v>8696</v>
      </c>
      <c r="J401" s="2" t="s">
        <v>10065</v>
      </c>
      <c r="K401" s="2"/>
      <c r="L401" s="2" t="s">
        <v>8586</v>
      </c>
      <c r="M401" s="2"/>
      <c r="N401" s="2" t="str">
        <f aca="false">_xlfn.CONCAT(Q401," ",R401," ",S401)</f>
        <v> parkland </v>
      </c>
      <c r="O401" s="3" t="s">
        <v>14</v>
      </c>
      <c r="P401" s="2" t="s">
        <v>8567</v>
      </c>
      <c r="Q401" s="2"/>
      <c r="R401" s="2" t="s">
        <v>8568</v>
      </c>
      <c r="S401" s="2"/>
      <c r="T401" s="2"/>
      <c r="U401" s="2" t="s">
        <v>8570</v>
      </c>
      <c r="V401" s="2" t="s">
        <v>10066</v>
      </c>
      <c r="W401" s="2" t="s">
        <v>8571</v>
      </c>
      <c r="X401" s="2" t="s">
        <v>8589</v>
      </c>
      <c r="Y401" s="2"/>
      <c r="Z401" s="2" t="s">
        <v>8614</v>
      </c>
      <c r="AA401" s="4" t="s">
        <v>26</v>
      </c>
      <c r="AB401" s="5"/>
      <c r="AC401" s="6"/>
      <c r="AD401" s="6"/>
      <c r="AE401" s="6"/>
      <c r="AF401" s="6" t="s">
        <v>9635</v>
      </c>
      <c r="AG401" s="7" t="s">
        <v>8575</v>
      </c>
      <c r="AH401" s="7"/>
      <c r="AI401" s="7" t="s">
        <v>8617</v>
      </c>
      <c r="AJ401" s="7"/>
      <c r="AK401" s="7"/>
      <c r="AL401" s="7"/>
      <c r="AM401" s="4"/>
      <c r="AS401" s="2"/>
      <c r="AU401" s="4"/>
      <c r="AV401" s="11"/>
      <c r="AW401" s="11"/>
      <c r="AX401" s="4"/>
      <c r="AY401" s="12"/>
      <c r="AZ401" s="12"/>
      <c r="BB401" s="32" t="s">
        <v>8618</v>
      </c>
      <c r="BD401" s="32" t="s">
        <v>8629</v>
      </c>
      <c r="BI401" s="2" t="s">
        <v>8590</v>
      </c>
      <c r="BL401" s="32" t="s">
        <v>8578</v>
      </c>
    </row>
    <row r="402" s="32" customFormat="true" ht="19.5" hidden="false" customHeight="true" outlineLevel="0" collapsed="false">
      <c r="A402" s="1" t="s">
        <v>10067</v>
      </c>
      <c r="B402" s="2" t="s">
        <v>10068</v>
      </c>
      <c r="C402" s="2" t="str">
        <f aca="false">_xlfn.CONCAT(A402, " ","(",B402,")")</f>
        <v>Myotis bechsteinii (Bechstein`s Bat)</v>
      </c>
      <c r="D402" s="2" t="s">
        <v>8560</v>
      </c>
      <c r="E402" s="2" t="s">
        <v>8967</v>
      </c>
      <c r="F402" s="3" t="s">
        <v>8968</v>
      </c>
      <c r="G402" s="2" t="s">
        <v>8776</v>
      </c>
      <c r="H402" s="2" t="str">
        <f aca="false">VLOOKUP(A402,'[1]NE red list'!A$1:H$1048576,5,FALSE())</f>
        <v>LC</v>
      </c>
      <c r="I402" s="2" t="s">
        <v>8610</v>
      </c>
      <c r="J402" s="2" t="s">
        <v>10069</v>
      </c>
      <c r="K402" s="2" t="s">
        <v>8971</v>
      </c>
      <c r="L402" s="2" t="s">
        <v>8665</v>
      </c>
      <c r="M402" s="2"/>
      <c r="N402" s="2" t="str">
        <f aca="false">_xlfn.CONCAT(Q402," ",R402," ",S402)</f>
        <v>woodland  </v>
      </c>
      <c r="O402" s="2"/>
      <c r="P402" s="2"/>
      <c r="Q402" s="2" t="s">
        <v>16</v>
      </c>
      <c r="R402" s="2"/>
      <c r="S402" s="2"/>
      <c r="T402" s="2" t="s">
        <v>9728</v>
      </c>
      <c r="U402" s="2" t="s">
        <v>8605</v>
      </c>
      <c r="V402" s="2" t="s">
        <v>10070</v>
      </c>
      <c r="W402" s="2" t="s">
        <v>8571</v>
      </c>
      <c r="X402" s="2" t="s">
        <v>8589</v>
      </c>
      <c r="Y402" s="2"/>
      <c r="Z402" s="2"/>
      <c r="AA402" s="4" t="s">
        <v>26</v>
      </c>
      <c r="AB402" s="5"/>
      <c r="AC402" s="6" t="s">
        <v>30</v>
      </c>
      <c r="AD402" s="6" t="s">
        <v>8615</v>
      </c>
      <c r="AE402" s="6"/>
      <c r="AF402" s="6" t="s">
        <v>8616</v>
      </c>
      <c r="AG402" s="7" t="s">
        <v>8575</v>
      </c>
      <c r="AH402" s="7"/>
      <c r="AI402" s="7"/>
      <c r="AJ402" s="7"/>
      <c r="AK402" s="7"/>
      <c r="AL402" s="7"/>
      <c r="AM402" s="4" t="s">
        <v>8657</v>
      </c>
      <c r="AP402" s="81"/>
      <c r="AQ402" s="8" t="s">
        <v>42</v>
      </c>
      <c r="AR402" s="8" t="s">
        <v>43</v>
      </c>
      <c r="AS402" s="2"/>
      <c r="AU402" s="4"/>
      <c r="AV402" s="10"/>
      <c r="AW402" s="11"/>
      <c r="AX402" s="4"/>
      <c r="AY402" s="12"/>
      <c r="AZ402" s="12"/>
      <c r="BH402" s="32" t="s">
        <v>8972</v>
      </c>
      <c r="BJ402" s="32" t="s">
        <v>8601</v>
      </c>
      <c r="BK402" s="32" t="s">
        <v>8578</v>
      </c>
      <c r="BL402" s="32" t="s">
        <v>8578</v>
      </c>
    </row>
    <row r="403" customFormat="false" ht="19.5" hidden="false" customHeight="true" outlineLevel="0" collapsed="false">
      <c r="A403" s="1" t="s">
        <v>10071</v>
      </c>
      <c r="B403" s="2" t="s">
        <v>10072</v>
      </c>
      <c r="C403" s="2" t="str">
        <f aca="false">_xlfn.CONCAT(A403, " ","(",B403,")")</f>
        <v>Myotis brandtii (Brandt's bat)</v>
      </c>
      <c r="D403" s="2" t="s">
        <v>8560</v>
      </c>
      <c r="E403" s="2" t="s">
        <v>8967</v>
      </c>
      <c r="F403" s="3" t="s">
        <v>8968</v>
      </c>
      <c r="H403" s="2" t="str">
        <f aca="false">VLOOKUP(A403,'[1]NE red list'!A$1:H$1048576,5,FALSE())</f>
        <v>DD</v>
      </c>
      <c r="I403" s="2" t="s">
        <v>8564</v>
      </c>
      <c r="J403" s="2" t="s">
        <v>10073</v>
      </c>
      <c r="L403" s="2" t="s">
        <v>8665</v>
      </c>
      <c r="N403" s="2" t="str">
        <f aca="false">_xlfn.CONCAT(Q403," ",R403," ",S403)</f>
        <v> parkland </v>
      </c>
      <c r="O403" s="3" t="s">
        <v>14</v>
      </c>
      <c r="P403" s="2"/>
      <c r="R403" s="2" t="s">
        <v>8568</v>
      </c>
      <c r="T403" s="2"/>
      <c r="U403" s="2" t="s">
        <v>8605</v>
      </c>
      <c r="W403" s="2" t="s">
        <v>8571</v>
      </c>
      <c r="X403" s="2" t="s">
        <v>8589</v>
      </c>
      <c r="AA403" s="4" t="s">
        <v>26</v>
      </c>
      <c r="AD403" s="6" t="s">
        <v>8615</v>
      </c>
      <c r="AF403" s="6" t="s">
        <v>8616</v>
      </c>
      <c r="AG403" s="7" t="s">
        <v>8575</v>
      </c>
      <c r="AS403" s="2"/>
      <c r="AV403" s="11"/>
      <c r="BJ403" s="2" t="s">
        <v>8907</v>
      </c>
      <c r="BL403" s="2" t="s">
        <v>8591</v>
      </c>
      <c r="MJM403" s="2"/>
    </row>
    <row r="404" customFormat="false" ht="19.5" hidden="false" customHeight="true" outlineLevel="0" collapsed="false">
      <c r="A404" s="1" t="s">
        <v>10074</v>
      </c>
      <c r="B404" s="2" t="s">
        <v>10075</v>
      </c>
      <c r="C404" s="2" t="str">
        <f aca="false">_xlfn.CONCAT(A404, " ","(",B404,")")</f>
        <v>Myotis daubentonii (Daubenton's Bat)</v>
      </c>
      <c r="D404" s="2" t="s">
        <v>8560</v>
      </c>
      <c r="E404" s="2" t="s">
        <v>8967</v>
      </c>
      <c r="F404" s="3" t="s">
        <v>8968</v>
      </c>
      <c r="G404" s="2" t="s">
        <v>8737</v>
      </c>
      <c r="H404" s="2" t="str">
        <f aca="false">VLOOKUP(A404,'[1]NE red list'!A$1:H$1048576,5,FALSE())</f>
        <v>LC</v>
      </c>
      <c r="I404" s="2" t="s">
        <v>8645</v>
      </c>
      <c r="J404" s="2" t="s">
        <v>10076</v>
      </c>
      <c r="L404" s="2" t="s">
        <v>8665</v>
      </c>
      <c r="N404" s="2" t="str">
        <f aca="false">_xlfn.CONCAT(Q404," ",R404," ",S404)</f>
        <v> parkland </v>
      </c>
      <c r="O404" s="3" t="s">
        <v>14</v>
      </c>
      <c r="P404" s="2"/>
      <c r="R404" s="2" t="s">
        <v>8568</v>
      </c>
      <c r="T404" s="2"/>
      <c r="U404" s="2" t="s">
        <v>8570</v>
      </c>
      <c r="W404" s="2" t="s">
        <v>8571</v>
      </c>
      <c r="X404" s="2" t="s">
        <v>8589</v>
      </c>
      <c r="AA404" s="4" t="s">
        <v>26</v>
      </c>
      <c r="AD404" s="6" t="s">
        <v>8615</v>
      </c>
      <c r="AF404" s="6" t="s">
        <v>8616</v>
      </c>
      <c r="AG404" s="7" t="s">
        <v>8575</v>
      </c>
      <c r="AS404" s="2"/>
      <c r="AV404" s="11"/>
      <c r="BJ404" s="2" t="s">
        <v>8601</v>
      </c>
      <c r="BL404" s="2" t="s">
        <v>8591</v>
      </c>
      <c r="MJM404" s="2"/>
    </row>
    <row r="405" customFormat="false" ht="19.5" hidden="false" customHeight="true" outlineLevel="0" collapsed="false">
      <c r="A405" s="1" t="s">
        <v>10077</v>
      </c>
      <c r="B405" s="2" t="s">
        <v>10078</v>
      </c>
      <c r="C405" s="2" t="str">
        <f aca="false">_xlfn.CONCAT(A405, " ","(",B405,")")</f>
        <v>Myotis mystacinus (Whiskered bat)</v>
      </c>
      <c r="D405" s="2" t="s">
        <v>8560</v>
      </c>
      <c r="E405" s="2" t="s">
        <v>8967</v>
      </c>
      <c r="F405" s="3" t="s">
        <v>8968</v>
      </c>
      <c r="G405" s="2" t="s">
        <v>8737</v>
      </c>
      <c r="H405" s="2" t="str">
        <f aca="false">VLOOKUP(A405,'[1]NE red list'!A$1:H$1048576,5,FALSE())</f>
        <v>DD</v>
      </c>
      <c r="I405" s="2" t="s">
        <v>8645</v>
      </c>
      <c r="J405" s="2" t="s">
        <v>10073</v>
      </c>
      <c r="L405" s="2" t="s">
        <v>8665</v>
      </c>
      <c r="N405" s="2" t="str">
        <f aca="false">_xlfn.CONCAT(Q405," ",R405," ",S405)</f>
        <v> parkland </v>
      </c>
      <c r="O405" s="3" t="s">
        <v>14</v>
      </c>
      <c r="P405" s="2"/>
      <c r="R405" s="2" t="s">
        <v>8568</v>
      </c>
      <c r="T405" s="2"/>
      <c r="U405" s="2" t="s">
        <v>8570</v>
      </c>
      <c r="W405" s="2" t="s">
        <v>8571</v>
      </c>
      <c r="X405" s="2" t="s">
        <v>8589</v>
      </c>
      <c r="AA405" s="4" t="s">
        <v>26</v>
      </c>
      <c r="AD405" s="6" t="s">
        <v>8615</v>
      </c>
      <c r="AS405" s="2"/>
      <c r="AV405" s="11"/>
      <c r="BJ405" s="2" t="s">
        <v>8907</v>
      </c>
      <c r="BL405" s="2" t="s">
        <v>8591</v>
      </c>
      <c r="MJM405" s="2"/>
    </row>
    <row r="406" customFormat="false" ht="19.5" hidden="false" customHeight="true" outlineLevel="0" collapsed="false">
      <c r="A406" s="2" t="s">
        <v>10079</v>
      </c>
      <c r="C406" s="2" t="str">
        <f aca="false">_xlfn.CONCAT(A406, " ","(",B406,")")</f>
        <v>Myrmedobia coleoptrata ()</v>
      </c>
      <c r="D406" s="2" t="s">
        <v>8580</v>
      </c>
      <c r="E406" s="2" t="s">
        <v>8642</v>
      </c>
      <c r="F406" s="30" t="s">
        <v>9878</v>
      </c>
      <c r="G406" s="2" t="s">
        <v>8583</v>
      </c>
      <c r="H406" s="2" t="e">
        <f aca="false">VLOOKUP(A406,'[1]NE red list'!A$1:H$1048576,5,FALSE())</f>
        <v>#N/A</v>
      </c>
      <c r="I406" s="2" t="s">
        <v>8610</v>
      </c>
      <c r="J406" s="2" t="s">
        <v>10080</v>
      </c>
      <c r="K406" s="2" t="s">
        <v>10081</v>
      </c>
      <c r="L406" s="2" t="s">
        <v>8665</v>
      </c>
      <c r="N406" s="2" t="str">
        <f aca="false">_xlfn.CONCAT(Q406," ",R406," ",S406)</f>
        <v>woodland  </v>
      </c>
      <c r="O406" s="2"/>
      <c r="P406" s="2"/>
      <c r="Q406" s="2" t="s">
        <v>16</v>
      </c>
      <c r="T406" s="2"/>
      <c r="U406" s="2" t="s">
        <v>8605</v>
      </c>
      <c r="X406" s="2" t="s">
        <v>8625</v>
      </c>
      <c r="Z406" s="2" t="s">
        <v>8574</v>
      </c>
      <c r="AG406" s="7" t="s">
        <v>8575</v>
      </c>
      <c r="AN406" s="8" t="s">
        <v>8638</v>
      </c>
      <c r="AS406" s="2"/>
      <c r="AU406" s="4" t="s">
        <v>8639</v>
      </c>
      <c r="AV406" s="10" t="s">
        <v>8664</v>
      </c>
      <c r="BL406" s="2" t="s">
        <v>8591</v>
      </c>
      <c r="BO406" s="2"/>
      <c r="MJM406" s="2"/>
    </row>
    <row r="407" customFormat="false" ht="19.5" hidden="false" customHeight="true" outlineLevel="0" collapsed="false">
      <c r="A407" s="2" t="s">
        <v>10082</v>
      </c>
      <c r="C407" s="2" t="str">
        <f aca="false">_xlfn.CONCAT(A407, " ","(",B407,")")</f>
        <v>Nalassus laevioctostriatus ()</v>
      </c>
      <c r="D407" s="2" t="s">
        <v>8580</v>
      </c>
      <c r="E407" s="2" t="s">
        <v>8581</v>
      </c>
      <c r="F407" s="2" t="s">
        <v>9239</v>
      </c>
      <c r="H407" s="2" t="str">
        <f aca="false">VLOOKUP(A407,'[1]NE red list'!A$1:H$1048576,5,FALSE())</f>
        <v>LC</v>
      </c>
      <c r="I407" s="2" t="s">
        <v>8610</v>
      </c>
      <c r="J407" s="2" t="s">
        <v>10083</v>
      </c>
      <c r="L407" s="2" t="s">
        <v>8586</v>
      </c>
      <c r="N407" s="2" t="str">
        <f aca="false">_xlfn.CONCAT(Q407," ",R407," ",S407)</f>
        <v>woodland parkland </v>
      </c>
      <c r="O407" s="3" t="s">
        <v>14</v>
      </c>
      <c r="P407" s="2" t="s">
        <v>8587</v>
      </c>
      <c r="Q407" s="2" t="s">
        <v>16</v>
      </c>
      <c r="R407" s="2" t="s">
        <v>8568</v>
      </c>
      <c r="T407" s="2"/>
      <c r="U407" s="2" t="s">
        <v>8570</v>
      </c>
      <c r="W407" s="2" t="s">
        <v>8567</v>
      </c>
      <c r="Z407" s="2" t="s">
        <v>8614</v>
      </c>
      <c r="AS407" s="2"/>
      <c r="AU407" s="4" t="s">
        <v>8639</v>
      </c>
      <c r="AV407" s="11"/>
      <c r="AW407" s="11" t="s">
        <v>9830</v>
      </c>
      <c r="BI407" s="2" t="s">
        <v>8590</v>
      </c>
      <c r="BJ407" s="2" t="s">
        <v>8630</v>
      </c>
      <c r="BL407" s="2" t="s">
        <v>8591</v>
      </c>
      <c r="BO407" s="2"/>
      <c r="MJM407" s="2"/>
    </row>
    <row r="408" customFormat="false" ht="19.5" hidden="false" customHeight="true" outlineLevel="0" collapsed="false">
      <c r="A408" s="2" t="s">
        <v>10084</v>
      </c>
      <c r="C408" s="2" t="str">
        <f aca="false">_xlfn.CONCAT(A408, " ","(",B408,")")</f>
        <v>Narycia duplicella
 ()</v>
      </c>
      <c r="D408" s="2" t="s">
        <v>8580</v>
      </c>
      <c r="E408" s="2" t="s">
        <v>8722</v>
      </c>
      <c r="F408" s="2" t="s">
        <v>8962</v>
      </c>
      <c r="G408" s="2" t="s">
        <v>8731</v>
      </c>
      <c r="H408" s="2" t="e">
        <f aca="false">VLOOKUP(A408,'[1]NE red list'!A$1:H$1048576,5,FALSE())</f>
        <v>#N/A</v>
      </c>
      <c r="I408" s="2" t="s">
        <v>8878</v>
      </c>
      <c r="J408" s="33" t="s">
        <v>10085</v>
      </c>
      <c r="L408" s="2" t="s">
        <v>8725</v>
      </c>
      <c r="M408" s="33"/>
      <c r="N408" s="2" t="str">
        <f aca="false">_xlfn.CONCAT(Q408," ",R408," ",S408)</f>
        <v> parkland </v>
      </c>
      <c r="O408" s="3" t="s">
        <v>14</v>
      </c>
      <c r="P408" s="3" t="s">
        <v>8567</v>
      </c>
      <c r="Q408" s="3"/>
      <c r="R408" s="2" t="s">
        <v>8568</v>
      </c>
      <c r="U408" s="2" t="s">
        <v>8570</v>
      </c>
      <c r="W408" s="2" t="s">
        <v>8567</v>
      </c>
      <c r="Z408" s="2" t="s">
        <v>8694</v>
      </c>
      <c r="AM408" s="4" t="s">
        <v>8657</v>
      </c>
      <c r="AQ408" s="8" t="s">
        <v>42</v>
      </c>
      <c r="AR408" s="2" t="s">
        <v>9379</v>
      </c>
      <c r="AS408" s="2"/>
      <c r="AU408" s="4" t="s">
        <v>8639</v>
      </c>
      <c r="AV408" s="11"/>
      <c r="AW408" s="50" t="s">
        <v>8647</v>
      </c>
      <c r="BO408" s="2"/>
      <c r="MJM408" s="2"/>
    </row>
    <row r="409" customFormat="false" ht="19.5" hidden="false" customHeight="true" outlineLevel="0" collapsed="false">
      <c r="A409" s="2" t="s">
        <v>10086</v>
      </c>
      <c r="C409" s="2" t="str">
        <f aca="false">_xlfn.CONCAT(A409, " ","(",B409,")")</f>
        <v>Procraerus tibialis ()</v>
      </c>
      <c r="D409" s="2" t="s">
        <v>8580</v>
      </c>
      <c r="E409" s="2" t="s">
        <v>8581</v>
      </c>
      <c r="F409" s="2" t="s">
        <v>8621</v>
      </c>
      <c r="G409" s="2" t="s">
        <v>8662</v>
      </c>
      <c r="H409" s="2" t="e">
        <f aca="false">VLOOKUP(A409,'[1]NE red list'!A$1:H$1048576,5,FALSE())</f>
        <v>#N/A</v>
      </c>
      <c r="I409" s="2" t="s">
        <v>9223</v>
      </c>
      <c r="J409" s="2" t="s">
        <v>10087</v>
      </c>
      <c r="K409" s="2" t="s">
        <v>9997</v>
      </c>
      <c r="L409" s="2" t="s">
        <v>8665</v>
      </c>
      <c r="N409" s="2" t="str">
        <f aca="false">_xlfn.CONCAT(Q409," ",R409," ",S409)</f>
        <v> parkland ToW</v>
      </c>
      <c r="O409" s="2" t="s">
        <v>14</v>
      </c>
      <c r="P409" s="2" t="s">
        <v>8587</v>
      </c>
      <c r="R409" s="2" t="s">
        <v>8568</v>
      </c>
      <c r="S409" s="2" t="s">
        <v>18</v>
      </c>
      <c r="T409" s="2"/>
      <c r="U409" s="2" t="s">
        <v>8570</v>
      </c>
      <c r="V409" s="2" t="s">
        <v>10088</v>
      </c>
      <c r="W409" s="2" t="s">
        <v>8571</v>
      </c>
      <c r="Z409" s="2" t="s">
        <v>8614</v>
      </c>
      <c r="AA409" s="4" t="s">
        <v>26</v>
      </c>
      <c r="AB409" s="5" t="s">
        <v>8672</v>
      </c>
      <c r="AD409" s="6" t="s">
        <v>8615</v>
      </c>
      <c r="AG409" s="7" t="s">
        <v>8575</v>
      </c>
      <c r="AI409" s="7" t="s">
        <v>8617</v>
      </c>
      <c r="AJ409" s="7" t="s">
        <v>8612</v>
      </c>
      <c r="AK409" s="7" t="s">
        <v>8627</v>
      </c>
      <c r="AL409" s="7" t="s">
        <v>8628</v>
      </c>
      <c r="AS409" s="2"/>
      <c r="AV409" s="11"/>
      <c r="BB409" s="2" t="s">
        <v>8618</v>
      </c>
      <c r="BI409" s="2" t="s">
        <v>8590</v>
      </c>
      <c r="BL409" s="2" t="s">
        <v>8591</v>
      </c>
      <c r="BM409" s="2" t="s">
        <v>8619</v>
      </c>
      <c r="BO409" s="2"/>
      <c r="MJM409" s="2"/>
    </row>
    <row r="410" customFormat="false" ht="19.5" hidden="false" customHeight="true" outlineLevel="0" collapsed="false">
      <c r="A410" s="2" t="s">
        <v>10089</v>
      </c>
      <c r="C410" s="2" t="str">
        <f aca="false">_xlfn.CONCAT(A410, " ","(",B410,")")</f>
        <v>Nemapogon clematella
 ()</v>
      </c>
      <c r="D410" s="2" t="s">
        <v>8580</v>
      </c>
      <c r="E410" s="2" t="s">
        <v>8722</v>
      </c>
      <c r="F410" s="2" t="s">
        <v>8873</v>
      </c>
      <c r="G410" s="2" t="s">
        <v>8737</v>
      </c>
      <c r="H410" s="2" t="e">
        <f aca="false">VLOOKUP(A410,'[1]NE red list'!A$1:H$1048576,5,FALSE())</f>
        <v>#N/A</v>
      </c>
      <c r="I410" s="2" t="s">
        <v>8878</v>
      </c>
      <c r="J410" s="33" t="s">
        <v>10090</v>
      </c>
      <c r="L410" s="2" t="s">
        <v>9376</v>
      </c>
      <c r="M410" s="33"/>
      <c r="N410" s="2" t="str">
        <f aca="false">_xlfn.CONCAT(Q410," ",R410," ",S410)</f>
        <v>woodland parkland ToW</v>
      </c>
      <c r="O410" s="2" t="s">
        <v>14</v>
      </c>
      <c r="P410" s="2"/>
      <c r="Q410" s="3" t="s">
        <v>16</v>
      </c>
      <c r="R410" s="2" t="s">
        <v>8568</v>
      </c>
      <c r="S410" s="2" t="s">
        <v>18</v>
      </c>
      <c r="U410" s="2" t="s">
        <v>8570</v>
      </c>
      <c r="V410" s="2" t="s">
        <v>9891</v>
      </c>
      <c r="X410" s="2" t="s">
        <v>8597</v>
      </c>
      <c r="Z410" s="2" t="s">
        <v>8598</v>
      </c>
      <c r="AS410" s="2" t="s">
        <v>8792</v>
      </c>
      <c r="AV410" s="11"/>
      <c r="AX410" s="4" t="s">
        <v>8607</v>
      </c>
      <c r="AZ410" s="12" t="s">
        <v>8607</v>
      </c>
      <c r="BO410" s="2"/>
      <c r="MJM410" s="2"/>
    </row>
    <row r="411" s="2" customFormat="true" ht="19.5" hidden="false" customHeight="true" outlineLevel="0" collapsed="false">
      <c r="A411" s="2" t="s">
        <v>10091</v>
      </c>
      <c r="C411" s="2" t="str">
        <f aca="false">_xlfn.CONCAT(A411, " ","(",B411,")")</f>
        <v>Nemapogon cloacella
 ()</v>
      </c>
      <c r="D411" s="2" t="s">
        <v>8580</v>
      </c>
      <c r="E411" s="2" t="s">
        <v>8722</v>
      </c>
      <c r="F411" s="2" t="s">
        <v>8873</v>
      </c>
      <c r="G411" s="2" t="s">
        <v>8737</v>
      </c>
      <c r="H411" s="2" t="e">
        <f aca="false">VLOOKUP(A411,'[1]NE red list'!A$1:H$1048576,5,FALSE())</f>
        <v>#N/A</v>
      </c>
      <c r="I411" s="2" t="s">
        <v>8878</v>
      </c>
      <c r="J411" s="33" t="s">
        <v>10092</v>
      </c>
      <c r="K411" s="33"/>
      <c r="L411" s="2" t="s">
        <v>8677</v>
      </c>
      <c r="M411" s="33"/>
      <c r="N411" s="2" t="str">
        <f aca="false">_xlfn.CONCAT(Q411," ",R411," ",S411)</f>
        <v>woodland parkland ToW</v>
      </c>
      <c r="O411" s="2" t="s">
        <v>14</v>
      </c>
      <c r="Q411" s="3" t="s">
        <v>16</v>
      </c>
      <c r="R411" s="2" t="s">
        <v>8568</v>
      </c>
      <c r="S411" s="2" t="s">
        <v>18</v>
      </c>
      <c r="T411" s="3"/>
      <c r="U411" s="2" t="s">
        <v>8570</v>
      </c>
      <c r="V411" s="2" t="s">
        <v>8763</v>
      </c>
      <c r="X411" s="2" t="s">
        <v>8589</v>
      </c>
      <c r="Y411" s="2" t="s">
        <v>8573</v>
      </c>
      <c r="Z411" s="2" t="s">
        <v>8614</v>
      </c>
      <c r="AA411" s="38"/>
      <c r="AB411" s="39"/>
      <c r="AC411" s="40"/>
      <c r="AD411" s="40"/>
      <c r="AE411" s="40"/>
      <c r="AF411" s="40"/>
      <c r="AG411" s="41"/>
      <c r="AH411" s="41"/>
      <c r="AI411" s="41"/>
      <c r="AJ411" s="41"/>
      <c r="AK411" s="41"/>
      <c r="AL411" s="41"/>
      <c r="AM411" s="4" t="s">
        <v>8657</v>
      </c>
      <c r="AN411" s="42"/>
      <c r="AO411" s="42"/>
      <c r="AP411" s="42" t="s">
        <v>10093</v>
      </c>
      <c r="AQ411" s="42"/>
      <c r="AR411" s="42"/>
      <c r="AS411" s="43"/>
      <c r="AT411" s="33"/>
      <c r="AU411" s="38"/>
      <c r="AV411" s="45"/>
      <c r="AW411" s="44"/>
      <c r="AX411" s="4" t="s">
        <v>8585</v>
      </c>
      <c r="AY411" s="12" t="s">
        <v>8585</v>
      </c>
      <c r="AZ411" s="12"/>
      <c r="BA411" s="33"/>
      <c r="BB411" s="33"/>
      <c r="BC411" s="33"/>
      <c r="BD411" s="33"/>
      <c r="BE411" s="33"/>
      <c r="BF411" s="33"/>
      <c r="BG411" s="33"/>
      <c r="BH411" s="33"/>
      <c r="BI411" s="33"/>
      <c r="BJ411" s="33"/>
      <c r="BK411" s="33"/>
      <c r="BL411" s="33"/>
      <c r="BM411" s="33"/>
    </row>
    <row r="412" s="2" customFormat="true" ht="19.5" hidden="false" customHeight="true" outlineLevel="0" collapsed="false">
      <c r="A412" s="2" t="s">
        <v>10094</v>
      </c>
      <c r="C412" s="2" t="str">
        <f aca="false">_xlfn.CONCAT(A412, " ","(",B412,")")</f>
        <v>Nemapogon granella
 ()</v>
      </c>
      <c r="D412" s="2" t="s">
        <v>8580</v>
      </c>
      <c r="E412" s="2" t="s">
        <v>8722</v>
      </c>
      <c r="F412" s="2" t="s">
        <v>8873</v>
      </c>
      <c r="H412" s="2" t="e">
        <f aca="false">VLOOKUP(A412,'[1]NE red list'!A$1:H$1048576,5,FALSE())</f>
        <v>#N/A</v>
      </c>
      <c r="I412" s="2" t="s">
        <v>8564</v>
      </c>
      <c r="J412" s="33" t="s">
        <v>10095</v>
      </c>
      <c r="K412" s="33"/>
      <c r="L412" s="2" t="s">
        <v>8677</v>
      </c>
      <c r="M412" s="33"/>
      <c r="N412" s="2" t="str">
        <f aca="false">_xlfn.CONCAT(Q412," ",R412," ",S412)</f>
        <v>woodland parkland ToW</v>
      </c>
      <c r="O412" s="2" t="s">
        <v>14</v>
      </c>
      <c r="Q412" s="3" t="s">
        <v>16</v>
      </c>
      <c r="R412" s="2" t="s">
        <v>8568</v>
      </c>
      <c r="S412" s="2" t="s">
        <v>18</v>
      </c>
      <c r="T412" s="3"/>
      <c r="U412" s="2" t="s">
        <v>8570</v>
      </c>
      <c r="V412" s="2" t="s">
        <v>8763</v>
      </c>
      <c r="X412" s="2" t="s">
        <v>8589</v>
      </c>
      <c r="Y412" s="2" t="s">
        <v>8772</v>
      </c>
      <c r="Z412" s="2" t="s">
        <v>8574</v>
      </c>
      <c r="AA412" s="38"/>
      <c r="AB412" s="39"/>
      <c r="AC412" s="40"/>
      <c r="AD412" s="40"/>
      <c r="AE412" s="40"/>
      <c r="AF412" s="40"/>
      <c r="AG412" s="41"/>
      <c r="AH412" s="41"/>
      <c r="AI412" s="41"/>
      <c r="AJ412" s="41"/>
      <c r="AK412" s="41"/>
      <c r="AL412" s="41"/>
      <c r="AM412" s="38"/>
      <c r="AN412" s="42"/>
      <c r="AO412" s="42"/>
      <c r="AP412" s="42"/>
      <c r="AQ412" s="42"/>
      <c r="AR412" s="42"/>
      <c r="AS412" s="43"/>
      <c r="AT412" s="33"/>
      <c r="AU412" s="38"/>
      <c r="AV412" s="45"/>
      <c r="AW412" s="44"/>
      <c r="AX412" s="4" t="s">
        <v>8585</v>
      </c>
      <c r="AY412" s="12" t="s">
        <v>8585</v>
      </c>
      <c r="AZ412" s="12"/>
      <c r="BA412" s="33"/>
      <c r="BB412" s="33"/>
      <c r="BC412" s="33"/>
      <c r="BD412" s="33"/>
      <c r="BE412" s="33"/>
      <c r="BF412" s="33"/>
      <c r="BG412" s="33"/>
      <c r="BH412" s="33"/>
      <c r="BI412" s="33"/>
      <c r="BJ412" s="33"/>
      <c r="BK412" s="33"/>
      <c r="BL412" s="33"/>
      <c r="BM412" s="33"/>
    </row>
    <row r="413" s="2" customFormat="true" ht="19.5" hidden="false" customHeight="true" outlineLevel="0" collapsed="false">
      <c r="A413" s="2" t="s">
        <v>10096</v>
      </c>
      <c r="C413" s="2" t="str">
        <f aca="false">_xlfn.CONCAT(A413, " ","(",B413,")")</f>
        <v>Nemapogon koenigi
 ()</v>
      </c>
      <c r="D413" s="2" t="s">
        <v>8580</v>
      </c>
      <c r="E413" s="2" t="s">
        <v>8722</v>
      </c>
      <c r="F413" s="2" t="s">
        <v>8873</v>
      </c>
      <c r="H413" s="2" t="e">
        <f aca="false">VLOOKUP(A413,'[1]NE red list'!A$1:H$1048576,5,FALSE())</f>
        <v>#N/A</v>
      </c>
      <c r="I413" s="2" t="s">
        <v>10097</v>
      </c>
      <c r="J413" s="33" t="s">
        <v>10098</v>
      </c>
      <c r="K413" s="33"/>
      <c r="L413" s="2" t="s">
        <v>8677</v>
      </c>
      <c r="M413" s="33"/>
      <c r="N413" s="2" t="str">
        <f aca="false">_xlfn.CONCAT(Q413," ",R413," ",S413)</f>
        <v>woodland parkland ToW</v>
      </c>
      <c r="O413" s="2" t="s">
        <v>14</v>
      </c>
      <c r="Q413" s="3" t="s">
        <v>16</v>
      </c>
      <c r="R413" s="2" t="s">
        <v>8568</v>
      </c>
      <c r="S413" s="2" t="s">
        <v>18</v>
      </c>
      <c r="T413" s="3"/>
      <c r="U413" s="2" t="s">
        <v>8570</v>
      </c>
      <c r="V413" s="2" t="s">
        <v>8763</v>
      </c>
      <c r="Y413" s="2" t="s">
        <v>8772</v>
      </c>
      <c r="Z413" s="2" t="s">
        <v>8574</v>
      </c>
      <c r="AA413" s="38"/>
      <c r="AB413" s="39"/>
      <c r="AC413" s="40"/>
      <c r="AD413" s="40"/>
      <c r="AE413" s="40"/>
      <c r="AF413" s="40"/>
      <c r="AG413" s="41"/>
      <c r="AH413" s="41"/>
      <c r="AI413" s="41"/>
      <c r="AJ413" s="41"/>
      <c r="AK413" s="41"/>
      <c r="AL413" s="41"/>
      <c r="AM413" s="38"/>
      <c r="AN413" s="42"/>
      <c r="AO413" s="42"/>
      <c r="AP413" s="42"/>
      <c r="AQ413" s="42"/>
      <c r="AR413" s="42"/>
      <c r="AS413" s="43"/>
      <c r="AT413" s="33"/>
      <c r="AU413" s="38"/>
      <c r="AV413" s="45"/>
      <c r="AW413" s="44"/>
      <c r="AX413" s="4" t="s">
        <v>8585</v>
      </c>
      <c r="AY413" s="12" t="s">
        <v>8585</v>
      </c>
      <c r="AZ413" s="12"/>
      <c r="BA413" s="33"/>
      <c r="BB413" s="33"/>
      <c r="BC413" s="33"/>
      <c r="BD413" s="33"/>
      <c r="BE413" s="33"/>
      <c r="BF413" s="33"/>
      <c r="BG413" s="33"/>
      <c r="BH413" s="33"/>
      <c r="BI413" s="33"/>
      <c r="BJ413" s="33"/>
      <c r="BK413" s="33"/>
      <c r="BL413" s="33"/>
      <c r="BM413" s="33"/>
    </row>
    <row r="414" s="2" customFormat="true" ht="19.5" hidden="false" customHeight="true" outlineLevel="0" collapsed="false">
      <c r="A414" s="2" t="s">
        <v>10099</v>
      </c>
      <c r="C414" s="2" t="str">
        <f aca="false">_xlfn.CONCAT(A414, " ","(",B414,")")</f>
        <v>Nemapogon picarella
 ()</v>
      </c>
      <c r="D414" s="2" t="s">
        <v>8580</v>
      </c>
      <c r="E414" s="2" t="s">
        <v>8722</v>
      </c>
      <c r="F414" s="2" t="s">
        <v>8873</v>
      </c>
      <c r="G414" s="2" t="s">
        <v>8583</v>
      </c>
      <c r="H414" s="2" t="e">
        <f aca="false">VLOOKUP(A414,'[1]NE red list'!A$1:H$1048576,5,FALSE())</f>
        <v>#N/A</v>
      </c>
      <c r="I414" s="2" t="s">
        <v>9129</v>
      </c>
      <c r="J414" s="33" t="s">
        <v>10100</v>
      </c>
      <c r="K414" s="33"/>
      <c r="L414" s="2" t="s">
        <v>8677</v>
      </c>
      <c r="M414" s="33"/>
      <c r="N414" s="2" t="str">
        <f aca="false">_xlfn.CONCAT(Q414," ",R414," ",S414)</f>
        <v>woodland parkland ToW</v>
      </c>
      <c r="O414" s="2" t="s">
        <v>14</v>
      </c>
      <c r="Q414" s="3" t="s">
        <v>16</v>
      </c>
      <c r="R414" s="2" t="s">
        <v>8568</v>
      </c>
      <c r="S414" s="2" t="s">
        <v>18</v>
      </c>
      <c r="T414" s="3"/>
      <c r="U414" s="2" t="s">
        <v>8570</v>
      </c>
      <c r="V414" s="2" t="s">
        <v>8880</v>
      </c>
      <c r="X414" s="2" t="s">
        <v>8589</v>
      </c>
      <c r="Y414" s="2" t="s">
        <v>8772</v>
      </c>
      <c r="Z414" s="2" t="s">
        <v>8574</v>
      </c>
      <c r="AA414" s="38"/>
      <c r="AB414" s="39"/>
      <c r="AC414" s="40"/>
      <c r="AD414" s="40"/>
      <c r="AE414" s="40"/>
      <c r="AF414" s="40"/>
      <c r="AG414" s="41"/>
      <c r="AH414" s="41"/>
      <c r="AI414" s="41"/>
      <c r="AJ414" s="41"/>
      <c r="AK414" s="41"/>
      <c r="AL414" s="41"/>
      <c r="AM414" s="38"/>
      <c r="AN414" s="42"/>
      <c r="AO414" s="42"/>
      <c r="AP414" s="42"/>
      <c r="AQ414" s="42"/>
      <c r="AR414" s="42"/>
      <c r="AS414" s="43"/>
      <c r="AT414" s="33"/>
      <c r="AU414" s="38"/>
      <c r="AV414" s="45"/>
      <c r="AW414" s="44"/>
      <c r="AX414" s="4" t="s">
        <v>8585</v>
      </c>
      <c r="AY414" s="12" t="s">
        <v>8585</v>
      </c>
      <c r="AZ414" s="12"/>
      <c r="BA414" s="33"/>
      <c r="BB414" s="33"/>
      <c r="BC414" s="33"/>
      <c r="BD414" s="33"/>
      <c r="BE414" s="33"/>
      <c r="BF414" s="33"/>
      <c r="BG414" s="33"/>
      <c r="BH414" s="33"/>
      <c r="BI414" s="33"/>
      <c r="BJ414" s="33"/>
      <c r="BK414" s="33"/>
      <c r="BL414" s="33"/>
      <c r="BM414" s="33"/>
    </row>
    <row r="415" s="2" customFormat="true" ht="19.5" hidden="false" customHeight="true" outlineLevel="0" collapsed="false">
      <c r="A415" s="2" t="s">
        <v>10101</v>
      </c>
      <c r="C415" s="2" t="str">
        <f aca="false">_xlfn.CONCAT(A415, " ","(",B415,")")</f>
        <v>Nemapogon ruricolella
 ()</v>
      </c>
      <c r="D415" s="2" t="s">
        <v>8580</v>
      </c>
      <c r="E415" s="2" t="s">
        <v>8722</v>
      </c>
      <c r="F415" s="2" t="s">
        <v>8873</v>
      </c>
      <c r="H415" s="2" t="e">
        <f aca="false">VLOOKUP(A415,'[1]NE red list'!A$1:H$1048576,5,FALSE())</f>
        <v>#N/A</v>
      </c>
      <c r="I415" s="2" t="s">
        <v>9848</v>
      </c>
      <c r="J415" s="33" t="s">
        <v>10102</v>
      </c>
      <c r="K415" s="33"/>
      <c r="L415" s="2" t="s">
        <v>8677</v>
      </c>
      <c r="M415" s="33"/>
      <c r="N415" s="2" t="str">
        <f aca="false">_xlfn.CONCAT(Q415," ",R415," ",S415)</f>
        <v>woodland parkland ToW</v>
      </c>
      <c r="O415" s="2" t="s">
        <v>14</v>
      </c>
      <c r="Q415" s="3" t="s">
        <v>16</v>
      </c>
      <c r="R415" s="2" t="s">
        <v>8568</v>
      </c>
      <c r="S415" s="2" t="s">
        <v>18</v>
      </c>
      <c r="T415" s="3"/>
      <c r="U415" s="2" t="s">
        <v>8570</v>
      </c>
      <c r="Z415" s="2" t="s">
        <v>8598</v>
      </c>
      <c r="AA415" s="38"/>
      <c r="AB415" s="39"/>
      <c r="AC415" s="40"/>
      <c r="AD415" s="40"/>
      <c r="AE415" s="40"/>
      <c r="AF415" s="40"/>
      <c r="AG415" s="41"/>
      <c r="AH415" s="41"/>
      <c r="AI415" s="41"/>
      <c r="AJ415" s="41"/>
      <c r="AK415" s="41"/>
      <c r="AL415" s="41"/>
      <c r="AM415" s="38"/>
      <c r="AN415" s="42"/>
      <c r="AO415" s="42"/>
      <c r="AP415" s="42"/>
      <c r="AQ415" s="42"/>
      <c r="AR415" s="42"/>
      <c r="AS415" s="43"/>
      <c r="AT415" s="33"/>
      <c r="AU415" s="38"/>
      <c r="AV415" s="45"/>
      <c r="AW415" s="44"/>
      <c r="AX415" s="4" t="s">
        <v>8585</v>
      </c>
      <c r="AY415" s="12" t="s">
        <v>8585</v>
      </c>
      <c r="AZ415" s="12"/>
      <c r="BA415" s="33"/>
      <c r="BB415" s="33"/>
      <c r="BC415" s="33"/>
      <c r="BD415" s="33"/>
      <c r="BE415" s="33"/>
      <c r="BF415" s="33"/>
      <c r="BG415" s="33"/>
      <c r="BH415" s="33"/>
      <c r="BI415" s="33"/>
      <c r="BJ415" s="33"/>
      <c r="BK415" s="33"/>
      <c r="BL415" s="33"/>
      <c r="BM415" s="33"/>
    </row>
    <row r="416" s="2" customFormat="true" ht="19.5" hidden="false" customHeight="true" outlineLevel="0" collapsed="false">
      <c r="A416" s="33" t="s">
        <v>10103</v>
      </c>
      <c r="C416" s="2" t="str">
        <f aca="false">_xlfn.CONCAT(A416, " ","(",B416,")")</f>
        <v>Nemapogon variatella
 ()</v>
      </c>
      <c r="D416" s="2" t="s">
        <v>8580</v>
      </c>
      <c r="E416" s="2" t="s">
        <v>8722</v>
      </c>
      <c r="F416" s="2" t="s">
        <v>8873</v>
      </c>
      <c r="H416" s="2" t="e">
        <f aca="false">VLOOKUP(A416,'[1]NE red list'!A$1:H$1048576,5,FALSE())</f>
        <v>#N/A</v>
      </c>
      <c r="I416" s="2" t="s">
        <v>8714</v>
      </c>
      <c r="J416" s="33" t="s">
        <v>10104</v>
      </c>
      <c r="K416" s="33"/>
      <c r="L416" s="2" t="s">
        <v>8677</v>
      </c>
      <c r="M416" s="33"/>
      <c r="N416" s="2" t="str">
        <f aca="false">_xlfn.CONCAT(Q416," ",R416," ",S416)</f>
        <v>woodland parkland ToW</v>
      </c>
      <c r="O416" s="2" t="s">
        <v>14</v>
      </c>
      <c r="Q416" s="3" t="s">
        <v>16</v>
      </c>
      <c r="R416" s="2" t="s">
        <v>8568</v>
      </c>
      <c r="S416" s="2" t="s">
        <v>18</v>
      </c>
      <c r="T416" s="3"/>
      <c r="U416" s="2" t="s">
        <v>8570</v>
      </c>
      <c r="Z416" s="2" t="s">
        <v>8598</v>
      </c>
      <c r="AA416" s="38"/>
      <c r="AB416" s="39"/>
      <c r="AC416" s="40"/>
      <c r="AD416" s="40"/>
      <c r="AE416" s="40"/>
      <c r="AF416" s="40"/>
      <c r="AG416" s="41"/>
      <c r="AH416" s="41"/>
      <c r="AI416" s="41"/>
      <c r="AJ416" s="41"/>
      <c r="AK416" s="41"/>
      <c r="AL416" s="41"/>
      <c r="AM416" s="38"/>
      <c r="AN416" s="42"/>
      <c r="AO416" s="42"/>
      <c r="AP416" s="42"/>
      <c r="AQ416" s="42"/>
      <c r="AR416" s="42"/>
      <c r="AS416" s="43"/>
      <c r="AT416" s="33"/>
      <c r="AU416" s="38"/>
      <c r="AV416" s="45"/>
      <c r="AW416" s="44"/>
      <c r="AX416" s="4" t="s">
        <v>8585</v>
      </c>
      <c r="AY416" s="12" t="s">
        <v>8585</v>
      </c>
      <c r="AZ416" s="12"/>
      <c r="BA416" s="33"/>
      <c r="BB416" s="33"/>
      <c r="BC416" s="33"/>
      <c r="BD416" s="33"/>
      <c r="BE416" s="33"/>
      <c r="BF416" s="33"/>
      <c r="BG416" s="33"/>
      <c r="BH416" s="33"/>
      <c r="BI416" s="33"/>
      <c r="BJ416" s="33"/>
      <c r="BK416" s="33"/>
      <c r="BL416" s="33"/>
      <c r="BM416" s="33"/>
    </row>
    <row r="417" customFormat="false" ht="19.5" hidden="false" customHeight="true" outlineLevel="0" collapsed="false">
      <c r="A417" s="1" t="s">
        <v>10105</v>
      </c>
      <c r="B417" s="2" t="s">
        <v>10106</v>
      </c>
      <c r="C417" s="2" t="str">
        <f aca="false">_xlfn.CONCAT(A417, " ","(",B417,")")</f>
        <v>Nemasoma varicorne (Isobates varicornis sensu Blower, 1958 &amp; Isobates varicornis)</v>
      </c>
      <c r="D417" s="2" t="s">
        <v>8728</v>
      </c>
      <c r="E417" s="2" t="s">
        <v>10107</v>
      </c>
      <c r="F417" s="30" t="s">
        <v>10108</v>
      </c>
      <c r="H417" s="2" t="str">
        <f aca="false">VLOOKUP(A417,'[1]NE red list'!A$1:H$1048576,5,FALSE())</f>
        <v>LC</v>
      </c>
      <c r="I417" s="2" t="s">
        <v>8645</v>
      </c>
      <c r="J417" s="33" t="s">
        <v>10109</v>
      </c>
      <c r="L417" s="2" t="s">
        <v>8648</v>
      </c>
      <c r="N417" s="2" t="str">
        <f aca="false">_xlfn.CONCAT(Q417," ",R417," ",S417)</f>
        <v>woodland  </v>
      </c>
      <c r="O417" s="2"/>
      <c r="P417" s="2"/>
      <c r="Q417" s="2" t="s">
        <v>16</v>
      </c>
      <c r="T417" s="2"/>
      <c r="U417" s="2" t="s">
        <v>8605</v>
      </c>
      <c r="V417" s="2" t="s">
        <v>10110</v>
      </c>
      <c r="Z417" s="2" t="s">
        <v>8574</v>
      </c>
      <c r="AG417" s="7" t="s">
        <v>8575</v>
      </c>
      <c r="AN417" s="8" t="s">
        <v>8638</v>
      </c>
      <c r="AS417" s="2"/>
      <c r="AV417" s="11"/>
      <c r="BI417" s="2" t="s">
        <v>8590</v>
      </c>
      <c r="BL417" s="2" t="s">
        <v>8591</v>
      </c>
      <c r="BO417" s="2"/>
      <c r="MJM417" s="2"/>
    </row>
    <row r="418" s="2" customFormat="true" ht="19.5" hidden="false" customHeight="true" outlineLevel="0" collapsed="false">
      <c r="A418" s="33" t="s">
        <v>10111</v>
      </c>
      <c r="C418" s="2" t="str">
        <f aca="false">_xlfn.CONCAT(A418, " ","(",B418,")")</f>
        <v>Nemaxera betulinella
 ()</v>
      </c>
      <c r="D418" s="2" t="s">
        <v>8580</v>
      </c>
      <c r="E418" s="2" t="s">
        <v>8722</v>
      </c>
      <c r="F418" s="2" t="s">
        <v>8873</v>
      </c>
      <c r="H418" s="2" t="e">
        <f aca="false">VLOOKUP(A418,'[1]NE red list'!A$1:H$1048576,5,FALSE())</f>
        <v>#N/A</v>
      </c>
      <c r="I418" s="2" t="s">
        <v>8564</v>
      </c>
      <c r="J418" s="33" t="s">
        <v>10112</v>
      </c>
      <c r="K418" s="33"/>
      <c r="L418" s="2" t="s">
        <v>8677</v>
      </c>
      <c r="M418" s="33"/>
      <c r="N418" s="2" t="str">
        <f aca="false">_xlfn.CONCAT(Q418," ",R418," ",S418)</f>
        <v>woodland parkland ToW</v>
      </c>
      <c r="O418" s="2" t="s">
        <v>14</v>
      </c>
      <c r="Q418" s="3" t="s">
        <v>16</v>
      </c>
      <c r="R418" s="2" t="s">
        <v>8568</v>
      </c>
      <c r="S418" s="2" t="s">
        <v>18</v>
      </c>
      <c r="T418" s="3"/>
      <c r="U418" s="2" t="s">
        <v>8570</v>
      </c>
      <c r="V418" s="2" t="s">
        <v>8763</v>
      </c>
      <c r="Z418" s="2" t="s">
        <v>8598</v>
      </c>
      <c r="AA418" s="38"/>
      <c r="AB418" s="39"/>
      <c r="AC418" s="40"/>
      <c r="AD418" s="40"/>
      <c r="AE418" s="40"/>
      <c r="AF418" s="40"/>
      <c r="AG418" s="41"/>
      <c r="AH418" s="41"/>
      <c r="AI418" s="41"/>
      <c r="AJ418" s="41"/>
      <c r="AK418" s="41"/>
      <c r="AL418" s="41"/>
      <c r="AM418" s="38"/>
      <c r="AN418" s="42"/>
      <c r="AO418" s="42"/>
      <c r="AP418" s="42"/>
      <c r="AQ418" s="42"/>
      <c r="AR418" s="42"/>
      <c r="AS418" s="43"/>
      <c r="AT418" s="33"/>
      <c r="AU418" s="38"/>
      <c r="AV418" s="45"/>
      <c r="AW418" s="44"/>
      <c r="AX418" s="4" t="s">
        <v>8585</v>
      </c>
      <c r="AY418" s="12" t="s">
        <v>8585</v>
      </c>
      <c r="AZ418" s="12"/>
      <c r="BA418" s="33"/>
      <c r="BB418" s="33"/>
      <c r="BC418" s="33"/>
      <c r="BD418" s="33"/>
      <c r="BE418" s="33"/>
      <c r="BF418" s="33"/>
      <c r="BG418" s="33"/>
      <c r="BH418" s="33"/>
      <c r="BI418" s="33"/>
      <c r="BJ418" s="33"/>
      <c r="BK418" s="33"/>
      <c r="BL418" s="33"/>
      <c r="BM418" s="33"/>
    </row>
    <row r="419" s="8" customFormat="true" ht="19.5" hidden="false" customHeight="true" outlineLevel="0" collapsed="false">
      <c r="A419" s="2" t="s">
        <v>10113</v>
      </c>
      <c r="B419" s="2"/>
      <c r="C419" s="2" t="str">
        <f aca="false">_xlfn.CONCAT(A419, " ","(",B419,")")</f>
        <v>Nemozoma elongatum ()</v>
      </c>
      <c r="D419" s="2"/>
      <c r="E419" s="2" t="s">
        <v>8581</v>
      </c>
      <c r="F419" s="3" t="s">
        <v>10114</v>
      </c>
      <c r="G419" s="2" t="s">
        <v>9801</v>
      </c>
      <c r="H419" s="2" t="str">
        <f aca="false">VLOOKUP(A419,'[1]NE red list'!A$1:H$1048576,5,FALSE())</f>
        <v>VU</v>
      </c>
      <c r="I419" s="2" t="s">
        <v>8714</v>
      </c>
      <c r="J419" s="2" t="s">
        <v>10115</v>
      </c>
      <c r="K419" s="2"/>
      <c r="L419" s="2" t="s">
        <v>8665</v>
      </c>
      <c r="M419" s="2"/>
      <c r="N419" s="2" t="str">
        <f aca="false">_xlfn.CONCAT(Q419," ",R419," ",S419)</f>
        <v> parkland ToW</v>
      </c>
      <c r="O419" s="2" t="s">
        <v>14</v>
      </c>
      <c r="P419" s="2"/>
      <c r="Q419" s="2"/>
      <c r="R419" s="2" t="s">
        <v>8568</v>
      </c>
      <c r="S419" s="2" t="s">
        <v>18</v>
      </c>
      <c r="T419" s="2"/>
      <c r="U419" s="2" t="s">
        <v>8570</v>
      </c>
      <c r="V419" s="2" t="s">
        <v>10116</v>
      </c>
      <c r="W419" s="2"/>
      <c r="X419" s="2" t="s">
        <v>8597</v>
      </c>
      <c r="Y419" s="2"/>
      <c r="Z419" s="2" t="s">
        <v>8637</v>
      </c>
      <c r="AA419" s="4"/>
      <c r="AB419" s="6" t="s">
        <v>8672</v>
      </c>
      <c r="AC419" s="6"/>
      <c r="AD419" s="6"/>
      <c r="AE419" s="6"/>
      <c r="AF419" s="6"/>
      <c r="AG419" s="7" t="s">
        <v>8824</v>
      </c>
      <c r="AH419" s="7"/>
      <c r="AI419" s="7"/>
      <c r="AJ419" s="7"/>
      <c r="AK419" s="7"/>
      <c r="AL419" s="7"/>
      <c r="AM419" s="4"/>
      <c r="AO419" s="31"/>
      <c r="AS419" s="2" t="s">
        <v>8792</v>
      </c>
      <c r="AU419" s="4"/>
      <c r="AV419" s="11"/>
      <c r="AW419" s="11"/>
      <c r="AX419" s="4"/>
      <c r="AY419" s="12"/>
      <c r="AZ419" s="12"/>
      <c r="BI419" s="2" t="s">
        <v>8590</v>
      </c>
      <c r="BN419" s="8" t="s">
        <v>8619</v>
      </c>
    </row>
    <row r="420" s="8" customFormat="true" ht="19.5" hidden="false" customHeight="true" outlineLevel="0" collapsed="false">
      <c r="A420" s="1" t="s">
        <v>10117</v>
      </c>
      <c r="B420" s="2" t="s">
        <v>10118</v>
      </c>
      <c r="C420" s="2" t="str">
        <f aca="false">_xlfn.CONCAT(A420, " ","(",B420,")")</f>
        <v>Neoempheria lineola (A Fungus-gnat)</v>
      </c>
      <c r="D420" s="2"/>
      <c r="E420" s="2" t="s">
        <v>8687</v>
      </c>
      <c r="F420" s="3" t="s">
        <v>10119</v>
      </c>
      <c r="G420" s="3"/>
      <c r="H420" s="2" t="e">
        <f aca="false">VLOOKUP(A420,'[1]NE red list'!A$1:H$1048576,5,FALSE())</f>
        <v>#N/A</v>
      </c>
      <c r="I420" s="3" t="s">
        <v>8610</v>
      </c>
      <c r="J420" s="2" t="s">
        <v>10120</v>
      </c>
      <c r="K420" s="2"/>
      <c r="L420" s="49"/>
      <c r="M420" s="2"/>
      <c r="N420" s="2" t="str">
        <f aca="false">_xlfn.CONCAT(Q420," ",R420," ",S420)</f>
        <v>woodland parkland </v>
      </c>
      <c r="O420" s="3" t="s">
        <v>14</v>
      </c>
      <c r="P420" s="2"/>
      <c r="Q420" s="3" t="s">
        <v>16</v>
      </c>
      <c r="R420" s="3" t="s">
        <v>8568</v>
      </c>
      <c r="S420" s="2"/>
      <c r="T420" s="2"/>
      <c r="U420" s="2" t="s">
        <v>8570</v>
      </c>
      <c r="V420" s="3" t="s">
        <v>9038</v>
      </c>
      <c r="W420" s="2" t="s">
        <v>8571</v>
      </c>
      <c r="X420" s="2" t="s">
        <v>8589</v>
      </c>
      <c r="Y420" s="2" t="s">
        <v>8772</v>
      </c>
      <c r="Z420" s="3" t="s">
        <v>8598</v>
      </c>
      <c r="AA420" s="4" t="s">
        <v>26</v>
      </c>
      <c r="AB420" s="6" t="s">
        <v>8672</v>
      </c>
      <c r="AC420" s="6"/>
      <c r="AD420" s="6" t="s">
        <v>8615</v>
      </c>
      <c r="AE420" s="6"/>
      <c r="AF420" s="6"/>
      <c r="AG420" s="7" t="s">
        <v>8575</v>
      </c>
      <c r="AH420" s="7"/>
      <c r="AI420" s="7"/>
      <c r="AJ420" s="7"/>
      <c r="AK420" s="7"/>
      <c r="AL420" s="7"/>
      <c r="AM420" s="4"/>
      <c r="AO420" s="31"/>
      <c r="AS420" s="2"/>
      <c r="AU420" s="4"/>
      <c r="AV420" s="10"/>
      <c r="AW420" s="11"/>
      <c r="AX420" s="53"/>
      <c r="AY420" s="54"/>
      <c r="AZ420" s="54"/>
      <c r="BC420" s="2" t="s">
        <v>9986</v>
      </c>
      <c r="BD420" s="2" t="s">
        <v>8629</v>
      </c>
      <c r="BI420" s="2" t="s">
        <v>8590</v>
      </c>
      <c r="BN420" s="8" t="s">
        <v>8619</v>
      </c>
    </row>
    <row r="421" customFormat="false" ht="19.5" hidden="false" customHeight="true" outlineLevel="0" collapsed="false">
      <c r="A421" s="1" t="s">
        <v>10121</v>
      </c>
      <c r="B421" s="2" t="s">
        <v>10122</v>
      </c>
      <c r="C421" s="2" t="str">
        <f aca="false">_xlfn.CONCAT(A421, " ","(",B421,")")</f>
        <v>Neopachygaster meromelas (Silver-strips Black)</v>
      </c>
      <c r="D421" s="2" t="s">
        <v>8580</v>
      </c>
      <c r="E421" s="2" t="s">
        <v>8687</v>
      </c>
      <c r="F421" s="30" t="s">
        <v>10123</v>
      </c>
      <c r="G421" s="2" t="s">
        <v>8583</v>
      </c>
      <c r="H421" s="2" t="str">
        <f aca="false">VLOOKUP(A421,'[1]NE red list'!A$1:H$1048576,5,FALSE())</f>
        <v>LC</v>
      </c>
      <c r="I421" s="2" t="s">
        <v>9086</v>
      </c>
      <c r="J421" s="2" t="s">
        <v>10124</v>
      </c>
      <c r="L421" s="2" t="s">
        <v>9376</v>
      </c>
      <c r="N421" s="2" t="str">
        <f aca="false">_xlfn.CONCAT(Q421," ",R421," ",S421)</f>
        <v>woodland  ToW</v>
      </c>
      <c r="O421" s="2" t="s">
        <v>14</v>
      </c>
      <c r="P421" s="2"/>
      <c r="Q421" s="2" t="s">
        <v>16</v>
      </c>
      <c r="S421" s="2" t="s">
        <v>18</v>
      </c>
      <c r="T421" s="2"/>
      <c r="U421" s="2" t="s">
        <v>8570</v>
      </c>
      <c r="V421" s="2" t="s">
        <v>10125</v>
      </c>
      <c r="AB421" s="5" t="s">
        <v>8672</v>
      </c>
      <c r="AG421" s="7" t="s">
        <v>8824</v>
      </c>
      <c r="AM421" s="4" t="s">
        <v>8657</v>
      </c>
      <c r="AN421" s="8" t="s">
        <v>8734</v>
      </c>
      <c r="AO421" s="8" t="s">
        <v>40</v>
      </c>
      <c r="AQ421" s="8" t="s">
        <v>42</v>
      </c>
      <c r="AS421" s="2"/>
      <c r="AV421" s="11"/>
      <c r="BI421" s="2" t="s">
        <v>8590</v>
      </c>
      <c r="BL421" s="2" t="s">
        <v>8591</v>
      </c>
      <c r="BO421" s="2"/>
      <c r="MJM421" s="2"/>
    </row>
    <row r="422" customFormat="false" ht="19.5" hidden="false" customHeight="true" outlineLevel="0" collapsed="false">
      <c r="A422" s="2" t="s">
        <v>10126</v>
      </c>
      <c r="C422" s="2" t="str">
        <f aca="false">_xlfn.CONCAT(A422, " ","(",B422,")")</f>
        <v>Neossus nidicola ()</v>
      </c>
      <c r="D422" s="2" t="s">
        <v>8580</v>
      </c>
      <c r="E422" s="2" t="s">
        <v>8687</v>
      </c>
      <c r="F422" s="2" t="s">
        <v>10127</v>
      </c>
      <c r="G422" s="2" t="s">
        <v>8662</v>
      </c>
      <c r="H422" s="2" t="e">
        <f aca="false">VLOOKUP(A422,'[1]NE red list'!A$1:H$1048576,5,FALSE())</f>
        <v>#N/A</v>
      </c>
      <c r="I422" s="2" t="s">
        <v>8645</v>
      </c>
      <c r="J422" s="2" t="s">
        <v>10128</v>
      </c>
      <c r="L422" s="2" t="s">
        <v>8586</v>
      </c>
      <c r="N422" s="2" t="str">
        <f aca="false">_xlfn.CONCAT(Q422," ",R422," ",S422)</f>
        <v> parkland </v>
      </c>
      <c r="O422" s="3" t="s">
        <v>14</v>
      </c>
      <c r="P422" s="2"/>
      <c r="R422" s="2" t="s">
        <v>8568</v>
      </c>
      <c r="T422" s="2"/>
      <c r="U422" s="2" t="s">
        <v>8605</v>
      </c>
      <c r="W422" s="2" t="s">
        <v>8571</v>
      </c>
      <c r="X422" s="2" t="s">
        <v>8589</v>
      </c>
      <c r="AA422" s="4" t="s">
        <v>26</v>
      </c>
      <c r="AC422" s="6" t="s">
        <v>8666</v>
      </c>
      <c r="AD422" s="6" t="s">
        <v>8615</v>
      </c>
      <c r="AS422" s="2"/>
      <c r="AU422" s="4" t="s">
        <v>8639</v>
      </c>
      <c r="AV422" s="10" t="s">
        <v>10129</v>
      </c>
      <c r="BC422" s="2" t="s">
        <v>9986</v>
      </c>
      <c r="BD422" s="2" t="s">
        <v>8577</v>
      </c>
      <c r="BL422" s="2" t="s">
        <v>8591</v>
      </c>
      <c r="BO422" s="2"/>
      <c r="MJM422" s="2"/>
    </row>
    <row r="423" customFormat="false" ht="19.5" hidden="false" customHeight="true" outlineLevel="0" collapsed="false">
      <c r="A423" s="2" t="s">
        <v>10130</v>
      </c>
      <c r="C423" s="2" t="str">
        <f aca="false">_xlfn.CONCAT(A423, " ","(",B423,")")</f>
        <v>Niditinea piercella ()</v>
      </c>
      <c r="D423" s="2" t="s">
        <v>8580</v>
      </c>
      <c r="E423" s="2" t="s">
        <v>8722</v>
      </c>
      <c r="F423" s="2" t="s">
        <v>8873</v>
      </c>
      <c r="H423" s="2" t="e">
        <f aca="false">VLOOKUP(A423,'[1]NE red list'!A$1:H$1048576,5,FALSE())</f>
        <v>#N/A</v>
      </c>
      <c r="I423" s="2" t="s">
        <v>8945</v>
      </c>
      <c r="J423" s="2" t="s">
        <v>10131</v>
      </c>
      <c r="L423" s="2" t="s">
        <v>9376</v>
      </c>
      <c r="N423" s="2" t="str">
        <f aca="false">_xlfn.CONCAT(Q423," ",R423," ",S423)</f>
        <v>woodland parkland ToW</v>
      </c>
      <c r="O423" s="2" t="s">
        <v>14</v>
      </c>
      <c r="P423" s="2"/>
      <c r="Q423" s="2" t="s">
        <v>16</v>
      </c>
      <c r="R423" s="2" t="s">
        <v>8568</v>
      </c>
      <c r="S423" s="2" t="s">
        <v>18</v>
      </c>
      <c r="T423" s="2"/>
      <c r="U423" s="2" t="s">
        <v>8605</v>
      </c>
      <c r="W423" s="2" t="s">
        <v>8571</v>
      </c>
      <c r="X423" s="2" t="s">
        <v>8589</v>
      </c>
      <c r="AA423" s="4" t="s">
        <v>26</v>
      </c>
      <c r="AC423" s="6" t="s">
        <v>8666</v>
      </c>
      <c r="AD423" s="6" t="s">
        <v>8615</v>
      </c>
      <c r="AS423" s="2"/>
      <c r="AU423" s="4" t="s">
        <v>8639</v>
      </c>
      <c r="AV423" s="10" t="s">
        <v>8659</v>
      </c>
      <c r="BL423" s="2" t="s">
        <v>8591</v>
      </c>
      <c r="BO423" s="2"/>
      <c r="MJM423" s="2"/>
    </row>
    <row r="424" customFormat="false" ht="19.5" hidden="false" customHeight="true" outlineLevel="0" collapsed="false">
      <c r="A424" s="1" t="s">
        <v>10132</v>
      </c>
      <c r="B424" s="2" t="s">
        <v>10133</v>
      </c>
      <c r="C424" s="2" t="str">
        <f aca="false">_xlfn.CONCAT(A424, " ","(",B424,")")</f>
        <v>Normandina pulchella (elf-ear lichen)</v>
      </c>
      <c r="D424" s="2" t="s">
        <v>8892</v>
      </c>
      <c r="E424" s="2" t="s">
        <v>8892</v>
      </c>
      <c r="F424" s="2" t="s">
        <v>8892</v>
      </c>
      <c r="G424" s="2" t="s">
        <v>8841</v>
      </c>
      <c r="H424" s="2" t="str">
        <f aca="false">VLOOKUP(A424,'[1]NE red list'!A$1:H$1048576,5,FALSE())</f>
        <v>LC</v>
      </c>
      <c r="I424" s="2" t="s">
        <v>8878</v>
      </c>
      <c r="J424" s="33" t="s">
        <v>10134</v>
      </c>
      <c r="L424" s="2" t="s">
        <v>8896</v>
      </c>
      <c r="N424" s="2" t="str">
        <f aca="false">_xlfn.CONCAT(Q424," ",R424," ",S424)</f>
        <v>woodland parkland ToW</v>
      </c>
      <c r="O424" s="2" t="s">
        <v>14</v>
      </c>
      <c r="P424" s="2"/>
      <c r="Q424" s="2" t="s">
        <v>16</v>
      </c>
      <c r="R424" s="2" t="s">
        <v>8568</v>
      </c>
      <c r="S424" s="2" t="s">
        <v>18</v>
      </c>
      <c r="T424" s="2"/>
      <c r="U424" s="2" t="s">
        <v>8605</v>
      </c>
      <c r="AS424" s="2"/>
      <c r="AU424" s="4" t="s">
        <v>8639</v>
      </c>
      <c r="AV424" s="11"/>
      <c r="AW424" s="11" t="s">
        <v>8650</v>
      </c>
      <c r="BD424" s="2" t="s">
        <v>8629</v>
      </c>
      <c r="BO424" s="2"/>
      <c r="MJM424" s="2"/>
    </row>
    <row r="425" customFormat="false" ht="19.5" hidden="false" customHeight="true" outlineLevel="0" collapsed="false">
      <c r="A425" s="2" t="s">
        <v>10135</v>
      </c>
      <c r="C425" s="2" t="str">
        <f aca="false">_xlfn.CONCAT(A425, " ","(",B425,")")</f>
        <v>Pseudocistela ceramboides ()</v>
      </c>
      <c r="D425" s="2" t="s">
        <v>8580</v>
      </c>
      <c r="E425" s="2" t="s">
        <v>8581</v>
      </c>
      <c r="F425" s="2" t="s">
        <v>9239</v>
      </c>
      <c r="G425" s="2" t="s">
        <v>8583</v>
      </c>
      <c r="H425" s="2" t="str">
        <f aca="false">VLOOKUP(A425,'[1]NE red list'!A$1:H$1048576,5,FALSE())</f>
        <v>LC</v>
      </c>
      <c r="I425" s="2" t="s">
        <v>8610</v>
      </c>
      <c r="J425" s="2" t="s">
        <v>10136</v>
      </c>
      <c r="L425" s="2" t="s">
        <v>8836</v>
      </c>
      <c r="N425" s="2" t="str">
        <f aca="false">_xlfn.CONCAT(Q425," ",R425," ",S425)</f>
        <v> parkland </v>
      </c>
      <c r="O425" s="3" t="s">
        <v>14</v>
      </c>
      <c r="P425" s="2" t="s">
        <v>8567</v>
      </c>
      <c r="R425" s="2" t="s">
        <v>8568</v>
      </c>
      <c r="T425" s="2"/>
      <c r="U425" s="2" t="s">
        <v>8570</v>
      </c>
      <c r="V425" s="2" t="s">
        <v>8828</v>
      </c>
      <c r="W425" s="2" t="s">
        <v>8571</v>
      </c>
      <c r="Z425" s="2" t="s">
        <v>8614</v>
      </c>
      <c r="AA425" s="4" t="s">
        <v>26</v>
      </c>
      <c r="AC425" s="6" t="s">
        <v>8666</v>
      </c>
      <c r="AD425" s="6" t="s">
        <v>8615</v>
      </c>
      <c r="AG425" s="7" t="s">
        <v>8575</v>
      </c>
      <c r="AI425" s="7" t="s">
        <v>8617</v>
      </c>
      <c r="AJ425" s="7" t="s">
        <v>8612</v>
      </c>
      <c r="AL425" s="7" t="s">
        <v>8628</v>
      </c>
      <c r="AS425" s="2"/>
      <c r="AU425" s="4" t="s">
        <v>8639</v>
      </c>
      <c r="BB425" s="2" t="s">
        <v>8618</v>
      </c>
      <c r="BI425" s="2" t="s">
        <v>8590</v>
      </c>
      <c r="BJ425" s="2" t="s">
        <v>8747</v>
      </c>
      <c r="BL425" s="2" t="s">
        <v>8591</v>
      </c>
      <c r="BM425" s="2" t="s">
        <v>8619</v>
      </c>
      <c r="BO425" s="2"/>
      <c r="MJM425" s="2"/>
    </row>
    <row r="426" customFormat="false" ht="19.5" hidden="false" customHeight="true" outlineLevel="0" collapsed="false">
      <c r="A426" s="2" t="s">
        <v>10137</v>
      </c>
      <c r="C426" s="2" t="str">
        <f aca="false">_xlfn.CONCAT(A426, " ","(",B426,")")</f>
        <v>Nuctenea umbratica ()</v>
      </c>
      <c r="D426" s="2" t="s">
        <v>8728</v>
      </c>
      <c r="E426" s="34" t="s">
        <v>8729</v>
      </c>
      <c r="F426" s="2" t="s">
        <v>9821</v>
      </c>
      <c r="G426" s="2" t="s">
        <v>8841</v>
      </c>
      <c r="H426" s="2" t="str">
        <f aca="false">VLOOKUP(A426,'[1]NE red list'!A$1:H$1048576,5,FALSE())</f>
        <v>LC</v>
      </c>
      <c r="I426" s="2" t="s">
        <v>8645</v>
      </c>
      <c r="J426" s="2" t="s">
        <v>10138</v>
      </c>
      <c r="K426" s="2" t="s">
        <v>10139</v>
      </c>
      <c r="L426" s="2" t="s">
        <v>8665</v>
      </c>
      <c r="N426" s="2" t="str">
        <f aca="false">_xlfn.CONCAT(Q426," ",R426," ",S426)</f>
        <v>woodland parkland ToW</v>
      </c>
      <c r="O426" s="2" t="s">
        <v>14</v>
      </c>
      <c r="P426" s="2"/>
      <c r="Q426" s="2" t="s">
        <v>16</v>
      </c>
      <c r="R426" s="2" t="s">
        <v>8568</v>
      </c>
      <c r="S426" s="2" t="s">
        <v>18</v>
      </c>
      <c r="T426" s="2"/>
      <c r="U426" s="2" t="s">
        <v>8605</v>
      </c>
      <c r="X426" s="2" t="s">
        <v>8589</v>
      </c>
      <c r="Z426" s="2" t="s">
        <v>8574</v>
      </c>
      <c r="AG426" s="7" t="s">
        <v>8575</v>
      </c>
      <c r="AN426" s="8" t="s">
        <v>8638</v>
      </c>
      <c r="AS426" s="2"/>
      <c r="AV426" s="11"/>
      <c r="BI426" s="2" t="s">
        <v>8590</v>
      </c>
      <c r="BL426" s="2" t="s">
        <v>8591</v>
      </c>
      <c r="BO426" s="2"/>
      <c r="MJM426" s="2"/>
    </row>
    <row r="427" customFormat="false" ht="19.5" hidden="false" customHeight="true" outlineLevel="0" collapsed="false">
      <c r="A427" s="1" t="s">
        <v>10140</v>
      </c>
      <c r="C427" s="2" t="str">
        <f aca="false">_xlfn.CONCAT(A427, " ","(",B427,")")</f>
        <v>Nyctalus leisleri ()</v>
      </c>
      <c r="D427" s="2" t="s">
        <v>8560</v>
      </c>
      <c r="E427" s="2" t="s">
        <v>8967</v>
      </c>
      <c r="F427" s="3" t="s">
        <v>8968</v>
      </c>
      <c r="G427" s="2" t="s">
        <v>8737</v>
      </c>
      <c r="H427" s="2" t="str">
        <f aca="false">VLOOKUP(A427,'[1]NE red list'!A$1:H$1048576,5,FALSE())</f>
        <v>NT</v>
      </c>
      <c r="I427" s="2" t="s">
        <v>8645</v>
      </c>
      <c r="J427" s="2" t="s">
        <v>10141</v>
      </c>
      <c r="N427" s="2" t="str">
        <f aca="false">_xlfn.CONCAT(Q427," ",R427," ",S427)</f>
        <v>woodland parkland </v>
      </c>
      <c r="O427" s="3" t="s">
        <v>14</v>
      </c>
      <c r="P427" s="2"/>
      <c r="Q427" s="2" t="s">
        <v>16</v>
      </c>
      <c r="R427" s="2" t="s">
        <v>8568</v>
      </c>
      <c r="T427" s="2"/>
      <c r="U427" s="2" t="s">
        <v>8605</v>
      </c>
      <c r="W427" s="2" t="s">
        <v>8571</v>
      </c>
      <c r="AA427" s="4" t="s">
        <v>26</v>
      </c>
      <c r="AC427" s="6" t="s">
        <v>30</v>
      </c>
      <c r="AD427" s="6" t="s">
        <v>8615</v>
      </c>
      <c r="AF427" s="6" t="s">
        <v>8616</v>
      </c>
      <c r="AM427" s="4" t="s">
        <v>8657</v>
      </c>
      <c r="AQ427" s="8" t="s">
        <v>42</v>
      </c>
      <c r="AR427" s="8" t="s">
        <v>43</v>
      </c>
      <c r="AS427" s="2"/>
      <c r="AV427" s="11"/>
      <c r="MJM427" s="2"/>
    </row>
    <row r="428" s="32" customFormat="true" ht="19.5" hidden="false" customHeight="true" outlineLevel="0" collapsed="false">
      <c r="A428" s="1" t="s">
        <v>10142</v>
      </c>
      <c r="B428" s="2" t="s">
        <v>10143</v>
      </c>
      <c r="C428" s="2" t="str">
        <f aca="false">_xlfn.CONCAT(A428, " ","(",B428,")")</f>
        <v>Nyctalus noctula (Noctule )</v>
      </c>
      <c r="D428" s="2" t="s">
        <v>8560</v>
      </c>
      <c r="E428" s="2" t="s">
        <v>8967</v>
      </c>
      <c r="F428" s="3" t="s">
        <v>8968</v>
      </c>
      <c r="G428" s="2" t="s">
        <v>8776</v>
      </c>
      <c r="H428" s="2" t="str">
        <f aca="false">VLOOKUP(A428,'[1]NE red list'!A$1:H$1048576,5,FALSE())</f>
        <v>LC</v>
      </c>
      <c r="I428" s="2" t="s">
        <v>8645</v>
      </c>
      <c r="J428" s="2" t="s">
        <v>10144</v>
      </c>
      <c r="K428" s="2" t="s">
        <v>8971</v>
      </c>
      <c r="L428" s="2" t="s">
        <v>8665</v>
      </c>
      <c r="M428" s="2"/>
      <c r="N428" s="2" t="str">
        <f aca="false">_xlfn.CONCAT(Q428," ",R428," ",S428)</f>
        <v>woodland parkland </v>
      </c>
      <c r="O428" s="3" t="s">
        <v>14</v>
      </c>
      <c r="P428" s="2" t="s">
        <v>8567</v>
      </c>
      <c r="Q428" s="2" t="s">
        <v>16</v>
      </c>
      <c r="R428" s="2" t="s">
        <v>8568</v>
      </c>
      <c r="S428" s="2"/>
      <c r="T428" s="2"/>
      <c r="U428" s="2" t="s">
        <v>8605</v>
      </c>
      <c r="V428" s="2"/>
      <c r="W428" s="2" t="s">
        <v>8571</v>
      </c>
      <c r="X428" s="2" t="s">
        <v>8589</v>
      </c>
      <c r="Y428" s="2"/>
      <c r="Z428" s="2"/>
      <c r="AA428" s="4" t="s">
        <v>26</v>
      </c>
      <c r="AB428" s="5"/>
      <c r="AC428" s="6" t="s">
        <v>30</v>
      </c>
      <c r="AD428" s="6" t="s">
        <v>8615</v>
      </c>
      <c r="AE428" s="6"/>
      <c r="AF428" s="6"/>
      <c r="AG428" s="7"/>
      <c r="AH428" s="7"/>
      <c r="AI428" s="7"/>
      <c r="AJ428" s="7"/>
      <c r="AK428" s="7"/>
      <c r="AL428" s="7"/>
      <c r="AM428" s="4" t="s">
        <v>8657</v>
      </c>
      <c r="AQ428" s="8" t="s">
        <v>42</v>
      </c>
      <c r="AR428" s="8" t="s">
        <v>43</v>
      </c>
      <c r="AS428" s="2"/>
      <c r="AU428" s="4"/>
      <c r="AV428" s="11"/>
      <c r="AW428" s="11"/>
      <c r="AX428" s="4"/>
      <c r="AY428" s="12"/>
      <c r="AZ428" s="12"/>
      <c r="BG428" s="32" t="s">
        <v>8900</v>
      </c>
      <c r="BH428" s="32" t="s">
        <v>8972</v>
      </c>
      <c r="BJ428" s="32" t="s">
        <v>8601</v>
      </c>
      <c r="BK428" s="32" t="s">
        <v>8578</v>
      </c>
      <c r="BL428" s="32" t="s">
        <v>8578</v>
      </c>
    </row>
    <row r="429" customFormat="false" ht="19.5" hidden="false" customHeight="true" outlineLevel="0" collapsed="false">
      <c r="A429" s="2" t="s">
        <v>10145</v>
      </c>
      <c r="C429" s="2" t="str">
        <f aca="false">_xlfn.CONCAT(A429, " ","(",B429,")")</f>
        <v>Nycteus meridionalis ()</v>
      </c>
      <c r="D429" s="2" t="s">
        <v>8580</v>
      </c>
      <c r="E429" s="2" t="s">
        <v>8581</v>
      </c>
      <c r="F429" s="2" t="s">
        <v>10146</v>
      </c>
      <c r="H429" s="2" t="str">
        <f aca="false">VLOOKUP(A429,'[1]NE red list'!A$1:H$1048576,5,FALSE())</f>
        <v>LC</v>
      </c>
      <c r="I429" s="2" t="s">
        <v>8593</v>
      </c>
      <c r="J429" s="2" t="s">
        <v>10147</v>
      </c>
      <c r="L429" s="2" t="s">
        <v>9225</v>
      </c>
      <c r="N429" s="2" t="str">
        <f aca="false">_xlfn.CONCAT(Q429," ",R429," ",S429)</f>
        <v>woodland  </v>
      </c>
      <c r="O429" s="2"/>
      <c r="P429" s="2"/>
      <c r="Q429" s="2" t="s">
        <v>16</v>
      </c>
      <c r="T429" s="2"/>
      <c r="U429" s="2" t="s">
        <v>8806</v>
      </c>
      <c r="V429" s="2" t="s">
        <v>8867</v>
      </c>
      <c r="X429" s="2" t="s">
        <v>8625</v>
      </c>
      <c r="Z429" s="2" t="s">
        <v>8574</v>
      </c>
      <c r="AG429" s="7" t="s">
        <v>8575</v>
      </c>
      <c r="AN429" s="8" t="s">
        <v>8852</v>
      </c>
      <c r="AS429" s="2"/>
      <c r="AV429" s="11"/>
      <c r="AX429" s="4" t="s">
        <v>8607</v>
      </c>
      <c r="BB429" s="2" t="s">
        <v>8618</v>
      </c>
      <c r="BL429" s="2" t="s">
        <v>8591</v>
      </c>
      <c r="BO429" s="2"/>
      <c r="MJM429" s="2"/>
    </row>
    <row r="430" customFormat="false" ht="19.5" hidden="false" customHeight="true" outlineLevel="0" collapsed="false">
      <c r="A430" s="1" t="s">
        <v>10148</v>
      </c>
      <c r="B430" s="2" t="s">
        <v>10149</v>
      </c>
      <c r="C430" s="2" t="str">
        <f aca="false">_xlfn.CONCAT(A430, " ","(",B430,")")</f>
        <v>Ochina ptinoides (Ivy Boring Beetle)</v>
      </c>
      <c r="D430" s="2" t="s">
        <v>8580</v>
      </c>
      <c r="E430" s="2" t="s">
        <v>8581</v>
      </c>
      <c r="F430" s="2" t="s">
        <v>8818</v>
      </c>
      <c r="H430" s="2" t="str">
        <f aca="false">VLOOKUP(A430,'[1]NE red list'!A$1:H$1048576,5,FALSE())</f>
        <v>LC</v>
      </c>
      <c r="I430" s="2" t="s">
        <v>8564</v>
      </c>
      <c r="J430" s="2" t="s">
        <v>10150</v>
      </c>
      <c r="L430" s="2" t="s">
        <v>8613</v>
      </c>
      <c r="N430" s="2" t="str">
        <f aca="false">_xlfn.CONCAT(Q430," ",R430," ",S430)</f>
        <v>woodland  </v>
      </c>
      <c r="O430" s="2" t="s">
        <v>14</v>
      </c>
      <c r="P430" s="2"/>
      <c r="Q430" s="2" t="s">
        <v>16</v>
      </c>
      <c r="T430" s="2"/>
      <c r="U430" s="2" t="s">
        <v>8570</v>
      </c>
      <c r="V430" s="2" t="s">
        <v>8640</v>
      </c>
      <c r="X430" s="2" t="s">
        <v>8625</v>
      </c>
      <c r="Z430" s="2" t="s">
        <v>8574</v>
      </c>
      <c r="AG430" s="7" t="s">
        <v>8824</v>
      </c>
      <c r="AS430" s="2"/>
      <c r="AU430" s="4" t="s">
        <v>8639</v>
      </c>
      <c r="AV430" s="11"/>
      <c r="AW430" s="11" t="s">
        <v>8640</v>
      </c>
      <c r="BI430" s="2" t="s">
        <v>8590</v>
      </c>
      <c r="BL430" s="2" t="s">
        <v>8591</v>
      </c>
      <c r="BO430" s="2"/>
      <c r="MJM430" s="2"/>
    </row>
    <row r="431" customFormat="false" ht="19.5" hidden="false" customHeight="true" outlineLevel="0" collapsed="false">
      <c r="A431" s="2" t="s">
        <v>10151</v>
      </c>
      <c r="C431" s="2" t="str">
        <f aca="false">_xlfn.CONCAT(A431, " ","(",B431,")")</f>
        <v>Octotemnus glabriculus ()</v>
      </c>
      <c r="D431" s="2" t="s">
        <v>8580</v>
      </c>
      <c r="E431" s="2" t="s">
        <v>8581</v>
      </c>
      <c r="F431" s="2" t="s">
        <v>9059</v>
      </c>
      <c r="G431" s="2" t="s">
        <v>8737</v>
      </c>
      <c r="H431" s="2" t="e">
        <f aca="false">VLOOKUP(A431,'[1]NE red list'!A$1:H$1048576,5,FALSE())</f>
        <v>#N/A</v>
      </c>
      <c r="I431" s="2" t="s">
        <v>8645</v>
      </c>
      <c r="J431" s="2" t="s">
        <v>10152</v>
      </c>
      <c r="K431" s="2" t="s">
        <v>8585</v>
      </c>
      <c r="L431" s="2" t="s">
        <v>8677</v>
      </c>
      <c r="N431" s="2" t="str">
        <f aca="false">_xlfn.CONCAT(Q431," ",R431," ",S431)</f>
        <v>woodland parkland </v>
      </c>
      <c r="O431" s="3" t="s">
        <v>14</v>
      </c>
      <c r="P431" s="2"/>
      <c r="Q431" s="2" t="s">
        <v>16</v>
      </c>
      <c r="R431" s="2" t="s">
        <v>8568</v>
      </c>
      <c r="T431" s="2"/>
      <c r="U431" s="2" t="s">
        <v>8570</v>
      </c>
      <c r="V431" s="2" t="s">
        <v>9038</v>
      </c>
      <c r="X431" s="2" t="s">
        <v>8625</v>
      </c>
      <c r="AS431" s="2"/>
      <c r="AV431" s="11"/>
      <c r="AX431" s="4" t="s">
        <v>8585</v>
      </c>
      <c r="AY431" s="12" t="s">
        <v>8585</v>
      </c>
      <c r="BI431" s="2" t="s">
        <v>8590</v>
      </c>
      <c r="BL431" s="2" t="s">
        <v>8591</v>
      </c>
      <c r="BO431" s="2"/>
      <c r="MJM431" s="2"/>
    </row>
    <row r="432" customFormat="false" ht="19.5" hidden="false" customHeight="true" outlineLevel="0" collapsed="false">
      <c r="A432" s="2" t="s">
        <v>10153</v>
      </c>
      <c r="C432" s="2" t="str">
        <f aca="false">_xlfn.CONCAT(A432, " ","(",B432,")")</f>
        <v>Thamiaraea hospita ()</v>
      </c>
      <c r="D432" s="2" t="s">
        <v>8580</v>
      </c>
      <c r="E432" s="2" t="s">
        <v>8581</v>
      </c>
      <c r="F432" s="2" t="s">
        <v>8652</v>
      </c>
      <c r="G432" s="2" t="s">
        <v>8583</v>
      </c>
      <c r="H432" s="2" t="e">
        <f aca="false">VLOOKUP(A432,'[1]NE red list'!A$1:H$1048576,5,FALSE())</f>
        <v>#N/A</v>
      </c>
      <c r="I432" s="2" t="s">
        <v>8564</v>
      </c>
      <c r="J432" s="2" t="s">
        <v>10154</v>
      </c>
      <c r="L432" s="2" t="s">
        <v>8836</v>
      </c>
      <c r="N432" s="2" t="str">
        <f aca="false">_xlfn.CONCAT(Q432," ",R432," ",S432)</f>
        <v>woodland parkland </v>
      </c>
      <c r="O432" s="3" t="s">
        <v>14</v>
      </c>
      <c r="P432" s="2"/>
      <c r="Q432" s="2" t="s">
        <v>16</v>
      </c>
      <c r="R432" s="2" t="s">
        <v>8568</v>
      </c>
      <c r="T432" s="2"/>
      <c r="U432" s="2" t="s">
        <v>8570</v>
      </c>
      <c r="V432" s="2" t="s">
        <v>8745</v>
      </c>
      <c r="X432" s="2" t="s">
        <v>8589</v>
      </c>
      <c r="Z432" s="2" t="s">
        <v>8694</v>
      </c>
      <c r="AG432" s="7" t="s">
        <v>8824</v>
      </c>
      <c r="AM432" s="4" t="s">
        <v>8657</v>
      </c>
      <c r="AN432" s="8" t="s">
        <v>9029</v>
      </c>
      <c r="AO432" s="8" t="s">
        <v>40</v>
      </c>
      <c r="AQ432" s="8" t="s">
        <v>42</v>
      </c>
      <c r="AS432" s="2"/>
      <c r="AV432" s="11"/>
      <c r="BA432" s="2" t="s">
        <v>9030</v>
      </c>
      <c r="BI432" s="2" t="s">
        <v>8590</v>
      </c>
      <c r="BJ432" s="2" t="s">
        <v>8630</v>
      </c>
      <c r="BL432" s="2" t="s">
        <v>8591</v>
      </c>
      <c r="BO432" s="2"/>
      <c r="MJM432" s="2"/>
    </row>
    <row r="433" customFormat="false" ht="19.5" hidden="false" customHeight="true" outlineLevel="0" collapsed="false">
      <c r="A433" s="2" t="s">
        <v>10155</v>
      </c>
      <c r="C433" s="2" t="str">
        <f aca="false">_xlfn.CONCAT(A433, " ","(",B433,")")</f>
        <v>Odinia meijerei ()</v>
      </c>
      <c r="D433" s="2" t="s">
        <v>8580</v>
      </c>
      <c r="E433" s="2" t="s">
        <v>8687</v>
      </c>
      <c r="F433" s="35" t="s">
        <v>10156</v>
      </c>
      <c r="G433" s="2" t="s">
        <v>9777</v>
      </c>
      <c r="H433" s="2" t="e">
        <f aca="false">VLOOKUP(A433,'[1]NE red list'!A$1:H$1048576,5,FALSE())</f>
        <v>#N/A</v>
      </c>
      <c r="I433" s="2" t="s">
        <v>8610</v>
      </c>
      <c r="J433" s="2" t="s">
        <v>10157</v>
      </c>
      <c r="L433" s="2" t="s">
        <v>8665</v>
      </c>
      <c r="N433" s="2" t="str">
        <f aca="false">_xlfn.CONCAT(Q433," ",R433," ",S433)</f>
        <v>woodland parkland ToW</v>
      </c>
      <c r="O433" s="2" t="s">
        <v>14</v>
      </c>
      <c r="P433" s="2" t="s">
        <v>8587</v>
      </c>
      <c r="Q433" s="2" t="s">
        <v>16</v>
      </c>
      <c r="R433" s="2" t="s">
        <v>8568</v>
      </c>
      <c r="S433" s="2" t="s">
        <v>18</v>
      </c>
      <c r="T433" s="2" t="s">
        <v>8569</v>
      </c>
      <c r="U433" s="2" t="s">
        <v>8570</v>
      </c>
      <c r="V433" s="2" t="s">
        <v>10158</v>
      </c>
      <c r="AB433" s="5" t="s">
        <v>8672</v>
      </c>
      <c r="AG433" s="7" t="s">
        <v>8575</v>
      </c>
      <c r="AS433" s="2"/>
      <c r="AV433" s="11"/>
      <c r="BI433" s="2" t="s">
        <v>8590</v>
      </c>
      <c r="BL433" s="2" t="s">
        <v>8591</v>
      </c>
      <c r="BO433" s="2"/>
      <c r="MJM433" s="2"/>
    </row>
    <row r="434" customFormat="false" ht="19.5" hidden="false" customHeight="true" outlineLevel="0" collapsed="false">
      <c r="A434" s="2" t="s">
        <v>10159</v>
      </c>
      <c r="C434" s="2" t="str">
        <f aca="false">_xlfn.CONCAT(A434, " ","(",B434,")")</f>
        <v>Oecophora bractella ()</v>
      </c>
      <c r="D434" s="2" t="s">
        <v>8580</v>
      </c>
      <c r="E434" s="2" t="s">
        <v>8722</v>
      </c>
      <c r="F434" s="2" t="s">
        <v>8855</v>
      </c>
      <c r="H434" s="2" t="e">
        <f aca="false">VLOOKUP(A434,'[1]NE red list'!A$1:H$1048576,5,FALSE())</f>
        <v>#N/A</v>
      </c>
      <c r="I434" s="2" t="s">
        <v>8761</v>
      </c>
      <c r="J434" s="33" t="s">
        <v>10160</v>
      </c>
      <c r="L434" s="2" t="s">
        <v>9605</v>
      </c>
      <c r="N434" s="2" t="str">
        <f aca="false">_xlfn.CONCAT(Q434," ",R434," ",S434)</f>
        <v> parkland </v>
      </c>
      <c r="O434" s="3" t="s">
        <v>14</v>
      </c>
      <c r="P434" s="2" t="s">
        <v>8567</v>
      </c>
      <c r="R434" s="2" t="s">
        <v>8568</v>
      </c>
      <c r="T434" s="2"/>
      <c r="U434" s="2" t="s">
        <v>8605</v>
      </c>
      <c r="V434" s="2" t="s">
        <v>10161</v>
      </c>
      <c r="W434" s="2" t="s">
        <v>8567</v>
      </c>
      <c r="X434" s="2" t="s">
        <v>8589</v>
      </c>
      <c r="Y434" s="2" t="s">
        <v>8573</v>
      </c>
      <c r="Z434" s="2" t="s">
        <v>8614</v>
      </c>
      <c r="AG434" s="7" t="s">
        <v>8575</v>
      </c>
      <c r="AN434" s="8" t="s">
        <v>8638</v>
      </c>
      <c r="AS434" s="2"/>
      <c r="AV434" s="11"/>
      <c r="AX434" s="4" t="s">
        <v>8607</v>
      </c>
      <c r="AZ434" s="12" t="s">
        <v>8607</v>
      </c>
      <c r="BI434" s="2" t="s">
        <v>8590</v>
      </c>
      <c r="BJ434" s="2" t="s">
        <v>8601</v>
      </c>
      <c r="BL434" s="2" t="s">
        <v>8591</v>
      </c>
      <c r="BO434" s="2"/>
      <c r="MJM434" s="2"/>
    </row>
    <row r="435" customFormat="false" ht="19.5" hidden="false" customHeight="true" outlineLevel="0" collapsed="false">
      <c r="A435" s="2" t="s">
        <v>10162</v>
      </c>
      <c r="C435" s="2" t="str">
        <f aca="false">_xlfn.CONCAT(A435, " ","(",B435,")")</f>
        <v>Oecophora bractella
 ()</v>
      </c>
      <c r="D435" s="2" t="s">
        <v>8580</v>
      </c>
      <c r="E435" s="2" t="s">
        <v>8722</v>
      </c>
      <c r="F435" s="2" t="s">
        <v>8855</v>
      </c>
      <c r="H435" s="2" t="e">
        <f aca="false">VLOOKUP(A435,'[1]NE red list'!A$1:H$1048576,5,FALSE())</f>
        <v>#N/A</v>
      </c>
      <c r="I435" s="2" t="s">
        <v>9910</v>
      </c>
      <c r="J435" s="33" t="s">
        <v>10163</v>
      </c>
      <c r="L435" s="2" t="s">
        <v>8586</v>
      </c>
      <c r="M435" s="33"/>
      <c r="N435" s="2" t="str">
        <f aca="false">_xlfn.CONCAT(Q435," ",R435," ",S435)</f>
        <v>woodland parkland ToW</v>
      </c>
      <c r="O435" s="2" t="s">
        <v>14</v>
      </c>
      <c r="P435" s="2" t="s">
        <v>8587</v>
      </c>
      <c r="Q435" s="3" t="s">
        <v>16</v>
      </c>
      <c r="R435" s="2" t="s">
        <v>8568</v>
      </c>
      <c r="S435" s="2" t="s">
        <v>18</v>
      </c>
      <c r="U435" s="2" t="s">
        <v>8605</v>
      </c>
      <c r="Z435" s="2" t="s">
        <v>8574</v>
      </c>
      <c r="AM435" s="4" t="s">
        <v>8657</v>
      </c>
      <c r="AO435" s="8" t="s">
        <v>40</v>
      </c>
      <c r="AQ435" s="8" t="s">
        <v>42</v>
      </c>
      <c r="AS435" s="2"/>
      <c r="AV435" s="11"/>
      <c r="AX435" s="4" t="s">
        <v>8607</v>
      </c>
      <c r="AZ435" s="12" t="s">
        <v>8607</v>
      </c>
      <c r="BO435" s="2"/>
      <c r="MJM435" s="2"/>
    </row>
    <row r="436" customFormat="false" ht="19.5" hidden="false" customHeight="true" outlineLevel="0" collapsed="false">
      <c r="A436" s="1" t="s">
        <v>10164</v>
      </c>
      <c r="B436" s="2" t="s">
        <v>10165</v>
      </c>
      <c r="C436" s="2" t="str">
        <f aca="false">_xlfn.CONCAT(A436, " ","(",B436,")")</f>
        <v>Ptinus fur (White-Marked Spider Beetle)</v>
      </c>
      <c r="D436" s="2" t="s">
        <v>8580</v>
      </c>
      <c r="E436" s="2" t="s">
        <v>8581</v>
      </c>
      <c r="F436" s="2" t="s">
        <v>8818</v>
      </c>
      <c r="H436" s="2" t="str">
        <f aca="false">VLOOKUP(A436,'[1]NE red list'!A$1:H$1048576,5,FALSE())</f>
        <v>LC</v>
      </c>
      <c r="I436" s="2" t="s">
        <v>8564</v>
      </c>
      <c r="J436" s="2" t="s">
        <v>10166</v>
      </c>
      <c r="K436" s="2" t="s">
        <v>8585</v>
      </c>
      <c r="L436" s="2" t="s">
        <v>8836</v>
      </c>
      <c r="N436" s="2" t="str">
        <f aca="false">_xlfn.CONCAT(Q436," ",R436," ",S436)</f>
        <v> parkland </v>
      </c>
      <c r="O436" s="3" t="s">
        <v>14</v>
      </c>
      <c r="P436" s="2" t="s">
        <v>8587</v>
      </c>
      <c r="R436" s="2" t="s">
        <v>8568</v>
      </c>
      <c r="T436" s="2"/>
      <c r="U436" s="2" t="s">
        <v>8605</v>
      </c>
      <c r="W436" s="2" t="s">
        <v>8587</v>
      </c>
      <c r="X436" s="2" t="s">
        <v>8625</v>
      </c>
      <c r="Y436" s="2" t="s">
        <v>8772</v>
      </c>
      <c r="Z436" s="2" t="s">
        <v>8614</v>
      </c>
      <c r="AA436" s="4" t="s">
        <v>26</v>
      </c>
      <c r="AD436" s="6" t="s">
        <v>8615</v>
      </c>
      <c r="AF436" s="6" t="s">
        <v>8616</v>
      </c>
      <c r="AG436" s="7" t="s">
        <v>8575</v>
      </c>
      <c r="AI436" s="7" t="s">
        <v>8617</v>
      </c>
      <c r="AL436" s="7" t="s">
        <v>8785</v>
      </c>
      <c r="AS436" s="2"/>
      <c r="AV436" s="11"/>
      <c r="AX436" s="4" t="s">
        <v>8585</v>
      </c>
      <c r="AY436" s="12" t="s">
        <v>8585</v>
      </c>
      <c r="BI436" s="2" t="s">
        <v>8590</v>
      </c>
      <c r="BL436" s="2" t="s">
        <v>8591</v>
      </c>
      <c r="BO436" s="2"/>
      <c r="MJM436" s="2"/>
    </row>
    <row r="437" customFormat="false" ht="19.5" hidden="false" customHeight="true" outlineLevel="0" collapsed="false">
      <c r="A437" s="2" t="s">
        <v>10167</v>
      </c>
      <c r="C437" s="2" t="str">
        <f aca="false">_xlfn.CONCAT(A437, " ","(",B437,")")</f>
        <v>Oligota apicata ()</v>
      </c>
      <c r="D437" s="2" t="s">
        <v>8580</v>
      </c>
      <c r="E437" s="2" t="s">
        <v>8581</v>
      </c>
      <c r="F437" s="2" t="s">
        <v>8652</v>
      </c>
      <c r="G437" s="2" t="s">
        <v>8583</v>
      </c>
      <c r="H437" s="2" t="e">
        <f aca="false">VLOOKUP(A437,'[1]NE red list'!A$1:H$1048576,5,FALSE())</f>
        <v>#N/A</v>
      </c>
      <c r="I437" s="2" t="s">
        <v>8645</v>
      </c>
      <c r="J437" s="2" t="s">
        <v>10168</v>
      </c>
      <c r="K437" s="2" t="s">
        <v>8585</v>
      </c>
      <c r="L437" s="2" t="s">
        <v>8665</v>
      </c>
      <c r="N437" s="2" t="str">
        <f aca="false">_xlfn.CONCAT(Q437," ",R437," ",S437)</f>
        <v>woodland parkland ToW</v>
      </c>
      <c r="O437" s="2" t="s">
        <v>14</v>
      </c>
      <c r="P437" s="2"/>
      <c r="Q437" s="2" t="s">
        <v>16</v>
      </c>
      <c r="R437" s="2" t="s">
        <v>8568</v>
      </c>
      <c r="S437" s="2" t="s">
        <v>18</v>
      </c>
      <c r="T437" s="2"/>
      <c r="U437" s="2" t="s">
        <v>8570</v>
      </c>
      <c r="V437" s="2" t="s">
        <v>8828</v>
      </c>
      <c r="W437" s="2" t="s">
        <v>8567</v>
      </c>
      <c r="X437" s="2" t="s">
        <v>8589</v>
      </c>
      <c r="AS437" s="2"/>
      <c r="AV437" s="11"/>
      <c r="AX437" s="4" t="s">
        <v>8585</v>
      </c>
      <c r="AY437" s="12" t="s">
        <v>8585</v>
      </c>
      <c r="BF437" s="2" t="s">
        <v>10169</v>
      </c>
      <c r="BI437" s="2" t="s">
        <v>8590</v>
      </c>
      <c r="BL437" s="2" t="s">
        <v>8591</v>
      </c>
      <c r="BO437" s="2"/>
      <c r="MJM437" s="2"/>
    </row>
    <row r="438" customFormat="false" ht="19.5" hidden="false" customHeight="true" outlineLevel="0" collapsed="false">
      <c r="A438" s="2" t="s">
        <v>10170</v>
      </c>
      <c r="C438" s="2" t="str">
        <f aca="false">_xlfn.CONCAT(A438, " ","(",B438,")")</f>
        <v>Omalus aeneus ()</v>
      </c>
      <c r="D438" s="2" t="s">
        <v>8580</v>
      </c>
      <c r="E438" s="2" t="s">
        <v>8839</v>
      </c>
      <c r="F438" s="2" t="s">
        <v>10171</v>
      </c>
      <c r="H438" s="2" t="e">
        <f aca="false">VLOOKUP(A438,'[1]NE red list'!A$1:H$1048576,5,FALSE())</f>
        <v>#N/A</v>
      </c>
      <c r="I438" s="2" t="s">
        <v>9086</v>
      </c>
      <c r="J438" s="2" t="s">
        <v>10172</v>
      </c>
      <c r="K438" s="2" t="s">
        <v>9271</v>
      </c>
      <c r="L438" s="2" t="s">
        <v>8844</v>
      </c>
      <c r="N438" s="2" t="str">
        <f aca="false">_xlfn.CONCAT(Q438," ",R438," ",S438)</f>
        <v>woodland parkland </v>
      </c>
      <c r="O438" s="3" t="s">
        <v>14</v>
      </c>
      <c r="P438" s="2"/>
      <c r="Q438" s="2" t="s">
        <v>16</v>
      </c>
      <c r="R438" s="2" t="s">
        <v>8568</v>
      </c>
      <c r="T438" s="2" t="s">
        <v>8569</v>
      </c>
      <c r="U438" s="2" t="s">
        <v>8570</v>
      </c>
      <c r="X438" s="2" t="s">
        <v>8625</v>
      </c>
      <c r="Z438" s="2" t="s">
        <v>8574</v>
      </c>
      <c r="AB438" s="5" t="s">
        <v>9900</v>
      </c>
      <c r="AG438" s="7" t="s">
        <v>8824</v>
      </c>
      <c r="AS438" s="2"/>
      <c r="AV438" s="11"/>
      <c r="BB438" s="2" t="s">
        <v>8618</v>
      </c>
      <c r="BI438" s="2" t="s">
        <v>8590</v>
      </c>
      <c r="BL438" s="2" t="s">
        <v>8591</v>
      </c>
      <c r="BO438" s="2"/>
      <c r="MJM438" s="2"/>
    </row>
    <row r="439" customFormat="false" ht="19.5" hidden="false" customHeight="true" outlineLevel="0" collapsed="false">
      <c r="A439" s="2" t="s">
        <v>10173</v>
      </c>
      <c r="C439" s="2" t="str">
        <f aca="false">_xlfn.CONCAT(A439, " ","(",B439,")")</f>
        <v>Ptinus subpilosus ()</v>
      </c>
      <c r="D439" s="2" t="s">
        <v>8580</v>
      </c>
      <c r="E439" s="2" t="s">
        <v>8581</v>
      </c>
      <c r="F439" s="2" t="s">
        <v>8818</v>
      </c>
      <c r="H439" s="2" t="str">
        <f aca="false">VLOOKUP(A439,'[1]NE red list'!A$1:H$1048576,5,FALSE())</f>
        <v>LC</v>
      </c>
      <c r="I439" s="2" t="s">
        <v>10174</v>
      </c>
      <c r="J439" s="2" t="s">
        <v>10175</v>
      </c>
      <c r="L439" s="2" t="s">
        <v>8836</v>
      </c>
      <c r="N439" s="2" t="str">
        <f aca="false">_xlfn.CONCAT(Q439," ",R439," ",S439)</f>
        <v>woodland parkland </v>
      </c>
      <c r="O439" s="3" t="s">
        <v>14</v>
      </c>
      <c r="P439" s="2" t="s">
        <v>8587</v>
      </c>
      <c r="Q439" s="2" t="s">
        <v>16</v>
      </c>
      <c r="R439" s="2" t="s">
        <v>8568</v>
      </c>
      <c r="T439" s="2"/>
      <c r="U439" s="2" t="s">
        <v>8605</v>
      </c>
      <c r="W439" s="2" t="s">
        <v>8571</v>
      </c>
      <c r="X439" s="2" t="s">
        <v>8625</v>
      </c>
      <c r="AA439" s="4" t="s">
        <v>26</v>
      </c>
      <c r="AC439" s="6" t="s">
        <v>8666</v>
      </c>
      <c r="AD439" s="6" t="s">
        <v>8615</v>
      </c>
      <c r="AF439" s="6" t="s">
        <v>8616</v>
      </c>
      <c r="AG439" s="7" t="s">
        <v>8575</v>
      </c>
      <c r="AI439" s="7" t="s">
        <v>8617</v>
      </c>
      <c r="AL439" s="7" t="s">
        <v>8785</v>
      </c>
      <c r="AM439" s="4" t="s">
        <v>8657</v>
      </c>
      <c r="AN439" s="8" t="s">
        <v>8734</v>
      </c>
      <c r="AO439" s="8" t="s">
        <v>40</v>
      </c>
      <c r="AQ439" s="8" t="s">
        <v>42</v>
      </c>
      <c r="AS439" s="2"/>
      <c r="AU439" s="4" t="s">
        <v>8639</v>
      </c>
      <c r="BI439" s="2" t="s">
        <v>8590</v>
      </c>
      <c r="BJ439" s="2" t="s">
        <v>8747</v>
      </c>
      <c r="BL439" s="2" t="s">
        <v>8591</v>
      </c>
      <c r="BM439" s="2" t="s">
        <v>8619</v>
      </c>
      <c r="BO439" s="2"/>
      <c r="MJM439" s="2"/>
    </row>
    <row r="440" customFormat="false" ht="19.5" hidden="false" customHeight="true" outlineLevel="0" collapsed="false">
      <c r="A440" s="2" t="s">
        <v>10176</v>
      </c>
      <c r="C440" s="2" t="str">
        <f aca="false">_xlfn.CONCAT(A440, " ","(",B440,")")</f>
        <v>Orchesia micans ()</v>
      </c>
      <c r="D440" s="2" t="s">
        <v>8580</v>
      </c>
      <c r="E440" s="2" t="s">
        <v>8581</v>
      </c>
      <c r="F440" s="2" t="s">
        <v>8582</v>
      </c>
      <c r="G440" s="2" t="s">
        <v>8583</v>
      </c>
      <c r="H440" s="2" t="str">
        <f aca="false">VLOOKUP(A440,'[1]NE red list'!A$1:H$1048576,5,FALSE())</f>
        <v>LC</v>
      </c>
      <c r="I440" s="2" t="s">
        <v>8645</v>
      </c>
      <c r="J440" s="2" t="s">
        <v>10177</v>
      </c>
      <c r="K440" s="2" t="s">
        <v>8585</v>
      </c>
      <c r="L440" s="2" t="s">
        <v>8677</v>
      </c>
      <c r="N440" s="2" t="str">
        <f aca="false">_xlfn.CONCAT(Q440," ",R440," ",S440)</f>
        <v>woodland parkland </v>
      </c>
      <c r="O440" s="3" t="s">
        <v>14</v>
      </c>
      <c r="P440" s="2" t="s">
        <v>8587</v>
      </c>
      <c r="Q440" s="2" t="s">
        <v>16</v>
      </c>
      <c r="R440" s="2" t="s">
        <v>8568</v>
      </c>
      <c r="T440" s="2"/>
      <c r="U440" s="2" t="s">
        <v>8570</v>
      </c>
      <c r="V440" s="2" t="s">
        <v>10178</v>
      </c>
      <c r="W440" s="2" t="s">
        <v>8567</v>
      </c>
      <c r="AS440" s="2"/>
      <c r="AV440" s="11"/>
      <c r="AX440" s="4" t="s">
        <v>8585</v>
      </c>
      <c r="AY440" s="12" t="s">
        <v>8585</v>
      </c>
      <c r="BI440" s="2" t="s">
        <v>8590</v>
      </c>
      <c r="BJ440" s="2" t="s">
        <v>8630</v>
      </c>
      <c r="BL440" s="2" t="s">
        <v>8591</v>
      </c>
      <c r="BO440" s="2"/>
      <c r="MJM440" s="2"/>
    </row>
    <row r="441" customFormat="false" ht="19.5" hidden="false" customHeight="true" outlineLevel="0" collapsed="false">
      <c r="A441" s="2" t="s">
        <v>10179</v>
      </c>
      <c r="C441" s="2" t="str">
        <f aca="false">_xlfn.CONCAT(A441, " ","(",B441,")")</f>
        <v>Orchesia minor ()</v>
      </c>
      <c r="D441" s="2" t="s">
        <v>8580</v>
      </c>
      <c r="E441" s="2" t="s">
        <v>8581</v>
      </c>
      <c r="F441" s="2" t="s">
        <v>8582</v>
      </c>
      <c r="G441" s="2" t="s">
        <v>8583</v>
      </c>
      <c r="H441" s="2" t="str">
        <f aca="false">VLOOKUP(A441,'[1]NE red list'!A$1:H$1048576,5,FALSE())</f>
        <v>LC</v>
      </c>
      <c r="I441" s="2" t="s">
        <v>8645</v>
      </c>
      <c r="J441" s="2" t="s">
        <v>10180</v>
      </c>
      <c r="K441" s="2" t="s">
        <v>8585</v>
      </c>
      <c r="L441" s="2" t="s">
        <v>8677</v>
      </c>
      <c r="N441" s="2" t="str">
        <f aca="false">_xlfn.CONCAT(Q441," ",R441," ",S441)</f>
        <v>woodland parkland </v>
      </c>
      <c r="O441" s="3" t="s">
        <v>14</v>
      </c>
      <c r="P441" s="2" t="s">
        <v>8587</v>
      </c>
      <c r="Q441" s="2" t="s">
        <v>16</v>
      </c>
      <c r="R441" s="2" t="s">
        <v>8568</v>
      </c>
      <c r="T441" s="2"/>
      <c r="U441" s="2" t="s">
        <v>8570</v>
      </c>
      <c r="W441" s="2" t="s">
        <v>8567</v>
      </c>
      <c r="X441" s="2" t="s">
        <v>8597</v>
      </c>
      <c r="Y441" s="2" t="s">
        <v>8573</v>
      </c>
      <c r="Z441" s="2" t="s">
        <v>8614</v>
      </c>
      <c r="AG441" s="7" t="s">
        <v>8575</v>
      </c>
      <c r="AS441" s="2" t="s">
        <v>8599</v>
      </c>
      <c r="AV441" s="11"/>
      <c r="AX441" s="4" t="s">
        <v>8585</v>
      </c>
      <c r="AY441" s="12" t="s">
        <v>8585</v>
      </c>
      <c r="BD441" s="2" t="s">
        <v>8577</v>
      </c>
      <c r="BI441" s="2" t="s">
        <v>8590</v>
      </c>
      <c r="BJ441" s="2" t="s">
        <v>8630</v>
      </c>
      <c r="BL441" s="2" t="s">
        <v>8591</v>
      </c>
      <c r="BO441" s="2"/>
      <c r="MJM441" s="2"/>
    </row>
    <row r="442" customFormat="false" ht="19.5" hidden="false" customHeight="true" outlineLevel="0" collapsed="false">
      <c r="A442" s="2" t="s">
        <v>10181</v>
      </c>
      <c r="C442" s="2" t="str">
        <f aca="false">_xlfn.CONCAT(A442, " ","(",B442,")")</f>
        <v>Orchesia undulata ()</v>
      </c>
      <c r="D442" s="2" t="s">
        <v>8580</v>
      </c>
      <c r="E442" s="2" t="s">
        <v>8581</v>
      </c>
      <c r="F442" s="2" t="s">
        <v>8582</v>
      </c>
      <c r="H442" s="2" t="str">
        <f aca="false">VLOOKUP(A442,'[1]NE red list'!A$1:H$1048576,5,FALSE())</f>
        <v>LC</v>
      </c>
      <c r="I442" s="2" t="s">
        <v>9086</v>
      </c>
      <c r="J442" s="2" t="s">
        <v>10182</v>
      </c>
      <c r="K442" s="2" t="s">
        <v>10183</v>
      </c>
      <c r="L442" s="2" t="s">
        <v>9225</v>
      </c>
      <c r="N442" s="2" t="str">
        <f aca="false">_xlfn.CONCAT(Q442," ",R442," ",S442)</f>
        <v>woodland parkland </v>
      </c>
      <c r="O442" s="3" t="s">
        <v>14</v>
      </c>
      <c r="P442" s="2" t="s">
        <v>8587</v>
      </c>
      <c r="Q442" s="2" t="s">
        <v>16</v>
      </c>
      <c r="R442" s="2" t="s">
        <v>8568</v>
      </c>
      <c r="T442" s="2"/>
      <c r="U442" s="2" t="s">
        <v>8570</v>
      </c>
      <c r="V442" s="2" t="s">
        <v>10184</v>
      </c>
      <c r="W442" s="2" t="s">
        <v>8567</v>
      </c>
      <c r="X442" s="2" t="s">
        <v>8597</v>
      </c>
      <c r="Y442" s="2" t="s">
        <v>8573</v>
      </c>
      <c r="Z442" s="2" t="s">
        <v>8614</v>
      </c>
      <c r="AG442" s="7" t="s">
        <v>8824</v>
      </c>
      <c r="AS442" s="2" t="s">
        <v>8599</v>
      </c>
      <c r="AV442" s="11"/>
      <c r="AX442" s="4" t="s">
        <v>8585</v>
      </c>
      <c r="AY442" s="12" t="s">
        <v>8585</v>
      </c>
      <c r="BB442" s="2" t="s">
        <v>8618</v>
      </c>
      <c r="BI442" s="2" t="s">
        <v>8590</v>
      </c>
      <c r="BJ442" s="2" t="s">
        <v>8747</v>
      </c>
      <c r="BL442" s="2" t="s">
        <v>8591</v>
      </c>
      <c r="BO442" s="2"/>
      <c r="MJM442" s="2"/>
    </row>
    <row r="443" customFormat="false" ht="19.5" hidden="false" customHeight="true" outlineLevel="0" collapsed="false">
      <c r="A443" s="1" t="s">
        <v>10185</v>
      </c>
      <c r="B443" s="2" t="s">
        <v>10186</v>
      </c>
      <c r="C443" s="2" t="str">
        <f aca="false">_xlfn.CONCAT(A443, " ","(",B443,")")</f>
        <v>Orthocis coluber (Cis coluber)</v>
      </c>
      <c r="D443" s="2" t="s">
        <v>8580</v>
      </c>
      <c r="E443" s="2" t="s">
        <v>8581</v>
      </c>
      <c r="F443" s="2" t="s">
        <v>9059</v>
      </c>
      <c r="G443" s="2" t="s">
        <v>8662</v>
      </c>
      <c r="H443" s="2" t="e">
        <f aca="false">VLOOKUP(A443,'[1]NE red list'!A$1:H$1048576,5,FALSE())</f>
        <v>#N/A</v>
      </c>
      <c r="I443" s="2" t="s">
        <v>8610</v>
      </c>
      <c r="J443" s="2" t="s">
        <v>10187</v>
      </c>
      <c r="K443" s="2" t="s">
        <v>8931</v>
      </c>
      <c r="L443" s="2" t="s">
        <v>8677</v>
      </c>
      <c r="N443" s="2" t="str">
        <f aca="false">_xlfn.CONCAT(Q443," ",R443," ",S443)</f>
        <v>woodland  </v>
      </c>
      <c r="O443" s="2" t="s">
        <v>14</v>
      </c>
      <c r="P443" s="2"/>
      <c r="Q443" s="2" t="s">
        <v>16</v>
      </c>
      <c r="T443" s="2"/>
      <c r="U443" s="2" t="s">
        <v>8570</v>
      </c>
      <c r="V443" s="2" t="s">
        <v>10188</v>
      </c>
      <c r="X443" s="2" t="s">
        <v>8597</v>
      </c>
      <c r="Y443" s="2" t="s">
        <v>8573</v>
      </c>
      <c r="Z443" s="2" t="s">
        <v>8574</v>
      </c>
      <c r="AG443" s="7" t="s">
        <v>8575</v>
      </c>
      <c r="AS443" s="2" t="s">
        <v>8599</v>
      </c>
      <c r="AV443" s="11"/>
      <c r="AX443" s="4" t="s">
        <v>8607</v>
      </c>
      <c r="BI443" s="2" t="s">
        <v>8590</v>
      </c>
      <c r="BJ443" s="2" t="s">
        <v>8630</v>
      </c>
      <c r="BL443" s="2" t="s">
        <v>8591</v>
      </c>
      <c r="BO443" s="2"/>
      <c r="MJM443" s="2"/>
    </row>
    <row r="444" customFormat="false" ht="19.5" hidden="false" customHeight="true" outlineLevel="0" collapsed="false">
      <c r="A444" s="2" t="s">
        <v>10189</v>
      </c>
      <c r="C444" s="2" t="str">
        <f aca="false">_xlfn.CONCAT(A444, " ","(",B444,")")</f>
        <v>Ostoma ferrugineum ()</v>
      </c>
      <c r="D444" s="2" t="s">
        <v>8580</v>
      </c>
      <c r="E444" s="2" t="s">
        <v>8581</v>
      </c>
      <c r="F444" s="82" t="s">
        <v>10114</v>
      </c>
      <c r="G444" s="2" t="s">
        <v>8633</v>
      </c>
      <c r="H444" s="2" t="e">
        <f aca="false">VLOOKUP(A444,'[1]NE red list'!A$1:H$1048576,5,FALSE())</f>
        <v>#N/A</v>
      </c>
      <c r="I444" s="2" t="s">
        <v>8874</v>
      </c>
      <c r="J444" s="2" t="s">
        <v>10190</v>
      </c>
      <c r="L444" s="2" t="s">
        <v>8836</v>
      </c>
      <c r="N444" s="2" t="str">
        <f aca="false">_xlfn.CONCAT(Q444," ",R444," ",S444)</f>
        <v>woodland parkland </v>
      </c>
      <c r="O444" s="3" t="s">
        <v>14</v>
      </c>
      <c r="P444" s="2" t="s">
        <v>8587</v>
      </c>
      <c r="Q444" s="2" t="s">
        <v>16</v>
      </c>
      <c r="R444" s="2" t="s">
        <v>8568</v>
      </c>
      <c r="T444" s="2"/>
      <c r="U444" s="2" t="s">
        <v>8806</v>
      </c>
      <c r="V444" s="2" t="s">
        <v>8867</v>
      </c>
      <c r="W444" s="2" t="s">
        <v>8567</v>
      </c>
      <c r="Z444" s="2" t="s">
        <v>8598</v>
      </c>
      <c r="AG444" s="7" t="s">
        <v>8575</v>
      </c>
      <c r="AI444" s="7" t="s">
        <v>8617</v>
      </c>
      <c r="AN444" s="8" t="s">
        <v>8638</v>
      </c>
      <c r="AS444" s="2"/>
      <c r="AV444" s="11"/>
      <c r="BI444" s="2" t="s">
        <v>8590</v>
      </c>
      <c r="BL444" s="2" t="s">
        <v>8591</v>
      </c>
      <c r="BO444" s="2"/>
      <c r="MJM444" s="2"/>
    </row>
    <row r="445" customFormat="false" ht="19.5" hidden="false" customHeight="true" outlineLevel="0" collapsed="false">
      <c r="A445" s="2" t="s">
        <v>10191</v>
      </c>
      <c r="C445" s="2" t="str">
        <f aca="false">_xlfn.CONCAT(A445, " ","(",B445,")")</f>
        <v>Pyropterus nigroruber ()</v>
      </c>
      <c r="D445" s="2" t="s">
        <v>8580</v>
      </c>
      <c r="E445" s="2" t="s">
        <v>8581</v>
      </c>
      <c r="F445" s="2" t="s">
        <v>9323</v>
      </c>
      <c r="G445" s="2" t="s">
        <v>8583</v>
      </c>
      <c r="H445" s="2" t="str">
        <f aca="false">VLOOKUP(A445,'[1]NE red list'!A$1:H$1048576,5,FALSE())</f>
        <v>LC</v>
      </c>
      <c r="I445" s="2" t="s">
        <v>10192</v>
      </c>
      <c r="J445" s="2" t="s">
        <v>10193</v>
      </c>
      <c r="L445" s="2" t="s">
        <v>8836</v>
      </c>
      <c r="N445" s="2" t="str">
        <f aca="false">_xlfn.CONCAT(Q445," ",R445," ",S445)</f>
        <v> parkland </v>
      </c>
      <c r="O445" s="3" t="s">
        <v>14</v>
      </c>
      <c r="P445" s="2"/>
      <c r="R445" s="2" t="s">
        <v>8568</v>
      </c>
      <c r="T445" s="2"/>
      <c r="U445" s="2" t="s">
        <v>8570</v>
      </c>
      <c r="V445" s="2" t="s">
        <v>8704</v>
      </c>
      <c r="W445" s="2" t="s">
        <v>8571</v>
      </c>
      <c r="Z445" s="2" t="s">
        <v>8614</v>
      </c>
      <c r="AA445" s="4" t="s">
        <v>26</v>
      </c>
      <c r="AD445" s="6" t="s">
        <v>8615</v>
      </c>
      <c r="AF445" s="6" t="s">
        <v>8616</v>
      </c>
      <c r="AG445" s="7" t="s">
        <v>8575</v>
      </c>
      <c r="AI445" s="7" t="s">
        <v>8617</v>
      </c>
      <c r="AK445" s="7" t="s">
        <v>8780</v>
      </c>
      <c r="AL445" s="7" t="s">
        <v>8628</v>
      </c>
      <c r="AS445" s="2"/>
      <c r="AV445" s="11"/>
      <c r="BD445" s="2" t="s">
        <v>8629</v>
      </c>
      <c r="BI445" s="2" t="s">
        <v>8590</v>
      </c>
      <c r="BL445" s="2" t="s">
        <v>8591</v>
      </c>
      <c r="BO445" s="2"/>
      <c r="MJM445" s="2"/>
    </row>
    <row r="446" customFormat="false" ht="19.5" hidden="false" customHeight="true" outlineLevel="0" collapsed="false">
      <c r="A446" s="2" t="s">
        <v>10194</v>
      </c>
      <c r="C446" s="2" t="str">
        <f aca="false">_xlfn.CONCAT(A446, " ","(",B446,")")</f>
        <v>Thymalus limbatus ()</v>
      </c>
      <c r="D446" s="2" t="s">
        <v>8580</v>
      </c>
      <c r="E446" s="2" t="s">
        <v>8581</v>
      </c>
      <c r="F446" s="2" t="s">
        <v>10195</v>
      </c>
      <c r="G446" s="2" t="s">
        <v>8583</v>
      </c>
      <c r="H446" s="2" t="str">
        <f aca="false">VLOOKUP(A446,'[1]NE red list'!A$1:H$1048576,5,FALSE())</f>
        <v>LC</v>
      </c>
      <c r="I446" s="2" t="s">
        <v>8761</v>
      </c>
      <c r="J446" s="2" t="s">
        <v>10196</v>
      </c>
      <c r="L446" s="2" t="s">
        <v>8836</v>
      </c>
      <c r="N446" s="2" t="str">
        <f aca="false">_xlfn.CONCAT(Q446," ",R446," ",S446)</f>
        <v> parkland </v>
      </c>
      <c r="O446" s="3" t="s">
        <v>14</v>
      </c>
      <c r="P446" s="2" t="s">
        <v>8587</v>
      </c>
      <c r="R446" s="2" t="s">
        <v>8568</v>
      </c>
      <c r="T446" s="2"/>
      <c r="U446" s="2" t="s">
        <v>8570</v>
      </c>
      <c r="V446" s="2" t="s">
        <v>8745</v>
      </c>
      <c r="X446" s="2" t="s">
        <v>8625</v>
      </c>
      <c r="Z446" s="2" t="s">
        <v>8574</v>
      </c>
      <c r="AG446" s="7" t="s">
        <v>8824</v>
      </c>
      <c r="AI446" s="7" t="s">
        <v>8617</v>
      </c>
      <c r="AK446" s="7" t="s">
        <v>8627</v>
      </c>
      <c r="AM446" s="4" t="s">
        <v>8657</v>
      </c>
      <c r="AN446" s="8" t="s">
        <v>8734</v>
      </c>
      <c r="AO446" s="8" t="s">
        <v>40</v>
      </c>
      <c r="AQ446" s="8" t="s">
        <v>42</v>
      </c>
      <c r="AS446" s="2"/>
      <c r="AV446" s="11"/>
      <c r="AX446" s="4" t="s">
        <v>8607</v>
      </c>
      <c r="BI446" s="2" t="s">
        <v>8590</v>
      </c>
      <c r="BJ446" s="2" t="s">
        <v>8601</v>
      </c>
      <c r="BL446" s="2" t="s">
        <v>8591</v>
      </c>
      <c r="BO446" s="2"/>
      <c r="MJM446" s="2"/>
    </row>
    <row r="447" customFormat="false" ht="19.5" hidden="false" customHeight="true" outlineLevel="0" collapsed="false">
      <c r="A447" s="2" t="s">
        <v>10197</v>
      </c>
      <c r="C447" s="2" t="str">
        <f aca="false">_xlfn.CONCAT(A447, " ","(",B447,")")</f>
        <v>Palloptera usta ()</v>
      </c>
      <c r="D447" s="2" t="s">
        <v>8580</v>
      </c>
      <c r="E447" s="2" t="s">
        <v>8687</v>
      </c>
      <c r="F447" s="30" t="s">
        <v>10198</v>
      </c>
      <c r="G447" s="2" t="s">
        <v>8583</v>
      </c>
      <c r="H447" s="2" t="e">
        <f aca="false">VLOOKUP(A447,'[1]NE red list'!A$1:H$1048576,5,FALSE())</f>
        <v>#N/A</v>
      </c>
      <c r="I447" s="2" t="s">
        <v>8564</v>
      </c>
      <c r="J447" s="2" t="s">
        <v>10199</v>
      </c>
      <c r="K447" s="2" t="s">
        <v>9936</v>
      </c>
      <c r="L447" s="2" t="s">
        <v>8665</v>
      </c>
      <c r="N447" s="2" t="str">
        <f aca="false">_xlfn.CONCAT(Q447," ",R447," ",S447)</f>
        <v>woodland  </v>
      </c>
      <c r="O447" s="2"/>
      <c r="P447" s="2"/>
      <c r="Q447" s="2" t="s">
        <v>16</v>
      </c>
      <c r="T447" s="2"/>
      <c r="U447" s="2" t="s">
        <v>8605</v>
      </c>
      <c r="V447" s="2" t="s">
        <v>8867</v>
      </c>
      <c r="X447" s="2" t="s">
        <v>8589</v>
      </c>
      <c r="AB447" s="5" t="s">
        <v>8672</v>
      </c>
      <c r="AG447" s="7" t="s">
        <v>8824</v>
      </c>
      <c r="AS447" s="2"/>
      <c r="AV447" s="11"/>
      <c r="BA447" s="2" t="s">
        <v>8868</v>
      </c>
      <c r="BI447" s="2" t="s">
        <v>8590</v>
      </c>
      <c r="BL447" s="2" t="s">
        <v>8591</v>
      </c>
      <c r="BO447" s="2"/>
      <c r="MJM447" s="2"/>
    </row>
    <row r="448" customFormat="false" ht="19.5" hidden="false" customHeight="true" outlineLevel="0" collapsed="false">
      <c r="A448" s="2" t="s">
        <v>10200</v>
      </c>
      <c r="C448" s="2" t="str">
        <f aca="false">_xlfn.CONCAT(A448, " ","(",B448,")")</f>
        <v>Pammene populana
 ()</v>
      </c>
      <c r="D448" s="2" t="s">
        <v>8580</v>
      </c>
      <c r="E448" s="2" t="s">
        <v>8722</v>
      </c>
      <c r="F448" s="2" t="s">
        <v>9105</v>
      </c>
      <c r="G448" s="2" t="s">
        <v>8644</v>
      </c>
      <c r="H448" s="2" t="e">
        <f aca="false">VLOOKUP(A448,'[1]NE red list'!A$1:H$1048576,5,FALSE())</f>
        <v>#N/A</v>
      </c>
      <c r="I448" s="2" t="s">
        <v>8878</v>
      </c>
      <c r="J448" s="33" t="s">
        <v>10201</v>
      </c>
      <c r="L448" s="2" t="s">
        <v>8586</v>
      </c>
      <c r="M448" s="33"/>
      <c r="N448" s="2" t="str">
        <f aca="false">_xlfn.CONCAT(Q448," ",R448," ",S448)</f>
        <v>woodland parkland ToW</v>
      </c>
      <c r="O448" s="2" t="s">
        <v>14</v>
      </c>
      <c r="P448" s="2"/>
      <c r="Q448" s="2" t="s">
        <v>16</v>
      </c>
      <c r="R448" s="2" t="s">
        <v>8568</v>
      </c>
      <c r="S448" s="2" t="s">
        <v>18</v>
      </c>
      <c r="U448" s="2" t="s">
        <v>8570</v>
      </c>
      <c r="V448" s="2" t="s">
        <v>9255</v>
      </c>
      <c r="Y448" s="2" t="s">
        <v>8573</v>
      </c>
      <c r="Z448" s="2" t="s">
        <v>8694</v>
      </c>
      <c r="AM448" s="4" t="s">
        <v>8657</v>
      </c>
      <c r="AO448" s="8" t="s">
        <v>40</v>
      </c>
      <c r="AQ448" s="8" t="s">
        <v>42</v>
      </c>
      <c r="AS448" s="2"/>
      <c r="AV448" s="11"/>
      <c r="BO448" s="2"/>
      <c r="MJM448" s="2"/>
    </row>
    <row r="449" customFormat="false" ht="19.5" hidden="false" customHeight="true" outlineLevel="0" collapsed="false">
      <c r="A449" s="2" t="s">
        <v>10202</v>
      </c>
      <c r="B449" s="33"/>
      <c r="C449" s="2" t="str">
        <f aca="false">_xlfn.CONCAT(A449, " ","(",B449,")")</f>
        <v>Pammene regiana
 ()</v>
      </c>
      <c r="D449" s="33" t="s">
        <v>8580</v>
      </c>
      <c r="E449" s="33" t="s">
        <v>8722</v>
      </c>
      <c r="F449" s="2" t="s">
        <v>9105</v>
      </c>
      <c r="G449" s="2" t="s">
        <v>8737</v>
      </c>
      <c r="H449" s="2" t="e">
        <f aca="false">VLOOKUP(A449,'[1]NE red list'!A$1:H$1048576,5,FALSE())</f>
        <v>#N/A</v>
      </c>
      <c r="I449" s="33" t="s">
        <v>8645</v>
      </c>
      <c r="J449" s="33" t="s">
        <v>10203</v>
      </c>
      <c r="K449" s="33"/>
      <c r="L449" s="33" t="s">
        <v>10204</v>
      </c>
      <c r="M449" s="33"/>
      <c r="N449" s="2" t="str">
        <f aca="false">_xlfn.CONCAT(Q449," ",R449," ",S449)</f>
        <v>woodland parkland ToW</v>
      </c>
      <c r="O449" s="2" t="s">
        <v>14</v>
      </c>
      <c r="P449" s="2"/>
      <c r="Q449" s="2" t="s">
        <v>16</v>
      </c>
      <c r="R449" s="2" t="s">
        <v>8568</v>
      </c>
      <c r="S449" s="2" t="s">
        <v>18</v>
      </c>
      <c r="T449" s="52"/>
      <c r="U449" s="2" t="s">
        <v>9449</v>
      </c>
      <c r="V449" s="33" t="s">
        <v>10205</v>
      </c>
      <c r="W449" s="33"/>
      <c r="X449" s="33"/>
      <c r="Y449" s="33"/>
      <c r="Z449" s="33"/>
      <c r="AM449" s="4" t="s">
        <v>8657</v>
      </c>
      <c r="AO449" s="8" t="s">
        <v>40</v>
      </c>
      <c r="AQ449" s="8" t="s">
        <v>42</v>
      </c>
      <c r="AS449" s="2"/>
      <c r="AV449" s="11"/>
      <c r="BO449" s="2"/>
      <c r="MJM449" s="2"/>
    </row>
    <row r="450" s="32" customFormat="true" ht="19.5" hidden="false" customHeight="true" outlineLevel="0" collapsed="false">
      <c r="A450" s="1" t="s">
        <v>10206</v>
      </c>
      <c r="B450" s="2" t="s">
        <v>10207</v>
      </c>
      <c r="C450" s="2" t="str">
        <f aca="false">_xlfn.CONCAT(A450, " ","(",B450,")")</f>
        <v>Pandivirilia melaleuca (Forest Silver-stiletto)</v>
      </c>
      <c r="D450" s="2" t="s">
        <v>8580</v>
      </c>
      <c r="E450" s="2" t="s">
        <v>8687</v>
      </c>
      <c r="F450" s="35" t="s">
        <v>10208</v>
      </c>
      <c r="G450" s="2" t="s">
        <v>8662</v>
      </c>
      <c r="H450" s="2" t="str">
        <f aca="false">VLOOKUP(A450,'[1]NE red list'!A$1:H$1048576,5,FALSE())</f>
        <v>NT</v>
      </c>
      <c r="I450" s="2" t="s">
        <v>8610</v>
      </c>
      <c r="J450" s="2" t="s">
        <v>10209</v>
      </c>
      <c r="K450" s="2"/>
      <c r="L450" s="2" t="s">
        <v>8665</v>
      </c>
      <c r="M450" s="2"/>
      <c r="N450" s="2" t="str">
        <f aca="false">_xlfn.CONCAT(Q450," ",R450," ",S450)</f>
        <v> parkland </v>
      </c>
      <c r="O450" s="3" t="s">
        <v>14</v>
      </c>
      <c r="P450" s="2" t="s">
        <v>8587</v>
      </c>
      <c r="Q450" s="2"/>
      <c r="R450" s="2" t="s">
        <v>8568</v>
      </c>
      <c r="S450" s="2"/>
      <c r="T450" s="2"/>
      <c r="U450" s="2" t="s">
        <v>8570</v>
      </c>
      <c r="V450" s="2" t="s">
        <v>10210</v>
      </c>
      <c r="W450" s="2" t="s">
        <v>8571</v>
      </c>
      <c r="X450" s="2" t="s">
        <v>8589</v>
      </c>
      <c r="Y450" s="2"/>
      <c r="Z450" s="2" t="s">
        <v>8614</v>
      </c>
      <c r="AA450" s="4"/>
      <c r="AB450" s="5"/>
      <c r="AC450" s="6"/>
      <c r="AD450" s="6"/>
      <c r="AE450" s="6"/>
      <c r="AF450" s="6"/>
      <c r="AG450" s="7" t="s">
        <v>8575</v>
      </c>
      <c r="AH450" s="7"/>
      <c r="AI450" s="7" t="s">
        <v>8617</v>
      </c>
      <c r="AJ450" s="7" t="s">
        <v>8612</v>
      </c>
      <c r="AK450" s="7"/>
      <c r="AL450" s="7"/>
      <c r="AM450" s="4"/>
      <c r="AS450" s="2"/>
      <c r="AU450" s="4"/>
      <c r="AV450" s="11"/>
      <c r="AW450" s="11"/>
      <c r="AX450" s="4"/>
      <c r="AY450" s="12"/>
      <c r="AZ450" s="12"/>
      <c r="BI450" s="2" t="s">
        <v>8590</v>
      </c>
      <c r="BJ450" s="32" t="s">
        <v>8747</v>
      </c>
      <c r="BL450" s="32" t="s">
        <v>8591</v>
      </c>
    </row>
    <row r="451" customFormat="false" ht="19.5" hidden="false" customHeight="true" outlineLevel="0" collapsed="false">
      <c r="A451" s="2" t="s">
        <v>10211</v>
      </c>
      <c r="C451" s="2" t="str">
        <f aca="false">_xlfn.CONCAT(A451, " ","(",B451,")")</f>
        <v>Parmeliella testacea ()</v>
      </c>
      <c r="D451" s="2" t="s">
        <v>8892</v>
      </c>
      <c r="E451" s="2" t="s">
        <v>8892</v>
      </c>
      <c r="F451" s="2" t="s">
        <v>8892</v>
      </c>
      <c r="G451" s="2" t="s">
        <v>8776</v>
      </c>
      <c r="H451" s="2" t="str">
        <f aca="false">VLOOKUP(A451,'[1]NE red list'!A$1:H$1048576,5,FALSE())</f>
        <v>NT</v>
      </c>
      <c r="I451" s="2" t="s">
        <v>9814</v>
      </c>
      <c r="J451" s="33" t="s">
        <v>10212</v>
      </c>
      <c r="K451" s="2" t="s">
        <v>8585</v>
      </c>
      <c r="L451" s="2" t="s">
        <v>8896</v>
      </c>
      <c r="N451" s="2" t="str">
        <f aca="false">_xlfn.CONCAT(Q451," ",R451," ",S451)</f>
        <v>woodland  </v>
      </c>
      <c r="O451" s="2"/>
      <c r="P451" s="2"/>
      <c r="Q451" s="2" t="s">
        <v>16</v>
      </c>
      <c r="T451" s="2"/>
      <c r="U451" s="2" t="s">
        <v>8570</v>
      </c>
      <c r="W451" s="2" t="s">
        <v>8571</v>
      </c>
      <c r="X451" s="2" t="s">
        <v>8589</v>
      </c>
      <c r="AN451" s="8" t="s">
        <v>8858</v>
      </c>
      <c r="AS451" s="2"/>
      <c r="AU451" s="4" t="s">
        <v>8639</v>
      </c>
      <c r="AV451" s="11"/>
      <c r="AW451" s="11" t="s">
        <v>8650</v>
      </c>
      <c r="BD451" s="2" t="s">
        <v>8629</v>
      </c>
      <c r="BG451" s="2" t="s">
        <v>8900</v>
      </c>
      <c r="BJ451" s="2" t="s">
        <v>8907</v>
      </c>
      <c r="BK451" s="2" t="s">
        <v>8578</v>
      </c>
      <c r="BL451" s="2" t="s">
        <v>8578</v>
      </c>
      <c r="BO451" s="2"/>
      <c r="MJM451" s="2"/>
    </row>
    <row r="452" customFormat="false" ht="19.5" hidden="false" customHeight="true" outlineLevel="0" collapsed="false">
      <c r="A452" s="2" t="s">
        <v>10213</v>
      </c>
      <c r="C452" s="2" t="str">
        <f aca="false">_xlfn.CONCAT(A452, " ","(",B452,")")</f>
        <v>Paromalus flavicornis ()</v>
      </c>
      <c r="D452" s="2" t="s">
        <v>8580</v>
      </c>
      <c r="E452" s="2" t="s">
        <v>8581</v>
      </c>
      <c r="F452" s="2" t="s">
        <v>9234</v>
      </c>
      <c r="H452" s="2" t="e">
        <f aca="false">VLOOKUP(A452,'[1]NE red list'!A$1:H$1048576,5,FALSE())</f>
        <v>#N/A</v>
      </c>
      <c r="I452" s="2" t="s">
        <v>10214</v>
      </c>
      <c r="J452" s="2" t="s">
        <v>10215</v>
      </c>
      <c r="L452" s="2" t="s">
        <v>8665</v>
      </c>
      <c r="N452" s="2" t="str">
        <f aca="false">_xlfn.CONCAT(Q452," ",R452," ",S452)</f>
        <v>woodland parkland </v>
      </c>
      <c r="O452" s="3" t="s">
        <v>14</v>
      </c>
      <c r="P452" s="2" t="s">
        <v>8587</v>
      </c>
      <c r="Q452" s="2" t="s">
        <v>16</v>
      </c>
      <c r="R452" s="2" t="s">
        <v>8568</v>
      </c>
      <c r="T452" s="2"/>
      <c r="U452" s="2" t="s">
        <v>8570</v>
      </c>
      <c r="Z452" s="2" t="s">
        <v>8574</v>
      </c>
      <c r="AB452" s="6" t="s">
        <v>8672</v>
      </c>
      <c r="AG452" s="7" t="s">
        <v>8824</v>
      </c>
      <c r="AM452" s="4" t="s">
        <v>8657</v>
      </c>
      <c r="AN452" s="8" t="s">
        <v>8852</v>
      </c>
      <c r="AO452" s="31" t="s">
        <v>40</v>
      </c>
      <c r="AQ452" s="8" t="s">
        <v>42</v>
      </c>
      <c r="AS452" s="2"/>
      <c r="AV452" s="11"/>
      <c r="AX452" s="4" t="s">
        <v>8607</v>
      </c>
      <c r="BI452" s="2" t="s">
        <v>8590</v>
      </c>
      <c r="BJ452" s="2" t="s">
        <v>8601</v>
      </c>
      <c r="BL452" s="2" t="s">
        <v>8591</v>
      </c>
      <c r="BO452" s="2"/>
      <c r="MJM452" s="2"/>
    </row>
    <row r="453" s="8" customFormat="true" ht="19.5" hidden="false" customHeight="true" outlineLevel="0" collapsed="false">
      <c r="A453" s="2" t="s">
        <v>10216</v>
      </c>
      <c r="B453" s="2"/>
      <c r="C453" s="2" t="str">
        <f aca="false">_xlfn.CONCAT(A453, " ","(",B453,")")</f>
        <v>Paromalus parallelepipedus ()</v>
      </c>
      <c r="D453" s="2"/>
      <c r="E453" s="2" t="s">
        <v>8581</v>
      </c>
      <c r="F453" s="2" t="s">
        <v>9234</v>
      </c>
      <c r="G453" s="2" t="s">
        <v>9801</v>
      </c>
      <c r="H453" s="2" t="e">
        <f aca="false">VLOOKUP(A453,'[1]NE red list'!A$1:H$1048576,5,FALSE())</f>
        <v>#N/A</v>
      </c>
      <c r="I453" s="2" t="s">
        <v>8690</v>
      </c>
      <c r="J453" s="2" t="s">
        <v>10217</v>
      </c>
      <c r="K453" s="2"/>
      <c r="L453" s="33"/>
      <c r="M453" s="2"/>
      <c r="N453" s="2" t="str">
        <f aca="false">_xlfn.CONCAT(Q453," ",R453," ",S453)</f>
        <v>woodland  </v>
      </c>
      <c r="O453" s="2"/>
      <c r="P453" s="2"/>
      <c r="Q453" s="2" t="s">
        <v>16</v>
      </c>
      <c r="R453" s="2"/>
      <c r="S453" s="2"/>
      <c r="T453" s="2"/>
      <c r="U453" s="2" t="s">
        <v>9876</v>
      </c>
      <c r="V453" s="2"/>
      <c r="W453" s="2"/>
      <c r="X453" s="2"/>
      <c r="Y453" s="2" t="s">
        <v>8772</v>
      </c>
      <c r="Z453" s="2" t="s">
        <v>8598</v>
      </c>
      <c r="AA453" s="4"/>
      <c r="AB453" s="6" t="s">
        <v>8672</v>
      </c>
      <c r="AC453" s="6"/>
      <c r="AD453" s="6"/>
      <c r="AE453" s="6"/>
      <c r="AF453" s="6"/>
      <c r="AG453" s="7"/>
      <c r="AH453" s="7"/>
      <c r="AI453" s="7"/>
      <c r="AJ453" s="7"/>
      <c r="AK453" s="7"/>
      <c r="AL453" s="7"/>
      <c r="AM453" s="4" t="s">
        <v>8657</v>
      </c>
      <c r="AN453" s="8" t="s">
        <v>8858</v>
      </c>
      <c r="AO453" s="31" t="s">
        <v>40</v>
      </c>
      <c r="AQ453" s="8" t="s">
        <v>42</v>
      </c>
      <c r="AS453" s="2"/>
      <c r="AU453" s="4"/>
      <c r="AV453" s="11"/>
      <c r="AW453" s="11"/>
      <c r="AX453" s="4"/>
      <c r="AY453" s="12"/>
      <c r="AZ453" s="12"/>
      <c r="BI453" s="2" t="s">
        <v>8590</v>
      </c>
      <c r="BN453" s="8" t="s">
        <v>8619</v>
      </c>
    </row>
    <row r="454" s="61" customFormat="true" ht="19.5" hidden="false" customHeight="true" outlineLevel="0" collapsed="false">
      <c r="A454" s="1" t="s">
        <v>10218</v>
      </c>
      <c r="B454" s="3" t="s">
        <v>10219</v>
      </c>
      <c r="C454" s="2" t="str">
        <f aca="false">_xlfn.CONCAT(A454, " ","(",B454,")")</f>
        <v>parus major (Great Tit)</v>
      </c>
      <c r="D454" s="2" t="s">
        <v>8560</v>
      </c>
      <c r="E454" s="2" t="s">
        <v>8561</v>
      </c>
      <c r="F454" s="2" t="s">
        <v>9328</v>
      </c>
      <c r="G454" s="2" t="s">
        <v>9115</v>
      </c>
      <c r="H454" s="2" t="str">
        <f aca="false">VLOOKUP(A454,'[1]NE red list'!A$1:H$1048576,5,FALSE())</f>
        <v>LC</v>
      </c>
      <c r="I454" s="2" t="s">
        <v>8645</v>
      </c>
      <c r="J454" s="83" t="s">
        <v>10220</v>
      </c>
      <c r="K454" s="2"/>
      <c r="L454" s="2" t="s">
        <v>8566</v>
      </c>
      <c r="M454" s="2"/>
      <c r="N454" s="2" t="str">
        <f aca="false">_xlfn.CONCAT(Q454," ",R454," ",S454)</f>
        <v>woodland parkland ToW</v>
      </c>
      <c r="O454" s="2" t="s">
        <v>14</v>
      </c>
      <c r="P454" s="2"/>
      <c r="Q454" s="3" t="s">
        <v>16</v>
      </c>
      <c r="R454" s="2" t="s">
        <v>8568</v>
      </c>
      <c r="S454" s="2" t="s">
        <v>18</v>
      </c>
      <c r="T454" s="3"/>
      <c r="U454" s="2" t="s">
        <v>8605</v>
      </c>
      <c r="V454" s="2"/>
      <c r="W454" s="2"/>
      <c r="X454" s="2"/>
      <c r="Y454" s="2"/>
      <c r="Z454" s="2"/>
      <c r="AA454" s="4" t="s">
        <v>26</v>
      </c>
      <c r="AB454" s="5"/>
      <c r="AC454" s="6" t="s">
        <v>30</v>
      </c>
      <c r="AD454" s="6"/>
      <c r="AE454" s="6"/>
      <c r="AF454" s="6" t="s">
        <v>8616</v>
      </c>
      <c r="AG454" s="7"/>
      <c r="AH454" s="7"/>
      <c r="AI454" s="7"/>
      <c r="AJ454" s="7"/>
      <c r="AK454" s="7"/>
      <c r="AL454" s="7"/>
      <c r="AM454" s="4"/>
      <c r="AS454" s="9"/>
      <c r="AU454" s="4"/>
      <c r="AV454" s="10"/>
      <c r="AW454" s="11"/>
      <c r="AX454" s="4"/>
      <c r="AY454" s="12"/>
      <c r="AZ454" s="12"/>
    </row>
    <row r="455" customFormat="false" ht="19.5" hidden="false" customHeight="true" outlineLevel="0" collapsed="false">
      <c r="A455" s="2" t="s">
        <v>10221</v>
      </c>
      <c r="C455" s="2" t="str">
        <f aca="false">_xlfn.CONCAT(A455, " ","(",B455,")")</f>
        <v>Passaloecus eremita ()</v>
      </c>
      <c r="D455" s="2" t="s">
        <v>8580</v>
      </c>
      <c r="E455" s="2" t="s">
        <v>8839</v>
      </c>
      <c r="F455" s="2" t="s">
        <v>10014</v>
      </c>
      <c r="H455" s="2" t="e">
        <f aca="false">VLOOKUP(A455,'[1]NE red list'!A$1:H$1048576,5,FALSE())</f>
        <v>#N/A</v>
      </c>
      <c r="I455" s="2" t="s">
        <v>8714</v>
      </c>
      <c r="J455" s="2" t="s">
        <v>10222</v>
      </c>
      <c r="K455" s="2" t="s">
        <v>9788</v>
      </c>
      <c r="L455" s="2" t="s">
        <v>8948</v>
      </c>
      <c r="N455" s="2" t="str">
        <f aca="false">_xlfn.CONCAT(Q455," ",R455," ",S455)</f>
        <v>woodland  </v>
      </c>
      <c r="O455" s="2"/>
      <c r="P455" s="2"/>
      <c r="Q455" s="2" t="s">
        <v>16</v>
      </c>
      <c r="T455" s="2"/>
      <c r="U455" s="2" t="s">
        <v>8605</v>
      </c>
      <c r="V455" s="2" t="s">
        <v>8867</v>
      </c>
      <c r="X455" s="2" t="s">
        <v>8625</v>
      </c>
      <c r="Z455" s="2" t="s">
        <v>8574</v>
      </c>
      <c r="AB455" s="5" t="s">
        <v>8672</v>
      </c>
      <c r="AG455" s="7" t="s">
        <v>8824</v>
      </c>
      <c r="AS455" s="2"/>
      <c r="AV455" s="11"/>
      <c r="BI455" s="2" t="s">
        <v>8590</v>
      </c>
      <c r="BL455" s="2" t="s">
        <v>8591</v>
      </c>
      <c r="BO455" s="2"/>
      <c r="MJM455" s="2"/>
    </row>
    <row r="456" customFormat="false" ht="19.5" hidden="false" customHeight="true" outlineLevel="0" collapsed="false">
      <c r="A456" s="1" t="s">
        <v>10223</v>
      </c>
      <c r="B456" s="2" t="s">
        <v>10224</v>
      </c>
      <c r="C456" s="2" t="str">
        <f aca="false">_xlfn.CONCAT(A456, " ","(",B456,")")</f>
        <v>Passer montanus montanus (Tree sparrow)</v>
      </c>
      <c r="D456" s="2" t="s">
        <v>8560</v>
      </c>
      <c r="E456" s="2" t="s">
        <v>8561</v>
      </c>
      <c r="F456" s="2" t="s">
        <v>10225</v>
      </c>
      <c r="G456" s="2" t="s">
        <v>10034</v>
      </c>
      <c r="H456" s="2" t="e">
        <f aca="false">VLOOKUP(A456,'[1]NE red list'!A$1:H$1048576,5,FALSE())</f>
        <v>#N/A</v>
      </c>
      <c r="I456" s="2" t="s">
        <v>8645</v>
      </c>
      <c r="J456" s="2" t="s">
        <v>10226</v>
      </c>
      <c r="K456" s="2" t="s">
        <v>10227</v>
      </c>
      <c r="L456" s="2" t="s">
        <v>8566</v>
      </c>
      <c r="N456" s="2" t="str">
        <f aca="false">_xlfn.CONCAT(Q456," ",R456," ",S456)</f>
        <v>woodland parkland ToW</v>
      </c>
      <c r="O456" s="2" t="s">
        <v>14</v>
      </c>
      <c r="P456" s="2"/>
      <c r="Q456" s="2" t="s">
        <v>16</v>
      </c>
      <c r="R456" s="2" t="s">
        <v>8568</v>
      </c>
      <c r="S456" s="2" t="s">
        <v>18</v>
      </c>
      <c r="T456" s="2" t="s">
        <v>8569</v>
      </c>
      <c r="U456" s="2" t="s">
        <v>8605</v>
      </c>
      <c r="W456" s="2" t="s">
        <v>8571</v>
      </c>
      <c r="X456" s="2" t="s">
        <v>8589</v>
      </c>
      <c r="AA456" s="4" t="s">
        <v>26</v>
      </c>
      <c r="AC456" s="6" t="s">
        <v>30</v>
      </c>
      <c r="AF456" s="6" t="s">
        <v>8616</v>
      </c>
      <c r="AM456" s="4" t="s">
        <v>8657</v>
      </c>
      <c r="AQ456" s="8" t="s">
        <v>42</v>
      </c>
      <c r="AR456" s="8" t="s">
        <v>43</v>
      </c>
      <c r="AS456" s="2"/>
      <c r="AV456" s="11"/>
      <c r="BH456" s="2" t="s">
        <v>8972</v>
      </c>
      <c r="BL456" s="2" t="s">
        <v>8578</v>
      </c>
      <c r="MJM456" s="2"/>
    </row>
    <row r="457" customFormat="false" ht="19.5" hidden="false" customHeight="true" outlineLevel="0" collapsed="false">
      <c r="A457" s="2" t="s">
        <v>10228</v>
      </c>
      <c r="C457" s="2" t="str">
        <f aca="false">_xlfn.CONCAT(A457, " ","(",B457,")")</f>
        <v>Pediacus depressus ()</v>
      </c>
      <c r="D457" s="2" t="s">
        <v>8580</v>
      </c>
      <c r="E457" s="2" t="s">
        <v>8581</v>
      </c>
      <c r="F457" s="2" t="s">
        <v>10229</v>
      </c>
      <c r="G457" s="2" t="s">
        <v>8583</v>
      </c>
      <c r="H457" s="2" t="e">
        <f aca="false">VLOOKUP(A457,'[1]NE red list'!A$1:H$1048576,5,FALSE())</f>
        <v>#N/A</v>
      </c>
      <c r="I457" s="2" t="s">
        <v>8564</v>
      </c>
      <c r="J457" s="2" t="s">
        <v>10230</v>
      </c>
      <c r="K457" s="2" t="s">
        <v>8637</v>
      </c>
      <c r="L457" s="2" t="s">
        <v>8613</v>
      </c>
      <c r="N457" s="2" t="str">
        <f aca="false">_xlfn.CONCAT(Q457," ",R457," ",S457)</f>
        <v>woodland  </v>
      </c>
      <c r="O457" s="2" t="s">
        <v>14</v>
      </c>
      <c r="P457" s="2"/>
      <c r="Q457" s="2" t="s">
        <v>16</v>
      </c>
      <c r="T457" s="2"/>
      <c r="U457" s="2" t="s">
        <v>8605</v>
      </c>
      <c r="X457" s="2" t="s">
        <v>9190</v>
      </c>
      <c r="Y457" s="2" t="s">
        <v>8772</v>
      </c>
      <c r="Z457" s="2" t="s">
        <v>8637</v>
      </c>
      <c r="AB457" s="5" t="s">
        <v>9028</v>
      </c>
      <c r="AG457" s="7" t="s">
        <v>8824</v>
      </c>
      <c r="AM457" s="4" t="s">
        <v>8657</v>
      </c>
      <c r="AN457" s="8" t="s">
        <v>8829</v>
      </c>
      <c r="AP457" s="8" t="s">
        <v>8719</v>
      </c>
      <c r="AS457" s="2"/>
      <c r="AV457" s="11"/>
      <c r="BB457" s="2" t="s">
        <v>8618</v>
      </c>
      <c r="BI457" s="2" t="s">
        <v>8590</v>
      </c>
      <c r="BJ457" s="2" t="s">
        <v>8630</v>
      </c>
      <c r="BL457" s="2" t="s">
        <v>8591</v>
      </c>
      <c r="BO457" s="2"/>
      <c r="MJM457" s="2"/>
    </row>
    <row r="458" customFormat="false" ht="19.5" hidden="false" customHeight="true" outlineLevel="0" collapsed="false">
      <c r="A458" s="2" t="s">
        <v>10231</v>
      </c>
      <c r="C458" s="2" t="str">
        <f aca="false">_xlfn.CONCAT(A458, " ","(",B458,")")</f>
        <v>Pediacus dermestoides ()</v>
      </c>
      <c r="D458" s="2" t="s">
        <v>8580</v>
      </c>
      <c r="E458" s="2" t="s">
        <v>8581</v>
      </c>
      <c r="F458" s="2" t="s">
        <v>10229</v>
      </c>
      <c r="H458" s="2" t="e">
        <f aca="false">VLOOKUP(A458,'[1]NE red list'!A$1:H$1048576,5,FALSE())</f>
        <v>#N/A</v>
      </c>
      <c r="I458" s="2" t="s">
        <v>10214</v>
      </c>
      <c r="J458" s="2" t="s">
        <v>10232</v>
      </c>
      <c r="K458" s="2" t="s">
        <v>8637</v>
      </c>
      <c r="L458" s="2" t="s">
        <v>10233</v>
      </c>
      <c r="N458" s="2" t="str">
        <f aca="false">_xlfn.CONCAT(Q458," ",R458," ",S458)</f>
        <v>woodland parkland </v>
      </c>
      <c r="O458" s="3" t="s">
        <v>14</v>
      </c>
      <c r="P458" s="2" t="s">
        <v>8587</v>
      </c>
      <c r="Q458" s="2" t="s">
        <v>16</v>
      </c>
      <c r="R458" s="2" t="s">
        <v>8568</v>
      </c>
      <c r="T458" s="2"/>
      <c r="U458" s="2" t="s">
        <v>8570</v>
      </c>
      <c r="W458" s="2" t="s">
        <v>8567</v>
      </c>
      <c r="X458" s="2" t="s">
        <v>8597</v>
      </c>
      <c r="Z458" s="2" t="s">
        <v>8637</v>
      </c>
      <c r="AG458" s="7" t="s">
        <v>8824</v>
      </c>
      <c r="AM458" s="4" t="s">
        <v>8657</v>
      </c>
      <c r="AN458" s="8" t="s">
        <v>8829</v>
      </c>
      <c r="AP458" s="8" t="s">
        <v>8719</v>
      </c>
      <c r="AS458" s="2"/>
      <c r="AV458" s="11"/>
      <c r="AX458" s="4" t="s">
        <v>8607</v>
      </c>
      <c r="BB458" s="2" t="s">
        <v>8618</v>
      </c>
      <c r="BI458" s="2" t="s">
        <v>8590</v>
      </c>
      <c r="BJ458" s="2" t="s">
        <v>8601</v>
      </c>
      <c r="BL458" s="2" t="s">
        <v>8591</v>
      </c>
      <c r="BO458" s="2"/>
      <c r="MJM458" s="2"/>
    </row>
    <row r="459" customFormat="false" ht="19.5" hidden="false" customHeight="true" outlineLevel="0" collapsed="false">
      <c r="A459" s="2" t="s">
        <v>10234</v>
      </c>
      <c r="C459" s="2" t="str">
        <f aca="false">_xlfn.CONCAT(A459, " ","(",B459,")")</f>
        <v>Quedius aetolicus ()</v>
      </c>
      <c r="D459" s="2" t="s">
        <v>8580</v>
      </c>
      <c r="E459" s="2" t="s">
        <v>8581</v>
      </c>
      <c r="F459" s="2" t="s">
        <v>8652</v>
      </c>
      <c r="G459" s="2" t="s">
        <v>8583</v>
      </c>
      <c r="H459" s="2" t="e">
        <f aca="false">VLOOKUP(A459,'[1]NE red list'!A$1:H$1048576,5,FALSE())</f>
        <v>#N/A</v>
      </c>
      <c r="I459" s="2" t="s">
        <v>8714</v>
      </c>
      <c r="J459" s="2" t="s">
        <v>10235</v>
      </c>
      <c r="L459" s="2" t="s">
        <v>8665</v>
      </c>
      <c r="N459" s="2" t="str">
        <f aca="false">_xlfn.CONCAT(Q459," ",R459," ",S459)</f>
        <v> parkland </v>
      </c>
      <c r="O459" s="3" t="s">
        <v>14</v>
      </c>
      <c r="P459" s="2"/>
      <c r="R459" s="2" t="s">
        <v>8568</v>
      </c>
      <c r="T459" s="2"/>
      <c r="U459" s="2" t="s">
        <v>8570</v>
      </c>
      <c r="W459" s="2" t="s">
        <v>8571</v>
      </c>
      <c r="X459" s="2" t="s">
        <v>8589</v>
      </c>
      <c r="AA459" s="4" t="s">
        <v>26</v>
      </c>
      <c r="AC459" s="6" t="s">
        <v>8666</v>
      </c>
      <c r="AD459" s="6" t="s">
        <v>8615</v>
      </c>
      <c r="AG459" s="7" t="s">
        <v>8575</v>
      </c>
      <c r="AI459" s="7" t="s">
        <v>8617</v>
      </c>
      <c r="AL459" s="7" t="s">
        <v>8785</v>
      </c>
      <c r="AN459" s="8" t="s">
        <v>8638</v>
      </c>
      <c r="AS459" s="2"/>
      <c r="AU459" s="4" t="s">
        <v>8639</v>
      </c>
      <c r="AV459" s="47" t="s">
        <v>10236</v>
      </c>
      <c r="BI459" s="2" t="s">
        <v>8590</v>
      </c>
      <c r="BL459" s="2" t="s">
        <v>8591</v>
      </c>
      <c r="BM459" s="2" t="s">
        <v>8619</v>
      </c>
      <c r="BO459" s="2"/>
      <c r="MJM459" s="2"/>
    </row>
    <row r="460" customFormat="false" ht="19.5" hidden="false" customHeight="true" outlineLevel="0" collapsed="false">
      <c r="A460" s="1" t="s">
        <v>10237</v>
      </c>
      <c r="B460" s="2" t="s">
        <v>10238</v>
      </c>
      <c r="C460" s="2" t="str">
        <f aca="false">_xlfn.CONCAT(A460, " ","(",B460,")")</f>
        <v>Pemphredon inornata (Shuckard's Wasp)</v>
      </c>
      <c r="D460" s="2" t="s">
        <v>8580</v>
      </c>
      <c r="E460" s="2" t="s">
        <v>8839</v>
      </c>
      <c r="F460" s="2" t="s">
        <v>10014</v>
      </c>
      <c r="H460" s="2" t="e">
        <f aca="false">VLOOKUP(A460,'[1]NE red list'!A$1:H$1048576,5,FALSE())</f>
        <v>#N/A</v>
      </c>
      <c r="I460" s="2" t="s">
        <v>8645</v>
      </c>
      <c r="J460" s="2" t="s">
        <v>10239</v>
      </c>
      <c r="L460" s="2" t="s">
        <v>8948</v>
      </c>
      <c r="N460" s="2" t="str">
        <f aca="false">_xlfn.CONCAT(Q460," ",R460," ",S460)</f>
        <v>woodland parkland </v>
      </c>
      <c r="O460" s="3" t="s">
        <v>14</v>
      </c>
      <c r="P460" s="2"/>
      <c r="Q460" s="2" t="s">
        <v>16</v>
      </c>
      <c r="R460" s="2" t="s">
        <v>8568</v>
      </c>
      <c r="T460" s="2" t="s">
        <v>8569</v>
      </c>
      <c r="U460" s="2" t="s">
        <v>8605</v>
      </c>
      <c r="X460" s="2" t="s">
        <v>8625</v>
      </c>
      <c r="Z460" s="2" t="s">
        <v>8614</v>
      </c>
      <c r="AA460" s="4" t="s">
        <v>26</v>
      </c>
      <c r="AC460" s="6" t="s">
        <v>30</v>
      </c>
      <c r="AF460" s="6" t="s">
        <v>8616</v>
      </c>
      <c r="AS460" s="2"/>
      <c r="AV460" s="11"/>
      <c r="BF460" s="2" t="s">
        <v>9274</v>
      </c>
      <c r="BH460" s="2" t="s">
        <v>9275</v>
      </c>
      <c r="BI460" s="2" t="s">
        <v>8590</v>
      </c>
      <c r="BL460" s="2" t="s">
        <v>8591</v>
      </c>
      <c r="BO460" s="2"/>
      <c r="MJM460" s="2"/>
    </row>
    <row r="461" s="32" customFormat="true" ht="19.5" hidden="false" customHeight="true" outlineLevel="0" collapsed="false">
      <c r="A461" s="2" t="s">
        <v>10240</v>
      </c>
      <c r="B461" s="2"/>
      <c r="C461" s="2" t="str">
        <f aca="false">_xlfn.CONCAT(A461, " ","(",B461,")")</f>
        <v>Vanonus brevicornis ()</v>
      </c>
      <c r="D461" s="2" t="s">
        <v>8580</v>
      </c>
      <c r="E461" s="2" t="s">
        <v>8581</v>
      </c>
      <c r="F461" s="2" t="s">
        <v>8609</v>
      </c>
      <c r="G461" s="2" t="s">
        <v>8633</v>
      </c>
      <c r="H461" s="2" t="str">
        <f aca="false">VLOOKUP(A461,'[1]NE red list'!A$1:H$1048576,5,FALSE())</f>
        <v>VU</v>
      </c>
      <c r="I461" s="2" t="s">
        <v>8610</v>
      </c>
      <c r="J461" s="2" t="s">
        <v>10241</v>
      </c>
      <c r="K461" s="2" t="s">
        <v>8585</v>
      </c>
      <c r="L461" s="2" t="s">
        <v>9508</v>
      </c>
      <c r="M461" s="2"/>
      <c r="N461" s="2" t="str">
        <f aca="false">_xlfn.CONCAT(Q461," ",R461," ",S461)</f>
        <v> parkland ToW</v>
      </c>
      <c r="O461" s="2" t="s">
        <v>14</v>
      </c>
      <c r="P461" s="2"/>
      <c r="Q461" s="2"/>
      <c r="R461" s="2" t="s">
        <v>8568</v>
      </c>
      <c r="S461" s="2" t="s">
        <v>18</v>
      </c>
      <c r="T461" s="2"/>
      <c r="U461" s="2" t="s">
        <v>8570</v>
      </c>
      <c r="V461" s="2" t="s">
        <v>8745</v>
      </c>
      <c r="W461" s="2" t="s">
        <v>8571</v>
      </c>
      <c r="X461" s="2" t="s">
        <v>9009</v>
      </c>
      <c r="Y461" s="2" t="s">
        <v>8573</v>
      </c>
      <c r="Z461" s="2" t="s">
        <v>8694</v>
      </c>
      <c r="AA461" s="4"/>
      <c r="AB461" s="5"/>
      <c r="AC461" s="6"/>
      <c r="AD461" s="6"/>
      <c r="AE461" s="6"/>
      <c r="AF461" s="6"/>
      <c r="AG461" s="7" t="s">
        <v>8575</v>
      </c>
      <c r="AH461" s="7"/>
      <c r="AI461" s="7" t="s">
        <v>8617</v>
      </c>
      <c r="AJ461" s="7" t="s">
        <v>8612</v>
      </c>
      <c r="AK461" s="7"/>
      <c r="AL461" s="7"/>
      <c r="AM461" s="4"/>
      <c r="AS461" s="2"/>
      <c r="AU461" s="4"/>
      <c r="AV461" s="11"/>
      <c r="AW461" s="11"/>
      <c r="AX461" s="4" t="s">
        <v>8585</v>
      </c>
      <c r="AY461" s="12" t="s">
        <v>8585</v>
      </c>
      <c r="AZ461" s="12"/>
      <c r="BC461" s="32" t="s">
        <v>8899</v>
      </c>
      <c r="BI461" s="2" t="s">
        <v>8590</v>
      </c>
      <c r="BJ461" s="32" t="s">
        <v>8601</v>
      </c>
      <c r="BL461" s="32" t="s">
        <v>8591</v>
      </c>
      <c r="BM461" s="32" t="s">
        <v>8619</v>
      </c>
    </row>
    <row r="462" s="61" customFormat="true" ht="19.5" hidden="false" customHeight="true" outlineLevel="0" collapsed="false">
      <c r="A462" s="1" t="s">
        <v>10242</v>
      </c>
      <c r="B462" s="3" t="s">
        <v>10243</v>
      </c>
      <c r="C462" s="2" t="str">
        <f aca="false">_xlfn.CONCAT(A462, " ","(",B462,")")</f>
        <v>Periparus ater (Coal Tit)</v>
      </c>
      <c r="D462" s="2" t="s">
        <v>8560</v>
      </c>
      <c r="E462" s="2" t="s">
        <v>8561</v>
      </c>
      <c r="F462" s="2" t="s">
        <v>9328</v>
      </c>
      <c r="G462" s="2" t="s">
        <v>9115</v>
      </c>
      <c r="H462" s="2" t="str">
        <f aca="false">VLOOKUP(A462,'[1]NE red list'!A$1:H$1048576,5,FALSE())</f>
        <v>LC</v>
      </c>
      <c r="I462" s="2" t="s">
        <v>8645</v>
      </c>
      <c r="J462" s="3" t="s">
        <v>10244</v>
      </c>
      <c r="K462" s="2"/>
      <c r="L462" s="2" t="s">
        <v>8566</v>
      </c>
      <c r="M462" s="2"/>
      <c r="N462" s="2" t="str">
        <f aca="false">_xlfn.CONCAT(Q462," ",R462," ",S462)</f>
        <v>woodland  </v>
      </c>
      <c r="O462" s="2" t="s">
        <v>14</v>
      </c>
      <c r="P462" s="2" t="s">
        <v>8567</v>
      </c>
      <c r="Q462" s="2" t="s">
        <v>16</v>
      </c>
      <c r="R462" s="2"/>
      <c r="S462" s="2"/>
      <c r="T462" s="3"/>
      <c r="U462" s="2" t="s">
        <v>9876</v>
      </c>
      <c r="V462" s="2"/>
      <c r="W462" s="2"/>
      <c r="X462" s="2"/>
      <c r="Y462" s="2"/>
      <c r="Z462" s="2"/>
      <c r="AA462" s="4" t="s">
        <v>26</v>
      </c>
      <c r="AB462" s="5"/>
      <c r="AC462" s="6" t="s">
        <v>30</v>
      </c>
      <c r="AD462" s="6"/>
      <c r="AE462" s="6"/>
      <c r="AF462" s="6" t="s">
        <v>8616</v>
      </c>
      <c r="AG462" s="7"/>
      <c r="AH462" s="7"/>
      <c r="AI462" s="7"/>
      <c r="AJ462" s="7"/>
      <c r="AK462" s="7"/>
      <c r="AL462" s="7"/>
      <c r="AM462" s="4"/>
      <c r="AS462" s="9"/>
      <c r="AU462" s="4"/>
      <c r="AV462" s="10"/>
      <c r="AW462" s="11"/>
      <c r="AX462" s="4"/>
      <c r="AY462" s="12"/>
      <c r="AZ462" s="12"/>
    </row>
    <row r="463" customFormat="false" ht="19.5" hidden="false" customHeight="true" outlineLevel="0" collapsed="false">
      <c r="A463" s="2" t="s">
        <v>10245</v>
      </c>
      <c r="C463" s="2" t="str">
        <f aca="false">_xlfn.CONCAT(A463, " ","(",B463,")")</f>
        <v>Periscelis annulata ()</v>
      </c>
      <c r="D463" s="2" t="s">
        <v>8580</v>
      </c>
      <c r="E463" s="2" t="s">
        <v>8687</v>
      </c>
      <c r="F463" s="2" t="s">
        <v>10246</v>
      </c>
      <c r="G463" s="2" t="s">
        <v>9777</v>
      </c>
      <c r="H463" s="2" t="e">
        <f aca="false">VLOOKUP(A463,'[1]NE red list'!A$1:H$1048576,5,FALSE())</f>
        <v>#N/A</v>
      </c>
      <c r="I463" s="2" t="s">
        <v>8610</v>
      </c>
      <c r="J463" s="2" t="s">
        <v>10247</v>
      </c>
      <c r="L463" s="2" t="s">
        <v>8836</v>
      </c>
      <c r="N463" s="2" t="str">
        <f aca="false">_xlfn.CONCAT(Q463," ",R463," ",S463)</f>
        <v>woodland  ToW</v>
      </c>
      <c r="O463" s="2" t="s">
        <v>14</v>
      </c>
      <c r="P463" s="2" t="s">
        <v>8567</v>
      </c>
      <c r="Q463" s="2" t="s">
        <v>16</v>
      </c>
      <c r="S463" s="2" t="s">
        <v>18</v>
      </c>
      <c r="T463" s="2"/>
      <c r="U463" s="2" t="s">
        <v>8570</v>
      </c>
      <c r="V463" s="2" t="s">
        <v>10248</v>
      </c>
      <c r="W463" s="2" t="s">
        <v>8567</v>
      </c>
      <c r="Y463" s="2" t="s">
        <v>8573</v>
      </c>
      <c r="Z463" s="2" t="s">
        <v>8694</v>
      </c>
      <c r="AG463" s="7" t="s">
        <v>8575</v>
      </c>
      <c r="AS463" s="2"/>
      <c r="AV463" s="11"/>
      <c r="BA463" s="2" t="s">
        <v>9030</v>
      </c>
      <c r="BI463" s="2" t="s">
        <v>8590</v>
      </c>
      <c r="BL463" s="2" t="s">
        <v>8591</v>
      </c>
      <c r="BO463" s="2"/>
      <c r="MJM463" s="2"/>
    </row>
    <row r="464" customFormat="false" ht="19.5" hidden="false" customHeight="true" outlineLevel="0" collapsed="false">
      <c r="A464" s="2" t="s">
        <v>10249</v>
      </c>
      <c r="C464" s="2" t="str">
        <f aca="false">_xlfn.CONCAT(A464, " ","(",B464,")")</f>
        <v>Periscelis winnertzi ()</v>
      </c>
      <c r="D464" s="2" t="s">
        <v>8580</v>
      </c>
      <c r="E464" s="2" t="s">
        <v>8687</v>
      </c>
      <c r="F464" s="2" t="s">
        <v>10246</v>
      </c>
      <c r="G464" s="2" t="s">
        <v>8662</v>
      </c>
      <c r="H464" s="2" t="e">
        <f aca="false">VLOOKUP(A464,'[1]NE red list'!A$1:H$1048576,5,FALSE())</f>
        <v>#N/A</v>
      </c>
      <c r="I464" s="2" t="s">
        <v>8610</v>
      </c>
      <c r="J464" s="2" t="s">
        <v>10250</v>
      </c>
      <c r="N464" s="2" t="str">
        <f aca="false">_xlfn.CONCAT(Q464," ",R464," ",S464)</f>
        <v> parkland </v>
      </c>
      <c r="O464" s="3" t="s">
        <v>14</v>
      </c>
      <c r="P464" s="2" t="s">
        <v>8587</v>
      </c>
      <c r="R464" s="2" t="s">
        <v>8568</v>
      </c>
      <c r="T464" s="2"/>
      <c r="U464" s="2" t="s">
        <v>8570</v>
      </c>
      <c r="Y464" s="2" t="s">
        <v>8573</v>
      </c>
      <c r="Z464" s="2" t="s">
        <v>8694</v>
      </c>
      <c r="AG464" s="7" t="s">
        <v>8575</v>
      </c>
      <c r="AS464" s="2"/>
      <c r="AV464" s="11"/>
      <c r="BA464" s="2" t="s">
        <v>9030</v>
      </c>
      <c r="BI464" s="2" t="s">
        <v>8590</v>
      </c>
      <c r="BL464" s="2" t="s">
        <v>8591</v>
      </c>
      <c r="BO464" s="2"/>
      <c r="MJM464" s="2"/>
    </row>
    <row r="465" customFormat="false" ht="19.5" hidden="false" customHeight="true" outlineLevel="0" collapsed="false">
      <c r="A465" s="2" t="s">
        <v>10251</v>
      </c>
      <c r="C465" s="2" t="str">
        <f aca="false">_xlfn.CONCAT(A465, " ","(",B465,")")</f>
        <v>Phaonia canescens ()</v>
      </c>
      <c r="D465" s="2" t="s">
        <v>8580</v>
      </c>
      <c r="E465" s="2" t="s">
        <v>8687</v>
      </c>
      <c r="F465" s="2" t="s">
        <v>10252</v>
      </c>
      <c r="G465" s="2" t="s">
        <v>8662</v>
      </c>
      <c r="H465" s="2" t="e">
        <f aca="false">VLOOKUP(A465,'[1]NE red list'!A$1:H$1048576,5,FALSE())</f>
        <v>#N/A</v>
      </c>
      <c r="I465" s="2" t="s">
        <v>8610</v>
      </c>
      <c r="J465" s="2" t="s">
        <v>10253</v>
      </c>
      <c r="L465" s="2" t="s">
        <v>8586</v>
      </c>
      <c r="N465" s="2" t="str">
        <f aca="false">_xlfn.CONCAT(Q465," ",R465," ",S465)</f>
        <v> parkland </v>
      </c>
      <c r="O465" s="3" t="s">
        <v>14</v>
      </c>
      <c r="P465" s="2"/>
      <c r="R465" s="2" t="s">
        <v>8568</v>
      </c>
      <c r="T465" s="2"/>
      <c r="U465" s="2" t="s">
        <v>8605</v>
      </c>
      <c r="Z465" s="2" t="s">
        <v>8574</v>
      </c>
      <c r="AG465" s="7" t="s">
        <v>8575</v>
      </c>
      <c r="AN465" s="8" t="s">
        <v>8638</v>
      </c>
      <c r="AS465" s="2"/>
      <c r="AV465" s="11"/>
      <c r="AX465" s="4" t="s">
        <v>8607</v>
      </c>
      <c r="BL465" s="2" t="s">
        <v>8591</v>
      </c>
      <c r="BO465" s="2"/>
      <c r="MJM465" s="2"/>
    </row>
    <row r="466" customFormat="false" ht="19.5" hidden="false" customHeight="true" outlineLevel="0" collapsed="false">
      <c r="A466" s="2" t="s">
        <v>10254</v>
      </c>
      <c r="C466" s="2" t="str">
        <f aca="false">_xlfn.CONCAT(A466, " ","(",B466,")")</f>
        <v>Phaonia cincta ()</v>
      </c>
      <c r="D466" s="2" t="s">
        <v>8580</v>
      </c>
      <c r="E466" s="2" t="s">
        <v>8687</v>
      </c>
      <c r="F466" s="2" t="s">
        <v>10252</v>
      </c>
      <c r="H466" s="2" t="e">
        <f aca="false">VLOOKUP(A466,'[1]NE red list'!A$1:H$1048576,5,FALSE())</f>
        <v>#N/A</v>
      </c>
      <c r="I466" s="2" t="s">
        <v>8610</v>
      </c>
      <c r="J466" s="2" t="s">
        <v>10255</v>
      </c>
      <c r="L466" s="2" t="s">
        <v>8665</v>
      </c>
      <c r="N466" s="2" t="str">
        <f aca="false">_xlfn.CONCAT(Q466," ",R466," ",S466)</f>
        <v>woodland parkland Tow</v>
      </c>
      <c r="O466" s="2" t="s">
        <v>14</v>
      </c>
      <c r="P466" s="2"/>
      <c r="Q466" s="2" t="s">
        <v>16</v>
      </c>
      <c r="R466" s="2" t="s">
        <v>8568</v>
      </c>
      <c r="S466" s="2" t="s">
        <v>10256</v>
      </c>
      <c r="T466" s="2"/>
      <c r="U466" s="2" t="s">
        <v>8570</v>
      </c>
      <c r="V466" s="2" t="s">
        <v>10257</v>
      </c>
      <c r="X466" s="2" t="s">
        <v>8649</v>
      </c>
      <c r="Y466" s="2" t="s">
        <v>8573</v>
      </c>
      <c r="Z466" s="2" t="s">
        <v>8694</v>
      </c>
      <c r="AA466" s="4" t="s">
        <v>26</v>
      </c>
      <c r="AF466" s="6" t="s">
        <v>8616</v>
      </c>
      <c r="AG466" s="7" t="s">
        <v>8575</v>
      </c>
      <c r="AI466" s="7" t="s">
        <v>8617</v>
      </c>
      <c r="AS466" s="2"/>
      <c r="AV466" s="11"/>
      <c r="AX466" s="4" t="s">
        <v>8607</v>
      </c>
      <c r="BA466" s="2" t="s">
        <v>9030</v>
      </c>
      <c r="BO466" s="2"/>
      <c r="MJM466" s="2"/>
    </row>
    <row r="467" customFormat="false" ht="19.5" hidden="false" customHeight="true" outlineLevel="0" collapsed="false">
      <c r="A467" s="2" t="s">
        <v>10258</v>
      </c>
      <c r="C467" s="2" t="str">
        <f aca="false">_xlfn.CONCAT(A467, " ","(",B467,")")</f>
        <v>Phaonia exoleta ()</v>
      </c>
      <c r="D467" s="2" t="s">
        <v>8580</v>
      </c>
      <c r="E467" s="2" t="s">
        <v>8687</v>
      </c>
      <c r="F467" s="2" t="s">
        <v>10252</v>
      </c>
      <c r="G467" s="2" t="s">
        <v>8583</v>
      </c>
      <c r="H467" s="2" t="e">
        <f aca="false">VLOOKUP(A467,'[1]NE red list'!A$1:H$1048576,5,FALSE())</f>
        <v>#N/A</v>
      </c>
      <c r="I467" s="2" t="s">
        <v>8564</v>
      </c>
      <c r="J467" s="84" t="s">
        <v>10259</v>
      </c>
      <c r="L467" s="2" t="s">
        <v>10260</v>
      </c>
      <c r="N467" s="2" t="str">
        <f aca="false">_xlfn.CONCAT(Q467," ",R467," ",S467)</f>
        <v> parkland </v>
      </c>
      <c r="O467" s="3" t="s">
        <v>14</v>
      </c>
      <c r="P467" s="2" t="s">
        <v>8567</v>
      </c>
      <c r="R467" s="2" t="s">
        <v>8568</v>
      </c>
      <c r="T467" s="2"/>
      <c r="U467" s="2" t="s">
        <v>8570</v>
      </c>
      <c r="W467" s="2" t="s">
        <v>8567</v>
      </c>
      <c r="X467" s="2" t="s">
        <v>8589</v>
      </c>
      <c r="AA467" s="4" t="s">
        <v>26</v>
      </c>
      <c r="AF467" s="6" t="s">
        <v>9635</v>
      </c>
      <c r="AS467" s="2"/>
      <c r="AV467" s="11"/>
      <c r="BD467" s="2" t="s">
        <v>8629</v>
      </c>
      <c r="BO467" s="2"/>
      <c r="MJM467" s="2"/>
    </row>
    <row r="468" customFormat="false" ht="19.5" hidden="false" customHeight="true" outlineLevel="0" collapsed="false">
      <c r="A468" s="2" t="s">
        <v>10261</v>
      </c>
      <c r="C468" s="2" t="str">
        <f aca="false">_xlfn.CONCAT(A468, " ","(",B468,")")</f>
        <v>Phaonia laeta ()</v>
      </c>
      <c r="D468" s="2" t="s">
        <v>8580</v>
      </c>
      <c r="E468" s="2" t="s">
        <v>8687</v>
      </c>
      <c r="F468" s="2" t="s">
        <v>10252</v>
      </c>
      <c r="G468" s="2" t="s">
        <v>8583</v>
      </c>
      <c r="H468" s="2" t="e">
        <f aca="false">VLOOKUP(A468,'[1]NE red list'!A$1:H$1048576,5,FALSE())</f>
        <v>#N/A</v>
      </c>
      <c r="I468" s="2" t="s">
        <v>8564</v>
      </c>
      <c r="J468" s="84" t="s">
        <v>10262</v>
      </c>
      <c r="L468" s="2" t="s">
        <v>8836</v>
      </c>
      <c r="N468" s="2" t="str">
        <f aca="false">_xlfn.CONCAT(Q468," ",R468," ",S468)</f>
        <v> parkland </v>
      </c>
      <c r="O468" s="3" t="s">
        <v>14</v>
      </c>
      <c r="P468" s="2" t="s">
        <v>8567</v>
      </c>
      <c r="R468" s="2" t="s">
        <v>8568</v>
      </c>
      <c r="T468" s="2"/>
      <c r="U468" s="2" t="s">
        <v>8570</v>
      </c>
      <c r="V468" s="2" t="s">
        <v>10263</v>
      </c>
      <c r="W468" s="2" t="s">
        <v>8567</v>
      </c>
      <c r="Y468" s="2" t="s">
        <v>8573</v>
      </c>
      <c r="Z468" s="2" t="s">
        <v>8694</v>
      </c>
      <c r="AA468" s="4" t="s">
        <v>26</v>
      </c>
      <c r="AB468" s="5" t="s">
        <v>9028</v>
      </c>
      <c r="AF468" s="6" t="s">
        <v>8616</v>
      </c>
      <c r="AG468" s="7" t="s">
        <v>8575</v>
      </c>
      <c r="AM468" s="4" t="s">
        <v>8657</v>
      </c>
      <c r="AP468" s="8" t="s">
        <v>10093</v>
      </c>
      <c r="AQ468" s="8" t="s">
        <v>42</v>
      </c>
      <c r="AR468" s="8" t="s">
        <v>43</v>
      </c>
      <c r="AS468" s="2"/>
      <c r="AV468" s="11"/>
      <c r="BA468" s="2" t="s">
        <v>9030</v>
      </c>
      <c r="BO468" s="2"/>
      <c r="MJM468" s="2"/>
    </row>
    <row r="469" customFormat="false" ht="19.5" hidden="false" customHeight="true" outlineLevel="0" collapsed="false">
      <c r="A469" s="2" t="s">
        <v>10264</v>
      </c>
      <c r="C469" s="2" t="str">
        <f aca="false">_xlfn.CONCAT(A469, " ","(",B469,")")</f>
        <v>Phaonia pratensis ()</v>
      </c>
      <c r="D469" s="2" t="s">
        <v>8580</v>
      </c>
      <c r="E469" s="2" t="s">
        <v>8687</v>
      </c>
      <c r="F469" s="2" t="s">
        <v>10252</v>
      </c>
      <c r="G469" s="2" t="s">
        <v>8583</v>
      </c>
      <c r="H469" s="2" t="e">
        <f aca="false">VLOOKUP(A469,'[1]NE red list'!A$1:H$1048576,5,FALSE())</f>
        <v>#N/A</v>
      </c>
      <c r="I469" s="2" t="s">
        <v>8564</v>
      </c>
      <c r="J469" s="84" t="s">
        <v>10265</v>
      </c>
      <c r="L469" s="2" t="s">
        <v>8770</v>
      </c>
      <c r="N469" s="2" t="str">
        <f aca="false">_xlfn.CONCAT(Q469," ",R469," ",S469)</f>
        <v> parkland </v>
      </c>
      <c r="O469" s="3" t="s">
        <v>14</v>
      </c>
      <c r="P469" s="2" t="s">
        <v>8567</v>
      </c>
      <c r="R469" s="2" t="s">
        <v>8568</v>
      </c>
      <c r="T469" s="2"/>
      <c r="U469" s="2" t="s">
        <v>8570</v>
      </c>
      <c r="V469" s="2" t="s">
        <v>8763</v>
      </c>
      <c r="W469" s="2" t="s">
        <v>8567</v>
      </c>
      <c r="X469" s="2" t="s">
        <v>8589</v>
      </c>
      <c r="Y469" s="2" t="s">
        <v>8573</v>
      </c>
      <c r="Z469" s="2" t="s">
        <v>8694</v>
      </c>
      <c r="AA469" s="4" t="s">
        <v>26</v>
      </c>
      <c r="AB469" s="5" t="s">
        <v>9028</v>
      </c>
      <c r="AF469" s="6" t="s">
        <v>8616</v>
      </c>
      <c r="AG469" s="7" t="s">
        <v>8575</v>
      </c>
      <c r="AM469" s="4" t="s">
        <v>8657</v>
      </c>
      <c r="AP469" s="8" t="s">
        <v>10093</v>
      </c>
      <c r="AS469" s="2"/>
      <c r="AV469" s="11"/>
      <c r="BA469" s="2" t="s">
        <v>9030</v>
      </c>
      <c r="BI469" s="2" t="s">
        <v>8590</v>
      </c>
      <c r="BO469" s="2"/>
      <c r="MJM469" s="2"/>
    </row>
    <row r="470" customFormat="false" ht="19.5" hidden="false" customHeight="true" outlineLevel="0" collapsed="false">
      <c r="A470" s="1" t="s">
        <v>10266</v>
      </c>
      <c r="B470" s="2" t="s">
        <v>10267</v>
      </c>
      <c r="C470" s="2" t="str">
        <f aca="false">_xlfn.CONCAT(A470, " ","(",B470,")")</f>
        <v>Philodromus margaritatus (a crab spider)</v>
      </c>
      <c r="D470" s="2" t="s">
        <v>8728</v>
      </c>
      <c r="E470" s="34" t="s">
        <v>8729</v>
      </c>
      <c r="F470" s="2" t="s">
        <v>10268</v>
      </c>
      <c r="G470" s="2" t="s">
        <v>8776</v>
      </c>
      <c r="H470" s="2" t="str">
        <f aca="false">VLOOKUP(A470,'[1]NE red list'!A$1:H$1048576,5,FALSE())</f>
        <v>NT</v>
      </c>
      <c r="I470" s="2" t="s">
        <v>8610</v>
      </c>
      <c r="J470" s="2" t="s">
        <v>10269</v>
      </c>
      <c r="K470" s="2" t="s">
        <v>10270</v>
      </c>
      <c r="L470" s="2" t="s">
        <v>8665</v>
      </c>
      <c r="N470" s="2" t="str">
        <f aca="false">_xlfn.CONCAT(Q470," ",R470," ",S470)</f>
        <v>woodland parkland Tow</v>
      </c>
      <c r="O470" s="2" t="s">
        <v>14</v>
      </c>
      <c r="P470" s="2"/>
      <c r="Q470" s="2" t="s">
        <v>16</v>
      </c>
      <c r="R470" s="2" t="s">
        <v>8568</v>
      </c>
      <c r="S470" s="2" t="s">
        <v>10256</v>
      </c>
      <c r="T470" s="2"/>
      <c r="U470" s="2" t="s">
        <v>8605</v>
      </c>
      <c r="X470" s="2" t="s">
        <v>8589</v>
      </c>
      <c r="Y470" s="2" t="s">
        <v>8573</v>
      </c>
      <c r="Z470" s="2" t="s">
        <v>8694</v>
      </c>
      <c r="AS470" s="2"/>
      <c r="AU470" s="4" t="s">
        <v>8639</v>
      </c>
      <c r="AV470" s="11"/>
      <c r="AW470" s="11" t="s">
        <v>8726</v>
      </c>
      <c r="BG470" s="2" t="s">
        <v>8900</v>
      </c>
      <c r="BH470" s="2" t="s">
        <v>8972</v>
      </c>
      <c r="BI470" s="2" t="s">
        <v>8590</v>
      </c>
      <c r="BK470" s="2" t="s">
        <v>8578</v>
      </c>
      <c r="BL470" s="2" t="s">
        <v>8578</v>
      </c>
      <c r="BO470" s="2"/>
      <c r="MJM470" s="2"/>
    </row>
    <row r="471" customFormat="false" ht="19.5" hidden="false" customHeight="true" outlineLevel="0" collapsed="false">
      <c r="A471" s="2" t="s">
        <v>10271</v>
      </c>
      <c r="C471" s="2" t="str">
        <f aca="false">_xlfn.CONCAT(A471, " ","(",B471,")")</f>
        <v>Phloeocharis subtilissima ()</v>
      </c>
      <c r="D471" s="2" t="s">
        <v>8580</v>
      </c>
      <c r="E471" s="2" t="s">
        <v>8581</v>
      </c>
      <c r="F471" s="2" t="s">
        <v>8652</v>
      </c>
      <c r="G471" s="2" t="s">
        <v>8737</v>
      </c>
      <c r="H471" s="2" t="e">
        <f aca="false">VLOOKUP(A471,'[1]NE red list'!A$1:H$1048576,5,FALSE())</f>
        <v>#N/A</v>
      </c>
      <c r="I471" s="2" t="s">
        <v>8645</v>
      </c>
      <c r="J471" s="2" t="s">
        <v>10272</v>
      </c>
      <c r="K471" s="2" t="s">
        <v>10273</v>
      </c>
      <c r="L471" s="2" t="s">
        <v>8677</v>
      </c>
      <c r="N471" s="2" t="str">
        <f aca="false">_xlfn.CONCAT(Q471," ",R471," ",S471)</f>
        <v>woodland parkland </v>
      </c>
      <c r="O471" s="3" t="s">
        <v>14</v>
      </c>
      <c r="P471" s="2"/>
      <c r="Q471" s="2" t="s">
        <v>16</v>
      </c>
      <c r="R471" s="2" t="s">
        <v>8568</v>
      </c>
      <c r="T471" s="2"/>
      <c r="U471" s="2" t="s">
        <v>8570</v>
      </c>
      <c r="V471" s="2" t="s">
        <v>10274</v>
      </c>
      <c r="X471" s="2" t="s">
        <v>8625</v>
      </c>
      <c r="AG471" s="7" t="s">
        <v>8575</v>
      </c>
      <c r="AN471" s="8" t="s">
        <v>8829</v>
      </c>
      <c r="AS471" s="2"/>
      <c r="AU471" s="4" t="s">
        <v>8639</v>
      </c>
      <c r="AV471" s="11"/>
      <c r="AW471" s="11" t="s">
        <v>8650</v>
      </c>
      <c r="AX471" s="4" t="s">
        <v>8585</v>
      </c>
      <c r="AY471" s="12" t="s">
        <v>8585</v>
      </c>
      <c r="BI471" s="2" t="s">
        <v>8590</v>
      </c>
      <c r="BL471" s="2" t="s">
        <v>8591</v>
      </c>
      <c r="BO471" s="2"/>
      <c r="MJM471" s="2"/>
    </row>
    <row r="472" customFormat="false" ht="19.5" hidden="false" customHeight="true" outlineLevel="0" collapsed="false">
      <c r="A472" s="2" t="s">
        <v>10275</v>
      </c>
      <c r="C472" s="2" t="str">
        <f aca="false">_xlfn.CONCAT(A472, " ","(",B472,")")</f>
        <v>Phloeonomus punctipennis ()</v>
      </c>
      <c r="D472" s="2" t="s">
        <v>8580</v>
      </c>
      <c r="E472" s="2" t="s">
        <v>8581</v>
      </c>
      <c r="F472" s="2" t="s">
        <v>8652</v>
      </c>
      <c r="H472" s="2" t="e">
        <f aca="false">VLOOKUP(A472,'[1]NE red list'!A$1:H$1048576,5,FALSE())</f>
        <v>#N/A</v>
      </c>
      <c r="I472" s="2" t="s">
        <v>8645</v>
      </c>
      <c r="J472" s="2" t="s">
        <v>10276</v>
      </c>
      <c r="L472" s="2" t="s">
        <v>8677</v>
      </c>
      <c r="N472" s="2" t="str">
        <f aca="false">_xlfn.CONCAT(Q472," ",R472," ",S472)</f>
        <v>woodland  </v>
      </c>
      <c r="O472" s="2"/>
      <c r="P472" s="2"/>
      <c r="Q472" s="2" t="s">
        <v>16</v>
      </c>
      <c r="T472" s="2"/>
      <c r="U472" s="2" t="s">
        <v>8605</v>
      </c>
      <c r="X472" s="2" t="s">
        <v>8625</v>
      </c>
      <c r="AG472" s="7" t="s">
        <v>8824</v>
      </c>
      <c r="AN472" s="8" t="s">
        <v>8829</v>
      </c>
      <c r="AS472" s="2"/>
      <c r="AV472" s="11"/>
      <c r="AX472" s="4" t="s">
        <v>8607</v>
      </c>
      <c r="BI472" s="2" t="s">
        <v>8590</v>
      </c>
      <c r="BL472" s="2" t="s">
        <v>8591</v>
      </c>
      <c r="BO472" s="2"/>
      <c r="MJM472" s="2"/>
    </row>
    <row r="473" customFormat="false" ht="19.5" hidden="false" customHeight="true" outlineLevel="0" collapsed="false">
      <c r="A473" s="2" t="s">
        <v>10277</v>
      </c>
      <c r="C473" s="2" t="str">
        <f aca="false">_xlfn.CONCAT(A473, " ","(",B473,")")</f>
        <v>Phloeonomus pusillus ()</v>
      </c>
      <c r="D473" s="2" t="s">
        <v>8580</v>
      </c>
      <c r="E473" s="2" t="s">
        <v>8581</v>
      </c>
      <c r="F473" s="2" t="s">
        <v>8652</v>
      </c>
      <c r="H473" s="2" t="e">
        <f aca="false">VLOOKUP(A473,'[1]NE red list'!A$1:H$1048576,5,FALSE())</f>
        <v>#N/A</v>
      </c>
      <c r="I473" s="2" t="s">
        <v>8645</v>
      </c>
      <c r="J473" s="2" t="s">
        <v>10278</v>
      </c>
      <c r="L473" s="2" t="s">
        <v>8677</v>
      </c>
      <c r="N473" s="2" t="str">
        <f aca="false">_xlfn.CONCAT(Q473," ",R473," ",S473)</f>
        <v>woodland  </v>
      </c>
      <c r="O473" s="2"/>
      <c r="P473" s="2"/>
      <c r="Q473" s="2" t="s">
        <v>16</v>
      </c>
      <c r="T473" s="2"/>
      <c r="U473" s="2" t="s">
        <v>8806</v>
      </c>
      <c r="V473" s="2" t="s">
        <v>8867</v>
      </c>
      <c r="X473" s="2" t="s">
        <v>8625</v>
      </c>
      <c r="AG473" s="7" t="s">
        <v>8824</v>
      </c>
      <c r="AN473" s="8" t="s">
        <v>8829</v>
      </c>
      <c r="AS473" s="2"/>
      <c r="AV473" s="11"/>
      <c r="AX473" s="4" t="s">
        <v>8607</v>
      </c>
      <c r="BI473" s="2" t="s">
        <v>8590</v>
      </c>
      <c r="BL473" s="2" t="s">
        <v>8591</v>
      </c>
      <c r="BO473" s="2"/>
      <c r="MJM473" s="2"/>
    </row>
    <row r="474" customFormat="false" ht="19.5" hidden="false" customHeight="true" outlineLevel="0" collapsed="false">
      <c r="A474" s="2" t="s">
        <v>10279</v>
      </c>
      <c r="C474" s="2" t="str">
        <f aca="false">_xlfn.CONCAT(A474, " ","(",B474,")")</f>
        <v>Phloeophagus lignarius ()</v>
      </c>
      <c r="D474" s="2" t="s">
        <v>8580</v>
      </c>
      <c r="E474" s="2" t="s">
        <v>8581</v>
      </c>
      <c r="F474" s="2" t="s">
        <v>8632</v>
      </c>
      <c r="H474" s="2" t="e">
        <f aca="false">VLOOKUP(A474,'[1]NE red list'!A$1:H$1048576,5,FALSE())</f>
        <v>#N/A</v>
      </c>
      <c r="I474" s="2" t="s">
        <v>9086</v>
      </c>
      <c r="J474" s="2" t="s">
        <v>10280</v>
      </c>
      <c r="L474" s="2" t="s">
        <v>8836</v>
      </c>
      <c r="N474" s="2" t="str">
        <f aca="false">_xlfn.CONCAT(Q474," ",R474," ",S474)</f>
        <v> parkland </v>
      </c>
      <c r="O474" s="3" t="s">
        <v>14</v>
      </c>
      <c r="P474" s="2"/>
      <c r="R474" s="2" t="s">
        <v>8568</v>
      </c>
      <c r="T474" s="2"/>
      <c r="U474" s="2" t="s">
        <v>8570</v>
      </c>
      <c r="V474" s="2" t="s">
        <v>10281</v>
      </c>
      <c r="W474" s="2" t="s">
        <v>8567</v>
      </c>
      <c r="X474" s="2" t="s">
        <v>8625</v>
      </c>
      <c r="Z474" s="2" t="s">
        <v>8614</v>
      </c>
      <c r="AG474" s="7" t="s">
        <v>8575</v>
      </c>
      <c r="AI474" s="7" t="s">
        <v>8617</v>
      </c>
      <c r="AS474" s="2"/>
      <c r="AV474" s="11"/>
      <c r="BI474" s="2" t="s">
        <v>8590</v>
      </c>
      <c r="BL474" s="2" t="s">
        <v>8591</v>
      </c>
      <c r="BO474" s="2"/>
      <c r="MJM474" s="2"/>
    </row>
    <row r="475" customFormat="false" ht="19.5" hidden="false" customHeight="true" outlineLevel="0" collapsed="false">
      <c r="A475" s="2" t="s">
        <v>10282</v>
      </c>
      <c r="C475" s="2" t="str">
        <f aca="false">_xlfn.CONCAT(A475, " ","(",B475,")")</f>
        <v>Phloeostiba plana ()</v>
      </c>
      <c r="D475" s="2" t="s">
        <v>8580</v>
      </c>
      <c r="E475" s="2" t="s">
        <v>8581</v>
      </c>
      <c r="F475" s="2" t="s">
        <v>8652</v>
      </c>
      <c r="H475" s="2" t="e">
        <f aca="false">VLOOKUP(A475,'[1]NE red list'!A$1:H$1048576,5,FALSE())</f>
        <v>#N/A</v>
      </c>
      <c r="I475" s="2" t="s">
        <v>10283</v>
      </c>
      <c r="J475" s="2" t="s">
        <v>10284</v>
      </c>
      <c r="L475" s="2" t="s">
        <v>8665</v>
      </c>
      <c r="N475" s="2" t="str">
        <f aca="false">_xlfn.CONCAT(Q475," ",R475," ",S475)</f>
        <v>woodland  </v>
      </c>
      <c r="O475" s="2" t="s">
        <v>14</v>
      </c>
      <c r="P475" s="2" t="s">
        <v>8587</v>
      </c>
      <c r="Q475" s="2" t="s">
        <v>16</v>
      </c>
      <c r="T475" s="2"/>
      <c r="U475" s="2" t="s">
        <v>8570</v>
      </c>
      <c r="W475" s="2" t="s">
        <v>8567</v>
      </c>
      <c r="X475" s="2" t="s">
        <v>8625</v>
      </c>
      <c r="Y475" s="2" t="s">
        <v>8573</v>
      </c>
      <c r="Z475" s="2" t="s">
        <v>8694</v>
      </c>
      <c r="AG475" s="7" t="s">
        <v>8824</v>
      </c>
      <c r="AN475" s="8" t="s">
        <v>8852</v>
      </c>
      <c r="AS475" s="2"/>
      <c r="AV475" s="11"/>
      <c r="BA475" s="2" t="s">
        <v>8868</v>
      </c>
      <c r="BI475" s="2" t="s">
        <v>8590</v>
      </c>
      <c r="BL475" s="2" t="s">
        <v>8591</v>
      </c>
      <c r="BO475" s="2"/>
      <c r="MJM475" s="2"/>
    </row>
    <row r="476" customFormat="false" ht="19.5" hidden="false" customHeight="true" outlineLevel="0" collapsed="false">
      <c r="A476" s="1" t="s">
        <v>10285</v>
      </c>
      <c r="B476" s="2" t="s">
        <v>10286</v>
      </c>
      <c r="C476" s="2" t="str">
        <f aca="false">_xlfn.CONCAT(A476, " ","(",B476,")")</f>
        <v>Choerades marginatus (Golden-haired Robberfly)</v>
      </c>
      <c r="D476" s="2" t="s">
        <v>8580</v>
      </c>
      <c r="E476" s="2" t="s">
        <v>8687</v>
      </c>
      <c r="F476" s="30" t="s">
        <v>10287</v>
      </c>
      <c r="H476" s="2" t="str">
        <f aca="false">VLOOKUP(A476,'[1]NE red list'!A$1:H$1048576,5,FALSE())</f>
        <v>LC</v>
      </c>
      <c r="I476" s="2" t="s">
        <v>8622</v>
      </c>
      <c r="J476" s="2" t="s">
        <v>10288</v>
      </c>
      <c r="K476" s="2" t="s">
        <v>9997</v>
      </c>
      <c r="L476" s="2" t="s">
        <v>8665</v>
      </c>
      <c r="N476" s="2" t="str">
        <f aca="false">_xlfn.CONCAT(Q476," ",R476," ",S476)</f>
        <v>woodland parkland </v>
      </c>
      <c r="O476" s="3" t="s">
        <v>14</v>
      </c>
      <c r="P476" s="2" t="s">
        <v>8587</v>
      </c>
      <c r="Q476" s="2" t="s">
        <v>16</v>
      </c>
      <c r="R476" s="2" t="s">
        <v>8568</v>
      </c>
      <c r="T476" s="2"/>
      <c r="U476" s="2" t="s">
        <v>8570</v>
      </c>
      <c r="V476" s="2" t="s">
        <v>8745</v>
      </c>
      <c r="W476" s="2" t="s">
        <v>8567</v>
      </c>
      <c r="X476" s="2" t="s">
        <v>8625</v>
      </c>
      <c r="Z476" s="2" t="s">
        <v>8614</v>
      </c>
      <c r="AB476" s="5" t="s">
        <v>8672</v>
      </c>
      <c r="AG476" s="7" t="s">
        <v>8824</v>
      </c>
      <c r="AS476" s="2"/>
      <c r="AV476" s="11"/>
      <c r="BH476" s="2" t="s">
        <v>9275</v>
      </c>
      <c r="BI476" s="2" t="s">
        <v>8590</v>
      </c>
      <c r="BL476" s="2" t="s">
        <v>8591</v>
      </c>
      <c r="BO476" s="2"/>
      <c r="MJM476" s="2"/>
    </row>
    <row r="477" customFormat="false" ht="19.5" hidden="false" customHeight="true" outlineLevel="0" collapsed="false">
      <c r="A477" s="1" t="s">
        <v>10289</v>
      </c>
      <c r="B477" s="2" t="s">
        <v>10290</v>
      </c>
      <c r="C477" s="2" t="str">
        <f aca="false">_xlfn.CONCAT(A477, " ","(",B477,")")</f>
        <v>Phoenicurus phoenicurus (Redstart)</v>
      </c>
      <c r="D477" s="2" t="s">
        <v>8560</v>
      </c>
      <c r="E477" s="2" t="s">
        <v>8561</v>
      </c>
      <c r="F477" s="30" t="s">
        <v>9594</v>
      </c>
      <c r="G477" s="2" t="s">
        <v>8914</v>
      </c>
      <c r="H477" s="2" t="str">
        <f aca="false">VLOOKUP(A477,'[1]NE red list'!A$1:H$1048576,5,FALSE())</f>
        <v>LC</v>
      </c>
      <c r="I477" s="2" t="s">
        <v>8645</v>
      </c>
      <c r="J477" s="2" t="s">
        <v>10291</v>
      </c>
      <c r="L477" s="2" t="s">
        <v>8566</v>
      </c>
      <c r="N477" s="2" t="str">
        <f aca="false">_xlfn.CONCAT(Q477," ",R477," ",S477)</f>
        <v>woodland parkland </v>
      </c>
      <c r="O477" s="3" t="s">
        <v>14</v>
      </c>
      <c r="P477" s="2" t="s">
        <v>8567</v>
      </c>
      <c r="Q477" s="2" t="s">
        <v>16</v>
      </c>
      <c r="R477" s="2" t="s">
        <v>8568</v>
      </c>
      <c r="T477" s="2" t="s">
        <v>8569</v>
      </c>
      <c r="U477" s="2" t="s">
        <v>8605</v>
      </c>
      <c r="W477" s="2" t="s">
        <v>8567</v>
      </c>
      <c r="AA477" s="4" t="s">
        <v>26</v>
      </c>
      <c r="AC477" s="6" t="s">
        <v>30</v>
      </c>
      <c r="AF477" s="6" t="s">
        <v>8616</v>
      </c>
      <c r="AS477" s="2"/>
      <c r="AV477" s="11"/>
      <c r="BL477" s="2" t="s">
        <v>8591</v>
      </c>
      <c r="MJM477" s="2"/>
    </row>
    <row r="478" customFormat="false" ht="19.5" hidden="false" customHeight="true" outlineLevel="0" collapsed="false">
      <c r="A478" s="1" t="s">
        <v>10292</v>
      </c>
      <c r="B478" s="2" t="s">
        <v>10293</v>
      </c>
      <c r="C478" s="2" t="str">
        <f aca="false">_xlfn.CONCAT(A478, " ","(",B478,")")</f>
        <v>Phortica variegata (variegated Sap Fly)</v>
      </c>
      <c r="D478" s="2" t="s">
        <v>8580</v>
      </c>
      <c r="E478" s="2" t="s">
        <v>8687</v>
      </c>
      <c r="F478" s="2" t="s">
        <v>10294</v>
      </c>
      <c r="G478" s="2" t="s">
        <v>8776</v>
      </c>
      <c r="H478" s="2" t="e">
        <f aca="false">VLOOKUP(A478,'[1]NE red list'!A$1:H$1048576,5,FALSE())</f>
        <v>#N/A</v>
      </c>
      <c r="I478" s="2" t="s">
        <v>8645</v>
      </c>
      <c r="J478" s="2" t="s">
        <v>10295</v>
      </c>
      <c r="K478" s="2" t="s">
        <v>10296</v>
      </c>
      <c r="L478" s="2" t="s">
        <v>8613</v>
      </c>
      <c r="N478" s="2" t="str">
        <f aca="false">_xlfn.CONCAT(Q478," ",R478," ",S478)</f>
        <v>woodland parkland </v>
      </c>
      <c r="O478" s="3" t="s">
        <v>14</v>
      </c>
      <c r="P478" s="2"/>
      <c r="Q478" s="2" t="s">
        <v>16</v>
      </c>
      <c r="R478" s="2" t="s">
        <v>8568</v>
      </c>
      <c r="T478" s="2"/>
      <c r="U478" s="2" t="s">
        <v>8570</v>
      </c>
      <c r="X478" s="2" t="s">
        <v>8589</v>
      </c>
      <c r="AS478" s="2"/>
      <c r="AV478" s="11"/>
      <c r="BA478" s="2" t="s">
        <v>9612</v>
      </c>
      <c r="BL478" s="2" t="s">
        <v>8578</v>
      </c>
      <c r="BO478" s="2"/>
      <c r="MJM478" s="2"/>
    </row>
    <row r="479" customFormat="false" ht="19.5" hidden="false" customHeight="true" outlineLevel="0" collapsed="false">
      <c r="A479" s="2" t="s">
        <v>10297</v>
      </c>
      <c r="C479" s="2" t="str">
        <f aca="false">_xlfn.CONCAT(A479, " ","(",B479,")")</f>
        <v>Quedius scitus ()</v>
      </c>
      <c r="D479" s="2" t="s">
        <v>8580</v>
      </c>
      <c r="E479" s="2" t="s">
        <v>8581</v>
      </c>
      <c r="F479" s="2" t="s">
        <v>8652</v>
      </c>
      <c r="G479" s="2" t="s">
        <v>8583</v>
      </c>
      <c r="H479" s="2" t="e">
        <f aca="false">VLOOKUP(A479,'[1]NE red list'!A$1:H$1048576,5,FALSE())</f>
        <v>#N/A</v>
      </c>
      <c r="I479" s="2" t="s">
        <v>9298</v>
      </c>
      <c r="J479" s="2" t="s">
        <v>10298</v>
      </c>
      <c r="L479" s="2" t="s">
        <v>8665</v>
      </c>
      <c r="N479" s="2" t="str">
        <f aca="false">_xlfn.CONCAT(Q479," ",R479," ",S479)</f>
        <v> parkland </v>
      </c>
      <c r="O479" s="3" t="s">
        <v>14</v>
      </c>
      <c r="P479" s="2"/>
      <c r="R479" s="2" t="s">
        <v>8568</v>
      </c>
      <c r="T479" s="2"/>
      <c r="U479" s="2" t="s">
        <v>8570</v>
      </c>
      <c r="W479" s="2" t="s">
        <v>8571</v>
      </c>
      <c r="X479" s="2" t="s">
        <v>9548</v>
      </c>
      <c r="Z479" s="2" t="s">
        <v>8614</v>
      </c>
      <c r="AA479" s="4" t="s">
        <v>26</v>
      </c>
      <c r="AD479" s="6" t="s">
        <v>8615</v>
      </c>
      <c r="AF479" s="6" t="s">
        <v>8616</v>
      </c>
      <c r="AG479" s="7" t="s">
        <v>8575</v>
      </c>
      <c r="AI479" s="7" t="s">
        <v>8617</v>
      </c>
      <c r="AJ479" s="7" t="s">
        <v>8612</v>
      </c>
      <c r="AL479" s="7" t="s">
        <v>8628</v>
      </c>
      <c r="AN479" s="8" t="s">
        <v>8638</v>
      </c>
      <c r="AS479" s="2"/>
      <c r="AV479" s="11"/>
      <c r="BF479" s="2" t="s">
        <v>9274</v>
      </c>
      <c r="BI479" s="2" t="s">
        <v>8590</v>
      </c>
      <c r="BJ479" s="2" t="s">
        <v>8601</v>
      </c>
      <c r="BL479" s="2" t="s">
        <v>8591</v>
      </c>
      <c r="BM479" s="2" t="s">
        <v>8619</v>
      </c>
      <c r="BO479" s="2"/>
      <c r="MJM479" s="2"/>
    </row>
    <row r="480" customFormat="false" ht="19.5" hidden="false" customHeight="true" outlineLevel="0" collapsed="false">
      <c r="A480" s="1" t="s">
        <v>10299</v>
      </c>
      <c r="B480" s="2" t="s">
        <v>10300</v>
      </c>
      <c r="C480" s="2" t="str">
        <f aca="false">_xlfn.CONCAT(A480, " ","(",B480,")")</f>
        <v>Phymatodes testaceus (Oak Longhorn)</v>
      </c>
      <c r="D480" s="2" t="s">
        <v>8580</v>
      </c>
      <c r="E480" s="2" t="s">
        <v>8581</v>
      </c>
      <c r="F480" s="2" t="s">
        <v>8787</v>
      </c>
      <c r="H480" s="2" t="str">
        <f aca="false">VLOOKUP(A480,'[1]NE red list'!A$1:H$1048576,5,FALSE())</f>
        <v>LC</v>
      </c>
      <c r="I480" s="2" t="s">
        <v>8610</v>
      </c>
      <c r="J480" s="2" t="s">
        <v>10301</v>
      </c>
      <c r="K480" s="2" t="s">
        <v>8637</v>
      </c>
      <c r="L480" s="2" t="s">
        <v>8790</v>
      </c>
      <c r="N480" s="2" t="str">
        <f aca="false">_xlfn.CONCAT(Q480," ",R480," ",S480)</f>
        <v>woodland parkland </v>
      </c>
      <c r="O480" s="3" t="s">
        <v>14</v>
      </c>
      <c r="P480" s="2" t="s">
        <v>8587</v>
      </c>
      <c r="Q480" s="2" t="s">
        <v>16</v>
      </c>
      <c r="R480" s="2" t="s">
        <v>8568</v>
      </c>
      <c r="T480" s="2"/>
      <c r="U480" s="2" t="s">
        <v>8605</v>
      </c>
      <c r="V480" s="2" t="s">
        <v>10302</v>
      </c>
      <c r="X480" s="2" t="s">
        <v>10303</v>
      </c>
      <c r="Z480" s="2" t="s">
        <v>8637</v>
      </c>
      <c r="AG480" s="7" t="s">
        <v>8824</v>
      </c>
      <c r="AN480" s="8" t="s">
        <v>8829</v>
      </c>
      <c r="AS480" s="2"/>
      <c r="AV480" s="11"/>
      <c r="BA480" s="2" t="s">
        <v>8868</v>
      </c>
      <c r="BB480" s="2" t="s">
        <v>8618</v>
      </c>
      <c r="BI480" s="2" t="s">
        <v>8590</v>
      </c>
      <c r="BJ480" s="2" t="s">
        <v>8747</v>
      </c>
      <c r="BL480" s="2" t="s">
        <v>8591</v>
      </c>
      <c r="BO480" s="2"/>
      <c r="MJM480" s="2"/>
    </row>
    <row r="481" customFormat="false" ht="19.5" hidden="false" customHeight="true" outlineLevel="0" collapsed="false">
      <c r="A481" s="2" t="s">
        <v>10304</v>
      </c>
      <c r="C481" s="2" t="str">
        <f aca="false">_xlfn.CONCAT(A481, " ","(",B481,")")</f>
        <v>Physatocheila dumetorum ()</v>
      </c>
      <c r="D481" s="2" t="s">
        <v>8580</v>
      </c>
      <c r="E481" s="2" t="s">
        <v>8642</v>
      </c>
      <c r="F481" s="2" t="s">
        <v>8643</v>
      </c>
      <c r="G481" s="2" t="s">
        <v>8737</v>
      </c>
      <c r="H481" s="2" t="e">
        <f aca="false">VLOOKUP(A481,'[1]NE red list'!A$1:H$1048576,5,FALSE())</f>
        <v>#N/A</v>
      </c>
      <c r="I481" s="2" t="s">
        <v>8645</v>
      </c>
      <c r="J481" s="2" t="s">
        <v>10305</v>
      </c>
      <c r="K481" s="2" t="s">
        <v>10306</v>
      </c>
      <c r="L481" s="2" t="s">
        <v>8648</v>
      </c>
      <c r="N481" s="2" t="str">
        <f aca="false">_xlfn.CONCAT(Q481," ",R481," ",S481)</f>
        <v>woodland parkland ToW</v>
      </c>
      <c r="O481" s="2" t="s">
        <v>14</v>
      </c>
      <c r="P481" s="2"/>
      <c r="Q481" s="2" t="s">
        <v>16</v>
      </c>
      <c r="R481" s="2" t="s">
        <v>8568</v>
      </c>
      <c r="S481" s="2" t="s">
        <v>18</v>
      </c>
      <c r="T481" s="2"/>
      <c r="U481" s="2" t="s">
        <v>8570</v>
      </c>
      <c r="V481" s="2" t="s">
        <v>9657</v>
      </c>
      <c r="X481" s="2" t="s">
        <v>8597</v>
      </c>
      <c r="Z481" s="2" t="s">
        <v>8694</v>
      </c>
      <c r="AS481" s="2"/>
      <c r="AU481" s="4" t="s">
        <v>8639</v>
      </c>
      <c r="AV481" s="11"/>
      <c r="AW481" s="11" t="s">
        <v>8726</v>
      </c>
      <c r="BI481" s="2" t="s">
        <v>8590</v>
      </c>
      <c r="BL481" s="2" t="s">
        <v>8591</v>
      </c>
      <c r="BO481" s="2"/>
      <c r="MJM481" s="2"/>
    </row>
    <row r="482" s="32" customFormat="true" ht="19.5" hidden="false" customHeight="true" outlineLevel="0" collapsed="false">
      <c r="A482" s="1" t="s">
        <v>10307</v>
      </c>
      <c r="B482" s="2" t="s">
        <v>10308</v>
      </c>
      <c r="C482" s="2" t="str">
        <f aca="false">_xlfn.CONCAT(A482, " ","(",B482,")")</f>
        <v>Physatocheila smreczynskii (Apple Lace-bug)</v>
      </c>
      <c r="D482" s="2" t="s">
        <v>8580</v>
      </c>
      <c r="E482" s="2" t="s">
        <v>8642</v>
      </c>
      <c r="F482" s="2" t="s">
        <v>8643</v>
      </c>
      <c r="G482" s="2" t="s">
        <v>8633</v>
      </c>
      <c r="H482" s="2" t="e">
        <f aca="false">VLOOKUP(A482,'[1]NE red list'!A$1:H$1048576,5,FALSE())</f>
        <v>#N/A</v>
      </c>
      <c r="I482" s="2" t="s">
        <v>8610</v>
      </c>
      <c r="J482" s="2" t="s">
        <v>10309</v>
      </c>
      <c r="K482" s="2" t="s">
        <v>10310</v>
      </c>
      <c r="L482" s="2" t="s">
        <v>8648</v>
      </c>
      <c r="M482" s="2"/>
      <c r="N482" s="2" t="str">
        <f aca="false">_xlfn.CONCAT(Q482," ",R482," ",S482)</f>
        <v> parkland orchards</v>
      </c>
      <c r="O482" s="2" t="s">
        <v>14</v>
      </c>
      <c r="P482" s="2" t="s">
        <v>8587</v>
      </c>
      <c r="Q482" s="2"/>
      <c r="R482" s="2" t="s">
        <v>8568</v>
      </c>
      <c r="S482" s="2" t="s">
        <v>8692</v>
      </c>
      <c r="T482" s="2"/>
      <c r="U482" s="2" t="s">
        <v>8570</v>
      </c>
      <c r="V482" s="2" t="s">
        <v>10311</v>
      </c>
      <c r="W482" s="2"/>
      <c r="X482" s="2" t="s">
        <v>8597</v>
      </c>
      <c r="Y482" s="2" t="s">
        <v>8573</v>
      </c>
      <c r="Z482" s="2" t="s">
        <v>8694</v>
      </c>
      <c r="AA482" s="4"/>
      <c r="AB482" s="5"/>
      <c r="AC482" s="6"/>
      <c r="AD482" s="6"/>
      <c r="AE482" s="6"/>
      <c r="AF482" s="6"/>
      <c r="AG482" s="7"/>
      <c r="AH482" s="7"/>
      <c r="AI482" s="7"/>
      <c r="AJ482" s="7"/>
      <c r="AK482" s="7"/>
      <c r="AL482" s="7"/>
      <c r="AM482" s="4"/>
      <c r="AS482" s="2"/>
      <c r="AU482" s="4" t="s">
        <v>8639</v>
      </c>
      <c r="AV482" s="11"/>
      <c r="AW482" s="11" t="s">
        <v>8726</v>
      </c>
      <c r="AX482" s="4"/>
      <c r="AY482" s="12"/>
      <c r="AZ482" s="12"/>
      <c r="BI482" s="2" t="s">
        <v>8590</v>
      </c>
      <c r="BL482" s="32" t="s">
        <v>8591</v>
      </c>
    </row>
    <row r="483" customFormat="false" ht="19.5" hidden="false" customHeight="true" outlineLevel="0" collapsed="false">
      <c r="A483" s="1" t="s">
        <v>10312</v>
      </c>
      <c r="B483" s="2" t="s">
        <v>10313</v>
      </c>
      <c r="C483" s="2" t="str">
        <f aca="false">_xlfn.CONCAT(A483, " ","(",B483,")")</f>
        <v>Picus viridis (Green woodpecker)</v>
      </c>
      <c r="D483" s="2" t="s">
        <v>8560</v>
      </c>
      <c r="E483" s="2" t="s">
        <v>8561</v>
      </c>
      <c r="F483" s="2" t="s">
        <v>8562</v>
      </c>
      <c r="G483" s="2" t="s">
        <v>9115</v>
      </c>
      <c r="H483" s="2" t="str">
        <f aca="false">VLOOKUP(A483,'[1]NE red list'!A$1:H$1048576,5,FALSE())</f>
        <v>NT</v>
      </c>
      <c r="I483" s="2" t="s">
        <v>8645</v>
      </c>
      <c r="J483" s="85" t="s">
        <v>10314</v>
      </c>
      <c r="K483" s="2" t="s">
        <v>8664</v>
      </c>
      <c r="L483" s="2" t="s">
        <v>8665</v>
      </c>
      <c r="N483" s="2" t="str">
        <f aca="false">_xlfn.CONCAT(Q483," ",R483," ",S483)</f>
        <v>woodland parkland ToW</v>
      </c>
      <c r="O483" s="2" t="s">
        <v>14</v>
      </c>
      <c r="P483" s="2"/>
      <c r="Q483" s="2" t="s">
        <v>16</v>
      </c>
      <c r="R483" s="2" t="s">
        <v>8568</v>
      </c>
      <c r="S483" s="2" t="s">
        <v>18</v>
      </c>
      <c r="T483" s="2" t="s">
        <v>8569</v>
      </c>
      <c r="U483" s="2" t="s">
        <v>8605</v>
      </c>
      <c r="AA483" s="4" t="s">
        <v>26</v>
      </c>
      <c r="AC483" s="6" t="s">
        <v>30</v>
      </c>
      <c r="AF483" s="6" t="s">
        <v>8616</v>
      </c>
      <c r="AM483" s="4" t="s">
        <v>8657</v>
      </c>
      <c r="AQ483" s="8" t="s">
        <v>42</v>
      </c>
      <c r="AR483" s="8" t="s">
        <v>43</v>
      </c>
      <c r="AS483" s="2"/>
      <c r="AV483" s="11"/>
      <c r="BL483" s="2" t="s">
        <v>8591</v>
      </c>
      <c r="MJM483" s="2"/>
    </row>
    <row r="484" customFormat="false" ht="19.5" hidden="false" customHeight="true" outlineLevel="0" collapsed="false">
      <c r="A484" s="1" t="s">
        <v>10315</v>
      </c>
      <c r="B484" s="2" t="s">
        <v>10316</v>
      </c>
      <c r="C484" s="2" t="str">
        <f aca="false">_xlfn.CONCAT(A484, " ","(",B484,")")</f>
        <v>Pipistrellus nathusii (Nathusius Pipistrelle)</v>
      </c>
      <c r="D484" s="2" t="s">
        <v>8560</v>
      </c>
      <c r="E484" s="2" t="s">
        <v>8967</v>
      </c>
      <c r="F484" s="30" t="s">
        <v>8968</v>
      </c>
      <c r="G484" s="2" t="s">
        <v>8737</v>
      </c>
      <c r="H484" s="2" t="str">
        <f aca="false">VLOOKUP(A484,'[1]NE red list'!A$1:H$1048576,5,FALSE())</f>
        <v>NT</v>
      </c>
      <c r="I484" s="2" t="s">
        <v>8645</v>
      </c>
      <c r="J484" s="86" t="s">
        <v>10317</v>
      </c>
      <c r="L484" s="2" t="s">
        <v>8665</v>
      </c>
      <c r="N484" s="2" t="str">
        <f aca="false">_xlfn.CONCAT(Q484," ",R484," ",S484)</f>
        <v>woodland parkland ToW</v>
      </c>
      <c r="O484" s="2" t="s">
        <v>14</v>
      </c>
      <c r="P484" s="2"/>
      <c r="Q484" s="2" t="s">
        <v>16</v>
      </c>
      <c r="R484" s="2" t="s">
        <v>8568</v>
      </c>
      <c r="S484" s="2" t="s">
        <v>18</v>
      </c>
      <c r="T484" s="2" t="s">
        <v>8569</v>
      </c>
      <c r="U484" s="2" t="s">
        <v>8605</v>
      </c>
      <c r="AA484" s="4" t="s">
        <v>26</v>
      </c>
      <c r="AC484" s="6" t="s">
        <v>30</v>
      </c>
      <c r="AD484" s="6" t="s">
        <v>8615</v>
      </c>
      <c r="AF484" s="6" t="s">
        <v>8616</v>
      </c>
      <c r="AM484" s="4" t="s">
        <v>8657</v>
      </c>
      <c r="AO484" s="8" t="s">
        <v>40</v>
      </c>
      <c r="AQ484" s="8" t="s">
        <v>42</v>
      </c>
      <c r="AR484" s="8" t="s">
        <v>43</v>
      </c>
      <c r="AS484" s="2"/>
      <c r="AV484" s="11"/>
      <c r="BJ484" s="2" t="s">
        <v>8907</v>
      </c>
      <c r="BL484" s="2" t="s">
        <v>8591</v>
      </c>
      <c r="MJM484" s="2"/>
    </row>
    <row r="485" customFormat="false" ht="19.5" hidden="false" customHeight="true" outlineLevel="0" collapsed="false">
      <c r="A485" s="1" t="s">
        <v>10318</v>
      </c>
      <c r="B485" s="2" t="s">
        <v>10318</v>
      </c>
      <c r="C485" s="2" t="str">
        <f aca="false">_xlfn.CONCAT(A485, " ","(",B485,")")</f>
        <v>Pipistrellus pipistrellus (Pipistrellus pipistrellus)</v>
      </c>
      <c r="D485" s="2" t="s">
        <v>8560</v>
      </c>
      <c r="E485" s="2" t="s">
        <v>8967</v>
      </c>
      <c r="F485" s="30" t="s">
        <v>8968</v>
      </c>
      <c r="G485" s="2" t="s">
        <v>8737</v>
      </c>
      <c r="H485" s="2" t="str">
        <f aca="false">VLOOKUP(A485,'[1]NE red list'!A$1:H$1048576,5,FALSE())</f>
        <v>LC</v>
      </c>
      <c r="I485" s="2" t="s">
        <v>8645</v>
      </c>
      <c r="J485" s="86" t="s">
        <v>10319</v>
      </c>
      <c r="L485" s="2" t="s">
        <v>8665</v>
      </c>
      <c r="N485" s="2" t="str">
        <f aca="false">_xlfn.CONCAT(Q485," ",R485," ",S485)</f>
        <v>woodland parkland ToW</v>
      </c>
      <c r="O485" s="2" t="s">
        <v>14</v>
      </c>
      <c r="P485" s="2"/>
      <c r="Q485" s="2" t="s">
        <v>16</v>
      </c>
      <c r="R485" s="2" t="s">
        <v>8568</v>
      </c>
      <c r="S485" s="2" t="s">
        <v>18</v>
      </c>
      <c r="T485" s="2" t="s">
        <v>8569</v>
      </c>
      <c r="U485" s="2" t="s">
        <v>8605</v>
      </c>
      <c r="AA485" s="4" t="s">
        <v>26</v>
      </c>
      <c r="AC485" s="6" t="s">
        <v>30</v>
      </c>
      <c r="AD485" s="6" t="s">
        <v>8615</v>
      </c>
      <c r="AF485" s="6" t="s">
        <v>8616</v>
      </c>
      <c r="AM485" s="4" t="s">
        <v>8657</v>
      </c>
      <c r="AO485" s="8" t="s">
        <v>40</v>
      </c>
      <c r="AQ485" s="8" t="s">
        <v>42</v>
      </c>
      <c r="AR485" s="8" t="s">
        <v>43</v>
      </c>
      <c r="AS485" s="2"/>
      <c r="AV485" s="11"/>
      <c r="BJ485" s="2" t="s">
        <v>8907</v>
      </c>
      <c r="BL485" s="2" t="s">
        <v>8591</v>
      </c>
      <c r="MJM485" s="2"/>
    </row>
    <row r="486" customFormat="false" ht="19.5" hidden="false" customHeight="true" outlineLevel="0" collapsed="false">
      <c r="A486" s="1" t="s">
        <v>10320</v>
      </c>
      <c r="B486" s="2" t="s">
        <v>10321</v>
      </c>
      <c r="C486" s="2" t="str">
        <f aca="false">_xlfn.CONCAT(A486, " ","(",B486,")")</f>
        <v>Pipistrellus pygmaeus (Soprano Pipistrelle)</v>
      </c>
      <c r="D486" s="2" t="s">
        <v>8560</v>
      </c>
      <c r="E486" s="2" t="s">
        <v>8967</v>
      </c>
      <c r="F486" s="30" t="s">
        <v>8968</v>
      </c>
      <c r="G486" s="2" t="s">
        <v>8776</v>
      </c>
      <c r="H486" s="2" t="str">
        <f aca="false">VLOOKUP(A486,'[1]NE red list'!A$1:H$1048576,5,FALSE())</f>
        <v>LC</v>
      </c>
      <c r="I486" s="2" t="s">
        <v>8645</v>
      </c>
      <c r="J486" s="2" t="s">
        <v>10322</v>
      </c>
      <c r="L486" s="2" t="s">
        <v>8665</v>
      </c>
      <c r="N486" s="2" t="str">
        <f aca="false">_xlfn.CONCAT(Q486," ",R486," ",S486)</f>
        <v>woodland parkland ToW</v>
      </c>
      <c r="O486" s="2" t="s">
        <v>14</v>
      </c>
      <c r="P486" s="2"/>
      <c r="Q486" s="2" t="s">
        <v>16</v>
      </c>
      <c r="R486" s="2" t="s">
        <v>8568</v>
      </c>
      <c r="S486" s="2" t="s">
        <v>18</v>
      </c>
      <c r="T486" s="2"/>
      <c r="U486" s="2" t="s">
        <v>8605</v>
      </c>
      <c r="AA486" s="4" t="s">
        <v>26</v>
      </c>
      <c r="AC486" s="6" t="s">
        <v>30</v>
      </c>
      <c r="AD486" s="6" t="s">
        <v>8615</v>
      </c>
      <c r="AF486" s="6" t="s">
        <v>8616</v>
      </c>
      <c r="AM486" s="4" t="s">
        <v>8657</v>
      </c>
      <c r="AO486" s="8" t="s">
        <v>40</v>
      </c>
      <c r="AQ486" s="8" t="s">
        <v>42</v>
      </c>
      <c r="AR486" s="8" t="s">
        <v>43</v>
      </c>
      <c r="AS486" s="2"/>
      <c r="AV486" s="11"/>
      <c r="BH486" s="2" t="s">
        <v>8972</v>
      </c>
      <c r="BJ486" s="2" t="s">
        <v>8907</v>
      </c>
      <c r="BK486" s="2" t="s">
        <v>8578</v>
      </c>
      <c r="BL486" s="2" t="s">
        <v>8578</v>
      </c>
      <c r="MJM486" s="2"/>
    </row>
    <row r="487" customFormat="false" ht="20.25" hidden="false" customHeight="true" outlineLevel="0" collapsed="false">
      <c r="A487" s="2" t="s">
        <v>10323</v>
      </c>
      <c r="C487" s="2" t="str">
        <f aca="false">_xlfn.CONCAT(A487, " ","(",B487,")")</f>
        <v>Placusa depressa ()</v>
      </c>
      <c r="D487" s="2" t="s">
        <v>8580</v>
      </c>
      <c r="E487" s="2" t="s">
        <v>8581</v>
      </c>
      <c r="F487" s="2" t="s">
        <v>8652</v>
      </c>
      <c r="G487" s="2" t="s">
        <v>8583</v>
      </c>
      <c r="H487" s="2" t="e">
        <f aca="false">VLOOKUP(A487,'[1]NE red list'!A$1:H$1048576,5,FALSE())</f>
        <v>#N/A</v>
      </c>
      <c r="I487" s="2" t="s">
        <v>9129</v>
      </c>
      <c r="J487" s="2" t="s">
        <v>10324</v>
      </c>
      <c r="K487" s="2" t="s">
        <v>10325</v>
      </c>
      <c r="L487" s="2" t="s">
        <v>8677</v>
      </c>
      <c r="N487" s="2" t="str">
        <f aca="false">_xlfn.CONCAT(Q487," ",R487," ",S487)</f>
        <v>woodland  </v>
      </c>
      <c r="O487" s="2"/>
      <c r="P487" s="2"/>
      <c r="Q487" s="2" t="s">
        <v>16</v>
      </c>
      <c r="T487" s="2"/>
      <c r="U487" s="2" t="s">
        <v>8806</v>
      </c>
      <c r="V487" s="2" t="s">
        <v>8867</v>
      </c>
      <c r="X487" s="2" t="s">
        <v>8625</v>
      </c>
      <c r="AB487" s="5" t="s">
        <v>8672</v>
      </c>
      <c r="AG487" s="7" t="s">
        <v>8824</v>
      </c>
      <c r="AS487" s="2"/>
      <c r="AV487" s="11"/>
      <c r="BI487" s="2" t="s">
        <v>8590</v>
      </c>
      <c r="BJ487" s="2" t="s">
        <v>8630</v>
      </c>
      <c r="BL487" s="2" t="s">
        <v>8591</v>
      </c>
      <c r="BO487" s="2"/>
      <c r="MJM487" s="2"/>
    </row>
    <row r="488" customFormat="false" ht="19.5" hidden="false" customHeight="true" outlineLevel="0" collapsed="false">
      <c r="A488" s="2" t="s">
        <v>10326</v>
      </c>
      <c r="C488" s="2" t="str">
        <f aca="false">_xlfn.CONCAT(A488, " ","(",B488,")")</f>
        <v>Placusa tachyporoides ()</v>
      </c>
      <c r="D488" s="2" t="s">
        <v>8580</v>
      </c>
      <c r="E488" s="2" t="s">
        <v>8581</v>
      </c>
      <c r="F488" s="2" t="s">
        <v>8652</v>
      </c>
      <c r="G488" s="2" t="s">
        <v>8583</v>
      </c>
      <c r="H488" s="2" t="e">
        <f aca="false">VLOOKUP(A488,'[1]NE red list'!A$1:H$1048576,5,FALSE())</f>
        <v>#N/A</v>
      </c>
      <c r="I488" s="2" t="s">
        <v>10327</v>
      </c>
      <c r="J488" s="2" t="s">
        <v>10328</v>
      </c>
      <c r="L488" s="2" t="s">
        <v>8677</v>
      </c>
      <c r="N488" s="2" t="str">
        <f aca="false">_xlfn.CONCAT(Q488," ",R488," ",S488)</f>
        <v>woodland parkland </v>
      </c>
      <c r="O488" s="3" t="s">
        <v>14</v>
      </c>
      <c r="P488" s="2"/>
      <c r="Q488" s="2" t="s">
        <v>16</v>
      </c>
      <c r="R488" s="2" t="s">
        <v>8568</v>
      </c>
      <c r="T488" s="2"/>
      <c r="U488" s="2" t="s">
        <v>8570</v>
      </c>
      <c r="V488" s="2" t="s">
        <v>10329</v>
      </c>
      <c r="X488" s="2" t="s">
        <v>8625</v>
      </c>
      <c r="Z488" s="2" t="s">
        <v>8694</v>
      </c>
      <c r="AG488" s="7" t="s">
        <v>8824</v>
      </c>
      <c r="AN488" s="8" t="s">
        <v>8829</v>
      </c>
      <c r="AS488" s="2"/>
      <c r="AV488" s="11"/>
      <c r="BA488" s="2" t="s">
        <v>10330</v>
      </c>
      <c r="BI488" s="2" t="s">
        <v>8590</v>
      </c>
      <c r="BJ488" s="2" t="s">
        <v>8630</v>
      </c>
      <c r="BL488" s="2" t="s">
        <v>8591</v>
      </c>
      <c r="BO488" s="2"/>
      <c r="MJM488" s="2"/>
    </row>
    <row r="489" customFormat="false" ht="19.5" hidden="false" customHeight="true" outlineLevel="0" collapsed="false">
      <c r="A489" s="2" t="s">
        <v>10331</v>
      </c>
      <c r="C489" s="2" t="str">
        <f aca="false">_xlfn.CONCAT(A489, " ","(",B489,")")</f>
        <v>Platycis cosnardi ()</v>
      </c>
      <c r="D489" s="2" t="s">
        <v>8580</v>
      </c>
      <c r="E489" s="2" t="s">
        <v>8581</v>
      </c>
      <c r="F489" s="2" t="s">
        <v>9323</v>
      </c>
      <c r="H489" s="2" t="e">
        <f aca="false">VLOOKUP(A489,'[1]NE red list'!A$1:H$1048576,5,FALSE())</f>
        <v>#N/A</v>
      </c>
      <c r="I489" s="2" t="s">
        <v>8610</v>
      </c>
      <c r="J489" s="2" t="s">
        <v>10332</v>
      </c>
      <c r="N489" s="2" t="str">
        <f aca="false">_xlfn.CONCAT(Q489," ",R489," ",S489)</f>
        <v> parkland </v>
      </c>
      <c r="O489" s="3" t="s">
        <v>14</v>
      </c>
      <c r="P489" s="2" t="s">
        <v>8587</v>
      </c>
      <c r="R489" s="2" t="s">
        <v>8568</v>
      </c>
      <c r="T489" s="2"/>
      <c r="U489" s="2" t="s">
        <v>8570</v>
      </c>
      <c r="V489" s="2" t="s">
        <v>9038</v>
      </c>
      <c r="W489" s="2" t="s">
        <v>8567</v>
      </c>
      <c r="X489" s="2" t="s">
        <v>8589</v>
      </c>
      <c r="Z489" s="2" t="s">
        <v>8614</v>
      </c>
      <c r="AG489" s="7" t="s">
        <v>8575</v>
      </c>
      <c r="AI489" s="7" t="s">
        <v>8617</v>
      </c>
      <c r="AK489" s="7" t="s">
        <v>8780</v>
      </c>
      <c r="AL489" s="7" t="s">
        <v>8628</v>
      </c>
      <c r="AS489" s="2"/>
      <c r="AV489" s="11"/>
      <c r="BD489" s="2" t="s">
        <v>8629</v>
      </c>
      <c r="BI489" s="2" t="s">
        <v>8590</v>
      </c>
      <c r="BO489" s="2"/>
      <c r="MJM489" s="2"/>
    </row>
    <row r="490" s="32" customFormat="true" ht="19.5" hidden="false" customHeight="true" outlineLevel="0" collapsed="false">
      <c r="A490" s="2" t="s">
        <v>10333</v>
      </c>
      <c r="B490" s="2"/>
      <c r="C490" s="2" t="str">
        <f aca="false">_xlfn.CONCAT(A490, " ","(",B490,")")</f>
        <v>Odinia maculata ()</v>
      </c>
      <c r="D490" s="2" t="s">
        <v>8580</v>
      </c>
      <c r="E490" s="2" t="s">
        <v>8687</v>
      </c>
      <c r="F490" s="2" t="s">
        <v>10156</v>
      </c>
      <c r="G490" s="2" t="s">
        <v>8662</v>
      </c>
      <c r="H490" s="2" t="e">
        <f aca="false">VLOOKUP(A490,'[1]NE red list'!A$1:H$1048576,5,FALSE())</f>
        <v>#N/A</v>
      </c>
      <c r="I490" s="2" t="s">
        <v>8610</v>
      </c>
      <c r="J490" s="2" t="s">
        <v>10334</v>
      </c>
      <c r="K490" s="2"/>
      <c r="L490" s="2" t="s">
        <v>8586</v>
      </c>
      <c r="M490" s="2"/>
      <c r="N490" s="2" t="str">
        <f aca="false">_xlfn.CONCAT(Q490," ",R490," ",S490)</f>
        <v> parkland </v>
      </c>
      <c r="O490" s="3" t="s">
        <v>14</v>
      </c>
      <c r="P490" s="2" t="s">
        <v>8587</v>
      </c>
      <c r="Q490" s="2"/>
      <c r="R490" s="2" t="s">
        <v>8568</v>
      </c>
      <c r="S490" s="2"/>
      <c r="T490" s="2"/>
      <c r="U490" s="2" t="s">
        <v>8570</v>
      </c>
      <c r="V490" s="2" t="s">
        <v>8710</v>
      </c>
      <c r="W490" s="2" t="s">
        <v>8567</v>
      </c>
      <c r="X490" s="2"/>
      <c r="Y490" s="2"/>
      <c r="Z490" s="2"/>
      <c r="AA490" s="4"/>
      <c r="AB490" s="5" t="s">
        <v>9088</v>
      </c>
      <c r="AC490" s="6"/>
      <c r="AD490" s="6"/>
      <c r="AE490" s="6"/>
      <c r="AF490" s="6"/>
      <c r="AG490" s="7" t="s">
        <v>8575</v>
      </c>
      <c r="AH490" s="7"/>
      <c r="AI490" s="7"/>
      <c r="AJ490" s="7"/>
      <c r="AK490" s="7"/>
      <c r="AL490" s="7"/>
      <c r="AM490" s="4"/>
      <c r="AN490" s="8"/>
      <c r="AO490" s="8"/>
      <c r="AP490" s="8"/>
      <c r="AQ490" s="8"/>
      <c r="AR490" s="8"/>
      <c r="AS490" s="2"/>
      <c r="AT490" s="2"/>
      <c r="AU490" s="4"/>
      <c r="AV490" s="11"/>
      <c r="AW490" s="11"/>
      <c r="AX490" s="4"/>
      <c r="AY490" s="12"/>
      <c r="AZ490" s="12"/>
      <c r="BA490" s="2" t="s">
        <v>9030</v>
      </c>
      <c r="BB490" s="2"/>
      <c r="BC490" s="2"/>
      <c r="BD490" s="2"/>
      <c r="BE490" s="2"/>
      <c r="BF490" s="2"/>
      <c r="BG490" s="2"/>
      <c r="BH490" s="2"/>
      <c r="BI490" s="2" t="s">
        <v>8590</v>
      </c>
      <c r="BJ490" s="2"/>
      <c r="BK490" s="2"/>
      <c r="BL490" s="2" t="s">
        <v>8591</v>
      </c>
      <c r="BM490" s="2"/>
      <c r="BN490" s="2"/>
    </row>
    <row r="491" customFormat="false" ht="19.5" hidden="false" customHeight="true" outlineLevel="0" collapsed="false">
      <c r="A491" s="1" t="s">
        <v>10335</v>
      </c>
      <c r="B491" s="2" t="s">
        <v>10336</v>
      </c>
      <c r="C491" s="2" t="str">
        <f aca="false">_xlfn.CONCAT(A491, " ","(",B491,")")</f>
        <v>Platypus cylindrus (Pinhole Borer)</v>
      </c>
      <c r="D491" s="2" t="s">
        <v>8580</v>
      </c>
      <c r="E491" s="2" t="s">
        <v>8581</v>
      </c>
      <c r="F491" s="2" t="s">
        <v>8652</v>
      </c>
      <c r="G491" s="2" t="s">
        <v>8583</v>
      </c>
      <c r="H491" s="2" t="e">
        <f aca="false">VLOOKUP(A491,'[1]NE red list'!A$1:H$1048576,5,FALSE())</f>
        <v>#N/A</v>
      </c>
      <c r="I491" s="2" t="s">
        <v>10337</v>
      </c>
      <c r="J491" s="2" t="s">
        <v>10338</v>
      </c>
      <c r="K491" s="2" t="s">
        <v>8637</v>
      </c>
      <c r="L491" s="2" t="s">
        <v>8613</v>
      </c>
      <c r="N491" s="2" t="str">
        <f aca="false">_xlfn.CONCAT(Q491," ",R491," ",S491)</f>
        <v>woodland parkland </v>
      </c>
      <c r="O491" s="3" t="s">
        <v>14</v>
      </c>
      <c r="P491" s="2"/>
      <c r="Q491" s="2" t="s">
        <v>16</v>
      </c>
      <c r="R491" s="2" t="s">
        <v>8568</v>
      </c>
      <c r="T491" s="2"/>
      <c r="U491" s="2" t="s">
        <v>8570</v>
      </c>
      <c r="V491" s="2" t="s">
        <v>8828</v>
      </c>
      <c r="Z491" s="2" t="s">
        <v>8637</v>
      </c>
      <c r="AG491" s="7" t="s">
        <v>8824</v>
      </c>
      <c r="AM491" s="4" t="s">
        <v>8657</v>
      </c>
      <c r="AP491" s="8" t="s">
        <v>8719</v>
      </c>
      <c r="AQ491" s="8" t="s">
        <v>42</v>
      </c>
      <c r="AR491" s="8" t="s">
        <v>43</v>
      </c>
      <c r="AS491" s="2"/>
      <c r="AV491" s="11"/>
      <c r="AX491" s="4" t="s">
        <v>8607</v>
      </c>
      <c r="BA491" s="2" t="s">
        <v>9612</v>
      </c>
      <c r="BI491" s="2" t="s">
        <v>8590</v>
      </c>
      <c r="BJ491" s="2" t="s">
        <v>8601</v>
      </c>
      <c r="BL491" s="2" t="s">
        <v>8591</v>
      </c>
      <c r="BO491" s="2"/>
      <c r="MJM491" s="2"/>
    </row>
    <row r="492" customFormat="false" ht="19.5" hidden="false" customHeight="true" outlineLevel="0" collapsed="false">
      <c r="A492" s="1" t="s">
        <v>10339</v>
      </c>
      <c r="B492" s="2" t="s">
        <v>10340</v>
      </c>
      <c r="C492" s="2" t="str">
        <f aca="false">_xlfn.CONCAT(A492, " ","(",B492,")")</f>
        <v>Platyrhinus resinosus (Cramp-Ball Fungus Weevil)</v>
      </c>
      <c r="D492" s="2" t="s">
        <v>8580</v>
      </c>
      <c r="E492" s="2" t="s">
        <v>8581</v>
      </c>
      <c r="F492" s="2" t="s">
        <v>9139</v>
      </c>
      <c r="G492" s="2" t="s">
        <v>8583</v>
      </c>
      <c r="H492" s="2" t="e">
        <f aca="false">VLOOKUP(A492,'[1]NE red list'!A$1:H$1048576,5,FALSE())</f>
        <v>#N/A</v>
      </c>
      <c r="I492" s="2" t="s">
        <v>10341</v>
      </c>
      <c r="J492" s="2" t="s">
        <v>10342</v>
      </c>
      <c r="K492" s="2" t="s">
        <v>10343</v>
      </c>
      <c r="L492" s="2" t="s">
        <v>8677</v>
      </c>
      <c r="N492" s="2" t="str">
        <f aca="false">_xlfn.CONCAT(Q492," ",R492," ",S492)</f>
        <v>woodland parkland </v>
      </c>
      <c r="O492" s="3" t="s">
        <v>14</v>
      </c>
      <c r="P492" s="2" t="s">
        <v>8587</v>
      </c>
      <c r="Q492" s="2" t="s">
        <v>16</v>
      </c>
      <c r="R492" s="2" t="s">
        <v>8568</v>
      </c>
      <c r="T492" s="2"/>
      <c r="U492" s="2" t="s">
        <v>8570</v>
      </c>
      <c r="V492" s="2" t="s">
        <v>9325</v>
      </c>
      <c r="W492" s="2" t="s">
        <v>8567</v>
      </c>
      <c r="Z492" s="2" t="s">
        <v>8614</v>
      </c>
      <c r="AS492" s="2"/>
      <c r="AV492" s="11"/>
      <c r="AX492" s="4" t="s">
        <v>8607</v>
      </c>
      <c r="AY492" s="12" t="s">
        <v>10344</v>
      </c>
      <c r="BI492" s="2" t="s">
        <v>8590</v>
      </c>
      <c r="BL492" s="2" t="s">
        <v>8591</v>
      </c>
      <c r="BO492" s="2"/>
      <c r="MJM492" s="2"/>
    </row>
    <row r="493" customFormat="false" ht="19.5" hidden="false" customHeight="true" outlineLevel="0" collapsed="false">
      <c r="A493" s="2" t="s">
        <v>10345</v>
      </c>
      <c r="C493" s="2" t="str">
        <f aca="false">_xlfn.CONCAT(A493, " ","(",B493,")")</f>
        <v>Platystomos albinus ()</v>
      </c>
      <c r="D493" s="2" t="s">
        <v>8580</v>
      </c>
      <c r="E493" s="2" t="s">
        <v>8581</v>
      </c>
      <c r="F493" s="2" t="s">
        <v>9139</v>
      </c>
      <c r="G493" s="2" t="s">
        <v>8583</v>
      </c>
      <c r="H493" s="2" t="e">
        <f aca="false">VLOOKUP(A493,'[1]NE red list'!A$1:H$1048576,5,FALSE())</f>
        <v>#N/A</v>
      </c>
      <c r="I493" s="2" t="s">
        <v>8788</v>
      </c>
      <c r="J493" s="2" t="s">
        <v>10346</v>
      </c>
      <c r="L493" s="2" t="s">
        <v>8677</v>
      </c>
      <c r="N493" s="2" t="str">
        <f aca="false">_xlfn.CONCAT(Q493," ",R493," ",S493)</f>
        <v>woodland parkland </v>
      </c>
      <c r="O493" s="3" t="s">
        <v>14</v>
      </c>
      <c r="P493" s="2"/>
      <c r="Q493" s="2" t="s">
        <v>16</v>
      </c>
      <c r="R493" s="2" t="s">
        <v>8568</v>
      </c>
      <c r="T493" s="2"/>
      <c r="U493" s="2" t="s">
        <v>8570</v>
      </c>
      <c r="X493" s="2" t="s">
        <v>8625</v>
      </c>
      <c r="Z493" s="2" t="s">
        <v>8574</v>
      </c>
      <c r="AG493" s="7" t="s">
        <v>8824</v>
      </c>
      <c r="AS493" s="2"/>
      <c r="AV493" s="11"/>
      <c r="AX493" s="4" t="s">
        <v>8607</v>
      </c>
      <c r="AY493" s="12" t="s">
        <v>10344</v>
      </c>
      <c r="BI493" s="2" t="s">
        <v>8590</v>
      </c>
      <c r="BJ493" s="2" t="s">
        <v>8601</v>
      </c>
      <c r="BL493" s="2" t="s">
        <v>8591</v>
      </c>
      <c r="BO493" s="2"/>
      <c r="MJM493" s="2"/>
    </row>
    <row r="494" customFormat="false" ht="19.5" hidden="false" customHeight="true" outlineLevel="0" collapsed="false">
      <c r="A494" s="1" t="s">
        <v>10347</v>
      </c>
      <c r="B494" s="2" t="s">
        <v>10348</v>
      </c>
      <c r="C494" s="2" t="str">
        <f aca="false">_xlfn.CONCAT(A494, " ","(",B494,")")</f>
        <v>Plecotus auritus (Brown Long-eared bat)</v>
      </c>
      <c r="D494" s="2" t="s">
        <v>8560</v>
      </c>
      <c r="E494" s="2" t="s">
        <v>8967</v>
      </c>
      <c r="F494" s="30" t="s">
        <v>8968</v>
      </c>
      <c r="G494" s="2" t="s">
        <v>8776</v>
      </c>
      <c r="H494" s="2" t="str">
        <f aca="false">VLOOKUP(A494,'[1]NE red list'!A$1:H$1048576,5,FALSE())</f>
        <v>LC</v>
      </c>
      <c r="I494" s="2" t="s">
        <v>8645</v>
      </c>
      <c r="J494" s="2" t="s">
        <v>10349</v>
      </c>
      <c r="K494" s="2" t="s">
        <v>8971</v>
      </c>
      <c r="L494" s="2" t="s">
        <v>8665</v>
      </c>
      <c r="N494" s="2" t="str">
        <f aca="false">_xlfn.CONCAT(Q494," ",R494," ",S494)</f>
        <v>woodland parkland </v>
      </c>
      <c r="O494" s="3" t="s">
        <v>14</v>
      </c>
      <c r="P494" s="2"/>
      <c r="Q494" s="2" t="s">
        <v>16</v>
      </c>
      <c r="R494" s="2" t="s">
        <v>8568</v>
      </c>
      <c r="T494" s="2"/>
      <c r="U494" s="2" t="s">
        <v>8605</v>
      </c>
      <c r="AA494" s="4" t="s">
        <v>26</v>
      </c>
      <c r="AC494" s="6" t="s">
        <v>30</v>
      </c>
      <c r="AD494" s="6" t="s">
        <v>8615</v>
      </c>
      <c r="AF494" s="6" t="s">
        <v>8616</v>
      </c>
      <c r="AS494" s="2"/>
      <c r="AV494" s="11"/>
      <c r="BF494" s="2" t="s">
        <v>10350</v>
      </c>
      <c r="BH494" s="2" t="s">
        <v>8972</v>
      </c>
      <c r="BJ494" s="2" t="s">
        <v>8907</v>
      </c>
      <c r="BK494" s="2" t="s">
        <v>8578</v>
      </c>
      <c r="BL494" s="2" t="s">
        <v>8578</v>
      </c>
      <c r="MJM494" s="2"/>
    </row>
    <row r="495" customFormat="false" ht="19.5" hidden="false" customHeight="true" outlineLevel="0" collapsed="false">
      <c r="A495" s="2" t="s">
        <v>10351</v>
      </c>
      <c r="C495" s="2" t="str">
        <f aca="false">_xlfn.CONCAT(A495, " ","(",B495,")")</f>
        <v>Scraptia testacea ()</v>
      </c>
      <c r="D495" s="2" t="s">
        <v>8580</v>
      </c>
      <c r="E495" s="2" t="s">
        <v>8581</v>
      </c>
      <c r="F495" s="2" t="s">
        <v>8813</v>
      </c>
      <c r="G495" s="2" t="s">
        <v>8583</v>
      </c>
      <c r="H495" s="2" t="str">
        <f aca="false">VLOOKUP(A495,'[1]NE red list'!A$1:H$1048576,5,FALSE())</f>
        <v>LC</v>
      </c>
      <c r="I495" s="2" t="s">
        <v>8753</v>
      </c>
      <c r="J495" s="2" t="s">
        <v>10352</v>
      </c>
      <c r="K495" s="2" t="s">
        <v>10353</v>
      </c>
      <c r="L495" s="2" t="s">
        <v>8665</v>
      </c>
      <c r="N495" s="2" t="str">
        <f aca="false">_xlfn.CONCAT(Q495," ",R495," ",S495)</f>
        <v> parkland </v>
      </c>
      <c r="O495" s="3" t="s">
        <v>14</v>
      </c>
      <c r="P495" s="2" t="s">
        <v>8587</v>
      </c>
      <c r="R495" s="2" t="s">
        <v>8568</v>
      </c>
      <c r="T495" s="2"/>
      <c r="U495" s="2" t="s">
        <v>8570</v>
      </c>
      <c r="V495" s="2" t="s">
        <v>10354</v>
      </c>
      <c r="W495" s="2" t="s">
        <v>8571</v>
      </c>
      <c r="Z495" s="2" t="s">
        <v>8614</v>
      </c>
      <c r="AA495" s="4" t="s">
        <v>26</v>
      </c>
      <c r="AD495" s="6" t="s">
        <v>8615</v>
      </c>
      <c r="AF495" s="6" t="s">
        <v>8616</v>
      </c>
      <c r="AG495" s="7" t="s">
        <v>8575</v>
      </c>
      <c r="AI495" s="7" t="s">
        <v>8617</v>
      </c>
      <c r="AJ495" s="7" t="s">
        <v>8612</v>
      </c>
      <c r="AK495" s="7" t="s">
        <v>8627</v>
      </c>
      <c r="AS495" s="2"/>
      <c r="AV495" s="11"/>
      <c r="BB495" s="2" t="s">
        <v>8618</v>
      </c>
      <c r="BI495" s="2" t="s">
        <v>8590</v>
      </c>
      <c r="BJ495" s="2" t="s">
        <v>8747</v>
      </c>
      <c r="BL495" s="2" t="s">
        <v>8591</v>
      </c>
      <c r="BM495" s="2" t="s">
        <v>8619</v>
      </c>
      <c r="BO495" s="2"/>
      <c r="MJM495" s="2"/>
    </row>
    <row r="496" customFormat="false" ht="19.5" hidden="false" customHeight="true" outlineLevel="0" collapsed="false">
      <c r="A496" s="2" t="s">
        <v>10355</v>
      </c>
      <c r="C496" s="2" t="str">
        <f aca="false">_xlfn.CONCAT(A496, " ","(",B496,")")</f>
        <v>Stereocorynes truncorum ()</v>
      </c>
      <c r="D496" s="2" t="s">
        <v>8580</v>
      </c>
      <c r="E496" s="2" t="s">
        <v>8581</v>
      </c>
      <c r="F496" s="2" t="s">
        <v>9248</v>
      </c>
      <c r="G496" s="2" t="s">
        <v>8583</v>
      </c>
      <c r="H496" s="2" t="e">
        <f aca="false">VLOOKUP(A496,'[1]NE red list'!A$1:H$1048576,5,FALSE())</f>
        <v>#N/A</v>
      </c>
      <c r="I496" s="2" t="s">
        <v>8753</v>
      </c>
      <c r="J496" s="2" t="s">
        <v>10356</v>
      </c>
      <c r="K496" s="2" t="s">
        <v>10357</v>
      </c>
      <c r="L496" s="2" t="s">
        <v>8836</v>
      </c>
      <c r="N496" s="2" t="str">
        <f aca="false">_xlfn.CONCAT(Q496," ",R496," ",S496)</f>
        <v> parkland </v>
      </c>
      <c r="O496" s="3" t="s">
        <v>14</v>
      </c>
      <c r="P496" s="2" t="s">
        <v>8587</v>
      </c>
      <c r="R496" s="2" t="s">
        <v>8568</v>
      </c>
      <c r="T496" s="2"/>
      <c r="U496" s="2" t="s">
        <v>8570</v>
      </c>
      <c r="V496" s="2" t="s">
        <v>10358</v>
      </c>
      <c r="W496" s="2" t="s">
        <v>8571</v>
      </c>
      <c r="Z496" s="2" t="s">
        <v>8574</v>
      </c>
      <c r="AA496" s="4" t="s">
        <v>26</v>
      </c>
      <c r="AD496" s="6" t="s">
        <v>8615</v>
      </c>
      <c r="AF496" s="6" t="s">
        <v>8616</v>
      </c>
      <c r="AG496" s="7" t="s">
        <v>8575</v>
      </c>
      <c r="AI496" s="7" t="s">
        <v>8617</v>
      </c>
      <c r="AS496" s="2"/>
      <c r="AV496" s="11"/>
      <c r="BI496" s="2" t="s">
        <v>8590</v>
      </c>
      <c r="BJ496" s="2" t="s">
        <v>8630</v>
      </c>
      <c r="BL496" s="2" t="s">
        <v>8591</v>
      </c>
      <c r="BO496" s="2"/>
      <c r="MJM496" s="2"/>
    </row>
    <row r="497" customFormat="false" ht="19.5" hidden="false" customHeight="true" outlineLevel="0" collapsed="false">
      <c r="A497" s="2" t="s">
        <v>10359</v>
      </c>
      <c r="C497" s="2" t="str">
        <f aca="false">_xlfn.CONCAT(A497, " ","(",B497,")")</f>
        <v>Pocota personata ()</v>
      </c>
      <c r="D497" s="2" t="s">
        <v>8580</v>
      </c>
      <c r="E497" s="2" t="s">
        <v>8687</v>
      </c>
      <c r="F497" s="2" t="s">
        <v>9024</v>
      </c>
      <c r="G497" s="2" t="s">
        <v>8662</v>
      </c>
      <c r="H497" s="2" t="str">
        <f aca="false">VLOOKUP(A497,'[1]NE red list'!A$1:H$1048576,5,FALSE())</f>
        <v>LC</v>
      </c>
      <c r="I497" s="2" t="s">
        <v>8610</v>
      </c>
      <c r="J497" s="2" t="s">
        <v>10360</v>
      </c>
      <c r="L497" s="2" t="s">
        <v>8770</v>
      </c>
      <c r="N497" s="2" t="str">
        <f aca="false">_xlfn.CONCAT(Q497," ",R497," ",S497)</f>
        <v>woodland parkland </v>
      </c>
      <c r="O497" s="3" t="s">
        <v>14</v>
      </c>
      <c r="P497" s="2" t="s">
        <v>8587</v>
      </c>
      <c r="Q497" s="2" t="s">
        <v>16</v>
      </c>
      <c r="R497" s="2" t="s">
        <v>8568</v>
      </c>
      <c r="T497" s="2"/>
      <c r="U497" s="2" t="s">
        <v>8570</v>
      </c>
      <c r="V497" s="2" t="s">
        <v>9640</v>
      </c>
      <c r="W497" s="2" t="s">
        <v>8587</v>
      </c>
      <c r="X497" s="2" t="s">
        <v>8746</v>
      </c>
      <c r="Y497" s="2" t="s">
        <v>8573</v>
      </c>
      <c r="Z497" s="2" t="s">
        <v>8614</v>
      </c>
      <c r="AA497" s="4" t="s">
        <v>26</v>
      </c>
      <c r="AD497" s="6" t="s">
        <v>9044</v>
      </c>
      <c r="AF497" s="6" t="s">
        <v>9045</v>
      </c>
      <c r="AG497" s="7" t="s">
        <v>8575</v>
      </c>
      <c r="AI497" s="7" t="s">
        <v>8617</v>
      </c>
      <c r="AK497" s="7" t="s">
        <v>8780</v>
      </c>
      <c r="AS497" s="2"/>
      <c r="AV497" s="11"/>
      <c r="BB497" s="2" t="s">
        <v>8618</v>
      </c>
      <c r="BI497" s="2" t="s">
        <v>8590</v>
      </c>
      <c r="BL497" s="2" t="s">
        <v>8591</v>
      </c>
      <c r="BO497" s="2"/>
      <c r="MJM497" s="2"/>
    </row>
    <row r="498" s="61" customFormat="true" ht="19.5" hidden="false" customHeight="true" outlineLevel="0" collapsed="false">
      <c r="A498" s="1" t="s">
        <v>10361</v>
      </c>
      <c r="B498" s="3" t="s">
        <v>10362</v>
      </c>
      <c r="C498" s="2" t="str">
        <f aca="false">_xlfn.CONCAT(A498, " ","(",B498,")")</f>
        <v>Poecile montanus (Willow Tit)</v>
      </c>
      <c r="D498" s="2" t="s">
        <v>8560</v>
      </c>
      <c r="E498" s="2" t="s">
        <v>8561</v>
      </c>
      <c r="F498" s="2" t="s">
        <v>9328</v>
      </c>
      <c r="G498" s="2" t="s">
        <v>10034</v>
      </c>
      <c r="H498" s="2" t="str">
        <f aca="false">VLOOKUP(A498,'[1]NE red list'!A$1:H$1048576,5,FALSE())</f>
        <v>EN</v>
      </c>
      <c r="I498" s="2" t="s">
        <v>8645</v>
      </c>
      <c r="J498" s="60" t="s">
        <v>10363</v>
      </c>
      <c r="K498" s="2"/>
      <c r="L498" s="2" t="s">
        <v>8566</v>
      </c>
      <c r="M498" s="2"/>
      <c r="N498" s="2" t="str">
        <f aca="false">_xlfn.CONCAT(Q498," ",R498," ",S498)</f>
        <v>woodland  </v>
      </c>
      <c r="O498" s="3"/>
      <c r="P498" s="2"/>
      <c r="Q498" s="2" t="s">
        <v>16</v>
      </c>
      <c r="R498" s="2"/>
      <c r="S498" s="2"/>
      <c r="T498" s="3"/>
      <c r="U498" s="2" t="s">
        <v>8570</v>
      </c>
      <c r="V498" s="2"/>
      <c r="W498" s="2" t="s">
        <v>8571</v>
      </c>
      <c r="X498" s="2"/>
      <c r="Y498" s="2" t="s">
        <v>8573</v>
      </c>
      <c r="Z498" s="2" t="s">
        <v>8614</v>
      </c>
      <c r="AA498" s="4"/>
      <c r="AB498" s="5"/>
      <c r="AC498" s="6"/>
      <c r="AD498" s="6"/>
      <c r="AE498" s="6"/>
      <c r="AF498" s="6"/>
      <c r="AG498" s="7" t="s">
        <v>8575</v>
      </c>
      <c r="AH498" s="7"/>
      <c r="AI498" s="7" t="s">
        <v>8617</v>
      </c>
      <c r="AJ498" s="7"/>
      <c r="AK498" s="7"/>
      <c r="AL498" s="7"/>
      <c r="AM498" s="4"/>
      <c r="AS498" s="9"/>
      <c r="AU498" s="4"/>
      <c r="AV498" s="10"/>
      <c r="AW498" s="11"/>
      <c r="AX498" s="4"/>
      <c r="AY498" s="12"/>
      <c r="AZ498" s="12"/>
    </row>
    <row r="499" s="61" customFormat="true" ht="19.5" hidden="false" customHeight="true" outlineLevel="0" collapsed="false">
      <c r="A499" s="1" t="s">
        <v>10364</v>
      </c>
      <c r="B499" s="3" t="s">
        <v>10365</v>
      </c>
      <c r="C499" s="2" t="str">
        <f aca="false">_xlfn.CONCAT(A499, " ","(",B499,")")</f>
        <v>Poecile palustris (Marsh Tit)</v>
      </c>
      <c r="D499" s="2" t="s">
        <v>8560</v>
      </c>
      <c r="E499" s="2" t="s">
        <v>8561</v>
      </c>
      <c r="F499" s="2" t="s">
        <v>9328</v>
      </c>
      <c r="G499" s="2" t="s">
        <v>10366</v>
      </c>
      <c r="H499" s="2" t="str">
        <f aca="false">VLOOKUP(A499,'[1]NE red list'!A$1:H$1048576,5,FALSE())</f>
        <v>NT</v>
      </c>
      <c r="I499" s="2" t="s">
        <v>8645</v>
      </c>
      <c r="J499" s="60" t="s">
        <v>10367</v>
      </c>
      <c r="K499" s="2"/>
      <c r="L499" s="2" t="s">
        <v>8566</v>
      </c>
      <c r="M499" s="2"/>
      <c r="N499" s="2" t="str">
        <f aca="false">_xlfn.CONCAT(Q499," ",R499," ",S499)</f>
        <v>woodland  </v>
      </c>
      <c r="O499" s="3"/>
      <c r="P499" s="2"/>
      <c r="Q499" s="2" t="s">
        <v>16</v>
      </c>
      <c r="R499" s="2"/>
      <c r="S499" s="2"/>
      <c r="T499" s="3"/>
      <c r="U499" s="2" t="s">
        <v>8570</v>
      </c>
      <c r="V499" s="2"/>
      <c r="W499" s="2" t="s">
        <v>8571</v>
      </c>
      <c r="X499" s="2"/>
      <c r="Y499" s="2" t="s">
        <v>8573</v>
      </c>
      <c r="Z499" s="2"/>
      <c r="AA499" s="4" t="s">
        <v>26</v>
      </c>
      <c r="AB499" s="5"/>
      <c r="AC499" s="6" t="s">
        <v>30</v>
      </c>
      <c r="AD499" s="6"/>
      <c r="AE499" s="6"/>
      <c r="AF499" s="6"/>
      <c r="AG499" s="7" t="s">
        <v>8575</v>
      </c>
      <c r="AH499" s="7"/>
      <c r="AI499" s="7" t="s">
        <v>8617</v>
      </c>
      <c r="AJ499" s="7"/>
      <c r="AK499" s="7"/>
      <c r="AL499" s="7"/>
      <c r="AM499" s="4"/>
      <c r="AS499" s="9"/>
      <c r="AU499" s="4"/>
      <c r="AV499" s="10"/>
      <c r="AW499" s="11"/>
      <c r="AX499" s="4"/>
      <c r="AY499" s="12"/>
      <c r="AZ499" s="12"/>
    </row>
    <row r="500" customFormat="false" ht="19.5" hidden="false" customHeight="true" outlineLevel="0" collapsed="false">
      <c r="A500" s="1" t="s">
        <v>10368</v>
      </c>
      <c r="B500" s="2" t="s">
        <v>10369</v>
      </c>
      <c r="C500" s="2" t="str">
        <f aca="false">_xlfn.CONCAT(A500, " ","(",B500,")")</f>
        <v>Polyxenus lagurus  (Bristly Millipede. )</v>
      </c>
      <c r="D500" s="2" t="s">
        <v>8728</v>
      </c>
      <c r="E500" s="2" t="s">
        <v>10107</v>
      </c>
      <c r="F500" s="2" t="s">
        <v>10370</v>
      </c>
      <c r="H500" s="2" t="e">
        <f aca="false">VLOOKUP(A500,'[1]NE red list'!A$1:H$1048576,5,FALSE())</f>
        <v>#N/A</v>
      </c>
      <c r="I500" s="2" t="s">
        <v>8634</v>
      </c>
      <c r="J500" s="33" t="s">
        <v>10371</v>
      </c>
      <c r="K500" s="2" t="s">
        <v>10372</v>
      </c>
      <c r="L500" s="2" t="s">
        <v>8648</v>
      </c>
      <c r="N500" s="2" t="str">
        <f aca="false">_xlfn.CONCAT(Q500," ",R500," ",S500)</f>
        <v> parkland </v>
      </c>
      <c r="O500" s="3" t="s">
        <v>14</v>
      </c>
      <c r="P500" s="2"/>
      <c r="R500" s="2" t="s">
        <v>8568</v>
      </c>
      <c r="T500" s="2"/>
      <c r="U500" s="2" t="s">
        <v>8570</v>
      </c>
      <c r="W500" s="2" t="s">
        <v>8571</v>
      </c>
      <c r="X500" s="2" t="s">
        <v>8784</v>
      </c>
      <c r="Z500" s="2" t="s">
        <v>8574</v>
      </c>
      <c r="AG500" s="7" t="s">
        <v>8575</v>
      </c>
      <c r="AI500" s="7" t="s">
        <v>8617</v>
      </c>
      <c r="AJ500" s="7" t="s">
        <v>10373</v>
      </c>
      <c r="AN500" s="8" t="s">
        <v>8638</v>
      </c>
      <c r="AS500" s="2"/>
      <c r="AU500" s="4" t="s">
        <v>8639</v>
      </c>
      <c r="AV500" s="11"/>
      <c r="AW500" s="11" t="s">
        <v>9830</v>
      </c>
      <c r="BF500" s="2" t="s">
        <v>10169</v>
      </c>
      <c r="BL500" s="2" t="s">
        <v>8591</v>
      </c>
      <c r="BO500" s="2"/>
      <c r="MJM500" s="2"/>
    </row>
    <row r="501" customFormat="false" ht="19.5" hidden="false" customHeight="true" outlineLevel="0" collapsed="false">
      <c r="A501" s="2" t="s">
        <v>10374</v>
      </c>
      <c r="C501" s="2" t="str">
        <f aca="false">_xlfn.CONCAT(A501, " ","(",B501,")")</f>
        <v>Potamia setifemur ()</v>
      </c>
      <c r="D501" s="2" t="s">
        <v>8580</v>
      </c>
      <c r="E501" s="2" t="s">
        <v>8687</v>
      </c>
      <c r="F501" s="2" t="s">
        <v>10252</v>
      </c>
      <c r="G501" s="2" t="s">
        <v>8662</v>
      </c>
      <c r="H501" s="2" t="e">
        <f aca="false">VLOOKUP(A501,'[1]NE red list'!A$1:H$1048576,5,FALSE())</f>
        <v>#N/A</v>
      </c>
      <c r="I501" s="2" t="s">
        <v>8945</v>
      </c>
      <c r="J501" s="2" t="s">
        <v>10375</v>
      </c>
      <c r="N501" s="2" t="str">
        <f aca="false">_xlfn.CONCAT(Q501," ",R501," ",S501)</f>
        <v>woodland parkland </v>
      </c>
      <c r="O501" s="3" t="s">
        <v>14</v>
      </c>
      <c r="P501" s="2" t="s">
        <v>8587</v>
      </c>
      <c r="Q501" s="2" t="s">
        <v>16</v>
      </c>
      <c r="R501" s="2" t="s">
        <v>8568</v>
      </c>
      <c r="T501" s="2"/>
      <c r="U501" s="2" t="s">
        <v>8570</v>
      </c>
      <c r="V501" s="2" t="s">
        <v>9038</v>
      </c>
      <c r="W501" s="2" t="s">
        <v>8571</v>
      </c>
      <c r="Y501" s="2" t="s">
        <v>8573</v>
      </c>
      <c r="AA501" s="4" t="s">
        <v>26</v>
      </c>
      <c r="AD501" s="6" t="s">
        <v>9044</v>
      </c>
      <c r="AF501" s="6" t="s">
        <v>8616</v>
      </c>
      <c r="AG501" s="7" t="s">
        <v>8575</v>
      </c>
      <c r="AI501" s="7" t="s">
        <v>8617</v>
      </c>
      <c r="AS501" s="2"/>
      <c r="AV501" s="11"/>
      <c r="BI501" s="2" t="s">
        <v>8590</v>
      </c>
      <c r="BL501" s="2" t="s">
        <v>8591</v>
      </c>
      <c r="BO501" s="2"/>
      <c r="MJM501" s="2"/>
    </row>
    <row r="502" customFormat="false" ht="19.5" hidden="false" customHeight="true" outlineLevel="0" collapsed="false">
      <c r="A502" s="2" t="s">
        <v>10376</v>
      </c>
      <c r="C502" s="2" t="str">
        <f aca="false">_xlfn.CONCAT(A502, " ","(",B502,")")</f>
        <v>Stichoglossa semirufa ()</v>
      </c>
      <c r="D502" s="2" t="s">
        <v>8580</v>
      </c>
      <c r="E502" s="2" t="s">
        <v>8581</v>
      </c>
      <c r="F502" s="2" t="s">
        <v>8652</v>
      </c>
      <c r="G502" s="2" t="s">
        <v>8662</v>
      </c>
      <c r="H502" s="2" t="e">
        <f aca="false">VLOOKUP(A502,'[1]NE red list'!A$1:H$1048576,5,FALSE())</f>
        <v>#N/A</v>
      </c>
      <c r="I502" s="2" t="s">
        <v>8610</v>
      </c>
      <c r="J502" s="2" t="s">
        <v>10377</v>
      </c>
      <c r="L502" s="2" t="s">
        <v>8836</v>
      </c>
      <c r="N502" s="2" t="str">
        <f aca="false">_xlfn.CONCAT(Q502," ",R502," ",S502)</f>
        <v>woodland parkland </v>
      </c>
      <c r="O502" s="3" t="s">
        <v>14</v>
      </c>
      <c r="P502" s="2"/>
      <c r="Q502" s="2" t="s">
        <v>16</v>
      </c>
      <c r="R502" s="2" t="s">
        <v>8568</v>
      </c>
      <c r="T502" s="2"/>
      <c r="U502" s="2" t="s">
        <v>8570</v>
      </c>
      <c r="W502" s="2" t="s">
        <v>8571</v>
      </c>
      <c r="X502" s="2" t="s">
        <v>9009</v>
      </c>
      <c r="Z502" s="2" t="s">
        <v>8614</v>
      </c>
      <c r="AA502" s="4" t="s">
        <v>26</v>
      </c>
      <c r="AD502" s="6" t="s">
        <v>8615</v>
      </c>
      <c r="AF502" s="6" t="s">
        <v>8616</v>
      </c>
      <c r="AG502" s="7" t="s">
        <v>8575</v>
      </c>
      <c r="AI502" s="7" t="s">
        <v>8617</v>
      </c>
      <c r="AL502" s="7" t="s">
        <v>8628</v>
      </c>
      <c r="AS502" s="2"/>
      <c r="AV502" s="11"/>
      <c r="BI502" s="2" t="s">
        <v>8590</v>
      </c>
      <c r="BL502" s="2" t="s">
        <v>8591</v>
      </c>
      <c r="BO502" s="2"/>
      <c r="MJM502" s="2"/>
    </row>
    <row r="503" customFormat="false" ht="19.5" hidden="false" customHeight="true" outlineLevel="0" collapsed="false">
      <c r="A503" s="2" t="s">
        <v>10378</v>
      </c>
      <c r="C503" s="2" t="str">
        <f aca="false">_xlfn.CONCAT(A503, " ","(",B503,")")</f>
        <v>Tillus elongatus ()</v>
      </c>
      <c r="D503" s="2" t="s">
        <v>8580</v>
      </c>
      <c r="E503" s="2" t="s">
        <v>8581</v>
      </c>
      <c r="F503" s="2" t="s">
        <v>9560</v>
      </c>
      <c r="G503" s="2" t="s">
        <v>8583</v>
      </c>
      <c r="H503" s="2" t="str">
        <f aca="false">VLOOKUP(A503,'[1]NE red list'!A$1:H$1048576,5,FALSE())</f>
        <v>LC</v>
      </c>
      <c r="I503" s="2" t="s">
        <v>10379</v>
      </c>
      <c r="J503" s="62" t="s">
        <v>10380</v>
      </c>
      <c r="K503" s="2" t="s">
        <v>9562</v>
      </c>
      <c r="L503" s="2" t="s">
        <v>8665</v>
      </c>
      <c r="N503" s="2" t="str">
        <f aca="false">_xlfn.CONCAT(Q503," ",R503," ",S503)</f>
        <v>woodland parkland </v>
      </c>
      <c r="O503" s="3" t="s">
        <v>14</v>
      </c>
      <c r="P503" s="2" t="s">
        <v>8567</v>
      </c>
      <c r="Q503" s="2" t="s">
        <v>16</v>
      </c>
      <c r="R503" s="2" t="s">
        <v>8568</v>
      </c>
      <c r="T503" s="2" t="s">
        <v>8569</v>
      </c>
      <c r="U503" s="2" t="s">
        <v>8570</v>
      </c>
      <c r="V503" s="2" t="s">
        <v>9038</v>
      </c>
      <c r="W503" s="2" t="s">
        <v>8571</v>
      </c>
      <c r="X503" s="2" t="s">
        <v>8625</v>
      </c>
      <c r="Z503" s="2" t="s">
        <v>8574</v>
      </c>
      <c r="AA503" s="4" t="s">
        <v>26</v>
      </c>
      <c r="AB503" s="5" t="s">
        <v>8672</v>
      </c>
      <c r="AD503" s="6" t="s">
        <v>8615</v>
      </c>
      <c r="AG503" s="7" t="s">
        <v>8575</v>
      </c>
      <c r="AI503" s="7" t="s">
        <v>8617</v>
      </c>
      <c r="AM503" s="4" t="s">
        <v>8657</v>
      </c>
      <c r="AP503" s="8" t="s">
        <v>10381</v>
      </c>
      <c r="AS503" s="2"/>
      <c r="AV503" s="11"/>
      <c r="BB503" s="2" t="s">
        <v>8618</v>
      </c>
      <c r="BC503" s="2" t="s">
        <v>8899</v>
      </c>
      <c r="BI503" s="2" t="s">
        <v>8590</v>
      </c>
      <c r="BL503" s="2" t="s">
        <v>8591</v>
      </c>
      <c r="BO503" s="2"/>
      <c r="MJM503" s="2"/>
    </row>
    <row r="504" customFormat="false" ht="19.5" hidden="false" customHeight="true" outlineLevel="0" collapsed="false">
      <c r="A504" s="2" t="s">
        <v>10382</v>
      </c>
      <c r="C504" s="2" t="str">
        <f aca="false">_xlfn.CONCAT(A504, " ","(",B504,")")</f>
        <v>Trichonyx sulcicollis ()</v>
      </c>
      <c r="D504" s="2" t="s">
        <v>8580</v>
      </c>
      <c r="E504" s="2" t="s">
        <v>8581</v>
      </c>
      <c r="F504" s="30" t="s">
        <v>8803</v>
      </c>
      <c r="G504" s="2" t="s">
        <v>8662</v>
      </c>
      <c r="H504" s="2" t="e">
        <f aca="false">VLOOKUP(A504,'[1]NE red list'!A$1:H$1048576,5,FALSE())</f>
        <v>#N/A</v>
      </c>
      <c r="I504" s="2" t="s">
        <v>8610</v>
      </c>
      <c r="J504" s="2" t="s">
        <v>10383</v>
      </c>
      <c r="L504" s="2" t="s">
        <v>8665</v>
      </c>
      <c r="N504" s="2" t="str">
        <f aca="false">_xlfn.CONCAT(Q504," ",R504," ",S504)</f>
        <v> parkland </v>
      </c>
      <c r="O504" s="3" t="s">
        <v>14</v>
      </c>
      <c r="P504" s="2"/>
      <c r="R504" s="2" t="s">
        <v>8568</v>
      </c>
      <c r="T504" s="2"/>
      <c r="U504" s="2" t="s">
        <v>8570</v>
      </c>
      <c r="V504" s="2" t="s">
        <v>8940</v>
      </c>
      <c r="W504" s="2" t="s">
        <v>8571</v>
      </c>
      <c r="X504" s="2" t="s">
        <v>9069</v>
      </c>
      <c r="Z504" s="2" t="s">
        <v>8574</v>
      </c>
      <c r="AA504" s="4" t="s">
        <v>26</v>
      </c>
      <c r="AD504" s="6" t="s">
        <v>8615</v>
      </c>
      <c r="AG504" s="7" t="s">
        <v>8575</v>
      </c>
      <c r="AH504" s="7" t="s">
        <v>33</v>
      </c>
      <c r="AI504" s="7" t="s">
        <v>8617</v>
      </c>
      <c r="AK504" s="7" t="s">
        <v>8627</v>
      </c>
      <c r="AS504" s="2"/>
      <c r="AU504" s="4" t="s">
        <v>8639</v>
      </c>
      <c r="AV504" s="10" t="s">
        <v>8664</v>
      </c>
      <c r="BI504" s="2" t="s">
        <v>8590</v>
      </c>
      <c r="BJ504" s="2" t="s">
        <v>8601</v>
      </c>
      <c r="BL504" s="2" t="s">
        <v>8591</v>
      </c>
      <c r="BM504" s="2" t="s">
        <v>8619</v>
      </c>
      <c r="BO504" s="2"/>
      <c r="MJM504" s="2"/>
    </row>
    <row r="505" s="32" customFormat="true" ht="19.5" hidden="false" customHeight="true" outlineLevel="0" collapsed="false">
      <c r="A505" s="2" t="s">
        <v>10384</v>
      </c>
      <c r="B505" s="2"/>
      <c r="C505" s="2" t="str">
        <f aca="false">_xlfn.CONCAT(A505, " ","(",B505,")")</f>
        <v>Psilota anthracina ()</v>
      </c>
      <c r="D505" s="2" t="s">
        <v>8580</v>
      </c>
      <c r="E505" s="2" t="s">
        <v>8687</v>
      </c>
      <c r="F505" s="2" t="s">
        <v>9024</v>
      </c>
      <c r="G505" s="2" t="s">
        <v>8662</v>
      </c>
      <c r="H505" s="2" t="str">
        <f aca="false">VLOOKUP(A505,'[1]NE red list'!A$1:H$1048576,5,FALSE())</f>
        <v>LC</v>
      </c>
      <c r="I505" s="2" t="s">
        <v>10385</v>
      </c>
      <c r="J505" s="2" t="s">
        <v>10386</v>
      </c>
      <c r="K505" s="2"/>
      <c r="L505" s="2" t="s">
        <v>8770</v>
      </c>
      <c r="M505" s="2"/>
      <c r="N505" s="2" t="str">
        <f aca="false">_xlfn.CONCAT(Q505," ",R505," ",S505)</f>
        <v> parkland </v>
      </c>
      <c r="O505" s="3" t="s">
        <v>14</v>
      </c>
      <c r="P505" s="2" t="s">
        <v>8587</v>
      </c>
      <c r="Q505" s="2"/>
      <c r="R505" s="2" t="s">
        <v>8568</v>
      </c>
      <c r="S505" s="2"/>
      <c r="T505" s="2"/>
      <c r="U505" s="2" t="s">
        <v>8570</v>
      </c>
      <c r="V505" s="2" t="s">
        <v>8745</v>
      </c>
      <c r="W505" s="2" t="s">
        <v>8587</v>
      </c>
      <c r="X505" s="2" t="s">
        <v>8589</v>
      </c>
      <c r="Y505" s="2" t="s">
        <v>8573</v>
      </c>
      <c r="Z505" s="2" t="s">
        <v>8694</v>
      </c>
      <c r="AA505" s="4"/>
      <c r="AB505" s="5"/>
      <c r="AC505" s="6"/>
      <c r="AD505" s="6"/>
      <c r="AE505" s="6"/>
      <c r="AF505" s="6"/>
      <c r="AG505" s="7" t="s">
        <v>8824</v>
      </c>
      <c r="AH505" s="7"/>
      <c r="AI505" s="7"/>
      <c r="AJ505" s="7"/>
      <c r="AK505" s="7"/>
      <c r="AL505" s="7"/>
      <c r="AM505" s="4" t="s">
        <v>8657</v>
      </c>
      <c r="AN505" s="8" t="s">
        <v>9029</v>
      </c>
      <c r="AO505" s="8" t="s">
        <v>40</v>
      </c>
      <c r="AP505" s="8"/>
      <c r="AQ505" s="8" t="s">
        <v>42</v>
      </c>
      <c r="AR505" s="8"/>
      <c r="AS505" s="2"/>
      <c r="AT505" s="2"/>
      <c r="AU505" s="4"/>
      <c r="AV505" s="11"/>
      <c r="AW505" s="11"/>
      <c r="AX505" s="4"/>
      <c r="AY505" s="12"/>
      <c r="AZ505" s="12"/>
      <c r="BA505" s="2" t="s">
        <v>9030</v>
      </c>
      <c r="BB505" s="2" t="s">
        <v>8618</v>
      </c>
      <c r="BC505" s="2"/>
      <c r="BD505" s="2"/>
      <c r="BE505" s="2"/>
      <c r="BF505" s="2"/>
      <c r="BG505" s="2"/>
      <c r="BH505" s="2"/>
      <c r="BI505" s="2" t="s">
        <v>8590</v>
      </c>
      <c r="BJ505" s="2"/>
      <c r="BK505" s="2"/>
      <c r="BL505" s="2" t="s">
        <v>8591</v>
      </c>
      <c r="BM505" s="2"/>
      <c r="BN505" s="2"/>
    </row>
    <row r="506" s="32" customFormat="true" ht="19.5" hidden="false" customHeight="true" outlineLevel="0" collapsed="false">
      <c r="A506" s="1" t="s">
        <v>10387</v>
      </c>
      <c r="B506" s="2" t="s">
        <v>10388</v>
      </c>
      <c r="C506" s="2" t="str">
        <f aca="false">_xlfn.CONCAT(A506, " ","(",B506,")")</f>
        <v>Buglossoporus pulvinus (Oak polypore)</v>
      </c>
      <c r="D506" s="2" t="s">
        <v>9724</v>
      </c>
      <c r="E506" s="2" t="s">
        <v>9724</v>
      </c>
      <c r="F506" s="2" t="s">
        <v>10389</v>
      </c>
      <c r="G506" s="2" t="s">
        <v>8633</v>
      </c>
      <c r="H506" s="2" t="e">
        <f aca="false">VLOOKUP(A506,'[1]NE red list'!A$1:H$1048576,5,FALSE())</f>
        <v>#N/A</v>
      </c>
      <c r="I506" s="2" t="s">
        <v>8690</v>
      </c>
      <c r="J506" s="33" t="s">
        <v>10390</v>
      </c>
      <c r="K506" s="2"/>
      <c r="L506" s="2"/>
      <c r="M506" s="2"/>
      <c r="N506" s="2" t="str">
        <f aca="false">_xlfn.CONCAT(Q506," ",R506," ",S506)</f>
        <v> parkland </v>
      </c>
      <c r="O506" s="3" t="s">
        <v>14</v>
      </c>
      <c r="P506" s="2" t="s">
        <v>8587</v>
      </c>
      <c r="Q506" s="2"/>
      <c r="R506" s="2" t="s">
        <v>8568</v>
      </c>
      <c r="S506" s="2"/>
      <c r="T506" s="2"/>
      <c r="U506" s="2" t="s">
        <v>8570</v>
      </c>
      <c r="V506" s="2" t="s">
        <v>8745</v>
      </c>
      <c r="W506" s="2" t="s">
        <v>8587</v>
      </c>
      <c r="X506" s="2" t="s">
        <v>8589</v>
      </c>
      <c r="Y506" s="2" t="s">
        <v>8573</v>
      </c>
      <c r="Z506" s="2" t="s">
        <v>8574</v>
      </c>
      <c r="AA506" s="4"/>
      <c r="AB506" s="5"/>
      <c r="AC506" s="6"/>
      <c r="AD506" s="6"/>
      <c r="AE506" s="6"/>
      <c r="AF506" s="6"/>
      <c r="AG506" s="7" t="s">
        <v>8575</v>
      </c>
      <c r="AH506" s="7"/>
      <c r="AI506" s="7" t="s">
        <v>8617</v>
      </c>
      <c r="AJ506" s="7"/>
      <c r="AK506" s="7"/>
      <c r="AL506" s="7"/>
      <c r="AM506" s="4"/>
      <c r="AN506" s="8"/>
      <c r="AO506" s="8"/>
      <c r="AP506" s="8"/>
      <c r="AQ506" s="8"/>
      <c r="AR506" s="8"/>
      <c r="AS506" s="2"/>
      <c r="AT506" s="2"/>
      <c r="AU506" s="4"/>
      <c r="AV506" s="11"/>
      <c r="AW506" s="11"/>
      <c r="AX506" s="4"/>
      <c r="AY506" s="12"/>
      <c r="AZ506" s="12"/>
      <c r="BA506" s="2"/>
      <c r="BB506" s="2"/>
      <c r="BC506" s="2" t="s">
        <v>8899</v>
      </c>
      <c r="BD506" s="2"/>
      <c r="BE506" s="2"/>
      <c r="BF506" s="2"/>
      <c r="BG506" s="2"/>
      <c r="BH506" s="2"/>
      <c r="BI506" s="2"/>
      <c r="BJ506" s="2" t="s">
        <v>8773</v>
      </c>
      <c r="BK506" s="2"/>
      <c r="BL506" s="2" t="s">
        <v>8591</v>
      </c>
      <c r="BM506" s="2"/>
      <c r="BN506" s="2"/>
    </row>
    <row r="507" customFormat="false" ht="19.5" hidden="false" customHeight="true" outlineLevel="0" collapsed="false">
      <c r="A507" s="2" t="s">
        <v>10391</v>
      </c>
      <c r="C507" s="2" t="str">
        <f aca="false">_xlfn.CONCAT(A507, " ","(",B507,")")</f>
        <v>Pseudocyphellaria intricata ()</v>
      </c>
      <c r="D507" s="2" t="s">
        <v>8892</v>
      </c>
      <c r="E507" s="2" t="s">
        <v>8892</v>
      </c>
      <c r="F507" s="2" t="s">
        <v>8892</v>
      </c>
      <c r="G507" s="2" t="s">
        <v>8776</v>
      </c>
      <c r="H507" s="2" t="str">
        <f aca="false">VLOOKUP(A507,'[1]NE red list'!A$1:H$1048576,5,FALSE())</f>
        <v>NT</v>
      </c>
      <c r="I507" s="2" t="s">
        <v>10392</v>
      </c>
      <c r="J507" s="33" t="s">
        <v>10393</v>
      </c>
      <c r="L507" s="2" t="s">
        <v>8896</v>
      </c>
      <c r="N507" s="2" t="str">
        <f aca="false">_xlfn.CONCAT(Q507," ",R507," ",S507)</f>
        <v>woodland  </v>
      </c>
      <c r="O507" s="2"/>
      <c r="P507" s="2"/>
      <c r="Q507" s="2" t="s">
        <v>16</v>
      </c>
      <c r="T507" s="2" t="s">
        <v>9728</v>
      </c>
      <c r="U507" s="2" t="s">
        <v>8605</v>
      </c>
      <c r="X507" s="2" t="s">
        <v>8625</v>
      </c>
      <c r="AS507" s="2"/>
      <c r="AU507" s="4" t="s">
        <v>8639</v>
      </c>
      <c r="AV507" s="11"/>
      <c r="AW507" s="11" t="s">
        <v>8650</v>
      </c>
      <c r="BC507" s="2" t="s">
        <v>8600</v>
      </c>
      <c r="BD507" s="2" t="s">
        <v>8629</v>
      </c>
      <c r="BJ507" s="2" t="s">
        <v>8907</v>
      </c>
      <c r="BK507" s="2" t="s">
        <v>8578</v>
      </c>
      <c r="BL507" s="2" t="s">
        <v>8578</v>
      </c>
      <c r="BO507" s="2"/>
      <c r="MJM507" s="2"/>
    </row>
    <row r="508" customFormat="false" ht="19.5" hidden="false" customHeight="true" outlineLevel="0" collapsed="false">
      <c r="A508" s="2" t="s">
        <v>10394</v>
      </c>
      <c r="C508" s="2" t="str">
        <f aca="false">_xlfn.CONCAT(A508, " ","(",B508,")")</f>
        <v>Pseudotriphyllus suturalis ()</v>
      </c>
      <c r="D508" s="2" t="s">
        <v>8580</v>
      </c>
      <c r="E508" s="2" t="s">
        <v>8581</v>
      </c>
      <c r="F508" s="2" t="s">
        <v>8652</v>
      </c>
      <c r="G508" s="2" t="s">
        <v>8583</v>
      </c>
      <c r="H508" s="2" t="str">
        <f aca="false">VLOOKUP(A508,'[1]NE red list'!A$1:H$1048576,5,FALSE())</f>
        <v>LC</v>
      </c>
      <c r="I508" s="2" t="s">
        <v>9086</v>
      </c>
      <c r="J508" s="2" t="s">
        <v>10395</v>
      </c>
      <c r="K508" s="2" t="s">
        <v>8585</v>
      </c>
      <c r="L508" s="2" t="s">
        <v>8677</v>
      </c>
      <c r="N508" s="2" t="str">
        <f aca="false">_xlfn.CONCAT(Q508," ",R508," ",S508)</f>
        <v>woodland parkland </v>
      </c>
      <c r="O508" s="3" t="s">
        <v>14</v>
      </c>
      <c r="P508" s="2"/>
      <c r="Q508" s="2" t="s">
        <v>16</v>
      </c>
      <c r="R508" s="2" t="s">
        <v>8568</v>
      </c>
      <c r="T508" s="2"/>
      <c r="U508" s="2" t="s">
        <v>8570</v>
      </c>
      <c r="AS508" s="2"/>
      <c r="AV508" s="11"/>
      <c r="AX508" s="4" t="s">
        <v>8585</v>
      </c>
      <c r="AY508" s="12" t="s">
        <v>8585</v>
      </c>
      <c r="BI508" s="2" t="s">
        <v>8590</v>
      </c>
      <c r="BL508" s="2" t="s">
        <v>8591</v>
      </c>
      <c r="BO508" s="2"/>
      <c r="MJM508" s="2"/>
    </row>
    <row r="509" customFormat="false" ht="19.5" hidden="false" customHeight="true" outlineLevel="0" collapsed="false">
      <c r="A509" s="1" t="s">
        <v>10396</v>
      </c>
      <c r="B509" s="2" t="s">
        <v>10397</v>
      </c>
      <c r="C509" s="2" t="str">
        <f aca="false">_xlfn.CONCAT(A509, " ","(",B509,")")</f>
        <v>Lasius brunneus (Brown Tree Ant)</v>
      </c>
      <c r="D509" s="2" t="s">
        <v>8580</v>
      </c>
      <c r="E509" s="2" t="s">
        <v>8839</v>
      </c>
      <c r="F509" s="2" t="s">
        <v>9785</v>
      </c>
      <c r="G509" s="2" t="s">
        <v>8583</v>
      </c>
      <c r="H509" s="2" t="e">
        <f aca="false">VLOOKUP(A509,'[1]NE red list'!A$1:H$1048576,5,FALSE())</f>
        <v>#N/A</v>
      </c>
      <c r="I509" s="2" t="s">
        <v>8634</v>
      </c>
      <c r="J509" s="2" t="s">
        <v>10398</v>
      </c>
      <c r="K509" s="2" t="s">
        <v>9788</v>
      </c>
      <c r="L509" s="2" t="s">
        <v>8665</v>
      </c>
      <c r="N509" s="2" t="str">
        <f aca="false">_xlfn.CONCAT(Q509," ",R509," ",S509)</f>
        <v> parkland ToW</v>
      </c>
      <c r="O509" s="2" t="s">
        <v>14</v>
      </c>
      <c r="P509" s="2"/>
      <c r="R509" s="2" t="s">
        <v>8568</v>
      </c>
      <c r="S509" s="2" t="s">
        <v>18</v>
      </c>
      <c r="T509" s="2"/>
      <c r="U509" s="2" t="s">
        <v>8570</v>
      </c>
      <c r="V509" s="2" t="s">
        <v>8745</v>
      </c>
      <c r="W509" s="2" t="s">
        <v>8571</v>
      </c>
      <c r="X509" s="2" t="s">
        <v>8625</v>
      </c>
      <c r="Z509" s="2" t="s">
        <v>8614</v>
      </c>
      <c r="AA509" s="4" t="s">
        <v>26</v>
      </c>
      <c r="AD509" s="6" t="s">
        <v>8615</v>
      </c>
      <c r="AG509" s="7" t="s">
        <v>8575</v>
      </c>
      <c r="AI509" s="7" t="s">
        <v>8617</v>
      </c>
      <c r="AS509" s="2"/>
      <c r="AV509" s="11"/>
      <c r="BI509" s="2" t="s">
        <v>8590</v>
      </c>
      <c r="BJ509" s="2" t="s">
        <v>8747</v>
      </c>
      <c r="BL509" s="2" t="s">
        <v>8591</v>
      </c>
      <c r="BO509" s="2"/>
      <c r="MJM509" s="2"/>
    </row>
    <row r="510" s="61" customFormat="true" ht="19.5" hidden="false" customHeight="true" outlineLevel="0" collapsed="false">
      <c r="A510" s="1" t="s">
        <v>10399</v>
      </c>
      <c r="B510" s="2" t="s">
        <v>10400</v>
      </c>
      <c r="C510" s="2" t="str">
        <f aca="false">_xlfn.CONCAT(A510, " ","(",B510,")")</f>
        <v>Psittacula krameri (Ring-necked parakeet)</v>
      </c>
      <c r="D510" s="2" t="s">
        <v>8560</v>
      </c>
      <c r="E510" s="2" t="s">
        <v>8561</v>
      </c>
      <c r="F510" s="2" t="s">
        <v>10401</v>
      </c>
      <c r="G510" s="2" t="s">
        <v>8737</v>
      </c>
      <c r="H510" s="2" t="e">
        <f aca="false">VLOOKUP(A510,'[1]NE red list'!A$1:H$1048576,5,FALSE())</f>
        <v>#N/A</v>
      </c>
      <c r="I510" s="2" t="s">
        <v>8714</v>
      </c>
      <c r="J510" s="60" t="s">
        <v>10402</v>
      </c>
      <c r="K510" s="2"/>
      <c r="L510" s="2"/>
      <c r="M510" s="2"/>
      <c r="N510" s="2" t="str">
        <f aca="false">_xlfn.CONCAT(Q510," ",R510," ",S510)</f>
        <v> parkland ToW</v>
      </c>
      <c r="O510" s="2" t="s">
        <v>14</v>
      </c>
      <c r="P510" s="3"/>
      <c r="Q510" s="2"/>
      <c r="R510" s="2" t="s">
        <v>8568</v>
      </c>
      <c r="S510" s="2" t="s">
        <v>18</v>
      </c>
      <c r="T510" s="3"/>
      <c r="U510" s="2" t="s">
        <v>8605</v>
      </c>
      <c r="V510" s="2"/>
      <c r="W510" s="2"/>
      <c r="X510" s="2"/>
      <c r="Y510" s="2" t="s">
        <v>8573</v>
      </c>
      <c r="Z510" s="2" t="s">
        <v>8694</v>
      </c>
      <c r="AA510" s="4" t="s">
        <v>26</v>
      </c>
      <c r="AB510" s="5"/>
      <c r="AC510" s="6" t="s">
        <v>30</v>
      </c>
      <c r="AD510" s="6"/>
      <c r="AE510" s="6"/>
      <c r="AF510" s="6"/>
      <c r="AG510" s="7"/>
      <c r="AH510" s="7"/>
      <c r="AI510" s="7"/>
      <c r="AJ510" s="7"/>
      <c r="AK510" s="7"/>
      <c r="AL510" s="7"/>
      <c r="AM510" s="4"/>
      <c r="AS510" s="9"/>
      <c r="AU510" s="4"/>
      <c r="AV510" s="10"/>
      <c r="AW510" s="11"/>
      <c r="AX510" s="4"/>
      <c r="AY510" s="12"/>
      <c r="AZ510" s="12"/>
    </row>
    <row r="511" customFormat="false" ht="19.5" hidden="false" customHeight="true" outlineLevel="0" collapsed="false">
      <c r="A511" s="2" t="s">
        <v>10403</v>
      </c>
      <c r="C511" s="2" t="str">
        <f aca="false">_xlfn.CONCAT(A511, " ","(",B511,")")</f>
        <v>Zyras haworthi ()</v>
      </c>
      <c r="D511" s="2" t="s">
        <v>8580</v>
      </c>
      <c r="E511" s="2" t="s">
        <v>8581</v>
      </c>
      <c r="F511" s="2" t="s">
        <v>8652</v>
      </c>
      <c r="G511" s="2" t="s">
        <v>8583</v>
      </c>
      <c r="H511" s="2" t="e">
        <f aca="false">VLOOKUP(A511,'[1]NE red list'!A$1:H$1048576,5,FALSE())</f>
        <v>#N/A</v>
      </c>
      <c r="I511" s="2" t="s">
        <v>8622</v>
      </c>
      <c r="J511" s="2" t="s">
        <v>10404</v>
      </c>
      <c r="K511" s="2" t="s">
        <v>8664</v>
      </c>
      <c r="N511" s="2" t="str">
        <f aca="false">_xlfn.CONCAT(Q511," ",R511," ",S511)</f>
        <v>woodland parkland ToW</v>
      </c>
      <c r="O511" s="2" t="s">
        <v>14</v>
      </c>
      <c r="P511" s="2"/>
      <c r="Q511" s="2" t="s">
        <v>16</v>
      </c>
      <c r="R511" s="2" t="s">
        <v>8568</v>
      </c>
      <c r="S511" s="2" t="s">
        <v>18</v>
      </c>
      <c r="T511" s="2"/>
      <c r="U511" s="2" t="s">
        <v>8570</v>
      </c>
      <c r="W511" s="2" t="s">
        <v>8571</v>
      </c>
      <c r="X511" s="2" t="s">
        <v>8589</v>
      </c>
      <c r="AA511" s="4" t="s">
        <v>26</v>
      </c>
      <c r="AD511" s="6" t="s">
        <v>8615</v>
      </c>
      <c r="AG511" s="7" t="s">
        <v>8575</v>
      </c>
      <c r="AI511" s="7" t="s">
        <v>8617</v>
      </c>
      <c r="AS511" s="2"/>
      <c r="AU511" s="4" t="s">
        <v>8639</v>
      </c>
      <c r="AV511" s="10" t="s">
        <v>8664</v>
      </c>
      <c r="BF511" s="2" t="s">
        <v>10405</v>
      </c>
      <c r="BI511" s="2" t="s">
        <v>8590</v>
      </c>
      <c r="BL511" s="2" t="s">
        <v>8591</v>
      </c>
      <c r="BO511" s="2"/>
      <c r="MJM511" s="2"/>
    </row>
    <row r="512" customFormat="false" ht="19.5" hidden="false" customHeight="true" outlineLevel="0" collapsed="false">
      <c r="A512" s="1" t="s">
        <v>10406</v>
      </c>
      <c r="B512" s="2" t="s">
        <v>10407</v>
      </c>
      <c r="C512" s="2" t="str">
        <f aca="false">_xlfn.CONCAT(A512, " ","(",B512,")")</f>
        <v>Abraeus granulum (Hister Beetle)</v>
      </c>
      <c r="D512" s="2" t="s">
        <v>8580</v>
      </c>
      <c r="E512" s="2" t="s">
        <v>8581</v>
      </c>
      <c r="F512" s="2" t="s">
        <v>9234</v>
      </c>
      <c r="G512" s="2" t="s">
        <v>8737</v>
      </c>
      <c r="H512" s="2" t="e">
        <f aca="false">VLOOKUP(A512,'[1]NE red list'!A$1:H$1048576,5,FALSE())</f>
        <v>#N/A</v>
      </c>
      <c r="I512" s="2" t="s">
        <v>8796</v>
      </c>
      <c r="J512" s="2" t="s">
        <v>10408</v>
      </c>
      <c r="K512" s="2" t="s">
        <v>10409</v>
      </c>
      <c r="L512" s="2" t="s">
        <v>8665</v>
      </c>
      <c r="N512" s="2" t="str">
        <f aca="false">_xlfn.CONCAT(Q512," ",R512," ",S512)</f>
        <v>woodland parkland </v>
      </c>
      <c r="O512" s="3" t="s">
        <v>14</v>
      </c>
      <c r="P512" s="2" t="s">
        <v>8587</v>
      </c>
      <c r="Q512" s="2" t="s">
        <v>16</v>
      </c>
      <c r="R512" s="2" t="s">
        <v>8568</v>
      </c>
      <c r="T512" s="2"/>
      <c r="U512" s="2" t="s">
        <v>8570</v>
      </c>
      <c r="V512" s="2" t="s">
        <v>9765</v>
      </c>
      <c r="W512" s="2" t="s">
        <v>8587</v>
      </c>
      <c r="X512" s="2" t="s">
        <v>8625</v>
      </c>
      <c r="Y512" s="2" t="s">
        <v>8772</v>
      </c>
      <c r="Z512" s="2" t="s">
        <v>8598</v>
      </c>
      <c r="AA512" s="4" t="s">
        <v>26</v>
      </c>
      <c r="AF512" s="6" t="s">
        <v>8616</v>
      </c>
      <c r="AG512" s="7" t="s">
        <v>8575</v>
      </c>
      <c r="AI512" s="7" t="s">
        <v>8617</v>
      </c>
      <c r="AK512" s="7" t="s">
        <v>8780</v>
      </c>
      <c r="AL512" s="7" t="s">
        <v>8628</v>
      </c>
      <c r="AM512" s="4" t="s">
        <v>8657</v>
      </c>
      <c r="AN512" s="8" t="s">
        <v>8638</v>
      </c>
      <c r="AO512" s="8" t="s">
        <v>40</v>
      </c>
      <c r="AQ512" s="8" t="s">
        <v>42</v>
      </c>
      <c r="AS512" s="2"/>
      <c r="AU512" s="4" t="s">
        <v>8639</v>
      </c>
      <c r="AV512" s="11" t="s">
        <v>8664</v>
      </c>
      <c r="BD512" s="2" t="s">
        <v>9046</v>
      </c>
      <c r="BI512" s="2" t="s">
        <v>8590</v>
      </c>
      <c r="BL512" s="2" t="s">
        <v>8591</v>
      </c>
      <c r="BM512" s="2" t="s">
        <v>8619</v>
      </c>
      <c r="BO512" s="2"/>
      <c r="MJM512" s="2"/>
    </row>
    <row r="513" customFormat="false" ht="19.5" hidden="false" customHeight="true" outlineLevel="0" collapsed="false">
      <c r="A513" s="1" t="s">
        <v>10410</v>
      </c>
      <c r="B513" s="2" t="s">
        <v>10411</v>
      </c>
      <c r="C513" s="2" t="str">
        <f aca="false">_xlfn.CONCAT(A513, " ","(",B513,")")</f>
        <v>Ptilinus pectinicornis (Fan-bearing Wood-borer)</v>
      </c>
      <c r="D513" s="2" t="s">
        <v>8580</v>
      </c>
      <c r="E513" s="2" t="s">
        <v>8581</v>
      </c>
      <c r="F513" s="30" t="s">
        <v>8818</v>
      </c>
      <c r="G513" s="2" t="s">
        <v>8737</v>
      </c>
      <c r="H513" s="2" t="str">
        <f aca="false">VLOOKUP(A513,'[1]NE red list'!A$1:H$1048576,5,FALSE())</f>
        <v>LC</v>
      </c>
      <c r="I513" s="2" t="s">
        <v>8645</v>
      </c>
      <c r="J513" s="2" t="s">
        <v>10412</v>
      </c>
      <c r="K513" s="2" t="s">
        <v>10413</v>
      </c>
      <c r="L513" s="2" t="s">
        <v>8613</v>
      </c>
      <c r="N513" s="2" t="str">
        <f aca="false">_xlfn.CONCAT(Q513," ",R513," ",S513)</f>
        <v> parkland </v>
      </c>
      <c r="O513" s="3" t="s">
        <v>14</v>
      </c>
      <c r="P513" s="2"/>
      <c r="R513" s="2" t="s">
        <v>8568</v>
      </c>
      <c r="T513" s="2"/>
      <c r="U513" s="2" t="s">
        <v>8570</v>
      </c>
      <c r="V513" s="2" t="s">
        <v>9038</v>
      </c>
      <c r="W513" s="2" t="s">
        <v>8567</v>
      </c>
      <c r="X513" s="2" t="s">
        <v>8625</v>
      </c>
      <c r="Y513" s="2" t="s">
        <v>8573</v>
      </c>
      <c r="Z513" s="2" t="s">
        <v>8614</v>
      </c>
      <c r="AG513" s="7" t="s">
        <v>8575</v>
      </c>
      <c r="AI513" s="7" t="s">
        <v>8617</v>
      </c>
      <c r="AM513" s="4" t="s">
        <v>8657</v>
      </c>
      <c r="AP513" s="8" t="s">
        <v>10381</v>
      </c>
      <c r="AS513" s="2"/>
      <c r="AV513" s="11"/>
      <c r="BI513" s="2" t="s">
        <v>8590</v>
      </c>
      <c r="BL513" s="2" t="s">
        <v>8591</v>
      </c>
      <c r="BO513" s="2"/>
      <c r="MJM513" s="2"/>
    </row>
    <row r="514" customFormat="false" ht="19.5" hidden="false" customHeight="true" outlineLevel="0" collapsed="false">
      <c r="A514" s="2" t="s">
        <v>10414</v>
      </c>
      <c r="C514" s="2" t="str">
        <f aca="false">_xlfn.CONCAT(A514, " ","(",B514,")")</f>
        <v>Ptinella aptera ()</v>
      </c>
      <c r="D514" s="2" t="s">
        <v>8580</v>
      </c>
      <c r="E514" s="2" t="s">
        <v>8581</v>
      </c>
      <c r="F514" s="2" t="s">
        <v>9535</v>
      </c>
      <c r="H514" s="2" t="e">
        <f aca="false">VLOOKUP(A514,'[1]NE red list'!A$1:H$1048576,5,FALSE())</f>
        <v>#N/A</v>
      </c>
      <c r="I514" s="2" t="s">
        <v>8564</v>
      </c>
      <c r="J514" s="2" t="s">
        <v>10415</v>
      </c>
      <c r="L514" s="2" t="s">
        <v>8677</v>
      </c>
      <c r="N514" s="2" t="str">
        <f aca="false">_xlfn.CONCAT(Q514," ",R514," ",S514)</f>
        <v>woodland parkland </v>
      </c>
      <c r="O514" s="3" t="s">
        <v>14</v>
      </c>
      <c r="P514" s="2"/>
      <c r="Q514" s="2" t="s">
        <v>16</v>
      </c>
      <c r="R514" s="2" t="s">
        <v>8568</v>
      </c>
      <c r="T514" s="2"/>
      <c r="U514" s="2" t="s">
        <v>8570</v>
      </c>
      <c r="V514" s="2" t="s">
        <v>8828</v>
      </c>
      <c r="Z514" s="2" t="s">
        <v>8614</v>
      </c>
      <c r="AG514" s="7" t="s">
        <v>8575</v>
      </c>
      <c r="AN514" s="8" t="s">
        <v>8638</v>
      </c>
      <c r="AS514" s="2"/>
      <c r="AV514" s="11"/>
      <c r="BI514" s="2" t="s">
        <v>8590</v>
      </c>
      <c r="BJ514" s="2" t="s">
        <v>8630</v>
      </c>
      <c r="BL514" s="2" t="s">
        <v>8591</v>
      </c>
      <c r="BO514" s="2"/>
      <c r="MJM514" s="2"/>
    </row>
    <row r="515" customFormat="false" ht="19.5" hidden="false" customHeight="true" outlineLevel="0" collapsed="false">
      <c r="A515" s="2" t="s">
        <v>10416</v>
      </c>
      <c r="C515" s="2" t="str">
        <f aca="false">_xlfn.CONCAT(A515, " ","(",B515,")")</f>
        <v>Abraeus perpusillus ()</v>
      </c>
      <c r="D515" s="2" t="s">
        <v>8580</v>
      </c>
      <c r="E515" s="2" t="s">
        <v>8581</v>
      </c>
      <c r="F515" s="2" t="s">
        <v>9234</v>
      </c>
      <c r="G515" s="2" t="s">
        <v>8737</v>
      </c>
      <c r="H515" s="2" t="e">
        <f aca="false">VLOOKUP(A515,'[1]NE red list'!A$1:H$1048576,5,FALSE())</f>
        <v>#N/A</v>
      </c>
      <c r="I515" s="2" t="s">
        <v>8878</v>
      </c>
      <c r="J515" s="2" t="s">
        <v>10417</v>
      </c>
      <c r="K515" s="2" t="s">
        <v>10418</v>
      </c>
      <c r="L515" s="2" t="s">
        <v>8665</v>
      </c>
      <c r="N515" s="2" t="str">
        <f aca="false">_xlfn.CONCAT(Q515," ",R515," ",S515)</f>
        <v>woodland parkland </v>
      </c>
      <c r="O515" s="3" t="s">
        <v>14</v>
      </c>
      <c r="P515" s="2" t="s">
        <v>8587</v>
      </c>
      <c r="Q515" s="2" t="s">
        <v>16</v>
      </c>
      <c r="R515" s="2" t="s">
        <v>8568</v>
      </c>
      <c r="T515" s="2"/>
      <c r="U515" s="2" t="s">
        <v>8570</v>
      </c>
      <c r="V515" s="2" t="s">
        <v>9765</v>
      </c>
      <c r="W515" s="2" t="s">
        <v>8587</v>
      </c>
      <c r="X515" s="2" t="s">
        <v>8625</v>
      </c>
      <c r="Z515" s="2" t="s">
        <v>8637</v>
      </c>
      <c r="AG515" s="7" t="s">
        <v>8575</v>
      </c>
      <c r="AI515" s="7" t="s">
        <v>8617</v>
      </c>
      <c r="AK515" s="7" t="s">
        <v>8780</v>
      </c>
      <c r="AL515" s="7" t="s">
        <v>8628</v>
      </c>
      <c r="AM515" s="4" t="s">
        <v>8657</v>
      </c>
      <c r="AN515" s="8" t="s">
        <v>10419</v>
      </c>
      <c r="AO515" s="8" t="s">
        <v>40</v>
      </c>
      <c r="AQ515" s="8" t="s">
        <v>42</v>
      </c>
      <c r="AS515" s="2"/>
      <c r="AU515" s="4" t="s">
        <v>8639</v>
      </c>
      <c r="AV515" s="10" t="s">
        <v>10420</v>
      </c>
      <c r="AX515" s="4" t="s">
        <v>10421</v>
      </c>
      <c r="AY515" s="12" t="s">
        <v>8585</v>
      </c>
      <c r="AZ515" s="12" t="s">
        <v>8676</v>
      </c>
      <c r="BD515" s="2" t="s">
        <v>9046</v>
      </c>
      <c r="BI515" s="2" t="s">
        <v>8590</v>
      </c>
      <c r="BL515" s="2" t="s">
        <v>8591</v>
      </c>
      <c r="BO515" s="2"/>
      <c r="MJM515" s="2"/>
    </row>
    <row r="516" s="32" customFormat="true" ht="19.5" hidden="false" customHeight="true" outlineLevel="0" collapsed="false">
      <c r="A516" s="2" t="s">
        <v>10422</v>
      </c>
      <c r="B516" s="2"/>
      <c r="C516" s="2" t="str">
        <f aca="false">_xlfn.CONCAT(A516, " ","(",B516,")")</f>
        <v>Ptinus lichenum ()</v>
      </c>
      <c r="D516" s="2" t="s">
        <v>8580</v>
      </c>
      <c r="E516" s="2" t="s">
        <v>8581</v>
      </c>
      <c r="F516" s="2" t="s">
        <v>8818</v>
      </c>
      <c r="G516" s="2" t="s">
        <v>8633</v>
      </c>
      <c r="H516" s="2" t="str">
        <f aca="false">VLOOKUP(A516,'[1]NE red list'!A$1:H$1048576,5,FALSE())</f>
        <v>EN</v>
      </c>
      <c r="I516" s="2" t="s">
        <v>8622</v>
      </c>
      <c r="J516" s="2" t="s">
        <v>10423</v>
      </c>
      <c r="K516" s="2"/>
      <c r="L516" s="2" t="s">
        <v>8836</v>
      </c>
      <c r="M516" s="2"/>
      <c r="N516" s="2" t="str">
        <f aca="false">_xlfn.CONCAT(Q516," ",R516," ",S516)</f>
        <v> parkland </v>
      </c>
      <c r="O516" s="3" t="s">
        <v>14</v>
      </c>
      <c r="P516" s="2"/>
      <c r="Q516" s="2"/>
      <c r="R516" s="2" t="s">
        <v>8568</v>
      </c>
      <c r="S516" s="2"/>
      <c r="T516" s="2"/>
      <c r="U516" s="2" t="s">
        <v>8605</v>
      </c>
      <c r="V516" s="2"/>
      <c r="W516" s="2" t="s">
        <v>8571</v>
      </c>
      <c r="X516" s="2" t="s">
        <v>8625</v>
      </c>
      <c r="Y516" s="2"/>
      <c r="Z516" s="2" t="s">
        <v>8574</v>
      </c>
      <c r="AA516" s="4"/>
      <c r="AB516" s="5"/>
      <c r="AC516" s="6"/>
      <c r="AD516" s="6"/>
      <c r="AE516" s="6"/>
      <c r="AF516" s="6"/>
      <c r="AG516" s="7" t="s">
        <v>8575</v>
      </c>
      <c r="AH516" s="7"/>
      <c r="AI516" s="7" t="s">
        <v>8617</v>
      </c>
      <c r="AJ516" s="7"/>
      <c r="AK516" s="7"/>
      <c r="AL516" s="7"/>
      <c r="AM516" s="4" t="s">
        <v>8657</v>
      </c>
      <c r="AN516" s="32" t="s">
        <v>8734</v>
      </c>
      <c r="AO516" s="32" t="s">
        <v>40</v>
      </c>
      <c r="AQ516" s="8" t="s">
        <v>42</v>
      </c>
      <c r="AS516" s="2"/>
      <c r="AU516" s="4"/>
      <c r="AV516" s="11"/>
      <c r="AW516" s="11"/>
      <c r="AX516" s="4"/>
      <c r="AY516" s="12"/>
      <c r="AZ516" s="12"/>
      <c r="BI516" s="2" t="s">
        <v>8590</v>
      </c>
      <c r="BL516" s="32" t="s">
        <v>8591</v>
      </c>
    </row>
    <row r="517" s="8" customFormat="true" ht="19.5" hidden="false" customHeight="true" outlineLevel="0" collapsed="false">
      <c r="A517" s="1" t="s">
        <v>10424</v>
      </c>
      <c r="B517" s="2" t="s">
        <v>10425</v>
      </c>
      <c r="C517" s="2" t="str">
        <f aca="false">_xlfn.CONCAT(A517, " ","(",B517,")")</f>
        <v>Catocala promissa (Light Crimson Underwing)</v>
      </c>
      <c r="D517" s="2" t="s">
        <v>8580</v>
      </c>
      <c r="E517" s="2" t="s">
        <v>8722</v>
      </c>
      <c r="F517" s="2" t="s">
        <v>8922</v>
      </c>
      <c r="G517" s="2" t="s">
        <v>8776</v>
      </c>
      <c r="H517" s="2" t="e">
        <f aca="false">VLOOKUP(A517,'[1]NE red list'!A$1:H$1048576,5,FALSE())</f>
        <v>#N/A</v>
      </c>
      <c r="I517" s="2" t="s">
        <v>8610</v>
      </c>
      <c r="J517" s="33" t="s">
        <v>10426</v>
      </c>
      <c r="K517" s="2" t="s">
        <v>10427</v>
      </c>
      <c r="L517" s="2" t="s">
        <v>9605</v>
      </c>
      <c r="M517" s="2"/>
      <c r="N517" s="2" t="str">
        <f aca="false">_xlfn.CONCAT(Q517," ",R517," ",S517)</f>
        <v> parkland </v>
      </c>
      <c r="O517" s="3" t="s">
        <v>14</v>
      </c>
      <c r="P517" s="2"/>
      <c r="Q517" s="2"/>
      <c r="R517" s="2" t="s">
        <v>8568</v>
      </c>
      <c r="S517" s="2"/>
      <c r="T517" s="2"/>
      <c r="U517" s="2" t="s">
        <v>8570</v>
      </c>
      <c r="V517" s="2" t="s">
        <v>8745</v>
      </c>
      <c r="W517" s="2" t="s">
        <v>8571</v>
      </c>
      <c r="X517" s="2" t="s">
        <v>8597</v>
      </c>
      <c r="Y517" s="2" t="s">
        <v>8573</v>
      </c>
      <c r="Z517" s="2" t="s">
        <v>8694</v>
      </c>
      <c r="AA517" s="4"/>
      <c r="AB517" s="5"/>
      <c r="AC517" s="6"/>
      <c r="AD517" s="6"/>
      <c r="AE517" s="6"/>
      <c r="AF517" s="6"/>
      <c r="AG517" s="7"/>
      <c r="AH517" s="7"/>
      <c r="AI517" s="7"/>
      <c r="AJ517" s="7"/>
      <c r="AK517" s="7"/>
      <c r="AL517" s="7"/>
      <c r="AM517" s="4" t="s">
        <v>8657</v>
      </c>
      <c r="AN517" s="32" t="s">
        <v>9262</v>
      </c>
      <c r="AO517" s="32" t="s">
        <v>40</v>
      </c>
      <c r="AP517" s="32"/>
      <c r="AQ517" s="8" t="s">
        <v>42</v>
      </c>
      <c r="AR517" s="8" t="s">
        <v>43</v>
      </c>
      <c r="AS517" s="2"/>
      <c r="AT517" s="32"/>
      <c r="AU517" s="4"/>
      <c r="AV517" s="11"/>
      <c r="AW517" s="11"/>
      <c r="AX517" s="4"/>
      <c r="AY517" s="12"/>
      <c r="AZ517" s="12"/>
      <c r="BA517" s="32" t="s">
        <v>10428</v>
      </c>
      <c r="BB517" s="32"/>
      <c r="BC517" s="32"/>
      <c r="BD517" s="32"/>
      <c r="BE517" s="32"/>
      <c r="BF517" s="32"/>
      <c r="BG517" s="32"/>
      <c r="BH517" s="32"/>
      <c r="BI517" s="2" t="s">
        <v>8590</v>
      </c>
      <c r="BJ517" s="32" t="s">
        <v>8773</v>
      </c>
      <c r="BK517" s="32"/>
      <c r="BL517" s="32" t="s">
        <v>8578</v>
      </c>
      <c r="BM517" s="32"/>
      <c r="BN517" s="32" t="s">
        <v>8619</v>
      </c>
    </row>
    <row r="518" customFormat="false" ht="19.5" hidden="false" customHeight="true" outlineLevel="0" collapsed="false">
      <c r="A518" s="2" t="s">
        <v>10429</v>
      </c>
      <c r="C518" s="2" t="str">
        <f aca="false">_xlfn.CONCAT(A518, " ","(",B518,")")</f>
        <v>Aeletes atomarius ()</v>
      </c>
      <c r="D518" s="2" t="s">
        <v>8580</v>
      </c>
      <c r="E518" s="2" t="s">
        <v>8581</v>
      </c>
      <c r="F518" s="2" t="s">
        <v>9234</v>
      </c>
      <c r="G518" s="2" t="s">
        <v>8662</v>
      </c>
      <c r="H518" s="2" t="e">
        <f aca="false">VLOOKUP(A518,'[1]NE red list'!A$1:H$1048576,5,FALSE())</f>
        <v>#N/A</v>
      </c>
      <c r="I518" s="2" t="s">
        <v>8645</v>
      </c>
      <c r="J518" s="2" t="s">
        <v>10430</v>
      </c>
      <c r="K518" s="2" t="s">
        <v>10431</v>
      </c>
      <c r="L518" s="2" t="s">
        <v>8665</v>
      </c>
      <c r="N518" s="2" t="str">
        <f aca="false">_xlfn.CONCAT(Q518," ",R518," ",S518)</f>
        <v> parkland </v>
      </c>
      <c r="O518" s="3" t="s">
        <v>14</v>
      </c>
      <c r="P518" s="2" t="s">
        <v>8587</v>
      </c>
      <c r="R518" s="2" t="s">
        <v>8568</v>
      </c>
      <c r="T518" s="2"/>
      <c r="U518" s="2" t="s">
        <v>8570</v>
      </c>
      <c r="V518" s="2" t="s">
        <v>10432</v>
      </c>
      <c r="W518" s="2" t="s">
        <v>8587</v>
      </c>
      <c r="Y518" s="2" t="s">
        <v>8772</v>
      </c>
      <c r="Z518" s="2" t="s">
        <v>8614</v>
      </c>
      <c r="AB518" s="5" t="s">
        <v>9745</v>
      </c>
      <c r="AG518" s="7" t="s">
        <v>8575</v>
      </c>
      <c r="AI518" s="7" t="s">
        <v>8617</v>
      </c>
      <c r="AK518" s="7" t="s">
        <v>8780</v>
      </c>
      <c r="AL518" s="7" t="s">
        <v>8628</v>
      </c>
      <c r="AS518" s="2"/>
      <c r="AV518" s="11"/>
      <c r="BD518" s="2" t="s">
        <v>9046</v>
      </c>
      <c r="BI518" s="2" t="s">
        <v>8590</v>
      </c>
      <c r="BL518" s="2" t="s">
        <v>8591</v>
      </c>
      <c r="BO518" s="2"/>
      <c r="MJM518" s="2"/>
    </row>
    <row r="519" customFormat="false" ht="19.5" hidden="false" customHeight="true" outlineLevel="0" collapsed="false">
      <c r="A519" s="2" t="s">
        <v>10433</v>
      </c>
      <c r="C519" s="2" t="str">
        <f aca="false">_xlfn.CONCAT(A519, " ","(",B519,")")</f>
        <v>Pycnomerus fuliginosus ()</v>
      </c>
      <c r="D519" s="2" t="s">
        <v>8580</v>
      </c>
      <c r="E519" s="2" t="s">
        <v>8581</v>
      </c>
      <c r="F519" s="2" t="s">
        <v>9219</v>
      </c>
      <c r="H519" s="2" t="e">
        <f aca="false">VLOOKUP(A519,'[1]NE red list'!A$1:H$1048576,5,FALSE())</f>
        <v>#N/A</v>
      </c>
      <c r="I519" s="2" t="s">
        <v>10434</v>
      </c>
      <c r="J519" s="2" t="s">
        <v>10435</v>
      </c>
      <c r="L519" s="2" t="s">
        <v>8677</v>
      </c>
      <c r="N519" s="2" t="str">
        <f aca="false">_xlfn.CONCAT(Q519," ",R519," ",S519)</f>
        <v>woodland parkland </v>
      </c>
      <c r="O519" s="3" t="s">
        <v>14</v>
      </c>
      <c r="P519" s="2"/>
      <c r="Q519" s="2" t="s">
        <v>16</v>
      </c>
      <c r="R519" s="2" t="s">
        <v>8568</v>
      </c>
      <c r="T519" s="2"/>
      <c r="U519" s="2" t="s">
        <v>8570</v>
      </c>
      <c r="V519" s="2" t="s">
        <v>10436</v>
      </c>
      <c r="X519" s="2" t="s">
        <v>8625</v>
      </c>
      <c r="Z519" s="2" t="s">
        <v>8574</v>
      </c>
      <c r="AG519" s="7" t="s">
        <v>8824</v>
      </c>
      <c r="AM519" s="4" t="s">
        <v>8657</v>
      </c>
      <c r="AN519" s="8" t="s">
        <v>9444</v>
      </c>
      <c r="AO519" s="8" t="s">
        <v>40</v>
      </c>
      <c r="AQ519" s="8" t="s">
        <v>42</v>
      </c>
      <c r="AS519" s="2"/>
      <c r="AV519" s="11"/>
      <c r="BI519" s="2" t="s">
        <v>8590</v>
      </c>
      <c r="BL519" s="2" t="s">
        <v>8591</v>
      </c>
      <c r="BO519" s="2"/>
      <c r="MJM519" s="2"/>
    </row>
    <row r="520" customFormat="false" ht="19.5" hidden="false" customHeight="true" outlineLevel="0" collapsed="false">
      <c r="A520" s="2" t="s">
        <v>10437</v>
      </c>
      <c r="C520" s="2" t="str">
        <f aca="false">_xlfn.CONCAT(A520, " ","(",B520,")")</f>
        <v>Epiphanis cornutus ()</v>
      </c>
      <c r="D520" s="2" t="s">
        <v>8580</v>
      </c>
      <c r="E520" s="2" t="s">
        <v>8581</v>
      </c>
      <c r="F520" s="2" t="s">
        <v>9626</v>
      </c>
      <c r="H520" s="2" t="e">
        <f aca="false">VLOOKUP(A520,'[1]NE red list'!A$1:H$1048576,5,FALSE())</f>
        <v>#N/A</v>
      </c>
      <c r="I520" s="2" t="s">
        <v>10438</v>
      </c>
      <c r="J520" s="2" t="s">
        <v>10439</v>
      </c>
      <c r="L520" s="2" t="s">
        <v>8836</v>
      </c>
      <c r="N520" s="2" t="str">
        <f aca="false">_xlfn.CONCAT(Q520," ",R520," ",S520)</f>
        <v>woodland parkland </v>
      </c>
      <c r="O520" s="3" t="s">
        <v>14</v>
      </c>
      <c r="P520" s="2" t="s">
        <v>8567</v>
      </c>
      <c r="Q520" s="2" t="s">
        <v>16</v>
      </c>
      <c r="R520" s="2" t="s">
        <v>8568</v>
      </c>
      <c r="T520" s="2"/>
      <c r="U520" s="2" t="s">
        <v>8605</v>
      </c>
      <c r="W520" s="2" t="s">
        <v>8567</v>
      </c>
      <c r="Z520" s="2" t="s">
        <v>8614</v>
      </c>
      <c r="AA520" s="4" t="s">
        <v>26</v>
      </c>
      <c r="AF520" s="6" t="s">
        <v>8616</v>
      </c>
      <c r="AG520" s="7" t="s">
        <v>8575</v>
      </c>
      <c r="AI520" s="7" t="s">
        <v>8617</v>
      </c>
      <c r="AK520" s="7" t="s">
        <v>8780</v>
      </c>
      <c r="AS520" s="2"/>
      <c r="AV520" s="11"/>
      <c r="BD520" s="2" t="s">
        <v>9046</v>
      </c>
      <c r="BI520" s="2" t="s">
        <v>8590</v>
      </c>
      <c r="BL520" s="2" t="s">
        <v>8591</v>
      </c>
      <c r="BM520" s="2" t="s">
        <v>8619</v>
      </c>
      <c r="BO520" s="2"/>
      <c r="MJM520" s="2"/>
    </row>
    <row r="521" customFormat="false" ht="19.5" hidden="false" customHeight="true" outlineLevel="0" collapsed="false">
      <c r="A521" s="1" t="s">
        <v>10440</v>
      </c>
      <c r="B521" s="2" t="s">
        <v>10441</v>
      </c>
      <c r="C521" s="2" t="str">
        <f aca="false">_xlfn.CONCAT(A521, " ","(",B521,")")</f>
        <v>Catocala sponsa (Dark Crimson Underwing)</v>
      </c>
      <c r="D521" s="2" t="s">
        <v>8580</v>
      </c>
      <c r="E521" s="2" t="s">
        <v>8722</v>
      </c>
      <c r="F521" s="2" t="s">
        <v>8922</v>
      </c>
      <c r="G521" s="2" t="s">
        <v>8776</v>
      </c>
      <c r="H521" s="2" t="e">
        <f aca="false">VLOOKUP(A521,'[1]NE red list'!A$1:H$1048576,5,FALSE())</f>
        <v>#N/A</v>
      </c>
      <c r="I521" s="2" t="s">
        <v>8610</v>
      </c>
      <c r="J521" s="33" t="s">
        <v>10426</v>
      </c>
      <c r="K521" s="2" t="s">
        <v>10427</v>
      </c>
      <c r="L521" s="2" t="s">
        <v>9605</v>
      </c>
      <c r="N521" s="2" t="str">
        <f aca="false">_xlfn.CONCAT(Q521," ",R521," ",S521)</f>
        <v> parkland </v>
      </c>
      <c r="O521" s="3" t="s">
        <v>14</v>
      </c>
      <c r="P521" s="2"/>
      <c r="R521" s="2" t="s">
        <v>8568</v>
      </c>
      <c r="T521" s="2"/>
      <c r="U521" s="2" t="s">
        <v>8570</v>
      </c>
      <c r="V521" s="2" t="s">
        <v>8745</v>
      </c>
      <c r="W521" s="2" t="s">
        <v>8571</v>
      </c>
      <c r="X521" s="2" t="s">
        <v>8597</v>
      </c>
      <c r="Y521" s="2" t="s">
        <v>8573</v>
      </c>
      <c r="Z521" s="2" t="s">
        <v>8694</v>
      </c>
      <c r="AM521" s="4" t="s">
        <v>8657</v>
      </c>
      <c r="AN521" s="32" t="s">
        <v>9262</v>
      </c>
      <c r="AO521" s="32" t="s">
        <v>40</v>
      </c>
      <c r="AP521" s="32"/>
      <c r="AQ521" s="8" t="s">
        <v>42</v>
      </c>
      <c r="AR521" s="8" t="s">
        <v>43</v>
      </c>
      <c r="AS521" s="2"/>
      <c r="AT521" s="32"/>
      <c r="AV521" s="11"/>
      <c r="BA521" s="32" t="s">
        <v>10428</v>
      </c>
      <c r="BB521" s="32"/>
      <c r="BC521" s="32"/>
      <c r="BD521" s="32"/>
      <c r="BE521" s="32"/>
      <c r="BF521" s="32"/>
      <c r="BG521" s="32"/>
      <c r="BH521" s="32"/>
      <c r="BI521" s="2" t="s">
        <v>8590</v>
      </c>
      <c r="BJ521" s="32" t="s">
        <v>8773</v>
      </c>
      <c r="BK521" s="32"/>
      <c r="BL521" s="32" t="s">
        <v>8578</v>
      </c>
      <c r="BM521" s="32"/>
      <c r="BN521" s="32" t="s">
        <v>8619</v>
      </c>
      <c r="BO521" s="2"/>
      <c r="MJM521" s="2"/>
    </row>
    <row r="522" customFormat="false" ht="19.5" hidden="false" customHeight="true" outlineLevel="0" collapsed="false">
      <c r="A522" s="1" t="s">
        <v>10442</v>
      </c>
      <c r="B522" s="2" t="s">
        <v>10443</v>
      </c>
      <c r="C522" s="2" t="str">
        <f aca="false">_xlfn.CONCAT(A522, " ","(",B522,")")</f>
        <v>Eucnemis capucina (False click beetle)</v>
      </c>
      <c r="D522" s="2" t="s">
        <v>8580</v>
      </c>
      <c r="E522" s="2" t="s">
        <v>8581</v>
      </c>
      <c r="F522" s="2" t="s">
        <v>9626</v>
      </c>
      <c r="G522" s="2" t="s">
        <v>8662</v>
      </c>
      <c r="H522" s="2" t="e">
        <f aca="false">VLOOKUP(A522,'[1]NE red list'!A$1:H$1048576,5,FALSE())</f>
        <v>#N/A</v>
      </c>
      <c r="I522" s="2" t="s">
        <v>8610</v>
      </c>
      <c r="J522" s="2" t="s">
        <v>10444</v>
      </c>
      <c r="L522" s="2" t="s">
        <v>8836</v>
      </c>
      <c r="N522" s="2" t="str">
        <f aca="false">_xlfn.CONCAT(Q522," ",R522," ",S522)</f>
        <v>woodland parkland </v>
      </c>
      <c r="O522" s="3" t="s">
        <v>14</v>
      </c>
      <c r="P522" s="2" t="s">
        <v>8587</v>
      </c>
      <c r="Q522" s="2" t="s">
        <v>16</v>
      </c>
      <c r="R522" s="2" t="s">
        <v>8568</v>
      </c>
      <c r="T522" s="2"/>
      <c r="U522" s="2" t="s">
        <v>8570</v>
      </c>
      <c r="V522" s="2" t="s">
        <v>9640</v>
      </c>
      <c r="W522" s="2" t="s">
        <v>8567</v>
      </c>
      <c r="X522" s="2" t="s">
        <v>8625</v>
      </c>
      <c r="Z522" s="2" t="s">
        <v>8614</v>
      </c>
      <c r="AA522" s="4" t="s">
        <v>26</v>
      </c>
      <c r="AF522" s="6" t="s">
        <v>8616</v>
      </c>
      <c r="AG522" s="7" t="s">
        <v>8575</v>
      </c>
      <c r="AI522" s="7" t="s">
        <v>8617</v>
      </c>
      <c r="AK522" s="7" t="s">
        <v>8780</v>
      </c>
      <c r="AS522" s="2"/>
      <c r="AV522" s="11"/>
      <c r="BD522" s="2" t="s">
        <v>9046</v>
      </c>
      <c r="BI522" s="2" t="s">
        <v>8590</v>
      </c>
      <c r="BL522" s="2" t="s">
        <v>8591</v>
      </c>
      <c r="BM522" s="2" t="s">
        <v>8619</v>
      </c>
      <c r="BO522" s="2"/>
      <c r="MJM522" s="2"/>
    </row>
    <row r="523" s="57" customFormat="true" ht="19.5" hidden="false" customHeight="true" outlineLevel="0" collapsed="false">
      <c r="A523" s="2" t="s">
        <v>9556</v>
      </c>
      <c r="B523" s="2"/>
      <c r="C523" s="2" t="str">
        <f aca="false">_xlfn.CONCAT(A523, " ","(",B523,")")</f>
        <v>Euplectus fauveli ()</v>
      </c>
      <c r="D523" s="2" t="s">
        <v>8580</v>
      </c>
      <c r="E523" s="2" t="s">
        <v>8581</v>
      </c>
      <c r="F523" s="2" t="s">
        <v>8652</v>
      </c>
      <c r="G523" s="2" t="s">
        <v>8583</v>
      </c>
      <c r="H523" s="2" t="e">
        <f aca="false">VLOOKUP(A523,'[1]NE red list'!A$1:H$1048576,5,FALSE())</f>
        <v>#N/A</v>
      </c>
      <c r="I523" s="2" t="s">
        <v>8750</v>
      </c>
      <c r="J523" s="2" t="s">
        <v>9558</v>
      </c>
      <c r="K523" s="2"/>
      <c r="L523" s="2" t="s">
        <v>8836</v>
      </c>
      <c r="M523" s="2"/>
      <c r="N523" s="2" t="str">
        <f aca="false">_xlfn.CONCAT(Q523," ",R523," ",S523)</f>
        <v> parkland </v>
      </c>
      <c r="O523" s="3" t="s">
        <v>14</v>
      </c>
      <c r="P523" s="2" t="s">
        <v>8587</v>
      </c>
      <c r="Q523" s="2"/>
      <c r="R523" s="2" t="s">
        <v>8568</v>
      </c>
      <c r="S523" s="2"/>
      <c r="T523" s="2"/>
      <c r="U523" s="2" t="s">
        <v>8570</v>
      </c>
      <c r="V523" s="2" t="s">
        <v>8828</v>
      </c>
      <c r="W523" s="2" t="s">
        <v>8571</v>
      </c>
      <c r="X523" s="2" t="s">
        <v>8625</v>
      </c>
      <c r="Y523" s="2"/>
      <c r="Z523" s="2" t="s">
        <v>8574</v>
      </c>
      <c r="AA523" s="4" t="s">
        <v>26</v>
      </c>
      <c r="AB523" s="5"/>
      <c r="AC523" s="55" t="s">
        <v>8666</v>
      </c>
      <c r="AD523" s="6" t="s">
        <v>8615</v>
      </c>
      <c r="AE523" s="6"/>
      <c r="AF523" s="6"/>
      <c r="AG523" s="7" t="s">
        <v>8575</v>
      </c>
      <c r="AH523" s="7"/>
      <c r="AI523" s="7" t="s">
        <v>8617</v>
      </c>
      <c r="AJ523" s="7"/>
      <c r="AK523" s="7"/>
      <c r="AL523" s="7" t="s">
        <v>8785</v>
      </c>
      <c r="AM523" s="4" t="s">
        <v>8657</v>
      </c>
      <c r="AN523" s="8" t="s">
        <v>9444</v>
      </c>
      <c r="AO523" s="8" t="s">
        <v>40</v>
      </c>
      <c r="AP523" s="8"/>
      <c r="AQ523" s="8" t="s">
        <v>42</v>
      </c>
      <c r="AR523" s="8"/>
      <c r="AS523" s="2"/>
      <c r="AT523" s="2"/>
      <c r="AU523" s="4" t="s">
        <v>8639</v>
      </c>
      <c r="AV523" s="10"/>
      <c r="AW523" s="11"/>
      <c r="AX523" s="4"/>
      <c r="AY523" s="12"/>
      <c r="AZ523" s="12"/>
      <c r="BA523" s="2"/>
      <c r="BB523" s="2"/>
      <c r="BC523" s="2"/>
      <c r="BD523" s="2" t="s">
        <v>8629</v>
      </c>
      <c r="BE523" s="2"/>
      <c r="BF523" s="2"/>
      <c r="BG523" s="2"/>
      <c r="BH523" s="2"/>
      <c r="BI523" s="2" t="s">
        <v>8590</v>
      </c>
      <c r="BJ523" s="2"/>
      <c r="BK523" s="2"/>
      <c r="BL523" s="2" t="s">
        <v>8591</v>
      </c>
      <c r="BM523" s="2"/>
    </row>
    <row r="524" customFormat="false" ht="19.5" hidden="false" customHeight="true" outlineLevel="0" collapsed="false">
      <c r="A524" s="1" t="s">
        <v>10445</v>
      </c>
      <c r="B524" s="2" t="s">
        <v>10446</v>
      </c>
      <c r="C524" s="2" t="str">
        <f aca="false">_xlfn.CONCAT(A524, " ","(",B524,")")</f>
        <v>Quedius dilatatus (Hornet Rove-Beetle)</v>
      </c>
      <c r="D524" s="2" t="s">
        <v>8580</v>
      </c>
      <c r="E524" s="2" t="s">
        <v>8581</v>
      </c>
      <c r="F524" s="2" t="s">
        <v>8652</v>
      </c>
      <c r="G524" s="2" t="s">
        <v>8662</v>
      </c>
      <c r="H524" s="2" t="e">
        <f aca="false">VLOOKUP(A524,'[1]NE red list'!A$1:H$1048576,5,FALSE())</f>
        <v>#N/A</v>
      </c>
      <c r="I524" s="2" t="s">
        <v>8610</v>
      </c>
      <c r="J524" s="2" t="s">
        <v>10447</v>
      </c>
      <c r="K524" s="2" t="s">
        <v>9194</v>
      </c>
      <c r="L524" s="2" t="s">
        <v>8665</v>
      </c>
      <c r="N524" s="2" t="str">
        <f aca="false">_xlfn.CONCAT(Q524," ",R524," ",S524)</f>
        <v> parkland </v>
      </c>
      <c r="O524" s="3" t="s">
        <v>14</v>
      </c>
      <c r="P524" s="2"/>
      <c r="R524" s="2" t="s">
        <v>8568</v>
      </c>
      <c r="T524" s="2"/>
      <c r="U524" s="2" t="s">
        <v>8570</v>
      </c>
      <c r="W524" s="2" t="s">
        <v>8571</v>
      </c>
      <c r="X524" s="2" t="s">
        <v>8589</v>
      </c>
      <c r="AA524" s="4" t="s">
        <v>26</v>
      </c>
      <c r="AB524" s="5" t="s">
        <v>9028</v>
      </c>
      <c r="AD524" s="6" t="s">
        <v>8615</v>
      </c>
      <c r="AG524" s="7" t="s">
        <v>8575</v>
      </c>
      <c r="AI524" s="7" t="s">
        <v>8617</v>
      </c>
      <c r="AS524" s="2"/>
      <c r="AU524" s="4" t="s">
        <v>8639</v>
      </c>
      <c r="AV524" s="10" t="s">
        <v>9195</v>
      </c>
      <c r="BA524" s="2" t="s">
        <v>8868</v>
      </c>
      <c r="BL524" s="2" t="s">
        <v>8591</v>
      </c>
      <c r="BO524" s="2"/>
      <c r="MJM524" s="2"/>
    </row>
    <row r="525" customFormat="false" ht="19.5" hidden="false" customHeight="true" outlineLevel="0" collapsed="false">
      <c r="A525" s="2" t="s">
        <v>10448</v>
      </c>
      <c r="C525" s="2" t="str">
        <f aca="false">_xlfn.CONCAT(A525, " ","(",B525,")")</f>
        <v>Leptusa fumida ()</v>
      </c>
      <c r="D525" s="2" t="s">
        <v>8580</v>
      </c>
      <c r="E525" s="2" t="s">
        <v>8581</v>
      </c>
      <c r="F525" s="2" t="s">
        <v>8652</v>
      </c>
      <c r="G525" s="2" t="s">
        <v>8737</v>
      </c>
      <c r="H525" s="2" t="e">
        <f aca="false">VLOOKUP(A525,'[1]NE red list'!A$1:H$1048576,5,FALSE())</f>
        <v>#N/A</v>
      </c>
      <c r="I525" s="2" t="s">
        <v>8645</v>
      </c>
      <c r="J525" s="2" t="s">
        <v>10449</v>
      </c>
      <c r="L525" s="2" t="s">
        <v>10450</v>
      </c>
      <c r="N525" s="2" t="str">
        <f aca="false">_xlfn.CONCAT(Q525," ",R525," ",S525)</f>
        <v> parkland </v>
      </c>
      <c r="O525" s="3" t="s">
        <v>14</v>
      </c>
      <c r="P525" s="2"/>
      <c r="R525" s="2" t="s">
        <v>8568</v>
      </c>
      <c r="T525" s="2"/>
      <c r="U525" s="2" t="s">
        <v>8605</v>
      </c>
      <c r="W525" s="2" t="s">
        <v>8571</v>
      </c>
      <c r="Z525" s="2" t="s">
        <v>8574</v>
      </c>
      <c r="AA525" s="4" t="s">
        <v>26</v>
      </c>
      <c r="AF525" s="6" t="s">
        <v>8616</v>
      </c>
      <c r="AG525" s="7" t="s">
        <v>8575</v>
      </c>
      <c r="AI525" s="7" t="s">
        <v>8617</v>
      </c>
      <c r="AN525" s="8" t="s">
        <v>8638</v>
      </c>
      <c r="AS525" s="2"/>
      <c r="AV525" s="11"/>
      <c r="BD525" s="2" t="s">
        <v>9046</v>
      </c>
      <c r="BI525" s="2" t="s">
        <v>8590</v>
      </c>
      <c r="BJ525" s="2" t="s">
        <v>8630</v>
      </c>
      <c r="BL525" s="2" t="s">
        <v>8591</v>
      </c>
      <c r="BO525" s="2"/>
      <c r="MJM525" s="2"/>
    </row>
    <row r="526" s="32" customFormat="true" ht="19.5" hidden="false" customHeight="true" outlineLevel="0" collapsed="false">
      <c r="A526" s="2" t="s">
        <v>10451</v>
      </c>
      <c r="B526" s="2"/>
      <c r="C526" s="2" t="str">
        <f aca="false">_xlfn.CONCAT(A526, " ","(",B526,")")</f>
        <v>Mycetophagus populi ()</v>
      </c>
      <c r="D526" s="2" t="s">
        <v>8580</v>
      </c>
      <c r="E526" s="2" t="s">
        <v>8581</v>
      </c>
      <c r="F526" s="2" t="s">
        <v>9239</v>
      </c>
      <c r="G526" s="2" t="s">
        <v>8633</v>
      </c>
      <c r="H526" s="2" t="str">
        <f aca="false">VLOOKUP(A526,'[1]NE red list'!A$1:H$1048576,5,FALSE())</f>
        <v>VU</v>
      </c>
      <c r="I526" s="2" t="s">
        <v>8984</v>
      </c>
      <c r="J526" s="2" t="s">
        <v>10452</v>
      </c>
      <c r="K526" s="2"/>
      <c r="L526" s="2" t="s">
        <v>8677</v>
      </c>
      <c r="M526" s="2"/>
      <c r="N526" s="2" t="str">
        <f aca="false">_xlfn.CONCAT(Q526," ",R526," ",S526)</f>
        <v> parkland </v>
      </c>
      <c r="O526" s="3" t="s">
        <v>14</v>
      </c>
      <c r="P526" s="2"/>
      <c r="Q526" s="2"/>
      <c r="R526" s="2" t="s">
        <v>8568</v>
      </c>
      <c r="S526" s="2"/>
      <c r="T526" s="2"/>
      <c r="U526" s="2" t="s">
        <v>8570</v>
      </c>
      <c r="V526" s="2" t="s">
        <v>8940</v>
      </c>
      <c r="W526" s="2" t="s">
        <v>8571</v>
      </c>
      <c r="X526" s="2" t="s">
        <v>8625</v>
      </c>
      <c r="Y526" s="2"/>
      <c r="Z526" s="2" t="s">
        <v>8614</v>
      </c>
      <c r="AA526" s="4" t="s">
        <v>26</v>
      </c>
      <c r="AB526" s="5"/>
      <c r="AC526" s="6"/>
      <c r="AD526" s="6"/>
      <c r="AE526" s="6"/>
      <c r="AF526" s="6" t="s">
        <v>8616</v>
      </c>
      <c r="AG526" s="7" t="s">
        <v>8575</v>
      </c>
      <c r="AH526" s="7"/>
      <c r="AI526" s="7" t="s">
        <v>8617</v>
      </c>
      <c r="AJ526" s="7"/>
      <c r="AK526" s="7" t="s">
        <v>8627</v>
      </c>
      <c r="AL526" s="7"/>
      <c r="AM526" s="4" t="s">
        <v>8657</v>
      </c>
      <c r="AN526" s="32" t="s">
        <v>8734</v>
      </c>
      <c r="AO526" s="32" t="s">
        <v>40</v>
      </c>
      <c r="AQ526" s="8" t="s">
        <v>42</v>
      </c>
      <c r="AS526" s="2"/>
      <c r="AU526" s="4"/>
      <c r="AV526" s="11"/>
      <c r="AW526" s="11"/>
      <c r="AX526" s="4" t="s">
        <v>8607</v>
      </c>
      <c r="AY526" s="12"/>
      <c r="AZ526" s="12"/>
      <c r="BA526" s="32" t="s">
        <v>10330</v>
      </c>
      <c r="BD526" s="2" t="s">
        <v>9046</v>
      </c>
      <c r="BI526" s="2" t="s">
        <v>8590</v>
      </c>
      <c r="BL526" s="32" t="s">
        <v>8591</v>
      </c>
      <c r="BM526" s="32" t="s">
        <v>8619</v>
      </c>
    </row>
    <row r="527" customFormat="false" ht="19.5" hidden="false" customHeight="true" outlineLevel="0" collapsed="false">
      <c r="A527" s="2" t="s">
        <v>10453</v>
      </c>
      <c r="C527" s="2" t="str">
        <f aca="false">_xlfn.CONCAT(A527, " ","(",B527,")")</f>
        <v>Nemadus colonoides ()</v>
      </c>
      <c r="D527" s="2" t="s">
        <v>8580</v>
      </c>
      <c r="E527" s="2" t="s">
        <v>8581</v>
      </c>
      <c r="F527" s="2" t="s">
        <v>8803</v>
      </c>
      <c r="H527" s="2" t="e">
        <f aca="false">VLOOKUP(A527,'[1]NE red list'!A$1:H$1048576,5,FALSE())</f>
        <v>#N/A</v>
      </c>
      <c r="I527" s="2" t="s">
        <v>9223</v>
      </c>
      <c r="J527" s="2" t="s">
        <v>10454</v>
      </c>
      <c r="L527" s="2" t="s">
        <v>8586</v>
      </c>
      <c r="N527" s="2" t="str">
        <f aca="false">_xlfn.CONCAT(Q527," ",R527," ",S527)</f>
        <v> parkland </v>
      </c>
      <c r="O527" s="3" t="s">
        <v>14</v>
      </c>
      <c r="P527" s="2"/>
      <c r="R527" s="2" t="s">
        <v>8568</v>
      </c>
      <c r="T527" s="2"/>
      <c r="U527" s="2" t="s">
        <v>8605</v>
      </c>
      <c r="W527" s="2" t="s">
        <v>8571</v>
      </c>
      <c r="AA527" s="4" t="s">
        <v>26</v>
      </c>
      <c r="AC527" s="55" t="s">
        <v>8666</v>
      </c>
      <c r="AD527" s="6" t="s">
        <v>8615</v>
      </c>
      <c r="AF527" s="6" t="s">
        <v>8616</v>
      </c>
      <c r="AG527" s="7" t="s">
        <v>8575</v>
      </c>
      <c r="AI527" s="7" t="s">
        <v>8617</v>
      </c>
      <c r="AS527" s="2"/>
      <c r="AU527" s="4" t="s">
        <v>8639</v>
      </c>
      <c r="BD527" s="2" t="s">
        <v>8629</v>
      </c>
      <c r="BI527" s="2" t="s">
        <v>8590</v>
      </c>
      <c r="BJ527" s="2" t="s">
        <v>8630</v>
      </c>
      <c r="BL527" s="2" t="s">
        <v>8591</v>
      </c>
      <c r="BO527" s="2"/>
      <c r="MJM527" s="2"/>
    </row>
    <row r="528" customFormat="false" ht="19.5" hidden="false" customHeight="true" outlineLevel="0" collapsed="false">
      <c r="A528" s="2" t="s">
        <v>10455</v>
      </c>
      <c r="C528" s="2" t="str">
        <f aca="false">_xlfn.CONCAT(A528, " ","(",B528,")")</f>
        <v>Nossidium pilosellum ()</v>
      </c>
      <c r="D528" s="2" t="s">
        <v>8580</v>
      </c>
      <c r="E528" s="2" t="s">
        <v>8581</v>
      </c>
      <c r="F528" s="2" t="s">
        <v>9535</v>
      </c>
      <c r="G528" s="2" t="s">
        <v>8583</v>
      </c>
      <c r="H528" s="2" t="e">
        <f aca="false">VLOOKUP(A528,'[1]NE red list'!A$1:H$1048576,5,FALSE())</f>
        <v>#N/A</v>
      </c>
      <c r="I528" s="2" t="s">
        <v>8750</v>
      </c>
      <c r="J528" s="2" t="s">
        <v>10456</v>
      </c>
      <c r="K528" s="2" t="s">
        <v>9019</v>
      </c>
      <c r="L528" s="2" t="s">
        <v>8677</v>
      </c>
      <c r="N528" s="2" t="str">
        <f aca="false">_xlfn.CONCAT(Q528," ",R528," ",S528)</f>
        <v> parkland </v>
      </c>
      <c r="O528" s="3" t="s">
        <v>14</v>
      </c>
      <c r="P528" s="2"/>
      <c r="R528" s="2" t="s">
        <v>8568</v>
      </c>
      <c r="T528" s="2"/>
      <c r="U528" s="2" t="s">
        <v>8570</v>
      </c>
      <c r="V528" s="2" t="s">
        <v>10457</v>
      </c>
      <c r="W528" s="2" t="s">
        <v>8571</v>
      </c>
      <c r="X528" s="2" t="s">
        <v>9190</v>
      </c>
      <c r="Z528" s="2" t="s">
        <v>8598</v>
      </c>
      <c r="AA528" s="4" t="s">
        <v>26</v>
      </c>
      <c r="AB528" s="5" t="s">
        <v>8672</v>
      </c>
      <c r="AD528" s="6" t="s">
        <v>9044</v>
      </c>
      <c r="AF528" s="6" t="s">
        <v>8616</v>
      </c>
      <c r="AG528" s="7" t="s">
        <v>8575</v>
      </c>
      <c r="AI528" s="7" t="s">
        <v>8617</v>
      </c>
      <c r="AK528" s="7" t="s">
        <v>8627</v>
      </c>
      <c r="AL528" s="7" t="s">
        <v>8785</v>
      </c>
      <c r="AS528" s="2"/>
      <c r="AV528" s="11"/>
      <c r="AX528" s="4" t="s">
        <v>8607</v>
      </c>
      <c r="AY528" s="12" t="s">
        <v>10344</v>
      </c>
      <c r="BD528" s="2" t="s">
        <v>8629</v>
      </c>
      <c r="BI528" s="2" t="s">
        <v>8590</v>
      </c>
      <c r="BL528" s="2" t="s">
        <v>8591</v>
      </c>
      <c r="BM528" s="2" t="s">
        <v>8619</v>
      </c>
      <c r="BO528" s="2"/>
      <c r="MJM528" s="2"/>
    </row>
    <row r="529" customFormat="false" ht="19.5" hidden="false" customHeight="true" outlineLevel="0" collapsed="false">
      <c r="A529" s="2" t="s">
        <v>10458</v>
      </c>
      <c r="C529" s="2" t="str">
        <f aca="false">_xlfn.CONCAT(A529, " ","(",B529,")")</f>
        <v>Quedius xanthopus ()</v>
      </c>
      <c r="D529" s="2" t="s">
        <v>8580</v>
      </c>
      <c r="E529" s="2" t="s">
        <v>8581</v>
      </c>
      <c r="F529" s="2" t="s">
        <v>8652</v>
      </c>
      <c r="G529" s="2" t="s">
        <v>8583</v>
      </c>
      <c r="H529" s="2" t="e">
        <f aca="false">VLOOKUP(A529,'[1]NE red list'!A$1:H$1048576,5,FALSE())</f>
        <v>#N/A</v>
      </c>
      <c r="I529" s="2" t="s">
        <v>8645</v>
      </c>
      <c r="J529" s="2" t="s">
        <v>10459</v>
      </c>
      <c r="L529" s="2" t="s">
        <v>8665</v>
      </c>
      <c r="N529" s="2" t="str">
        <f aca="false">_xlfn.CONCAT(Q529," ",R529," ",S529)</f>
        <v>woodland parkland </v>
      </c>
      <c r="O529" s="3" t="s">
        <v>14</v>
      </c>
      <c r="P529" s="2" t="s">
        <v>8587</v>
      </c>
      <c r="Q529" s="2" t="s">
        <v>16</v>
      </c>
      <c r="R529" s="2" t="s">
        <v>8568</v>
      </c>
      <c r="T529" s="2"/>
      <c r="U529" s="2" t="s">
        <v>8605</v>
      </c>
      <c r="W529" s="2" t="s">
        <v>8571</v>
      </c>
      <c r="Z529" s="2" t="s">
        <v>8614</v>
      </c>
      <c r="AG529" s="7" t="s">
        <v>8824</v>
      </c>
      <c r="AI529" s="7" t="s">
        <v>8617</v>
      </c>
      <c r="AL529" s="7" t="s">
        <v>8628</v>
      </c>
      <c r="AM529" s="4" t="s">
        <v>8657</v>
      </c>
      <c r="AN529" s="8" t="s">
        <v>8734</v>
      </c>
      <c r="AO529" s="8" t="s">
        <v>40</v>
      </c>
      <c r="AQ529" s="8" t="s">
        <v>42</v>
      </c>
      <c r="AS529" s="2"/>
      <c r="AV529" s="11"/>
      <c r="BI529" s="2" t="s">
        <v>8590</v>
      </c>
      <c r="BJ529" s="2" t="s">
        <v>8601</v>
      </c>
      <c r="BL529" s="2" t="s">
        <v>8591</v>
      </c>
      <c r="BO529" s="2"/>
      <c r="MJM529" s="2"/>
    </row>
    <row r="530" customFormat="false" ht="19.5" hidden="false" customHeight="true" outlineLevel="0" collapsed="false">
      <c r="A530" s="2" t="s">
        <v>10460</v>
      </c>
      <c r="C530" s="2" t="str">
        <f aca="false">_xlfn.CONCAT(A530, " ","(",B530,")")</f>
        <v>Rhipidia ctenophora ()</v>
      </c>
      <c r="D530" s="2" t="s">
        <v>8580</v>
      </c>
      <c r="E530" s="2" t="s">
        <v>8687</v>
      </c>
      <c r="F530" s="2" t="s">
        <v>9633</v>
      </c>
      <c r="H530" s="2" t="e">
        <f aca="false">VLOOKUP(A530,'[1]NE red list'!A$1:H$1048576,5,FALSE())</f>
        <v>#N/A</v>
      </c>
      <c r="I530" s="2" t="s">
        <v>8743</v>
      </c>
      <c r="J530" s="2" t="s">
        <v>10461</v>
      </c>
      <c r="L530" s="2" t="s">
        <v>8836</v>
      </c>
      <c r="N530" s="2" t="str">
        <f aca="false">_xlfn.CONCAT(Q530," ",R530," ",S530)</f>
        <v>woodland parkland </v>
      </c>
      <c r="O530" s="3" t="s">
        <v>14</v>
      </c>
      <c r="P530" s="2"/>
      <c r="Q530" s="2" t="s">
        <v>16</v>
      </c>
      <c r="R530" s="2" t="s">
        <v>8568</v>
      </c>
      <c r="T530" s="2"/>
      <c r="U530" s="2" t="s">
        <v>8570</v>
      </c>
      <c r="V530" s="2" t="s">
        <v>10462</v>
      </c>
      <c r="X530" s="2" t="s">
        <v>9190</v>
      </c>
      <c r="Z530" s="2" t="s">
        <v>8574</v>
      </c>
      <c r="AA530" s="4" t="s">
        <v>26</v>
      </c>
      <c r="AF530" s="6" t="s">
        <v>9635</v>
      </c>
      <c r="AG530" s="7" t="s">
        <v>8575</v>
      </c>
      <c r="AI530" s="7" t="s">
        <v>8617</v>
      </c>
      <c r="AS530" s="2"/>
      <c r="AV530" s="11"/>
      <c r="BA530" s="2" t="s">
        <v>8868</v>
      </c>
      <c r="BI530" s="2" t="s">
        <v>8590</v>
      </c>
      <c r="BO530" s="2"/>
      <c r="MJM530" s="2"/>
    </row>
    <row r="531" customFormat="false" ht="19.5" hidden="false" customHeight="true" outlineLevel="0" collapsed="false">
      <c r="A531" s="2" t="s">
        <v>10463</v>
      </c>
      <c r="C531" s="2" t="str">
        <f aca="false">_xlfn.CONCAT(A531, " ","(",B531,")")</f>
        <v>Rhipidia uniseriata ()</v>
      </c>
      <c r="D531" s="2" t="s">
        <v>8580</v>
      </c>
      <c r="E531" s="2" t="s">
        <v>8687</v>
      </c>
      <c r="F531" s="2" t="s">
        <v>9633</v>
      </c>
      <c r="G531" s="2" t="s">
        <v>8662</v>
      </c>
      <c r="H531" s="2" t="e">
        <f aca="false">VLOOKUP(A531,'[1]NE red list'!A$1:H$1048576,5,FALSE())</f>
        <v>#N/A</v>
      </c>
      <c r="I531" s="2" t="s">
        <v>8634</v>
      </c>
      <c r="J531" s="2" t="s">
        <v>10464</v>
      </c>
      <c r="L531" s="2" t="s">
        <v>8836</v>
      </c>
      <c r="N531" s="2" t="str">
        <f aca="false">_xlfn.CONCAT(Q531," ",R531," ",S531)</f>
        <v> parkland </v>
      </c>
      <c r="O531" s="3" t="s">
        <v>14</v>
      </c>
      <c r="P531" s="2"/>
      <c r="R531" s="2" t="s">
        <v>8568</v>
      </c>
      <c r="T531" s="2"/>
      <c r="U531" s="2" t="s">
        <v>8570</v>
      </c>
      <c r="V531" s="2" t="s">
        <v>10465</v>
      </c>
      <c r="W531" s="2" t="s">
        <v>8571</v>
      </c>
      <c r="Z531" s="2" t="s">
        <v>8598</v>
      </c>
      <c r="AA531" s="4" t="s">
        <v>26</v>
      </c>
      <c r="AF531" s="6" t="s">
        <v>9635</v>
      </c>
      <c r="AG531" s="7" t="s">
        <v>8575</v>
      </c>
      <c r="AI531" s="7" t="s">
        <v>8617</v>
      </c>
      <c r="AK531" s="7" t="s">
        <v>8627</v>
      </c>
      <c r="AS531" s="2"/>
      <c r="AV531" s="11"/>
      <c r="BI531" s="2" t="s">
        <v>8590</v>
      </c>
      <c r="BL531" s="2" t="s">
        <v>8591</v>
      </c>
      <c r="BO531" s="2"/>
      <c r="MJM531" s="2"/>
    </row>
    <row r="532" customFormat="false" ht="19.5" hidden="false" customHeight="true" outlineLevel="0" collapsed="false">
      <c r="A532" s="2" t="s">
        <v>10466</v>
      </c>
      <c r="C532" s="2" t="str">
        <f aca="false">_xlfn.CONCAT(A532, " ","(",B532,")")</f>
        <v>Rhizophagus bipustulatus ()</v>
      </c>
      <c r="D532" s="2" t="s">
        <v>8580</v>
      </c>
      <c r="E532" s="2" t="s">
        <v>8581</v>
      </c>
      <c r="F532" s="35" t="s">
        <v>9950</v>
      </c>
      <c r="G532" s="2" t="s">
        <v>8737</v>
      </c>
      <c r="H532" s="2" t="str">
        <f aca="false">VLOOKUP(A532,'[1]NE red list'!A$1:H$1048576,5,FALSE())</f>
        <v>LC</v>
      </c>
      <c r="I532" s="2" t="s">
        <v>8645</v>
      </c>
      <c r="J532" s="2" t="s">
        <v>10467</v>
      </c>
      <c r="L532" s="2" t="s">
        <v>8665</v>
      </c>
      <c r="N532" s="2" t="str">
        <f aca="false">_xlfn.CONCAT(Q532," ",R532," ",S532)</f>
        <v>woodland parkland </v>
      </c>
      <c r="O532" s="3" t="s">
        <v>14</v>
      </c>
      <c r="P532" s="2"/>
      <c r="Q532" s="2" t="s">
        <v>16</v>
      </c>
      <c r="R532" s="2" t="s">
        <v>8568</v>
      </c>
      <c r="T532" s="2"/>
      <c r="U532" s="2" t="s">
        <v>8605</v>
      </c>
      <c r="X532" s="2" t="s">
        <v>8625</v>
      </c>
      <c r="Z532" s="2" t="s">
        <v>8574</v>
      </c>
      <c r="AB532" s="5" t="s">
        <v>8672</v>
      </c>
      <c r="AG532" s="7" t="s">
        <v>8824</v>
      </c>
      <c r="AN532" s="8" t="s">
        <v>8638</v>
      </c>
      <c r="AS532" s="2"/>
      <c r="AV532" s="11"/>
      <c r="AX532" s="4" t="s">
        <v>8607</v>
      </c>
      <c r="BI532" s="2" t="s">
        <v>8590</v>
      </c>
      <c r="BJ532" s="2" t="s">
        <v>8601</v>
      </c>
      <c r="BL532" s="2" t="s">
        <v>8591</v>
      </c>
      <c r="BO532" s="2"/>
      <c r="MJM532" s="2"/>
    </row>
    <row r="533" customFormat="false" ht="19.5" hidden="false" customHeight="true" outlineLevel="0" collapsed="false">
      <c r="A533" s="2" t="s">
        <v>10468</v>
      </c>
      <c r="C533" s="2" t="str">
        <f aca="false">_xlfn.CONCAT(A533, " ","(",B533,")")</f>
        <v>Rhizophagus dispar ()</v>
      </c>
      <c r="D533" s="2" t="s">
        <v>8580</v>
      </c>
      <c r="E533" s="2" t="s">
        <v>8581</v>
      </c>
      <c r="F533" s="35" t="s">
        <v>9950</v>
      </c>
      <c r="G533" s="2" t="s">
        <v>8737</v>
      </c>
      <c r="H533" s="2" t="str">
        <f aca="false">VLOOKUP(A533,'[1]NE red list'!A$1:H$1048576,5,FALSE())</f>
        <v>LC</v>
      </c>
      <c r="I533" s="2" t="s">
        <v>8645</v>
      </c>
      <c r="J533" s="2" t="s">
        <v>10469</v>
      </c>
      <c r="L533" s="2" t="s">
        <v>9372</v>
      </c>
      <c r="N533" s="2" t="str">
        <f aca="false">_xlfn.CONCAT(Q533," ",R533," ",S533)</f>
        <v>woodland parkland </v>
      </c>
      <c r="O533" s="3" t="s">
        <v>14</v>
      </c>
      <c r="P533" s="2"/>
      <c r="Q533" s="2" t="s">
        <v>16</v>
      </c>
      <c r="R533" s="2" t="s">
        <v>8568</v>
      </c>
      <c r="T533" s="2"/>
      <c r="U533" s="2" t="s">
        <v>8605</v>
      </c>
      <c r="X533" s="2" t="s">
        <v>8625</v>
      </c>
      <c r="AB533" s="5" t="s">
        <v>9745</v>
      </c>
      <c r="AG533" s="7" t="s">
        <v>8824</v>
      </c>
      <c r="AN533" s="8" t="s">
        <v>8638</v>
      </c>
      <c r="AS533" s="2"/>
      <c r="AV533" s="11"/>
      <c r="AX533" s="4" t="s">
        <v>8585</v>
      </c>
      <c r="AY533" s="12" t="s">
        <v>8585</v>
      </c>
      <c r="BI533" s="2" t="s">
        <v>8590</v>
      </c>
      <c r="BL533" s="2" t="s">
        <v>8591</v>
      </c>
      <c r="BO533" s="2"/>
      <c r="MJM533" s="2"/>
    </row>
    <row r="534" customFormat="false" ht="19.5" hidden="false" customHeight="true" outlineLevel="0" collapsed="false">
      <c r="A534" s="2" t="s">
        <v>10470</v>
      </c>
      <c r="C534" s="2" t="str">
        <f aca="false">_xlfn.CONCAT(A534, " ","(",B534,")")</f>
        <v>Rhizophagus fenestralis ()</v>
      </c>
      <c r="D534" s="2" t="s">
        <v>8580</v>
      </c>
      <c r="E534" s="2" t="s">
        <v>8581</v>
      </c>
      <c r="F534" s="35" t="s">
        <v>9950</v>
      </c>
      <c r="G534" s="2" t="s">
        <v>8662</v>
      </c>
      <c r="H534" s="2" t="str">
        <f aca="false">VLOOKUP(A534,'[1]NE red list'!A$1:H$1048576,5,FALSE())</f>
        <v>LC</v>
      </c>
      <c r="I534" s="2" t="s">
        <v>8690</v>
      </c>
      <c r="J534" s="37" t="s">
        <v>10471</v>
      </c>
      <c r="L534" s="2" t="s">
        <v>8665</v>
      </c>
      <c r="N534" s="2" t="str">
        <f aca="false">_xlfn.CONCAT(Q534," ",R534," ",S534)</f>
        <v>woodland  </v>
      </c>
      <c r="O534" s="2"/>
      <c r="P534" s="2"/>
      <c r="Q534" s="2" t="s">
        <v>16</v>
      </c>
      <c r="T534" s="2"/>
      <c r="U534" s="2" t="s">
        <v>8570</v>
      </c>
      <c r="X534" s="2" t="s">
        <v>8625</v>
      </c>
      <c r="Z534" s="2" t="s">
        <v>8574</v>
      </c>
      <c r="AB534" s="5" t="s">
        <v>8672</v>
      </c>
      <c r="AG534" s="7" t="s">
        <v>8575</v>
      </c>
      <c r="AN534" s="8" t="s">
        <v>8638</v>
      </c>
      <c r="AS534" s="2"/>
      <c r="AV534" s="11"/>
      <c r="BL534" s="2" t="s">
        <v>8591</v>
      </c>
      <c r="BO534" s="2"/>
      <c r="MJM534" s="2"/>
    </row>
    <row r="535" customFormat="false" ht="19.5" hidden="false" customHeight="true" outlineLevel="0" collapsed="false">
      <c r="A535" s="2" t="s">
        <v>10472</v>
      </c>
      <c r="C535" s="2" t="str">
        <f aca="false">_xlfn.CONCAT(A535, " ","(",B535,")")</f>
        <v>Rhizophagus ferrugineus ()</v>
      </c>
      <c r="D535" s="2" t="s">
        <v>8580</v>
      </c>
      <c r="E535" s="2" t="s">
        <v>8581</v>
      </c>
      <c r="F535" s="35" t="s">
        <v>9950</v>
      </c>
      <c r="G535" s="2" t="s">
        <v>8737</v>
      </c>
      <c r="H535" s="2" t="str">
        <f aca="false">VLOOKUP(A535,'[1]NE red list'!A$1:H$1048576,5,FALSE())</f>
        <v>LC</v>
      </c>
      <c r="I535" s="2" t="s">
        <v>8645</v>
      </c>
      <c r="J535" s="2" t="s">
        <v>10473</v>
      </c>
      <c r="L535" s="2" t="s">
        <v>8665</v>
      </c>
      <c r="N535" s="2" t="str">
        <f aca="false">_xlfn.CONCAT(Q535," ",R535," ",S535)</f>
        <v> parkland </v>
      </c>
      <c r="O535" s="3" t="s">
        <v>14</v>
      </c>
      <c r="P535" s="2"/>
      <c r="R535" s="2" t="s">
        <v>8568</v>
      </c>
      <c r="T535" s="2"/>
      <c r="U535" s="2" t="s">
        <v>8570</v>
      </c>
      <c r="W535" s="2" t="s">
        <v>8571</v>
      </c>
      <c r="X535" s="2" t="s">
        <v>8625</v>
      </c>
      <c r="Z535" s="2" t="s">
        <v>8574</v>
      </c>
      <c r="AG535" s="7" t="s">
        <v>8824</v>
      </c>
      <c r="AI535" s="7" t="s">
        <v>8617</v>
      </c>
      <c r="AN535" s="8" t="s">
        <v>8852</v>
      </c>
      <c r="AS535" s="2"/>
      <c r="AV535" s="11"/>
      <c r="BI535" s="2" t="s">
        <v>8590</v>
      </c>
      <c r="BL535" s="2" t="s">
        <v>8591</v>
      </c>
      <c r="BO535" s="2"/>
      <c r="MJM535" s="2"/>
    </row>
    <row r="536" customFormat="false" ht="19.5" hidden="false" customHeight="true" outlineLevel="0" collapsed="false">
      <c r="A536" s="63" t="s">
        <v>10474</v>
      </c>
      <c r="C536" s="2" t="str">
        <f aca="false">_xlfn.CONCAT(A536, " ","(",B536,")")</f>
        <v>Dystebenna stephensi ()</v>
      </c>
      <c r="D536" s="2" t="s">
        <v>8580</v>
      </c>
      <c r="E536" s="2" t="s">
        <v>8722</v>
      </c>
      <c r="F536" s="2" t="s">
        <v>10475</v>
      </c>
      <c r="G536" s="2" t="s">
        <v>8662</v>
      </c>
      <c r="H536" s="2" t="e">
        <f aca="false">VLOOKUP(A536,'[1]NE red list'!A$1:H$1048576,5,FALSE())</f>
        <v>#N/A</v>
      </c>
      <c r="I536" s="2" t="s">
        <v>8714</v>
      </c>
      <c r="J536" s="33" t="s">
        <v>10476</v>
      </c>
      <c r="L536" s="2" t="s">
        <v>8613</v>
      </c>
      <c r="N536" s="2" t="str">
        <f aca="false">_xlfn.CONCAT(Q536," ",R536," ",S536)</f>
        <v> parkland ToW</v>
      </c>
      <c r="O536" s="2" t="s">
        <v>14</v>
      </c>
      <c r="P536" s="2"/>
      <c r="R536" s="2" t="s">
        <v>8568</v>
      </c>
      <c r="S536" s="2" t="s">
        <v>18</v>
      </c>
      <c r="T536" s="2"/>
      <c r="U536" s="2" t="s">
        <v>8570</v>
      </c>
      <c r="V536" s="2" t="s">
        <v>8745</v>
      </c>
      <c r="W536" s="2" t="s">
        <v>8567</v>
      </c>
      <c r="Y536" s="2" t="s">
        <v>8573</v>
      </c>
      <c r="Z536" s="2" t="s">
        <v>8694</v>
      </c>
      <c r="AM536" s="4" t="s">
        <v>8657</v>
      </c>
      <c r="AN536" s="8" t="s">
        <v>9262</v>
      </c>
      <c r="AO536" s="8" t="s">
        <v>40</v>
      </c>
      <c r="AQ536" s="8" t="s">
        <v>42</v>
      </c>
      <c r="AR536" s="8" t="s">
        <v>43</v>
      </c>
      <c r="AS536" s="2"/>
      <c r="AV536" s="11"/>
      <c r="BI536" s="2" t="s">
        <v>8590</v>
      </c>
      <c r="BJ536" s="2" t="s">
        <v>8773</v>
      </c>
      <c r="BL536" s="2" t="s">
        <v>8591</v>
      </c>
      <c r="BO536" s="2"/>
      <c r="MJM536" s="2"/>
    </row>
    <row r="537" customFormat="false" ht="19.5" hidden="false" customHeight="true" outlineLevel="0" collapsed="false">
      <c r="A537" s="2" t="s">
        <v>10477</v>
      </c>
      <c r="C537" s="2" t="str">
        <f aca="false">_xlfn.CONCAT(A537, " ","(",B537,")")</f>
        <v>Saprosites mendax ()</v>
      </c>
      <c r="D537" s="2" t="s">
        <v>8580</v>
      </c>
      <c r="E537" s="2" t="s">
        <v>8581</v>
      </c>
      <c r="F537" s="2" t="s">
        <v>9286</v>
      </c>
      <c r="H537" s="2" t="e">
        <f aca="false">VLOOKUP(A537,'[1]NE red list'!A$1:H$1048576,5,FALSE())</f>
        <v>#N/A</v>
      </c>
      <c r="I537" s="2" t="s">
        <v>8610</v>
      </c>
      <c r="J537" s="2" t="s">
        <v>10478</v>
      </c>
      <c r="L537" s="2" t="s">
        <v>8836</v>
      </c>
      <c r="N537" s="2" t="str">
        <f aca="false">_xlfn.CONCAT(Q537," ",R537," ",S537)</f>
        <v> parkland </v>
      </c>
      <c r="O537" s="3" t="s">
        <v>14</v>
      </c>
      <c r="P537" s="2"/>
      <c r="R537" s="2" t="s">
        <v>8568</v>
      </c>
      <c r="T537" s="2"/>
      <c r="U537" s="2" t="s">
        <v>8570</v>
      </c>
      <c r="W537" s="2" t="s">
        <v>8571</v>
      </c>
      <c r="AB537" s="5" t="s">
        <v>8672</v>
      </c>
      <c r="AG537" s="7" t="s">
        <v>8575</v>
      </c>
      <c r="AI537" s="7" t="s">
        <v>8617</v>
      </c>
      <c r="AK537" s="7" t="s">
        <v>8780</v>
      </c>
      <c r="AS537" s="2"/>
      <c r="AV537" s="11"/>
      <c r="BD537" s="2" t="s">
        <v>8629</v>
      </c>
      <c r="BI537" s="2" t="s">
        <v>8590</v>
      </c>
      <c r="BL537" s="2" t="s">
        <v>8591</v>
      </c>
      <c r="BO537" s="2"/>
      <c r="MJM537" s="2"/>
    </row>
    <row r="538" s="8" customFormat="true" ht="19.5" hidden="false" customHeight="true" outlineLevel="0" collapsed="false">
      <c r="A538" s="1" t="s">
        <v>10479</v>
      </c>
      <c r="B538" s="2" t="s">
        <v>10480</v>
      </c>
      <c r="C538" s="2" t="str">
        <f aca="false">_xlfn.CONCAT(A538, " ","(",B538,")")</f>
        <v>Sarcodontia crocea (Orchard Toothcrust)</v>
      </c>
      <c r="D538" s="2"/>
      <c r="E538" s="2" t="s">
        <v>9724</v>
      </c>
      <c r="F538" s="37" t="s">
        <v>10481</v>
      </c>
      <c r="G538" s="2" t="s">
        <v>9801</v>
      </c>
      <c r="H538" s="2" t="e">
        <f aca="false">VLOOKUP(A538,'[1]NE red list'!A$1:H$1048576,5,FALSE())</f>
        <v>#N/A</v>
      </c>
      <c r="I538" s="2" t="s">
        <v>10482</v>
      </c>
      <c r="J538" s="87" t="s">
        <v>10483</v>
      </c>
      <c r="K538" s="2"/>
      <c r="L538" s="33" t="s">
        <v>10484</v>
      </c>
      <c r="M538" s="2"/>
      <c r="N538" s="2" t="str">
        <f aca="false">_xlfn.CONCAT(Q538," ",R538," ",S538)</f>
        <v>  ToW</v>
      </c>
      <c r="O538" s="2" t="s">
        <v>14</v>
      </c>
      <c r="P538" s="2"/>
      <c r="Q538" s="2"/>
      <c r="R538" s="2"/>
      <c r="S538" s="2" t="s">
        <v>18</v>
      </c>
      <c r="T538" s="2"/>
      <c r="U538" s="2" t="s">
        <v>8570</v>
      </c>
      <c r="V538" s="2" t="s">
        <v>8693</v>
      </c>
      <c r="W538" s="2" t="s">
        <v>8571</v>
      </c>
      <c r="X538" s="2" t="s">
        <v>8625</v>
      </c>
      <c r="Y538" s="2" t="s">
        <v>8573</v>
      </c>
      <c r="Z538" s="2" t="s">
        <v>8574</v>
      </c>
      <c r="AA538" s="4"/>
      <c r="AB538" s="6"/>
      <c r="AC538" s="6"/>
      <c r="AD538" s="6"/>
      <c r="AE538" s="6"/>
      <c r="AF538" s="6"/>
      <c r="AG538" s="7"/>
      <c r="AH538" s="7"/>
      <c r="AI538" s="7"/>
      <c r="AJ538" s="7"/>
      <c r="AK538" s="7"/>
      <c r="AL538" s="7"/>
      <c r="AM538" s="4" t="s">
        <v>8657</v>
      </c>
      <c r="AN538" s="8" t="s">
        <v>9379</v>
      </c>
      <c r="AO538" s="31"/>
      <c r="AQ538" s="8" t="s">
        <v>42</v>
      </c>
      <c r="AR538" s="8" t="s">
        <v>10485</v>
      </c>
      <c r="AS538" s="2"/>
      <c r="AU538" s="4"/>
      <c r="AV538" s="11"/>
      <c r="AW538" s="11"/>
      <c r="AX538" s="4"/>
      <c r="AY538" s="12"/>
      <c r="AZ538" s="12"/>
      <c r="BN538" s="8" t="s">
        <v>8619</v>
      </c>
    </row>
    <row r="539" customFormat="false" ht="19.5" hidden="false" customHeight="true" outlineLevel="0" collapsed="false">
      <c r="A539" s="1" t="s">
        <v>10486</v>
      </c>
      <c r="B539" s="2" t="s">
        <v>10487</v>
      </c>
      <c r="C539" s="2" t="str">
        <f aca="false">_xlfn.CONCAT(A539, " ","(",B539,")")</f>
        <v>Scaphisoma assimile (Scaphosoma agaricinum)</v>
      </c>
      <c r="D539" s="2" t="s">
        <v>8580</v>
      </c>
      <c r="E539" s="2" t="s">
        <v>8581</v>
      </c>
      <c r="F539" s="30" t="s">
        <v>10488</v>
      </c>
      <c r="H539" s="2" t="e">
        <f aca="false">VLOOKUP(A539,'[1]NE red list'!A$1:H$1048576,5,FALSE())</f>
        <v>#N/A</v>
      </c>
      <c r="I539" s="2" t="s">
        <v>8714</v>
      </c>
      <c r="J539" s="2" t="s">
        <v>10489</v>
      </c>
      <c r="L539" s="2" t="s">
        <v>8677</v>
      </c>
      <c r="N539" s="2" t="str">
        <f aca="false">_xlfn.CONCAT(Q539," ",R539," ",S539)</f>
        <v>woodland  </v>
      </c>
      <c r="O539" s="2" t="s">
        <v>14</v>
      </c>
      <c r="P539" s="2"/>
      <c r="Q539" s="2" t="s">
        <v>16</v>
      </c>
      <c r="T539" s="2"/>
      <c r="U539" s="2" t="s">
        <v>8570</v>
      </c>
      <c r="X539" s="2" t="s">
        <v>8625</v>
      </c>
      <c r="Z539" s="2" t="s">
        <v>8614</v>
      </c>
      <c r="AG539" s="7" t="s">
        <v>8575</v>
      </c>
      <c r="AS539" s="2"/>
      <c r="AV539" s="11"/>
      <c r="AX539" s="4" t="s">
        <v>8607</v>
      </c>
      <c r="BJ539" s="2" t="s">
        <v>8630</v>
      </c>
      <c r="BL539" s="2" t="s">
        <v>8591</v>
      </c>
      <c r="BO539" s="2"/>
      <c r="MJM539" s="2"/>
    </row>
    <row r="540" customFormat="false" ht="19.5" hidden="false" customHeight="true" outlineLevel="0" collapsed="false">
      <c r="A540" s="2" t="s">
        <v>10490</v>
      </c>
      <c r="C540" s="2" t="str">
        <f aca="false">_xlfn.CONCAT(A540, " ","(",B540,")")</f>
        <v>Scaphisoma boleti ()</v>
      </c>
      <c r="D540" s="2" t="s">
        <v>8580</v>
      </c>
      <c r="E540" s="2" t="s">
        <v>8581</v>
      </c>
      <c r="F540" s="30" t="s">
        <v>10488</v>
      </c>
      <c r="G540" s="2" t="s">
        <v>8583</v>
      </c>
      <c r="H540" s="2" t="e">
        <f aca="false">VLOOKUP(A540,'[1]NE red list'!A$1:H$1048576,5,FALSE())</f>
        <v>#N/A</v>
      </c>
      <c r="I540" s="2" t="s">
        <v>8564</v>
      </c>
      <c r="J540" s="2" t="s">
        <v>10491</v>
      </c>
      <c r="L540" s="2" t="s">
        <v>8677</v>
      </c>
      <c r="N540" s="2" t="str">
        <f aca="false">_xlfn.CONCAT(Q540," ",R540," ",S540)</f>
        <v>woodland  </v>
      </c>
      <c r="O540" s="2" t="s">
        <v>14</v>
      </c>
      <c r="P540" s="2"/>
      <c r="Q540" s="2" t="s">
        <v>16</v>
      </c>
      <c r="T540" s="2"/>
      <c r="U540" s="2" t="s">
        <v>8570</v>
      </c>
      <c r="X540" s="2" t="s">
        <v>8625</v>
      </c>
      <c r="Z540" s="2" t="s">
        <v>8614</v>
      </c>
      <c r="AG540" s="7" t="s">
        <v>8824</v>
      </c>
      <c r="AS540" s="2"/>
      <c r="AV540" s="11"/>
      <c r="AX540" s="4" t="s">
        <v>8607</v>
      </c>
      <c r="BI540" s="2" t="s">
        <v>8590</v>
      </c>
      <c r="BJ540" s="2" t="s">
        <v>8630</v>
      </c>
      <c r="BL540" s="2" t="s">
        <v>8591</v>
      </c>
      <c r="BO540" s="2"/>
      <c r="MJM540" s="2"/>
    </row>
    <row r="541" s="32" customFormat="true" ht="19.5" hidden="false" customHeight="true" outlineLevel="0" collapsed="false">
      <c r="A541" s="1" t="s">
        <v>10492</v>
      </c>
      <c r="B541" s="2" t="s">
        <v>10493</v>
      </c>
      <c r="C541" s="2" t="str">
        <f aca="false">_xlfn.CONCAT(A541, " ","(",B541,")")</f>
        <v>Scenopinus niger (Forest Windowfly)</v>
      </c>
      <c r="D541" s="2" t="s">
        <v>8580</v>
      </c>
      <c r="E541" s="2" t="s">
        <v>8687</v>
      </c>
      <c r="F541" s="3" t="s">
        <v>10494</v>
      </c>
      <c r="G541" s="2" t="s">
        <v>8583</v>
      </c>
      <c r="H541" s="2" t="str">
        <f aca="false">VLOOKUP(A541,'[1]NE red list'!A$1:H$1048576,5,FALSE())</f>
        <v>NT</v>
      </c>
      <c r="I541" s="2" t="s">
        <v>8564</v>
      </c>
      <c r="J541" s="2" t="s">
        <v>10495</v>
      </c>
      <c r="K541" s="2" t="s">
        <v>10496</v>
      </c>
      <c r="L541" s="2" t="s">
        <v>10497</v>
      </c>
      <c r="M541" s="2"/>
      <c r="N541" s="2" t="str">
        <f aca="false">_xlfn.CONCAT(Q541," ",R541," ",S541)</f>
        <v> parkland </v>
      </c>
      <c r="O541" s="3" t="s">
        <v>14</v>
      </c>
      <c r="P541" s="2" t="s">
        <v>8587</v>
      </c>
      <c r="Q541" s="2"/>
      <c r="R541" s="2" t="s">
        <v>8568</v>
      </c>
      <c r="S541" s="2"/>
      <c r="T541" s="2"/>
      <c r="U541" s="2" t="s">
        <v>8570</v>
      </c>
      <c r="V541" s="2" t="s">
        <v>10498</v>
      </c>
      <c r="W541" s="2" t="s">
        <v>8571</v>
      </c>
      <c r="X541" s="2"/>
      <c r="Y541" s="2"/>
      <c r="Z541" s="2" t="s">
        <v>8614</v>
      </c>
      <c r="AA541" s="4" t="s">
        <v>26</v>
      </c>
      <c r="AB541" s="5"/>
      <c r="AC541" s="6"/>
      <c r="AD541" s="6" t="s">
        <v>8615</v>
      </c>
      <c r="AE541" s="6"/>
      <c r="AF541" s="6" t="s">
        <v>9331</v>
      </c>
      <c r="AG541" s="7" t="s">
        <v>8575</v>
      </c>
      <c r="AH541" s="7"/>
      <c r="AI541" s="7" t="s">
        <v>8617</v>
      </c>
      <c r="AJ541" s="7"/>
      <c r="AK541" s="7"/>
      <c r="AL541" s="7"/>
      <c r="AM541" s="4"/>
      <c r="AN541" s="32" t="s">
        <v>8638</v>
      </c>
      <c r="AS541" s="2"/>
      <c r="AU541" s="4"/>
      <c r="AV541" s="11"/>
      <c r="AW541" s="11"/>
      <c r="AX541" s="4"/>
      <c r="AY541" s="12"/>
      <c r="AZ541" s="12"/>
      <c r="BI541" s="2" t="s">
        <v>8590</v>
      </c>
      <c r="BL541" s="32" t="s">
        <v>8591</v>
      </c>
    </row>
    <row r="542" customFormat="false" ht="19.5" hidden="false" customHeight="true" outlineLevel="0" collapsed="false">
      <c r="A542" s="2" t="s">
        <v>10499</v>
      </c>
      <c r="C542" s="2" t="str">
        <f aca="false">_xlfn.CONCAT(A542, " ","(",B542,")")</f>
        <v>Schiffermuelleria grandis ()</v>
      </c>
      <c r="D542" s="2" t="s">
        <v>8580</v>
      </c>
      <c r="E542" s="2" t="s">
        <v>8722</v>
      </c>
      <c r="F542" s="2" t="s">
        <v>8855</v>
      </c>
      <c r="H542" s="2" t="e">
        <f aca="false">VLOOKUP(A542,'[1]NE red list'!A$1:H$1048576,5,FALSE())</f>
        <v>#N/A</v>
      </c>
      <c r="I542" s="2" t="s">
        <v>9910</v>
      </c>
      <c r="J542" s="33" t="s">
        <v>10500</v>
      </c>
      <c r="L542" s="2" t="s">
        <v>8586</v>
      </c>
      <c r="N542" s="2" t="str">
        <f aca="false">_xlfn.CONCAT(Q542," ",R542," ",S542)</f>
        <v>woodland  </v>
      </c>
      <c r="O542" s="2" t="s">
        <v>14</v>
      </c>
      <c r="P542" s="2"/>
      <c r="Q542" s="2" t="s">
        <v>16</v>
      </c>
      <c r="T542" s="2"/>
      <c r="U542" s="2" t="s">
        <v>8570</v>
      </c>
      <c r="V542" s="2" t="s">
        <v>9526</v>
      </c>
      <c r="Z542" s="2" t="s">
        <v>8614</v>
      </c>
      <c r="AG542" s="7" t="s">
        <v>8575</v>
      </c>
      <c r="AN542" s="8" t="s">
        <v>8638</v>
      </c>
      <c r="AS542" s="2"/>
      <c r="AV542" s="11"/>
      <c r="BI542" s="2" t="s">
        <v>8590</v>
      </c>
      <c r="BJ542" s="2" t="s">
        <v>8601</v>
      </c>
      <c r="BL542" s="2" t="s">
        <v>8591</v>
      </c>
      <c r="BO542" s="2"/>
      <c r="MJM542" s="2"/>
    </row>
    <row r="543" customFormat="false" ht="19.5" hidden="false" customHeight="true" outlineLevel="0" collapsed="false">
      <c r="A543" s="2" t="s">
        <v>10501</v>
      </c>
      <c r="C543" s="2" t="str">
        <f aca="false">_xlfn.CONCAT(A543, " ","(",B543,")")</f>
        <v>Schiffermuelleria similella ()</v>
      </c>
      <c r="D543" s="2" t="s">
        <v>8580</v>
      </c>
      <c r="E543" s="2" t="s">
        <v>8722</v>
      </c>
      <c r="F543" s="2" t="s">
        <v>8855</v>
      </c>
      <c r="H543" s="2" t="e">
        <f aca="false">VLOOKUP(A543,'[1]NE red list'!A$1:H$1048576,5,FALSE())</f>
        <v>#N/A</v>
      </c>
      <c r="I543" s="2" t="s">
        <v>10502</v>
      </c>
      <c r="J543" s="33" t="s">
        <v>10503</v>
      </c>
      <c r="L543" s="2" t="s">
        <v>9605</v>
      </c>
      <c r="N543" s="2" t="str">
        <f aca="false">_xlfn.CONCAT(Q543," ",R543," ",S543)</f>
        <v>woodland  </v>
      </c>
      <c r="O543" s="2" t="s">
        <v>14</v>
      </c>
      <c r="P543" s="2"/>
      <c r="Q543" s="2" t="s">
        <v>16</v>
      </c>
      <c r="T543" s="2"/>
      <c r="U543" s="2" t="s">
        <v>8605</v>
      </c>
      <c r="V543" s="2" t="s">
        <v>10504</v>
      </c>
      <c r="Z543" s="2" t="s">
        <v>8574</v>
      </c>
      <c r="AG543" s="7" t="s">
        <v>8575</v>
      </c>
      <c r="AM543" s="4" t="s">
        <v>8657</v>
      </c>
      <c r="AN543" s="8" t="s">
        <v>9444</v>
      </c>
      <c r="AO543" s="8" t="s">
        <v>40</v>
      </c>
      <c r="AQ543" s="8" t="s">
        <v>42</v>
      </c>
      <c r="AS543" s="2"/>
      <c r="AV543" s="11"/>
      <c r="AX543" s="4" t="s">
        <v>8607</v>
      </c>
      <c r="AY543" s="12" t="s">
        <v>10344</v>
      </c>
      <c r="BO543" s="2"/>
      <c r="MJM543" s="2"/>
    </row>
    <row r="544" customFormat="false" ht="19.5" hidden="false" customHeight="true" outlineLevel="0" collapsed="false">
      <c r="A544" s="1" t="s">
        <v>10505</v>
      </c>
      <c r="B544" s="2" t="s">
        <v>10506</v>
      </c>
      <c r="C544" s="2" t="str">
        <f aca="false">_xlfn.CONCAT(A544, " ","(",B544,")")</f>
        <v>Sciurus carolinensis (Grey squirrel)</v>
      </c>
      <c r="D544" s="2" t="s">
        <v>8560</v>
      </c>
      <c r="E544" s="2" t="s">
        <v>8967</v>
      </c>
      <c r="F544" s="30" t="s">
        <v>10507</v>
      </c>
      <c r="G544" s="2" t="s">
        <v>8731</v>
      </c>
      <c r="H544" s="2" t="e">
        <f aca="false">VLOOKUP(A544,'[1]NE red list'!A$1:H$1048576,5,FALSE())</f>
        <v>#N/A</v>
      </c>
      <c r="I544" s="2" t="s">
        <v>8645</v>
      </c>
      <c r="J544" s="2" t="s">
        <v>10508</v>
      </c>
      <c r="N544" s="2" t="str">
        <f aca="false">_xlfn.CONCAT(Q544," ",R544," ",S544)</f>
        <v>woodland parkland </v>
      </c>
      <c r="O544" s="3" t="s">
        <v>14</v>
      </c>
      <c r="P544" s="2"/>
      <c r="Q544" s="2" t="s">
        <v>16</v>
      </c>
      <c r="R544" s="2" t="s">
        <v>8568</v>
      </c>
      <c r="T544" s="2"/>
      <c r="U544" s="2" t="s">
        <v>8605</v>
      </c>
      <c r="AA544" s="4" t="s">
        <v>26</v>
      </c>
      <c r="AC544" s="6" t="s">
        <v>30</v>
      </c>
      <c r="AD544" s="6" t="s">
        <v>8615</v>
      </c>
      <c r="AS544" s="2"/>
      <c r="AV544" s="11"/>
      <c r="BL544" s="2" t="s">
        <v>8591</v>
      </c>
      <c r="MJM544" s="2"/>
    </row>
    <row r="545" customFormat="false" ht="19.5" hidden="false" customHeight="true" outlineLevel="0" collapsed="false">
      <c r="A545" s="1" t="s">
        <v>10509</v>
      </c>
      <c r="B545" s="2" t="s">
        <v>10510</v>
      </c>
      <c r="C545" s="2" t="str">
        <f aca="false">_xlfn.CONCAT(A545, " ","(",B545,")")</f>
        <v>Sciurus vulgaris (Red Squirrel)</v>
      </c>
      <c r="D545" s="2" t="s">
        <v>8560</v>
      </c>
      <c r="E545" s="2" t="s">
        <v>8967</v>
      </c>
      <c r="F545" s="30" t="s">
        <v>10507</v>
      </c>
      <c r="G545" s="2" t="s">
        <v>8776</v>
      </c>
      <c r="H545" s="2" t="str">
        <f aca="false">VLOOKUP(A545,'[1]NE red list'!A$1:H$1048576,5,FALSE())</f>
        <v>EN</v>
      </c>
      <c r="I545" s="2" t="s">
        <v>9129</v>
      </c>
      <c r="J545" s="2" t="s">
        <v>10508</v>
      </c>
      <c r="N545" s="2" t="str">
        <f aca="false">_xlfn.CONCAT(Q545," ",R545," ",S545)</f>
        <v>woodland  </v>
      </c>
      <c r="O545" s="2"/>
      <c r="P545" s="2"/>
      <c r="Q545" s="2" t="s">
        <v>16</v>
      </c>
      <c r="T545" s="2"/>
      <c r="U545" s="2" t="s">
        <v>8605</v>
      </c>
      <c r="AA545" s="4" t="s">
        <v>26</v>
      </c>
      <c r="AC545" s="6" t="s">
        <v>30</v>
      </c>
      <c r="AD545" s="6" t="s">
        <v>8615</v>
      </c>
      <c r="AS545" s="2"/>
      <c r="AV545" s="11"/>
      <c r="BJ545" s="2" t="s">
        <v>8907</v>
      </c>
      <c r="BK545" s="2" t="s">
        <v>8578</v>
      </c>
      <c r="BL545" s="2" t="s">
        <v>8578</v>
      </c>
      <c r="MJM545" s="2"/>
    </row>
    <row r="546" customFormat="false" ht="19.5" hidden="false" customHeight="true" outlineLevel="0" collapsed="false">
      <c r="A546" s="1" t="s">
        <v>10511</v>
      </c>
      <c r="B546" s="2" t="s">
        <v>8992</v>
      </c>
      <c r="C546" s="2" t="str">
        <f aca="false">_xlfn.CONCAT(A546, " ","(",B546,")")</f>
        <v>Sclerophora pallida (a lichen)</v>
      </c>
      <c r="D546" s="2" t="s">
        <v>8892</v>
      </c>
      <c r="E546" s="2" t="s">
        <v>8892</v>
      </c>
      <c r="F546" s="2" t="s">
        <v>8892</v>
      </c>
      <c r="G546" s="2" t="s">
        <v>8776</v>
      </c>
      <c r="H546" s="2" t="str">
        <f aca="false">VLOOKUP(A546,'[1]NE red list'!A$1:H$1048576,5,FALSE())</f>
        <v>VU</v>
      </c>
      <c r="I546" s="2" t="s">
        <v>10512</v>
      </c>
      <c r="J546" s="33" t="s">
        <v>10513</v>
      </c>
      <c r="L546" s="2" t="s">
        <v>8896</v>
      </c>
      <c r="N546" s="2" t="str">
        <f aca="false">_xlfn.CONCAT(Q546," ",R546," ",S546)</f>
        <v>woodland parkland </v>
      </c>
      <c r="O546" s="3" t="s">
        <v>14</v>
      </c>
      <c r="P546" s="2"/>
      <c r="Q546" s="2" t="s">
        <v>16</v>
      </c>
      <c r="R546" s="2" t="s">
        <v>8568</v>
      </c>
      <c r="T546" s="2"/>
      <c r="U546" s="2" t="s">
        <v>8570</v>
      </c>
      <c r="X546" s="2" t="s">
        <v>8589</v>
      </c>
      <c r="AM546" s="4" t="s">
        <v>8657</v>
      </c>
      <c r="AN546" s="8" t="s">
        <v>8858</v>
      </c>
      <c r="AQ546" s="8" t="s">
        <v>42</v>
      </c>
      <c r="AR546" s="8" t="s">
        <v>43</v>
      </c>
      <c r="AS546" s="2"/>
      <c r="AV546" s="11"/>
      <c r="BC546" s="2" t="s">
        <v>8899</v>
      </c>
      <c r="BD546" s="2" t="s">
        <v>8793</v>
      </c>
      <c r="BJ546" s="2" t="s">
        <v>8907</v>
      </c>
      <c r="BK546" s="2" t="s">
        <v>8578</v>
      </c>
      <c r="BL546" s="2" t="s">
        <v>8578</v>
      </c>
      <c r="BO546" s="2"/>
      <c r="MJM546" s="2"/>
    </row>
    <row r="547" customFormat="false" ht="19.5" hidden="false" customHeight="true" outlineLevel="0" collapsed="false">
      <c r="A547" s="2" t="s">
        <v>10514</v>
      </c>
      <c r="C547" s="2" t="str">
        <f aca="false">_xlfn.CONCAT(A547, " ","(",B547,")")</f>
        <v>Scleroprocta pentagonalis ()</v>
      </c>
      <c r="D547" s="2" t="s">
        <v>8580</v>
      </c>
      <c r="E547" s="2" t="s">
        <v>8687</v>
      </c>
      <c r="F547" s="2" t="s">
        <v>9633</v>
      </c>
      <c r="H547" s="2" t="e">
        <f aca="false">VLOOKUP(A547,'[1]NE red list'!A$1:H$1048576,5,FALSE())</f>
        <v>#N/A</v>
      </c>
      <c r="I547" s="2" t="s">
        <v>8645</v>
      </c>
      <c r="J547" s="2" t="s">
        <v>10515</v>
      </c>
      <c r="K547" s="2" t="s">
        <v>10516</v>
      </c>
      <c r="L547" s="2" t="s">
        <v>8677</v>
      </c>
      <c r="N547" s="2" t="str">
        <f aca="false">_xlfn.CONCAT(Q547," ",R547," ",S547)</f>
        <v>woodland  </v>
      </c>
      <c r="O547" s="2"/>
      <c r="P547" s="2"/>
      <c r="Q547" s="2" t="s">
        <v>16</v>
      </c>
      <c r="T547" s="2"/>
      <c r="U547" s="2" t="s">
        <v>8570</v>
      </c>
      <c r="V547" s="2" t="s">
        <v>8763</v>
      </c>
      <c r="AS547" s="2"/>
      <c r="AV547" s="11"/>
      <c r="AX547" s="4" t="s">
        <v>8585</v>
      </c>
      <c r="AY547" s="12" t="s">
        <v>8585</v>
      </c>
      <c r="BD547" s="2" t="s">
        <v>9046</v>
      </c>
      <c r="BI547" s="2" t="s">
        <v>8590</v>
      </c>
      <c r="BJ547" s="2" t="s">
        <v>8630</v>
      </c>
      <c r="BL547" s="2" t="s">
        <v>8591</v>
      </c>
      <c r="BO547" s="2"/>
      <c r="MJM547" s="2"/>
    </row>
    <row r="548" customFormat="false" ht="19.5" hidden="false" customHeight="true" outlineLevel="0" collapsed="false">
      <c r="A548" s="2" t="s">
        <v>10517</v>
      </c>
      <c r="C548" s="2" t="str">
        <f aca="false">_xlfn.CONCAT(A548, " ","(",B548,")")</f>
        <v>Scleroprocta sororcula ()</v>
      </c>
      <c r="D548" s="2" t="s">
        <v>8580</v>
      </c>
      <c r="E548" s="2" t="s">
        <v>8687</v>
      </c>
      <c r="F548" s="2" t="s">
        <v>9633</v>
      </c>
      <c r="G548" s="2" t="s">
        <v>8737</v>
      </c>
      <c r="H548" s="2" t="e">
        <f aca="false">VLOOKUP(A548,'[1]NE red list'!A$1:H$1048576,5,FALSE())</f>
        <v>#N/A</v>
      </c>
      <c r="I548" s="2" t="s">
        <v>8645</v>
      </c>
      <c r="J548" s="2" t="s">
        <v>10518</v>
      </c>
      <c r="K548" s="2" t="s">
        <v>10516</v>
      </c>
      <c r="L548" s="2" t="s">
        <v>8677</v>
      </c>
      <c r="N548" s="2" t="str">
        <f aca="false">_xlfn.CONCAT(Q548," ",R548," ",S548)</f>
        <v>woodland  </v>
      </c>
      <c r="O548" s="2" t="s">
        <v>14</v>
      </c>
      <c r="P548" s="2"/>
      <c r="Q548" s="2" t="s">
        <v>16</v>
      </c>
      <c r="T548" s="2"/>
      <c r="U548" s="2" t="s">
        <v>8570</v>
      </c>
      <c r="V548" s="2" t="s">
        <v>8763</v>
      </c>
      <c r="AS548" s="2"/>
      <c r="AV548" s="11"/>
      <c r="AX548" s="4" t="s">
        <v>8585</v>
      </c>
      <c r="AY548" s="12" t="s">
        <v>8585</v>
      </c>
      <c r="BD548" s="2" t="s">
        <v>9046</v>
      </c>
      <c r="BI548" s="2" t="s">
        <v>8590</v>
      </c>
      <c r="BJ548" s="2" t="s">
        <v>8630</v>
      </c>
      <c r="BL548" s="2" t="s">
        <v>8591</v>
      </c>
      <c r="BO548" s="2"/>
      <c r="MJM548" s="2"/>
    </row>
    <row r="549" s="32" customFormat="true" ht="19.5" hidden="false" customHeight="true" outlineLevel="0" collapsed="false">
      <c r="A549" s="1" t="s">
        <v>10519</v>
      </c>
      <c r="B549" s="2" t="s">
        <v>10520</v>
      </c>
      <c r="C549" s="2" t="str">
        <f aca="false">_xlfn.CONCAT(A549, " ","(",B549,")")</f>
        <v>Lithosia quadra (Four-spotted Footman)</v>
      </c>
      <c r="D549" s="2" t="s">
        <v>8580</v>
      </c>
      <c r="E549" s="2" t="s">
        <v>8722</v>
      </c>
      <c r="F549" s="2" t="s">
        <v>8922</v>
      </c>
      <c r="G549" s="2" t="s">
        <v>8737</v>
      </c>
      <c r="H549" s="2" t="e">
        <f aca="false">VLOOKUP(A549,'[1]NE red list'!A$1:H$1048576,5,FALSE())</f>
        <v>#N/A</v>
      </c>
      <c r="I549" s="2" t="s">
        <v>8645</v>
      </c>
      <c r="J549" s="33" t="s">
        <v>10521</v>
      </c>
      <c r="K549" s="2" t="s">
        <v>8725</v>
      </c>
      <c r="L549" s="2" t="s">
        <v>8648</v>
      </c>
      <c r="M549" s="2"/>
      <c r="N549" s="2" t="str">
        <f aca="false">_xlfn.CONCAT(Q549," ",R549," ",S549)</f>
        <v>woodland parkland ToW</v>
      </c>
      <c r="O549" s="2" t="s">
        <v>14</v>
      </c>
      <c r="P549" s="2"/>
      <c r="Q549" s="2" t="s">
        <v>16</v>
      </c>
      <c r="R549" s="2" t="s">
        <v>8568</v>
      </c>
      <c r="S549" s="2" t="s">
        <v>18</v>
      </c>
      <c r="T549" s="2"/>
      <c r="U549" s="2" t="s">
        <v>8570</v>
      </c>
      <c r="V549" s="2" t="s">
        <v>8745</v>
      </c>
      <c r="W549" s="2"/>
      <c r="X549" s="2" t="s">
        <v>8625</v>
      </c>
      <c r="Y549" s="2" t="s">
        <v>8573</v>
      </c>
      <c r="Z549" s="2" t="s">
        <v>8694</v>
      </c>
      <c r="AA549" s="4"/>
      <c r="AB549" s="5"/>
      <c r="AC549" s="6"/>
      <c r="AD549" s="6"/>
      <c r="AE549" s="6"/>
      <c r="AF549" s="6"/>
      <c r="AG549" s="7"/>
      <c r="AH549" s="7"/>
      <c r="AI549" s="7"/>
      <c r="AJ549" s="7"/>
      <c r="AK549" s="7"/>
      <c r="AL549" s="7"/>
      <c r="AM549" s="4"/>
      <c r="AN549" s="8"/>
      <c r="AO549" s="8"/>
      <c r="AP549" s="8"/>
      <c r="AQ549" s="8"/>
      <c r="AR549" s="8"/>
      <c r="AS549" s="2"/>
      <c r="AT549" s="2"/>
      <c r="AU549" s="4" t="s">
        <v>8639</v>
      </c>
      <c r="AV549" s="11"/>
      <c r="AW549" s="11" t="s">
        <v>8726</v>
      </c>
      <c r="AX549" s="4"/>
      <c r="AY549" s="12"/>
      <c r="AZ549" s="12"/>
      <c r="BA549" s="2"/>
      <c r="BB549" s="2"/>
      <c r="BC549" s="2"/>
      <c r="BD549" s="2"/>
      <c r="BE549" s="2"/>
      <c r="BF549" s="2"/>
      <c r="BG549" s="2"/>
      <c r="BH549" s="2"/>
      <c r="BI549" s="2" t="s">
        <v>8590</v>
      </c>
      <c r="BJ549" s="2" t="s">
        <v>8601</v>
      </c>
      <c r="BK549" s="2"/>
      <c r="BL549" s="2" t="s">
        <v>8591</v>
      </c>
      <c r="BM549" s="2"/>
      <c r="BN549" s="2"/>
    </row>
    <row r="550" customFormat="false" ht="19.5" hidden="false" customHeight="true" outlineLevel="0" collapsed="false">
      <c r="A550" s="2" t="s">
        <v>10522</v>
      </c>
      <c r="C550" s="2" t="str">
        <f aca="false">_xlfn.CONCAT(A550, " ","(",B550,")")</f>
        <v>Plegaderus dissectus ()</v>
      </c>
      <c r="D550" s="2" t="s">
        <v>8580</v>
      </c>
      <c r="E550" s="2" t="s">
        <v>8581</v>
      </c>
      <c r="F550" s="2" t="s">
        <v>9234</v>
      </c>
      <c r="H550" s="2" t="e">
        <f aca="false">VLOOKUP(A550,'[1]NE red list'!A$1:H$1048576,5,FALSE())</f>
        <v>#N/A</v>
      </c>
      <c r="I550" s="2" t="s">
        <v>8788</v>
      </c>
      <c r="J550" s="2" t="s">
        <v>10523</v>
      </c>
      <c r="L550" s="2" t="s">
        <v>8665</v>
      </c>
      <c r="N550" s="2" t="str">
        <f aca="false">_xlfn.CONCAT(Q550," ",R550," ",S550)</f>
        <v> parkland </v>
      </c>
      <c r="O550" s="3" t="s">
        <v>14</v>
      </c>
      <c r="P550" s="2" t="s">
        <v>8587</v>
      </c>
      <c r="R550" s="2" t="s">
        <v>8568</v>
      </c>
      <c r="T550" s="2"/>
      <c r="U550" s="2" t="s">
        <v>8570</v>
      </c>
      <c r="W550" s="2" t="s">
        <v>8571</v>
      </c>
      <c r="Z550" s="2" t="s">
        <v>8614</v>
      </c>
      <c r="AA550" s="4" t="s">
        <v>26</v>
      </c>
      <c r="AD550" s="6" t="s">
        <v>9044</v>
      </c>
      <c r="AF550" s="6" t="s">
        <v>8616</v>
      </c>
      <c r="AG550" s="7" t="s">
        <v>8575</v>
      </c>
      <c r="AI550" s="7" t="s">
        <v>8617</v>
      </c>
      <c r="AK550" s="7" t="s">
        <v>8780</v>
      </c>
      <c r="AL550" s="7" t="s">
        <v>8628</v>
      </c>
      <c r="AM550" s="4" t="s">
        <v>8657</v>
      </c>
      <c r="AN550" s="8" t="s">
        <v>10524</v>
      </c>
      <c r="AO550" s="8" t="s">
        <v>40</v>
      </c>
      <c r="AQ550" s="8" t="s">
        <v>42</v>
      </c>
      <c r="AS550" s="2"/>
      <c r="AV550" s="11"/>
      <c r="BD550" s="2" t="s">
        <v>9046</v>
      </c>
      <c r="BI550" s="2" t="s">
        <v>8590</v>
      </c>
      <c r="BJ550" s="2" t="s">
        <v>8601</v>
      </c>
      <c r="BL550" s="2" t="s">
        <v>8591</v>
      </c>
      <c r="BM550" s="2" t="s">
        <v>8619</v>
      </c>
      <c r="BO550" s="2"/>
      <c r="MJM550" s="2"/>
    </row>
    <row r="551" customFormat="false" ht="19.5" hidden="false" customHeight="true" outlineLevel="0" collapsed="false">
      <c r="A551" s="2" t="s">
        <v>10525</v>
      </c>
      <c r="C551" s="2" t="str">
        <f aca="false">_xlfn.CONCAT(A551, " ","(",B551,")")</f>
        <v>Scydmaenus rufus ()</v>
      </c>
      <c r="D551" s="2" t="s">
        <v>8580</v>
      </c>
      <c r="E551" s="2" t="s">
        <v>8581</v>
      </c>
      <c r="F551" s="30" t="s">
        <v>9102</v>
      </c>
      <c r="H551" s="2" t="e">
        <f aca="false">VLOOKUP(A551,'[1]NE red list'!A$1:H$1048576,5,FALSE())</f>
        <v>#N/A</v>
      </c>
      <c r="I551" s="2" t="s">
        <v>8593</v>
      </c>
      <c r="J551" s="2" t="s">
        <v>10526</v>
      </c>
      <c r="L551" s="2" t="s">
        <v>8677</v>
      </c>
      <c r="N551" s="2" t="str">
        <f aca="false">_xlfn.CONCAT(Q551," ",R551," ",S551)</f>
        <v> parkland </v>
      </c>
      <c r="O551" s="3" t="s">
        <v>14</v>
      </c>
      <c r="P551" s="2"/>
      <c r="R551" s="2" t="s">
        <v>8568</v>
      </c>
      <c r="T551" s="2"/>
      <c r="U551" s="2" t="s">
        <v>8570</v>
      </c>
      <c r="Z551" s="2" t="s">
        <v>8614</v>
      </c>
      <c r="AG551" s="7" t="s">
        <v>8575</v>
      </c>
      <c r="AI551" s="7" t="s">
        <v>8617</v>
      </c>
      <c r="AK551" s="7" t="s">
        <v>8627</v>
      </c>
      <c r="AL551" s="7" t="s">
        <v>8628</v>
      </c>
      <c r="AN551" s="8" t="s">
        <v>8638</v>
      </c>
      <c r="AS551" s="2"/>
      <c r="AV551" s="11"/>
      <c r="BI551" s="2" t="s">
        <v>8590</v>
      </c>
      <c r="BJ551" s="2" t="s">
        <v>8630</v>
      </c>
      <c r="BL551" s="2" t="s">
        <v>8591</v>
      </c>
      <c r="BM551" s="2" t="s">
        <v>8619</v>
      </c>
      <c r="BO551" s="2"/>
      <c r="MJM551" s="2"/>
    </row>
    <row r="552" s="32" customFormat="true" ht="19.5" hidden="false" customHeight="true" outlineLevel="0" collapsed="false">
      <c r="A552" s="2" t="s">
        <v>10527</v>
      </c>
      <c r="B552" s="2"/>
      <c r="C552" s="2" t="str">
        <f aca="false">_xlfn.CONCAT(A552, " ","(",B552,")")</f>
        <v>Scytinium fragrans ()</v>
      </c>
      <c r="D552" s="2" t="s">
        <v>8892</v>
      </c>
      <c r="E552" s="2" t="s">
        <v>8892</v>
      </c>
      <c r="F552" s="2" t="s">
        <v>8892</v>
      </c>
      <c r="G552" s="2" t="s">
        <v>8776</v>
      </c>
      <c r="H552" s="2" t="e">
        <f aca="false">VLOOKUP(A552,'[1]NE red list'!A$1:H$1048576,5,FALSE())</f>
        <v>#N/A</v>
      </c>
      <c r="I552" s="2" t="s">
        <v>9974</v>
      </c>
      <c r="J552" s="33" t="s">
        <v>10528</v>
      </c>
      <c r="K552" s="2"/>
      <c r="L552" s="2" t="s">
        <v>8896</v>
      </c>
      <c r="M552" s="2"/>
      <c r="N552" s="2" t="str">
        <f aca="false">_xlfn.CONCAT(Q552," ",R552," ",S552)</f>
        <v> parkland </v>
      </c>
      <c r="O552" s="3" t="s">
        <v>14</v>
      </c>
      <c r="P552" s="2" t="s">
        <v>8567</v>
      </c>
      <c r="Q552" s="2"/>
      <c r="R552" s="2" t="s">
        <v>8568</v>
      </c>
      <c r="S552" s="2"/>
      <c r="T552" s="2"/>
      <c r="U552" s="2" t="s">
        <v>8570</v>
      </c>
      <c r="V552" s="2" t="s">
        <v>8940</v>
      </c>
      <c r="W552" s="2" t="s">
        <v>8567</v>
      </c>
      <c r="X552" s="2"/>
      <c r="Y552" s="2"/>
      <c r="Z552" s="2"/>
      <c r="AA552" s="4"/>
      <c r="AB552" s="5"/>
      <c r="AC552" s="6"/>
      <c r="AD552" s="6"/>
      <c r="AE552" s="6"/>
      <c r="AF552" s="6"/>
      <c r="AG552" s="7"/>
      <c r="AH552" s="7"/>
      <c r="AI552" s="7"/>
      <c r="AJ552" s="7"/>
      <c r="AK552" s="7"/>
      <c r="AL552" s="7"/>
      <c r="AM552" s="4" t="s">
        <v>8657</v>
      </c>
      <c r="AN552" s="32" t="s">
        <v>8858</v>
      </c>
      <c r="AP552" s="32" t="s">
        <v>8953</v>
      </c>
      <c r="AS552" s="2"/>
      <c r="AU552" s="4"/>
      <c r="AV552" s="11"/>
      <c r="AW552" s="11"/>
      <c r="AX552" s="4"/>
      <c r="AY552" s="12"/>
      <c r="AZ552" s="12"/>
      <c r="BC552" s="32" t="s">
        <v>8899</v>
      </c>
      <c r="BJ552" s="32" t="s">
        <v>8907</v>
      </c>
      <c r="BK552" s="32" t="s">
        <v>8578</v>
      </c>
      <c r="BL552" s="32" t="s">
        <v>8578</v>
      </c>
    </row>
    <row r="553" customFormat="false" ht="19.5" hidden="false" customHeight="true" outlineLevel="0" collapsed="false">
      <c r="A553" s="2" t="s">
        <v>10529</v>
      </c>
      <c r="C553" s="2" t="str">
        <f aca="false">_xlfn.CONCAT(A553, " ","(",B553,")")</f>
        <v>Seri obscuripennis ()</v>
      </c>
      <c r="D553" s="2" t="s">
        <v>8580</v>
      </c>
      <c r="E553" s="2" t="s">
        <v>8687</v>
      </c>
      <c r="F553" s="3" t="s">
        <v>8688</v>
      </c>
      <c r="G553" s="2" t="s">
        <v>8902</v>
      </c>
      <c r="H553" s="2" t="str">
        <f aca="false">VLOOKUP(A553,'[1]NE red list'!A$1:H$1048576,5,FALSE())</f>
        <v>LC</v>
      </c>
      <c r="I553" s="2" t="s">
        <v>8645</v>
      </c>
      <c r="J553" s="2" t="s">
        <v>10530</v>
      </c>
      <c r="K553" s="2" t="s">
        <v>8931</v>
      </c>
      <c r="L553" s="2" t="s">
        <v>10531</v>
      </c>
      <c r="N553" s="2" t="str">
        <f aca="false">_xlfn.CONCAT(Q553," ",R553," ",S553)</f>
        <v>woodland  </v>
      </c>
      <c r="O553" s="2" t="s">
        <v>14</v>
      </c>
      <c r="P553" s="2"/>
      <c r="Q553" s="2" t="s">
        <v>16</v>
      </c>
      <c r="T553" s="2"/>
      <c r="U553" s="2" t="s">
        <v>8570</v>
      </c>
      <c r="Z553" s="2" t="s">
        <v>8614</v>
      </c>
      <c r="AS553" s="2"/>
      <c r="AV553" s="11"/>
      <c r="AX553" s="4" t="s">
        <v>8607</v>
      </c>
      <c r="BI553" s="2" t="s">
        <v>8590</v>
      </c>
      <c r="BL553" s="2" t="s">
        <v>8591</v>
      </c>
      <c r="BO553" s="2"/>
      <c r="MJM553" s="2"/>
    </row>
    <row r="554" customFormat="false" ht="19.5" hidden="false" customHeight="true" outlineLevel="0" collapsed="false">
      <c r="A554" s="2" t="s">
        <v>10532</v>
      </c>
      <c r="C554" s="2" t="str">
        <f aca="false">_xlfn.CONCAT(A554, " ","(",B554,")")</f>
        <v>Silusa rubiginosa ()</v>
      </c>
      <c r="D554" s="2" t="s">
        <v>8580</v>
      </c>
      <c r="E554" s="2" t="s">
        <v>8581</v>
      </c>
      <c r="F554" s="30" t="s">
        <v>8652</v>
      </c>
      <c r="G554" s="2" t="s">
        <v>8583</v>
      </c>
      <c r="H554" s="2" t="e">
        <f aca="false">VLOOKUP(A554,'[1]NE red list'!A$1:H$1048576,5,FALSE())</f>
        <v>#N/A</v>
      </c>
      <c r="I554" s="2" t="s">
        <v>9617</v>
      </c>
      <c r="J554" s="2" t="s">
        <v>10533</v>
      </c>
      <c r="L554" s="2" t="s">
        <v>8836</v>
      </c>
      <c r="N554" s="2" t="str">
        <f aca="false">_xlfn.CONCAT(Q554," ",R554," ",S554)</f>
        <v>woodland parkland </v>
      </c>
      <c r="O554" s="3" t="s">
        <v>14</v>
      </c>
      <c r="P554" s="2"/>
      <c r="Q554" s="2" t="s">
        <v>16</v>
      </c>
      <c r="R554" s="2" t="s">
        <v>8568</v>
      </c>
      <c r="T554" s="2"/>
      <c r="U554" s="2" t="s">
        <v>8570</v>
      </c>
      <c r="AB554" s="5" t="s">
        <v>9028</v>
      </c>
      <c r="AG554" s="7" t="s">
        <v>8824</v>
      </c>
      <c r="AN554" s="8" t="s">
        <v>8829</v>
      </c>
      <c r="AS554" s="2"/>
      <c r="AV554" s="11"/>
      <c r="BA554" s="2" t="s">
        <v>8868</v>
      </c>
      <c r="BI554" s="2" t="s">
        <v>8590</v>
      </c>
      <c r="BL554" s="2" t="s">
        <v>8591</v>
      </c>
      <c r="BO554" s="2"/>
      <c r="MJM554" s="2"/>
    </row>
    <row r="555" customFormat="false" ht="19.5" hidden="false" customHeight="true" outlineLevel="0" collapsed="false">
      <c r="A555" s="1" t="s">
        <v>10534</v>
      </c>
      <c r="B555" s="2" t="s">
        <v>10535</v>
      </c>
      <c r="C555" s="2" t="str">
        <f aca="false">_xlfn.CONCAT(A555, " ","(",B555,")")</f>
        <v>Sinodendron cylindricum (Rhinoceros Beetle)</v>
      </c>
      <c r="D555" s="2" t="s">
        <v>8580</v>
      </c>
      <c r="E555" s="2" t="s">
        <v>8581</v>
      </c>
      <c r="F555" s="2" t="s">
        <v>9399</v>
      </c>
      <c r="G555" s="2" t="s">
        <v>8737</v>
      </c>
      <c r="H555" s="2" t="str">
        <f aca="false">VLOOKUP(A555,'[1]NE red list'!A$1:H$1048576,5,FALSE())</f>
        <v>LC</v>
      </c>
      <c r="I555" s="2" t="s">
        <v>8645</v>
      </c>
      <c r="J555" s="2" t="s">
        <v>10536</v>
      </c>
      <c r="L555" s="2" t="s">
        <v>8836</v>
      </c>
      <c r="N555" s="2" t="str">
        <f aca="false">_xlfn.CONCAT(Q555," ",R555," ",S555)</f>
        <v>woodland parkland </v>
      </c>
      <c r="O555" s="3" t="s">
        <v>14</v>
      </c>
      <c r="P555" s="2" t="s">
        <v>8587</v>
      </c>
      <c r="Q555" s="2" t="s">
        <v>16</v>
      </c>
      <c r="R555" s="2" t="s">
        <v>8568</v>
      </c>
      <c r="T555" s="2"/>
      <c r="U555" s="2" t="s">
        <v>8605</v>
      </c>
      <c r="W555" s="2" t="s">
        <v>8571</v>
      </c>
      <c r="X555" s="2" t="s">
        <v>8589</v>
      </c>
      <c r="Z555" s="2" t="s">
        <v>8614</v>
      </c>
      <c r="AG555" s="7" t="s">
        <v>8575</v>
      </c>
      <c r="AI555" s="7" t="s">
        <v>8617</v>
      </c>
      <c r="AK555" s="7" t="s">
        <v>8627</v>
      </c>
      <c r="AS555" s="2"/>
      <c r="AV555" s="11"/>
      <c r="BI555" s="2" t="s">
        <v>8590</v>
      </c>
      <c r="BL555" s="2" t="s">
        <v>8591</v>
      </c>
      <c r="BO555" s="2"/>
      <c r="MJM555" s="2"/>
    </row>
    <row r="556" customFormat="false" ht="19.5" hidden="false" customHeight="true" outlineLevel="0" collapsed="false">
      <c r="A556" s="1" t="s">
        <v>10537</v>
      </c>
      <c r="B556" s="2" t="s">
        <v>10538</v>
      </c>
      <c r="C556" s="2" t="str">
        <f aca="false">_xlfn.CONCAT(A556, " ","(",B556,")")</f>
        <v>Sitta europaea (Nuthatch)</v>
      </c>
      <c r="D556" s="2" t="s">
        <v>8560</v>
      </c>
      <c r="E556" s="2" t="s">
        <v>8561</v>
      </c>
      <c r="F556" s="2" t="s">
        <v>10539</v>
      </c>
      <c r="G556" s="2" t="s">
        <v>9115</v>
      </c>
      <c r="H556" s="2" t="str">
        <f aca="false">VLOOKUP(A556,'[1]NE red list'!A$1:H$1048576,5,FALSE())</f>
        <v>LC</v>
      </c>
      <c r="I556" s="37" t="s">
        <v>8645</v>
      </c>
      <c r="J556" s="51" t="s">
        <v>10540</v>
      </c>
      <c r="L556" s="2" t="s">
        <v>8566</v>
      </c>
      <c r="N556" s="2" t="str">
        <f aca="false">_xlfn.CONCAT(Q556," ",R556," ",S556)</f>
        <v>woodland parkland ToW</v>
      </c>
      <c r="O556" s="2" t="s">
        <v>14</v>
      </c>
      <c r="P556" s="2" t="s">
        <v>8567</v>
      </c>
      <c r="Q556" s="2" t="s">
        <v>16</v>
      </c>
      <c r="R556" s="2" t="s">
        <v>8568</v>
      </c>
      <c r="S556" s="2" t="s">
        <v>18</v>
      </c>
      <c r="T556" s="2"/>
      <c r="U556" s="2" t="s">
        <v>8605</v>
      </c>
      <c r="W556" s="2" t="s">
        <v>8567</v>
      </c>
      <c r="X556" s="2" t="s">
        <v>8589</v>
      </c>
      <c r="AA556" s="4" t="s">
        <v>26</v>
      </c>
      <c r="AC556" s="6" t="s">
        <v>30</v>
      </c>
      <c r="AF556" s="6" t="s">
        <v>8616</v>
      </c>
      <c r="AS556" s="2"/>
      <c r="AV556" s="11"/>
      <c r="BJ556" s="2" t="s">
        <v>8601</v>
      </c>
      <c r="BL556" s="2" t="s">
        <v>8591</v>
      </c>
      <c r="MJM556" s="2"/>
    </row>
    <row r="557" customFormat="false" ht="19.5" hidden="false" customHeight="true" outlineLevel="0" collapsed="false">
      <c r="A557" s="2" t="s">
        <v>10541</v>
      </c>
      <c r="C557" s="2" t="str">
        <f aca="false">_xlfn.CONCAT(A557, " ","(",B557,")")</f>
        <v>Soronia grisea ()</v>
      </c>
      <c r="D557" s="2" t="s">
        <v>8580</v>
      </c>
      <c r="E557" s="2" t="s">
        <v>8581</v>
      </c>
      <c r="F557" s="30" t="s">
        <v>8661</v>
      </c>
      <c r="H557" s="2" t="e">
        <f aca="false">VLOOKUP(A557,'[1]NE red list'!A$1:H$1048576,5,FALSE())</f>
        <v>#N/A</v>
      </c>
      <c r="I557" s="2" t="s">
        <v>8564</v>
      </c>
      <c r="J557" s="2" t="s">
        <v>10542</v>
      </c>
      <c r="L557" s="2" t="s">
        <v>8836</v>
      </c>
      <c r="N557" s="2" t="str">
        <f aca="false">_xlfn.CONCAT(Q557," ",R557," ",S557)</f>
        <v>woodland parkland </v>
      </c>
      <c r="O557" s="3" t="s">
        <v>14</v>
      </c>
      <c r="P557" s="2"/>
      <c r="Q557" s="2" t="s">
        <v>16</v>
      </c>
      <c r="R557" s="2" t="s">
        <v>8568</v>
      </c>
      <c r="T557" s="2"/>
      <c r="U557" s="2" t="s">
        <v>8570</v>
      </c>
      <c r="V557" s="2" t="s">
        <v>9002</v>
      </c>
      <c r="Z557" s="2" t="s">
        <v>8574</v>
      </c>
      <c r="AG557" s="7" t="s">
        <v>8824</v>
      </c>
      <c r="AN557" s="8" t="s">
        <v>8638</v>
      </c>
      <c r="AS557" s="2"/>
      <c r="AV557" s="11"/>
      <c r="BI557" s="2" t="s">
        <v>8590</v>
      </c>
      <c r="BJ557" s="2" t="s">
        <v>8601</v>
      </c>
      <c r="BL557" s="2" t="s">
        <v>8591</v>
      </c>
      <c r="BO557" s="2"/>
      <c r="MJM557" s="2"/>
    </row>
    <row r="558" customFormat="false" ht="19.5" hidden="false" customHeight="true" outlineLevel="0" collapsed="false">
      <c r="A558" s="2" t="s">
        <v>10543</v>
      </c>
      <c r="C558" s="2" t="str">
        <f aca="false">_xlfn.CONCAT(A558, " ","(",B558,")")</f>
        <v>Soronia punctatissima ()</v>
      </c>
      <c r="D558" s="2" t="s">
        <v>8580</v>
      </c>
      <c r="E558" s="2" t="s">
        <v>8581</v>
      </c>
      <c r="F558" s="30" t="s">
        <v>8661</v>
      </c>
      <c r="H558" s="2" t="e">
        <f aca="false">VLOOKUP(A558,'[1]NE red list'!A$1:H$1048576,5,FALSE())</f>
        <v>#N/A</v>
      </c>
      <c r="I558" s="2" t="s">
        <v>8564</v>
      </c>
      <c r="J558" s="2" t="s">
        <v>10544</v>
      </c>
      <c r="L558" s="2" t="s">
        <v>8836</v>
      </c>
      <c r="N558" s="2" t="str">
        <f aca="false">_xlfn.CONCAT(Q558," ",R558," ",S558)</f>
        <v>woodland parkland </v>
      </c>
      <c r="O558" s="3" t="s">
        <v>14</v>
      </c>
      <c r="P558" s="2"/>
      <c r="Q558" s="2" t="s">
        <v>16</v>
      </c>
      <c r="R558" s="2" t="s">
        <v>8568</v>
      </c>
      <c r="T558" s="2"/>
      <c r="U558" s="2" t="s">
        <v>8570</v>
      </c>
      <c r="V558" s="2" t="s">
        <v>10545</v>
      </c>
      <c r="X558" s="2" t="s">
        <v>9190</v>
      </c>
      <c r="AB558" s="5" t="s">
        <v>10546</v>
      </c>
      <c r="AG558" s="7" t="s">
        <v>8824</v>
      </c>
      <c r="AM558" s="4" t="s">
        <v>8657</v>
      </c>
      <c r="AN558" s="8" t="s">
        <v>9029</v>
      </c>
      <c r="AO558" s="8" t="s">
        <v>40</v>
      </c>
      <c r="AQ558" s="8" t="s">
        <v>42</v>
      </c>
      <c r="AS558" s="2"/>
      <c r="AV558" s="11"/>
      <c r="BI558" s="2" t="s">
        <v>8590</v>
      </c>
      <c r="BL558" s="2" t="s">
        <v>8591</v>
      </c>
      <c r="BO558" s="2"/>
      <c r="MJM558" s="2"/>
    </row>
    <row r="559" customFormat="false" ht="19.5" hidden="false" customHeight="true" outlineLevel="0" collapsed="false">
      <c r="A559" s="2" t="s">
        <v>10547</v>
      </c>
      <c r="C559" s="2" t="str">
        <f aca="false">_xlfn.CONCAT(A559, " ","(",B559,")")</f>
        <v>Sphaeriestes reyi ()</v>
      </c>
      <c r="D559" s="2" t="s">
        <v>8580</v>
      </c>
      <c r="E559" s="2" t="s">
        <v>8581</v>
      </c>
      <c r="F559" s="30" t="s">
        <v>9838</v>
      </c>
      <c r="G559" s="2" t="s">
        <v>8737</v>
      </c>
      <c r="H559" s="2" t="str">
        <f aca="false">VLOOKUP(A559,'[1]NE red list'!A$1:H$1048576,5,FALSE())</f>
        <v>DD</v>
      </c>
      <c r="I559" s="2" t="s">
        <v>8645</v>
      </c>
      <c r="J559" s="2" t="s">
        <v>10548</v>
      </c>
      <c r="K559" s="2" t="s">
        <v>10549</v>
      </c>
      <c r="L559" s="2" t="s">
        <v>8665</v>
      </c>
      <c r="N559" s="2" t="str">
        <f aca="false">_xlfn.CONCAT(Q559," ",R559," ",S559)</f>
        <v>woodland parkland </v>
      </c>
      <c r="O559" s="3" t="s">
        <v>14</v>
      </c>
      <c r="P559" s="2"/>
      <c r="Q559" s="2" t="s">
        <v>16</v>
      </c>
      <c r="R559" s="2" t="s">
        <v>8568</v>
      </c>
      <c r="T559" s="2"/>
      <c r="U559" s="2" t="s">
        <v>8605</v>
      </c>
      <c r="X559" s="2" t="s">
        <v>8597</v>
      </c>
      <c r="Y559" s="2" t="s">
        <v>8573</v>
      </c>
      <c r="AG559" s="7" t="s">
        <v>8824</v>
      </c>
      <c r="AM559" s="4" t="s">
        <v>8657</v>
      </c>
      <c r="AP559" s="8" t="s">
        <v>8791</v>
      </c>
      <c r="AS559" s="2" t="s">
        <v>8599</v>
      </c>
      <c r="AV559" s="11"/>
      <c r="BI559" s="2" t="s">
        <v>8590</v>
      </c>
      <c r="BL559" s="2" t="s">
        <v>8591</v>
      </c>
      <c r="BO559" s="2"/>
      <c r="MJM559" s="2"/>
    </row>
    <row r="560" customFormat="false" ht="19.5" hidden="false" customHeight="true" outlineLevel="0" collapsed="false">
      <c r="A560" s="2" t="s">
        <v>10550</v>
      </c>
      <c r="C560" s="2" t="str">
        <f aca="false">_xlfn.CONCAT(A560, " ","(",B560,")")</f>
        <v>Sphegina elegans ()</v>
      </c>
      <c r="D560" s="2" t="s">
        <v>8580</v>
      </c>
      <c r="E560" s="2" t="s">
        <v>8687</v>
      </c>
      <c r="F560" s="2" t="s">
        <v>9024</v>
      </c>
      <c r="H560" s="2" t="str">
        <f aca="false">VLOOKUP(A560,'[1]NE red list'!A$1:H$1048576,5,FALSE())</f>
        <v>LC</v>
      </c>
      <c r="I560" s="2" t="s">
        <v>8645</v>
      </c>
      <c r="J560" s="2" t="s">
        <v>10551</v>
      </c>
      <c r="L560" s="2" t="s">
        <v>8770</v>
      </c>
      <c r="N560" s="2" t="str">
        <f aca="false">_xlfn.CONCAT(Q560," ",R560," ",S560)</f>
        <v>woodland  </v>
      </c>
      <c r="O560" s="2"/>
      <c r="P560" s="2"/>
      <c r="Q560" s="2" t="s">
        <v>16</v>
      </c>
      <c r="T560" s="2"/>
      <c r="U560" s="2" t="s">
        <v>8570</v>
      </c>
      <c r="AG560" s="7" t="s">
        <v>8824</v>
      </c>
      <c r="AM560" s="4" t="s">
        <v>8657</v>
      </c>
      <c r="AN560" s="8" t="s">
        <v>9029</v>
      </c>
      <c r="AO560" s="8" t="s">
        <v>40</v>
      </c>
      <c r="AQ560" s="8" t="s">
        <v>42</v>
      </c>
      <c r="AS560" s="2"/>
      <c r="AV560" s="11"/>
      <c r="BA560" s="2" t="s">
        <v>8868</v>
      </c>
      <c r="BB560" s="2" t="s">
        <v>8618</v>
      </c>
      <c r="BC560" s="2" t="s">
        <v>8600</v>
      </c>
      <c r="BD560" s="2" t="s">
        <v>8577</v>
      </c>
      <c r="BI560" s="2" t="s">
        <v>8590</v>
      </c>
      <c r="BL560" s="2" t="s">
        <v>8591</v>
      </c>
      <c r="BO560" s="2"/>
      <c r="MJM560" s="2"/>
    </row>
    <row r="561" customFormat="false" ht="19.5" hidden="false" customHeight="true" outlineLevel="0" collapsed="false">
      <c r="A561" s="2" t="s">
        <v>10552</v>
      </c>
      <c r="C561" s="2" t="str">
        <f aca="false">_xlfn.CONCAT(A561, " ","(",B561,")")</f>
        <v>Sphegina sibirica ()</v>
      </c>
      <c r="D561" s="2" t="s">
        <v>8580</v>
      </c>
      <c r="E561" s="2" t="s">
        <v>8687</v>
      </c>
      <c r="F561" s="2" t="s">
        <v>9024</v>
      </c>
      <c r="H561" s="2" t="str">
        <f aca="false">VLOOKUP(A561,'[1]NE red list'!A$1:H$1048576,5,FALSE())</f>
        <v>LC</v>
      </c>
      <c r="I561" s="2" t="s">
        <v>8750</v>
      </c>
      <c r="J561" s="2" t="s">
        <v>10553</v>
      </c>
      <c r="L561" s="2" t="s">
        <v>8770</v>
      </c>
      <c r="N561" s="2" t="str">
        <f aca="false">_xlfn.CONCAT(Q561," ",R561," ",S561)</f>
        <v>woodland  </v>
      </c>
      <c r="O561" s="2"/>
      <c r="P561" s="2"/>
      <c r="Q561" s="2" t="s">
        <v>16</v>
      </c>
      <c r="T561" s="2"/>
      <c r="U561" s="2" t="s">
        <v>8806</v>
      </c>
      <c r="V561" s="2" t="s">
        <v>9312</v>
      </c>
      <c r="AG561" s="7" t="s">
        <v>8824</v>
      </c>
      <c r="AN561" s="8" t="s">
        <v>9029</v>
      </c>
      <c r="AS561" s="2"/>
      <c r="AV561" s="11"/>
      <c r="BA561" s="2" t="s">
        <v>8868</v>
      </c>
      <c r="BB561" s="2" t="s">
        <v>8618</v>
      </c>
      <c r="BI561" s="2" t="s">
        <v>8590</v>
      </c>
      <c r="BL561" s="2" t="s">
        <v>8591</v>
      </c>
      <c r="BO561" s="2"/>
      <c r="MJM561" s="2"/>
    </row>
    <row r="562" customFormat="false" ht="19.5" hidden="false" customHeight="true" outlineLevel="0" collapsed="false">
      <c r="A562" s="2" t="s">
        <v>10554</v>
      </c>
      <c r="C562" s="2" t="str">
        <f aca="false">_xlfn.CONCAT(A562, " ","(",B562,")")</f>
        <v>Sphegina verecunda ()</v>
      </c>
      <c r="D562" s="2" t="s">
        <v>8580</v>
      </c>
      <c r="E562" s="2" t="s">
        <v>8687</v>
      </c>
      <c r="F562" s="2" t="s">
        <v>9024</v>
      </c>
      <c r="G562" s="2" t="s">
        <v>8583</v>
      </c>
      <c r="H562" s="2" t="str">
        <f aca="false">VLOOKUP(A562,'[1]NE red list'!A$1:H$1048576,5,FALSE())</f>
        <v>LC</v>
      </c>
      <c r="I562" s="2" t="s">
        <v>8564</v>
      </c>
      <c r="J562" s="2" t="s">
        <v>10555</v>
      </c>
      <c r="L562" s="2" t="s">
        <v>8770</v>
      </c>
      <c r="N562" s="2" t="str">
        <f aca="false">_xlfn.CONCAT(Q562," ",R562," ",S562)</f>
        <v>woodland  </v>
      </c>
      <c r="O562" s="2"/>
      <c r="P562" s="2"/>
      <c r="Q562" s="2" t="s">
        <v>16</v>
      </c>
      <c r="T562" s="2"/>
      <c r="U562" s="2" t="s">
        <v>8605</v>
      </c>
      <c r="AB562" s="5" t="s">
        <v>8672</v>
      </c>
      <c r="AG562" s="7" t="s">
        <v>8824</v>
      </c>
      <c r="AN562" s="8" t="s">
        <v>10556</v>
      </c>
      <c r="AS562" s="2"/>
      <c r="AV562" s="11"/>
      <c r="BA562" s="2" t="s">
        <v>8868</v>
      </c>
      <c r="BB562" s="2" t="s">
        <v>8618</v>
      </c>
      <c r="BI562" s="2" t="s">
        <v>8590</v>
      </c>
      <c r="BL562" s="2" t="s">
        <v>8591</v>
      </c>
      <c r="BO562" s="2"/>
      <c r="MJM562" s="2"/>
    </row>
    <row r="563" customFormat="false" ht="19.5" hidden="false" customHeight="true" outlineLevel="0" collapsed="false">
      <c r="A563" s="2" t="s">
        <v>10557</v>
      </c>
      <c r="C563" s="2" t="str">
        <f aca="false">_xlfn.CONCAT(A563, " ","(",B563,")")</f>
        <v>Stenagostus rhombeus ()</v>
      </c>
      <c r="D563" s="2" t="s">
        <v>8580</v>
      </c>
      <c r="E563" s="2" t="s">
        <v>8581</v>
      </c>
      <c r="F563" s="30" t="s">
        <v>8621</v>
      </c>
      <c r="H563" s="2" t="e">
        <f aca="false">VLOOKUP(A563,'[1]NE red list'!A$1:H$1048576,5,FALSE())</f>
        <v>#N/A</v>
      </c>
      <c r="I563" s="2" t="s">
        <v>10558</v>
      </c>
      <c r="J563" s="2" t="s">
        <v>10559</v>
      </c>
      <c r="K563" s="2" t="s">
        <v>9997</v>
      </c>
      <c r="L563" s="2" t="s">
        <v>8665</v>
      </c>
      <c r="N563" s="2" t="str">
        <f aca="false">_xlfn.CONCAT(Q563," ",R563," ",S563)</f>
        <v>woodland parkland </v>
      </c>
      <c r="O563" s="3" t="s">
        <v>14</v>
      </c>
      <c r="P563" s="2"/>
      <c r="Q563" s="2" t="s">
        <v>16</v>
      </c>
      <c r="R563" s="2" t="s">
        <v>8568</v>
      </c>
      <c r="T563" s="2"/>
      <c r="U563" s="2" t="s">
        <v>8570</v>
      </c>
      <c r="V563" s="2" t="s">
        <v>9038</v>
      </c>
      <c r="X563" s="2" t="s">
        <v>8625</v>
      </c>
      <c r="Z563" s="2" t="s">
        <v>8574</v>
      </c>
      <c r="AG563" s="7" t="s">
        <v>8824</v>
      </c>
      <c r="AM563" s="4" t="s">
        <v>8657</v>
      </c>
      <c r="AN563" s="8" t="s">
        <v>8734</v>
      </c>
      <c r="AO563" s="8" t="s">
        <v>40</v>
      </c>
      <c r="AQ563" s="8" t="s">
        <v>42</v>
      </c>
      <c r="AS563" s="2"/>
      <c r="AV563" s="11"/>
      <c r="BI563" s="2" t="s">
        <v>8590</v>
      </c>
      <c r="BL563" s="2" t="s">
        <v>8591</v>
      </c>
      <c r="BO563" s="2"/>
      <c r="MJM563" s="2"/>
    </row>
    <row r="564" customFormat="false" ht="19.5" hidden="false" customHeight="true" outlineLevel="0" collapsed="false">
      <c r="A564" s="2" t="s">
        <v>10560</v>
      </c>
      <c r="C564" s="2" t="str">
        <f aca="false">_xlfn.CONCAT(A564, " ","(",B564,")")</f>
        <v>Prionocyphon serricornis ()</v>
      </c>
      <c r="D564" s="2" t="s">
        <v>8580</v>
      </c>
      <c r="E564" s="2" t="s">
        <v>8581</v>
      </c>
      <c r="F564" s="2" t="s">
        <v>10561</v>
      </c>
      <c r="H564" s="2" t="str">
        <f aca="false">VLOOKUP(A564,'[1]NE red list'!A$1:H$1048576,5,FALSE())</f>
        <v>LC</v>
      </c>
      <c r="I564" s="2" t="s">
        <v>9086</v>
      </c>
      <c r="J564" s="2" t="s">
        <v>10562</v>
      </c>
      <c r="L564" s="2" t="s">
        <v>9376</v>
      </c>
      <c r="N564" s="2" t="str">
        <f aca="false">_xlfn.CONCAT(Q564," ",R564," ",S564)</f>
        <v> parkland </v>
      </c>
      <c r="O564" s="3" t="s">
        <v>14</v>
      </c>
      <c r="P564" s="2"/>
      <c r="R564" s="2" t="s">
        <v>8568</v>
      </c>
      <c r="T564" s="2"/>
      <c r="U564" s="2" t="s">
        <v>8570</v>
      </c>
      <c r="V564" s="2" t="s">
        <v>9038</v>
      </c>
      <c r="W564" s="2" t="s">
        <v>8571</v>
      </c>
      <c r="X564" s="2" t="s">
        <v>9009</v>
      </c>
      <c r="Y564" s="2" t="s">
        <v>8573</v>
      </c>
      <c r="AA564" s="4" t="s">
        <v>26</v>
      </c>
      <c r="AD564" s="6" t="s">
        <v>9044</v>
      </c>
      <c r="AF564" s="6" t="s">
        <v>9045</v>
      </c>
      <c r="AG564" s="7" t="s">
        <v>8575</v>
      </c>
      <c r="AI564" s="7" t="s">
        <v>8617</v>
      </c>
      <c r="AS564" s="2"/>
      <c r="AV564" s="11"/>
      <c r="BD564" s="2" t="s">
        <v>9046</v>
      </c>
      <c r="BI564" s="2" t="s">
        <v>8590</v>
      </c>
      <c r="BL564" s="2" t="s">
        <v>8591</v>
      </c>
      <c r="BO564" s="2"/>
      <c r="MJM564" s="2"/>
    </row>
    <row r="565" customFormat="false" ht="19.5" hidden="false" customHeight="true" outlineLevel="0" collapsed="false">
      <c r="A565" s="2" t="s">
        <v>10563</v>
      </c>
      <c r="C565" s="2" t="str">
        <f aca="false">_xlfn.CONCAT(A565, " ","(",B565,")")</f>
        <v>Ptenidium gressneri ()</v>
      </c>
      <c r="D565" s="2" t="s">
        <v>8580</v>
      </c>
      <c r="E565" s="2" t="s">
        <v>8581</v>
      </c>
      <c r="F565" s="30" t="s">
        <v>9535</v>
      </c>
      <c r="G565" s="2" t="s">
        <v>8583</v>
      </c>
      <c r="H565" s="2" t="e">
        <f aca="false">VLOOKUP(A565,'[1]NE red list'!A$1:H$1048576,5,FALSE())</f>
        <v>#N/A</v>
      </c>
      <c r="I565" s="2" t="s">
        <v>8564</v>
      </c>
      <c r="J565" s="2" t="s">
        <v>10564</v>
      </c>
      <c r="L565" s="2" t="s">
        <v>8677</v>
      </c>
      <c r="N565" s="2" t="str">
        <f aca="false">_xlfn.CONCAT(Q565," ",R565," ",S565)</f>
        <v> parkland </v>
      </c>
      <c r="O565" s="3" t="s">
        <v>14</v>
      </c>
      <c r="P565" s="2"/>
      <c r="R565" s="2" t="s">
        <v>8568</v>
      </c>
      <c r="T565" s="2"/>
      <c r="U565" s="2" t="s">
        <v>8570</v>
      </c>
      <c r="V565" s="2" t="s">
        <v>9038</v>
      </c>
      <c r="W565" s="2" t="s">
        <v>8571</v>
      </c>
      <c r="Z565" s="2" t="s">
        <v>8614</v>
      </c>
      <c r="AA565" s="4" t="s">
        <v>26</v>
      </c>
      <c r="AC565" s="55" t="s">
        <v>8666</v>
      </c>
      <c r="AD565" s="6" t="s">
        <v>8615</v>
      </c>
      <c r="AF565" s="6" t="s">
        <v>8616</v>
      </c>
      <c r="AG565" s="7" t="s">
        <v>8575</v>
      </c>
      <c r="AI565" s="7" t="s">
        <v>8617</v>
      </c>
      <c r="AK565" s="7" t="s">
        <v>8627</v>
      </c>
      <c r="AL565" s="7" t="s">
        <v>8785</v>
      </c>
      <c r="AS565" s="2"/>
      <c r="AU565" s="4" t="s">
        <v>8639</v>
      </c>
      <c r="AV565" s="47" t="s">
        <v>10565</v>
      </c>
      <c r="BD565" s="2" t="s">
        <v>8629</v>
      </c>
      <c r="BI565" s="2" t="s">
        <v>8590</v>
      </c>
      <c r="BL565" s="2" t="s">
        <v>8591</v>
      </c>
      <c r="BM565" s="2" t="s">
        <v>8619</v>
      </c>
      <c r="BO565" s="2"/>
      <c r="MJM565" s="2"/>
    </row>
    <row r="566" s="32" customFormat="true" ht="19.5" hidden="false" customHeight="true" outlineLevel="0" collapsed="false">
      <c r="A566" s="1" t="s">
        <v>10566</v>
      </c>
      <c r="B566" s="2" t="s">
        <v>10567</v>
      </c>
      <c r="C566" s="2" t="str">
        <f aca="false">_xlfn.CONCAT(A566, " ","(",B566,")")</f>
        <v>Stictographa lentiginosa (a lichenicolous fungus)</v>
      </c>
      <c r="D566" s="2" t="s">
        <v>8892</v>
      </c>
      <c r="E566" s="2" t="s">
        <v>8892</v>
      </c>
      <c r="F566" s="2" t="s">
        <v>8892</v>
      </c>
      <c r="G566" s="2" t="s">
        <v>8776</v>
      </c>
      <c r="H566" s="2" t="e">
        <f aca="false">VLOOKUP(A566,'[1]NE red list'!A$1:H$1048576,5,FALSE())</f>
        <v>#N/A</v>
      </c>
      <c r="I566" s="2" t="s">
        <v>9974</v>
      </c>
      <c r="J566" s="33" t="s">
        <v>10568</v>
      </c>
      <c r="K566" s="2" t="s">
        <v>10569</v>
      </c>
      <c r="L566" s="2" t="s">
        <v>8896</v>
      </c>
      <c r="M566" s="2"/>
      <c r="N566" s="2" t="str">
        <f aca="false">_xlfn.CONCAT(Q566," ",R566," ",S566)</f>
        <v>woodland parkland </v>
      </c>
      <c r="O566" s="3" t="s">
        <v>14</v>
      </c>
      <c r="P566" s="2" t="s">
        <v>8567</v>
      </c>
      <c r="Q566" s="2" t="s">
        <v>16</v>
      </c>
      <c r="R566" s="2" t="s">
        <v>8568</v>
      </c>
      <c r="S566" s="2"/>
      <c r="T566" s="2"/>
      <c r="U566" s="2" t="s">
        <v>8570</v>
      </c>
      <c r="V566" s="2" t="s">
        <v>10570</v>
      </c>
      <c r="W566" s="2" t="s">
        <v>8567</v>
      </c>
      <c r="X566" s="2" t="s">
        <v>8589</v>
      </c>
      <c r="Y566" s="2"/>
      <c r="Z566" s="2"/>
      <c r="AA566" s="4"/>
      <c r="AB566" s="5"/>
      <c r="AC566" s="6"/>
      <c r="AD566" s="6"/>
      <c r="AE566" s="6"/>
      <c r="AF566" s="6"/>
      <c r="AG566" s="7"/>
      <c r="AH566" s="7"/>
      <c r="AI566" s="7"/>
      <c r="AJ566" s="7"/>
      <c r="AK566" s="7"/>
      <c r="AL566" s="7"/>
      <c r="AM566" s="4"/>
      <c r="AN566" s="32" t="s">
        <v>8858</v>
      </c>
      <c r="AS566" s="2"/>
      <c r="AU566" s="4" t="s">
        <v>8639</v>
      </c>
      <c r="AV566" s="11"/>
      <c r="AW566" s="11" t="s">
        <v>8726</v>
      </c>
      <c r="AX566" s="4"/>
      <c r="AY566" s="12"/>
      <c r="AZ566" s="12"/>
      <c r="BC566" s="32" t="s">
        <v>8899</v>
      </c>
      <c r="BD566" s="32" t="s">
        <v>8629</v>
      </c>
      <c r="BJ566" s="32" t="s">
        <v>8907</v>
      </c>
      <c r="BK566" s="32" t="s">
        <v>8578</v>
      </c>
      <c r="BL566" s="32" t="s">
        <v>8578</v>
      </c>
    </row>
    <row r="567" s="63" customFormat="true" ht="19.5" hidden="false" customHeight="true" outlineLevel="0" collapsed="false">
      <c r="A567" s="73" t="s">
        <v>10571</v>
      </c>
      <c r="B567" s="63" t="s">
        <v>10572</v>
      </c>
      <c r="C567" s="63" t="str">
        <f aca="false">_xlfn.CONCAT(A567, " ","(",B567,")")</f>
        <v>Stictoleptura rubra (Leptura rubra)</v>
      </c>
      <c r="D567" s="63" t="s">
        <v>8580</v>
      </c>
      <c r="E567" s="63" t="s">
        <v>8581</v>
      </c>
      <c r="F567" s="63" t="s">
        <v>8787</v>
      </c>
      <c r="H567" s="63" t="str">
        <f aca="false">VLOOKUP(A567,'[1]NE red list'!A$1:H$1048576,5,FALSE())</f>
        <v>LC</v>
      </c>
      <c r="I567" s="63" t="s">
        <v>8690</v>
      </c>
      <c r="J567" s="63" t="s">
        <v>10573</v>
      </c>
      <c r="L567" s="63" t="s">
        <v>8836</v>
      </c>
      <c r="N567" s="63" t="str">
        <f aca="false">_xlfn.CONCAT(Q567," ",R567," ",S567)</f>
        <v>woodland  </v>
      </c>
      <c r="Q567" s="63" t="s">
        <v>16</v>
      </c>
      <c r="U567" s="63" t="s">
        <v>8806</v>
      </c>
      <c r="X567" s="63" t="s">
        <v>10574</v>
      </c>
      <c r="Z567" s="63" t="s">
        <v>8574</v>
      </c>
      <c r="AA567" s="66"/>
      <c r="AB567" s="67"/>
      <c r="AC567" s="68"/>
      <c r="AD567" s="68"/>
      <c r="AE567" s="68"/>
      <c r="AF567" s="68"/>
      <c r="AG567" s="7" t="s">
        <v>8824</v>
      </c>
      <c r="AH567" s="69" t="s">
        <v>33</v>
      </c>
      <c r="AI567" s="69"/>
      <c r="AJ567" s="69"/>
      <c r="AK567" s="69"/>
      <c r="AL567" s="69"/>
      <c r="AM567" s="66" t="s">
        <v>8657</v>
      </c>
      <c r="AN567" s="70" t="s">
        <v>8734</v>
      </c>
      <c r="AO567" s="70" t="s">
        <v>40</v>
      </c>
      <c r="AP567" s="70"/>
      <c r="AQ567" s="70" t="s">
        <v>42</v>
      </c>
      <c r="AR567" s="70"/>
      <c r="AU567" s="66"/>
      <c r="AV567" s="71"/>
      <c r="AW567" s="71"/>
      <c r="AX567" s="66"/>
      <c r="AY567" s="72"/>
      <c r="AZ567" s="72"/>
      <c r="BB567" s="63" t="s">
        <v>8618</v>
      </c>
      <c r="BI567" s="2" t="s">
        <v>8590</v>
      </c>
      <c r="BL567" s="63" t="s">
        <v>8591</v>
      </c>
    </row>
    <row r="568" customFormat="false" ht="19.5" hidden="false" customHeight="true" outlineLevel="0" collapsed="false">
      <c r="A568" s="2" t="s">
        <v>10575</v>
      </c>
      <c r="C568" s="2" t="str">
        <f aca="false">_xlfn.CONCAT(A568, " ","(",B568,")")</f>
        <v>Stictoleptura scutellata ()</v>
      </c>
      <c r="D568" s="2" t="s">
        <v>8580</v>
      </c>
      <c r="E568" s="2" t="s">
        <v>8581</v>
      </c>
      <c r="F568" s="2" t="s">
        <v>8787</v>
      </c>
      <c r="G568" s="2" t="s">
        <v>8583</v>
      </c>
      <c r="H568" s="2" t="str">
        <f aca="false">VLOOKUP(A568,'[1]NE red list'!A$1:H$1048576,5,FALSE())</f>
        <v>LC</v>
      </c>
      <c r="I568" s="2" t="s">
        <v>8714</v>
      </c>
      <c r="J568" s="2" t="s">
        <v>10576</v>
      </c>
      <c r="K568" s="2" t="s">
        <v>10413</v>
      </c>
      <c r="L568" s="2" t="s">
        <v>10577</v>
      </c>
      <c r="N568" s="2" t="str">
        <f aca="false">_xlfn.CONCAT(Q568," ",R568," ",S568)</f>
        <v>woodland parkland </v>
      </c>
      <c r="O568" s="3" t="s">
        <v>14</v>
      </c>
      <c r="P568" s="2" t="s">
        <v>8587</v>
      </c>
      <c r="Q568" s="2" t="s">
        <v>16</v>
      </c>
      <c r="R568" s="2" t="s">
        <v>8568</v>
      </c>
      <c r="T568" s="2"/>
      <c r="U568" s="2" t="s">
        <v>8570</v>
      </c>
      <c r="V568" s="2" t="s">
        <v>10578</v>
      </c>
      <c r="W568" s="2" t="s">
        <v>8587</v>
      </c>
      <c r="X568" s="2" t="s">
        <v>10579</v>
      </c>
      <c r="Z568" s="2" t="s">
        <v>8614</v>
      </c>
      <c r="AG568" s="7" t="s">
        <v>8575</v>
      </c>
      <c r="AI568" s="7" t="s">
        <v>8617</v>
      </c>
      <c r="AK568" s="7" t="s">
        <v>8627</v>
      </c>
      <c r="AS568" s="2"/>
      <c r="AV568" s="11"/>
      <c r="BB568" s="2" t="s">
        <v>8618</v>
      </c>
      <c r="BC568" s="2" t="s">
        <v>9273</v>
      </c>
      <c r="BI568" s="2" t="s">
        <v>8590</v>
      </c>
      <c r="BL568" s="2" t="s">
        <v>8591</v>
      </c>
      <c r="BO568" s="2"/>
      <c r="MJM568" s="2"/>
    </row>
    <row r="569" customFormat="false" ht="19.5" hidden="false" customHeight="true" outlineLevel="0" collapsed="false">
      <c r="A569" s="2" t="s">
        <v>10580</v>
      </c>
      <c r="C569" s="2" t="str">
        <f aca="false">_xlfn.CONCAT(A569, " ","(",B569,")")</f>
        <v>Stigmus solskyi ()</v>
      </c>
      <c r="D569" s="2" t="s">
        <v>8580</v>
      </c>
      <c r="E569" s="2" t="s">
        <v>8839</v>
      </c>
      <c r="F569" s="30" t="s">
        <v>10014</v>
      </c>
      <c r="G569" s="2" t="s">
        <v>8737</v>
      </c>
      <c r="H569" s="2" t="e">
        <f aca="false">VLOOKUP(A569,'[1]NE red list'!A$1:H$1048576,5,FALSE())</f>
        <v>#N/A</v>
      </c>
      <c r="I569" s="2" t="s">
        <v>8645</v>
      </c>
      <c r="J569" s="2" t="s">
        <v>10581</v>
      </c>
      <c r="L569" s="2" t="s">
        <v>8948</v>
      </c>
      <c r="N569" s="2" t="str">
        <f aca="false">_xlfn.CONCAT(Q569," ",R569," ",S569)</f>
        <v>woodland parkland ToW</v>
      </c>
      <c r="O569" s="2" t="s">
        <v>14</v>
      </c>
      <c r="P569" s="2"/>
      <c r="Q569" s="2" t="s">
        <v>16</v>
      </c>
      <c r="R569" s="2" t="s">
        <v>8568</v>
      </c>
      <c r="S569" s="2" t="s">
        <v>18</v>
      </c>
      <c r="T569" s="2"/>
      <c r="U569" s="2" t="s">
        <v>8605</v>
      </c>
      <c r="X569" s="2" t="s">
        <v>8625</v>
      </c>
      <c r="Z569" s="2" t="s">
        <v>8574</v>
      </c>
      <c r="AB569" s="5" t="s">
        <v>8672</v>
      </c>
      <c r="AG569" s="7" t="s">
        <v>8824</v>
      </c>
      <c r="AS569" s="2"/>
      <c r="AV569" s="11"/>
      <c r="BF569" s="2" t="s">
        <v>9274</v>
      </c>
      <c r="BH569" s="2" t="s">
        <v>9275</v>
      </c>
      <c r="BI569" s="2" t="s">
        <v>8590</v>
      </c>
      <c r="BL569" s="2" t="s">
        <v>8591</v>
      </c>
      <c r="BO569" s="2"/>
      <c r="MJM569" s="2"/>
    </row>
    <row r="570" customFormat="false" ht="19.5" hidden="false" customHeight="true" outlineLevel="0" collapsed="false">
      <c r="A570" s="1" t="s">
        <v>10582</v>
      </c>
      <c r="B570" s="2" t="s">
        <v>10583</v>
      </c>
      <c r="C570" s="2" t="str">
        <f aca="false">_xlfn.CONCAT(A570, " ","(",B570,")")</f>
        <v>Strix aluca (Tawny Owl)</v>
      </c>
      <c r="D570" s="2" t="s">
        <v>8560</v>
      </c>
      <c r="E570" s="2" t="s">
        <v>8561</v>
      </c>
      <c r="F570" s="30" t="s">
        <v>8913</v>
      </c>
      <c r="G570" s="2" t="s">
        <v>9115</v>
      </c>
      <c r="H570" s="2" t="e">
        <f aca="false">VLOOKUP(A570,'[1]NE red list'!A$1:H$1048576,5,FALSE())</f>
        <v>#N/A</v>
      </c>
      <c r="I570" s="2" t="s">
        <v>8645</v>
      </c>
      <c r="J570" s="88" t="s">
        <v>10584</v>
      </c>
      <c r="L570" s="2" t="s">
        <v>8665</v>
      </c>
      <c r="N570" s="2" t="str">
        <f aca="false">_xlfn.CONCAT(Q570," ",R570," ",S570)</f>
        <v>woodland parkland ToW</v>
      </c>
      <c r="O570" s="2" t="s">
        <v>14</v>
      </c>
      <c r="P570" s="2"/>
      <c r="Q570" s="2" t="s">
        <v>16</v>
      </c>
      <c r="R570" s="2" t="s">
        <v>8568</v>
      </c>
      <c r="S570" s="2" t="s">
        <v>18</v>
      </c>
      <c r="T570" s="2"/>
      <c r="U570" s="2" t="s">
        <v>8570</v>
      </c>
      <c r="AA570" s="4" t="s">
        <v>26</v>
      </c>
      <c r="AC570" s="6" t="s">
        <v>30</v>
      </c>
      <c r="AD570" s="6" t="s">
        <v>8615</v>
      </c>
      <c r="AF570" s="6" t="s">
        <v>8616</v>
      </c>
      <c r="AS570" s="2"/>
      <c r="AV570" s="11"/>
      <c r="BL570" s="2" t="s">
        <v>8591</v>
      </c>
      <c r="MJM570" s="2"/>
    </row>
    <row r="571" s="32" customFormat="true" ht="19.5" hidden="false" customHeight="true" outlineLevel="0" collapsed="false">
      <c r="A571" s="33" t="s">
        <v>10585</v>
      </c>
      <c r="B571" s="33"/>
      <c r="C571" s="2" t="str">
        <f aca="false">_xlfn.CONCAT(A571, " ","(",B571,")")</f>
        <v>Stroemiellus stroemi ()</v>
      </c>
      <c r="D571" s="2"/>
      <c r="E571" s="34" t="s">
        <v>8729</v>
      </c>
      <c r="F571" s="75" t="s">
        <v>9821</v>
      </c>
      <c r="G571" s="2" t="s">
        <v>8902</v>
      </c>
      <c r="H571" s="2" t="str">
        <f aca="false">VLOOKUP(A571,'[1]NE red list'!A$1:H$1048576,5,FALSE())</f>
        <v>NT</v>
      </c>
      <c r="I571" s="33" t="s">
        <v>10586</v>
      </c>
      <c r="J571" s="75" t="s">
        <v>9822</v>
      </c>
      <c r="K571" s="33"/>
      <c r="L571" s="2" t="s">
        <v>8665</v>
      </c>
      <c r="M571" s="2"/>
      <c r="N571" s="2" t="str">
        <f aca="false">_xlfn.CONCAT(Q571," ",R571," ",S571)</f>
        <v> parkland </v>
      </c>
      <c r="O571" s="3" t="s">
        <v>14</v>
      </c>
      <c r="P571" s="33"/>
      <c r="Q571" s="52"/>
      <c r="R571" s="2" t="s">
        <v>8568</v>
      </c>
      <c r="S571" s="2"/>
      <c r="T571" s="33"/>
      <c r="U571" s="2" t="s">
        <v>8605</v>
      </c>
      <c r="V571" s="52" t="s">
        <v>9685</v>
      </c>
      <c r="W571" s="33" t="s">
        <v>8571</v>
      </c>
      <c r="X571" s="33"/>
      <c r="Y571" s="33"/>
      <c r="Z571" s="33"/>
      <c r="AA571" s="38"/>
      <c r="AB571" s="6"/>
      <c r="AC571" s="40"/>
      <c r="AD571" s="40"/>
      <c r="AE571" s="40"/>
      <c r="AF571" s="6"/>
      <c r="AG571" s="7"/>
      <c r="AH571" s="7"/>
      <c r="AI571" s="7"/>
      <c r="AJ571" s="7"/>
      <c r="AK571" s="7"/>
      <c r="AL571" s="7"/>
      <c r="AM571" s="4" t="s">
        <v>8657</v>
      </c>
      <c r="AO571" s="79"/>
      <c r="AQ571" s="8" t="s">
        <v>42</v>
      </c>
      <c r="AR571" s="32" t="s">
        <v>10587</v>
      </c>
      <c r="AS571" s="2"/>
      <c r="AU571" s="4"/>
      <c r="AV571" s="10"/>
      <c r="AW571" s="11"/>
      <c r="AX571" s="53"/>
      <c r="AY571" s="54"/>
      <c r="AZ571" s="54"/>
      <c r="BN571" s="32" t="s">
        <v>8619</v>
      </c>
    </row>
    <row r="572" customFormat="false" ht="19.5" hidden="false" customHeight="true" outlineLevel="0" collapsed="false">
      <c r="A572" s="1" t="s">
        <v>10588</v>
      </c>
      <c r="B572" s="2" t="s">
        <v>10589</v>
      </c>
      <c r="C572" s="2" t="str">
        <f aca="false">_xlfn.CONCAT(A572, " ","(",B572,")")</f>
        <v>Sturnus vulgaris vulgaris (Starling)</v>
      </c>
      <c r="D572" s="2" t="s">
        <v>8560</v>
      </c>
      <c r="E572" s="2" t="s">
        <v>8561</v>
      </c>
      <c r="F572" s="2" t="s">
        <v>10590</v>
      </c>
      <c r="G572" s="2" t="s">
        <v>8776</v>
      </c>
      <c r="H572" s="2" t="e">
        <f aca="false">VLOOKUP(A572,'[1]NE red list'!A$1:H$1048576,5,FALSE())</f>
        <v>#N/A</v>
      </c>
      <c r="I572" s="2" t="s">
        <v>8645</v>
      </c>
      <c r="J572" s="2" t="s">
        <v>10591</v>
      </c>
      <c r="L572" s="2" t="s">
        <v>8566</v>
      </c>
      <c r="N572" s="2" t="str">
        <f aca="false">_xlfn.CONCAT(Q572," ",R572," ",S572)</f>
        <v> parkland </v>
      </c>
      <c r="O572" s="3" t="s">
        <v>14</v>
      </c>
      <c r="P572" s="2"/>
      <c r="R572" s="2" t="s">
        <v>8568</v>
      </c>
      <c r="T572" s="2" t="s">
        <v>8569</v>
      </c>
      <c r="U572" s="2" t="s">
        <v>8605</v>
      </c>
      <c r="W572" s="2" t="s">
        <v>8567</v>
      </c>
      <c r="X572" s="2" t="s">
        <v>8589</v>
      </c>
      <c r="AA572" s="4" t="s">
        <v>26</v>
      </c>
      <c r="AC572" s="6" t="s">
        <v>30</v>
      </c>
      <c r="AF572" s="6" t="s">
        <v>8616</v>
      </c>
      <c r="AS572" s="2"/>
      <c r="AV572" s="11"/>
      <c r="BF572" s="2" t="s">
        <v>9274</v>
      </c>
      <c r="BL572" s="2" t="s">
        <v>8578</v>
      </c>
      <c r="MJM572" s="2"/>
    </row>
    <row r="573" customFormat="false" ht="19.5" hidden="false" customHeight="true" outlineLevel="0" collapsed="false">
      <c r="A573" s="1" t="s">
        <v>10592</v>
      </c>
      <c r="B573" s="2" t="s">
        <v>10593</v>
      </c>
      <c r="C573" s="2" t="str">
        <f aca="false">_xlfn.CONCAT(A573, " ","(",B573,")")</f>
        <v>Sulcacis affinis (Ennearthron affinis; Entypus affinis)</v>
      </c>
      <c r="D573" s="2" t="s">
        <v>8580</v>
      </c>
      <c r="E573" s="2" t="s">
        <v>8581</v>
      </c>
      <c r="F573" s="30" t="s">
        <v>10594</v>
      </c>
      <c r="G573" s="2" t="s">
        <v>8737</v>
      </c>
      <c r="H573" s="2" t="e">
        <f aca="false">VLOOKUP(A573,'[1]NE red list'!A$1:H$1048576,5,FALSE())</f>
        <v>#N/A</v>
      </c>
      <c r="I573" s="2" t="s">
        <v>8645</v>
      </c>
      <c r="J573" s="2" t="s">
        <v>10595</v>
      </c>
      <c r="K573" s="2" t="s">
        <v>8585</v>
      </c>
      <c r="L573" s="2" t="s">
        <v>8677</v>
      </c>
      <c r="N573" s="2" t="str">
        <f aca="false">_xlfn.CONCAT(Q573," ",R573," ",S573)</f>
        <v>woodland parkland </v>
      </c>
      <c r="O573" s="3" t="s">
        <v>14</v>
      </c>
      <c r="P573" s="2"/>
      <c r="Q573" s="2" t="s">
        <v>16</v>
      </c>
      <c r="R573" s="2" t="s">
        <v>8568</v>
      </c>
      <c r="T573" s="2"/>
      <c r="U573" s="2" t="s">
        <v>8570</v>
      </c>
      <c r="X573" s="2" t="s">
        <v>9190</v>
      </c>
      <c r="Z573" s="2" t="s">
        <v>8614</v>
      </c>
      <c r="AS573" s="2"/>
      <c r="AV573" s="11"/>
      <c r="AX573" s="4" t="s">
        <v>8585</v>
      </c>
      <c r="AY573" s="12" t="s">
        <v>8585</v>
      </c>
      <c r="BI573" s="2" t="s">
        <v>8590</v>
      </c>
      <c r="BJ573" s="2" t="s">
        <v>8630</v>
      </c>
      <c r="BL573" s="2" t="s">
        <v>8591</v>
      </c>
      <c r="BO573" s="2"/>
      <c r="MJM573" s="2"/>
    </row>
    <row r="574" customFormat="false" ht="19.5" hidden="false" customHeight="true" outlineLevel="0" collapsed="false">
      <c r="A574" s="2" t="s">
        <v>10596</v>
      </c>
      <c r="C574" s="2" t="str">
        <f aca="false">_xlfn.CONCAT(A574, " ","(",B574,")")</f>
        <v>Sulcacis bicornis ()</v>
      </c>
      <c r="D574" s="2" t="s">
        <v>8580</v>
      </c>
      <c r="E574" s="2" t="s">
        <v>8581</v>
      </c>
      <c r="F574" s="30" t="s">
        <v>10594</v>
      </c>
      <c r="G574" s="2" t="s">
        <v>8583</v>
      </c>
      <c r="H574" s="2" t="e">
        <f aca="false">VLOOKUP(A574,'[1]NE red list'!A$1:H$1048576,5,FALSE())</f>
        <v>#N/A</v>
      </c>
      <c r="I574" s="2" t="s">
        <v>9235</v>
      </c>
      <c r="J574" s="2" t="s">
        <v>10597</v>
      </c>
      <c r="K574" s="2" t="s">
        <v>8585</v>
      </c>
      <c r="L574" s="2" t="s">
        <v>8677</v>
      </c>
      <c r="N574" s="2" t="str">
        <f aca="false">_xlfn.CONCAT(Q574," ",R574," ",S574)</f>
        <v>woodland parkland </v>
      </c>
      <c r="O574" s="3" t="s">
        <v>14</v>
      </c>
      <c r="P574" s="2"/>
      <c r="Q574" s="2" t="s">
        <v>16</v>
      </c>
      <c r="R574" s="2" t="s">
        <v>8568</v>
      </c>
      <c r="T574" s="2"/>
      <c r="U574" s="2" t="s">
        <v>8570</v>
      </c>
      <c r="V574" s="2" t="s">
        <v>9640</v>
      </c>
      <c r="AS574" s="2"/>
      <c r="AV574" s="11"/>
      <c r="AX574" s="4" t="s">
        <v>8585</v>
      </c>
      <c r="AY574" s="12" t="s">
        <v>8585</v>
      </c>
      <c r="BI574" s="2" t="s">
        <v>8590</v>
      </c>
      <c r="BL574" s="2" t="s">
        <v>8591</v>
      </c>
      <c r="BO574" s="2"/>
      <c r="MJM574" s="2"/>
    </row>
    <row r="575" customFormat="false" ht="19.5" hidden="false" customHeight="true" outlineLevel="0" collapsed="false">
      <c r="A575" s="2" t="s">
        <v>10598</v>
      </c>
      <c r="C575" s="2" t="str">
        <f aca="false">_xlfn.CONCAT(A575, " ","(",B575,")")</f>
        <v>Symbiotes latus ()</v>
      </c>
      <c r="D575" s="2" t="s">
        <v>8580</v>
      </c>
      <c r="E575" s="2" t="s">
        <v>8581</v>
      </c>
      <c r="F575" s="30" t="s">
        <v>10599</v>
      </c>
      <c r="G575" s="2" t="s">
        <v>8583</v>
      </c>
      <c r="H575" s="2" t="e">
        <f aca="false">VLOOKUP(A575,'[1]NE red list'!A$1:H$1048576,5,FALSE())</f>
        <v>#N/A</v>
      </c>
      <c r="I575" s="2" t="s">
        <v>8564</v>
      </c>
      <c r="J575" s="2" t="s">
        <v>10600</v>
      </c>
      <c r="K575" s="2" t="s">
        <v>10601</v>
      </c>
      <c r="L575" s="2" t="s">
        <v>8677</v>
      </c>
      <c r="N575" s="2" t="str">
        <f aca="false">_xlfn.CONCAT(Q575," ",R575," ",S575)</f>
        <v>woodland parkland ToW</v>
      </c>
      <c r="O575" s="2" t="s">
        <v>14</v>
      </c>
      <c r="P575" s="2"/>
      <c r="Q575" s="2" t="s">
        <v>16</v>
      </c>
      <c r="R575" s="2" t="s">
        <v>8568</v>
      </c>
      <c r="S575" s="2" t="s">
        <v>18</v>
      </c>
      <c r="T575" s="2"/>
      <c r="U575" s="2" t="s">
        <v>8570</v>
      </c>
      <c r="V575" s="2" t="s">
        <v>10602</v>
      </c>
      <c r="AG575" s="7" t="s">
        <v>8824</v>
      </c>
      <c r="AN575" s="8" t="s">
        <v>8852</v>
      </c>
      <c r="AS575" s="2"/>
      <c r="AV575" s="11"/>
      <c r="AX575" s="4" t="s">
        <v>8607</v>
      </c>
      <c r="BI575" s="2" t="s">
        <v>8590</v>
      </c>
      <c r="BJ575" s="2" t="s">
        <v>8630</v>
      </c>
      <c r="BL575" s="2" t="s">
        <v>8591</v>
      </c>
      <c r="BO575" s="2"/>
      <c r="MJM575" s="2"/>
    </row>
    <row r="576" customFormat="false" ht="19.5" hidden="false" customHeight="true" outlineLevel="0" collapsed="false">
      <c r="A576" s="1" t="s">
        <v>10603</v>
      </c>
      <c r="B576" s="2" t="s">
        <v>10604</v>
      </c>
      <c r="C576" s="2" t="str">
        <f aca="false">_xlfn.CONCAT(A576, " ","(",B576,")")</f>
        <v>Synanthedon culiciformis (Large Red-belted Clearwing)</v>
      </c>
      <c r="D576" s="2" t="s">
        <v>8580</v>
      </c>
      <c r="E576" s="2" t="s">
        <v>8722</v>
      </c>
      <c r="F576" s="2" t="s">
        <v>10605</v>
      </c>
      <c r="G576" s="2" t="s">
        <v>8737</v>
      </c>
      <c r="H576" s="2" t="e">
        <f aca="false">VLOOKUP(A576,'[1]NE red list'!A$1:H$1048576,5,FALSE())</f>
        <v>#N/A</v>
      </c>
      <c r="I576" s="2" t="s">
        <v>8645</v>
      </c>
      <c r="J576" s="33" t="s">
        <v>10606</v>
      </c>
      <c r="L576" s="2" t="s">
        <v>8790</v>
      </c>
      <c r="N576" s="2" t="str">
        <f aca="false">_xlfn.CONCAT(Q576," ",R576," ",S576)</f>
        <v> parkland </v>
      </c>
      <c r="O576" s="3" t="s">
        <v>14</v>
      </c>
      <c r="P576" s="2"/>
      <c r="R576" s="2" t="s">
        <v>8568</v>
      </c>
      <c r="T576" s="2"/>
      <c r="U576" s="2" t="s">
        <v>8570</v>
      </c>
      <c r="V576" s="2" t="s">
        <v>8880</v>
      </c>
      <c r="X576" s="2" t="s">
        <v>9189</v>
      </c>
      <c r="Z576" s="2" t="s">
        <v>8637</v>
      </c>
      <c r="AG576" s="7" t="s">
        <v>8824</v>
      </c>
      <c r="AN576" s="8" t="s">
        <v>8638</v>
      </c>
      <c r="AS576" s="2"/>
      <c r="AV576" s="11"/>
      <c r="BB576" s="2" t="s">
        <v>8618</v>
      </c>
      <c r="BI576" s="2" t="s">
        <v>8590</v>
      </c>
      <c r="BL576" s="2" t="s">
        <v>8591</v>
      </c>
      <c r="BO576" s="2"/>
      <c r="MJM576" s="2"/>
    </row>
    <row r="577" customFormat="false" ht="19.5" hidden="false" customHeight="true" outlineLevel="0" collapsed="false">
      <c r="A577" s="1" t="s">
        <v>10607</v>
      </c>
      <c r="B577" s="2" t="s">
        <v>10608</v>
      </c>
      <c r="C577" s="2" t="str">
        <f aca="false">_xlfn.CONCAT(A577, " ","(",B577,")")</f>
        <v>Synanthedon myopaeformis (Red-belted Clearwing)</v>
      </c>
      <c r="D577" s="2" t="s">
        <v>8580</v>
      </c>
      <c r="E577" s="2" t="s">
        <v>8722</v>
      </c>
      <c r="F577" s="2" t="s">
        <v>10605</v>
      </c>
      <c r="H577" s="2" t="e">
        <f aca="false">VLOOKUP(A577,'[1]NE red list'!A$1:H$1048576,5,FALSE())</f>
        <v>#N/A</v>
      </c>
      <c r="I577" s="56" t="s">
        <v>8945</v>
      </c>
      <c r="J577" s="33" t="s">
        <v>10609</v>
      </c>
      <c r="L577" s="2" t="s">
        <v>8790</v>
      </c>
      <c r="N577" s="2" t="str">
        <f aca="false">_xlfn.CONCAT(Q577," ",R577," ",S577)</f>
        <v> parkland ToW</v>
      </c>
      <c r="O577" s="2" t="s">
        <v>14</v>
      </c>
      <c r="P577" s="2"/>
      <c r="R577" s="2" t="s">
        <v>8568</v>
      </c>
      <c r="S577" s="2" t="s">
        <v>18</v>
      </c>
      <c r="T577" s="2"/>
      <c r="U577" s="2" t="s">
        <v>8570</v>
      </c>
      <c r="V577" s="2" t="s">
        <v>8693</v>
      </c>
      <c r="X577" s="2" t="s">
        <v>8589</v>
      </c>
      <c r="Y577" s="2" t="s">
        <v>8573</v>
      </c>
      <c r="Z577" s="2" t="s">
        <v>8694</v>
      </c>
      <c r="AG577" s="7" t="s">
        <v>8824</v>
      </c>
      <c r="AM577" s="4" t="s">
        <v>8657</v>
      </c>
      <c r="AN577" s="8" t="s">
        <v>9262</v>
      </c>
      <c r="AO577" s="8" t="s">
        <v>40</v>
      </c>
      <c r="AQ577" s="8" t="s">
        <v>42</v>
      </c>
      <c r="AR577" s="8" t="s">
        <v>43</v>
      </c>
      <c r="AS577" s="2"/>
      <c r="AV577" s="11"/>
      <c r="BB577" s="2" t="s">
        <v>8618</v>
      </c>
      <c r="BI577" s="2" t="s">
        <v>8590</v>
      </c>
      <c r="BL577" s="2" t="s">
        <v>8591</v>
      </c>
      <c r="BO577" s="2"/>
      <c r="MJM577" s="2"/>
    </row>
    <row r="578" customFormat="false" ht="19.5" hidden="false" customHeight="true" outlineLevel="0" collapsed="false">
      <c r="A578" s="1" t="s">
        <v>10610</v>
      </c>
      <c r="B578" s="2" t="s">
        <v>10611</v>
      </c>
      <c r="C578" s="2" t="str">
        <f aca="false">_xlfn.CONCAT(A578, " ","(",B578,")")</f>
        <v>Synanthedon vespiformis (Yellow-legged Clearwing)</v>
      </c>
      <c r="D578" s="2" t="s">
        <v>8580</v>
      </c>
      <c r="E578" s="2" t="s">
        <v>8722</v>
      </c>
      <c r="F578" s="2" t="s">
        <v>10605</v>
      </c>
      <c r="H578" s="2" t="e">
        <f aca="false">VLOOKUP(A578,'[1]NE red list'!A$1:H$1048576,5,FALSE())</f>
        <v>#N/A</v>
      </c>
      <c r="I578" s="2" t="s">
        <v>8610</v>
      </c>
      <c r="J578" s="33" t="s">
        <v>10612</v>
      </c>
      <c r="L578" s="2" t="s">
        <v>8790</v>
      </c>
      <c r="N578" s="2" t="str">
        <f aca="false">_xlfn.CONCAT(Q578," ",R578," ",S578)</f>
        <v>woodland parkland ToW</v>
      </c>
      <c r="O578" s="2" t="s">
        <v>14</v>
      </c>
      <c r="P578" s="2"/>
      <c r="Q578" s="2" t="s">
        <v>16</v>
      </c>
      <c r="R578" s="2" t="s">
        <v>8568</v>
      </c>
      <c r="S578" s="2" t="s">
        <v>18</v>
      </c>
      <c r="T578" s="2"/>
      <c r="U578" s="2" t="s">
        <v>8570</v>
      </c>
      <c r="V578" s="2" t="s">
        <v>8745</v>
      </c>
      <c r="X578" s="2" t="s">
        <v>9190</v>
      </c>
      <c r="Z578" s="2" t="s">
        <v>8637</v>
      </c>
      <c r="AG578" s="7" t="s">
        <v>8824</v>
      </c>
      <c r="AM578" s="4" t="s">
        <v>8657</v>
      </c>
      <c r="AN578" s="8" t="s">
        <v>10613</v>
      </c>
      <c r="AO578" s="8" t="s">
        <v>40</v>
      </c>
      <c r="AQ578" s="8" t="s">
        <v>42</v>
      </c>
      <c r="AR578" s="8" t="s">
        <v>43</v>
      </c>
      <c r="AS578" s="2"/>
      <c r="AV578" s="11"/>
      <c r="BA578" s="2" t="s">
        <v>9030</v>
      </c>
      <c r="BB578" s="2" t="s">
        <v>8618</v>
      </c>
      <c r="BI578" s="2" t="s">
        <v>8590</v>
      </c>
      <c r="BJ578" s="2" t="s">
        <v>8601</v>
      </c>
      <c r="BL578" s="2" t="s">
        <v>8591</v>
      </c>
      <c r="BO578" s="2"/>
      <c r="MJM578" s="2"/>
    </row>
    <row r="579" customFormat="false" ht="19.5" hidden="false" customHeight="true" outlineLevel="0" collapsed="false">
      <c r="A579" s="2" t="s">
        <v>10614</v>
      </c>
      <c r="C579" s="2" t="str">
        <f aca="false">_xlfn.CONCAT(A579, " ","(",B579,")")</f>
        <v>Synchita humeralis ()</v>
      </c>
      <c r="D579" s="2" t="s">
        <v>8580</v>
      </c>
      <c r="E579" s="2" t="s">
        <v>8581</v>
      </c>
      <c r="F579" s="2" t="s">
        <v>9219</v>
      </c>
      <c r="G579" s="2" t="s">
        <v>8583</v>
      </c>
      <c r="H579" s="2" t="str">
        <f aca="false">VLOOKUP(A579,'[1]NE red list'!A$1:H$1048576,5,FALSE())</f>
        <v>LC</v>
      </c>
      <c r="I579" s="2" t="s">
        <v>9298</v>
      </c>
      <c r="J579" s="2" t="s">
        <v>10615</v>
      </c>
      <c r="L579" s="2" t="s">
        <v>8677</v>
      </c>
      <c r="N579" s="2" t="str">
        <f aca="false">_xlfn.CONCAT(Q579," ",R579," ",S579)</f>
        <v>woodland  </v>
      </c>
      <c r="O579" s="2" t="s">
        <v>14</v>
      </c>
      <c r="P579" s="2" t="s">
        <v>8567</v>
      </c>
      <c r="Q579" s="2" t="s">
        <v>16</v>
      </c>
      <c r="T579" s="2"/>
      <c r="U579" s="2" t="s">
        <v>8570</v>
      </c>
      <c r="V579" s="2" t="s">
        <v>10616</v>
      </c>
      <c r="AG579" s="7" t="s">
        <v>8824</v>
      </c>
      <c r="AM579" s="4" t="s">
        <v>8657</v>
      </c>
      <c r="AN579" s="8" t="s">
        <v>10617</v>
      </c>
      <c r="AO579" s="8" t="s">
        <v>40</v>
      </c>
      <c r="AQ579" s="8" t="s">
        <v>42</v>
      </c>
      <c r="AS579" s="2"/>
      <c r="AV579" s="11"/>
      <c r="AX579" s="4" t="s">
        <v>8607</v>
      </c>
      <c r="AY579" s="12" t="s">
        <v>10344</v>
      </c>
      <c r="BI579" s="2" t="s">
        <v>8590</v>
      </c>
      <c r="BJ579" s="2" t="s">
        <v>8630</v>
      </c>
      <c r="BL579" s="2" t="s">
        <v>8591</v>
      </c>
      <c r="BO579" s="2"/>
      <c r="MJM579" s="2"/>
    </row>
    <row r="580" customFormat="false" ht="19.5" hidden="false" customHeight="true" outlineLevel="0" collapsed="false">
      <c r="A580" s="2" t="s">
        <v>10618</v>
      </c>
      <c r="C580" s="2" t="str">
        <f aca="false">_xlfn.CONCAT(A580, " ","(",B580,")")</f>
        <v>Synchita variegata ()</v>
      </c>
      <c r="D580" s="2" t="s">
        <v>8580</v>
      </c>
      <c r="E580" s="2" t="s">
        <v>8581</v>
      </c>
      <c r="F580" s="2" t="s">
        <v>9219</v>
      </c>
      <c r="G580" s="2" t="s">
        <v>8583</v>
      </c>
      <c r="H580" s="2" t="e">
        <f aca="false">VLOOKUP(A580,'[1]NE red list'!A$1:H$1048576,5,FALSE())</f>
        <v>#N/A</v>
      </c>
      <c r="I580" s="2" t="s">
        <v>8753</v>
      </c>
      <c r="J580" s="2" t="s">
        <v>10619</v>
      </c>
      <c r="L580" s="2" t="s">
        <v>8677</v>
      </c>
      <c r="N580" s="2" t="str">
        <f aca="false">_xlfn.CONCAT(Q580," ",R580," ",S580)</f>
        <v>woodland parkland </v>
      </c>
      <c r="O580" s="3" t="s">
        <v>14</v>
      </c>
      <c r="P580" s="2" t="s">
        <v>8567</v>
      </c>
      <c r="Q580" s="2" t="s">
        <v>16</v>
      </c>
      <c r="R580" s="2" t="s">
        <v>8568</v>
      </c>
      <c r="T580" s="2"/>
      <c r="U580" s="2" t="s">
        <v>8570</v>
      </c>
      <c r="V580" s="2" t="s">
        <v>10620</v>
      </c>
      <c r="AG580" s="7" t="s">
        <v>8575</v>
      </c>
      <c r="AN580" s="8" t="s">
        <v>8852</v>
      </c>
      <c r="AS580" s="2"/>
      <c r="AV580" s="11"/>
      <c r="AX580" s="4" t="s">
        <v>8607</v>
      </c>
      <c r="BL580" s="2" t="s">
        <v>8591</v>
      </c>
      <c r="BO580" s="2"/>
      <c r="MJM580" s="2"/>
    </row>
    <row r="581" s="32" customFormat="true" ht="19.5" hidden="false" customHeight="true" outlineLevel="0" collapsed="false">
      <c r="A581" s="2" t="s">
        <v>10621</v>
      </c>
      <c r="B581" s="2"/>
      <c r="C581" s="2" t="str">
        <f aca="false">_xlfn.CONCAT(A581, " ","(",B581,")")</f>
        <v>Systenus tener ()</v>
      </c>
      <c r="D581" s="2" t="s">
        <v>8580</v>
      </c>
      <c r="E581" s="2" t="s">
        <v>8687</v>
      </c>
      <c r="F581" s="2" t="s">
        <v>10622</v>
      </c>
      <c r="G581" s="2" t="s">
        <v>8902</v>
      </c>
      <c r="H581" s="2" t="str">
        <f aca="false">VLOOKUP(A581,'[1]NE red list'!A$1:H$1048576,5,FALSE())</f>
        <v>NT</v>
      </c>
      <c r="I581" s="2" t="s">
        <v>8610</v>
      </c>
      <c r="J581" s="2" t="s">
        <v>10623</v>
      </c>
      <c r="K581" s="2"/>
      <c r="L581" s="2"/>
      <c r="M581" s="2"/>
      <c r="N581" s="2" t="str">
        <f aca="false">_xlfn.CONCAT(Q581," ",R581," ",S581)</f>
        <v>woodland parkland </v>
      </c>
      <c r="O581" s="3" t="s">
        <v>14</v>
      </c>
      <c r="P581" s="2"/>
      <c r="Q581" s="2" t="s">
        <v>16</v>
      </c>
      <c r="R581" s="2" t="s">
        <v>8568</v>
      </c>
      <c r="S581" s="2"/>
      <c r="T581" s="2"/>
      <c r="U581" s="2" t="s">
        <v>8570</v>
      </c>
      <c r="V581" s="2"/>
      <c r="W581" s="2" t="s">
        <v>8571</v>
      </c>
      <c r="X581" s="2"/>
      <c r="Y581" s="2" t="s">
        <v>8573</v>
      </c>
      <c r="Z581" s="2" t="s">
        <v>8598</v>
      </c>
      <c r="AA581" s="4" t="s">
        <v>26</v>
      </c>
      <c r="AB581" s="6"/>
      <c r="AC581" s="6"/>
      <c r="AD581" s="6"/>
      <c r="AE581" s="6"/>
      <c r="AF581" s="6" t="s">
        <v>10624</v>
      </c>
      <c r="AG581" s="7" t="s">
        <v>8575</v>
      </c>
      <c r="AH581" s="7"/>
      <c r="AI581" s="7"/>
      <c r="AJ581" s="7"/>
      <c r="AK581" s="7"/>
      <c r="AL581" s="7"/>
      <c r="AM581" s="4"/>
      <c r="AO581" s="79"/>
      <c r="AS581" s="2"/>
      <c r="AU581" s="4"/>
      <c r="AV581" s="11"/>
      <c r="AW581" s="11"/>
      <c r="AX581" s="4"/>
      <c r="AY581" s="12"/>
      <c r="AZ581" s="12"/>
      <c r="BN581" s="32" t="s">
        <v>8619</v>
      </c>
    </row>
    <row r="582" customFormat="false" ht="19.5" hidden="false" customHeight="true" outlineLevel="0" collapsed="false">
      <c r="A582" s="2" t="s">
        <v>10625</v>
      </c>
      <c r="C582" s="2" t="str">
        <f aca="false">_xlfn.CONCAT(A582, " ","(",B582,")")</f>
        <v>Tachinus bipustulatus ()</v>
      </c>
      <c r="D582" s="2" t="s">
        <v>8580</v>
      </c>
      <c r="E582" s="2" t="s">
        <v>8581</v>
      </c>
      <c r="F582" s="2" t="s">
        <v>8652</v>
      </c>
      <c r="G582" s="2" t="s">
        <v>8662</v>
      </c>
      <c r="H582" s="2" t="e">
        <f aca="false">VLOOKUP(A582,'[1]NE red list'!A$1:H$1048576,5,FALSE())</f>
        <v>#N/A</v>
      </c>
      <c r="I582" s="2" t="s">
        <v>8610</v>
      </c>
      <c r="J582" s="2" t="s">
        <v>10626</v>
      </c>
      <c r="L582" s="2" t="s">
        <v>8665</v>
      </c>
      <c r="N582" s="2" t="str">
        <f aca="false">_xlfn.CONCAT(Q582," ",R582," ",S582)</f>
        <v> parkland </v>
      </c>
      <c r="O582" s="3" t="s">
        <v>14</v>
      </c>
      <c r="P582" s="2" t="s">
        <v>8587</v>
      </c>
      <c r="R582" s="2" t="s">
        <v>8568</v>
      </c>
      <c r="T582" s="2"/>
      <c r="U582" s="2" t="s">
        <v>8570</v>
      </c>
      <c r="W582" s="2" t="s">
        <v>8567</v>
      </c>
      <c r="AB582" s="5" t="s">
        <v>9028</v>
      </c>
      <c r="AS582" s="2"/>
      <c r="AV582" s="11"/>
      <c r="BA582" s="2" t="s">
        <v>9030</v>
      </c>
      <c r="BL582" s="2" t="s">
        <v>8591</v>
      </c>
      <c r="BO582" s="2"/>
      <c r="MJM582" s="2"/>
    </row>
    <row r="583" customFormat="false" ht="19.5" hidden="false" customHeight="true" outlineLevel="0" collapsed="false">
      <c r="A583" s="1" t="s">
        <v>10627</v>
      </c>
      <c r="B583" s="2" t="s">
        <v>10628</v>
      </c>
      <c r="C583" s="2" t="str">
        <f aca="false">_xlfn.CONCAT(A583, " ","(",B583,")")</f>
        <v>Tachydromia umbrarum  (Tachydromia annulimana authors, misident. &amp; Tachydromia cimicoides misident.)</v>
      </c>
      <c r="D583" s="2" t="s">
        <v>8580</v>
      </c>
      <c r="E583" s="2" t="s">
        <v>8687</v>
      </c>
      <c r="F583" s="2" t="s">
        <v>9403</v>
      </c>
      <c r="G583" s="2" t="s">
        <v>8737</v>
      </c>
      <c r="H583" s="2" t="e">
        <f aca="false">VLOOKUP(A583,'[1]NE red list'!A$1:H$1048576,5,FALSE())</f>
        <v>#N/A</v>
      </c>
      <c r="I583" s="2" t="s">
        <v>8645</v>
      </c>
      <c r="J583" s="2" t="s">
        <v>10629</v>
      </c>
      <c r="L583" s="2" t="s">
        <v>8836</v>
      </c>
      <c r="N583" s="2" t="str">
        <f aca="false">_xlfn.CONCAT(Q583," ",R583," ",S583)</f>
        <v>woodland parkland </v>
      </c>
      <c r="O583" s="3" t="s">
        <v>14</v>
      </c>
      <c r="P583" s="2"/>
      <c r="Q583" s="2" t="s">
        <v>16</v>
      </c>
      <c r="R583" s="2" t="s">
        <v>8568</v>
      </c>
      <c r="T583" s="2"/>
      <c r="U583" s="2" t="s">
        <v>8570</v>
      </c>
      <c r="V583" s="2" t="s">
        <v>9002</v>
      </c>
      <c r="Z583" s="2" t="s">
        <v>8614</v>
      </c>
      <c r="AA583" s="4" t="s">
        <v>26</v>
      </c>
      <c r="AF583" s="6" t="s">
        <v>8616</v>
      </c>
      <c r="AG583" s="7" t="s">
        <v>8575</v>
      </c>
      <c r="AS583" s="2"/>
      <c r="AV583" s="11"/>
      <c r="BL583" s="2" t="s">
        <v>8591</v>
      </c>
      <c r="BO583" s="2"/>
      <c r="MJM583" s="2"/>
    </row>
    <row r="584" customFormat="false" ht="19.5" hidden="false" customHeight="true" outlineLevel="0" collapsed="false">
      <c r="A584" s="2" t="s">
        <v>10630</v>
      </c>
      <c r="C584" s="2" t="str">
        <f aca="false">_xlfn.CONCAT(A584, " ","(",B584,")")</f>
        <v>Tachypeza fuscipennis ()</v>
      </c>
      <c r="D584" s="2" t="s">
        <v>8580</v>
      </c>
      <c r="E584" s="2" t="s">
        <v>8687</v>
      </c>
      <c r="F584" s="2" t="s">
        <v>9403</v>
      </c>
      <c r="G584" s="2" t="s">
        <v>8583</v>
      </c>
      <c r="H584" s="2" t="e">
        <f aca="false">VLOOKUP(A584,'[1]NE red list'!A$1:H$1048576,5,FALSE())</f>
        <v>#N/A</v>
      </c>
      <c r="I584" s="2" t="s">
        <v>8564</v>
      </c>
      <c r="J584" s="2" t="s">
        <v>10631</v>
      </c>
      <c r="L584" s="2" t="s">
        <v>8836</v>
      </c>
      <c r="N584" s="2" t="str">
        <f aca="false">_xlfn.CONCAT(Q584," ",R584," ",S584)</f>
        <v> parkland </v>
      </c>
      <c r="O584" s="3" t="s">
        <v>14</v>
      </c>
      <c r="P584" s="2"/>
      <c r="R584" s="2" t="s">
        <v>8568</v>
      </c>
      <c r="T584" s="2"/>
      <c r="U584" s="2" t="s">
        <v>8570</v>
      </c>
      <c r="V584" s="2" t="s">
        <v>10632</v>
      </c>
      <c r="W584" s="2" t="s">
        <v>8571</v>
      </c>
      <c r="AA584" s="4" t="s">
        <v>26</v>
      </c>
      <c r="AD584" s="6" t="s">
        <v>9044</v>
      </c>
      <c r="AF584" s="6" t="s">
        <v>8616</v>
      </c>
      <c r="AG584" s="7" t="s">
        <v>8575</v>
      </c>
      <c r="AI584" s="7" t="s">
        <v>8617</v>
      </c>
      <c r="AS584" s="2"/>
      <c r="AV584" s="11"/>
      <c r="BI584" s="2" t="s">
        <v>8590</v>
      </c>
      <c r="BL584" s="2" t="s">
        <v>8591</v>
      </c>
      <c r="BO584" s="2"/>
      <c r="MJM584" s="2"/>
    </row>
    <row r="585" customFormat="false" ht="19.5" hidden="false" customHeight="true" outlineLevel="0" collapsed="false">
      <c r="A585" s="2" t="s">
        <v>10633</v>
      </c>
      <c r="C585" s="2" t="str">
        <f aca="false">_xlfn.CONCAT(A585, " ","(",B585,")")</f>
        <v>Biatora vernalis ()</v>
      </c>
      <c r="D585" s="2" t="s">
        <v>8892</v>
      </c>
      <c r="E585" s="2" t="s">
        <v>8892</v>
      </c>
      <c r="F585" s="2" t="s">
        <v>8892</v>
      </c>
      <c r="H585" s="2" t="str">
        <f aca="false">VLOOKUP(A585,'[1]NE red list'!A$1:H$1048576,5,FALSE())</f>
        <v>LC</v>
      </c>
      <c r="I585" s="2" t="s">
        <v>10634</v>
      </c>
      <c r="J585" s="33" t="s">
        <v>10635</v>
      </c>
      <c r="L585" s="2" t="s">
        <v>8896</v>
      </c>
      <c r="N585" s="2" t="str">
        <f aca="false">_xlfn.CONCAT(Q585," ",R585," ",S585)</f>
        <v>woodland parkland </v>
      </c>
      <c r="O585" s="3" t="s">
        <v>14</v>
      </c>
      <c r="P585" s="2" t="s">
        <v>8567</v>
      </c>
      <c r="Q585" s="2" t="s">
        <v>16</v>
      </c>
      <c r="R585" s="2" t="s">
        <v>8568</v>
      </c>
      <c r="T585" s="2"/>
      <c r="U585" s="2" t="s">
        <v>8570</v>
      </c>
      <c r="V585" s="2" t="s">
        <v>8745</v>
      </c>
      <c r="W585" s="2" t="s">
        <v>8567</v>
      </c>
      <c r="X585" s="2" t="s">
        <v>8589</v>
      </c>
      <c r="Z585" s="2" t="s">
        <v>8694</v>
      </c>
      <c r="AN585" s="8" t="s">
        <v>10636</v>
      </c>
      <c r="AS585" s="2"/>
      <c r="AU585" s="4" t="s">
        <v>8639</v>
      </c>
      <c r="AV585" s="11"/>
      <c r="AW585" s="11" t="s">
        <v>8650</v>
      </c>
      <c r="BC585" s="2" t="s">
        <v>8899</v>
      </c>
      <c r="BJ585" s="2" t="s">
        <v>8747</v>
      </c>
      <c r="BL585" s="2" t="s">
        <v>8591</v>
      </c>
      <c r="BO585" s="2"/>
      <c r="MJM585" s="2"/>
    </row>
    <row r="586" customFormat="false" ht="19.5" hidden="false" customHeight="true" outlineLevel="0" collapsed="false">
      <c r="A586" s="2" t="s">
        <v>10637</v>
      </c>
      <c r="C586" s="2" t="str">
        <f aca="false">_xlfn.CONCAT(A586, " ","(",B586,")")</f>
        <v>Tanyptera nigricornis ()</v>
      </c>
      <c r="D586" s="2" t="s">
        <v>8580</v>
      </c>
      <c r="E586" s="2" t="s">
        <v>8687</v>
      </c>
      <c r="F586" s="2" t="s">
        <v>8933</v>
      </c>
      <c r="G586" s="2" t="s">
        <v>8662</v>
      </c>
      <c r="H586" s="2" t="e">
        <f aca="false">VLOOKUP(A586,'[1]NE red list'!A$1:H$1048576,5,FALSE())</f>
        <v>#N/A</v>
      </c>
      <c r="I586" s="2" t="s">
        <v>10638</v>
      </c>
      <c r="J586" s="2" t="s">
        <v>10639</v>
      </c>
      <c r="L586" s="2" t="s">
        <v>8836</v>
      </c>
      <c r="N586" s="2" t="str">
        <f aca="false">_xlfn.CONCAT(Q586," ",R586," ",S586)</f>
        <v>woodland parkland </v>
      </c>
      <c r="O586" s="3" t="s">
        <v>14</v>
      </c>
      <c r="P586" s="2" t="s">
        <v>8587</v>
      </c>
      <c r="Q586" s="2" t="s">
        <v>16</v>
      </c>
      <c r="R586" s="2" t="s">
        <v>8568</v>
      </c>
      <c r="T586" s="2"/>
      <c r="U586" s="2" t="s">
        <v>8570</v>
      </c>
      <c r="V586" s="2" t="s">
        <v>10640</v>
      </c>
      <c r="W586" s="2" t="s">
        <v>8571</v>
      </c>
      <c r="X586" s="2" t="s">
        <v>8625</v>
      </c>
      <c r="Z586" s="2" t="s">
        <v>8574</v>
      </c>
      <c r="AG586" s="7" t="s">
        <v>8575</v>
      </c>
      <c r="AI586" s="7" t="s">
        <v>8617</v>
      </c>
      <c r="AS586" s="2"/>
      <c r="AV586" s="11"/>
      <c r="BI586" s="2" t="s">
        <v>8590</v>
      </c>
      <c r="BL586" s="2" t="s">
        <v>8591</v>
      </c>
      <c r="BO586" s="2"/>
      <c r="MJM586" s="2"/>
    </row>
    <row r="587" customFormat="false" ht="19.5" hidden="false" customHeight="true" outlineLevel="0" collapsed="false">
      <c r="A587" s="2" t="s">
        <v>10641</v>
      </c>
      <c r="C587" s="2" t="str">
        <f aca="false">_xlfn.CONCAT(A587, " ","(",B587,")")</f>
        <v>Teredus cylindricus ()</v>
      </c>
      <c r="D587" s="2" t="s">
        <v>8580</v>
      </c>
      <c r="E587" s="2" t="s">
        <v>8581</v>
      </c>
      <c r="F587" s="2" t="s">
        <v>10642</v>
      </c>
      <c r="G587" s="2" t="s">
        <v>8662</v>
      </c>
      <c r="H587" s="2" t="e">
        <f aca="false">VLOOKUP(A587,'[1]NE red list'!A$1:H$1048576,5,FALSE())</f>
        <v>#N/A</v>
      </c>
      <c r="I587" s="2" t="s">
        <v>9223</v>
      </c>
      <c r="J587" s="2" t="s">
        <v>10643</v>
      </c>
      <c r="K587" s="2" t="s">
        <v>9562</v>
      </c>
      <c r="L587" s="2" t="s">
        <v>8665</v>
      </c>
      <c r="N587" s="2" t="str">
        <f aca="false">_xlfn.CONCAT(Q587," ",R587," ",S587)</f>
        <v>woodland parkland </v>
      </c>
      <c r="O587" s="3" t="s">
        <v>14</v>
      </c>
      <c r="P587" s="2" t="s">
        <v>8587</v>
      </c>
      <c r="Q587" s="2" t="s">
        <v>16</v>
      </c>
      <c r="R587" s="2" t="s">
        <v>8568</v>
      </c>
      <c r="T587" s="2"/>
      <c r="U587" s="2" t="s">
        <v>8570</v>
      </c>
      <c r="V587" s="2" t="s">
        <v>9896</v>
      </c>
      <c r="W587" s="2" t="s">
        <v>8567</v>
      </c>
      <c r="Z587" s="2" t="s">
        <v>8574</v>
      </c>
      <c r="AB587" s="5" t="s">
        <v>8672</v>
      </c>
      <c r="AG587" s="7" t="s">
        <v>8575</v>
      </c>
      <c r="AI587" s="7" t="s">
        <v>8617</v>
      </c>
      <c r="AJ587" s="7" t="s">
        <v>8612</v>
      </c>
      <c r="AN587" s="8" t="s">
        <v>8638</v>
      </c>
      <c r="AS587" s="2"/>
      <c r="AU587" s="4" t="s">
        <v>8639</v>
      </c>
      <c r="AV587" s="11" t="s">
        <v>8664</v>
      </c>
      <c r="BI587" s="2" t="s">
        <v>8590</v>
      </c>
      <c r="BJ587" s="2" t="s">
        <v>8601</v>
      </c>
      <c r="BL587" s="2" t="s">
        <v>8591</v>
      </c>
      <c r="BO587" s="2"/>
      <c r="MJM587" s="2"/>
    </row>
    <row r="588" customFormat="false" ht="19.5" hidden="false" customHeight="true" outlineLevel="0" collapsed="false">
      <c r="A588" s="2" t="s">
        <v>10644</v>
      </c>
      <c r="C588" s="2" t="str">
        <f aca="false">_xlfn.CONCAT(A588, " ","(",B588,")")</f>
        <v>Tetratoma ancora ()</v>
      </c>
      <c r="D588" s="2" t="s">
        <v>8580</v>
      </c>
      <c r="E588" s="2" t="s">
        <v>8581</v>
      </c>
      <c r="F588" s="2" t="s">
        <v>9683</v>
      </c>
      <c r="G588" s="2" t="s">
        <v>8633</v>
      </c>
      <c r="H588" s="2" t="str">
        <f aca="false">VLOOKUP(A588,'[1]NE red list'!A$1:H$1048576,5,FALSE())</f>
        <v>LC</v>
      </c>
      <c r="I588" s="2" t="s">
        <v>10645</v>
      </c>
      <c r="J588" s="2" t="s">
        <v>10646</v>
      </c>
      <c r="K588" s="2" t="s">
        <v>10647</v>
      </c>
      <c r="L588" s="2" t="s">
        <v>8677</v>
      </c>
      <c r="N588" s="2" t="str">
        <f aca="false">_xlfn.CONCAT(Q588," ",R588," ",S588)</f>
        <v>woodland parkland </v>
      </c>
      <c r="O588" s="3" t="s">
        <v>14</v>
      </c>
      <c r="P588" s="2" t="s">
        <v>8587</v>
      </c>
      <c r="Q588" s="2" t="s">
        <v>16</v>
      </c>
      <c r="R588" s="2" t="s">
        <v>8568</v>
      </c>
      <c r="T588" s="2"/>
      <c r="U588" s="2" t="s">
        <v>8570</v>
      </c>
      <c r="V588" s="2" t="s">
        <v>9226</v>
      </c>
      <c r="W588" s="2" t="s">
        <v>8587</v>
      </c>
      <c r="X588" s="2" t="s">
        <v>8597</v>
      </c>
      <c r="Y588" s="2" t="s">
        <v>8573</v>
      </c>
      <c r="Z588" s="2" t="s">
        <v>8574</v>
      </c>
      <c r="AG588" s="7" t="s">
        <v>8824</v>
      </c>
      <c r="AS588" s="2" t="s">
        <v>8599</v>
      </c>
      <c r="AV588" s="11"/>
      <c r="AX588" s="4" t="s">
        <v>8607</v>
      </c>
      <c r="BC588" s="2" t="s">
        <v>8600</v>
      </c>
      <c r="BD588" s="2" t="s">
        <v>8629</v>
      </c>
      <c r="BI588" s="2" t="s">
        <v>8590</v>
      </c>
      <c r="BL588" s="2" t="s">
        <v>8591</v>
      </c>
      <c r="BO588" s="2"/>
      <c r="MJM588" s="2"/>
    </row>
    <row r="589" customFormat="false" ht="19.5" hidden="false" customHeight="true" outlineLevel="0" collapsed="false">
      <c r="A589" s="1" t="s">
        <v>10648</v>
      </c>
      <c r="B589" s="2" t="s">
        <v>8992</v>
      </c>
      <c r="C589" s="2" t="str">
        <f aca="false">_xlfn.CONCAT(A589, " ","(",B589,")")</f>
        <v>Buellia hyperbolica (a lichen)</v>
      </c>
      <c r="D589" s="2" t="s">
        <v>8892</v>
      </c>
      <c r="E589" s="2" t="s">
        <v>8892</v>
      </c>
      <c r="F589" s="2" t="s">
        <v>8892</v>
      </c>
      <c r="G589" s="2" t="s">
        <v>8776</v>
      </c>
      <c r="H589" s="2" t="str">
        <f aca="false">VLOOKUP(A589,'[1]NE red list'!A$1:H$1048576,5,FALSE())</f>
        <v>VU</v>
      </c>
      <c r="I589" s="2" t="s">
        <v>10649</v>
      </c>
      <c r="J589" s="33" t="s">
        <v>10650</v>
      </c>
      <c r="L589" s="2" t="s">
        <v>8896</v>
      </c>
      <c r="N589" s="2" t="str">
        <f aca="false">_xlfn.CONCAT(Q589," ",R589," ",S589)</f>
        <v> parkland </v>
      </c>
      <c r="O589" s="3" t="s">
        <v>14</v>
      </c>
      <c r="P589" s="2"/>
      <c r="R589" s="2" t="s">
        <v>8568</v>
      </c>
      <c r="T589" s="2"/>
      <c r="U589" s="2" t="s">
        <v>8570</v>
      </c>
      <c r="V589" s="2" t="s">
        <v>8745</v>
      </c>
      <c r="W589" s="2" t="s">
        <v>8571</v>
      </c>
      <c r="X589" s="2" t="s">
        <v>8589</v>
      </c>
      <c r="Y589" s="2" t="s">
        <v>8772</v>
      </c>
      <c r="Z589" s="2" t="s">
        <v>8574</v>
      </c>
      <c r="AM589" s="4" t="s">
        <v>8657</v>
      </c>
      <c r="AN589" s="57" t="s">
        <v>8858</v>
      </c>
      <c r="AO589" s="57"/>
      <c r="AP589" s="57" t="s">
        <v>8953</v>
      </c>
      <c r="AQ589" s="57"/>
      <c r="AR589" s="57"/>
      <c r="AS589" s="2" t="s">
        <v>10651</v>
      </c>
      <c r="AT589" s="57"/>
      <c r="AV589" s="11"/>
      <c r="BA589" s="57"/>
      <c r="BB589" s="57"/>
      <c r="BC589" s="57" t="s">
        <v>8899</v>
      </c>
      <c r="BD589" s="57"/>
      <c r="BE589" s="57"/>
      <c r="BF589" s="57"/>
      <c r="BG589" s="57" t="s">
        <v>8900</v>
      </c>
      <c r="BH589" s="57"/>
      <c r="BI589" s="57"/>
      <c r="BJ589" s="57" t="s">
        <v>8747</v>
      </c>
      <c r="BK589" s="57" t="s">
        <v>8578</v>
      </c>
      <c r="BL589" s="57" t="s">
        <v>8578</v>
      </c>
      <c r="BM589" s="57"/>
      <c r="BO589" s="2"/>
      <c r="MJM589" s="2"/>
    </row>
    <row r="590" customFormat="false" ht="19.5" hidden="false" customHeight="true" outlineLevel="0" collapsed="false">
      <c r="A590" s="2" t="s">
        <v>10652</v>
      </c>
      <c r="C590" s="2" t="str">
        <f aca="false">_xlfn.CONCAT(A590, " ","(",B590,")")</f>
        <v>Tetratoma fungorum ()</v>
      </c>
      <c r="D590" s="2" t="s">
        <v>8580</v>
      </c>
      <c r="E590" s="2" t="s">
        <v>8581</v>
      </c>
      <c r="F590" s="2" t="s">
        <v>9683</v>
      </c>
      <c r="G590" s="2" t="s">
        <v>8737</v>
      </c>
      <c r="H590" s="2" t="str">
        <f aca="false">VLOOKUP(A590,'[1]NE red list'!A$1:H$1048576,5,FALSE())</f>
        <v>LC</v>
      </c>
      <c r="I590" s="2" t="s">
        <v>8645</v>
      </c>
      <c r="J590" s="2" t="s">
        <v>10653</v>
      </c>
      <c r="K590" s="2" t="s">
        <v>8585</v>
      </c>
      <c r="L590" s="2" t="s">
        <v>8677</v>
      </c>
      <c r="N590" s="2" t="str">
        <f aca="false">_xlfn.CONCAT(Q590," ",R590," ",S590)</f>
        <v>woodland parkland </v>
      </c>
      <c r="O590" s="3" t="s">
        <v>14</v>
      </c>
      <c r="P590" s="2"/>
      <c r="Q590" s="2" t="s">
        <v>16</v>
      </c>
      <c r="R590" s="2" t="s">
        <v>8568</v>
      </c>
      <c r="T590" s="2"/>
      <c r="U590" s="2" t="s">
        <v>8570</v>
      </c>
      <c r="V590" s="2" t="s">
        <v>8763</v>
      </c>
      <c r="AS590" s="2"/>
      <c r="AV590" s="11"/>
      <c r="AX590" s="4" t="s">
        <v>8585</v>
      </c>
      <c r="AY590" s="12" t="s">
        <v>8585</v>
      </c>
      <c r="BI590" s="2" t="s">
        <v>8590</v>
      </c>
      <c r="BL590" s="2" t="s">
        <v>8591</v>
      </c>
      <c r="BO590" s="2"/>
      <c r="MJM590" s="2"/>
    </row>
    <row r="591" customFormat="false" ht="19.5" hidden="false" customHeight="true" outlineLevel="0" collapsed="false">
      <c r="A591" s="1" t="s">
        <v>10654</v>
      </c>
      <c r="B591" s="2" t="s">
        <v>10655</v>
      </c>
      <c r="C591" s="2" t="str">
        <f aca="false">_xlfn.CONCAT(A591, " ","(",B591,")")</f>
        <v>Tetrops praeustus (Plum Beetle)</v>
      </c>
      <c r="D591" s="2" t="s">
        <v>8580</v>
      </c>
      <c r="E591" s="2" t="s">
        <v>8581</v>
      </c>
      <c r="F591" s="2" t="s">
        <v>8787</v>
      </c>
      <c r="G591" s="2" t="s">
        <v>8737</v>
      </c>
      <c r="H591" s="2" t="str">
        <f aca="false">VLOOKUP(A591,'[1]NE red list'!A$1:H$1048576,5,FALSE())</f>
        <v>LC</v>
      </c>
      <c r="I591" s="2" t="s">
        <v>8645</v>
      </c>
      <c r="J591" s="2" t="s">
        <v>10656</v>
      </c>
      <c r="L591" s="2" t="s">
        <v>8836</v>
      </c>
      <c r="N591" s="2" t="str">
        <f aca="false">_xlfn.CONCAT(Q591," ",R591," ",S591)</f>
        <v>  ToW</v>
      </c>
      <c r="O591" s="2" t="s">
        <v>14</v>
      </c>
      <c r="P591" s="2"/>
      <c r="S591" s="2" t="s">
        <v>18</v>
      </c>
      <c r="T591" s="2"/>
      <c r="U591" s="2" t="s">
        <v>8570</v>
      </c>
      <c r="V591" s="2" t="s">
        <v>10657</v>
      </c>
      <c r="X591" s="2" t="s">
        <v>8597</v>
      </c>
      <c r="Z591" s="2" t="s">
        <v>8574</v>
      </c>
      <c r="AG591" s="7" t="s">
        <v>8824</v>
      </c>
      <c r="AS591" s="2" t="s">
        <v>8599</v>
      </c>
      <c r="AV591" s="11"/>
      <c r="BB591" s="2" t="s">
        <v>8618</v>
      </c>
      <c r="BI591" s="2" t="s">
        <v>8590</v>
      </c>
      <c r="BL591" s="2" t="s">
        <v>8591</v>
      </c>
      <c r="BO591" s="2"/>
      <c r="MJM591" s="2"/>
    </row>
    <row r="592" customFormat="false" ht="19.5" hidden="false" customHeight="true" outlineLevel="0" collapsed="false">
      <c r="A592" s="2" t="s">
        <v>10658</v>
      </c>
      <c r="C592" s="2" t="str">
        <f aca="false">_xlfn.CONCAT(A592, " ","(",B592,")")</f>
        <v>Tetrops starkii ()</v>
      </c>
      <c r="D592" s="2" t="s">
        <v>8580</v>
      </c>
      <c r="E592" s="2" t="s">
        <v>8581</v>
      </c>
      <c r="F592" s="2" t="s">
        <v>8787</v>
      </c>
      <c r="G592" s="2" t="s">
        <v>8662</v>
      </c>
      <c r="H592" s="2" t="e">
        <f aca="false">VLOOKUP(A592,'[1]NE red list'!A$1:H$1048576,5,FALSE())</f>
        <v>#N/A</v>
      </c>
      <c r="I592" s="2" t="s">
        <v>8610</v>
      </c>
      <c r="J592" s="2" t="s">
        <v>10659</v>
      </c>
      <c r="L592" s="2" t="s">
        <v>10660</v>
      </c>
      <c r="N592" s="2" t="str">
        <f aca="false">_xlfn.CONCAT(Q592," ",R592," ",S592)</f>
        <v>woodland parkland </v>
      </c>
      <c r="O592" s="3" t="s">
        <v>14</v>
      </c>
      <c r="P592" s="2"/>
      <c r="Q592" s="2" t="s">
        <v>16</v>
      </c>
      <c r="R592" s="2" t="s">
        <v>8568</v>
      </c>
      <c r="T592" s="2"/>
      <c r="U592" s="2" t="s">
        <v>8570</v>
      </c>
      <c r="V592" s="2" t="s">
        <v>8897</v>
      </c>
      <c r="X592" s="2" t="s">
        <v>8597</v>
      </c>
      <c r="Z592" s="2" t="s">
        <v>8694</v>
      </c>
      <c r="AG592" s="7" t="s">
        <v>8824</v>
      </c>
      <c r="AN592" s="8" t="s">
        <v>8829</v>
      </c>
      <c r="AS592" s="2" t="s">
        <v>8599</v>
      </c>
      <c r="AV592" s="11"/>
      <c r="BB592" s="2" t="s">
        <v>8618</v>
      </c>
      <c r="BI592" s="2" t="s">
        <v>8590</v>
      </c>
      <c r="BL592" s="2" t="s">
        <v>8591</v>
      </c>
      <c r="BO592" s="2"/>
      <c r="MJM592" s="2"/>
    </row>
    <row r="593" customFormat="false" ht="19.5" hidden="false" customHeight="true" outlineLevel="0" collapsed="false">
      <c r="A593" s="1" t="s">
        <v>10661</v>
      </c>
      <c r="B593" s="2" t="s">
        <v>8992</v>
      </c>
      <c r="C593" s="2" t="str">
        <f aca="false">_xlfn.CONCAT(A593, " ","(",B593,")")</f>
        <v>Buellia violaceofusca (a lichen)</v>
      </c>
      <c r="D593" s="2" t="s">
        <v>8892</v>
      </c>
      <c r="E593" s="2" t="s">
        <v>8892</v>
      </c>
      <c r="F593" s="2" t="s">
        <v>8892</v>
      </c>
      <c r="G593" s="2" t="s">
        <v>8776</v>
      </c>
      <c r="H593" s="2" t="str">
        <f aca="false">VLOOKUP(A593,'[1]NE red list'!A$1:H$1048576,5,FALSE())</f>
        <v>NT</v>
      </c>
      <c r="I593" s="2" t="s">
        <v>10662</v>
      </c>
      <c r="J593" s="33" t="s">
        <v>10663</v>
      </c>
      <c r="K593" s="2" t="s">
        <v>8858</v>
      </c>
      <c r="L593" s="2" t="s">
        <v>8896</v>
      </c>
      <c r="N593" s="2" t="str">
        <f aca="false">_xlfn.CONCAT(Q593," ",R593," ",S593)</f>
        <v> parkland </v>
      </c>
      <c r="O593" s="3" t="s">
        <v>14</v>
      </c>
      <c r="P593" s="2" t="s">
        <v>8567</v>
      </c>
      <c r="R593" s="2" t="s">
        <v>8568</v>
      </c>
      <c r="T593" s="2"/>
      <c r="U593" s="2" t="s">
        <v>8570</v>
      </c>
      <c r="V593" s="2" t="s">
        <v>8745</v>
      </c>
      <c r="W593" s="2" t="s">
        <v>8567</v>
      </c>
      <c r="X593" s="2" t="s">
        <v>8589</v>
      </c>
      <c r="Z593" s="2" t="s">
        <v>8694</v>
      </c>
      <c r="AM593" s="4" t="s">
        <v>8657</v>
      </c>
      <c r="AN593" s="8" t="s">
        <v>10664</v>
      </c>
      <c r="AQ593" s="8" t="s">
        <v>42</v>
      </c>
      <c r="AR593" s="8" t="s">
        <v>10665</v>
      </c>
      <c r="AS593" s="2"/>
      <c r="AV593" s="11"/>
      <c r="BC593" s="2" t="s">
        <v>8899</v>
      </c>
      <c r="BD593" s="2" t="s">
        <v>8629</v>
      </c>
      <c r="BG593" s="2" t="s">
        <v>8900</v>
      </c>
      <c r="BJ593" s="2" t="s">
        <v>8747</v>
      </c>
      <c r="BK593" s="2" t="s">
        <v>8578</v>
      </c>
      <c r="BL593" s="2" t="s">
        <v>8578</v>
      </c>
      <c r="BO593" s="2"/>
      <c r="MJM593" s="2"/>
    </row>
    <row r="594" customFormat="false" ht="19.5" hidden="false" customHeight="true" outlineLevel="0" collapsed="false">
      <c r="A594" s="1" t="s">
        <v>10666</v>
      </c>
      <c r="B594" s="2" t="s">
        <v>8992</v>
      </c>
      <c r="C594" s="2" t="str">
        <f aca="false">_xlfn.CONCAT(A594, " ","(",B594,")")</f>
        <v>Caloplaca lucifuga (a lichen)</v>
      </c>
      <c r="D594" s="2" t="s">
        <v>8892</v>
      </c>
      <c r="E594" s="2" t="s">
        <v>8892</v>
      </c>
      <c r="F594" s="2" t="s">
        <v>8892</v>
      </c>
      <c r="G594" s="2" t="s">
        <v>8776</v>
      </c>
      <c r="H594" s="2" t="str">
        <f aca="false">VLOOKUP(A594,'[1]NE red list'!A$1:H$1048576,5,FALSE())</f>
        <v>VU</v>
      </c>
      <c r="I594" s="2" t="s">
        <v>9910</v>
      </c>
      <c r="J594" s="33" t="s">
        <v>10667</v>
      </c>
      <c r="K594" s="2" t="s">
        <v>8858</v>
      </c>
      <c r="L594" s="2" t="s">
        <v>8896</v>
      </c>
      <c r="N594" s="2" t="str">
        <f aca="false">_xlfn.CONCAT(Q594," ",R594," ",S594)</f>
        <v> parkland </v>
      </c>
      <c r="O594" s="3" t="s">
        <v>14</v>
      </c>
      <c r="P594" s="2"/>
      <c r="R594" s="2" t="s">
        <v>8568</v>
      </c>
      <c r="T594" s="2"/>
      <c r="U594" s="2" t="s">
        <v>8570</v>
      </c>
      <c r="V594" s="2" t="s">
        <v>8745</v>
      </c>
      <c r="W594" s="2" t="s">
        <v>8567</v>
      </c>
      <c r="X594" s="2" t="s">
        <v>8589</v>
      </c>
      <c r="AM594" s="4" t="s">
        <v>8657</v>
      </c>
      <c r="AN594" s="8" t="s">
        <v>9150</v>
      </c>
      <c r="AQ594" s="8" t="s">
        <v>42</v>
      </c>
      <c r="AR594" s="8" t="s">
        <v>43</v>
      </c>
      <c r="AS594" s="2"/>
      <c r="AV594" s="11"/>
      <c r="BC594" s="2" t="s">
        <v>8899</v>
      </c>
      <c r="BJ594" s="2" t="s">
        <v>8747</v>
      </c>
      <c r="BK594" s="2" t="s">
        <v>8578</v>
      </c>
      <c r="BL594" s="2" t="s">
        <v>8578</v>
      </c>
      <c r="BO594" s="2"/>
      <c r="MJM594" s="2"/>
    </row>
    <row r="595" customFormat="false" ht="19.5" hidden="false" customHeight="true" outlineLevel="0" collapsed="false">
      <c r="A595" s="1" t="s">
        <v>10668</v>
      </c>
      <c r="B595" s="2" t="s">
        <v>10669</v>
      </c>
      <c r="C595" s="2" t="str">
        <f aca="false">_xlfn.CONCAT(A595, " ","(",B595,")")</f>
        <v>Thanasimus formicarius (Ant Beetle)</v>
      </c>
      <c r="D595" s="2" t="s">
        <v>8580</v>
      </c>
      <c r="E595" s="2" t="s">
        <v>8581</v>
      </c>
      <c r="F595" s="2" t="s">
        <v>9560</v>
      </c>
      <c r="H595" s="2" t="str">
        <f aca="false">VLOOKUP(A595,'[1]NE red list'!A$1:H$1048576,5,FALSE())</f>
        <v>LC</v>
      </c>
      <c r="I595" s="2" t="s">
        <v>9298</v>
      </c>
      <c r="J595" s="2" t="s">
        <v>10670</v>
      </c>
      <c r="L595" s="2" t="s">
        <v>8665</v>
      </c>
      <c r="N595" s="2" t="str">
        <f aca="false">_xlfn.CONCAT(Q595," ",R595," ",S595)</f>
        <v>woodland parkland </v>
      </c>
      <c r="O595" s="3" t="s">
        <v>14</v>
      </c>
      <c r="P595" s="2"/>
      <c r="Q595" s="2" t="s">
        <v>16</v>
      </c>
      <c r="R595" s="2" t="s">
        <v>8568</v>
      </c>
      <c r="T595" s="2"/>
      <c r="U595" s="2" t="s">
        <v>8605</v>
      </c>
      <c r="V595" s="2" t="s">
        <v>10671</v>
      </c>
      <c r="X595" s="2" t="s">
        <v>8625</v>
      </c>
      <c r="Z595" s="2" t="s">
        <v>8574</v>
      </c>
      <c r="AB595" s="5" t="s">
        <v>8672</v>
      </c>
      <c r="AG595" s="7" t="s">
        <v>8824</v>
      </c>
      <c r="AS595" s="2"/>
      <c r="AV595" s="11"/>
      <c r="BI595" s="2" t="s">
        <v>8590</v>
      </c>
      <c r="BL595" s="2" t="s">
        <v>8591</v>
      </c>
      <c r="BO595" s="2"/>
      <c r="MJM595" s="2"/>
    </row>
    <row r="596" customFormat="false" ht="19.5" hidden="false" customHeight="true" outlineLevel="0" collapsed="false">
      <c r="A596" s="1" t="s">
        <v>10672</v>
      </c>
      <c r="B596" s="2" t="s">
        <v>10673</v>
      </c>
      <c r="C596" s="2" t="str">
        <f aca="false">_xlfn.CONCAT(A596, " ","(",B596,")")</f>
        <v>Thereva nobilitata (Common Stiletto. )</v>
      </c>
      <c r="D596" s="2" t="s">
        <v>8580</v>
      </c>
      <c r="E596" s="2" t="s">
        <v>8687</v>
      </c>
      <c r="F596" s="2" t="s">
        <v>10208</v>
      </c>
      <c r="G596" s="2" t="s">
        <v>8731</v>
      </c>
      <c r="H596" s="2" t="str">
        <f aca="false">VLOOKUP(A596,'[1]NE red list'!A$1:H$1048576,5,FALSE())</f>
        <v>LC</v>
      </c>
      <c r="I596" s="2" t="s">
        <v>8645</v>
      </c>
      <c r="J596" s="2" t="s">
        <v>10674</v>
      </c>
      <c r="L596" s="2" t="s">
        <v>8665</v>
      </c>
      <c r="N596" s="2" t="str">
        <f aca="false">_xlfn.CONCAT(Q596," ",R596," ",S596)</f>
        <v>woodland parkland </v>
      </c>
      <c r="O596" s="3" t="s">
        <v>14</v>
      </c>
      <c r="P596" s="2" t="s">
        <v>8587</v>
      </c>
      <c r="Q596" s="2" t="s">
        <v>16</v>
      </c>
      <c r="R596" s="2" t="s">
        <v>8568</v>
      </c>
      <c r="T596" s="2"/>
      <c r="U596" s="2" t="s">
        <v>8570</v>
      </c>
      <c r="W596" s="2" t="s">
        <v>8571</v>
      </c>
      <c r="X596" s="2" t="s">
        <v>8589</v>
      </c>
      <c r="Z596" s="2" t="s">
        <v>8614</v>
      </c>
      <c r="AG596" s="7" t="s">
        <v>8575</v>
      </c>
      <c r="AI596" s="7" t="s">
        <v>8617</v>
      </c>
      <c r="AL596" s="7" t="s">
        <v>8628</v>
      </c>
      <c r="AS596" s="2"/>
      <c r="AV596" s="11"/>
      <c r="BL596" s="2" t="s">
        <v>8591</v>
      </c>
      <c r="BO596" s="2"/>
      <c r="MJM596" s="2"/>
    </row>
    <row r="597" customFormat="false" ht="19.5" hidden="false" customHeight="true" outlineLevel="0" collapsed="false">
      <c r="A597" s="2" t="s">
        <v>10675</v>
      </c>
      <c r="C597" s="2" t="str">
        <f aca="false">_xlfn.CONCAT(A597, " ","(",B597,")")</f>
        <v>Lecanographa amylacea ()</v>
      </c>
      <c r="D597" s="2" t="s">
        <v>8892</v>
      </c>
      <c r="E597" s="2" t="s">
        <v>8892</v>
      </c>
      <c r="F597" s="2" t="s">
        <v>8892</v>
      </c>
      <c r="G597" s="2" t="s">
        <v>8776</v>
      </c>
      <c r="H597" s="2" t="str">
        <f aca="false">VLOOKUP(A597,'[1]NE red list'!A$1:H$1048576,5,FALSE())</f>
        <v>VU</v>
      </c>
      <c r="I597" s="2" t="s">
        <v>10676</v>
      </c>
      <c r="J597" s="2" t="s">
        <v>10677</v>
      </c>
      <c r="K597" s="2" t="s">
        <v>8858</v>
      </c>
      <c r="L597" s="2" t="s">
        <v>8896</v>
      </c>
      <c r="N597" s="2" t="str">
        <f aca="false">_xlfn.CONCAT(Q597," ",R597," ",S597)</f>
        <v> parkland </v>
      </c>
      <c r="O597" s="3" t="s">
        <v>14</v>
      </c>
      <c r="P597" s="2" t="s">
        <v>8587</v>
      </c>
      <c r="R597" s="2" t="s">
        <v>8568</v>
      </c>
      <c r="T597" s="2"/>
      <c r="U597" s="2" t="s">
        <v>8570</v>
      </c>
      <c r="V597" s="2" t="s">
        <v>8745</v>
      </c>
      <c r="W597" s="2" t="s">
        <v>8587</v>
      </c>
      <c r="X597" s="2" t="s">
        <v>9009</v>
      </c>
      <c r="Z597" s="2" t="s">
        <v>8694</v>
      </c>
      <c r="AA597" s="4" t="s">
        <v>26</v>
      </c>
      <c r="AC597" s="6" t="s">
        <v>30</v>
      </c>
      <c r="AN597" s="8" t="s">
        <v>8858</v>
      </c>
      <c r="AS597" s="2"/>
      <c r="AV597" s="11"/>
      <c r="BD597" s="2" t="s">
        <v>8793</v>
      </c>
      <c r="BJ597" s="2" t="s">
        <v>8747</v>
      </c>
      <c r="BK597" s="2" t="s">
        <v>8578</v>
      </c>
      <c r="BL597" s="2" t="s">
        <v>8578</v>
      </c>
      <c r="BO597" s="2"/>
      <c r="MJM597" s="2"/>
    </row>
    <row r="598" customFormat="false" ht="19.5" hidden="false" customHeight="true" outlineLevel="0" collapsed="false">
      <c r="A598" s="1" t="s">
        <v>10678</v>
      </c>
      <c r="C598" s="2" t="str">
        <f aca="false">_xlfn.CONCAT(A598, " ","(",B598,")")</f>
        <v>Thyreosthenius parasiticus ()</v>
      </c>
      <c r="D598" s="2" t="s">
        <v>8728</v>
      </c>
      <c r="E598" s="34" t="s">
        <v>8729</v>
      </c>
      <c r="F598" s="75" t="s">
        <v>9809</v>
      </c>
      <c r="G598" s="2" t="s">
        <v>8841</v>
      </c>
      <c r="H598" s="2" t="str">
        <f aca="false">VLOOKUP(A598,'[1]NE red list'!A$1:H$1048576,5,FALSE())</f>
        <v>LC</v>
      </c>
      <c r="I598" s="2" t="s">
        <v>8645</v>
      </c>
      <c r="J598" s="2" t="s">
        <v>10679</v>
      </c>
      <c r="K598" s="2" t="s">
        <v>10680</v>
      </c>
      <c r="L598" s="2" t="s">
        <v>8665</v>
      </c>
      <c r="N598" s="2" t="str">
        <f aca="false">_xlfn.CONCAT(Q598," ",R598," ",S598)</f>
        <v> parkland </v>
      </c>
      <c r="O598" s="3" t="s">
        <v>14</v>
      </c>
      <c r="P598" s="2"/>
      <c r="R598" s="2" t="s">
        <v>8568</v>
      </c>
      <c r="T598" s="2"/>
      <c r="U598" s="2" t="s">
        <v>8570</v>
      </c>
      <c r="V598" s="2" t="s">
        <v>10681</v>
      </c>
      <c r="W598" s="2" t="s">
        <v>8571</v>
      </c>
      <c r="X598" s="2" t="s">
        <v>8589</v>
      </c>
      <c r="Z598" s="2" t="s">
        <v>8598</v>
      </c>
      <c r="AA598" s="4" t="s">
        <v>26</v>
      </c>
      <c r="AC598" s="55" t="s">
        <v>8666</v>
      </c>
      <c r="AD598" s="6" t="s">
        <v>8615</v>
      </c>
      <c r="AF598" s="6" t="s">
        <v>8616</v>
      </c>
      <c r="AG598" s="7" t="s">
        <v>8575</v>
      </c>
      <c r="AI598" s="7" t="s">
        <v>8617</v>
      </c>
      <c r="AL598" s="7" t="s">
        <v>8785</v>
      </c>
      <c r="AM598" s="4" t="s">
        <v>8657</v>
      </c>
      <c r="AQ598" s="8" t="s">
        <v>42</v>
      </c>
      <c r="AR598" s="8" t="s">
        <v>43</v>
      </c>
      <c r="AS598" s="2"/>
      <c r="AU598" s="4" t="s">
        <v>8639</v>
      </c>
      <c r="BC598" s="2" t="s">
        <v>9986</v>
      </c>
      <c r="BD598" s="2" t="s">
        <v>8577</v>
      </c>
      <c r="BI598" s="2" t="s">
        <v>8590</v>
      </c>
      <c r="BL598" s="2" t="s">
        <v>8591</v>
      </c>
      <c r="BO598" s="2"/>
      <c r="MJM598" s="2"/>
    </row>
    <row r="599" customFormat="false" ht="19.5" hidden="false" customHeight="true" outlineLevel="0" collapsed="false">
      <c r="A599" s="2" t="s">
        <v>10682</v>
      </c>
      <c r="C599" s="2" t="str">
        <f aca="false">_xlfn.CONCAT(A599, " ","(",B599,")")</f>
        <v>Ptenidium turgidum ()</v>
      </c>
      <c r="D599" s="2" t="s">
        <v>8580</v>
      </c>
      <c r="E599" s="2" t="s">
        <v>8581</v>
      </c>
      <c r="F599" s="30" t="s">
        <v>9535</v>
      </c>
      <c r="G599" s="2" t="s">
        <v>8662</v>
      </c>
      <c r="H599" s="2" t="e">
        <f aca="false">VLOOKUP(A599,'[1]NE red list'!A$1:H$1048576,5,FALSE())</f>
        <v>#N/A</v>
      </c>
      <c r="I599" s="2" t="s">
        <v>8564</v>
      </c>
      <c r="J599" s="2" t="s">
        <v>10683</v>
      </c>
      <c r="L599" s="2" t="s">
        <v>8677</v>
      </c>
      <c r="N599" s="2" t="str">
        <f aca="false">_xlfn.CONCAT(Q599," ",R599," ",S599)</f>
        <v> parkland </v>
      </c>
      <c r="O599" s="3" t="s">
        <v>14</v>
      </c>
      <c r="P599" s="2"/>
      <c r="R599" s="2" t="s">
        <v>8568</v>
      </c>
      <c r="T599" s="2"/>
      <c r="U599" s="2" t="s">
        <v>8570</v>
      </c>
      <c r="V599" s="2" t="s">
        <v>8779</v>
      </c>
      <c r="W599" s="2" t="s">
        <v>8571</v>
      </c>
      <c r="X599" s="2" t="s">
        <v>8589</v>
      </c>
      <c r="Z599" s="2" t="s">
        <v>8614</v>
      </c>
      <c r="AA599" s="4" t="s">
        <v>26</v>
      </c>
      <c r="AD599" s="6" t="s">
        <v>9044</v>
      </c>
      <c r="AF599" s="6" t="s">
        <v>8616</v>
      </c>
      <c r="AG599" s="7" t="s">
        <v>8575</v>
      </c>
      <c r="AI599" s="7" t="s">
        <v>8617</v>
      </c>
      <c r="AK599" s="7" t="s">
        <v>8627</v>
      </c>
      <c r="AL599" s="7" t="s">
        <v>8785</v>
      </c>
      <c r="AS599" s="2"/>
      <c r="AU599" s="4" t="s">
        <v>8639</v>
      </c>
      <c r="AV599" s="10" t="s">
        <v>8664</v>
      </c>
      <c r="BD599" s="2" t="s">
        <v>8629</v>
      </c>
      <c r="BI599" s="2" t="s">
        <v>8590</v>
      </c>
      <c r="BJ599" s="2" t="s">
        <v>8630</v>
      </c>
      <c r="BL599" s="2" t="s">
        <v>8591</v>
      </c>
      <c r="BM599" s="2" t="s">
        <v>8619</v>
      </c>
      <c r="BO599" s="2"/>
      <c r="MJM599" s="2"/>
    </row>
    <row r="600" customFormat="false" ht="19.5" hidden="false" customHeight="true" outlineLevel="0" collapsed="false">
      <c r="A600" s="2" t="s">
        <v>10684</v>
      </c>
      <c r="C600" s="2" t="str">
        <f aca="false">_xlfn.CONCAT(A600, " ","(",B600,")")</f>
        <v>Tipula flavolineata ()</v>
      </c>
      <c r="D600" s="2" t="s">
        <v>8580</v>
      </c>
      <c r="E600" s="2" t="s">
        <v>8687</v>
      </c>
      <c r="F600" s="2" t="s">
        <v>8933</v>
      </c>
      <c r="G600" s="2" t="s">
        <v>8731</v>
      </c>
      <c r="H600" s="2" t="e">
        <f aca="false">VLOOKUP(A600,'[1]NE red list'!A$1:H$1048576,5,FALSE())</f>
        <v>#N/A</v>
      </c>
      <c r="I600" s="2" t="s">
        <v>8645</v>
      </c>
      <c r="J600" s="2" t="s">
        <v>10685</v>
      </c>
      <c r="L600" s="2" t="s">
        <v>8836</v>
      </c>
      <c r="N600" s="2" t="str">
        <f aca="false">_xlfn.CONCAT(Q600," ",R600," ",S600)</f>
        <v> parkland </v>
      </c>
      <c r="O600" s="3" t="s">
        <v>14</v>
      </c>
      <c r="P600" s="2"/>
      <c r="R600" s="2" t="s">
        <v>8568</v>
      </c>
      <c r="T600" s="2"/>
      <c r="U600" s="2" t="s">
        <v>8570</v>
      </c>
      <c r="V600" s="2" t="s">
        <v>10686</v>
      </c>
      <c r="W600" s="2" t="s">
        <v>8571</v>
      </c>
      <c r="X600" s="2" t="s">
        <v>8625</v>
      </c>
      <c r="Z600" s="2" t="s">
        <v>8574</v>
      </c>
      <c r="AA600" s="4" t="s">
        <v>26</v>
      </c>
      <c r="AD600" s="6" t="s">
        <v>8615</v>
      </c>
      <c r="AF600" s="6" t="s">
        <v>8616</v>
      </c>
      <c r="AG600" s="7" t="s">
        <v>8575</v>
      </c>
      <c r="AI600" s="7" t="s">
        <v>8617</v>
      </c>
      <c r="AK600" s="7" t="s">
        <v>8627</v>
      </c>
      <c r="AM600" s="4" t="s">
        <v>8657</v>
      </c>
      <c r="AN600" s="8" t="s">
        <v>8734</v>
      </c>
      <c r="AO600" s="8" t="s">
        <v>40</v>
      </c>
      <c r="AQ600" s="8" t="s">
        <v>42</v>
      </c>
      <c r="AS600" s="2"/>
      <c r="AV600" s="11"/>
      <c r="BI600" s="2" t="s">
        <v>8590</v>
      </c>
      <c r="BL600" s="2" t="s">
        <v>8591</v>
      </c>
      <c r="BO600" s="2"/>
      <c r="MJM600" s="2"/>
    </row>
    <row r="601" customFormat="false" ht="19.5" hidden="false" customHeight="true" outlineLevel="0" collapsed="false">
      <c r="A601" s="2" t="s">
        <v>10687</v>
      </c>
      <c r="C601" s="2" t="str">
        <f aca="false">_xlfn.CONCAT(A601, " ","(",B601,")")</f>
        <v>Tipula irrorata ()</v>
      </c>
      <c r="D601" s="2" t="s">
        <v>8580</v>
      </c>
      <c r="E601" s="2" t="s">
        <v>8687</v>
      </c>
      <c r="F601" s="2" t="s">
        <v>8933</v>
      </c>
      <c r="G601" s="2" t="s">
        <v>8737</v>
      </c>
      <c r="H601" s="2" t="e">
        <f aca="false">VLOOKUP(A601,'[1]NE red list'!A$1:H$1048576,5,FALSE())</f>
        <v>#N/A</v>
      </c>
      <c r="I601" s="2" t="s">
        <v>8645</v>
      </c>
      <c r="J601" s="2" t="s">
        <v>10688</v>
      </c>
      <c r="L601" s="2" t="s">
        <v>8836</v>
      </c>
      <c r="N601" s="2" t="str">
        <f aca="false">_xlfn.CONCAT(Q601," ",R601," ",S601)</f>
        <v> parkland </v>
      </c>
      <c r="O601" s="3" t="s">
        <v>14</v>
      </c>
      <c r="P601" s="2"/>
      <c r="R601" s="2" t="s">
        <v>8568</v>
      </c>
      <c r="T601" s="2"/>
      <c r="U601" s="2" t="s">
        <v>8570</v>
      </c>
      <c r="W601" s="2" t="s">
        <v>8571</v>
      </c>
      <c r="X601" s="2" t="s">
        <v>8625</v>
      </c>
      <c r="Z601" s="2" t="s">
        <v>8614</v>
      </c>
      <c r="AA601" s="4" t="s">
        <v>26</v>
      </c>
      <c r="AD601" s="6" t="s">
        <v>9044</v>
      </c>
      <c r="AF601" s="6" t="s">
        <v>9045</v>
      </c>
      <c r="AG601" s="7" t="s">
        <v>8575</v>
      </c>
      <c r="AI601" s="7" t="s">
        <v>8617</v>
      </c>
      <c r="AM601" s="4" t="s">
        <v>8657</v>
      </c>
      <c r="AN601" s="8" t="s">
        <v>8734</v>
      </c>
      <c r="AO601" s="8" t="s">
        <v>40</v>
      </c>
      <c r="AQ601" s="8" t="s">
        <v>42</v>
      </c>
      <c r="AS601" s="2"/>
      <c r="AV601" s="11"/>
      <c r="BI601" s="2" t="s">
        <v>8590</v>
      </c>
      <c r="BL601" s="2" t="s">
        <v>8591</v>
      </c>
      <c r="BO601" s="2"/>
      <c r="MJM601" s="2"/>
    </row>
    <row r="602" customFormat="false" ht="19.5" hidden="false" customHeight="true" outlineLevel="0" collapsed="false">
      <c r="A602" s="2" t="s">
        <v>10689</v>
      </c>
      <c r="C602" s="2" t="str">
        <f aca="false">_xlfn.CONCAT(A602, " ","(",B602,")")</f>
        <v>Tipula peliostigma ()</v>
      </c>
      <c r="D602" s="2" t="s">
        <v>8580</v>
      </c>
      <c r="E602" s="2" t="s">
        <v>8687</v>
      </c>
      <c r="F602" s="2" t="s">
        <v>8933</v>
      </c>
      <c r="G602" s="2" t="s">
        <v>8583</v>
      </c>
      <c r="H602" s="2" t="e">
        <f aca="false">VLOOKUP(A602,'[1]NE red list'!A$1:H$1048576,5,FALSE())</f>
        <v>#N/A</v>
      </c>
      <c r="I602" s="2" t="s">
        <v>9235</v>
      </c>
      <c r="J602" s="2" t="s">
        <v>10690</v>
      </c>
      <c r="L602" s="2" t="s">
        <v>8836</v>
      </c>
      <c r="N602" s="2" t="str">
        <f aca="false">_xlfn.CONCAT(Q602," ",R602," ",S602)</f>
        <v>  ToW</v>
      </c>
      <c r="O602" s="2" t="s">
        <v>14</v>
      </c>
      <c r="P602" s="2" t="s">
        <v>8587</v>
      </c>
      <c r="S602" s="2" t="s">
        <v>18</v>
      </c>
      <c r="T602" s="2"/>
      <c r="U602" s="2" t="s">
        <v>8570</v>
      </c>
      <c r="W602" s="2" t="s">
        <v>8567</v>
      </c>
      <c r="Z602" s="2" t="s">
        <v>8614</v>
      </c>
      <c r="AC602" s="55"/>
      <c r="AG602" s="7" t="s">
        <v>8575</v>
      </c>
      <c r="AN602" s="8" t="s">
        <v>8638</v>
      </c>
      <c r="AS602" s="2"/>
      <c r="AU602" s="4" t="s">
        <v>8639</v>
      </c>
      <c r="AV602" s="10" t="s">
        <v>8659</v>
      </c>
      <c r="BI602" s="2" t="s">
        <v>8590</v>
      </c>
      <c r="BL602" s="2" t="s">
        <v>8591</v>
      </c>
      <c r="BO602" s="2"/>
      <c r="MJM602" s="2"/>
    </row>
    <row r="603" customFormat="false" ht="19.5" hidden="false" customHeight="true" outlineLevel="0" collapsed="false">
      <c r="A603" s="2" t="s">
        <v>10691</v>
      </c>
      <c r="C603" s="2" t="str">
        <f aca="false">_xlfn.CONCAT(A603, " ","(",B603,")")</f>
        <v>Tipula selene ()</v>
      </c>
      <c r="D603" s="2" t="s">
        <v>8580</v>
      </c>
      <c r="E603" s="2" t="s">
        <v>8687</v>
      </c>
      <c r="F603" s="2" t="s">
        <v>8933</v>
      </c>
      <c r="G603" s="2" t="s">
        <v>8662</v>
      </c>
      <c r="H603" s="2" t="e">
        <f aca="false">VLOOKUP(A603,'[1]NE red list'!A$1:H$1048576,5,FALSE())</f>
        <v>#N/A</v>
      </c>
      <c r="I603" s="2" t="s">
        <v>8979</v>
      </c>
      <c r="J603" s="2" t="s">
        <v>10692</v>
      </c>
      <c r="L603" s="2" t="s">
        <v>8836</v>
      </c>
      <c r="N603" s="2" t="str">
        <f aca="false">_xlfn.CONCAT(Q603," ",R603," ",S603)</f>
        <v>woodland parkland </v>
      </c>
      <c r="O603" s="3" t="s">
        <v>14</v>
      </c>
      <c r="P603" s="2"/>
      <c r="Q603" s="2" t="s">
        <v>16</v>
      </c>
      <c r="R603" s="2" t="s">
        <v>8568</v>
      </c>
      <c r="T603" s="2"/>
      <c r="U603" s="2" t="s">
        <v>8570</v>
      </c>
      <c r="V603" s="2" t="s">
        <v>9002</v>
      </c>
      <c r="X603" s="2" t="s">
        <v>8625</v>
      </c>
      <c r="Z603" s="2" t="s">
        <v>8574</v>
      </c>
      <c r="AC603" s="55"/>
      <c r="AG603" s="7" t="s">
        <v>8824</v>
      </c>
      <c r="AS603" s="2"/>
      <c r="AU603" s="4" t="s">
        <v>8639</v>
      </c>
      <c r="AV603" s="10" t="s">
        <v>8659</v>
      </c>
      <c r="BI603" s="2" t="s">
        <v>8590</v>
      </c>
      <c r="BL603" s="2" t="s">
        <v>8591</v>
      </c>
      <c r="BO603" s="2"/>
      <c r="MJM603" s="2"/>
    </row>
    <row r="604" customFormat="false" ht="19.5" hidden="false" customHeight="true" outlineLevel="0" collapsed="false">
      <c r="A604" s="2" t="s">
        <v>10693</v>
      </c>
      <c r="C604" s="2" t="str">
        <f aca="false">_xlfn.CONCAT(A604, " ","(",B604,")")</f>
        <v>Tomoxia bucephala ()</v>
      </c>
      <c r="D604" s="2" t="s">
        <v>8580</v>
      </c>
      <c r="E604" s="2" t="s">
        <v>8581</v>
      </c>
      <c r="F604" s="3" t="s">
        <v>10694</v>
      </c>
      <c r="G604" s="2" t="s">
        <v>8583</v>
      </c>
      <c r="H604" s="2" t="str">
        <f aca="false">VLOOKUP(A604,'[1]NE red list'!A$1:H$1048576,5,FALSE())</f>
        <v>LC</v>
      </c>
      <c r="I604" s="2" t="s">
        <v>8714</v>
      </c>
      <c r="J604" s="2" t="s">
        <v>10695</v>
      </c>
      <c r="L604" s="2" t="s">
        <v>8770</v>
      </c>
      <c r="N604" s="2" t="str">
        <f aca="false">_xlfn.CONCAT(Q604," ",R604," ",S604)</f>
        <v>woodland parkland </v>
      </c>
      <c r="O604" s="3" t="s">
        <v>14</v>
      </c>
      <c r="P604" s="2" t="s">
        <v>8587</v>
      </c>
      <c r="Q604" s="2" t="s">
        <v>16</v>
      </c>
      <c r="R604" s="2" t="s">
        <v>8568</v>
      </c>
      <c r="T604" s="2"/>
      <c r="U604" s="2" t="s">
        <v>8570</v>
      </c>
      <c r="V604" s="2" t="s">
        <v>10066</v>
      </c>
      <c r="W604" s="2" t="s">
        <v>8567</v>
      </c>
      <c r="X604" s="2" t="s">
        <v>8625</v>
      </c>
      <c r="Z604" s="2" t="s">
        <v>8574</v>
      </c>
      <c r="AB604" s="5" t="s">
        <v>8672</v>
      </c>
      <c r="AG604" s="7" t="s">
        <v>8575</v>
      </c>
      <c r="AI604" s="7" t="s">
        <v>8617</v>
      </c>
      <c r="AS604" s="2"/>
      <c r="AV604" s="11"/>
      <c r="BB604" s="2" t="s">
        <v>8618</v>
      </c>
      <c r="BI604" s="2" t="s">
        <v>8590</v>
      </c>
      <c r="BJ604" s="2" t="s">
        <v>8630</v>
      </c>
      <c r="BL604" s="2" t="s">
        <v>8591</v>
      </c>
      <c r="BO604" s="2"/>
      <c r="MJM604" s="2"/>
    </row>
    <row r="605" s="32" customFormat="true" ht="19.5" hidden="false" customHeight="true" outlineLevel="0" collapsed="false">
      <c r="A605" s="1" t="s">
        <v>10696</v>
      </c>
      <c r="B605" s="2" t="s">
        <v>10697</v>
      </c>
      <c r="C605" s="2" t="str">
        <f aca="false">_xlfn.CONCAT(A605, " ","(",B605,")")</f>
        <v>Tremella moriformis (Mulberry Brain)</v>
      </c>
      <c r="D605" s="2" t="s">
        <v>9724</v>
      </c>
      <c r="E605" s="2" t="s">
        <v>9724</v>
      </c>
      <c r="F605" s="30" t="s">
        <v>10698</v>
      </c>
      <c r="G605" s="2" t="s">
        <v>8776</v>
      </c>
      <c r="H605" s="2" t="e">
        <f aca="false">VLOOKUP(A605,'[1]NE red list'!A$1:H$1048576,5,FALSE())</f>
        <v>#N/A</v>
      </c>
      <c r="I605" s="2" t="s">
        <v>8564</v>
      </c>
      <c r="J605" s="33" t="s">
        <v>10699</v>
      </c>
      <c r="K605" s="2" t="s">
        <v>10700</v>
      </c>
      <c r="L605" s="2"/>
      <c r="M605" s="2"/>
      <c r="N605" s="2" t="str">
        <f aca="false">_xlfn.CONCAT(Q605," ",R605," ",S605)</f>
        <v>woodland  </v>
      </c>
      <c r="O605" s="2"/>
      <c r="P605" s="2"/>
      <c r="Q605" s="2" t="s">
        <v>16</v>
      </c>
      <c r="R605" s="2"/>
      <c r="S605" s="2"/>
      <c r="T605" s="2" t="s">
        <v>9728</v>
      </c>
      <c r="U605" s="2" t="s">
        <v>8570</v>
      </c>
      <c r="V605" s="2"/>
      <c r="W605" s="2"/>
      <c r="X605" s="2" t="s">
        <v>8597</v>
      </c>
      <c r="Y605" s="2"/>
      <c r="Z605" s="2" t="s">
        <v>8574</v>
      </c>
      <c r="AA605" s="4"/>
      <c r="AB605" s="5"/>
      <c r="AC605" s="6"/>
      <c r="AD605" s="6"/>
      <c r="AE605" s="6"/>
      <c r="AF605" s="6"/>
      <c r="AG605" s="7" t="s">
        <v>8575</v>
      </c>
      <c r="AH605" s="7"/>
      <c r="AI605" s="7"/>
      <c r="AJ605" s="7"/>
      <c r="AK605" s="7"/>
      <c r="AL605" s="7"/>
      <c r="AM605" s="4"/>
      <c r="AS605" s="2"/>
      <c r="AU605" s="4"/>
      <c r="AV605" s="11"/>
      <c r="AW605" s="11"/>
      <c r="AX605" s="4" t="s">
        <v>8607</v>
      </c>
      <c r="AY605" s="12"/>
      <c r="AZ605" s="12"/>
      <c r="BD605" s="32" t="s">
        <v>8629</v>
      </c>
      <c r="BF605" s="32" t="s">
        <v>10701</v>
      </c>
      <c r="BL605" s="32" t="s">
        <v>8578</v>
      </c>
    </row>
    <row r="606" customFormat="false" ht="19.5" hidden="false" customHeight="true" outlineLevel="0" collapsed="false">
      <c r="A606" s="2" t="s">
        <v>10702</v>
      </c>
      <c r="C606" s="2" t="str">
        <f aca="false">_xlfn.CONCAT(A606, " ","(",B606,")")</f>
        <v>Triaxomasia caprimulgella ()</v>
      </c>
      <c r="D606" s="2" t="s">
        <v>8580</v>
      </c>
      <c r="E606" s="2" t="s">
        <v>8722</v>
      </c>
      <c r="F606" s="2" t="s">
        <v>8873</v>
      </c>
      <c r="G606" s="2" t="s">
        <v>8583</v>
      </c>
      <c r="H606" s="2" t="e">
        <f aca="false">VLOOKUP(A606,'[1]NE red list'!A$1:H$1048576,5,FALSE())</f>
        <v>#N/A</v>
      </c>
      <c r="I606" s="2" t="s">
        <v>8714</v>
      </c>
      <c r="J606" s="2" t="s">
        <v>10703</v>
      </c>
      <c r="L606" s="2" t="s">
        <v>10704</v>
      </c>
      <c r="N606" s="2" t="str">
        <f aca="false">_xlfn.CONCAT(Q606," ",R606," ",S606)</f>
        <v>woodland parkland ToW</v>
      </c>
      <c r="O606" s="2" t="s">
        <v>14</v>
      </c>
      <c r="P606" s="2"/>
      <c r="Q606" s="2" t="s">
        <v>16</v>
      </c>
      <c r="R606" s="2" t="s">
        <v>8568</v>
      </c>
      <c r="S606" s="2" t="s">
        <v>18</v>
      </c>
      <c r="T606" s="2"/>
      <c r="U606" s="2" t="s">
        <v>8570</v>
      </c>
      <c r="V606" s="2" t="s">
        <v>10705</v>
      </c>
      <c r="W606" s="2" t="s">
        <v>8567</v>
      </c>
      <c r="Z606" s="2" t="s">
        <v>8574</v>
      </c>
      <c r="AA606" s="4" t="s">
        <v>26</v>
      </c>
      <c r="AC606" s="6" t="s">
        <v>30</v>
      </c>
      <c r="AF606" s="6" t="s">
        <v>8616</v>
      </c>
      <c r="AG606" s="7" t="s">
        <v>8575</v>
      </c>
      <c r="AM606" s="4" t="s">
        <v>8657</v>
      </c>
      <c r="AP606" s="8" t="s">
        <v>8953</v>
      </c>
      <c r="AS606" s="2"/>
      <c r="AV606" s="11"/>
      <c r="BI606" s="2" t="s">
        <v>8590</v>
      </c>
      <c r="BL606" s="2" t="s">
        <v>8591</v>
      </c>
      <c r="BO606" s="2"/>
      <c r="MJM606" s="2"/>
    </row>
    <row r="607" customFormat="false" ht="19.5" hidden="false" customHeight="true" outlineLevel="0" collapsed="false">
      <c r="A607" s="33" t="s">
        <v>10702</v>
      </c>
      <c r="C607" s="2" t="str">
        <f aca="false">_xlfn.CONCAT(A607, " ","(",B607,")")</f>
        <v>Triaxomasia caprimulgella ()</v>
      </c>
      <c r="D607" s="2" t="s">
        <v>8580</v>
      </c>
      <c r="E607" s="2" t="s">
        <v>8722</v>
      </c>
      <c r="F607" s="2" t="s">
        <v>8873</v>
      </c>
      <c r="H607" s="2" t="e">
        <f aca="false">VLOOKUP(A607,'[1]NE red list'!A$1:H$1048576,5,FALSE())</f>
        <v>#N/A</v>
      </c>
      <c r="I607" s="2" t="s">
        <v>10706</v>
      </c>
      <c r="J607" s="2" t="s">
        <v>10707</v>
      </c>
      <c r="L607" s="2" t="s">
        <v>8586</v>
      </c>
      <c r="M607" s="33"/>
      <c r="N607" s="2" t="str">
        <f aca="false">_xlfn.CONCAT(Q607," ",R607," ",S607)</f>
        <v>woodland parkland ToW</v>
      </c>
      <c r="O607" s="2" t="s">
        <v>14</v>
      </c>
      <c r="P607" s="2"/>
      <c r="Q607" s="3" t="s">
        <v>16</v>
      </c>
      <c r="R607" s="2" t="s">
        <v>8568</v>
      </c>
      <c r="S607" s="2" t="s">
        <v>18</v>
      </c>
      <c r="U607" s="2" t="s">
        <v>8570</v>
      </c>
      <c r="W607" s="2" t="s">
        <v>8571</v>
      </c>
      <c r="X607" s="33"/>
      <c r="Z607" s="2" t="s">
        <v>8574</v>
      </c>
      <c r="AA607" s="4" t="s">
        <v>26</v>
      </c>
      <c r="AD607" s="6" t="s">
        <v>8615</v>
      </c>
      <c r="AF607" s="6" t="s">
        <v>8616</v>
      </c>
      <c r="AS607" s="2"/>
      <c r="AV607" s="11"/>
      <c r="BI607" s="2" t="s">
        <v>8590</v>
      </c>
      <c r="BO607" s="2"/>
      <c r="MJM607" s="2"/>
    </row>
    <row r="608" s="2" customFormat="true" ht="19.5" hidden="false" customHeight="true" outlineLevel="0" collapsed="false">
      <c r="A608" s="2" t="s">
        <v>10708</v>
      </c>
      <c r="C608" s="2" t="str">
        <f aca="false">_xlfn.CONCAT(A608, " ","(",B608,")")</f>
        <v>Triaxomera fulvimitrella
 ()</v>
      </c>
      <c r="D608" s="2" t="s">
        <v>8580</v>
      </c>
      <c r="E608" s="2" t="s">
        <v>8722</v>
      </c>
      <c r="F608" s="2" t="s">
        <v>8873</v>
      </c>
      <c r="H608" s="2" t="e">
        <f aca="false">VLOOKUP(A608,'[1]NE red list'!A$1:H$1048576,5,FALSE())</f>
        <v>#N/A</v>
      </c>
      <c r="I608" s="2" t="s">
        <v>8564</v>
      </c>
      <c r="J608" s="33" t="s">
        <v>10709</v>
      </c>
      <c r="L608" s="2" t="s">
        <v>8677</v>
      </c>
      <c r="M608" s="33"/>
      <c r="N608" s="2" t="str">
        <f aca="false">_xlfn.CONCAT(Q608," ",R608," ",S608)</f>
        <v>woodland parkland ToW</v>
      </c>
      <c r="O608" s="2" t="s">
        <v>14</v>
      </c>
      <c r="Q608" s="3" t="s">
        <v>16</v>
      </c>
      <c r="R608" s="2" t="s">
        <v>8568</v>
      </c>
      <c r="S608" s="2" t="s">
        <v>18</v>
      </c>
      <c r="T608" s="3"/>
      <c r="U608" s="2" t="s">
        <v>8570</v>
      </c>
      <c r="V608" s="2" t="s">
        <v>8763</v>
      </c>
      <c r="Z608" s="2" t="s">
        <v>8598</v>
      </c>
      <c r="AA608" s="38"/>
      <c r="AB608" s="39"/>
      <c r="AC608" s="40"/>
      <c r="AD608" s="40"/>
      <c r="AE608" s="40"/>
      <c r="AF608" s="40"/>
      <c r="AG608" s="41"/>
      <c r="AH608" s="41"/>
      <c r="AI608" s="41"/>
      <c r="AJ608" s="41"/>
      <c r="AK608" s="41"/>
      <c r="AL608" s="41"/>
      <c r="AM608" s="38"/>
      <c r="AN608" s="42"/>
      <c r="AO608" s="42"/>
      <c r="AP608" s="42"/>
      <c r="AQ608" s="42"/>
      <c r="AR608" s="42"/>
      <c r="AS608" s="43"/>
      <c r="AT608" s="33"/>
      <c r="AU608" s="38"/>
      <c r="AV608" s="45"/>
      <c r="AW608" s="44"/>
      <c r="AX608" s="4" t="s">
        <v>8585</v>
      </c>
      <c r="AY608" s="12" t="s">
        <v>8585</v>
      </c>
      <c r="AZ608" s="12"/>
      <c r="BA608" s="33"/>
      <c r="BB608" s="33"/>
      <c r="BC608" s="33"/>
      <c r="BD608" s="33"/>
      <c r="BE608" s="33"/>
      <c r="BF608" s="33"/>
      <c r="BG608" s="33"/>
      <c r="BH608" s="33"/>
      <c r="BI608" s="33"/>
      <c r="BJ608" s="33"/>
      <c r="BK608" s="33"/>
      <c r="BL608" s="33"/>
      <c r="BM608" s="33"/>
    </row>
    <row r="609" s="2" customFormat="true" ht="19.5" hidden="false" customHeight="true" outlineLevel="0" collapsed="false">
      <c r="A609" s="33" t="s">
        <v>10710</v>
      </c>
      <c r="C609" s="2" t="str">
        <f aca="false">_xlfn.CONCAT(A609, " ","(",B609,")")</f>
        <v>Triaxomera parasitella ()</v>
      </c>
      <c r="D609" s="2" t="s">
        <v>8580</v>
      </c>
      <c r="E609" s="2" t="s">
        <v>8722</v>
      </c>
      <c r="F609" s="2" t="s">
        <v>8873</v>
      </c>
      <c r="H609" s="2" t="e">
        <f aca="false">VLOOKUP(A609,'[1]NE red list'!A$1:H$1048576,5,FALSE())</f>
        <v>#N/A</v>
      </c>
      <c r="I609" s="2" t="s">
        <v>8753</v>
      </c>
      <c r="J609" s="33" t="s">
        <v>10711</v>
      </c>
      <c r="L609" s="2" t="s">
        <v>8677</v>
      </c>
      <c r="M609" s="33"/>
      <c r="N609" s="2" t="str">
        <f aca="false">_xlfn.CONCAT(Q609," ",R609," ",S609)</f>
        <v>woodland parkland ToW</v>
      </c>
      <c r="O609" s="2" t="s">
        <v>14</v>
      </c>
      <c r="Q609" s="3" t="s">
        <v>16</v>
      </c>
      <c r="R609" s="2" t="s">
        <v>8568</v>
      </c>
      <c r="S609" s="2" t="s">
        <v>18</v>
      </c>
      <c r="T609" s="3"/>
      <c r="U609" s="2" t="s">
        <v>8570</v>
      </c>
      <c r="Z609" s="2" t="s">
        <v>8598</v>
      </c>
      <c r="AA609" s="38"/>
      <c r="AB609" s="39"/>
      <c r="AC609" s="40"/>
      <c r="AD609" s="40"/>
      <c r="AE609" s="40"/>
      <c r="AF609" s="40"/>
      <c r="AG609" s="41"/>
      <c r="AH609" s="41"/>
      <c r="AI609" s="41"/>
      <c r="AJ609" s="41"/>
      <c r="AK609" s="41"/>
      <c r="AL609" s="41"/>
      <c r="AM609" s="38"/>
      <c r="AN609" s="42"/>
      <c r="AO609" s="42"/>
      <c r="AP609" s="42"/>
      <c r="AQ609" s="42"/>
      <c r="AR609" s="42"/>
      <c r="AS609" s="43"/>
      <c r="AT609" s="33"/>
      <c r="AU609" s="38"/>
      <c r="AV609" s="45"/>
      <c r="AW609" s="44"/>
      <c r="AX609" s="4" t="s">
        <v>8585</v>
      </c>
      <c r="AY609" s="12" t="s">
        <v>8585</v>
      </c>
      <c r="AZ609" s="12"/>
      <c r="BA609" s="33"/>
      <c r="BB609" s="33"/>
      <c r="BC609" s="33"/>
      <c r="BD609" s="33"/>
      <c r="BE609" s="33"/>
      <c r="BF609" s="33"/>
      <c r="BG609" s="33"/>
      <c r="BH609" s="33"/>
      <c r="BI609" s="2" t="s">
        <v>8590</v>
      </c>
      <c r="BJ609" s="33"/>
      <c r="BK609" s="33"/>
      <c r="BL609" s="33"/>
      <c r="BM609" s="33"/>
    </row>
    <row r="610" customFormat="false" ht="19.5" hidden="false" customHeight="true" outlineLevel="0" collapsed="false">
      <c r="A610" s="2" t="s">
        <v>10712</v>
      </c>
      <c r="C610" s="2" t="str">
        <f aca="false">_xlfn.CONCAT(A610, " ","(",B610,")")</f>
        <v>Quedius brevicornis ()</v>
      </c>
      <c r="D610" s="2" t="s">
        <v>8580</v>
      </c>
      <c r="E610" s="2" t="s">
        <v>8581</v>
      </c>
      <c r="F610" s="2" t="s">
        <v>8652</v>
      </c>
      <c r="G610" s="2" t="s">
        <v>8583</v>
      </c>
      <c r="H610" s="2" t="e">
        <f aca="false">VLOOKUP(A610,'[1]NE red list'!A$1:H$1048576,5,FALSE())</f>
        <v>#N/A</v>
      </c>
      <c r="I610" s="2" t="s">
        <v>8564</v>
      </c>
      <c r="J610" s="2" t="s">
        <v>10713</v>
      </c>
      <c r="L610" s="2" t="s">
        <v>8665</v>
      </c>
      <c r="N610" s="2" t="str">
        <f aca="false">_xlfn.CONCAT(Q610," ",R610," ",S610)</f>
        <v> parkland </v>
      </c>
      <c r="O610" s="3" t="s">
        <v>14</v>
      </c>
      <c r="P610" s="2"/>
      <c r="R610" s="2" t="s">
        <v>8568</v>
      </c>
      <c r="T610" s="2"/>
      <c r="U610" s="2" t="s">
        <v>8570</v>
      </c>
      <c r="W610" s="2" t="s">
        <v>8571</v>
      </c>
      <c r="X610" s="2" t="s">
        <v>8589</v>
      </c>
      <c r="AA610" s="4" t="s">
        <v>26</v>
      </c>
      <c r="AC610" s="5" t="s">
        <v>8666</v>
      </c>
      <c r="AD610" s="6" t="s">
        <v>8615</v>
      </c>
      <c r="AF610" s="6" t="s">
        <v>8616</v>
      </c>
      <c r="AG610" s="7" t="s">
        <v>8575</v>
      </c>
      <c r="AI610" s="7" t="s">
        <v>8617</v>
      </c>
      <c r="AL610" s="7" t="s">
        <v>8785</v>
      </c>
      <c r="AS610" s="2"/>
      <c r="AU610" s="4" t="s">
        <v>8639</v>
      </c>
      <c r="AV610" s="47" t="s">
        <v>10236</v>
      </c>
      <c r="AX610" s="4" t="s">
        <v>8607</v>
      </c>
      <c r="BD610" s="2" t="s">
        <v>8629</v>
      </c>
      <c r="BI610" s="2" t="s">
        <v>8590</v>
      </c>
      <c r="BJ610" s="2" t="s">
        <v>8630</v>
      </c>
      <c r="BL610" s="2" t="s">
        <v>8591</v>
      </c>
      <c r="BM610" s="2" t="s">
        <v>8619</v>
      </c>
      <c r="BO610" s="2"/>
      <c r="MJM610" s="2"/>
    </row>
    <row r="611" customFormat="false" ht="19.5" hidden="false" customHeight="true" outlineLevel="0" collapsed="false">
      <c r="A611" s="2" t="s">
        <v>10714</v>
      </c>
      <c r="C611" s="2" t="str">
        <f aca="false">_xlfn.CONCAT(A611, " ","(",B611,")")</f>
        <v>Trichophya pilicornis ()</v>
      </c>
      <c r="D611" s="2" t="s">
        <v>8580</v>
      </c>
      <c r="E611" s="2" t="s">
        <v>8581</v>
      </c>
      <c r="F611" s="2" t="s">
        <v>8652</v>
      </c>
      <c r="G611" s="2" t="s">
        <v>8583</v>
      </c>
      <c r="H611" s="2" t="e">
        <f aca="false">VLOOKUP(A611,'[1]NE red list'!A$1:H$1048576,5,FALSE())</f>
        <v>#N/A</v>
      </c>
      <c r="I611" s="2" t="s">
        <v>8645</v>
      </c>
      <c r="J611" s="2" t="s">
        <v>10715</v>
      </c>
      <c r="L611" s="2" t="s">
        <v>8939</v>
      </c>
      <c r="N611" s="2" t="str">
        <f aca="false">_xlfn.CONCAT(Q611," ",R611," ",S611)</f>
        <v> parkland </v>
      </c>
      <c r="O611" s="3" t="s">
        <v>14</v>
      </c>
      <c r="P611" s="2"/>
      <c r="R611" s="2" t="s">
        <v>8568</v>
      </c>
      <c r="T611" s="2"/>
      <c r="U611" s="2" t="s">
        <v>8605</v>
      </c>
      <c r="Z611" s="2" t="s">
        <v>8637</v>
      </c>
      <c r="AC611" s="5"/>
      <c r="AG611" s="7" t="s">
        <v>8575</v>
      </c>
      <c r="AM611" s="4" t="s">
        <v>8657</v>
      </c>
      <c r="AP611" s="8" t="s">
        <v>10716</v>
      </c>
      <c r="AS611" s="2"/>
      <c r="AU611" s="4" t="s">
        <v>8639</v>
      </c>
      <c r="AV611" s="10" t="s">
        <v>10717</v>
      </c>
      <c r="AX611" s="4" t="s">
        <v>8607</v>
      </c>
      <c r="BI611" s="2" t="s">
        <v>8590</v>
      </c>
      <c r="BL611" s="2" t="s">
        <v>8591</v>
      </c>
      <c r="BO611" s="2"/>
      <c r="MJM611" s="2"/>
    </row>
    <row r="612" customFormat="false" ht="19.5" hidden="false" customHeight="true" outlineLevel="0" collapsed="false">
      <c r="A612" s="2" t="s">
        <v>10718</v>
      </c>
      <c r="C612" s="2" t="str">
        <f aca="false">_xlfn.CONCAT(A612, " ","(",B612,")")</f>
        <v>Trichrysis cyanea ()</v>
      </c>
      <c r="D612" s="2" t="s">
        <v>8580</v>
      </c>
      <c r="E612" s="2" t="s">
        <v>8839</v>
      </c>
      <c r="F612" s="2" t="s">
        <v>10171</v>
      </c>
      <c r="G612" s="2" t="s">
        <v>8737</v>
      </c>
      <c r="H612" s="2" t="e">
        <f aca="false">VLOOKUP(A612,'[1]NE red list'!A$1:H$1048576,5,FALSE())</f>
        <v>#N/A</v>
      </c>
      <c r="I612" s="2" t="s">
        <v>8645</v>
      </c>
      <c r="J612" s="2" t="s">
        <v>10719</v>
      </c>
      <c r="L612" s="2" t="s">
        <v>10720</v>
      </c>
      <c r="N612" s="2" t="str">
        <f aca="false">_xlfn.CONCAT(Q612," ",R612," ",S612)</f>
        <v>woodland parkland </v>
      </c>
      <c r="O612" s="3" t="s">
        <v>14</v>
      </c>
      <c r="P612" s="2"/>
      <c r="Q612" s="2" t="s">
        <v>16</v>
      </c>
      <c r="R612" s="2" t="s">
        <v>8568</v>
      </c>
      <c r="T612" s="2" t="s">
        <v>8569</v>
      </c>
      <c r="U612" s="2" t="s">
        <v>8605</v>
      </c>
      <c r="X612" s="2" t="s">
        <v>8771</v>
      </c>
      <c r="Z612" s="2" t="s">
        <v>8598</v>
      </c>
      <c r="AG612" s="7" t="s">
        <v>8824</v>
      </c>
      <c r="AS612" s="2"/>
      <c r="AU612" s="4" t="s">
        <v>8639</v>
      </c>
      <c r="AV612" s="47" t="s">
        <v>9195</v>
      </c>
      <c r="BB612" s="2" t="s">
        <v>8618</v>
      </c>
      <c r="BC612" s="2" t="s">
        <v>9273</v>
      </c>
      <c r="BI612" s="2" t="s">
        <v>8590</v>
      </c>
      <c r="BL612" s="2" t="s">
        <v>8591</v>
      </c>
      <c r="BO612" s="2"/>
      <c r="MJM612" s="2"/>
    </row>
    <row r="613" customFormat="false" ht="19.5" hidden="false" customHeight="true" outlineLevel="0" collapsed="false">
      <c r="A613" s="2" t="s">
        <v>10721</v>
      </c>
      <c r="C613" s="2" t="str">
        <f aca="false">_xlfn.CONCAT(A613, " ","(",B613,")")</f>
        <v>Quedius fulgidus ()</v>
      </c>
      <c r="D613" s="2" t="s">
        <v>8580</v>
      </c>
      <c r="E613" s="2" t="s">
        <v>8581</v>
      </c>
      <c r="F613" s="2" t="s">
        <v>8652</v>
      </c>
      <c r="G613" s="2" t="s">
        <v>8583</v>
      </c>
      <c r="H613" s="2" t="e">
        <f aca="false">VLOOKUP(A613,'[1]NE red list'!A$1:H$1048576,5,FALSE())</f>
        <v>#N/A</v>
      </c>
      <c r="I613" s="2" t="s">
        <v>8564</v>
      </c>
      <c r="J613" s="2" t="s">
        <v>10722</v>
      </c>
      <c r="L613" s="2" t="s">
        <v>8665</v>
      </c>
      <c r="N613" s="2" t="str">
        <f aca="false">_xlfn.CONCAT(Q613," ",R613," ",S613)</f>
        <v> parkland </v>
      </c>
      <c r="O613" s="3" t="s">
        <v>14</v>
      </c>
      <c r="P613" s="2"/>
      <c r="R613" s="2" t="s">
        <v>8568</v>
      </c>
      <c r="T613" s="2"/>
      <c r="U613" s="2" t="s">
        <v>8570</v>
      </c>
      <c r="W613" s="2" t="s">
        <v>8571</v>
      </c>
      <c r="AA613" s="4" t="s">
        <v>26</v>
      </c>
      <c r="AF613" s="6" t="s">
        <v>8616</v>
      </c>
      <c r="AG613" s="7" t="s">
        <v>8575</v>
      </c>
      <c r="AI613" s="7" t="s">
        <v>8617</v>
      </c>
      <c r="AS613" s="2"/>
      <c r="AV613" s="11"/>
      <c r="AX613" s="4" t="s">
        <v>8607</v>
      </c>
      <c r="BD613" s="2" t="s">
        <v>9046</v>
      </c>
      <c r="BI613" s="2" t="s">
        <v>8590</v>
      </c>
      <c r="BL613" s="2" t="s">
        <v>8591</v>
      </c>
      <c r="BO613" s="2"/>
      <c r="MJM613" s="2"/>
    </row>
    <row r="614" customFormat="false" ht="19.5" hidden="false" customHeight="true" outlineLevel="0" collapsed="false">
      <c r="A614" s="2" t="s">
        <v>10723</v>
      </c>
      <c r="C614" s="2" t="str">
        <f aca="false">_xlfn.CONCAT(A614, " ","(",B614,")")</f>
        <v>Triphyllus bicolor ()</v>
      </c>
      <c r="D614" s="2" t="s">
        <v>8580</v>
      </c>
      <c r="E614" s="2" t="s">
        <v>8581</v>
      </c>
      <c r="F614" s="2" t="s">
        <v>9844</v>
      </c>
      <c r="G614" s="2" t="s">
        <v>8583</v>
      </c>
      <c r="H614" s="2" t="str">
        <f aca="false">VLOOKUP(A614,'[1]NE red list'!A$1:H$1048576,5,FALSE())</f>
        <v>LC</v>
      </c>
      <c r="I614" s="2" t="s">
        <v>9086</v>
      </c>
      <c r="J614" s="2" t="s">
        <v>10724</v>
      </c>
      <c r="L614" s="2" t="s">
        <v>8677</v>
      </c>
      <c r="N614" s="2" t="str">
        <f aca="false">_xlfn.CONCAT(Q614," ",R614," ",S614)</f>
        <v>woodland parkland </v>
      </c>
      <c r="O614" s="3" t="s">
        <v>14</v>
      </c>
      <c r="P614" s="2" t="s">
        <v>8587</v>
      </c>
      <c r="Q614" s="2" t="s">
        <v>16</v>
      </c>
      <c r="R614" s="2" t="s">
        <v>8568</v>
      </c>
      <c r="T614" s="2"/>
      <c r="U614" s="2" t="s">
        <v>8570</v>
      </c>
      <c r="V614" s="2" t="s">
        <v>8828</v>
      </c>
      <c r="W614" s="2" t="s">
        <v>8567</v>
      </c>
      <c r="AS614" s="2"/>
      <c r="AV614" s="11"/>
      <c r="AX614" s="4" t="s">
        <v>8607</v>
      </c>
      <c r="AY614" s="12" t="s">
        <v>10344</v>
      </c>
      <c r="BI614" s="2" t="s">
        <v>8590</v>
      </c>
      <c r="BL614" s="2" t="s">
        <v>8591</v>
      </c>
      <c r="BO614" s="2"/>
      <c r="MJM614" s="2"/>
    </row>
    <row r="615" customFormat="false" ht="19.5" hidden="false" customHeight="true" outlineLevel="0" collapsed="false">
      <c r="A615" s="2" t="s">
        <v>10725</v>
      </c>
      <c r="C615" s="2" t="str">
        <f aca="false">_xlfn.CONCAT(A615, " ","(",B615,")")</f>
        <v>Triplax aenea ()</v>
      </c>
      <c r="D615" s="2" t="s">
        <v>8580</v>
      </c>
      <c r="E615" s="2" t="s">
        <v>8581</v>
      </c>
      <c r="F615" s="2" t="s">
        <v>10726</v>
      </c>
      <c r="G615" s="2" t="s">
        <v>8737</v>
      </c>
      <c r="H615" s="2" t="e">
        <f aca="false">VLOOKUP(A615,'[1]NE red list'!A$1:H$1048576,5,FALSE())</f>
        <v>#N/A</v>
      </c>
      <c r="I615" s="2" t="s">
        <v>8645</v>
      </c>
      <c r="J615" s="2" t="s">
        <v>10727</v>
      </c>
      <c r="L615" s="2" t="s">
        <v>8677</v>
      </c>
      <c r="N615" s="2" t="str">
        <f aca="false">_xlfn.CONCAT(Q615," ",R615," ",S615)</f>
        <v> parkland </v>
      </c>
      <c r="O615" s="3" t="s">
        <v>14</v>
      </c>
      <c r="P615" s="2" t="s">
        <v>8587</v>
      </c>
      <c r="R615" s="2" t="s">
        <v>8568</v>
      </c>
      <c r="T615" s="2"/>
      <c r="U615" s="2" t="s">
        <v>8570</v>
      </c>
      <c r="V615" s="2" t="s">
        <v>10728</v>
      </c>
      <c r="W615" s="2" t="s">
        <v>8567</v>
      </c>
      <c r="X615" s="2" t="s">
        <v>8589</v>
      </c>
      <c r="AS615" s="2"/>
      <c r="AV615" s="11"/>
      <c r="AX615" s="4" t="s">
        <v>8607</v>
      </c>
      <c r="AY615" s="12" t="s">
        <v>10344</v>
      </c>
      <c r="BI615" s="2" t="s">
        <v>8590</v>
      </c>
      <c r="BJ615" s="2" t="s">
        <v>8630</v>
      </c>
      <c r="BL615" s="2" t="s">
        <v>8591</v>
      </c>
      <c r="BO615" s="2"/>
      <c r="MJM615" s="2"/>
    </row>
    <row r="616" customFormat="false" ht="19.5" hidden="false" customHeight="true" outlineLevel="0" collapsed="false">
      <c r="A616" s="2" t="s">
        <v>10729</v>
      </c>
      <c r="C616" s="2" t="str">
        <f aca="false">_xlfn.CONCAT(A616, " ","(",B616,")")</f>
        <v>Triplax lacordairii ()</v>
      </c>
      <c r="D616" s="2" t="s">
        <v>8580</v>
      </c>
      <c r="E616" s="2" t="s">
        <v>8581</v>
      </c>
      <c r="F616" s="2" t="s">
        <v>9340</v>
      </c>
      <c r="G616" s="2" t="s">
        <v>8662</v>
      </c>
      <c r="H616" s="2" t="e">
        <f aca="false">VLOOKUP(A616,'[1]NE red list'!A$1:H$1048576,5,FALSE())</f>
        <v>#N/A</v>
      </c>
      <c r="I616" s="2" t="s">
        <v>9223</v>
      </c>
      <c r="J616" s="2" t="s">
        <v>10730</v>
      </c>
      <c r="K616" s="2" t="s">
        <v>10731</v>
      </c>
      <c r="L616" s="2" t="s">
        <v>8677</v>
      </c>
      <c r="N616" s="2" t="str">
        <f aca="false">_xlfn.CONCAT(Q616," ",R616," ",S616)</f>
        <v>woodland parkland ToW</v>
      </c>
      <c r="O616" s="2" t="s">
        <v>14</v>
      </c>
      <c r="P616" s="2"/>
      <c r="Q616" s="2" t="s">
        <v>16</v>
      </c>
      <c r="R616" s="2" t="s">
        <v>8568</v>
      </c>
      <c r="S616" s="2" t="s">
        <v>18</v>
      </c>
      <c r="T616" s="2"/>
      <c r="U616" s="2" t="s">
        <v>8570</v>
      </c>
      <c r="V616" s="2" t="s">
        <v>10732</v>
      </c>
      <c r="AS616" s="2"/>
      <c r="AV616" s="11"/>
      <c r="AX616" s="4" t="s">
        <v>8607</v>
      </c>
      <c r="AY616" s="12" t="s">
        <v>10344</v>
      </c>
      <c r="BI616" s="2" t="s">
        <v>8590</v>
      </c>
      <c r="BL616" s="2" t="s">
        <v>8591</v>
      </c>
      <c r="BO616" s="2"/>
      <c r="MJM616" s="2"/>
    </row>
    <row r="617" customFormat="false" ht="19.5" hidden="false" customHeight="true" outlineLevel="0" collapsed="false">
      <c r="A617" s="2" t="s">
        <v>10733</v>
      </c>
      <c r="C617" s="2" t="str">
        <f aca="false">_xlfn.CONCAT(A617, " ","(",B617,")")</f>
        <v>Triplax russica ()</v>
      </c>
      <c r="D617" s="2" t="s">
        <v>8580</v>
      </c>
      <c r="E617" s="2" t="s">
        <v>8581</v>
      </c>
      <c r="F617" s="2" t="s">
        <v>10726</v>
      </c>
      <c r="G617" s="2" t="s">
        <v>8644</v>
      </c>
      <c r="H617" s="2" t="e">
        <f aca="false">VLOOKUP(A617,'[1]NE red list'!A$1:H$1048576,5,FALSE())</f>
        <v>#N/A</v>
      </c>
      <c r="I617" s="2" t="s">
        <v>10379</v>
      </c>
      <c r="J617" s="2" t="s">
        <v>10734</v>
      </c>
      <c r="K617" s="2" t="s">
        <v>8585</v>
      </c>
      <c r="L617" s="2" t="s">
        <v>8677</v>
      </c>
      <c r="N617" s="2" t="str">
        <f aca="false">_xlfn.CONCAT(Q617," ",R617," ",S617)</f>
        <v>woodland parkland </v>
      </c>
      <c r="O617" s="3" t="s">
        <v>14</v>
      </c>
      <c r="P617" s="2" t="s">
        <v>8567</v>
      </c>
      <c r="Q617" s="2" t="s">
        <v>16</v>
      </c>
      <c r="R617" s="2" t="s">
        <v>8568</v>
      </c>
      <c r="T617" s="2"/>
      <c r="U617" s="2" t="s">
        <v>8570</v>
      </c>
      <c r="V617" s="2" t="s">
        <v>9309</v>
      </c>
      <c r="W617" s="2" t="s">
        <v>8567</v>
      </c>
      <c r="Z617" s="2" t="s">
        <v>8614</v>
      </c>
      <c r="AG617" s="7" t="s">
        <v>8575</v>
      </c>
      <c r="AS617" s="2"/>
      <c r="AV617" s="11"/>
      <c r="AX617" s="4" t="s">
        <v>8585</v>
      </c>
      <c r="AY617" s="12" t="s">
        <v>8585</v>
      </c>
      <c r="BI617" s="2" t="s">
        <v>8590</v>
      </c>
      <c r="BL617" s="2" t="s">
        <v>8591</v>
      </c>
      <c r="BO617" s="2"/>
      <c r="MJM617" s="2"/>
    </row>
    <row r="618" customFormat="false" ht="19.5" hidden="false" customHeight="true" outlineLevel="0" collapsed="false">
      <c r="A618" s="2" t="s">
        <v>10735</v>
      </c>
      <c r="C618" s="2" t="str">
        <f aca="false">_xlfn.CONCAT(A618, " ","(",B618,")")</f>
        <v>Triplax scutellaris ()</v>
      </c>
      <c r="D618" s="2" t="s">
        <v>8580</v>
      </c>
      <c r="E618" s="2" t="s">
        <v>8581</v>
      </c>
      <c r="F618" s="2" t="s">
        <v>9340</v>
      </c>
      <c r="G618" s="2" t="s">
        <v>8662</v>
      </c>
      <c r="H618" s="2" t="e">
        <f aca="false">VLOOKUP(A618,'[1]NE red list'!A$1:H$1048576,5,FALSE())</f>
        <v>#N/A</v>
      </c>
      <c r="I618" s="2" t="s">
        <v>9129</v>
      </c>
      <c r="J618" s="2" t="s">
        <v>10736</v>
      </c>
      <c r="L618" s="2" t="s">
        <v>8677</v>
      </c>
      <c r="N618" s="2" t="str">
        <f aca="false">_xlfn.CONCAT(Q618," ",R618," ",S618)</f>
        <v>woodland parkland ToW</v>
      </c>
      <c r="O618" s="2" t="s">
        <v>14</v>
      </c>
      <c r="P618" s="2"/>
      <c r="Q618" s="2" t="s">
        <v>16</v>
      </c>
      <c r="R618" s="2" t="s">
        <v>8568</v>
      </c>
      <c r="S618" s="2" t="s">
        <v>18</v>
      </c>
      <c r="T618" s="2"/>
      <c r="U618" s="2" t="s">
        <v>8570</v>
      </c>
      <c r="V618" s="2" t="s">
        <v>10737</v>
      </c>
      <c r="AS618" s="2"/>
      <c r="AV618" s="11"/>
      <c r="AX618" s="4" t="s">
        <v>8607</v>
      </c>
      <c r="AY618" s="12" t="s">
        <v>10344</v>
      </c>
      <c r="BI618" s="2" t="s">
        <v>8590</v>
      </c>
      <c r="BL618" s="2" t="s">
        <v>8591</v>
      </c>
      <c r="BO618" s="2"/>
      <c r="MJM618" s="2"/>
    </row>
    <row r="619" customFormat="false" ht="19.5" hidden="false" customHeight="true" outlineLevel="0" collapsed="false">
      <c r="A619" s="2" t="s">
        <v>10738</v>
      </c>
      <c r="C619" s="2" t="str">
        <f aca="false">_xlfn.CONCAT(A619, " ","(",B619,")")</f>
        <v>Tritoma bipustulata ()</v>
      </c>
      <c r="D619" s="2" t="s">
        <v>8580</v>
      </c>
      <c r="E619" s="2" t="s">
        <v>8581</v>
      </c>
      <c r="F619" s="2" t="s">
        <v>9340</v>
      </c>
      <c r="G619" s="2" t="s">
        <v>8583</v>
      </c>
      <c r="H619" s="2" t="e">
        <f aca="false">VLOOKUP(A619,'[1]NE red list'!A$1:H$1048576,5,FALSE())</f>
        <v>#N/A</v>
      </c>
      <c r="I619" s="2" t="s">
        <v>9086</v>
      </c>
      <c r="J619" s="2" t="s">
        <v>10739</v>
      </c>
      <c r="K619" s="2" t="s">
        <v>10413</v>
      </c>
      <c r="L619" s="2" t="s">
        <v>8677</v>
      </c>
      <c r="N619" s="2" t="str">
        <f aca="false">_xlfn.CONCAT(Q619," ",R619," ",S619)</f>
        <v>woodland  </v>
      </c>
      <c r="O619" s="2"/>
      <c r="P619" s="2"/>
      <c r="Q619" s="2" t="s">
        <v>16</v>
      </c>
      <c r="T619" s="2"/>
      <c r="U619" s="2" t="s">
        <v>8570</v>
      </c>
      <c r="V619" s="2" t="s">
        <v>9038</v>
      </c>
      <c r="AS619" s="2"/>
      <c r="AV619" s="11"/>
      <c r="AX619" s="4" t="s">
        <v>8607</v>
      </c>
      <c r="BI619" s="2" t="s">
        <v>8590</v>
      </c>
      <c r="BL619" s="2" t="s">
        <v>8591</v>
      </c>
      <c r="BO619" s="2"/>
      <c r="MJM619" s="2"/>
    </row>
    <row r="620" customFormat="false" ht="19.5" hidden="false" customHeight="true" outlineLevel="0" collapsed="false">
      <c r="A620" s="1" t="s">
        <v>10740</v>
      </c>
      <c r="B620" s="2" t="s">
        <v>10741</v>
      </c>
      <c r="C620" s="2" t="str">
        <f aca="false">_xlfn.CONCAT(A620, " ","(",B620,")")</f>
        <v>Trypodendron domesticum (Broad-leaved ambrosia beetle)</v>
      </c>
      <c r="D620" s="2" t="s">
        <v>8580</v>
      </c>
      <c r="E620" s="2" t="s">
        <v>8581</v>
      </c>
      <c r="F620" s="30" t="s">
        <v>9248</v>
      </c>
      <c r="G620" s="2" t="s">
        <v>8737</v>
      </c>
      <c r="H620" s="2" t="e">
        <f aca="false">VLOOKUP(A620,'[1]NE red list'!A$1:H$1048576,5,FALSE())</f>
        <v>#N/A</v>
      </c>
      <c r="I620" s="2" t="s">
        <v>8645</v>
      </c>
      <c r="J620" s="2" t="s">
        <v>10742</v>
      </c>
      <c r="K620" s="2" t="s">
        <v>8637</v>
      </c>
      <c r="L620" s="2" t="s">
        <v>8677</v>
      </c>
      <c r="N620" s="2" t="str">
        <f aca="false">_xlfn.CONCAT(Q620," ",R620," ",S620)</f>
        <v>woodland parkland </v>
      </c>
      <c r="O620" s="3" t="s">
        <v>14</v>
      </c>
      <c r="P620" s="2" t="s">
        <v>8587</v>
      </c>
      <c r="Q620" s="2" t="s">
        <v>16</v>
      </c>
      <c r="R620" s="2" t="s">
        <v>8568</v>
      </c>
      <c r="T620" s="2"/>
      <c r="U620" s="2" t="s">
        <v>8570</v>
      </c>
      <c r="W620" s="2" t="s">
        <v>8567</v>
      </c>
      <c r="Z620" s="2" t="s">
        <v>8637</v>
      </c>
      <c r="AG620" s="7" t="s">
        <v>8824</v>
      </c>
      <c r="AS620" s="2"/>
      <c r="AV620" s="11"/>
      <c r="AX620" s="4" t="s">
        <v>8607</v>
      </c>
      <c r="BA620" s="2" t="s">
        <v>8868</v>
      </c>
      <c r="BI620" s="2" t="s">
        <v>8590</v>
      </c>
      <c r="BJ620" s="2" t="s">
        <v>8601</v>
      </c>
      <c r="BL620" s="2" t="s">
        <v>8591</v>
      </c>
      <c r="BO620" s="2"/>
      <c r="MJM620" s="2"/>
    </row>
    <row r="621" customFormat="false" ht="19.5" hidden="false" customHeight="true" outlineLevel="0" collapsed="false">
      <c r="A621" s="1" t="s">
        <v>10743</v>
      </c>
      <c r="B621" s="2" t="s">
        <v>10744</v>
      </c>
      <c r="C621" s="2" t="str">
        <f aca="false">_xlfn.CONCAT(A621, " ","(",B621,")")</f>
        <v>Trypodendron lineatum (Lineated Bark Beetle)</v>
      </c>
      <c r="D621" s="2" t="s">
        <v>8580</v>
      </c>
      <c r="E621" s="2" t="s">
        <v>8581</v>
      </c>
      <c r="F621" s="30" t="s">
        <v>9248</v>
      </c>
      <c r="H621" s="2" t="e">
        <f aca="false">VLOOKUP(A621,'[1]NE red list'!A$1:H$1048576,5,FALSE())</f>
        <v>#N/A</v>
      </c>
      <c r="I621" s="2" t="s">
        <v>8761</v>
      </c>
      <c r="J621" s="2" t="s">
        <v>10745</v>
      </c>
      <c r="K621" s="2" t="s">
        <v>8637</v>
      </c>
      <c r="L621" s="2" t="s">
        <v>8613</v>
      </c>
      <c r="N621" s="2" t="str">
        <f aca="false">_xlfn.CONCAT(Q621," ",R621," ",S621)</f>
        <v>woodland  </v>
      </c>
      <c r="O621" s="2"/>
      <c r="P621" s="2"/>
      <c r="Q621" s="2" t="s">
        <v>16</v>
      </c>
      <c r="T621" s="2"/>
      <c r="U621" s="2" t="s">
        <v>8806</v>
      </c>
      <c r="V621" s="2" t="s">
        <v>10746</v>
      </c>
      <c r="Z621" s="2" t="s">
        <v>8637</v>
      </c>
      <c r="AG621" s="7" t="s">
        <v>8824</v>
      </c>
      <c r="AS621" s="2"/>
      <c r="AV621" s="11"/>
      <c r="AX621" s="4" t="s">
        <v>8607</v>
      </c>
      <c r="BI621" s="2" t="s">
        <v>8590</v>
      </c>
      <c r="BL621" s="2" t="s">
        <v>8591</v>
      </c>
      <c r="BO621" s="2"/>
      <c r="MJM621" s="2"/>
    </row>
    <row r="622" s="32" customFormat="true" ht="19.5" hidden="false" customHeight="true" outlineLevel="0" collapsed="false">
      <c r="A622" s="2" t="s">
        <v>10747</v>
      </c>
      <c r="B622" s="2"/>
      <c r="C622" s="2" t="str">
        <f aca="false">_xlfn.CONCAT(A622, " ","(",B622,")")</f>
        <v>Tuberta maerens ()</v>
      </c>
      <c r="D622" s="2" t="s">
        <v>8728</v>
      </c>
      <c r="E622" s="75" t="s">
        <v>8729</v>
      </c>
      <c r="F622" s="75" t="s">
        <v>10748</v>
      </c>
      <c r="G622" s="2" t="s">
        <v>8662</v>
      </c>
      <c r="H622" s="2" t="str">
        <f aca="false">VLOOKUP(A622,'[1]NE red list'!A$1:H$1048576,5,FALSE())</f>
        <v>EN</v>
      </c>
      <c r="I622" s="2" t="s">
        <v>8610</v>
      </c>
      <c r="J622" s="2" t="s">
        <v>10749</v>
      </c>
      <c r="K622" s="2" t="s">
        <v>9823</v>
      </c>
      <c r="L622" s="2" t="s">
        <v>8665</v>
      </c>
      <c r="M622" s="2"/>
      <c r="N622" s="2" t="str">
        <f aca="false">_xlfn.CONCAT(Q622," ",R622," ",S622)</f>
        <v> parkland </v>
      </c>
      <c r="O622" s="3" t="s">
        <v>14</v>
      </c>
      <c r="P622" s="2"/>
      <c r="Q622" s="2"/>
      <c r="R622" s="2" t="s">
        <v>8568</v>
      </c>
      <c r="S622" s="2"/>
      <c r="T622" s="2"/>
      <c r="U622" s="2" t="s">
        <v>8570</v>
      </c>
      <c r="V622" s="2"/>
      <c r="W622" s="2"/>
      <c r="X622" s="2" t="s">
        <v>8589</v>
      </c>
      <c r="Y622" s="2"/>
      <c r="Z622" s="2"/>
      <c r="AA622" s="4"/>
      <c r="AB622" s="5"/>
      <c r="AC622" s="6"/>
      <c r="AD622" s="6"/>
      <c r="AE622" s="6"/>
      <c r="AF622" s="6"/>
      <c r="AG622" s="7"/>
      <c r="AH622" s="7"/>
      <c r="AI622" s="7"/>
      <c r="AJ622" s="7"/>
      <c r="AK622" s="7"/>
      <c r="AL622" s="7"/>
      <c r="AM622" s="4" t="s">
        <v>8657</v>
      </c>
      <c r="AN622" s="32" t="s">
        <v>9824</v>
      </c>
      <c r="AQ622" s="8" t="s">
        <v>42</v>
      </c>
      <c r="AR622" s="8" t="s">
        <v>43</v>
      </c>
      <c r="AS622" s="2"/>
      <c r="AU622" s="4"/>
      <c r="AV622" s="11"/>
      <c r="AW622" s="11"/>
      <c r="AX622" s="4"/>
      <c r="AY622" s="12"/>
      <c r="AZ622" s="12"/>
      <c r="BC622" s="32" t="s">
        <v>9273</v>
      </c>
      <c r="BD622" s="32" t="s">
        <v>8793</v>
      </c>
      <c r="BI622" s="2" t="s">
        <v>8590</v>
      </c>
      <c r="BL622" s="32" t="s">
        <v>8591</v>
      </c>
    </row>
    <row r="623" customFormat="false" ht="19.5" hidden="false" customHeight="true" outlineLevel="0" collapsed="false">
      <c r="A623" s="1" t="s">
        <v>10750</v>
      </c>
      <c r="B623" s="2" t="s">
        <v>10751</v>
      </c>
      <c r="C623" s="2" t="str">
        <f aca="false">_xlfn.CONCAT(A623, " ","(",B623,")")</f>
        <v>Tyto alba (Barn Owl)</v>
      </c>
      <c r="D623" s="2" t="s">
        <v>8560</v>
      </c>
      <c r="E623" s="2" t="s">
        <v>8561</v>
      </c>
      <c r="F623" s="2" t="s">
        <v>10752</v>
      </c>
      <c r="G623" s="2" t="s">
        <v>9115</v>
      </c>
      <c r="H623" s="2" t="str">
        <f aca="false">VLOOKUP(A623,'[1]NE red list'!A$1:H$1048576,5,FALSE())</f>
        <v>LC</v>
      </c>
      <c r="I623" s="2" t="s">
        <v>8645</v>
      </c>
      <c r="J623" s="51" t="s">
        <v>10753</v>
      </c>
      <c r="K623" s="2" t="s">
        <v>10754</v>
      </c>
      <c r="L623" s="2" t="s">
        <v>8665</v>
      </c>
      <c r="N623" s="2" t="str">
        <f aca="false">_xlfn.CONCAT(Q623," ",R623," ",S623)</f>
        <v> parkland ToW</v>
      </c>
      <c r="O623" s="2" t="s">
        <v>14</v>
      </c>
      <c r="P623" s="2"/>
      <c r="R623" s="2" t="s">
        <v>8568</v>
      </c>
      <c r="S623" s="2" t="s">
        <v>18</v>
      </c>
      <c r="T623" s="2"/>
      <c r="U623" s="2" t="s">
        <v>8605</v>
      </c>
      <c r="AA623" s="4" t="s">
        <v>26</v>
      </c>
      <c r="AD623" s="6" t="s">
        <v>8615</v>
      </c>
      <c r="AS623" s="2"/>
      <c r="AV623" s="11"/>
      <c r="BL623" s="2" t="s">
        <v>8591</v>
      </c>
      <c r="MJM623" s="2"/>
    </row>
    <row r="624" customFormat="false" ht="19.5" hidden="false" customHeight="true" outlineLevel="0" collapsed="false">
      <c r="A624" s="2" t="s">
        <v>10755</v>
      </c>
      <c r="C624" s="2" t="str">
        <f aca="false">_xlfn.CONCAT(A624, " ","(",B624,")")</f>
        <v>Uleiota planatus ()</v>
      </c>
      <c r="D624" s="2" t="s">
        <v>8580</v>
      </c>
      <c r="E624" s="2" t="s">
        <v>8581</v>
      </c>
      <c r="F624" s="2" t="s">
        <v>10756</v>
      </c>
      <c r="G624" s="2" t="s">
        <v>8583</v>
      </c>
      <c r="H624" s="2" t="e">
        <f aca="false">VLOOKUP(A624,'[1]NE red list'!A$1:H$1048576,5,FALSE())</f>
        <v>#N/A</v>
      </c>
      <c r="I624" s="2" t="s">
        <v>8945</v>
      </c>
      <c r="J624" s="2" t="s">
        <v>10757</v>
      </c>
      <c r="L624" s="2" t="s">
        <v>8677</v>
      </c>
      <c r="N624" s="2" t="str">
        <f aca="false">_xlfn.CONCAT(Q624," ",R624," ",S624)</f>
        <v>woodland  </v>
      </c>
      <c r="O624" s="2"/>
      <c r="P624" s="2"/>
      <c r="Q624" s="2" t="s">
        <v>16</v>
      </c>
      <c r="T624" s="2"/>
      <c r="U624" s="2" t="s">
        <v>8570</v>
      </c>
      <c r="V624" s="2" t="s">
        <v>10758</v>
      </c>
      <c r="Y624" s="2" t="s">
        <v>8573</v>
      </c>
      <c r="Z624" s="2" t="s">
        <v>8694</v>
      </c>
      <c r="AG624" s="7" t="s">
        <v>8575</v>
      </c>
      <c r="AM624" s="4" t="s">
        <v>8657</v>
      </c>
      <c r="AN624" s="8" t="s">
        <v>10524</v>
      </c>
      <c r="AO624" s="8" t="s">
        <v>40</v>
      </c>
      <c r="AQ624" s="8" t="s">
        <v>42</v>
      </c>
      <c r="AS624" s="2"/>
      <c r="AV624" s="11"/>
      <c r="BJ624" s="2" t="s">
        <v>8630</v>
      </c>
      <c r="BL624" s="2" t="s">
        <v>8591</v>
      </c>
      <c r="BO624" s="2"/>
      <c r="MJM624" s="2"/>
    </row>
    <row r="625" s="32" customFormat="true" ht="41.25" hidden="false" customHeight="false" outlineLevel="0" collapsed="false">
      <c r="A625" s="2" t="s">
        <v>10759</v>
      </c>
      <c r="B625" s="2"/>
      <c r="C625" s="2" t="str">
        <f aca="false">_xlfn.CONCAT(A625, " ","(",B625,")")</f>
        <v>Xerotrema quercicola ()</v>
      </c>
      <c r="D625" s="2" t="s">
        <v>8892</v>
      </c>
      <c r="E625" s="2" t="s">
        <v>8892</v>
      </c>
      <c r="F625" s="2" t="s">
        <v>8892</v>
      </c>
      <c r="G625" s="2"/>
      <c r="H625" s="2" t="str">
        <f aca="false">VLOOKUP(A625,'[1]NE red list'!A$1:H$1048576,5,FALSE())</f>
        <v>NT</v>
      </c>
      <c r="I625" s="2" t="s">
        <v>8564</v>
      </c>
      <c r="J625" s="33" t="s">
        <v>10760</v>
      </c>
      <c r="K625" s="2" t="s">
        <v>8996</v>
      </c>
      <c r="L625" s="2" t="s">
        <v>8896</v>
      </c>
      <c r="M625" s="2"/>
      <c r="N625" s="2" t="str">
        <f aca="false">_xlfn.CONCAT(Q625," ",R625," ",S625)</f>
        <v>woodland  </v>
      </c>
      <c r="O625" s="2"/>
      <c r="P625" s="2" t="s">
        <v>8567</v>
      </c>
      <c r="Q625" s="2" t="s">
        <v>16</v>
      </c>
      <c r="R625" s="2"/>
      <c r="S625" s="2"/>
      <c r="T625" s="2"/>
      <c r="U625" s="2" t="s">
        <v>8570</v>
      </c>
      <c r="V625" s="2" t="s">
        <v>8745</v>
      </c>
      <c r="W625" s="2" t="s">
        <v>8567</v>
      </c>
      <c r="X625" s="2" t="s">
        <v>8589</v>
      </c>
      <c r="Y625" s="2"/>
      <c r="Z625" s="2" t="s">
        <v>8574</v>
      </c>
      <c r="AA625" s="4"/>
      <c r="AB625" s="5"/>
      <c r="AC625" s="6"/>
      <c r="AD625" s="6"/>
      <c r="AE625" s="6"/>
      <c r="AF625" s="6"/>
      <c r="AG625" s="7"/>
      <c r="AH625" s="7"/>
      <c r="AI625" s="7"/>
      <c r="AJ625" s="7"/>
      <c r="AK625" s="7"/>
      <c r="AL625" s="7"/>
      <c r="AM625" s="4" t="s">
        <v>8657</v>
      </c>
      <c r="AN625" s="8"/>
      <c r="AO625" s="8"/>
      <c r="AP625" s="8" t="s">
        <v>8735</v>
      </c>
      <c r="AQ625" s="8"/>
      <c r="AR625" s="8"/>
      <c r="AS625" s="2"/>
      <c r="AT625" s="2"/>
      <c r="AU625" s="4"/>
      <c r="AV625" s="11"/>
      <c r="AW625" s="11"/>
      <c r="AX625" s="4"/>
      <c r="AY625" s="12"/>
      <c r="AZ625" s="12"/>
      <c r="BA625" s="2"/>
      <c r="BB625" s="2"/>
      <c r="BC625" s="2"/>
      <c r="BD625" s="2"/>
      <c r="BE625" s="2"/>
      <c r="BF625" s="2"/>
      <c r="BG625" s="2"/>
      <c r="BH625" s="2"/>
      <c r="BI625" s="2"/>
      <c r="BJ625" s="2" t="s">
        <v>8773</v>
      </c>
      <c r="BK625" s="2"/>
      <c r="BL625" s="2" t="s">
        <v>8591</v>
      </c>
      <c r="BM625" s="2"/>
      <c r="BN625" s="2"/>
    </row>
    <row r="626" customFormat="false" ht="14.25" hidden="false" customHeight="false" outlineLevel="0" collapsed="false">
      <c r="A626" s="1" t="s">
        <v>10761</v>
      </c>
      <c r="B626" s="2" t="s">
        <v>10762</v>
      </c>
      <c r="C626" s="2" t="str">
        <f aca="false">_xlfn.CONCAT(A626, " ","(",B626,")")</f>
        <v>Velleius dilatatus  (Hornet rove beetle)</v>
      </c>
      <c r="D626" s="2" t="s">
        <v>8580</v>
      </c>
      <c r="E626" s="2" t="s">
        <v>8581</v>
      </c>
      <c r="F626" s="2" t="s">
        <v>8652</v>
      </c>
      <c r="G626" s="2" t="s">
        <v>8662</v>
      </c>
      <c r="H626" s="2" t="str">
        <f aca="false">VLOOKUP(A626,'[1]NE red list'!A$1:H$1048576,5,FALSE())</f>
        <v>LC</v>
      </c>
      <c r="I626" s="2" t="s">
        <v>8743</v>
      </c>
      <c r="J626" s="2" t="s">
        <v>10763</v>
      </c>
      <c r="K626" s="2" t="s">
        <v>10764</v>
      </c>
      <c r="L626" s="2" t="s">
        <v>8665</v>
      </c>
      <c r="N626" s="2" t="str">
        <f aca="false">_xlfn.CONCAT(Q626," ",R626," ",S626)</f>
        <v> parkland </v>
      </c>
      <c r="O626" s="3" t="s">
        <v>14</v>
      </c>
      <c r="P626" s="2" t="s">
        <v>8587</v>
      </c>
      <c r="R626" s="2" t="s">
        <v>8568</v>
      </c>
      <c r="T626" s="2"/>
      <c r="U626" s="2" t="s">
        <v>8570</v>
      </c>
      <c r="Y626" s="2" t="s">
        <v>8573</v>
      </c>
      <c r="AS626" s="2"/>
      <c r="AV626" s="11"/>
      <c r="BA626" s="2" t="s">
        <v>9030</v>
      </c>
      <c r="BM626" s="2" t="s">
        <v>8619</v>
      </c>
      <c r="BO626" s="2"/>
      <c r="MJM626" s="2"/>
    </row>
    <row r="627" customFormat="false" ht="14.25" hidden="false" customHeight="false" outlineLevel="0" collapsed="false">
      <c r="A627" s="1" t="s">
        <v>10765</v>
      </c>
      <c r="B627" s="2" t="s">
        <v>10766</v>
      </c>
      <c r="C627" s="2" t="str">
        <f aca="false">_xlfn.CONCAT(A627, " ","(",B627,")")</f>
        <v>Vespa crabro (The Hornet. )</v>
      </c>
      <c r="D627" s="2" t="s">
        <v>8580</v>
      </c>
      <c r="E627" s="2" t="s">
        <v>8839</v>
      </c>
      <c r="F627" s="2" t="s">
        <v>10014</v>
      </c>
      <c r="G627" s="2" t="s">
        <v>8731</v>
      </c>
      <c r="H627" s="2" t="e">
        <f aca="false">VLOOKUP(A627,'[1]NE red list'!A$1:H$1048576,5,FALSE())</f>
        <v>#N/A</v>
      </c>
      <c r="I627" s="2" t="s">
        <v>10379</v>
      </c>
      <c r="J627" s="2" t="s">
        <v>10767</v>
      </c>
      <c r="L627" s="2" t="s">
        <v>9050</v>
      </c>
      <c r="N627" s="2" t="str">
        <f aca="false">_xlfn.CONCAT(Q627," ",R627," ",S627)</f>
        <v>woodland parkland ToW</v>
      </c>
      <c r="O627" s="2" t="s">
        <v>14</v>
      </c>
      <c r="P627" s="2"/>
      <c r="Q627" s="2" t="s">
        <v>16</v>
      </c>
      <c r="R627" s="2" t="s">
        <v>8568</v>
      </c>
      <c r="S627" s="2" t="s">
        <v>18</v>
      </c>
      <c r="T627" s="2"/>
      <c r="U627" s="2" t="s">
        <v>8605</v>
      </c>
      <c r="W627" s="2" t="s">
        <v>8571</v>
      </c>
      <c r="X627" s="2" t="s">
        <v>8589</v>
      </c>
      <c r="AA627" s="4" t="s">
        <v>26</v>
      </c>
      <c r="AD627" s="6" t="s">
        <v>8615</v>
      </c>
      <c r="AF627" s="6" t="s">
        <v>8616</v>
      </c>
      <c r="AG627" s="7" t="s">
        <v>8575</v>
      </c>
      <c r="AI627" s="7" t="s">
        <v>8617</v>
      </c>
      <c r="AS627" s="2"/>
      <c r="AV627" s="11"/>
      <c r="BB627" s="2" t="s">
        <v>8618</v>
      </c>
      <c r="BI627" s="2" t="s">
        <v>8590</v>
      </c>
      <c r="BL627" s="2" t="s">
        <v>8591</v>
      </c>
      <c r="BO627" s="2"/>
      <c r="MJM627" s="2"/>
    </row>
    <row r="628" customFormat="false" ht="14.25" hidden="false" customHeight="false" outlineLevel="0" collapsed="false">
      <c r="A628" s="2" t="s">
        <v>10768</v>
      </c>
      <c r="C628" s="2" t="str">
        <f aca="false">_xlfn.CONCAT(A628, " ","(",B628,")")</f>
        <v>Volucella inflata ()</v>
      </c>
      <c r="D628" s="2" t="s">
        <v>8580</v>
      </c>
      <c r="E628" s="2" t="s">
        <v>8687</v>
      </c>
      <c r="F628" s="2" t="s">
        <v>9024</v>
      </c>
      <c r="H628" s="2" t="str">
        <f aca="false">VLOOKUP(A628,'[1]NE red list'!A$1:H$1048576,5,FALSE())</f>
        <v>LC</v>
      </c>
      <c r="I628" s="2" t="s">
        <v>8945</v>
      </c>
      <c r="J628" s="2" t="s">
        <v>10769</v>
      </c>
      <c r="K628" s="2" t="s">
        <v>10770</v>
      </c>
      <c r="L628" s="2" t="s">
        <v>9050</v>
      </c>
      <c r="N628" s="2" t="str">
        <f aca="false">_xlfn.CONCAT(Q628," ",R628," ",S628)</f>
        <v>woodland  </v>
      </c>
      <c r="O628" s="2" t="s">
        <v>14</v>
      </c>
      <c r="P628" s="2"/>
      <c r="Q628" s="2" t="s">
        <v>16</v>
      </c>
      <c r="T628" s="2"/>
      <c r="U628" s="2" t="s">
        <v>8570</v>
      </c>
      <c r="W628" s="2" t="s">
        <v>8567</v>
      </c>
      <c r="X628" s="2" t="s">
        <v>8589</v>
      </c>
      <c r="Y628" s="2" t="s">
        <v>8573</v>
      </c>
      <c r="Z628" s="2" t="s">
        <v>8694</v>
      </c>
      <c r="AB628" s="5" t="s">
        <v>9028</v>
      </c>
      <c r="AG628" s="7" t="s">
        <v>8824</v>
      </c>
      <c r="AM628" s="4" t="s">
        <v>8657</v>
      </c>
      <c r="AN628" s="8" t="s">
        <v>9029</v>
      </c>
      <c r="AO628" s="8" t="s">
        <v>40</v>
      </c>
      <c r="AQ628" s="8" t="s">
        <v>42</v>
      </c>
      <c r="AS628" s="2"/>
      <c r="AV628" s="11"/>
      <c r="BA628" s="2" t="s">
        <v>9030</v>
      </c>
      <c r="BB628" s="2" t="s">
        <v>8618</v>
      </c>
      <c r="BI628" s="2" t="s">
        <v>8590</v>
      </c>
      <c r="BL628" s="2" t="s">
        <v>8591</v>
      </c>
      <c r="BO628" s="2"/>
      <c r="MJM628" s="2"/>
    </row>
    <row r="629" customFormat="false" ht="13.5" hidden="false" customHeight="true" outlineLevel="0" collapsed="false">
      <c r="A629" s="2" t="s">
        <v>10771</v>
      </c>
      <c r="C629" s="2" t="str">
        <f aca="false">_xlfn.CONCAT(A629, " ","(",B629,")")</f>
        <v>Wanachia triguttata ()</v>
      </c>
      <c r="D629" s="2" t="s">
        <v>8580</v>
      </c>
      <c r="E629" s="2" t="s">
        <v>8581</v>
      </c>
      <c r="F629" s="2" t="s">
        <v>8652</v>
      </c>
      <c r="G629" s="2" t="s">
        <v>8633</v>
      </c>
      <c r="H629" s="2" t="e">
        <f aca="false">VLOOKUP(A629,'[1]NE red list'!A$1:H$1048576,5,FALSE())</f>
        <v>#N/A</v>
      </c>
      <c r="I629" s="2" t="s">
        <v>8690</v>
      </c>
      <c r="J629" s="2" t="s">
        <v>10772</v>
      </c>
      <c r="L629" s="2" t="s">
        <v>8677</v>
      </c>
      <c r="N629" s="2" t="str">
        <f aca="false">_xlfn.CONCAT(Q629," ",R629," ",S629)</f>
        <v>woodland parkland </v>
      </c>
      <c r="O629" s="3" t="s">
        <v>14</v>
      </c>
      <c r="P629" s="2"/>
      <c r="Q629" s="2" t="s">
        <v>16</v>
      </c>
      <c r="R629" s="2" t="s">
        <v>8568</v>
      </c>
      <c r="T629" s="2"/>
      <c r="U629" s="2" t="s">
        <v>8605</v>
      </c>
      <c r="V629" s="2" t="s">
        <v>9685</v>
      </c>
      <c r="AS629" s="2"/>
      <c r="AV629" s="11"/>
      <c r="AX629" s="4" t="s">
        <v>8607</v>
      </c>
      <c r="BL629" s="2" t="s">
        <v>8591</v>
      </c>
      <c r="BO629" s="2"/>
      <c r="MJM629" s="2"/>
    </row>
    <row r="630" customFormat="false" ht="18" hidden="false" customHeight="true" outlineLevel="0" collapsed="false">
      <c r="A630" s="1" t="s">
        <v>10773</v>
      </c>
      <c r="B630" s="2" t="s">
        <v>10774</v>
      </c>
      <c r="C630" s="2" t="str">
        <f aca="false">_xlfn.CONCAT(A630, " ","(",B630,")")</f>
        <v>Larca lata (Oak-tree Chelifer)</v>
      </c>
      <c r="D630" s="2" t="s">
        <v>8728</v>
      </c>
      <c r="E630" s="2" t="s">
        <v>9132</v>
      </c>
      <c r="F630" s="2" t="s">
        <v>8864</v>
      </c>
      <c r="G630" s="2" t="s">
        <v>8662</v>
      </c>
      <c r="H630" s="2" t="e">
        <f aca="false">VLOOKUP(A630,'[1]NE red list'!A$1:H$1048576,5,FALSE())</f>
        <v>#N/A</v>
      </c>
      <c r="I630" s="2" t="s">
        <v>8610</v>
      </c>
      <c r="J630" s="2" t="s">
        <v>10775</v>
      </c>
      <c r="K630" s="2" t="s">
        <v>10496</v>
      </c>
      <c r="L630" s="2" t="s">
        <v>8665</v>
      </c>
      <c r="N630" s="2" t="str">
        <f aca="false">_xlfn.CONCAT(Q630," ",R630," ",S630)</f>
        <v> parkland </v>
      </c>
      <c r="O630" s="3" t="s">
        <v>14</v>
      </c>
      <c r="P630" s="2"/>
      <c r="R630" s="2" t="s">
        <v>8568</v>
      </c>
      <c r="T630" s="2"/>
      <c r="U630" s="2" t="s">
        <v>8570</v>
      </c>
      <c r="V630" s="2" t="s">
        <v>8745</v>
      </c>
      <c r="W630" s="2" t="s">
        <v>8571</v>
      </c>
      <c r="X630" s="2" t="s">
        <v>8589</v>
      </c>
      <c r="Y630" s="2" t="s">
        <v>8573</v>
      </c>
      <c r="Z630" s="2" t="s">
        <v>8694</v>
      </c>
      <c r="AA630" s="4" t="s">
        <v>26</v>
      </c>
      <c r="AF630" s="6" t="s">
        <v>8616</v>
      </c>
      <c r="AG630" s="7" t="s">
        <v>8575</v>
      </c>
      <c r="AI630" s="7" t="s">
        <v>8617</v>
      </c>
      <c r="AL630" s="7" t="s">
        <v>8628</v>
      </c>
      <c r="AS630" s="2"/>
      <c r="AV630" s="11"/>
      <c r="BI630" s="2" t="s">
        <v>8590</v>
      </c>
      <c r="BL630" s="2" t="s">
        <v>8591</v>
      </c>
      <c r="BO630" s="2"/>
      <c r="MJM630" s="2"/>
    </row>
    <row r="631" customFormat="false" ht="14.25" hidden="false" customHeight="false" outlineLevel="0" collapsed="false">
      <c r="A631" s="1" t="s">
        <v>10776</v>
      </c>
      <c r="B631" s="2" t="s">
        <v>10777</v>
      </c>
      <c r="C631" s="2" t="str">
        <f aca="false">_xlfn.CONCAT(A631, " ","(",B631,")")</f>
        <v>Xestobium rufovillosum (Death-watch Beetle)</v>
      </c>
      <c r="D631" s="2" t="s">
        <v>8580</v>
      </c>
      <c r="E631" s="2" t="s">
        <v>8581</v>
      </c>
      <c r="F631" s="2" t="s">
        <v>8818</v>
      </c>
      <c r="H631" s="2" t="str">
        <f aca="false">VLOOKUP(A631,'[1]NE red list'!A$1:H$1048576,5,FALSE())</f>
        <v>LC</v>
      </c>
      <c r="I631" s="2" t="s">
        <v>9086</v>
      </c>
      <c r="J631" s="2" t="s">
        <v>10778</v>
      </c>
      <c r="L631" s="2" t="s">
        <v>8836</v>
      </c>
      <c r="N631" s="2" t="str">
        <f aca="false">_xlfn.CONCAT(Q631," ",R631," ",S631)</f>
        <v> parkland </v>
      </c>
      <c r="O631" s="3" t="s">
        <v>14</v>
      </c>
      <c r="P631" s="2"/>
      <c r="R631" s="2" t="s">
        <v>8568</v>
      </c>
      <c r="T631" s="2"/>
      <c r="U631" s="2" t="s">
        <v>8570</v>
      </c>
      <c r="V631" s="2" t="s">
        <v>8716</v>
      </c>
      <c r="W631" s="2" t="s">
        <v>8571</v>
      </c>
      <c r="X631" s="2" t="s">
        <v>8589</v>
      </c>
      <c r="Z631" s="2" t="s">
        <v>8574</v>
      </c>
      <c r="AG631" s="7" t="s">
        <v>8575</v>
      </c>
      <c r="AI631" s="7" t="s">
        <v>8617</v>
      </c>
      <c r="AS631" s="2"/>
      <c r="AV631" s="11"/>
      <c r="AX631" s="4" t="s">
        <v>8607</v>
      </c>
      <c r="BI631" s="2" t="s">
        <v>8590</v>
      </c>
      <c r="BJ631" s="2" t="s">
        <v>8747</v>
      </c>
      <c r="BL631" s="2" t="s">
        <v>8591</v>
      </c>
      <c r="BO631" s="2"/>
      <c r="MJM631" s="2"/>
    </row>
    <row r="632" customFormat="false" ht="14.25" hidden="false" customHeight="false" outlineLevel="0" collapsed="false">
      <c r="A632" s="2" t="s">
        <v>10779</v>
      </c>
      <c r="C632" s="2" t="str">
        <f aca="false">_xlfn.CONCAT(A632, " ","(",B632,")")</f>
        <v>Quedius microps ()</v>
      </c>
      <c r="D632" s="2" t="s">
        <v>8580</v>
      </c>
      <c r="E632" s="2" t="s">
        <v>8581</v>
      </c>
      <c r="F632" s="2" t="s">
        <v>8652</v>
      </c>
      <c r="G632" s="2" t="s">
        <v>8583</v>
      </c>
      <c r="H632" s="2" t="e">
        <f aca="false">VLOOKUP(A632,'[1]NE red list'!A$1:H$1048576,5,FALSE())</f>
        <v>#N/A</v>
      </c>
      <c r="I632" s="2" t="s">
        <v>10780</v>
      </c>
      <c r="J632" s="2" t="s">
        <v>10781</v>
      </c>
      <c r="L632" s="2" t="s">
        <v>8665</v>
      </c>
      <c r="N632" s="2" t="str">
        <f aca="false">_xlfn.CONCAT(Q632," ",R632," ",S632)</f>
        <v> parkland </v>
      </c>
      <c r="O632" s="3" t="s">
        <v>14</v>
      </c>
      <c r="P632" s="2"/>
      <c r="R632" s="2" t="s">
        <v>8568</v>
      </c>
      <c r="T632" s="2"/>
      <c r="U632" s="2" t="s">
        <v>8570</v>
      </c>
      <c r="W632" s="2" t="s">
        <v>8571</v>
      </c>
      <c r="Z632" s="2" t="s">
        <v>8574</v>
      </c>
      <c r="AA632" s="4" t="s">
        <v>26</v>
      </c>
      <c r="AD632" s="6" t="s">
        <v>8615</v>
      </c>
      <c r="AF632" s="6" t="s">
        <v>8616</v>
      </c>
      <c r="AG632" s="7" t="s">
        <v>8575</v>
      </c>
      <c r="AI632" s="7" t="s">
        <v>8617</v>
      </c>
      <c r="AL632" s="7" t="s">
        <v>8628</v>
      </c>
      <c r="AS632" s="2"/>
      <c r="AV632" s="11"/>
      <c r="BD632" s="2" t="s">
        <v>8629</v>
      </c>
      <c r="BI632" s="2" t="s">
        <v>8590</v>
      </c>
      <c r="BJ632" s="2" t="s">
        <v>8630</v>
      </c>
      <c r="BL632" s="2" t="s">
        <v>8591</v>
      </c>
      <c r="BM632" s="2" t="s">
        <v>8619</v>
      </c>
      <c r="BO632" s="2"/>
      <c r="MJM632" s="2"/>
    </row>
    <row r="633" s="32" customFormat="true" ht="14.25" hidden="false" customHeight="false" outlineLevel="0" collapsed="false">
      <c r="A633" s="1" t="s">
        <v>10782</v>
      </c>
      <c r="B633" s="2" t="s">
        <v>10783</v>
      </c>
      <c r="C633" s="2" t="str">
        <f aca="false">_xlfn.CONCAT(A633, " ","(",B633,")")</f>
        <v>Xylomya maculata (Wasp Wood-soldierfly)</v>
      </c>
      <c r="D633" s="2" t="s">
        <v>8580</v>
      </c>
      <c r="E633" s="2" t="s">
        <v>8687</v>
      </c>
      <c r="F633" s="2" t="s">
        <v>10784</v>
      </c>
      <c r="G633" s="2" t="s">
        <v>8633</v>
      </c>
      <c r="H633" s="2" t="str">
        <f aca="false">VLOOKUP(A633,'[1]NE red list'!A$1:H$1048576,5,FALSE())</f>
        <v>VU</v>
      </c>
      <c r="I633" s="2" t="s">
        <v>8714</v>
      </c>
      <c r="J633" s="2" t="s">
        <v>10785</v>
      </c>
      <c r="K633" s="2"/>
      <c r="L633" s="2" t="s">
        <v>8836</v>
      </c>
      <c r="M633" s="2"/>
      <c r="N633" s="2" t="str">
        <f aca="false">_xlfn.CONCAT(Q633," ",R633," ",S633)</f>
        <v>woodland parkland </v>
      </c>
      <c r="O633" s="3" t="s">
        <v>14</v>
      </c>
      <c r="P633" s="2" t="s">
        <v>8587</v>
      </c>
      <c r="Q633" s="2" t="s">
        <v>16</v>
      </c>
      <c r="R633" s="2" t="s">
        <v>8568</v>
      </c>
      <c r="S633" s="2"/>
      <c r="T633" s="2"/>
      <c r="U633" s="2" t="s">
        <v>8570</v>
      </c>
      <c r="V633" s="2"/>
      <c r="W633" s="2" t="s">
        <v>8567</v>
      </c>
      <c r="X633" s="2"/>
      <c r="Y633" s="2"/>
      <c r="Z633" s="2" t="s">
        <v>8614</v>
      </c>
      <c r="AA633" s="4" t="s">
        <v>26</v>
      </c>
      <c r="AB633" s="5"/>
      <c r="AC633" s="6"/>
      <c r="AD633" s="6"/>
      <c r="AE633" s="6"/>
      <c r="AF633" s="6" t="s">
        <v>9045</v>
      </c>
      <c r="AG633" s="7" t="s">
        <v>8575</v>
      </c>
      <c r="AH633" s="7"/>
      <c r="AI633" s="7" t="s">
        <v>8617</v>
      </c>
      <c r="AJ633" s="7"/>
      <c r="AK633" s="7"/>
      <c r="AL633" s="7"/>
      <c r="AM633" s="4"/>
      <c r="AS633" s="2"/>
      <c r="AU633" s="4"/>
      <c r="AV633" s="11"/>
      <c r="AW633" s="11"/>
      <c r="AX633" s="4"/>
      <c r="AY633" s="12"/>
      <c r="AZ633" s="12"/>
      <c r="BL633" s="32" t="s">
        <v>8591</v>
      </c>
    </row>
    <row r="634" customFormat="false" ht="14.25" hidden="false" customHeight="false" outlineLevel="0" collapsed="false">
      <c r="A634" s="1" t="s">
        <v>10786</v>
      </c>
      <c r="B634" s="2" t="s">
        <v>10787</v>
      </c>
      <c r="C634" s="2" t="str">
        <f aca="false">_xlfn.CONCAT(A634, " ","(",B634,")")</f>
        <v>Xylophagus ater (Common Awl-fly)</v>
      </c>
      <c r="D634" s="2" t="s">
        <v>8580</v>
      </c>
      <c r="E634" s="2" t="s">
        <v>8687</v>
      </c>
      <c r="F634" s="2" t="s">
        <v>10788</v>
      </c>
      <c r="H634" s="2" t="str">
        <f aca="false">VLOOKUP(A634,'[1]NE red list'!A$1:H$1048576,5,FALSE())</f>
        <v>LC</v>
      </c>
      <c r="I634" s="2" t="s">
        <v>8761</v>
      </c>
      <c r="J634" s="2" t="s">
        <v>10789</v>
      </c>
      <c r="L634" s="2" t="s">
        <v>8665</v>
      </c>
      <c r="N634" s="2" t="str">
        <f aca="false">_xlfn.CONCAT(Q634," ",R634," ",S634)</f>
        <v>woodland parkland </v>
      </c>
      <c r="O634" s="3" t="s">
        <v>14</v>
      </c>
      <c r="P634" s="2" t="s">
        <v>8587</v>
      </c>
      <c r="Q634" s="2" t="s">
        <v>16</v>
      </c>
      <c r="R634" s="2" t="s">
        <v>8568</v>
      </c>
      <c r="T634" s="2"/>
      <c r="U634" s="2" t="s">
        <v>8570</v>
      </c>
      <c r="Z634" s="2" t="s">
        <v>8574</v>
      </c>
      <c r="AG634" s="7" t="s">
        <v>8824</v>
      </c>
      <c r="AN634" s="8" t="s">
        <v>8638</v>
      </c>
      <c r="AS634" s="2"/>
      <c r="AV634" s="11"/>
      <c r="BI634" s="2" t="s">
        <v>8590</v>
      </c>
      <c r="BJ634" s="2" t="s">
        <v>8630</v>
      </c>
      <c r="BL634" s="2" t="s">
        <v>8591</v>
      </c>
      <c r="BO634" s="2"/>
      <c r="MJM634" s="2"/>
    </row>
    <row r="635" customFormat="false" ht="14.25" hidden="false" customHeight="false" outlineLevel="0" collapsed="false">
      <c r="A635" s="2" t="s">
        <v>10790</v>
      </c>
      <c r="C635" s="2" t="str">
        <f aca="false">_xlfn.CONCAT(A635, " ","(",B635,")")</f>
        <v>Xylota florum ()</v>
      </c>
      <c r="D635" s="2" t="s">
        <v>8580</v>
      </c>
      <c r="E635" s="2" t="s">
        <v>8687</v>
      </c>
      <c r="F635" s="2" t="s">
        <v>9024</v>
      </c>
      <c r="G635" s="2" t="s">
        <v>8583</v>
      </c>
      <c r="H635" s="2" t="str">
        <f aca="false">VLOOKUP(A635,'[1]NE red list'!A$1:H$1048576,5,FALSE())</f>
        <v>LC</v>
      </c>
      <c r="I635" s="2" t="s">
        <v>8564</v>
      </c>
      <c r="J635" s="2" t="s">
        <v>10791</v>
      </c>
      <c r="L635" s="2" t="s">
        <v>8836</v>
      </c>
      <c r="N635" s="2" t="str">
        <f aca="false">_xlfn.CONCAT(Q635," ",R635," ",S635)</f>
        <v>woodland  </v>
      </c>
      <c r="O635" s="2"/>
      <c r="P635" s="2"/>
      <c r="Q635" s="2" t="s">
        <v>16</v>
      </c>
      <c r="T635" s="2"/>
      <c r="U635" s="2" t="s">
        <v>8570</v>
      </c>
      <c r="X635" s="2" t="s">
        <v>8625</v>
      </c>
      <c r="Z635" s="2" t="s">
        <v>8598</v>
      </c>
      <c r="AG635" s="7" t="s">
        <v>8824</v>
      </c>
      <c r="AN635" s="8" t="s">
        <v>8829</v>
      </c>
      <c r="AS635" s="2"/>
      <c r="AV635" s="11"/>
      <c r="BA635" s="2" t="s">
        <v>8868</v>
      </c>
      <c r="BD635" s="2" t="s">
        <v>8577</v>
      </c>
      <c r="BI635" s="2" t="s">
        <v>8590</v>
      </c>
      <c r="BL635" s="2" t="s">
        <v>8591</v>
      </c>
      <c r="BO635" s="2"/>
      <c r="MJM635" s="2"/>
    </row>
    <row r="636" customFormat="false" ht="14.25" hidden="false" customHeight="false" outlineLevel="0" collapsed="false">
      <c r="A636" s="1" t="s">
        <v>10792</v>
      </c>
      <c r="B636" s="2" t="s">
        <v>10793</v>
      </c>
      <c r="C636" s="2" t="str">
        <f aca="false">_xlfn.CONCAT(A636, " ","(",B636,")")</f>
        <v>Xylota jakutorum (Spruce-stump Leaf-licker)</v>
      </c>
      <c r="D636" s="2" t="s">
        <v>8580</v>
      </c>
      <c r="E636" s="2" t="s">
        <v>8687</v>
      </c>
      <c r="F636" s="2" t="s">
        <v>9024</v>
      </c>
      <c r="H636" s="2" t="str">
        <f aca="false">VLOOKUP(A636,'[1]NE red list'!A$1:H$1048576,5,FALSE())</f>
        <v>LC</v>
      </c>
      <c r="I636" s="2" t="s">
        <v>8761</v>
      </c>
      <c r="J636" s="2" t="s">
        <v>10794</v>
      </c>
      <c r="K636" s="2" t="s">
        <v>10795</v>
      </c>
      <c r="L636" s="2" t="s">
        <v>9050</v>
      </c>
      <c r="N636" s="2" t="str">
        <f aca="false">_xlfn.CONCAT(Q636," ",R636," ",S636)</f>
        <v>plantations  </v>
      </c>
      <c r="O636" s="2"/>
      <c r="P636" s="2"/>
      <c r="Q636" s="2" t="s">
        <v>8890</v>
      </c>
      <c r="T636" s="2"/>
      <c r="U636" s="2" t="s">
        <v>8806</v>
      </c>
      <c r="V636" s="2" t="s">
        <v>8867</v>
      </c>
      <c r="X636" s="2" t="s">
        <v>9548</v>
      </c>
      <c r="Z636" s="2" t="s">
        <v>8614</v>
      </c>
      <c r="AB636" s="5" t="s">
        <v>8672</v>
      </c>
      <c r="AG636" s="7" t="s">
        <v>8824</v>
      </c>
      <c r="AS636" s="2"/>
      <c r="AV636" s="11"/>
      <c r="BA636" s="2" t="s">
        <v>8868</v>
      </c>
      <c r="BB636" s="2" t="s">
        <v>8618</v>
      </c>
      <c r="BC636" s="2" t="s">
        <v>9427</v>
      </c>
      <c r="BI636" s="2" t="s">
        <v>8590</v>
      </c>
      <c r="BL636" s="2" t="s">
        <v>8591</v>
      </c>
      <c r="BO636" s="2"/>
      <c r="MJM636" s="2"/>
    </row>
    <row r="637" customFormat="false" ht="14.25" hidden="false" customHeight="false" outlineLevel="0" collapsed="false">
      <c r="A637" s="2" t="s">
        <v>10796</v>
      </c>
      <c r="C637" s="2" t="str">
        <f aca="false">_xlfn.CONCAT(A637, " ","(",B637,")")</f>
        <v>Xylota sylvarum ()</v>
      </c>
      <c r="D637" s="2" t="s">
        <v>8580</v>
      </c>
      <c r="E637" s="2" t="s">
        <v>8687</v>
      </c>
      <c r="F637" s="2" t="s">
        <v>9024</v>
      </c>
      <c r="G637" s="2" t="s">
        <v>8737</v>
      </c>
      <c r="H637" s="2" t="str">
        <f aca="false">VLOOKUP(A637,'[1]NE red list'!A$1:H$1048576,5,FALSE())</f>
        <v>LC</v>
      </c>
      <c r="I637" s="2" t="s">
        <v>8645</v>
      </c>
      <c r="J637" s="2" t="s">
        <v>10797</v>
      </c>
      <c r="L637" s="2" t="s">
        <v>8836</v>
      </c>
      <c r="N637" s="2" t="str">
        <f aca="false">_xlfn.CONCAT(Q637," ",R637," ",S637)</f>
        <v>woodland parkland </v>
      </c>
      <c r="O637" s="3" t="s">
        <v>14</v>
      </c>
      <c r="P637" s="2" t="s">
        <v>8587</v>
      </c>
      <c r="Q637" s="2" t="s">
        <v>16</v>
      </c>
      <c r="R637" s="2" t="s">
        <v>8568</v>
      </c>
      <c r="T637" s="2"/>
      <c r="U637" s="2" t="s">
        <v>8570</v>
      </c>
      <c r="W637" s="2" t="s">
        <v>8571</v>
      </c>
      <c r="X637" s="2" t="s">
        <v>9548</v>
      </c>
      <c r="Y637" s="2" t="s">
        <v>8573</v>
      </c>
      <c r="Z637" s="2" t="s">
        <v>8614</v>
      </c>
      <c r="AA637" s="4" t="s">
        <v>26</v>
      </c>
      <c r="AF637" s="6" t="s">
        <v>8616</v>
      </c>
      <c r="AG637" s="7" t="s">
        <v>8575</v>
      </c>
      <c r="AH637" s="7" t="s">
        <v>33</v>
      </c>
      <c r="AN637" s="8" t="s">
        <v>8638</v>
      </c>
      <c r="AS637" s="2"/>
      <c r="AV637" s="11"/>
      <c r="BI637" s="2" t="s">
        <v>8590</v>
      </c>
      <c r="BL637" s="2" t="s">
        <v>8591</v>
      </c>
      <c r="BO637" s="2"/>
      <c r="MJM637" s="2"/>
    </row>
    <row r="638" customFormat="false" ht="14.25" hidden="false" customHeight="false" outlineLevel="0" collapsed="false">
      <c r="A638" s="2" t="s">
        <v>10798</v>
      </c>
      <c r="C638" s="2" t="str">
        <f aca="false">_xlfn.CONCAT(A638, " ","(",B638,")")</f>
        <v>Xylota tarda ()</v>
      </c>
      <c r="D638" s="2" t="s">
        <v>8580</v>
      </c>
      <c r="E638" s="2" t="s">
        <v>8687</v>
      </c>
      <c r="F638" s="2" t="s">
        <v>9024</v>
      </c>
      <c r="G638" s="2" t="s">
        <v>8583</v>
      </c>
      <c r="H638" s="2" t="str">
        <f aca="false">VLOOKUP(A638,'[1]NE red list'!A$1:H$1048576,5,FALSE())</f>
        <v>LC</v>
      </c>
      <c r="I638" s="2" t="s">
        <v>9086</v>
      </c>
      <c r="J638" s="2" t="s">
        <v>10799</v>
      </c>
      <c r="L638" s="2" t="s">
        <v>8836</v>
      </c>
      <c r="N638" s="2" t="str">
        <f aca="false">_xlfn.CONCAT(Q638," ",R638," ",S638)</f>
        <v>woodland  </v>
      </c>
      <c r="O638" s="2"/>
      <c r="P638" s="2"/>
      <c r="Q638" s="2" t="s">
        <v>16</v>
      </c>
      <c r="T638" s="2"/>
      <c r="U638" s="2" t="s">
        <v>8570</v>
      </c>
      <c r="V638" s="2" t="s">
        <v>10800</v>
      </c>
      <c r="W638" s="2" t="s">
        <v>8567</v>
      </c>
      <c r="X638" s="2" t="s">
        <v>9548</v>
      </c>
      <c r="Y638" s="2" t="s">
        <v>8573</v>
      </c>
      <c r="Z638" s="2" t="s">
        <v>8614</v>
      </c>
      <c r="AG638" s="7" t="s">
        <v>8824</v>
      </c>
      <c r="AM638" s="4" t="s">
        <v>8657</v>
      </c>
      <c r="AN638" s="8" t="s">
        <v>9029</v>
      </c>
      <c r="AO638" s="8" t="s">
        <v>40</v>
      </c>
      <c r="AQ638" s="8" t="s">
        <v>42</v>
      </c>
      <c r="AS638" s="2"/>
      <c r="AV638" s="11"/>
      <c r="BA638" s="2" t="s">
        <v>9030</v>
      </c>
      <c r="BD638" s="2" t="s">
        <v>8577</v>
      </c>
      <c r="BI638" s="2" t="s">
        <v>8590</v>
      </c>
      <c r="BL638" s="2" t="s">
        <v>8591</v>
      </c>
      <c r="BO638" s="2"/>
      <c r="MJM638" s="2"/>
    </row>
    <row r="639" customFormat="false" ht="14.25" hidden="false" customHeight="false" outlineLevel="0" collapsed="false">
      <c r="A639" s="2" t="s">
        <v>10801</v>
      </c>
      <c r="C639" s="2" t="str">
        <f aca="false">_xlfn.CONCAT(A639, " ","(",B639,")")</f>
        <v>Xylota xanthocnema ()</v>
      </c>
      <c r="D639" s="2" t="s">
        <v>8580</v>
      </c>
      <c r="E639" s="2" t="s">
        <v>8687</v>
      </c>
      <c r="F639" s="2" t="s">
        <v>9024</v>
      </c>
      <c r="G639" s="2" t="s">
        <v>8583</v>
      </c>
      <c r="H639" s="2" t="str">
        <f aca="false">VLOOKUP(A639,'[1]NE red list'!A$1:H$1048576,5,FALSE())</f>
        <v>LC</v>
      </c>
      <c r="I639" s="2" t="s">
        <v>9086</v>
      </c>
      <c r="J639" s="2" t="s">
        <v>10802</v>
      </c>
      <c r="L639" s="2" t="s">
        <v>8836</v>
      </c>
      <c r="N639" s="2" t="str">
        <f aca="false">_xlfn.CONCAT(Q639," ",R639," ",S639)</f>
        <v>woodland parkland </v>
      </c>
      <c r="O639" s="3" t="s">
        <v>14</v>
      </c>
      <c r="P639" s="2" t="s">
        <v>8587</v>
      </c>
      <c r="Q639" s="2" t="s">
        <v>16</v>
      </c>
      <c r="R639" s="2" t="s">
        <v>8568</v>
      </c>
      <c r="T639" s="2"/>
      <c r="U639" s="2" t="s">
        <v>8605</v>
      </c>
      <c r="V639" s="2" t="s">
        <v>10803</v>
      </c>
      <c r="W639" s="2" t="s">
        <v>8571</v>
      </c>
      <c r="Y639" s="2" t="s">
        <v>8573</v>
      </c>
      <c r="Z639" s="2" t="s">
        <v>8614</v>
      </c>
      <c r="AA639" s="4" t="s">
        <v>26</v>
      </c>
      <c r="AF639" s="6" t="s">
        <v>9635</v>
      </c>
      <c r="AG639" s="7" t="s">
        <v>8575</v>
      </c>
      <c r="AI639" s="7" t="s">
        <v>8617</v>
      </c>
      <c r="AS639" s="2"/>
      <c r="AV639" s="11"/>
      <c r="BI639" s="2" t="s">
        <v>8590</v>
      </c>
      <c r="BL639" s="2" t="s">
        <v>8591</v>
      </c>
      <c r="BO639" s="2"/>
      <c r="MJM639" s="2"/>
    </row>
    <row r="640" customFormat="false" ht="16.5" hidden="false" customHeight="true" outlineLevel="0" collapsed="false">
      <c r="A640" s="2" t="s">
        <v>10804</v>
      </c>
      <c r="C640" s="2" t="str">
        <f aca="false">_xlfn.CONCAT(A640, " ","(",B640,")")</f>
        <v>Xylotachina diluta ()</v>
      </c>
      <c r="D640" s="2" t="s">
        <v>8580</v>
      </c>
      <c r="E640" s="2" t="s">
        <v>8687</v>
      </c>
      <c r="F640" s="2" t="s">
        <v>10805</v>
      </c>
      <c r="G640" s="2" t="s">
        <v>8662</v>
      </c>
      <c r="H640" s="2" t="e">
        <f aca="false">VLOOKUP(A640,'[1]NE red list'!A$1:H$1048576,5,FALSE())</f>
        <v>#N/A</v>
      </c>
      <c r="I640" s="2" t="s">
        <v>8610</v>
      </c>
      <c r="J640" s="2" t="s">
        <v>10806</v>
      </c>
      <c r="K640" s="2" t="s">
        <v>10770</v>
      </c>
      <c r="L640" s="2" t="s">
        <v>8948</v>
      </c>
      <c r="N640" s="2" t="str">
        <f aca="false">_xlfn.CONCAT(Q640," ",R640," ",S640)</f>
        <v> parkland </v>
      </c>
      <c r="O640" s="3" t="s">
        <v>14</v>
      </c>
      <c r="P640" s="2"/>
      <c r="R640" s="2" t="s">
        <v>8568</v>
      </c>
      <c r="T640" s="2"/>
      <c r="U640" s="2" t="s">
        <v>8570</v>
      </c>
      <c r="AB640" s="5" t="s">
        <v>9028</v>
      </c>
      <c r="AS640" s="2"/>
      <c r="AV640" s="11"/>
      <c r="BI640" s="2" t="s">
        <v>8590</v>
      </c>
      <c r="BL640" s="2" t="s">
        <v>8591</v>
      </c>
      <c r="BO640" s="2"/>
      <c r="MJM640" s="2"/>
    </row>
    <row r="641" customFormat="false" ht="18" hidden="false" customHeight="true" outlineLevel="0" collapsed="false">
      <c r="A641" s="33" t="s">
        <v>10807</v>
      </c>
      <c r="C641" s="2" t="str">
        <f aca="false">_xlfn.CONCAT(A641, " ","(",B641,")")</f>
        <v>Ypsolopha parenthesella ()</v>
      </c>
      <c r="D641" s="2" t="s">
        <v>8580</v>
      </c>
      <c r="E641" s="2" t="s">
        <v>8722</v>
      </c>
      <c r="F641" s="2" t="s">
        <v>10808</v>
      </c>
      <c r="G641" s="2" t="s">
        <v>8731</v>
      </c>
      <c r="H641" s="2" t="e">
        <f aca="false">VLOOKUP(A641,'[1]NE red list'!A$1:H$1048576,5,FALSE())</f>
        <v>#N/A</v>
      </c>
      <c r="I641" s="2" t="s">
        <v>8645</v>
      </c>
      <c r="J641" s="33" t="s">
        <v>10809</v>
      </c>
      <c r="L641" s="2" t="s">
        <v>9605</v>
      </c>
      <c r="N641" s="2" t="str">
        <f aca="false">_xlfn.CONCAT(Q641," ",R641," ",S641)</f>
        <v>woodland  </v>
      </c>
      <c r="O641" s="2"/>
      <c r="P641" s="2"/>
      <c r="Q641" s="3" t="s">
        <v>16</v>
      </c>
      <c r="T641" s="2"/>
      <c r="U641" s="2" t="s">
        <v>9449</v>
      </c>
      <c r="V641" s="2" t="s">
        <v>10810</v>
      </c>
      <c r="AM641" s="4" t="s">
        <v>8657</v>
      </c>
      <c r="AO641" s="8" t="s">
        <v>40</v>
      </c>
      <c r="AQ641" s="8" t="s">
        <v>42</v>
      </c>
      <c r="AS641" s="2"/>
      <c r="BI641" s="2" t="s">
        <v>8590</v>
      </c>
      <c r="BO641" s="2"/>
      <c r="MJM641" s="2"/>
    </row>
    <row r="642" s="32" customFormat="true" ht="14.25" hidden="false" customHeight="false" outlineLevel="0" collapsed="false">
      <c r="A642" s="1" t="s">
        <v>10811</v>
      </c>
      <c r="B642" s="2" t="s">
        <v>10812</v>
      </c>
      <c r="C642" s="2" t="str">
        <f aca="false">_xlfn.CONCAT(A642, " ","(",B642,")")</f>
        <v>Zabrachia tenella (Pine Black)</v>
      </c>
      <c r="D642" s="2" t="s">
        <v>8580</v>
      </c>
      <c r="E642" s="2" t="s">
        <v>8687</v>
      </c>
      <c r="F642" s="2" t="s">
        <v>10123</v>
      </c>
      <c r="G642" s="2" t="s">
        <v>8633</v>
      </c>
      <c r="H642" s="2" t="str">
        <f aca="false">VLOOKUP(A642,'[1]NE red list'!A$1:H$1048576,5,FALSE())</f>
        <v>EN</v>
      </c>
      <c r="I642" s="2" t="s">
        <v>8645</v>
      </c>
      <c r="J642" s="2" t="s">
        <v>10813</v>
      </c>
      <c r="K642" s="2"/>
      <c r="L642" s="2" t="s">
        <v>8836</v>
      </c>
      <c r="M642" s="2"/>
      <c r="N642" s="2" t="str">
        <f aca="false">_xlfn.CONCAT(Q642," ",R642," ",S642)</f>
        <v>woodland  </v>
      </c>
      <c r="O642" s="2"/>
      <c r="P642" s="2"/>
      <c r="Q642" s="2" t="s">
        <v>16</v>
      </c>
      <c r="R642" s="2"/>
      <c r="S642" s="2"/>
      <c r="T642" s="2"/>
      <c r="U642" s="2" t="s">
        <v>8605</v>
      </c>
      <c r="V642" s="2" t="s">
        <v>8867</v>
      </c>
      <c r="W642" s="2"/>
      <c r="X642" s="2"/>
      <c r="Y642" s="2"/>
      <c r="Z642" s="2" t="s">
        <v>8574</v>
      </c>
      <c r="AA642" s="4"/>
      <c r="AB642" s="5" t="s">
        <v>8672</v>
      </c>
      <c r="AC642" s="6"/>
      <c r="AD642" s="6"/>
      <c r="AE642" s="6"/>
      <c r="AF642" s="6"/>
      <c r="AG642" s="7" t="s">
        <v>8824</v>
      </c>
      <c r="AH642" s="7"/>
      <c r="AI642" s="7"/>
      <c r="AJ642" s="7"/>
      <c r="AK642" s="7"/>
      <c r="AL642" s="7"/>
      <c r="AM642" s="4"/>
      <c r="AS642" s="2"/>
      <c r="AU642" s="4"/>
      <c r="AV642" s="11"/>
      <c r="AW642" s="11"/>
      <c r="AX642" s="4"/>
      <c r="AY642" s="12"/>
      <c r="AZ642" s="12"/>
      <c r="BI642" s="2" t="s">
        <v>8590</v>
      </c>
      <c r="BL642" s="32" t="s">
        <v>8591</v>
      </c>
    </row>
    <row r="643" customFormat="false" ht="14.25" hidden="false" customHeight="false" outlineLevel="0" collapsed="false">
      <c r="A643" s="2" t="s">
        <v>10814</v>
      </c>
      <c r="C643" s="2" t="str">
        <f aca="false">_xlfn.CONCAT(A643, " ","(",B643,")")</f>
        <v>Quedius truncicola ()</v>
      </c>
      <c r="D643" s="2" t="s">
        <v>8580</v>
      </c>
      <c r="E643" s="2" t="s">
        <v>8581</v>
      </c>
      <c r="F643" s="2" t="s">
        <v>8652</v>
      </c>
      <c r="G643" s="2" t="s">
        <v>8583</v>
      </c>
      <c r="H643" s="2" t="e">
        <f aca="false">VLOOKUP(A643,'[1]NE red list'!A$1:H$1048576,5,FALSE())</f>
        <v>#N/A</v>
      </c>
      <c r="I643" s="2" t="s">
        <v>9086</v>
      </c>
      <c r="J643" s="2" t="s">
        <v>10815</v>
      </c>
      <c r="K643" s="2" t="s">
        <v>8976</v>
      </c>
      <c r="L643" s="2" t="s">
        <v>8665</v>
      </c>
      <c r="N643" s="2" t="str">
        <f aca="false">_xlfn.CONCAT(Q643," ",R643," ",S643)</f>
        <v> parkland </v>
      </c>
      <c r="O643" s="3" t="s">
        <v>14</v>
      </c>
      <c r="P643" s="2"/>
      <c r="R643" s="2" t="s">
        <v>8568</v>
      </c>
      <c r="T643" s="2"/>
      <c r="U643" s="2" t="s">
        <v>8570</v>
      </c>
      <c r="W643" s="2" t="s">
        <v>8571</v>
      </c>
      <c r="Z643" s="2" t="s">
        <v>8574</v>
      </c>
      <c r="AA643" s="4" t="s">
        <v>26</v>
      </c>
      <c r="AC643" s="5" t="s">
        <v>8666</v>
      </c>
      <c r="AD643" s="6" t="s">
        <v>8615</v>
      </c>
      <c r="AF643" s="6" t="s">
        <v>8616</v>
      </c>
      <c r="AG643" s="7" t="s">
        <v>8575</v>
      </c>
      <c r="AI643" s="7" t="s">
        <v>8617</v>
      </c>
      <c r="AL643" s="7" t="s">
        <v>8628</v>
      </c>
      <c r="AS643" s="2"/>
      <c r="AU643" s="4" t="s">
        <v>8639</v>
      </c>
      <c r="AV643" s="47" t="s">
        <v>10236</v>
      </c>
      <c r="BD643" s="2" t="s">
        <v>8629</v>
      </c>
      <c r="BI643" s="2" t="s">
        <v>8590</v>
      </c>
      <c r="BL643" s="2" t="s">
        <v>8591</v>
      </c>
      <c r="BM643" s="2" t="s">
        <v>8619</v>
      </c>
      <c r="BO643" s="2"/>
      <c r="MJM643" s="2"/>
    </row>
    <row r="644" customFormat="false" ht="14.25" hidden="false" customHeight="false" outlineLevel="0" collapsed="false">
      <c r="A644" s="3" t="s">
        <v>10816</v>
      </c>
      <c r="C644" s="2" t="str">
        <f aca="false">_xlfn.CONCAT(A644, " ","(",B644,")")</f>
        <v>Metriocnemus martinii ()</v>
      </c>
      <c r="E644" s="2" t="s">
        <v>8687</v>
      </c>
      <c r="F644" s="2" t="s">
        <v>10817</v>
      </c>
      <c r="H644" s="2" t="e">
        <f aca="false">VLOOKUP(A644,'[1]NE red list'!A$1:H$1048576,5,FALSE())</f>
        <v>#N/A</v>
      </c>
      <c r="I644" s="2" t="s">
        <v>8753</v>
      </c>
      <c r="J644" s="2" t="s">
        <v>10818</v>
      </c>
      <c r="N644" s="2" t="str">
        <f aca="false">_xlfn.CONCAT(Q644," ",R644," ",S644)</f>
        <v>woodland  </v>
      </c>
      <c r="Q644" s="2" t="s">
        <v>16</v>
      </c>
      <c r="U644" s="2" t="s">
        <v>8570</v>
      </c>
      <c r="V644" s="2" t="s">
        <v>9038</v>
      </c>
      <c r="W644" s="2" t="s">
        <v>8571</v>
      </c>
      <c r="X644" s="2" t="s">
        <v>9330</v>
      </c>
      <c r="Y644" s="2" t="s">
        <v>8573</v>
      </c>
      <c r="AA644" s="4" t="s">
        <v>26</v>
      </c>
      <c r="AF644" s="6" t="s">
        <v>9210</v>
      </c>
      <c r="BO644" s="2"/>
      <c r="MJM644" s="2"/>
    </row>
    <row r="645" customFormat="false" ht="14.25" hidden="false" customHeight="false" outlineLevel="0" collapsed="false">
      <c r="A645" s="2" t="s">
        <v>10819</v>
      </c>
      <c r="C645" s="2" t="str">
        <f aca="false">_xlfn.CONCAT(A645, " ","(",B645,")")</f>
        <v>Anopheles plumbeus ()</v>
      </c>
      <c r="D645" s="2" t="s">
        <v>8580</v>
      </c>
      <c r="E645" s="2" t="s">
        <v>8687</v>
      </c>
      <c r="F645" s="3" t="s">
        <v>10820</v>
      </c>
      <c r="G645" s="2" t="s">
        <v>8737</v>
      </c>
      <c r="H645" s="2" t="e">
        <f aca="false">VLOOKUP(A645,'[1]NE red list'!A$1:H$1048576,5,FALSE())</f>
        <v>#N/A</v>
      </c>
      <c r="I645" s="2" t="s">
        <v>8645</v>
      </c>
      <c r="J645" s="3" t="s">
        <v>10821</v>
      </c>
      <c r="N645" s="2" t="str">
        <f aca="false">_xlfn.CONCAT(Q645," ",R645," ",S645)</f>
        <v>woodland parkland ToW</v>
      </c>
      <c r="O645" s="2" t="s">
        <v>14</v>
      </c>
      <c r="Q645" s="2" t="s">
        <v>16</v>
      </c>
      <c r="R645" s="2" t="s">
        <v>8568</v>
      </c>
      <c r="S645" s="2" t="s">
        <v>18</v>
      </c>
      <c r="U645" s="2" t="s">
        <v>8570</v>
      </c>
      <c r="W645" s="2" t="s">
        <v>8567</v>
      </c>
      <c r="X645" s="2" t="s">
        <v>9330</v>
      </c>
      <c r="Y645" s="2" t="s">
        <v>8573</v>
      </c>
      <c r="AA645" s="4" t="s">
        <v>26</v>
      </c>
      <c r="AF645" s="6" t="s">
        <v>9210</v>
      </c>
      <c r="BI645" s="2" t="s">
        <v>8590</v>
      </c>
      <c r="BO645" s="2"/>
      <c r="MJM645" s="2"/>
    </row>
    <row r="646" customFormat="false" ht="14.25" hidden="false" customHeight="false" outlineLevel="0" collapsed="false">
      <c r="A646" s="2" t="s">
        <v>10822</v>
      </c>
      <c r="C646" s="2" t="str">
        <f aca="false">_xlfn.CONCAT(A646, " ","(",B646,")")</f>
        <v>Dromius quadrimaculatus ()</v>
      </c>
      <c r="E646" s="2" t="s">
        <v>8581</v>
      </c>
      <c r="F646" s="2" t="s">
        <v>9053</v>
      </c>
      <c r="G646" s="2" t="s">
        <v>8737</v>
      </c>
      <c r="H646" s="2" t="str">
        <f aca="false">VLOOKUP(A646,'[1]NE red list'!A$1:H$1048576,5,FALSE())</f>
        <v>LC</v>
      </c>
      <c r="I646" s="2" t="s">
        <v>8645</v>
      </c>
      <c r="J646" s="3" t="s">
        <v>10823</v>
      </c>
      <c r="L646" s="2" t="s">
        <v>8665</v>
      </c>
      <c r="N646" s="2" t="str">
        <f aca="false">_xlfn.CONCAT(Q646," ",R646," ",S646)</f>
        <v>woodland parkland ToW</v>
      </c>
      <c r="O646" s="2" t="s">
        <v>14</v>
      </c>
      <c r="Q646" s="2" t="s">
        <v>16</v>
      </c>
      <c r="R646" s="2" t="s">
        <v>8568</v>
      </c>
      <c r="S646" s="2" t="s">
        <v>18</v>
      </c>
      <c r="U646" s="2" t="s">
        <v>8605</v>
      </c>
      <c r="W646" s="2" t="s">
        <v>8567</v>
      </c>
      <c r="X646" s="2" t="s">
        <v>9330</v>
      </c>
      <c r="Y646" s="2" t="s">
        <v>8573</v>
      </c>
      <c r="AM646" s="4" t="s">
        <v>8657</v>
      </c>
      <c r="AN646" s="8" t="s">
        <v>8638</v>
      </c>
      <c r="AO646" s="8" t="s">
        <v>40</v>
      </c>
      <c r="AQ646" s="8" t="s">
        <v>42</v>
      </c>
      <c r="AU646" s="4" t="s">
        <v>8639</v>
      </c>
      <c r="AW646" s="11" t="s">
        <v>8726</v>
      </c>
      <c r="BI646" s="2" t="s">
        <v>8590</v>
      </c>
      <c r="BO646" s="2"/>
      <c r="MJM646" s="2"/>
    </row>
    <row r="647" customFormat="false" ht="14.25" hidden="false" customHeight="false" outlineLevel="0" collapsed="false">
      <c r="A647" s="2" t="s">
        <v>10824</v>
      </c>
      <c r="C647" s="2" t="str">
        <f aca="false">_xlfn.CONCAT(A647, " ","(",B647,")")</f>
        <v>Temnostethus gracilis ()</v>
      </c>
      <c r="E647" s="2" t="s">
        <v>8642</v>
      </c>
      <c r="F647" s="2" t="s">
        <v>10825</v>
      </c>
      <c r="G647" s="2" t="s">
        <v>8737</v>
      </c>
      <c r="H647" s="2" t="e">
        <f aca="false">VLOOKUP(A647,'[1]NE red list'!A$1:H$1048576,5,FALSE())</f>
        <v>#N/A</v>
      </c>
      <c r="I647" s="2" t="s">
        <v>8645</v>
      </c>
      <c r="J647" s="2" t="s">
        <v>10826</v>
      </c>
      <c r="N647" s="2" t="str">
        <f aca="false">_xlfn.CONCAT(Q647," ",R647," ",S647)</f>
        <v>woodland parkland ToW</v>
      </c>
      <c r="O647" s="2" t="s">
        <v>14</v>
      </c>
      <c r="Q647" s="2" t="s">
        <v>16</v>
      </c>
      <c r="R647" s="2" t="s">
        <v>8568</v>
      </c>
      <c r="S647" s="2" t="s">
        <v>18</v>
      </c>
      <c r="U647" s="2" t="s">
        <v>8570</v>
      </c>
      <c r="W647" s="2" t="s">
        <v>8567</v>
      </c>
      <c r="X647" s="2" t="s">
        <v>9330</v>
      </c>
      <c r="Y647" s="2" t="s">
        <v>8573</v>
      </c>
      <c r="AM647" s="4" t="s">
        <v>8657</v>
      </c>
      <c r="AN647" s="8" t="s">
        <v>8638</v>
      </c>
      <c r="AQ647" s="8" t="s">
        <v>42</v>
      </c>
      <c r="AU647" s="4" t="s">
        <v>8639</v>
      </c>
      <c r="AW647" s="11" t="s">
        <v>8726</v>
      </c>
      <c r="BO647" s="2"/>
      <c r="MJM647" s="2"/>
    </row>
    <row r="648" customFormat="false" ht="14.25" hidden="false" customHeight="false" outlineLevel="0" collapsed="false">
      <c r="A648" s="3" t="s">
        <v>10827</v>
      </c>
      <c r="C648" s="2" t="str">
        <f aca="false">_xlfn.CONCAT(A648, " ","(",B648,")")</f>
        <v>Cylindroiulus britannicus ()</v>
      </c>
      <c r="E648" s="2" t="s">
        <v>10828</v>
      </c>
      <c r="F648" s="2" t="s">
        <v>10829</v>
      </c>
      <c r="G648" s="2" t="s">
        <v>8737</v>
      </c>
      <c r="H648" s="2" t="str">
        <f aca="false">VLOOKUP(A648,'[1]NE red list'!A$1:H$1048576,5,FALSE())</f>
        <v>LC</v>
      </c>
      <c r="I648" s="2" t="s">
        <v>8645</v>
      </c>
      <c r="J648" s="3" t="s">
        <v>10830</v>
      </c>
      <c r="N648" s="2" t="str">
        <f aca="false">_xlfn.CONCAT(Q648," ",R648," ",S648)</f>
        <v>woodland parkland ToW</v>
      </c>
      <c r="O648" s="2" t="s">
        <v>14</v>
      </c>
      <c r="Q648" s="2" t="s">
        <v>16</v>
      </c>
      <c r="R648" s="2" t="s">
        <v>8568</v>
      </c>
      <c r="S648" s="2" t="s">
        <v>18</v>
      </c>
      <c r="U648" s="2" t="s">
        <v>8570</v>
      </c>
      <c r="W648" s="2" t="s">
        <v>8567</v>
      </c>
      <c r="X648" s="2" t="s">
        <v>9330</v>
      </c>
      <c r="Y648" s="2" t="s">
        <v>8772</v>
      </c>
      <c r="Z648" s="2" t="s">
        <v>8598</v>
      </c>
      <c r="AM648" s="4" t="s">
        <v>8657</v>
      </c>
      <c r="AN648" s="8" t="s">
        <v>8638</v>
      </c>
      <c r="AO648" s="8" t="s">
        <v>40</v>
      </c>
      <c r="AQ648" s="8" t="s">
        <v>42</v>
      </c>
      <c r="BI648" s="2" t="s">
        <v>8590</v>
      </c>
      <c r="BO648" s="2"/>
      <c r="MJM648" s="2"/>
    </row>
    <row r="649" customFormat="false" ht="14.25" hidden="false" customHeight="false" outlineLevel="0" collapsed="false">
      <c r="A649" s="3" t="s">
        <v>10831</v>
      </c>
      <c r="C649" s="2" t="str">
        <f aca="false">_xlfn.CONCAT(A649, " ","(",B649,")")</f>
        <v>Lepthyphantes leprosus ()</v>
      </c>
      <c r="D649" s="2" t="s">
        <v>8728</v>
      </c>
      <c r="E649" s="34" t="s">
        <v>8729</v>
      </c>
      <c r="F649" s="2" t="s">
        <v>9809</v>
      </c>
      <c r="G649" s="2" t="s">
        <v>8737</v>
      </c>
      <c r="H649" s="2" t="str">
        <f aca="false">VLOOKUP(A649,'[1]NE red list'!A$1:H$1048576,5,FALSE())</f>
        <v>LC</v>
      </c>
      <c r="I649" s="2" t="s">
        <v>8645</v>
      </c>
      <c r="J649" s="3" t="s">
        <v>10832</v>
      </c>
      <c r="N649" s="2" t="str">
        <f aca="false">_xlfn.CONCAT(Q649," ",R649," ",S649)</f>
        <v>woodland parkland ToW</v>
      </c>
      <c r="O649" s="2" t="s">
        <v>14</v>
      </c>
      <c r="Q649" s="2" t="s">
        <v>16</v>
      </c>
      <c r="R649" s="2" t="s">
        <v>8568</v>
      </c>
      <c r="S649" s="2" t="s">
        <v>18</v>
      </c>
      <c r="U649" s="2" t="s">
        <v>8605</v>
      </c>
      <c r="W649" s="2" t="s">
        <v>8571</v>
      </c>
      <c r="X649" s="2" t="s">
        <v>10833</v>
      </c>
      <c r="AA649" s="4" t="s">
        <v>26</v>
      </c>
      <c r="AC649" s="6" t="s">
        <v>30</v>
      </c>
      <c r="AD649" s="6" t="s">
        <v>8615</v>
      </c>
      <c r="BI649" s="2" t="s">
        <v>8590</v>
      </c>
      <c r="BO649" s="2"/>
      <c r="MJM649" s="2"/>
    </row>
    <row r="650" customFormat="false" ht="14.25" hidden="false" customHeight="false" outlineLevel="0" collapsed="false">
      <c r="A650" s="3" t="s">
        <v>10834</v>
      </c>
      <c r="C650" s="2" t="str">
        <f aca="false">_xlfn.CONCAT(A650, " ","(",B650,")")</f>
        <v>Lepthyphantes minutus ()</v>
      </c>
      <c r="D650" s="2" t="s">
        <v>8728</v>
      </c>
      <c r="E650" s="34" t="s">
        <v>8729</v>
      </c>
      <c r="F650" s="2" t="s">
        <v>9809</v>
      </c>
      <c r="G650" s="2" t="s">
        <v>8737</v>
      </c>
      <c r="H650" s="2" t="str">
        <f aca="false">VLOOKUP(A650,'[1]NE red list'!A$1:H$1048576,5,FALSE())</f>
        <v>LC</v>
      </c>
      <c r="I650" s="2" t="s">
        <v>8645</v>
      </c>
      <c r="J650" s="3" t="s">
        <v>10835</v>
      </c>
      <c r="N650" s="2" t="str">
        <f aca="false">_xlfn.CONCAT(Q650," ",R650," ",S650)</f>
        <v>woodland parkland ToW</v>
      </c>
      <c r="O650" s="2" t="s">
        <v>14</v>
      </c>
      <c r="Q650" s="2" t="s">
        <v>16</v>
      </c>
      <c r="R650" s="2" t="s">
        <v>8568</v>
      </c>
      <c r="S650" s="2" t="s">
        <v>18</v>
      </c>
      <c r="U650" s="2" t="s">
        <v>8605</v>
      </c>
      <c r="W650" s="2" t="s">
        <v>8571</v>
      </c>
      <c r="X650" s="2" t="s">
        <v>10833</v>
      </c>
      <c r="AA650" s="4" t="s">
        <v>26</v>
      </c>
      <c r="AC650" s="6" t="s">
        <v>30</v>
      </c>
      <c r="AD650" s="6" t="s">
        <v>8615</v>
      </c>
      <c r="BI650" s="2" t="s">
        <v>8590</v>
      </c>
      <c r="BO650" s="2"/>
      <c r="MJM650" s="2"/>
    </row>
    <row r="651" customFormat="false" ht="14.25" hidden="false" customHeight="false" outlineLevel="0" collapsed="false">
      <c r="A651" s="3" t="s">
        <v>10836</v>
      </c>
      <c r="C651" s="2" t="str">
        <f aca="false">_xlfn.CONCAT(A651, " ","(",B651,")")</f>
        <v>Harpactea hombergi ()</v>
      </c>
      <c r="D651" s="2" t="s">
        <v>8728</v>
      </c>
      <c r="E651" s="34" t="s">
        <v>8729</v>
      </c>
      <c r="F651" s="2" t="s">
        <v>10837</v>
      </c>
      <c r="G651" s="2" t="s">
        <v>8737</v>
      </c>
      <c r="H651" s="2" t="str">
        <f aca="false">VLOOKUP(A651,'[1]NE red list'!A$1:H$1048576,5,FALSE())</f>
        <v>LC</v>
      </c>
      <c r="I651" s="2" t="s">
        <v>8645</v>
      </c>
      <c r="J651" s="3" t="s">
        <v>10838</v>
      </c>
      <c r="N651" s="2" t="str">
        <f aca="false">_xlfn.CONCAT(Q651," ",R651," ",S651)</f>
        <v>woodland parkland ToW</v>
      </c>
      <c r="O651" s="2" t="s">
        <v>14</v>
      </c>
      <c r="Q651" s="2" t="s">
        <v>16</v>
      </c>
      <c r="R651" s="2" t="s">
        <v>8568</v>
      </c>
      <c r="S651" s="2" t="s">
        <v>18</v>
      </c>
      <c r="U651" s="2" t="s">
        <v>8605</v>
      </c>
      <c r="W651" s="2" t="s">
        <v>8567</v>
      </c>
      <c r="X651" s="2" t="s">
        <v>10839</v>
      </c>
      <c r="Y651" s="2" t="s">
        <v>8772</v>
      </c>
      <c r="Z651" s="2" t="s">
        <v>8614</v>
      </c>
      <c r="AM651" s="4" t="s">
        <v>8657</v>
      </c>
      <c r="AN651" s="8" t="s">
        <v>8638</v>
      </c>
      <c r="AO651" s="8" t="s">
        <v>40</v>
      </c>
      <c r="AQ651" s="8" t="s">
        <v>42</v>
      </c>
      <c r="BI651" s="2" t="s">
        <v>8590</v>
      </c>
      <c r="BO651" s="2"/>
      <c r="MJM651" s="2"/>
    </row>
    <row r="652" customFormat="false" ht="14.25" hidden="false" customHeight="false" outlineLevel="0" collapsed="false">
      <c r="A652" s="3" t="s">
        <v>10840</v>
      </c>
      <c r="C652" s="2" t="str">
        <f aca="false">_xlfn.CONCAT(A652, " ","(",B652,")")</f>
        <v>Aradus betulae ()</v>
      </c>
      <c r="D652" s="2" t="s">
        <v>8580</v>
      </c>
      <c r="E652" s="2" t="s">
        <v>8642</v>
      </c>
      <c r="F652" s="30" t="s">
        <v>8864</v>
      </c>
      <c r="G652" s="2" t="s">
        <v>8583</v>
      </c>
      <c r="H652" s="2" t="e">
        <f aca="false">VLOOKUP(A652,'[1]NE red list'!A$1:H$1048576,5,FALSE())</f>
        <v>#N/A</v>
      </c>
      <c r="I652" s="2" t="s">
        <v>8874</v>
      </c>
      <c r="J652" s="3" t="s">
        <v>10841</v>
      </c>
      <c r="N652" s="2" t="str">
        <f aca="false">_xlfn.CONCAT(Q652," ",R652," ",S652)</f>
        <v>woodland parkland </v>
      </c>
      <c r="O652" s="3" t="s">
        <v>14</v>
      </c>
      <c r="Q652" s="2" t="s">
        <v>16</v>
      </c>
      <c r="R652" s="2" t="s">
        <v>8568</v>
      </c>
      <c r="U652" s="2" t="s">
        <v>8570</v>
      </c>
      <c r="V652" s="2" t="s">
        <v>8763</v>
      </c>
      <c r="Y652" s="2" t="s">
        <v>8772</v>
      </c>
      <c r="Z652" s="2" t="s">
        <v>8614</v>
      </c>
      <c r="AG652" s="7" t="s">
        <v>8824</v>
      </c>
      <c r="AM652" s="4" t="s">
        <v>8657</v>
      </c>
      <c r="AN652" s="8" t="s">
        <v>8638</v>
      </c>
      <c r="AO652" s="8" t="s">
        <v>40</v>
      </c>
      <c r="AQ652" s="8" t="s">
        <v>42</v>
      </c>
      <c r="AX652" s="4" t="s">
        <v>8585</v>
      </c>
      <c r="AY652" s="12" t="s">
        <v>8585</v>
      </c>
      <c r="BI652" s="2" t="s">
        <v>8590</v>
      </c>
      <c r="BO652" s="2"/>
      <c r="MJM652" s="2"/>
    </row>
    <row r="653" customFormat="false" ht="14.25" hidden="false" customHeight="false" outlineLevel="0" collapsed="false">
      <c r="A653" s="3" t="s">
        <v>10842</v>
      </c>
      <c r="C653" s="2" t="str">
        <f aca="false">_xlfn.CONCAT(A653, " ","(",B653,")")</f>
        <v>Diplodoma herminata ()</v>
      </c>
      <c r="D653" s="2" t="s">
        <v>8580</v>
      </c>
      <c r="E653" s="2" t="s">
        <v>8722</v>
      </c>
      <c r="F653" s="2" t="s">
        <v>8962</v>
      </c>
      <c r="G653" s="2" t="s">
        <v>8737</v>
      </c>
      <c r="H653" s="2" t="e">
        <f aca="false">VLOOKUP(A653,'[1]NE red list'!A$1:H$1048576,5,FALSE())</f>
        <v>#N/A</v>
      </c>
      <c r="I653" s="2" t="s">
        <v>8645</v>
      </c>
      <c r="J653" s="3" t="s">
        <v>10843</v>
      </c>
      <c r="N653" s="2" t="str">
        <f aca="false">_xlfn.CONCAT(Q653," ",R653," ",S653)</f>
        <v>woodland parkland ToW</v>
      </c>
      <c r="O653" s="2" t="s">
        <v>14</v>
      </c>
      <c r="Q653" s="2" t="s">
        <v>16</v>
      </c>
      <c r="R653" s="2" t="s">
        <v>8568</v>
      </c>
      <c r="S653" s="2" t="s">
        <v>18</v>
      </c>
      <c r="U653" s="2" t="s">
        <v>8605</v>
      </c>
      <c r="X653" s="2" t="s">
        <v>10844</v>
      </c>
      <c r="Z653" s="2" t="s">
        <v>8614</v>
      </c>
      <c r="AM653" s="4" t="s">
        <v>8657</v>
      </c>
      <c r="AO653" s="8" t="s">
        <v>40</v>
      </c>
      <c r="AQ653" s="8" t="s">
        <v>42</v>
      </c>
      <c r="AR653" s="8" t="s">
        <v>43</v>
      </c>
      <c r="AU653" s="4" t="s">
        <v>8639</v>
      </c>
      <c r="AW653" s="11" t="s">
        <v>10845</v>
      </c>
      <c r="BO653" s="2"/>
      <c r="MJM653" s="2"/>
    </row>
    <row r="654" customFormat="false" ht="14.25" hidden="false" customHeight="false" outlineLevel="0" collapsed="false">
      <c r="A654" s="89" t="s">
        <v>10846</v>
      </c>
      <c r="B654" s="3" t="s">
        <v>10847</v>
      </c>
      <c r="C654" s="2" t="str">
        <f aca="false">_xlfn.CONCAT(A654, " ","(",B654,")")</f>
        <v>Sesia apiformis (Hornet Moth)</v>
      </c>
      <c r="D654" s="2" t="s">
        <v>8580</v>
      </c>
      <c r="E654" s="2" t="s">
        <v>8722</v>
      </c>
      <c r="F654" s="2" t="s">
        <v>10605</v>
      </c>
      <c r="H654" s="2" t="e">
        <f aca="false">VLOOKUP(A654,'[1]NE red list'!A$1:H$1048576,5,FALSE())</f>
        <v>#N/A</v>
      </c>
      <c r="I654" s="2" t="s">
        <v>10848</v>
      </c>
      <c r="J654" s="3" t="s">
        <v>10849</v>
      </c>
      <c r="N654" s="2" t="str">
        <f aca="false">_xlfn.CONCAT(Q654," ",R654," ",S654)</f>
        <v>woodland parkland ToW</v>
      </c>
      <c r="O654" s="2" t="s">
        <v>14</v>
      </c>
      <c r="Q654" s="2" t="s">
        <v>16</v>
      </c>
      <c r="R654" s="2" t="s">
        <v>8568</v>
      </c>
      <c r="S654" s="2" t="s">
        <v>18</v>
      </c>
      <c r="U654" s="2" t="s">
        <v>8570</v>
      </c>
      <c r="V654" s="2" t="s">
        <v>9862</v>
      </c>
      <c r="W654" s="2" t="s">
        <v>8567</v>
      </c>
      <c r="X654" s="2" t="s">
        <v>8589</v>
      </c>
      <c r="Y654" s="2" t="s">
        <v>8573</v>
      </c>
      <c r="AB654" s="5" t="s">
        <v>9745</v>
      </c>
      <c r="AG654" s="7" t="s">
        <v>8824</v>
      </c>
      <c r="AM654" s="4" t="s">
        <v>8657</v>
      </c>
      <c r="AQ654" s="8" t="s">
        <v>42</v>
      </c>
      <c r="AR654" s="8" t="s">
        <v>43</v>
      </c>
      <c r="BI654" s="2" t="s">
        <v>8590</v>
      </c>
      <c r="BO654" s="2"/>
      <c r="MJM654" s="2"/>
    </row>
    <row r="655" customFormat="false" ht="14.25" hidden="false" customHeight="false" outlineLevel="0" collapsed="false">
      <c r="A655" s="89" t="s">
        <v>10850</v>
      </c>
      <c r="B655" s="3" t="s">
        <v>10851</v>
      </c>
      <c r="C655" s="2" t="str">
        <f aca="false">_xlfn.CONCAT(A655, " ","(",B655,")")</f>
        <v>Synanthedon spheciformis (White-barred Clearwing)</v>
      </c>
      <c r="D655" s="2" t="s">
        <v>8580</v>
      </c>
      <c r="E655" s="2" t="s">
        <v>8722</v>
      </c>
      <c r="F655" s="2" t="s">
        <v>10605</v>
      </c>
      <c r="H655" s="2" t="e">
        <f aca="false">VLOOKUP(A655,'[1]NE red list'!A$1:H$1048576,5,FALSE())</f>
        <v>#N/A</v>
      </c>
      <c r="I655" s="2" t="s">
        <v>10852</v>
      </c>
      <c r="J655" s="3" t="s">
        <v>10853</v>
      </c>
      <c r="N655" s="2" t="str">
        <f aca="false">_xlfn.CONCAT(Q655," ",R655," ",S655)</f>
        <v>woodland parkland ToW</v>
      </c>
      <c r="O655" s="2" t="s">
        <v>14</v>
      </c>
      <c r="Q655" s="2" t="s">
        <v>16</v>
      </c>
      <c r="R655" s="2" t="s">
        <v>8568</v>
      </c>
      <c r="S655" s="2" t="s">
        <v>18</v>
      </c>
      <c r="U655" s="2" t="s">
        <v>8570</v>
      </c>
      <c r="V655" s="2" t="s">
        <v>10854</v>
      </c>
      <c r="X655" s="2" t="s">
        <v>9009</v>
      </c>
      <c r="Y655" s="2" t="s">
        <v>8573</v>
      </c>
      <c r="AG655" s="7" t="s">
        <v>8824</v>
      </c>
      <c r="AM655" s="4" t="s">
        <v>8657</v>
      </c>
      <c r="AQ655" s="8" t="s">
        <v>42</v>
      </c>
      <c r="AR655" s="8" t="s">
        <v>43</v>
      </c>
      <c r="BI655" s="2" t="s">
        <v>8590</v>
      </c>
      <c r="BO655" s="2"/>
      <c r="MJM655" s="2"/>
    </row>
    <row r="656" customFormat="false" ht="14.25" hidden="false" customHeight="false" outlineLevel="0" collapsed="false">
      <c r="A656" s="89" t="s">
        <v>10855</v>
      </c>
      <c r="B656" s="2" t="s">
        <v>10856</v>
      </c>
      <c r="C656" s="2" t="str">
        <f aca="false">_xlfn.CONCAT(A656, " ","(",B656,")")</f>
        <v>Synanthedon scoliaeformis (Welsh Clearwing)</v>
      </c>
      <c r="D656" s="2" t="s">
        <v>8580</v>
      </c>
      <c r="E656" s="2" t="s">
        <v>8722</v>
      </c>
      <c r="F656" s="2" t="s">
        <v>10605</v>
      </c>
      <c r="H656" s="2" t="e">
        <f aca="false">VLOOKUP(A656,'[1]NE red list'!A$1:H$1048576,5,FALSE())</f>
        <v>#N/A</v>
      </c>
      <c r="I656" s="2" t="s">
        <v>10857</v>
      </c>
      <c r="J656" s="3" t="s">
        <v>10858</v>
      </c>
      <c r="N656" s="2" t="str">
        <f aca="false">_xlfn.CONCAT(Q656," ",R656," ",S656)</f>
        <v>woodland parkland ToW</v>
      </c>
      <c r="O656" s="2" t="s">
        <v>14</v>
      </c>
      <c r="Q656" s="2" t="s">
        <v>16</v>
      </c>
      <c r="R656" s="2" t="s">
        <v>8568</v>
      </c>
      <c r="S656" s="2" t="s">
        <v>18</v>
      </c>
      <c r="U656" s="2" t="s">
        <v>8570</v>
      </c>
      <c r="V656" s="2" t="s">
        <v>8763</v>
      </c>
      <c r="X656" s="2" t="s">
        <v>9009</v>
      </c>
      <c r="Y656" s="2" t="s">
        <v>8573</v>
      </c>
      <c r="AB656" s="5" t="s">
        <v>9745</v>
      </c>
      <c r="AG656" s="7" t="s">
        <v>8824</v>
      </c>
      <c r="AM656" s="4" t="s">
        <v>8657</v>
      </c>
      <c r="AQ656" s="8" t="s">
        <v>42</v>
      </c>
      <c r="AR656" s="8" t="s">
        <v>43</v>
      </c>
      <c r="BI656" s="2" t="s">
        <v>8590</v>
      </c>
      <c r="BO656" s="2"/>
      <c r="MJM656" s="2"/>
    </row>
    <row r="657" customFormat="false" ht="14.25" hidden="false" customHeight="false" outlineLevel="0" collapsed="false">
      <c r="A657" s="30" t="s">
        <v>10859</v>
      </c>
      <c r="C657" s="2" t="str">
        <f aca="false">_xlfn.CONCAT(A657, " ","(",B657,")")</f>
        <v>Telmatoscopus tristis ()</v>
      </c>
      <c r="D657" s="2" t="s">
        <v>8580</v>
      </c>
      <c r="E657" s="2" t="s">
        <v>8687</v>
      </c>
      <c r="F657" s="3" t="s">
        <v>10860</v>
      </c>
      <c r="H657" s="2" t="e">
        <f aca="false">VLOOKUP(A657,'[1]NE red list'!A$1:H$1048576,5,FALSE())</f>
        <v>#N/A</v>
      </c>
      <c r="I657" s="2" t="s">
        <v>8564</v>
      </c>
      <c r="J657" s="30" t="s">
        <v>10861</v>
      </c>
      <c r="N657" s="2" t="str">
        <f aca="false">_xlfn.CONCAT(Q657," ",R657," ",S657)</f>
        <v>woodland parkland ToW</v>
      </c>
      <c r="O657" s="2" t="s">
        <v>14</v>
      </c>
      <c r="Q657" s="2" t="s">
        <v>16</v>
      </c>
      <c r="R657" s="2" t="s">
        <v>8568</v>
      </c>
      <c r="S657" s="2" t="s">
        <v>18</v>
      </c>
      <c r="U657" s="2" t="s">
        <v>8570</v>
      </c>
      <c r="V657" s="2" t="s">
        <v>10862</v>
      </c>
      <c r="W657" s="2" t="s">
        <v>8571</v>
      </c>
      <c r="X657" s="2" t="s">
        <v>8589</v>
      </c>
      <c r="Y657" s="2" t="s">
        <v>8573</v>
      </c>
      <c r="AA657" s="4" t="s">
        <v>26</v>
      </c>
      <c r="AF657" s="6" t="s">
        <v>8616</v>
      </c>
      <c r="BO657" s="2"/>
      <c r="MJM657" s="2"/>
    </row>
    <row r="658" customFormat="false" ht="14.25" hidden="false" customHeight="false" outlineLevel="0" collapsed="false">
      <c r="A658" s="30" t="s">
        <v>10863</v>
      </c>
      <c r="C658" s="2" t="str">
        <f aca="false">_xlfn.CONCAT(A658, " ","(",B658,")")</f>
        <v>Telmatoscopus advenus  ()</v>
      </c>
      <c r="D658" s="2" t="s">
        <v>8580</v>
      </c>
      <c r="E658" s="2" t="s">
        <v>8687</v>
      </c>
      <c r="F658" s="3" t="s">
        <v>10860</v>
      </c>
      <c r="G658" s="2" t="s">
        <v>8737</v>
      </c>
      <c r="H658" s="2" t="e">
        <f aca="false">VLOOKUP(A658,'[1]NE red list'!A$1:H$1048576,5,FALSE())</f>
        <v>#N/A</v>
      </c>
      <c r="I658" s="2" t="s">
        <v>8645</v>
      </c>
      <c r="J658" s="30" t="s">
        <v>10864</v>
      </c>
      <c r="N658" s="2" t="str">
        <f aca="false">_xlfn.CONCAT(Q658," ",R658," ",S658)</f>
        <v>woodland parkland ToW</v>
      </c>
      <c r="O658" s="2" t="s">
        <v>14</v>
      </c>
      <c r="Q658" s="2" t="s">
        <v>16</v>
      </c>
      <c r="R658" s="2" t="s">
        <v>8568</v>
      </c>
      <c r="S658" s="2" t="s">
        <v>18</v>
      </c>
      <c r="U658" s="2" t="s">
        <v>8570</v>
      </c>
      <c r="W658" s="2" t="s">
        <v>8571</v>
      </c>
      <c r="X658" s="2" t="s">
        <v>8589</v>
      </c>
      <c r="Y658" s="2" t="s">
        <v>8573</v>
      </c>
      <c r="AA658" s="4" t="s">
        <v>26</v>
      </c>
      <c r="AF658" s="6" t="s">
        <v>8616</v>
      </c>
      <c r="BO658" s="2"/>
      <c r="MJM658" s="2"/>
    </row>
    <row r="659" customFormat="false" ht="14.25" hidden="false" customHeight="false" outlineLevel="0" collapsed="false">
      <c r="A659" s="30" t="s">
        <v>10865</v>
      </c>
      <c r="C659" s="2" t="str">
        <f aca="false">_xlfn.CONCAT(A659, " ","(",B659,")")</f>
        <v>Telmatoscopus rothschildii ()</v>
      </c>
      <c r="D659" s="2" t="s">
        <v>8580</v>
      </c>
      <c r="E659" s="2" t="s">
        <v>8687</v>
      </c>
      <c r="F659" s="3" t="s">
        <v>10860</v>
      </c>
      <c r="H659" s="2" t="e">
        <f aca="false">VLOOKUP(A659,'[1]NE red list'!A$1:H$1048576,5,FALSE())</f>
        <v>#N/A</v>
      </c>
      <c r="I659" s="2" t="s">
        <v>8610</v>
      </c>
      <c r="J659" s="3" t="s">
        <v>10866</v>
      </c>
      <c r="N659" s="2" t="str">
        <f aca="false">_xlfn.CONCAT(Q659," ",R659," ",S659)</f>
        <v>woodland parkland ToW</v>
      </c>
      <c r="O659" s="2" t="s">
        <v>14</v>
      </c>
      <c r="Q659" s="2" t="s">
        <v>16</v>
      </c>
      <c r="R659" s="2" t="s">
        <v>8568</v>
      </c>
      <c r="S659" s="2" t="s">
        <v>18</v>
      </c>
      <c r="U659" s="2" t="s">
        <v>8570</v>
      </c>
      <c r="W659" s="2" t="s">
        <v>8571</v>
      </c>
      <c r="X659" s="2" t="s">
        <v>8589</v>
      </c>
      <c r="Y659" s="2" t="s">
        <v>8573</v>
      </c>
      <c r="AA659" s="4" t="s">
        <v>26</v>
      </c>
      <c r="AF659" s="6" t="s">
        <v>8616</v>
      </c>
      <c r="BA659" s="2" t="s">
        <v>9030</v>
      </c>
      <c r="BO659" s="2"/>
      <c r="MJM659" s="2"/>
    </row>
    <row r="660" customFormat="false" ht="14.25" hidden="false" customHeight="false" outlineLevel="0" collapsed="false">
      <c r="A660" s="30" t="s">
        <v>10867</v>
      </c>
      <c r="C660" s="2" t="str">
        <f aca="false">_xlfn.CONCAT(A660, " ","(",B660,")")</f>
        <v>Trichomyia urbica ()</v>
      </c>
      <c r="D660" s="2" t="s">
        <v>8580</v>
      </c>
      <c r="E660" s="2" t="s">
        <v>8687</v>
      </c>
      <c r="F660" s="3" t="s">
        <v>10860</v>
      </c>
      <c r="H660" s="2" t="e">
        <f aca="false">VLOOKUP(A660,'[1]NE red list'!A$1:H$1048576,5,FALSE())</f>
        <v>#N/A</v>
      </c>
      <c r="I660" s="2" t="s">
        <v>10868</v>
      </c>
      <c r="J660" s="2" t="s">
        <v>10869</v>
      </c>
      <c r="N660" s="2" t="str">
        <f aca="false">_xlfn.CONCAT(Q660," ",R660," ",S660)</f>
        <v>woodland  </v>
      </c>
      <c r="Q660" s="2" t="s">
        <v>16</v>
      </c>
      <c r="U660" s="2" t="s">
        <v>8570</v>
      </c>
      <c r="Y660" s="2" t="s">
        <v>8772</v>
      </c>
      <c r="Z660" s="2" t="s">
        <v>8598</v>
      </c>
      <c r="AA660" s="4" t="s">
        <v>26</v>
      </c>
      <c r="AF660" s="6" t="s">
        <v>8616</v>
      </c>
      <c r="BO660" s="2"/>
      <c r="MJM660" s="2"/>
    </row>
    <row r="661" customFormat="false" ht="14.25" hidden="false" customHeight="false" outlineLevel="0" collapsed="false">
      <c r="A661" s="3" t="s">
        <v>10870</v>
      </c>
      <c r="C661" s="2" t="str">
        <f aca="false">_xlfn.CONCAT(A661, " ","(",B661,")")</f>
        <v>Ditomyia fasciata ()</v>
      </c>
      <c r="D661" s="2" t="s">
        <v>8580</v>
      </c>
      <c r="E661" s="2" t="s">
        <v>8687</v>
      </c>
      <c r="F661" s="3" t="s">
        <v>10871</v>
      </c>
      <c r="H661" s="2" t="e">
        <f aca="false">VLOOKUP(A661,'[1]NE red list'!A$1:H$1048576,5,FALSE())</f>
        <v>#N/A</v>
      </c>
      <c r="I661" s="2" t="s">
        <v>8714</v>
      </c>
      <c r="J661" s="3" t="s">
        <v>10872</v>
      </c>
      <c r="N661" s="2" t="str">
        <f aca="false">_xlfn.CONCAT(Q661," ",R661," ",S661)</f>
        <v>woodland  </v>
      </c>
      <c r="Q661" s="2" t="s">
        <v>16</v>
      </c>
      <c r="U661" s="2" t="s">
        <v>8570</v>
      </c>
      <c r="W661" s="2" t="s">
        <v>8571</v>
      </c>
      <c r="Y661" s="2" t="s">
        <v>8772</v>
      </c>
      <c r="Z661" s="2" t="s">
        <v>8598</v>
      </c>
      <c r="BI661" s="2" t="s">
        <v>8590</v>
      </c>
      <c r="BO661" s="2"/>
      <c r="MJM661" s="2"/>
    </row>
    <row r="662" customFormat="false" ht="14.25" hidden="false" customHeight="false" outlineLevel="0" collapsed="false">
      <c r="A662" s="3" t="s">
        <v>10873</v>
      </c>
      <c r="C662" s="2" t="str">
        <f aca="false">_xlfn.CONCAT(A662, " ","(",B662,")")</f>
        <v>Leia bilineata ()</v>
      </c>
      <c r="D662" s="2" t="s">
        <v>8580</v>
      </c>
      <c r="E662" s="2" t="s">
        <v>8687</v>
      </c>
      <c r="F662" s="3" t="s">
        <v>10119</v>
      </c>
      <c r="H662" s="2" t="e">
        <f aca="false">VLOOKUP(A662,'[1]NE red list'!A$1:H$1048576,5,FALSE())</f>
        <v>#N/A</v>
      </c>
      <c r="I662" s="2" t="s">
        <v>8750</v>
      </c>
      <c r="J662" s="3" t="s">
        <v>10874</v>
      </c>
      <c r="N662" s="2" t="str">
        <f aca="false">_xlfn.CONCAT(Q662," ",R662," ",S662)</f>
        <v>woodland  </v>
      </c>
      <c r="Q662" s="2" t="s">
        <v>16</v>
      </c>
      <c r="U662" s="2" t="s">
        <v>8605</v>
      </c>
      <c r="W662" s="2" t="s">
        <v>8571</v>
      </c>
      <c r="Y662" s="2" t="s">
        <v>8573</v>
      </c>
      <c r="Z662" s="2" t="s">
        <v>8598</v>
      </c>
      <c r="AM662" s="4" t="s">
        <v>8657</v>
      </c>
      <c r="AO662" s="8" t="s">
        <v>40</v>
      </c>
      <c r="AQ662" s="8" t="s">
        <v>42</v>
      </c>
      <c r="AU662" s="4" t="s">
        <v>8639</v>
      </c>
      <c r="AV662" s="10" t="s">
        <v>10717</v>
      </c>
      <c r="BO662" s="2"/>
      <c r="MJM662" s="2"/>
    </row>
    <row r="663" customFormat="false" ht="14.25" hidden="false" customHeight="false" outlineLevel="0" collapsed="false">
      <c r="A663" s="3" t="s">
        <v>10875</v>
      </c>
      <c r="C663" s="2" t="str">
        <f aca="false">_xlfn.CONCAT(A663, " ","(",B663,")")</f>
        <v>Dynatosoma fuscicorne ()</v>
      </c>
      <c r="D663" s="2" t="s">
        <v>8580</v>
      </c>
      <c r="E663" s="2" t="s">
        <v>8687</v>
      </c>
      <c r="F663" s="3" t="s">
        <v>10119</v>
      </c>
      <c r="H663" s="2" t="e">
        <f aca="false">VLOOKUP(A663,'[1]NE red list'!A$1:H$1048576,5,FALSE())</f>
        <v>#N/A</v>
      </c>
      <c r="I663" s="2" t="s">
        <v>8564</v>
      </c>
      <c r="J663" s="3" t="s">
        <v>10876</v>
      </c>
      <c r="N663" s="2" t="str">
        <f aca="false">_xlfn.CONCAT(Q663," ",R663," ",S663)</f>
        <v>woodland  </v>
      </c>
      <c r="Q663" s="2" t="s">
        <v>16</v>
      </c>
      <c r="U663" s="2" t="s">
        <v>8570</v>
      </c>
      <c r="Y663" s="2" t="s">
        <v>8772</v>
      </c>
      <c r="Z663" s="2" t="s">
        <v>8598</v>
      </c>
      <c r="AX663" s="4" t="s">
        <v>8607</v>
      </c>
      <c r="AY663" s="12" t="s">
        <v>10344</v>
      </c>
      <c r="BO663" s="2"/>
      <c r="MJM663" s="2"/>
    </row>
    <row r="664" customFormat="false" ht="14.25" hidden="false" customHeight="false" outlineLevel="0" collapsed="false">
      <c r="A664" s="3" t="s">
        <v>10877</v>
      </c>
      <c r="C664" s="2" t="str">
        <f aca="false">_xlfn.CONCAT(A664, " ","(",B664,")")</f>
        <v>Acnemia amoena ()</v>
      </c>
      <c r="D664" s="2" t="s">
        <v>8580</v>
      </c>
      <c r="E664" s="2" t="s">
        <v>8687</v>
      </c>
      <c r="F664" s="3" t="s">
        <v>10119</v>
      </c>
      <c r="H664" s="2" t="e">
        <f aca="false">VLOOKUP(A664,'[1]NE red list'!A$1:H$1048576,5,FALSE())</f>
        <v>#N/A</v>
      </c>
      <c r="I664" s="2" t="s">
        <v>8564</v>
      </c>
      <c r="J664" s="3" t="s">
        <v>10878</v>
      </c>
      <c r="N664" s="2" t="str">
        <f aca="false">_xlfn.CONCAT(Q664," ",R664," ",S664)</f>
        <v>woodland parkland </v>
      </c>
      <c r="O664" s="3" t="s">
        <v>14</v>
      </c>
      <c r="Q664" s="2" t="s">
        <v>16</v>
      </c>
      <c r="R664" s="2" t="s">
        <v>8568</v>
      </c>
      <c r="U664" s="2" t="s">
        <v>8570</v>
      </c>
      <c r="V664" s="2" t="s">
        <v>9038</v>
      </c>
      <c r="X664" s="2" t="s">
        <v>10879</v>
      </c>
      <c r="Y664" s="2" t="s">
        <v>8573</v>
      </c>
      <c r="Z664" s="2" t="s">
        <v>8598</v>
      </c>
      <c r="BO664" s="2"/>
      <c r="MJM664" s="2"/>
    </row>
    <row r="665" customFormat="false" ht="14.25" hidden="false" customHeight="false" outlineLevel="0" collapsed="false">
      <c r="A665" s="3" t="s">
        <v>10880</v>
      </c>
      <c r="C665" s="2" t="str">
        <f aca="false">_xlfn.CONCAT(A665, " ","(",B665,")")</f>
        <v>Sciophila limbatella ()</v>
      </c>
      <c r="D665" s="2" t="s">
        <v>8580</v>
      </c>
      <c r="E665" s="2" t="s">
        <v>8687</v>
      </c>
      <c r="F665" s="3" t="s">
        <v>10119</v>
      </c>
      <c r="H665" s="2" t="e">
        <f aca="false">VLOOKUP(A665,'[1]NE red list'!A$1:H$1048576,5,FALSE())</f>
        <v>#N/A</v>
      </c>
      <c r="I665" s="2" t="s">
        <v>8874</v>
      </c>
      <c r="J665" s="3" t="s">
        <v>10881</v>
      </c>
      <c r="N665" s="2" t="str">
        <f aca="false">_xlfn.CONCAT(Q665," ",R665," ",S665)</f>
        <v>woodland  </v>
      </c>
      <c r="Q665" s="2" t="s">
        <v>16</v>
      </c>
      <c r="U665" s="2" t="s">
        <v>8570</v>
      </c>
      <c r="X665" s="2" t="s">
        <v>10879</v>
      </c>
      <c r="Y665" s="2" t="s">
        <v>8573</v>
      </c>
      <c r="Z665" s="2" t="s">
        <v>8598</v>
      </c>
      <c r="AX665" s="4" t="s">
        <v>8585</v>
      </c>
      <c r="AY665" s="12" t="s">
        <v>8585</v>
      </c>
      <c r="BI665" s="2" t="s">
        <v>8590</v>
      </c>
      <c r="BO665" s="2"/>
      <c r="MJM665" s="2"/>
    </row>
    <row r="666" customFormat="false" ht="14.25" hidden="false" customHeight="false" outlineLevel="0" collapsed="false">
      <c r="A666" s="3" t="s">
        <v>10882</v>
      </c>
      <c r="C666" s="2" t="str">
        <f aca="false">_xlfn.CONCAT(A666, " ","(",B666,")")</f>
        <v>Mycetobia gemella ()</v>
      </c>
      <c r="D666" s="2" t="s">
        <v>8580</v>
      </c>
      <c r="E666" s="2" t="s">
        <v>8687</v>
      </c>
      <c r="F666" s="3" t="s">
        <v>10883</v>
      </c>
      <c r="H666" s="2" t="e">
        <f aca="false">VLOOKUP(A666,'[1]NE red list'!A$1:H$1048576,5,FALSE())</f>
        <v>#N/A</v>
      </c>
      <c r="I666" s="2" t="s">
        <v>8874</v>
      </c>
      <c r="J666" s="3" t="s">
        <v>10884</v>
      </c>
      <c r="N666" s="2" t="str">
        <f aca="false">_xlfn.CONCAT(Q666," ",R666," ",S666)</f>
        <v>woodland  </v>
      </c>
      <c r="Q666" s="2" t="s">
        <v>16</v>
      </c>
      <c r="U666" s="2" t="s">
        <v>8806</v>
      </c>
      <c r="V666" s="2" t="s">
        <v>8867</v>
      </c>
      <c r="W666" s="2" t="s">
        <v>8571</v>
      </c>
      <c r="X666" s="2" t="s">
        <v>9330</v>
      </c>
      <c r="Y666" s="2" t="s">
        <v>8573</v>
      </c>
      <c r="Z666" s="2" t="s">
        <v>8598</v>
      </c>
      <c r="AA666" s="4" t="s">
        <v>26</v>
      </c>
      <c r="AF666" s="6" t="s">
        <v>8616</v>
      </c>
      <c r="AM666" s="4" t="s">
        <v>8657</v>
      </c>
      <c r="AO666" s="8" t="s">
        <v>40</v>
      </c>
      <c r="AQ666" s="8" t="s">
        <v>42</v>
      </c>
      <c r="BO666" s="2"/>
      <c r="MJM666" s="2"/>
    </row>
    <row r="667" customFormat="false" ht="14.25" hidden="false" customHeight="false" outlineLevel="0" collapsed="false">
      <c r="A667" s="3" t="s">
        <v>10041</v>
      </c>
      <c r="C667" s="2" t="str">
        <f aca="false">_xlfn.CONCAT(A667, " ","(",B667,")")</f>
        <v>Mycetobia pallipes ()</v>
      </c>
      <c r="D667" s="2" t="s">
        <v>8580</v>
      </c>
      <c r="E667" s="2" t="s">
        <v>8687</v>
      </c>
      <c r="F667" s="3" t="s">
        <v>10883</v>
      </c>
      <c r="G667" s="2" t="s">
        <v>8737</v>
      </c>
      <c r="H667" s="2" t="e">
        <f aca="false">VLOOKUP(A667,'[1]NE red list'!A$1:H$1048576,5,FALSE())</f>
        <v>#N/A</v>
      </c>
      <c r="I667" s="2" t="s">
        <v>8645</v>
      </c>
      <c r="J667" s="3" t="s">
        <v>10043</v>
      </c>
      <c r="N667" s="2" t="str">
        <f aca="false">_xlfn.CONCAT(Q667," ",R667," ",S667)</f>
        <v>woodland parkland </v>
      </c>
      <c r="O667" s="3" t="s">
        <v>14</v>
      </c>
      <c r="Q667" s="2" t="s">
        <v>16</v>
      </c>
      <c r="R667" s="2" t="s">
        <v>8568</v>
      </c>
      <c r="U667" s="2" t="s">
        <v>8570</v>
      </c>
      <c r="X667" s="2" t="s">
        <v>9330</v>
      </c>
      <c r="Y667" s="2" t="s">
        <v>8573</v>
      </c>
      <c r="Z667" s="2" t="s">
        <v>8614</v>
      </c>
      <c r="AA667" s="4" t="s">
        <v>26</v>
      </c>
      <c r="AF667" s="6" t="s">
        <v>8616</v>
      </c>
      <c r="AG667" s="7" t="s">
        <v>8824</v>
      </c>
      <c r="AM667" s="4" t="s">
        <v>8657</v>
      </c>
      <c r="AN667" s="8" t="s">
        <v>8638</v>
      </c>
      <c r="AO667" s="8" t="s">
        <v>40</v>
      </c>
      <c r="AQ667" s="8" t="s">
        <v>42</v>
      </c>
      <c r="BA667" s="2" t="s">
        <v>9030</v>
      </c>
      <c r="BI667" s="2" t="s">
        <v>8590</v>
      </c>
      <c r="BO667" s="2"/>
      <c r="MJM667" s="2"/>
    </row>
    <row r="668" customFormat="false" ht="14.25" hidden="false" customHeight="false" outlineLevel="0" collapsed="false">
      <c r="A668" s="3" t="s">
        <v>10885</v>
      </c>
      <c r="C668" s="2" t="str">
        <f aca="false">_xlfn.CONCAT(A668, " ","(",B668,")")</f>
        <v>Mycetobia obscura ()</v>
      </c>
      <c r="D668" s="2" t="s">
        <v>8580</v>
      </c>
      <c r="E668" s="2" t="s">
        <v>8687</v>
      </c>
      <c r="F668" s="3" t="s">
        <v>10883</v>
      </c>
      <c r="H668" s="2" t="e">
        <f aca="false">VLOOKUP(A668,'[1]NE red list'!A$1:H$1048576,5,FALSE())</f>
        <v>#N/A</v>
      </c>
      <c r="I668" s="2" t="s">
        <v>10886</v>
      </c>
      <c r="J668" s="3" t="s">
        <v>10887</v>
      </c>
      <c r="N668" s="2" t="str">
        <f aca="false">_xlfn.CONCAT(Q668," ",R668," ",S668)</f>
        <v>woodland parkland </v>
      </c>
      <c r="O668" s="3" t="s">
        <v>14</v>
      </c>
      <c r="Q668" s="2" t="s">
        <v>16</v>
      </c>
      <c r="R668" s="2" t="s">
        <v>8568</v>
      </c>
      <c r="U668" s="2" t="s">
        <v>8570</v>
      </c>
      <c r="V668" s="2" t="s">
        <v>10888</v>
      </c>
      <c r="W668" s="2" t="s">
        <v>8571</v>
      </c>
      <c r="X668" s="2" t="s">
        <v>9330</v>
      </c>
      <c r="Y668" s="2" t="s">
        <v>8573</v>
      </c>
      <c r="Z668" s="2" t="s">
        <v>8614</v>
      </c>
      <c r="AA668" s="4" t="s">
        <v>26</v>
      </c>
      <c r="AF668" s="6" t="s">
        <v>8616</v>
      </c>
      <c r="BO668" s="2"/>
      <c r="MJM668" s="2"/>
    </row>
    <row r="669" customFormat="false" ht="14.25" hidden="false" customHeight="false" outlineLevel="0" collapsed="false">
      <c r="A669" s="3" t="s">
        <v>10889</v>
      </c>
      <c r="C669" s="2" t="str">
        <f aca="false">_xlfn.CONCAT(A669, " ","(",B669,")")</f>
        <v>Ectaetia platyscelis ()</v>
      </c>
      <c r="D669" s="2" t="s">
        <v>8580</v>
      </c>
      <c r="E669" s="2" t="s">
        <v>8687</v>
      </c>
      <c r="F669" s="3" t="s">
        <v>10890</v>
      </c>
      <c r="H669" s="2" t="e">
        <f aca="false">VLOOKUP(A669,'[1]NE red list'!A$1:H$1048576,5,FALSE())</f>
        <v>#N/A</v>
      </c>
      <c r="I669" s="2" t="s">
        <v>8610</v>
      </c>
      <c r="J669" s="3" t="s">
        <v>10891</v>
      </c>
      <c r="N669" s="2" t="str">
        <f aca="false">_xlfn.CONCAT(Q669," ",R669," ",S669)</f>
        <v>woodland  </v>
      </c>
      <c r="Q669" s="2" t="s">
        <v>16</v>
      </c>
      <c r="U669" s="2" t="s">
        <v>8570</v>
      </c>
      <c r="V669" s="2" t="s">
        <v>10892</v>
      </c>
      <c r="W669" s="2" t="s">
        <v>8571</v>
      </c>
      <c r="X669" s="2" t="s">
        <v>9377</v>
      </c>
      <c r="Y669" s="2" t="s">
        <v>8573</v>
      </c>
      <c r="Z669" s="2" t="s">
        <v>8614</v>
      </c>
      <c r="AA669" s="4" t="s">
        <v>26</v>
      </c>
      <c r="AF669" s="6" t="s">
        <v>9045</v>
      </c>
      <c r="BD669" s="2" t="s">
        <v>8629</v>
      </c>
      <c r="BO669" s="2"/>
      <c r="MJM669" s="2"/>
    </row>
    <row r="670" customFormat="false" ht="14.25" hidden="false" customHeight="false" outlineLevel="0" collapsed="false">
      <c r="A670" s="3" t="s">
        <v>10893</v>
      </c>
      <c r="C670" s="2" t="str">
        <f aca="false">_xlfn.CONCAT(A670, " ","(",B670,")")</f>
        <v>Aedes geniculatus ()</v>
      </c>
      <c r="D670" s="2" t="s">
        <v>8580</v>
      </c>
      <c r="E670" s="2" t="s">
        <v>8687</v>
      </c>
      <c r="F670" s="3" t="s">
        <v>10820</v>
      </c>
      <c r="H670" s="2" t="e">
        <f aca="false">VLOOKUP(A670,'[1]NE red list'!A$1:H$1048576,5,FALSE())</f>
        <v>#N/A</v>
      </c>
      <c r="I670" s="2" t="s">
        <v>8645</v>
      </c>
      <c r="J670" s="3" t="s">
        <v>10894</v>
      </c>
      <c r="N670" s="2" t="str">
        <f aca="false">_xlfn.CONCAT(Q670," ",R670," ",S670)</f>
        <v>woodland  </v>
      </c>
      <c r="Q670" s="2" t="s">
        <v>16</v>
      </c>
      <c r="U670" s="2" t="s">
        <v>8570</v>
      </c>
      <c r="W670" s="2" t="s">
        <v>8571</v>
      </c>
      <c r="X670" s="2" t="s">
        <v>9377</v>
      </c>
      <c r="Y670" s="2" t="s">
        <v>8573</v>
      </c>
      <c r="Z670" s="2" t="s">
        <v>8614</v>
      </c>
      <c r="AA670" s="4" t="s">
        <v>26</v>
      </c>
      <c r="AF670" s="6" t="s">
        <v>9045</v>
      </c>
      <c r="BI670" s="2" t="s">
        <v>8590</v>
      </c>
      <c r="BO670" s="2"/>
      <c r="MJM670" s="2"/>
    </row>
    <row r="671" customFormat="false" ht="14.25" hidden="false" customHeight="false" outlineLevel="0" collapsed="false">
      <c r="A671" s="3" t="s">
        <v>10895</v>
      </c>
      <c r="C671" s="2" t="str">
        <f aca="false">_xlfn.CONCAT(A671, " ","(",B671,")")</f>
        <v>Orthopodomyia pulcripalpis ()</v>
      </c>
      <c r="D671" s="2" t="s">
        <v>8580</v>
      </c>
      <c r="E671" s="2" t="s">
        <v>8687</v>
      </c>
      <c r="F671" s="3" t="s">
        <v>10820</v>
      </c>
      <c r="H671" s="2" t="e">
        <f aca="false">VLOOKUP(A671,'[1]NE red list'!A$1:H$1048576,5,FALSE())</f>
        <v>#N/A</v>
      </c>
      <c r="I671" s="2" t="s">
        <v>8753</v>
      </c>
      <c r="J671" s="3" t="s">
        <v>10896</v>
      </c>
      <c r="N671" s="2" t="str">
        <f aca="false">_xlfn.CONCAT(Q671," ",R671," ",S671)</f>
        <v>woodland parkland </v>
      </c>
      <c r="O671" s="3" t="s">
        <v>14</v>
      </c>
      <c r="Q671" s="2" t="s">
        <v>16</v>
      </c>
      <c r="R671" s="2" t="s">
        <v>8568</v>
      </c>
      <c r="U671" s="2" t="s">
        <v>8570</v>
      </c>
      <c r="V671" s="2" t="s">
        <v>10897</v>
      </c>
      <c r="W671" s="2" t="s">
        <v>8571</v>
      </c>
      <c r="X671" s="2" t="s">
        <v>9330</v>
      </c>
      <c r="Y671" s="2" t="s">
        <v>8573</v>
      </c>
      <c r="Z671" s="2" t="s">
        <v>8614</v>
      </c>
      <c r="AA671" s="4" t="s">
        <v>26</v>
      </c>
      <c r="AF671" s="6" t="s">
        <v>9045</v>
      </c>
      <c r="BI671" s="2" t="s">
        <v>8590</v>
      </c>
      <c r="BO671" s="2"/>
      <c r="MJM671" s="2"/>
    </row>
    <row r="672" customFormat="false" ht="14.25" hidden="false" customHeight="false" outlineLevel="0" collapsed="false">
      <c r="A672" s="3" t="s">
        <v>10898</v>
      </c>
      <c r="C672" s="2" t="str">
        <f aca="false">_xlfn.CONCAT(A672, " ","(",B672,")")</f>
        <v>Achalcus melanotrichus ()</v>
      </c>
      <c r="D672" s="2" t="s">
        <v>8580</v>
      </c>
      <c r="E672" s="2" t="s">
        <v>8687</v>
      </c>
      <c r="F672" s="2" t="s">
        <v>10622</v>
      </c>
      <c r="H672" s="2" t="e">
        <f aca="false">VLOOKUP(A672,'[1]NE red list'!A$1:H$1048576,5,FALSE())</f>
        <v>#N/A</v>
      </c>
      <c r="I672" s="2" t="s">
        <v>8753</v>
      </c>
      <c r="J672" s="3" t="s">
        <v>10899</v>
      </c>
      <c r="N672" s="2" t="str">
        <f aca="false">_xlfn.CONCAT(Q672," ",R672," ",S672)</f>
        <v>woodland parkland </v>
      </c>
      <c r="O672" s="3" t="s">
        <v>14</v>
      </c>
      <c r="Q672" s="2" t="s">
        <v>16</v>
      </c>
      <c r="R672" s="2" t="s">
        <v>8568</v>
      </c>
      <c r="U672" s="2" t="s">
        <v>8570</v>
      </c>
      <c r="V672" s="2" t="s">
        <v>10900</v>
      </c>
      <c r="W672" s="2" t="s">
        <v>8571</v>
      </c>
      <c r="X672" s="2" t="s">
        <v>9377</v>
      </c>
      <c r="Y672" s="2" t="s">
        <v>8573</v>
      </c>
      <c r="Z672" s="2" t="s">
        <v>8614</v>
      </c>
      <c r="AA672" s="4" t="s">
        <v>26</v>
      </c>
      <c r="AF672" s="6" t="s">
        <v>8616</v>
      </c>
      <c r="BI672" s="2" t="s">
        <v>8590</v>
      </c>
      <c r="BO672" s="2"/>
      <c r="MJM672" s="2"/>
    </row>
    <row r="673" customFormat="false" ht="14.25" hidden="false" customHeight="false" outlineLevel="0" collapsed="false">
      <c r="A673" s="3" t="s">
        <v>10901</v>
      </c>
      <c r="C673" s="2" t="str">
        <f aca="false">_xlfn.CONCAT(A673, " ","(",B673,")")</f>
        <v>Systenus mallochi ()</v>
      </c>
      <c r="D673" s="2" t="s">
        <v>8580</v>
      </c>
      <c r="E673" s="2" t="s">
        <v>8687</v>
      </c>
      <c r="F673" s="2" t="s">
        <v>10622</v>
      </c>
      <c r="H673" s="2" t="str">
        <f aca="false">VLOOKUP(A673,'[1]NE red list'!A$1:H$1048576,5,FALSE())</f>
        <v>LC</v>
      </c>
      <c r="I673" s="2" t="s">
        <v>8874</v>
      </c>
      <c r="J673" s="3" t="s">
        <v>10902</v>
      </c>
      <c r="N673" s="2" t="str">
        <f aca="false">_xlfn.CONCAT(Q673," ",R673," ",S673)</f>
        <v>woodland  </v>
      </c>
      <c r="Q673" s="2" t="s">
        <v>16</v>
      </c>
      <c r="U673" s="2" t="s">
        <v>8570</v>
      </c>
      <c r="V673" s="2" t="s">
        <v>10903</v>
      </c>
      <c r="W673" s="2" t="s">
        <v>8571</v>
      </c>
      <c r="X673" s="2" t="s">
        <v>9330</v>
      </c>
      <c r="Z673" s="2" t="s">
        <v>8614</v>
      </c>
      <c r="AA673" s="4" t="s">
        <v>26</v>
      </c>
      <c r="AB673" s="5" t="s">
        <v>9745</v>
      </c>
      <c r="AF673" s="6" t="s">
        <v>8616</v>
      </c>
      <c r="AM673" s="4" t="s">
        <v>8657</v>
      </c>
      <c r="AQ673" s="8" t="s">
        <v>42</v>
      </c>
      <c r="AR673" s="8" t="s">
        <v>43</v>
      </c>
      <c r="BO673" s="2"/>
      <c r="MJM673" s="2"/>
    </row>
    <row r="674" customFormat="false" ht="14.25" hidden="false" customHeight="false" outlineLevel="0" collapsed="false">
      <c r="A674" s="3" t="s">
        <v>10904</v>
      </c>
      <c r="C674" s="2" t="str">
        <f aca="false">_xlfn.CONCAT(A674, " ","(",B674,")")</f>
        <v>Systenus scholtzii ()</v>
      </c>
      <c r="D674" s="2" t="s">
        <v>8580</v>
      </c>
      <c r="E674" s="2" t="s">
        <v>8687</v>
      </c>
      <c r="F674" s="2" t="s">
        <v>10622</v>
      </c>
      <c r="H674" s="2" t="str">
        <f aca="false">VLOOKUP(A674,'[1]NE red list'!A$1:H$1048576,5,FALSE())</f>
        <v>LC</v>
      </c>
      <c r="I674" s="2" t="s">
        <v>8564</v>
      </c>
      <c r="J674" s="3" t="s">
        <v>10905</v>
      </c>
      <c r="N674" s="2" t="str">
        <f aca="false">_xlfn.CONCAT(Q674," ",R674," ",S674)</f>
        <v>woodland  </v>
      </c>
      <c r="Q674" s="2" t="s">
        <v>16</v>
      </c>
      <c r="U674" s="2" t="s">
        <v>8570</v>
      </c>
      <c r="W674" s="2" t="s">
        <v>8571</v>
      </c>
      <c r="X674" s="2" t="s">
        <v>10906</v>
      </c>
      <c r="Z674" s="2" t="s">
        <v>8614</v>
      </c>
      <c r="AA674" s="4" t="s">
        <v>26</v>
      </c>
      <c r="AF674" s="6" t="s">
        <v>8616</v>
      </c>
      <c r="BI674" s="2" t="s">
        <v>8590</v>
      </c>
      <c r="BO674" s="2"/>
      <c r="MJM674" s="2"/>
    </row>
    <row r="675" customFormat="false" ht="14.25" hidden="false" customHeight="false" outlineLevel="0" collapsed="false">
      <c r="A675" s="3" t="s">
        <v>10907</v>
      </c>
      <c r="C675" s="2" t="str">
        <f aca="false">_xlfn.CONCAT(A675, " ","(",B675,")")</f>
        <v>Periscelis (Microperiscelis) annulata ()</v>
      </c>
      <c r="D675" s="2" t="s">
        <v>8580</v>
      </c>
      <c r="E675" s="2" t="s">
        <v>8687</v>
      </c>
      <c r="F675" s="3" t="s">
        <v>10246</v>
      </c>
      <c r="H675" s="2" t="e">
        <f aca="false">VLOOKUP(A675,'[1]NE red list'!A$1:H$1048576,5,FALSE())</f>
        <v>#N/A</v>
      </c>
      <c r="I675" s="2" t="s">
        <v>10908</v>
      </c>
      <c r="J675" s="3" t="s">
        <v>10247</v>
      </c>
      <c r="N675" s="2" t="str">
        <f aca="false">_xlfn.CONCAT(Q675," ",R675," ",S675)</f>
        <v>woodland  </v>
      </c>
      <c r="P675" s="3" t="s">
        <v>8567</v>
      </c>
      <c r="Q675" s="2" t="s">
        <v>16</v>
      </c>
      <c r="U675" s="2" t="s">
        <v>8570</v>
      </c>
      <c r="V675" s="2" t="s">
        <v>10248</v>
      </c>
      <c r="W675" s="2" t="s">
        <v>8571</v>
      </c>
      <c r="X675" s="2" t="s">
        <v>9330</v>
      </c>
      <c r="Z675" s="2" t="s">
        <v>8694</v>
      </c>
      <c r="BA675" s="2" t="s">
        <v>9030</v>
      </c>
      <c r="BO675" s="2"/>
      <c r="MJM675" s="2"/>
    </row>
    <row r="676" customFormat="false" ht="14.25" hidden="false" customHeight="false" outlineLevel="0" collapsed="false">
      <c r="A676" s="3" t="s">
        <v>10909</v>
      </c>
      <c r="C676" s="2" t="str">
        <f aca="false">_xlfn.CONCAT(A676, " ","(",B676,")")</f>
        <v>Meoneura neottiophila ()</v>
      </c>
      <c r="D676" s="2" t="s">
        <v>8580</v>
      </c>
      <c r="E676" s="2" t="s">
        <v>8687</v>
      </c>
      <c r="F676" s="3" t="s">
        <v>10910</v>
      </c>
      <c r="H676" s="2" t="e">
        <f aca="false">VLOOKUP(A676,'[1]NE red list'!A$1:H$1048576,5,FALSE())</f>
        <v>#N/A</v>
      </c>
      <c r="I676" s="2" t="s">
        <v>8984</v>
      </c>
      <c r="J676" s="3" t="s">
        <v>10911</v>
      </c>
      <c r="N676" s="2" t="str">
        <f aca="false">_xlfn.CONCAT(Q676," ",R676," ",S676)</f>
        <v>woodland parkland </v>
      </c>
      <c r="O676" s="3" t="s">
        <v>14</v>
      </c>
      <c r="Q676" s="2" t="s">
        <v>16</v>
      </c>
      <c r="R676" s="2" t="s">
        <v>8568</v>
      </c>
      <c r="U676" s="2" t="s">
        <v>8570</v>
      </c>
      <c r="X676" s="2" t="s">
        <v>9330</v>
      </c>
      <c r="Z676" s="2" t="s">
        <v>8614</v>
      </c>
      <c r="AU676" s="4" t="s">
        <v>8639</v>
      </c>
      <c r="AV676" s="11" t="s">
        <v>8659</v>
      </c>
      <c r="AX676" s="4" t="s">
        <v>8607</v>
      </c>
      <c r="AZ676" s="12" t="s">
        <v>8607</v>
      </c>
      <c r="BA676" s="2" t="s">
        <v>9030</v>
      </c>
      <c r="BO676" s="2"/>
      <c r="MJM676" s="2"/>
    </row>
    <row r="677" customFormat="false" ht="14.25" hidden="false" customHeight="false" outlineLevel="0" collapsed="false">
      <c r="A677" s="3" t="s">
        <v>10912</v>
      </c>
      <c r="C677" s="2" t="str">
        <f aca="false">_xlfn.CONCAT(A677, " ","(",B677,")")</f>
        <v>Helina abdominalis ()</v>
      </c>
      <c r="D677" s="2" t="s">
        <v>8580</v>
      </c>
      <c r="E677" s="2" t="s">
        <v>8687</v>
      </c>
      <c r="F677" s="2" t="s">
        <v>10252</v>
      </c>
      <c r="G677" s="2" t="s">
        <v>8583</v>
      </c>
      <c r="H677" s="2" t="e">
        <f aca="false">VLOOKUP(A677,'[1]NE red list'!A$1:H$1048576,5,FALSE())</f>
        <v>#N/A</v>
      </c>
      <c r="I677" s="2" t="s">
        <v>8610</v>
      </c>
      <c r="J677" s="3" t="s">
        <v>10913</v>
      </c>
      <c r="N677" s="2" t="str">
        <f aca="false">_xlfn.CONCAT(Q677," ",R677," ",S677)</f>
        <v>woodland parkland </v>
      </c>
      <c r="O677" s="3" t="s">
        <v>14</v>
      </c>
      <c r="Q677" s="2" t="s">
        <v>16</v>
      </c>
      <c r="R677" s="2" t="s">
        <v>8568</v>
      </c>
      <c r="U677" s="2" t="s">
        <v>8570</v>
      </c>
      <c r="W677" s="2" t="s">
        <v>8571</v>
      </c>
      <c r="X677" s="2" t="s">
        <v>9330</v>
      </c>
      <c r="Z677" s="2" t="s">
        <v>8614</v>
      </c>
      <c r="AA677" s="4" t="s">
        <v>26</v>
      </c>
      <c r="AF677" s="6" t="s">
        <v>8616</v>
      </c>
      <c r="BI677" s="2" t="s">
        <v>8590</v>
      </c>
      <c r="BO677" s="2"/>
      <c r="MJM677" s="2"/>
    </row>
    <row r="678" customFormat="false" ht="14.25" hidden="false" customHeight="false" outlineLevel="0" collapsed="false">
      <c r="A678" s="3" t="s">
        <v>10914</v>
      </c>
      <c r="C678" s="2" t="str">
        <f aca="false">_xlfn.CONCAT(A678, " ","(",B678,")")</f>
        <v>Helina pertusa ()</v>
      </c>
      <c r="D678" s="2" t="s">
        <v>8580</v>
      </c>
      <c r="E678" s="2" t="s">
        <v>8687</v>
      </c>
      <c r="F678" s="2" t="s">
        <v>10252</v>
      </c>
      <c r="H678" s="2" t="e">
        <f aca="false">VLOOKUP(A678,'[1]NE red list'!A$1:H$1048576,5,FALSE())</f>
        <v>#N/A</v>
      </c>
      <c r="I678" s="2" t="s">
        <v>8634</v>
      </c>
      <c r="J678" s="3" t="s">
        <v>10915</v>
      </c>
      <c r="L678" s="2" t="s">
        <v>8665</v>
      </c>
      <c r="N678" s="2" t="str">
        <f aca="false">_xlfn.CONCAT(Q678," ",R678," ",S678)</f>
        <v>woodland parkland </v>
      </c>
      <c r="O678" s="3" t="s">
        <v>14</v>
      </c>
      <c r="Q678" s="2" t="s">
        <v>16</v>
      </c>
      <c r="R678" s="2" t="s">
        <v>8568</v>
      </c>
      <c r="U678" s="2" t="s">
        <v>8570</v>
      </c>
      <c r="W678" s="2" t="s">
        <v>8571</v>
      </c>
      <c r="X678" s="2" t="s">
        <v>9330</v>
      </c>
      <c r="Z678" s="2" t="s">
        <v>8614</v>
      </c>
      <c r="AA678" s="4" t="s">
        <v>26</v>
      </c>
      <c r="AC678" s="5" t="s">
        <v>8666</v>
      </c>
      <c r="AF678" s="6" t="s">
        <v>8616</v>
      </c>
      <c r="AM678" s="4" t="s">
        <v>8657</v>
      </c>
      <c r="AO678" s="8" t="s">
        <v>40</v>
      </c>
      <c r="AQ678" s="8" t="s">
        <v>42</v>
      </c>
      <c r="AU678" s="4" t="s">
        <v>8639</v>
      </c>
      <c r="BO678" s="2"/>
      <c r="MJM678" s="2"/>
    </row>
    <row r="679" customFormat="false" ht="15.75" hidden="false" customHeight="true" outlineLevel="0" collapsed="false">
      <c r="A679" s="1" t="s">
        <v>10916</v>
      </c>
      <c r="B679" s="2" t="s">
        <v>10917</v>
      </c>
      <c r="C679" s="2" t="str">
        <f aca="false">_xlfn.CONCAT(A679, " ","(",B679,")")</f>
        <v>Corvus monedula (Jackdaw)</v>
      </c>
      <c r="D679" s="2" t="s">
        <v>8560</v>
      </c>
      <c r="E679" s="2" t="s">
        <v>8561</v>
      </c>
      <c r="F679" s="2" t="s">
        <v>10918</v>
      </c>
      <c r="G679" s="2" t="s">
        <v>9115</v>
      </c>
      <c r="H679" s="2" t="e">
        <f aca="false">VLOOKUP(A679,'[1]NE red list'!A$1:H$1048576,5,FALSE())</f>
        <v>#N/A</v>
      </c>
      <c r="I679" s="2" t="s">
        <v>8645</v>
      </c>
      <c r="J679" s="83" t="s">
        <v>10919</v>
      </c>
      <c r="L679" s="2" t="s">
        <v>8566</v>
      </c>
      <c r="N679" s="2" t="str">
        <f aca="false">_xlfn.CONCAT(Q679," ",R679," ",S679)</f>
        <v> parkland ToW</v>
      </c>
      <c r="O679" s="2" t="s">
        <v>14</v>
      </c>
      <c r="R679" s="2" t="s">
        <v>8568</v>
      </c>
      <c r="S679" s="2" t="s">
        <v>18</v>
      </c>
      <c r="U679" s="2" t="s">
        <v>8570</v>
      </c>
      <c r="W679" s="2" t="s">
        <v>8571</v>
      </c>
      <c r="X679" s="2" t="s">
        <v>10833</v>
      </c>
      <c r="Y679" s="2" t="s">
        <v>8573</v>
      </c>
      <c r="AA679" s="4" t="s">
        <v>26</v>
      </c>
      <c r="AD679" s="6" t="s">
        <v>8615</v>
      </c>
      <c r="MJM679" s="2"/>
    </row>
    <row r="680" customFormat="false" ht="15" hidden="false" customHeight="true" outlineLevel="0" collapsed="false">
      <c r="A680" s="90" t="s">
        <v>10920</v>
      </c>
      <c r="B680" s="2" t="s">
        <v>10921</v>
      </c>
      <c r="C680" s="2" t="str">
        <f aca="false">_xlfn.CONCAT(A680, " ","(",B680,")")</f>
        <v>Parascotia fuliginaria (Waved Black)</v>
      </c>
      <c r="D680" s="2" t="s">
        <v>8580</v>
      </c>
      <c r="E680" s="2" t="s">
        <v>8722</v>
      </c>
      <c r="F680" s="2" t="s">
        <v>8922</v>
      </c>
      <c r="H680" s="2" t="e">
        <f aca="false">VLOOKUP(A680,'[1]NE red list'!A$1:H$1048576,5,FALSE())</f>
        <v>#N/A</v>
      </c>
      <c r="I680" s="2" t="s">
        <v>10922</v>
      </c>
      <c r="J680" s="91" t="s">
        <v>10923</v>
      </c>
      <c r="N680" s="2" t="str">
        <f aca="false">_xlfn.CONCAT(Q680," ",R680," ",S680)</f>
        <v>woodland parkland ToW</v>
      </c>
      <c r="O680" s="2" t="s">
        <v>14</v>
      </c>
      <c r="Q680" s="2" t="s">
        <v>16</v>
      </c>
      <c r="R680" s="2" t="s">
        <v>8568</v>
      </c>
      <c r="S680" s="2" t="s">
        <v>18</v>
      </c>
      <c r="U680" s="2" t="s">
        <v>8570</v>
      </c>
      <c r="Z680" s="2" t="s">
        <v>8614</v>
      </c>
      <c r="AG680" s="7" t="s">
        <v>8575</v>
      </c>
      <c r="AW680" s="11" t="s">
        <v>8726</v>
      </c>
      <c r="AX680" s="4" t="s">
        <v>8607</v>
      </c>
      <c r="BD680" s="2" t="s">
        <v>8629</v>
      </c>
      <c r="BI680" s="2" t="s">
        <v>8590</v>
      </c>
      <c r="BO680" s="2"/>
      <c r="MJM680" s="2"/>
    </row>
    <row r="681" customFormat="false" ht="28.35" hidden="false" customHeight="false" outlineLevel="0" collapsed="false">
      <c r="A681" s="90" t="s">
        <v>10924</v>
      </c>
      <c r="B681" s="92" t="s">
        <v>10925</v>
      </c>
      <c r="C681" s="2" t="str">
        <f aca="false">_xlfn.CONCAT(A681, " ","(",B681,")")</f>
        <v>Cybosia mesomella (Four-dotted Footman)</v>
      </c>
      <c r="D681" s="2" t="s">
        <v>8580</v>
      </c>
      <c r="E681" s="2" t="s">
        <v>8722</v>
      </c>
      <c r="F681" s="2" t="s">
        <v>8922</v>
      </c>
      <c r="G681" s="2" t="s">
        <v>8731</v>
      </c>
      <c r="H681" s="2" t="e">
        <f aca="false">VLOOKUP(A681,'[1]NE red list'!A$1:H$1048576,5,FALSE())</f>
        <v>#N/A</v>
      </c>
      <c r="I681" s="2" t="s">
        <v>10922</v>
      </c>
      <c r="J681" s="91" t="s">
        <v>10926</v>
      </c>
      <c r="N681" s="2" t="str">
        <f aca="false">_xlfn.CONCAT(Q681," ",R681," ",S681)</f>
        <v> parkland ToW</v>
      </c>
      <c r="O681" s="2" t="s">
        <v>14</v>
      </c>
      <c r="R681" s="2" t="s">
        <v>8568</v>
      </c>
      <c r="S681" s="2" t="s">
        <v>18</v>
      </c>
      <c r="U681" s="2" t="s">
        <v>8570</v>
      </c>
      <c r="Y681" s="2" t="s">
        <v>8573</v>
      </c>
      <c r="AW681" s="11" t="s">
        <v>8726</v>
      </c>
      <c r="BO681" s="2"/>
      <c r="MJM681" s="2"/>
    </row>
    <row r="682" customFormat="false" ht="14.25" hidden="false" customHeight="false" outlineLevel="0" collapsed="false">
      <c r="J682" s="91"/>
      <c r="MJM682" s="2"/>
    </row>
    <row r="683" customFormat="false" ht="14.25" hidden="false" customHeight="false" outlineLevel="0" collapsed="false">
      <c r="A683" s="1" t="s">
        <v>10927</v>
      </c>
      <c r="MJM683" s="2"/>
    </row>
  </sheetData>
  <hyperlinks>
    <hyperlink ref="I320" r:id="rId1" display="SW"/>
    <hyperlink ref="I333" r:id="rId2" display="S; W; E; C"/>
    <hyperlink ref="J483" r:id="rId3" display="A combination of old deciduous trees for nesting, and nearby feeding grounds with plenty of ants, is essential. "/>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8" activeCellId="0" sqref="J8"/>
    </sheetView>
  </sheetViews>
  <sheetFormatPr defaultColWidth="8.59765625" defaultRowHeight="14.25" customHeight="false" zeroHeight="false" outlineLevelRow="0" outlineLevelCol="0"/>
  <sheetData>
    <row r="2" customFormat="false" ht="14.25" hidden="false" customHeight="false" outlineLevel="0" collapsed="false">
      <c r="C2" s="93" t="s">
        <v>26</v>
      </c>
      <c r="E2" s="0" t="s">
        <v>10928</v>
      </c>
    </row>
    <row r="3" customFormat="false" ht="14.25" hidden="false" customHeight="false" outlineLevel="0" collapsed="false">
      <c r="C3" s="94" t="s">
        <v>10929</v>
      </c>
    </row>
    <row r="4" customFormat="false" ht="14.25" hidden="false" customHeight="false" outlineLevel="0" collapsed="false">
      <c r="C4" s="95" t="s">
        <v>27</v>
      </c>
      <c r="E4" s="0" t="s">
        <v>10930</v>
      </c>
    </row>
    <row r="5" customFormat="false" ht="14.25" hidden="false" customHeight="false" outlineLevel="0" collapsed="false">
      <c r="C5" s="96" t="s">
        <v>28</v>
      </c>
      <c r="E5" s="0" t="s">
        <v>10931</v>
      </c>
      <c r="F5" s="0" t="s">
        <v>10932</v>
      </c>
    </row>
    <row r="6" customFormat="false" ht="14.25" hidden="false" customHeight="false" outlineLevel="0" collapsed="false">
      <c r="C6" s="96" t="s">
        <v>29</v>
      </c>
      <c r="E6" s="97" t="s">
        <v>10933</v>
      </c>
    </row>
    <row r="7" customFormat="false" ht="14.25" hidden="false" customHeight="false" outlineLevel="0" collapsed="false">
      <c r="C7" s="96" t="s">
        <v>30</v>
      </c>
      <c r="E7" s="0" t="s">
        <v>10934</v>
      </c>
      <c r="F7" s="0" t="s">
        <v>10935</v>
      </c>
    </row>
    <row r="8" customFormat="false" ht="14.25" hidden="false" customHeight="false" outlineLevel="0" collapsed="false">
      <c r="C8" s="96" t="s">
        <v>31</v>
      </c>
      <c r="E8" s="0" t="s">
        <v>10936</v>
      </c>
      <c r="F8" s="0" t="s">
        <v>10935</v>
      </c>
    </row>
    <row r="9" customFormat="false" ht="14.25" hidden="false" customHeight="false" outlineLevel="0" collapsed="false">
      <c r="C9" s="98" t="s">
        <v>32</v>
      </c>
    </row>
    <row r="10" customFormat="false" ht="14.25" hidden="false" customHeight="false" outlineLevel="0" collapsed="false">
      <c r="C10" s="98" t="s">
        <v>33</v>
      </c>
    </row>
    <row r="11" customFormat="false" ht="14.25" hidden="false" customHeight="false" outlineLevel="0" collapsed="false">
      <c r="C11" s="98" t="s">
        <v>34</v>
      </c>
    </row>
    <row r="12" customFormat="false" ht="14.25" hidden="false" customHeight="false" outlineLevel="0" collapsed="false">
      <c r="C12" s="98" t="s">
        <v>35</v>
      </c>
    </row>
    <row r="13" customFormat="false" ht="14.25" hidden="false" customHeight="false" outlineLevel="0" collapsed="false">
      <c r="C13" s="98" t="s">
        <v>36</v>
      </c>
    </row>
    <row r="14" customFormat="false" ht="14.25" hidden="false" customHeight="false" outlineLevel="0" collapsed="false">
      <c r="C14" s="98" t="s">
        <v>37</v>
      </c>
    </row>
    <row r="15" customFormat="false" ht="14.25" hidden="false" customHeight="false" outlineLevel="0" collapsed="false">
      <c r="C15" s="93" t="s">
        <v>38</v>
      </c>
      <c r="E15" s="0" t="s">
        <v>10937</v>
      </c>
    </row>
    <row r="16" customFormat="false" ht="14.25" hidden="false" customHeight="false" outlineLevel="0" collapsed="false">
      <c r="C16" s="99" t="s">
        <v>39</v>
      </c>
    </row>
    <row r="17" customFormat="false" ht="14.25" hidden="false" customHeight="false" outlineLevel="0" collapsed="false">
      <c r="C17" s="99" t="s">
        <v>40</v>
      </c>
      <c r="E17" s="0" t="s">
        <v>10938</v>
      </c>
    </row>
    <row r="18" customFormat="false" ht="14.25" hidden="false" customHeight="false" outlineLevel="0" collapsed="false">
      <c r="C18" s="99" t="s">
        <v>41</v>
      </c>
      <c r="F18" s="0" t="s">
        <v>10939</v>
      </c>
    </row>
    <row r="19" customFormat="false" ht="14.25" hidden="false" customHeight="false" outlineLevel="0" collapsed="false">
      <c r="C19" s="99" t="s">
        <v>42</v>
      </c>
      <c r="E19" s="0" t="s">
        <v>10940</v>
      </c>
    </row>
    <row r="20" customFormat="false" ht="14.25" hidden="false" customHeight="false" outlineLevel="0" collapsed="false">
      <c r="C20" s="99" t="s">
        <v>43</v>
      </c>
      <c r="E20" s="0" t="s">
        <v>10941</v>
      </c>
    </row>
    <row r="21" customFormat="false" ht="14.25" hidden="false" customHeight="false" outlineLevel="0" collapsed="false">
      <c r="C21" s="93" t="s">
        <v>44</v>
      </c>
      <c r="E21" s="0" t="s">
        <v>10942</v>
      </c>
    </row>
    <row r="22" customFormat="false" ht="14.25" hidden="false" customHeight="false" outlineLevel="0" collapsed="false">
      <c r="C22" s="100" t="s">
        <v>45</v>
      </c>
      <c r="E22" s="0" t="s">
        <v>10943</v>
      </c>
    </row>
    <row r="23" customFormat="false" ht="14.25" hidden="false" customHeight="false" outlineLevel="0" collapsed="false">
      <c r="C23" s="93" t="s">
        <v>10944</v>
      </c>
      <c r="E23" s="0" t="s">
        <v>10945</v>
      </c>
    </row>
    <row r="24" customFormat="false" ht="14.25" hidden="false" customHeight="false" outlineLevel="0" collapsed="false">
      <c r="C24" s="101" t="s">
        <v>47</v>
      </c>
      <c r="E24" s="0" t="s">
        <v>10946</v>
      </c>
    </row>
    <row r="25" customFormat="false" ht="14.25" hidden="false" customHeight="false" outlineLevel="0" collapsed="false">
      <c r="C25" s="101" t="s">
        <v>48</v>
      </c>
      <c r="E25" s="0" t="s">
        <v>10947</v>
      </c>
    </row>
    <row r="26" customFormat="false" ht="14.25" hidden="false" customHeight="false" outlineLevel="0" collapsed="false">
      <c r="C26" s="102" t="s">
        <v>49</v>
      </c>
      <c r="E26" s="0" t="s">
        <v>10948</v>
      </c>
    </row>
    <row r="27" customFormat="false" ht="14.25" hidden="false" customHeight="false" outlineLevel="0" collapsed="false">
      <c r="C27" s="102"/>
      <c r="E27" s="0" t="s">
        <v>10949</v>
      </c>
    </row>
    <row r="28" customFormat="false" ht="14.25" hidden="false" customHeight="false" outlineLevel="0" collapsed="false">
      <c r="C28" s="102"/>
      <c r="E28" s="0" t="s">
        <v>10950</v>
      </c>
    </row>
    <row r="29" customFormat="false" ht="14.25" hidden="false" customHeight="false" outlineLevel="0" collapsed="false">
      <c r="C29" s="103" t="s">
        <v>52</v>
      </c>
      <c r="E29" s="0" t="s">
        <v>10951</v>
      </c>
    </row>
    <row r="31" customFormat="false" ht="14.25" hidden="false" customHeight="false" outlineLevel="0" collapsed="false">
      <c r="C31" s="104" t="s">
        <v>10952</v>
      </c>
      <c r="E31" s="0" t="s">
        <v>10953</v>
      </c>
    </row>
    <row r="32" customFormat="false" ht="14.25" hidden="false" customHeight="false" outlineLevel="0" collapsed="false">
      <c r="C32" s="105" t="s">
        <v>10954</v>
      </c>
      <c r="E32" s="0" t="s">
        <v>10955</v>
      </c>
    </row>
    <row r="33" customFormat="false" ht="14.25" hidden="false" customHeight="false" outlineLevel="0" collapsed="false">
      <c r="C33" s="106" t="s">
        <v>10956</v>
      </c>
      <c r="E33" s="0" t="s">
        <v>10957</v>
      </c>
    </row>
    <row r="34" customFormat="false" ht="14.25" hidden="false" customHeight="false" outlineLevel="0" collapsed="false">
      <c r="C34" s="107" t="s">
        <v>10958</v>
      </c>
      <c r="E34" s="0" t="s">
        <v>10959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LibreOffice/25.8.5.2$Linux_X86_64 LibreOffice_project/252c20f6956e3db0b52e6e2f9dda67263513c8fc</Application>
  <AppVersion>15.0000</AppVersion>
  <Company>Forest Research</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2026-01-26T07:37:14Z</dcterms:created>
  <dc:creator>Katty Baird</dc:creator>
  <dc:description/>
  <dc:language>en-US</dc:language>
  <cp:lastModifiedBy/>
  <dcterms:modified xsi:type="dcterms:W3CDTF">2026-03-18T10:33:24Z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